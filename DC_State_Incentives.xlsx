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df1201067fc29930/Desktop/Codex folder/India Power/"/>
    </mc:Choice>
  </mc:AlternateContent>
  <xr:revisionPtr revIDLastSave="0" documentId="11_26C7D3CE8FB2EBB26E3A92FA40FC1E58783638A0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AP_Package_Summary" sheetId="1" r:id="rId1"/>
    <sheet name="AP_Project_GOs" sheetId="2" r:id="rId2"/>
    <sheet name="Policy_Compare_AP_TG_MH" sheetId="3" r:id="rId3"/>
    <sheet name="Other_States" sheetId="4" r:id="rId4"/>
  </sheets>
  <definedNames>
    <definedName name="_xlnm._FilterDatabase" localSheetId="1" hidden="1">AP_Project_GOs!$A$4:$I$58</definedName>
  </definedNames>
  <calcPr calcId="191029"/>
</workbook>
</file>

<file path=xl/calcChain.xml><?xml version="1.0" encoding="utf-8"?>
<calcChain xmlns="http://schemas.openxmlformats.org/spreadsheetml/2006/main">
  <c r="F10" i="1" l="1"/>
  <c r="E10" i="1"/>
  <c r="D10" i="1"/>
  <c r="J9" i="1"/>
  <c r="K9" i="1" s="1"/>
  <c r="G9" i="1"/>
  <c r="I9" i="1" s="1"/>
  <c r="J8" i="1"/>
  <c r="K8" i="1" s="1"/>
  <c r="G8" i="1"/>
  <c r="I8" i="1" s="1"/>
  <c r="J7" i="1"/>
  <c r="K7" i="1" s="1"/>
  <c r="G7" i="1"/>
  <c r="I7" i="1" s="1"/>
  <c r="J6" i="1"/>
  <c r="K6" i="1" s="1"/>
  <c r="I6" i="1"/>
  <c r="H6" i="1"/>
  <c r="J5" i="1"/>
  <c r="J10" i="1" s="1"/>
  <c r="I5" i="1"/>
  <c r="G5" i="1"/>
  <c r="H5" i="1" s="1"/>
  <c r="K10" i="1" l="1"/>
  <c r="H8" i="1"/>
  <c r="H7" i="1"/>
  <c r="G10" i="1"/>
  <c r="H10" i="1" s="1"/>
  <c r="H9" i="1"/>
  <c r="K5" i="1"/>
</calcChain>
</file>

<file path=xl/sharedStrings.xml><?xml version="1.0" encoding="utf-8"?>
<sst xmlns="http://schemas.openxmlformats.org/spreadsheetml/2006/main" count="489" uniqueCount="207">
  <si>
    <t>Andhra Pradesh - size of data-centre incentive packages (sum of capped items in each GO)</t>
  </si>
  <si>
    <t>Sum of caps = upper bound of fiscal support over 10-20 yrs, nominal, undiscounted; uncapped items (land discount, some exemptions) are excluded, so true value is higher. Google: GO states an overall cap of Rs 22,002 cr, used instead of the sum.</t>
  </si>
  <si>
    <t>Project</t>
  </si>
  <si>
    <t>GO</t>
  </si>
  <si>
    <t>Site</t>
  </si>
  <si>
    <t>MW (per GO)</t>
  </si>
  <si>
    <t>Investment (Rs cr)</t>
  </si>
  <si>
    <t>Jobs</t>
  </si>
  <si>
    <t>Incentive caps (Rs cr)</t>
  </si>
  <si>
    <t>Caps as % of investment</t>
  </si>
  <si>
    <t>Caps per MW (Rs cr)</t>
  </si>
  <si>
    <t>of which power-related (Rs cr)</t>
  </si>
  <si>
    <t>Power-related share</t>
  </si>
  <si>
    <t>Notes</t>
  </si>
  <si>
    <t>Reliance Industries - Giga-scale AI DC + cable landing station</t>
  </si>
  <si>
    <t>G.O.Ms.30 (20-05-2026), land amended by G.O.Ms.52 (21-07-2026)</t>
  </si>
  <si>
    <t>Polipalli / Bhogapuram, Vizianagaram (854.97 ac)</t>
  </si>
  <si>
    <t>MW not stated in GO (1.5 GW only in civil-society registry). Jobs not committed in GO.</t>
  </si>
  <si>
    <t>Raiden Infotech (Google) - AI DC hub; Adani Infra / AdaniConneX / Airtel-Nxtra as notified partners</t>
  </si>
  <si>
    <t>G.O.Ms.40 (11-10-2025); partners G.O.Ms.66 (02-12-2025); stamp duty G.O.Ms.472 Rev (30-07-2026); sale terms G.O.Ms.213 I&amp;C (20-08-2026)</t>
  </si>
  <si>
    <t>Tarluvada, Adavivaram-Mudasarlova, Rambilli (480 -&gt; 601.4 ac)</t>
  </si>
  <si>
    <t>GO 40 text not found online - items from PTI / tele.net quoting the GO; overall cap Rs 22,002 cr is quoted from the GO. GO 66, 472, 213 read in full (primary).</t>
  </si>
  <si>
    <t>ReNew AP Green Data Center Pvt Ltd</t>
  </si>
  <si>
    <t>G.O.Ms.55 (21-08-2026)</t>
  </si>
  <si>
    <t>Makavaripalem, Anakapalli (433.30 ac)</t>
  </si>
  <si>
    <t>Land at APIIC rate (no discount). Timeline 9 yrs 5 months.</t>
  </si>
  <si>
    <t>Data Centre Holdings India LLP (Colt DCS - RMZ)</t>
  </si>
  <si>
    <t>G.O.Ms.56 (21-08-2026)</t>
  </si>
  <si>
    <t>Jagnadhapuram, Anandapuram, Visakhapatnam (200 ac)</t>
  </si>
  <si>
    <t>Timeline 10 yrs.</t>
  </si>
  <si>
    <t>AM AI Factory (Vizag) Pvt Ltd (AM Intelligence Labs)</t>
  </si>
  <si>
    <t>G.O.Ms.59 (22-08-2026)</t>
  </si>
  <si>
    <t>Amanam, Bheemunipatnam, Visakhapatnam</t>
  </si>
  <si>
    <t>No power-tariff subsidy, but CSS waiver capped at Rs 3,000 cr. Timeline 2 yrs 4 months.</t>
  </si>
  <si>
    <t>Total - 5 AP data-centre packages</t>
  </si>
  <si>
    <t>MW total excludes Reliance (MW not in GO). Google power-related figure covers only the capped Rs 1/unit item.</t>
  </si>
  <si>
    <t>What the GOs show</t>
  </si>
  <si>
    <t>1) AP has committed roughly Rs 70,000 cr of capped fiscal support across five DC projects (~3 GW with stated MW, plus Reliance) - about 18-25% of the stated investment.</t>
  </si>
  <si>
    <t>2) Power is the core of every package: Rs 1/unit tariff discount (15 yrs), 100% transmission &amp; wheeling waiver (20 yrs), 100% electricity duty waiver (15-20 yrs), plus CSS / RE-charge waivers. Power-related items are ~40-85% of the capped value (Google shows 22% only because its other power waivers have no reported cap).</t>
  </si>
  <si>
    <t>3) Packages are bespoke, not formulaic: DCHI's power-tariff cap (Rs 4,800 cr for 486 MW) is ~2x ReNew's (Rs 2,500 cr for 1,000 MW); AM AI gets no tariff discount but a Rs 3,000 cr CSS waiver; Reliance gets a lower capital subsidy (6% vs 10%) but a Rs 5,000 cr transmission waiver.</t>
  </si>
  <si>
    <t>4) Grid cost stays with the developer (APTRANSCO only 'facilitates') - except DCHI, which gets up to Rs 150 cr reimbursed for electrical infrastructure.</t>
  </si>
  <si>
    <t>5) The GOs also hand over utility-style rights: DCHI gets power trading licence and deemed distribution licensee status facilitated; Reliance gets a captive solar park outside cross-subsidy surcharge.</t>
  </si>
  <si>
    <t>Andhra Pradesh - data-centre incentives granted in project Government Orders (tailor-made 'Mega project' packages under AP Data Center Policy 4.0)</t>
  </si>
  <si>
    <t>Caps are the maximum incentive (Rs crore) written in each GO; '-' = no cap stated. Mega projects (&gt; Rs 5,000 cr and &gt; 50 MW) get tailor-made packages. Approval chain: APEDB -&gt; CCITEI -&gt; SIPC -&gt; SIPB -&gt; GO. Tier A1 = GO read in full; A2 = press quoting the GO.</t>
  </si>
  <si>
    <t>Category</t>
  </si>
  <si>
    <t>Incentive (as written in GO)</t>
  </si>
  <si>
    <t>Period (yrs)</t>
  </si>
  <si>
    <t>Cap (Rs cr)</t>
  </si>
  <si>
    <t>MW</t>
  </si>
  <si>
    <t>Tier</t>
  </si>
  <si>
    <t>Source</t>
  </si>
  <si>
    <t>Land</t>
  </si>
  <si>
    <t>25% discount on land value; company pays 75% of land cost to APIIC as acquisition starts; 1 acre for CLS</t>
  </si>
  <si>
    <t>A1</t>
  </si>
  <si>
    <t>https://stopdirtydatacenters.org/media/resources/files/2026ITC_41827_MS30_E.pdf</t>
  </si>
  <si>
    <t>Stamp duty &amp; registration</t>
  </si>
  <si>
    <t>100% exemption</t>
  </si>
  <si>
    <t>Capital subsidy</t>
  </si>
  <si>
    <t>6% of investment in machinery &amp; equipment, 10 equal instalments</t>
  </si>
  <si>
    <t>SGST reimbursement</t>
  </si>
  <si>
    <t>100% net SGST on construction (10 yrs or till max capacity)</t>
  </si>
  <si>
    <t>100% net SGST on leasing cost</t>
  </si>
  <si>
    <t>Water</t>
  </si>
  <si>
    <t>Water tariff subsidised 15%</t>
  </si>
  <si>
    <t>Fibre / RoW</t>
  </si>
  <si>
    <t>OPGW fibre access at 30% discount (O&amp;M +5% every 3 yrs)</t>
  </si>
  <si>
    <t>RoW cost of state entities waived</t>
  </si>
  <si>
    <t>Power tariff</t>
  </si>
  <si>
    <t>Rs 1/unit discount on power</t>
  </si>
  <si>
    <t>Cross-subsidy surcharge</t>
  </si>
  <si>
    <t>CSS not levied on the captive solar park</t>
  </si>
  <si>
    <t>Transmission &amp; wheeling</t>
  </si>
  <si>
    <t>100% of transmission charges imposed by GoAP exempted</t>
  </si>
  <si>
    <t>Electricity duty</t>
  </si>
  <si>
    <t>Non-fiscal</t>
  </si>
  <si>
    <t>Grid infra 'at-source waiver' - APTRANSCO facilitates infra to load end (proponent bears cost); single window; empowered nodal officer / steering committee; guaranteed water for 20 yrs + study of joint ownership of a desalination plant</t>
  </si>
  <si>
    <t>25% discount on land (480 ac; later 601.4 ac allotted to Adani Infra SPVs); up to 15 ac for cable landing station</t>
  </si>
  <si>
    <t>A2</t>
  </si>
  <si>
    <t>https://telanganatoday.com/googles-raiden-infotech-to-get-rs-22000-cr-incentives-from-andhra-for-vizag-data-centres</t>
  </si>
  <si>
    <t>100% exemption (G.O.Ms.472: Rs 20.56 cr stamp duty + Rs 2.64 cr registration fee waived for the 3 Adani Infra SPVs)</t>
  </si>
  <si>
    <t>10% of plant &amp; machinery, over 10 yrs (cap Rs 21.29 bn per tele.net)</t>
  </si>
  <si>
    <t>100% net SGST on construction (cap Rs 2,245 cr per PTI); construction + leasing together Rs 3,990 cr per tele.net</t>
  </si>
  <si>
    <t>Rs 1/unit discount for 10 yrs, +5 yrs on hitting investment &amp; capacity milestones</t>
  </si>
  <si>
    <t>100% exemption (15-20 yrs; cap not reported)</t>
  </si>
  <si>
    <t>100% exemption of transmission charges (cap not reported)</t>
  </si>
  <si>
    <t>RE cross-subsidy charges exempted (cap not reported)</t>
  </si>
  <si>
    <t>25% water-tariff subsidy</t>
  </si>
  <si>
    <t>Overall cap</t>
  </si>
  <si>
    <t>SIPB: all listed incentives with an OVERALL CAP of Rs 22,002 cr (quoted from GO 40)</t>
  </si>
  <si>
    <t>Incentives extend to notified partners (Adani Infra, AdaniConneX, Adani Power, Airtel, Nxtra) within the overall ceiling (GO 66). Sale-agreement relaxations: ECB financing allowed, 30-day cure period, title warranties, liability for enhanced compensation capped at 10% of land cost; 5.84 ac GVMC land at endowment lease rates (3% of SRO value) (GO 213)</t>
  </si>
  <si>
    <t>433.30 ac at APIIC rate (no discount); land cost includes roads &amp; water pipeline</t>
  </si>
  <si>
    <t>https://stopdirtydatacenters.org/media/resources/files/2026ITC_43622_MS55_E.pdf</t>
  </si>
  <si>
    <t>100% reimbursement</t>
  </si>
  <si>
    <t>10% of machinery &amp; equipment, 10 equal annual instalments</t>
  </si>
  <si>
    <t>100% net SGST on capital investment</t>
  </si>
  <si>
    <t>Rs 1/unit discount</t>
  </si>
  <si>
    <t>100% exemption of transmission &amp; wheeling charges</t>
  </si>
  <si>
    <t>FSI above 3 without extra charges; 'Mission Critical Infrastructure' status; assured water (APIIC rates); parking relaxation</t>
  </si>
  <si>
    <t>25% discount on APIIC cost</t>
  </si>
  <si>
    <t>https://stopdirtydatacenters.org/media/resources/files/2026ITC_43620_MS56_E.pdf</t>
  </si>
  <si>
    <t>100% reimbursement of stamp duty</t>
  </si>
  <si>
    <t>100% net SGST on construction raw material (10 yrs or till max capacity)</t>
  </si>
  <si>
    <t>100% net SGST on leasing cost (10 yrs or till max capacity)</t>
  </si>
  <si>
    <t>Water tariff subsidised 25%</t>
  </si>
  <si>
    <t>RoW cost of state entities &amp; state roads waived</t>
  </si>
  <si>
    <t>RE / green power charges</t>
  </si>
  <si>
    <t>100% exemption of renewable &amp; carbon-free energy access charges</t>
  </si>
  <si>
    <t>Grid / electrical infra</t>
  </si>
  <si>
    <t>100% reimbursement of electrical infrastructure development &amp; upgradation cost</t>
  </si>
  <si>
    <t>Road to site laid by APIIC, funded by ITE&amp;C (~Rs 4.5 cr)</t>
  </si>
  <si>
    <t>APTRANSCO facilitates power infra; priority green power allocation; GVMC guaranteed water; multi-level DG sets allowed; power trading licence and deemed distribution licensee status facilitated; building bye-law, parking, cooling/environment norm relaxations</t>
  </si>
  <si>
    <t>https://stopdirtydatacenters.org/media/resources/files/2026ITC_43626_MS59_E.pdf</t>
  </si>
  <si>
    <t>10% of plant &amp; machinery, 10 equal annual instalments</t>
  </si>
  <si>
    <t>100% net SGST on construction</t>
  </si>
  <si>
    <t>100% exemption of transmission &amp; wheeling charges imposed by GoAP</t>
  </si>
  <si>
    <t>100% CSS exemption</t>
  </si>
  <si>
    <t>30% discount on OPGW fibre access charges</t>
  </si>
  <si>
    <t>APTRANSCO facilitates power infra (proponent bears cost); treated/recycled water; road per APIIC norms; stream &amp; road realignment at company cost; adjoining govt land at actual cost</t>
  </si>
  <si>
    <t>Data-centre incentives by state policy - Andhra Pradesh vs Telangana vs Maharashtra</t>
  </si>
  <si>
    <t>AP column = what the 2026 project GOs actually grant (the base AP DC Policy 4.0, G.O.Ms.6 of 14-11-2024, is only available as a summary). Telangana = Data Centres Policy 2016 (no public project-level GOs found on the Telangana GO register). Maharashtra = IT/ITeS Policy 2023 + Integrated Green DC Park GR (09-10-2024) + amendment GR (09-06-2026) + Electricity Duty notification (22-06-2026).</t>
  </si>
  <si>
    <t>Incentive</t>
  </si>
  <si>
    <t>Andhra Pradesh (project GOs 2025-26)</t>
  </si>
  <si>
    <t>Telangana (DC Policy 2016)</t>
  </si>
  <si>
    <t>Maharashtra (IT/ITeS 2023 + Green DC Park GRs)</t>
  </si>
  <si>
    <t>Rs 1/unit discount for 15 yrs (caps Rs 2,500-4,800 cr per project); Google: 10 yrs + 5 on milestones</t>
  </si>
  <si>
    <t>Power to eligible DCs 'at the cost of generation' (details left to operational guidelines)</t>
  </si>
  <si>
    <t>Industrial (not commercial) tariff from day one; Rs 1/unit subsidy for 5 yrs for new DCs outside Zone I [2023 policy, secondary]. Green DC parks: Rs 1/unit for 10 yrs (&gt;= Rs 30,000 cr) or 20 yrs (&gt;= Rs 60,000 cr) [GR 09-06-2026, single trade source]</t>
  </si>
  <si>
    <t>100% exemption for 15-20 yrs (caps Rs 90-411 cr)</t>
  </si>
  <si>
    <t>Not specified in DC policy (IT/ITeS incentive GO applies)</t>
  </si>
  <si>
    <t>20-yr exemption for new AND existing DC units; starts from commercial operation; no refunds of past duty; MSEDCL annual inspection [notification CEI-2025/CR-158/Energy-1, 22-06-2026 - summary]</t>
  </si>
  <si>
    <t>Transmission / wheeling</t>
  </si>
  <si>
    <t>100% waiver of state transmission &amp; wheeling charges for 20 yrs (caps Rs 1,250-5,000 cr)</t>
  </si>
  <si>
    <t>Not specified</t>
  </si>
  <si>
    <t>Not specified in public summaries</t>
  </si>
  <si>
    <t>Cross-subsidy surcharge / RE charges</t>
  </si>
  <si>
    <t>CSS waived 20 yrs (AM AI cap Rs 3,000 cr; Reliance captive solar); RE / carbon-free energy access charges waived 20 yrs (DCHI cap Rs 983 cr)</t>
  </si>
  <si>
    <t>RE under open access allowed up to 1/3 of load after paying DISCOM cost component; support for captive solar/wind + 'initial investment subsidy'</t>
  </si>
  <si>
    <t>Open access allowed incl. RE after paying DISCOM cost component; green parks must source &gt;= 51% green power (cut from 100% in Jun-2026)</t>
  </si>
  <si>
    <t>Grid / supply reliability</t>
  </si>
  <si>
    <t>APTRANSCO facilitates grid infra (developer pays); DCHI gets up to Rs 150 cr reimbursed; priority green power allocation</t>
  </si>
  <si>
    <t>Dual power grid networks; exempt from statutory power cuts; subsidised backup power infra and DG fuel below market rate in the DC campus</t>
  </si>
  <si>
    <t>Exempt from statutory power cuts (24x7x365); infrastructure status</t>
  </si>
  <si>
    <t>Utility rights</t>
  </si>
  <si>
    <t>Power trading licence and deemed distribution licensee status 'facilitated' (DCHI)</t>
  </si>
  <si>
    <t>-</t>
  </si>
  <si>
    <t>25% discount on APIIC value (Google, Reliance, DCHI); ReNew at APIIC rate</t>
  </si>
  <si>
    <t>Subsidised land as decided by CCITI; DC campus earmarked by state</t>
  </si>
  <si>
    <t>MIDC DC parks earmarked with prior clearances; DCs allowed in any zone; MIDC green DC parks: no sub-letting charges</t>
  </si>
  <si>
    <t>100% exemption / reimbursement (caps Rs 5-23 cr)</t>
  </si>
  <si>
    <t>Not specified in DC policy</t>
  </si>
  <si>
    <t>100% stamp duty exemption on land/premises purchase, lease, L&amp;L for new DCs and expansion; 100% on first lease / sub-lease in green DC parks</t>
  </si>
  <si>
    <t>Capital / investment subsidy</t>
  </si>
  <si>
    <t>10% of machinery &amp; equipment over 10 yrs (Reliance 6%); caps Rs 300-4,500 cr</t>
  </si>
  <si>
    <t>Startups only (lease-rental, internet, R&amp;D, patent support); tailor-made package for strategic projects</t>
  </si>
  <si>
    <t>Green parks &gt;= Rs 60,000 cr: Industrial Promotion Subsidy = 75% of eligible fixed capital investment; 4% interest subsidy on term loans up to 10 yrs, max Rs 25 cr/yr [GR 09-06-2026, single trade source]</t>
  </si>
  <si>
    <t>100% net SGST on construction and/or leasing for 10 yrs (caps Rs 490-5,000 cr)</t>
  </si>
  <si>
    <t>Guaranteed water (APIIC / GVMC; Reliance 20 yrs + desalination study); tariff subsidy 15-25% for 10 yrs</t>
  </si>
  <si>
    <t>Continuous water supply for cooling in DC campus</t>
  </si>
  <si>
    <t>30% discount on OPGW fibre access for 20 yrs; RoW charges waived</t>
  </si>
  <si>
    <t>High-speed fibre access in DC campus</t>
  </si>
  <si>
    <t>Building / FSI</t>
  </si>
  <si>
    <t>FSI &gt; 3 without extra charge; parking &amp; bye-law relaxations; multi-level DG sets</t>
  </si>
  <si>
    <t>Up to 50% rebate on building fees; DC as separate building category; approvals via TS-iPASS</t>
  </si>
  <si>
    <t>Additional FSI; UDCPR relaxations (parking, floor height); property tax at residential rates</t>
  </si>
  <si>
    <t>Status / labour</t>
  </si>
  <si>
    <t>'Mission Critical Infrastructure' status (ReNew)</t>
  </si>
  <si>
    <t>Essential service; exempt from inspections under labour Acts (self-certification); exempt from pollution Act below 20,000 m2</t>
  </si>
  <si>
    <t>Essential service; infrastructure status</t>
  </si>
  <si>
    <t>Thresholds</t>
  </si>
  <si>
    <t>Mega projects: &gt; Rs 5,000 cr AND &gt; 50 MW get tailor-made packages</t>
  </si>
  <si>
    <t>Tailor-made package for 'projects of strategic importance'</t>
  </si>
  <si>
    <t>Green DC parks: originally first 3 parks, &gt;= Rs 30,000 cr (MMR only); now up to 20 parks statewide, investment of owner + developer + units counted, retrospective to LoA holders</t>
  </si>
  <si>
    <t>Primary sources</t>
  </si>
  <si>
    <t>https://www.medianama.com/wp-content/uploads/2026/08/reliance_merged.pdf  (GOs 52/55/56/59); https://stopdirtydatacenters.org/media/resources/files/2026ITC_41827_MS30_E.pdf (GO 30)</t>
  </si>
  <si>
    <t>https://www.telangana.gov.in/wp-content/uploads/2023/05/Telangana-Data-Centres-Policy.pdf</t>
  </si>
  <si>
    <t>https://powerpeakdigest.com/maharashtra-green-data-center-policy-expansion/ ; https://www.snrlaw.in/incentives-and-laws-for-data-centers-in-maharashtra/ ; https://teamleaseregtech.com/updates/article/57168/govt-of-maharashtra-issued-a-notification-regarding-electricity-duty-e/</t>
  </si>
  <si>
    <t>Other states - data-centre policy incentives (secondary summaries; lower priority)</t>
  </si>
  <si>
    <t>State</t>
  </si>
  <si>
    <t>Policy</t>
  </si>
  <si>
    <t>Key incentives</t>
  </si>
  <si>
    <t>Tamil Nadu</t>
  </si>
  <si>
    <t>TN Data Centre Policy 2021 (expired Apr-2026; no extension notified)</t>
  </si>
  <si>
    <t>DC parks; uninterrupted water; sub-lease without transfer charges; district-wise stamp duty concessions; land cost subsidy; power incentives; labour-law relaxations; single window. TN Energy Policy Note 2025-26: only 170.4 MVA connected to DCs statewide.</t>
  </si>
  <si>
    <t>D</t>
  </si>
  <si>
    <t>https://www.ahlawatassociates.com/blog/india-data-centre-policy-by-state</t>
  </si>
  <si>
    <t>Uttar Pradesh</t>
  </si>
  <si>
    <t>UP Data Centre Policy 2021 (amended 2022)</t>
  </si>
  <si>
    <t>7% capital subsidy on fixed capital (up to Rs 20 cr); up to 60% interest subsidy for DC park developers; 100% stamp duty on first land transaction; 100% electricity duty waiver for 10 yrs; wheeling &amp; transmission charge exemptions; essential service under ESMA. Dashboard: 29 MoUs, 644 MW proposed, 133 MW commercialised (Jun-2025).</t>
  </si>
  <si>
    <t>https://uplc.up.gov.in/en/page/uttar-pradesh-data-center-policy</t>
  </si>
  <si>
    <t>Karnataka</t>
  </si>
  <si>
    <t>Karnataka Data Centre Policy 2022-27</t>
  </si>
  <si>
    <t>Outside Bengaluru: 7% capital subsidy (excl. land &amp; building), land subsidy, 100% stamp duty exemption; concessional industrial tariff; green-energy charge reimbursement; electricity duty exemption; dual power and open access; customised packages for large projects.</t>
  </si>
  <si>
    <t>Haryana</t>
  </si>
  <si>
    <t>Haryana State Data Centre Policy 2022</t>
  </si>
  <si>
    <t>100% stamp duty reimbursement on first sale/lease; long-term electricity duty exemption; power bill reimbursement; location-based SGST reimbursement; essential service; reduced industrial property tax; employment subsidies.</t>
  </si>
  <si>
    <t>Gujarat</t>
  </si>
  <si>
    <t>Gujarat IT/ITeS Policy 2022-27</t>
  </si>
  <si>
    <t>DCs classed as 'Strategic Institutions' (greenfield only); job-linked PF reimbursements; 'Cloud Villages'; simplified fibre rules; faster agri-land conversion; DCs allowed in various zones.</t>
  </si>
  <si>
    <t>Odisha / West Bengal</t>
  </si>
  <si>
    <t>Odisha DC Policy 2021-22; WB DC Policy 2021</t>
  </si>
  <si>
    <t>Capital subsidies, power-tariff concessions, stamp and electricity duty exemptions, single window (no item-level detail in summaries). Odisha approves mega DCs case-by-case via HLCA (e.g. Adani Naraj 1 GW, Sentraforge Puri).</t>
  </si>
  <si>
    <t>https://assets.cushmanwakefield.com/-/media/cw/apac/india/insights/data-centre-policies-in-india-a-statewise-comparison.pdf?rev=6e0e167e39bf41f383b67eef232479f4</t>
  </si>
  <si>
    <t>Central (all states)</t>
  </si>
  <si>
    <t>Union Budget 2026-27</t>
  </si>
  <si>
    <t>Long-dated tax holiday (to 2047) for foreign cloud companies serving global customers from Indian DCs.</t>
  </si>
  <si>
    <t>https://www.snrlaw.in/indian-budget-2026-27-tax-incentives-for-data-centres/</t>
  </si>
  <si>
    <t>Tier D = law-firm / consultant summaries, not the policy text - verify before quoting figures.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</si>
</sst>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;\-#,##0.0;&quot;-&quot;"/>
    <numFmt numFmtId="165" formatCode="#,##0;\-#,##0;&quot;-&quot;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9"/>
      <name val="Arial"/>
    </font>
    <font>
      <b/>
      <sz val="10"/>
      <color rgb="FFFFFFFF"/>
      <name val="Arial"/>
    </font>
    <font>
      <sz val="9"/>
      <name val="Arial"/>
    </font>
    <font>
      <u/>
      <sz val="9"/>
      <color rgb="FF0563C1"/>
      <name val="Arial"/>
    </font>
    <font>
      <b/>
      <sz val="9"/>
      <name val="Arial"/>
    </font>
    <font>
      <sz val="9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9" fontId="4" fillId="0" borderId="1" xfId="0" applyNumberFormat="1" applyFont="1" applyBorder="1" applyAlignment="1">
      <alignment vertical="top" wrapText="1"/>
    </xf>
    <xf numFmtId="165" fontId="7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166" fontId="6" fillId="0" borderId="1" xfId="0" applyNumberFormat="1" applyFont="1" applyBorder="1" applyAlignment="1">
      <alignment vertical="top" wrapText="1"/>
    </xf>
    <xf numFmtId="9" fontId="6" fillId="0" borderId="1" xfId="0" applyNumberFormat="1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0" fillId="0" borderId="0" xfId="0"/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stopdirtydatacenters.org/media/resources/files/2026ITC_41827_MS30_E.pdf" TargetMode="External"/><Relationship Id="rId18" Type="http://schemas.openxmlformats.org/officeDocument/2006/relationships/hyperlink" Target="https://telanganatoday.com/googles-raiden-infotech-to-get-rs-22000-cr-incentives-from-andhra-for-vizag-data-centres" TargetMode="External"/><Relationship Id="rId26" Type="http://schemas.openxmlformats.org/officeDocument/2006/relationships/hyperlink" Target="https://stopdirtydatacenters.org/media/resources/files/2026ITC_43622_MS55_E.pdf" TargetMode="External"/><Relationship Id="rId39" Type="http://schemas.openxmlformats.org/officeDocument/2006/relationships/hyperlink" Target="https://stopdirtydatacenters.org/media/resources/files/2026ITC_43620_MS56_E.pdf" TargetMode="External"/><Relationship Id="rId21" Type="http://schemas.openxmlformats.org/officeDocument/2006/relationships/hyperlink" Target="https://telanganatoday.com/googles-raiden-infotech-to-get-rs-22000-cr-incentives-from-andhra-for-vizag-data-centres" TargetMode="External"/><Relationship Id="rId34" Type="http://schemas.openxmlformats.org/officeDocument/2006/relationships/hyperlink" Target="https://stopdirtydatacenters.org/media/resources/files/2026ITC_43620_MS56_E.pdf" TargetMode="External"/><Relationship Id="rId42" Type="http://schemas.openxmlformats.org/officeDocument/2006/relationships/hyperlink" Target="https://stopdirtydatacenters.org/media/resources/files/2026ITC_43620_MS56_E.pdf" TargetMode="External"/><Relationship Id="rId47" Type="http://schemas.openxmlformats.org/officeDocument/2006/relationships/hyperlink" Target="https://stopdirtydatacenters.org/media/resources/files/2026ITC_43626_MS59_E.pdf" TargetMode="External"/><Relationship Id="rId50" Type="http://schemas.openxmlformats.org/officeDocument/2006/relationships/hyperlink" Target="https://stopdirtydatacenters.org/media/resources/files/2026ITC_43626_MS59_E.pdf" TargetMode="External"/><Relationship Id="rId7" Type="http://schemas.openxmlformats.org/officeDocument/2006/relationships/hyperlink" Target="https://stopdirtydatacenters.org/media/resources/files/2026ITC_41827_MS30_E.pdf" TargetMode="External"/><Relationship Id="rId2" Type="http://schemas.openxmlformats.org/officeDocument/2006/relationships/hyperlink" Target="https://stopdirtydatacenters.org/media/resources/files/2026ITC_41827_MS30_E.pdf" TargetMode="External"/><Relationship Id="rId16" Type="http://schemas.openxmlformats.org/officeDocument/2006/relationships/hyperlink" Target="https://telanganatoday.com/googles-raiden-infotech-to-get-rs-22000-cr-incentives-from-andhra-for-vizag-data-centres" TargetMode="External"/><Relationship Id="rId29" Type="http://schemas.openxmlformats.org/officeDocument/2006/relationships/hyperlink" Target="https://stopdirtydatacenters.org/media/resources/files/2026ITC_43622_MS55_E.pdf" TargetMode="External"/><Relationship Id="rId11" Type="http://schemas.openxmlformats.org/officeDocument/2006/relationships/hyperlink" Target="https://stopdirtydatacenters.org/media/resources/files/2026ITC_41827_MS30_E.pdf" TargetMode="External"/><Relationship Id="rId24" Type="http://schemas.openxmlformats.org/officeDocument/2006/relationships/hyperlink" Target="https://telanganatoday.com/googles-raiden-infotech-to-get-rs-22000-cr-incentives-from-andhra-for-vizag-data-centres" TargetMode="External"/><Relationship Id="rId32" Type="http://schemas.openxmlformats.org/officeDocument/2006/relationships/hyperlink" Target="https://stopdirtydatacenters.org/media/resources/files/2026ITC_43622_MS55_E.pdf" TargetMode="External"/><Relationship Id="rId37" Type="http://schemas.openxmlformats.org/officeDocument/2006/relationships/hyperlink" Target="https://stopdirtydatacenters.org/media/resources/files/2026ITC_43620_MS56_E.pdf" TargetMode="External"/><Relationship Id="rId40" Type="http://schemas.openxmlformats.org/officeDocument/2006/relationships/hyperlink" Target="https://stopdirtydatacenters.org/media/resources/files/2026ITC_43620_MS56_E.pdf" TargetMode="External"/><Relationship Id="rId45" Type="http://schemas.openxmlformats.org/officeDocument/2006/relationships/hyperlink" Target="https://stopdirtydatacenters.org/media/resources/files/2026ITC_43620_MS56_E.pdf" TargetMode="External"/><Relationship Id="rId53" Type="http://schemas.openxmlformats.org/officeDocument/2006/relationships/hyperlink" Target="https://stopdirtydatacenters.org/media/resources/files/2026ITC_43626_MS59_E.pdf" TargetMode="External"/><Relationship Id="rId5" Type="http://schemas.openxmlformats.org/officeDocument/2006/relationships/hyperlink" Target="https://stopdirtydatacenters.org/media/resources/files/2026ITC_41827_MS30_E.pdf" TargetMode="External"/><Relationship Id="rId10" Type="http://schemas.openxmlformats.org/officeDocument/2006/relationships/hyperlink" Target="https://stopdirtydatacenters.org/media/resources/files/2026ITC_41827_MS30_E.pdf" TargetMode="External"/><Relationship Id="rId19" Type="http://schemas.openxmlformats.org/officeDocument/2006/relationships/hyperlink" Target="https://telanganatoday.com/googles-raiden-infotech-to-get-rs-22000-cr-incentives-from-andhra-for-vizag-data-centres" TargetMode="External"/><Relationship Id="rId31" Type="http://schemas.openxmlformats.org/officeDocument/2006/relationships/hyperlink" Target="https://stopdirtydatacenters.org/media/resources/files/2026ITC_43622_MS55_E.pdf" TargetMode="External"/><Relationship Id="rId44" Type="http://schemas.openxmlformats.org/officeDocument/2006/relationships/hyperlink" Target="https://stopdirtydatacenters.org/media/resources/files/2026ITC_43620_MS56_E.pdf" TargetMode="External"/><Relationship Id="rId52" Type="http://schemas.openxmlformats.org/officeDocument/2006/relationships/hyperlink" Target="https://stopdirtydatacenters.org/media/resources/files/2026ITC_43626_MS59_E.pdf" TargetMode="External"/><Relationship Id="rId4" Type="http://schemas.openxmlformats.org/officeDocument/2006/relationships/hyperlink" Target="https://stopdirtydatacenters.org/media/resources/files/2026ITC_41827_MS30_E.pdf" TargetMode="External"/><Relationship Id="rId9" Type="http://schemas.openxmlformats.org/officeDocument/2006/relationships/hyperlink" Target="https://stopdirtydatacenters.org/media/resources/files/2026ITC_41827_MS30_E.pdf" TargetMode="External"/><Relationship Id="rId14" Type="http://schemas.openxmlformats.org/officeDocument/2006/relationships/hyperlink" Target="https://telanganatoday.com/googles-raiden-infotech-to-get-rs-22000-cr-incentives-from-andhra-for-vizag-data-centres" TargetMode="External"/><Relationship Id="rId22" Type="http://schemas.openxmlformats.org/officeDocument/2006/relationships/hyperlink" Target="https://telanganatoday.com/googles-raiden-infotech-to-get-rs-22000-cr-incentives-from-andhra-for-vizag-data-centres" TargetMode="External"/><Relationship Id="rId27" Type="http://schemas.openxmlformats.org/officeDocument/2006/relationships/hyperlink" Target="https://stopdirtydatacenters.org/media/resources/files/2026ITC_43622_MS55_E.pdf" TargetMode="External"/><Relationship Id="rId30" Type="http://schemas.openxmlformats.org/officeDocument/2006/relationships/hyperlink" Target="https://stopdirtydatacenters.org/media/resources/files/2026ITC_43622_MS55_E.pdf" TargetMode="External"/><Relationship Id="rId35" Type="http://schemas.openxmlformats.org/officeDocument/2006/relationships/hyperlink" Target="https://stopdirtydatacenters.org/media/resources/files/2026ITC_43620_MS56_E.pdf" TargetMode="External"/><Relationship Id="rId43" Type="http://schemas.openxmlformats.org/officeDocument/2006/relationships/hyperlink" Target="https://stopdirtydatacenters.org/media/resources/files/2026ITC_43620_MS56_E.pdf" TargetMode="External"/><Relationship Id="rId48" Type="http://schemas.openxmlformats.org/officeDocument/2006/relationships/hyperlink" Target="https://stopdirtydatacenters.org/media/resources/files/2026ITC_43626_MS59_E.pdf" TargetMode="External"/><Relationship Id="rId8" Type="http://schemas.openxmlformats.org/officeDocument/2006/relationships/hyperlink" Target="https://stopdirtydatacenters.org/media/resources/files/2026ITC_41827_MS30_E.pdf" TargetMode="External"/><Relationship Id="rId51" Type="http://schemas.openxmlformats.org/officeDocument/2006/relationships/hyperlink" Target="https://stopdirtydatacenters.org/media/resources/files/2026ITC_43626_MS59_E.pdf" TargetMode="External"/><Relationship Id="rId3" Type="http://schemas.openxmlformats.org/officeDocument/2006/relationships/hyperlink" Target="https://stopdirtydatacenters.org/media/resources/files/2026ITC_41827_MS30_E.pdf" TargetMode="External"/><Relationship Id="rId12" Type="http://schemas.openxmlformats.org/officeDocument/2006/relationships/hyperlink" Target="https://stopdirtydatacenters.org/media/resources/files/2026ITC_41827_MS30_E.pdf" TargetMode="External"/><Relationship Id="rId17" Type="http://schemas.openxmlformats.org/officeDocument/2006/relationships/hyperlink" Target="https://telanganatoday.com/googles-raiden-infotech-to-get-rs-22000-cr-incentives-from-andhra-for-vizag-data-centres" TargetMode="External"/><Relationship Id="rId25" Type="http://schemas.openxmlformats.org/officeDocument/2006/relationships/hyperlink" Target="https://stopdirtydatacenters.org/media/resources/files/2026ITC_43622_MS55_E.pdf" TargetMode="External"/><Relationship Id="rId33" Type="http://schemas.openxmlformats.org/officeDocument/2006/relationships/hyperlink" Target="https://stopdirtydatacenters.org/media/resources/files/2026ITC_43620_MS56_E.pdf" TargetMode="External"/><Relationship Id="rId38" Type="http://schemas.openxmlformats.org/officeDocument/2006/relationships/hyperlink" Target="https://stopdirtydatacenters.org/media/resources/files/2026ITC_43620_MS56_E.pdf" TargetMode="External"/><Relationship Id="rId46" Type="http://schemas.openxmlformats.org/officeDocument/2006/relationships/hyperlink" Target="https://stopdirtydatacenters.org/media/resources/files/2026ITC_43620_MS56_E.pdf" TargetMode="External"/><Relationship Id="rId20" Type="http://schemas.openxmlformats.org/officeDocument/2006/relationships/hyperlink" Target="https://telanganatoday.com/googles-raiden-infotech-to-get-rs-22000-cr-incentives-from-andhra-for-vizag-data-centres" TargetMode="External"/><Relationship Id="rId41" Type="http://schemas.openxmlformats.org/officeDocument/2006/relationships/hyperlink" Target="https://stopdirtydatacenters.org/media/resources/files/2026ITC_43620_MS56_E.pdf" TargetMode="External"/><Relationship Id="rId54" Type="http://schemas.openxmlformats.org/officeDocument/2006/relationships/hyperlink" Target="https://stopdirtydatacenters.org/media/resources/files/2026ITC_43626_MS59_E.pdf" TargetMode="External"/><Relationship Id="rId1" Type="http://schemas.openxmlformats.org/officeDocument/2006/relationships/hyperlink" Target="https://stopdirtydatacenters.org/media/resources/files/2026ITC_41827_MS30_E.pdf" TargetMode="External"/><Relationship Id="rId6" Type="http://schemas.openxmlformats.org/officeDocument/2006/relationships/hyperlink" Target="https://stopdirtydatacenters.org/media/resources/files/2026ITC_41827_MS30_E.pdf" TargetMode="External"/><Relationship Id="rId15" Type="http://schemas.openxmlformats.org/officeDocument/2006/relationships/hyperlink" Target="https://telanganatoday.com/googles-raiden-infotech-to-get-rs-22000-cr-incentives-from-andhra-for-vizag-data-centres" TargetMode="External"/><Relationship Id="rId23" Type="http://schemas.openxmlformats.org/officeDocument/2006/relationships/hyperlink" Target="https://telanganatoday.com/googles-raiden-infotech-to-get-rs-22000-cr-incentives-from-andhra-for-vizag-data-centres" TargetMode="External"/><Relationship Id="rId28" Type="http://schemas.openxmlformats.org/officeDocument/2006/relationships/hyperlink" Target="https://stopdirtydatacenters.org/media/resources/files/2026ITC_43622_MS55_E.pdf" TargetMode="External"/><Relationship Id="rId36" Type="http://schemas.openxmlformats.org/officeDocument/2006/relationships/hyperlink" Target="https://stopdirtydatacenters.org/media/resources/files/2026ITC_43620_MS56_E.pdf" TargetMode="External"/><Relationship Id="rId49" Type="http://schemas.openxmlformats.org/officeDocument/2006/relationships/hyperlink" Target="https://stopdirtydatacenters.org/media/resources/files/2026ITC_43626_MS59_E.pdf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hlawatassociates.com/blog/india-data-centre-policy-by-state" TargetMode="External"/><Relationship Id="rId7" Type="http://schemas.openxmlformats.org/officeDocument/2006/relationships/hyperlink" Target="https://www.snrlaw.in/indian-budget-2026-27-tax-incentives-for-data-centres/" TargetMode="External"/><Relationship Id="rId2" Type="http://schemas.openxmlformats.org/officeDocument/2006/relationships/hyperlink" Target="https://uplc.up.gov.in/en/page/uttar-pradesh-data-center-policy" TargetMode="External"/><Relationship Id="rId1" Type="http://schemas.openxmlformats.org/officeDocument/2006/relationships/hyperlink" Target="https://www.ahlawatassociates.com/blog/india-data-centre-policy-by-state" TargetMode="External"/><Relationship Id="rId6" Type="http://schemas.openxmlformats.org/officeDocument/2006/relationships/hyperlink" Target="https://assets.cushmanwakefield.com/-/media/cw/apac/india/insights/data-centre-policies-in-india-a-statewise-comparison.pdf?rev=6e0e167e39bf41f383b67eef232479f4" TargetMode="External"/><Relationship Id="rId5" Type="http://schemas.openxmlformats.org/officeDocument/2006/relationships/hyperlink" Target="https://www.ahlawatassociates.com/blog/india-data-centre-policy-by-state" TargetMode="External"/><Relationship Id="rId4" Type="http://schemas.openxmlformats.org/officeDocument/2006/relationships/hyperlink" Target="https://www.ahlawatassociates.com/blog/india-data-centre-policy-by-st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3" width="30" customWidth="1"/>
    <col min="4" max="4" width="9" customWidth="1"/>
    <col min="5" max="5" width="11" customWidth="1"/>
    <col min="6" max="6" width="7" customWidth="1"/>
    <col min="7" max="7" width="11" customWidth="1"/>
    <col min="8" max="9" width="10" customWidth="1"/>
    <col min="10" max="10" width="11" customWidth="1"/>
    <col min="11" max="11" width="9" customWidth="1"/>
    <col min="12" max="12" width="50" customWidth="1"/>
  </cols>
  <sheetData>
    <row r="1" spans="1:12" ht="16.5" x14ac:dyDescent="0.25">
      <c r="A1" s="1" t="s">
        <v>0</v>
      </c>
    </row>
    <row r="2" spans="1:12" ht="30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4" spans="1:12" ht="51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</row>
    <row r="5" spans="1:12" ht="42" customHeight="1" x14ac:dyDescent="0.25">
      <c r="A5" s="3" t="s">
        <v>14</v>
      </c>
      <c r="B5" s="3" t="s">
        <v>15</v>
      </c>
      <c r="C5" s="3" t="s">
        <v>16</v>
      </c>
      <c r="D5" s="4"/>
      <c r="E5" s="4">
        <v>108010</v>
      </c>
      <c r="F5" s="4"/>
      <c r="G5" s="4">
        <f>SUMIFS(AP_Project_GOs!$F$5:$F$58,AP_Project_GOs!$A$5:$A$58,A5)</f>
        <v>19101.53</v>
      </c>
      <c r="H5" s="5">
        <f t="shared" ref="H5:H10" si="0">G5/E5</f>
        <v>0.17684964355152299</v>
      </c>
      <c r="I5" s="6" t="str">
        <f>IF(D5="","n/a",G5/D5)</f>
        <v>n/a</v>
      </c>
      <c r="J5" s="4">
        <f>SUMIFS(AP_Project_GOs!$F$5:$F$58,AP_Project_GOs!$A$5:$A$58,A5,AP_Project_GOs!$C$5:$C$58,"Power tariff")+SUMIFS(AP_Project_GOs!$F$5:$F$58,AP_Project_GOs!$A$5:$A$58,A5,AP_Project_GOs!$C$5:$C$58,"Transmission &amp; wheeling")+SUMIFS(AP_Project_GOs!$F$5:$F$58,AP_Project_GOs!$A$5:$A$58,A5,AP_Project_GOs!$C$5:$C$58,"Electricity duty")+SUMIFS(AP_Project_GOs!$F$5:$F$58,AP_Project_GOs!$A$5:$A$58,A5,AP_Project_GOs!$C$5:$C$58,"Cross-subsidy surcharge")+SUMIFS(AP_Project_GOs!$F$5:$F$58,AP_Project_GOs!$A$5:$A$58,A5,AP_Project_GOs!$C$5:$C$58,"RE / green power charges")+SUMIFS(AP_Project_GOs!$F$5:$F$58,AP_Project_GOs!$A$5:$A$58,A5,AP_Project_GOs!$C$5:$C$58,"Grid / electrical infra")</f>
        <v>8301.0300000000007</v>
      </c>
      <c r="K5" s="7">
        <f t="shared" ref="K5:K10" si="1">J5/G5</f>
        <v>0.43457408909129275</v>
      </c>
      <c r="L5" s="3" t="s">
        <v>17</v>
      </c>
    </row>
    <row r="6" spans="1:12" ht="42" customHeight="1" x14ac:dyDescent="0.25">
      <c r="A6" s="3" t="s">
        <v>18</v>
      </c>
      <c r="B6" s="3" t="s">
        <v>19</v>
      </c>
      <c r="C6" s="3" t="s">
        <v>20</v>
      </c>
      <c r="D6" s="4">
        <v>1000</v>
      </c>
      <c r="E6" s="4">
        <v>87520</v>
      </c>
      <c r="F6" s="4"/>
      <c r="G6" s="8">
        <v>22002</v>
      </c>
      <c r="H6" s="5">
        <f t="shared" si="0"/>
        <v>0.25139396709323586</v>
      </c>
      <c r="I6" s="6">
        <f>IF(D6="","n/a",G6/D6)</f>
        <v>22.001999999999999</v>
      </c>
      <c r="J6" s="4">
        <f>SUMIFS(AP_Project_GOs!$F$5:$F$58,AP_Project_GOs!$A$5:$A$58,A6,AP_Project_GOs!$C$5:$C$58,"Power tariff")+SUMIFS(AP_Project_GOs!$F$5:$F$58,AP_Project_GOs!$A$5:$A$58,A6,AP_Project_GOs!$C$5:$C$58,"Transmission &amp; wheeling")+SUMIFS(AP_Project_GOs!$F$5:$F$58,AP_Project_GOs!$A$5:$A$58,A6,AP_Project_GOs!$C$5:$C$58,"Electricity duty")+SUMIFS(AP_Project_GOs!$F$5:$F$58,AP_Project_GOs!$A$5:$A$58,A6,AP_Project_GOs!$C$5:$C$58,"Cross-subsidy surcharge")+SUMIFS(AP_Project_GOs!$F$5:$F$58,AP_Project_GOs!$A$5:$A$58,A6,AP_Project_GOs!$C$5:$C$58,"RE / green power charges")+SUMIFS(AP_Project_GOs!$F$5:$F$58,AP_Project_GOs!$A$5:$A$58,A6,AP_Project_GOs!$C$5:$C$58,"Grid / electrical infra")</f>
        <v>4800</v>
      </c>
      <c r="K6" s="7">
        <f t="shared" si="1"/>
        <v>0.21816198527406599</v>
      </c>
      <c r="L6" s="3" t="s">
        <v>21</v>
      </c>
    </row>
    <row r="7" spans="1:12" ht="42" customHeight="1" x14ac:dyDescent="0.25">
      <c r="A7" s="3" t="s">
        <v>22</v>
      </c>
      <c r="B7" s="3" t="s">
        <v>23</v>
      </c>
      <c r="C7" s="3" t="s">
        <v>24</v>
      </c>
      <c r="D7" s="4">
        <v>1000</v>
      </c>
      <c r="E7" s="4">
        <v>85200</v>
      </c>
      <c r="F7" s="4">
        <v>1880</v>
      </c>
      <c r="G7" s="4">
        <f>SUMIFS(AP_Project_GOs!$F$5:$F$58,AP_Project_GOs!$A$5:$A$58,A7)</f>
        <v>14405</v>
      </c>
      <c r="H7" s="5">
        <f t="shared" si="0"/>
        <v>0.16907276995305165</v>
      </c>
      <c r="I7" s="6">
        <f>IF(D7="","n/a",G7/D7)</f>
        <v>14.404999999999999</v>
      </c>
      <c r="J7" s="4">
        <f>SUMIFS(AP_Project_GOs!$F$5:$F$58,AP_Project_GOs!$A$5:$A$58,A7,AP_Project_GOs!$C$5:$C$58,"Power tariff")+SUMIFS(AP_Project_GOs!$F$5:$F$58,AP_Project_GOs!$A$5:$A$58,A7,AP_Project_GOs!$C$5:$C$58,"Transmission &amp; wheeling")+SUMIFS(AP_Project_GOs!$F$5:$F$58,AP_Project_GOs!$A$5:$A$58,A7,AP_Project_GOs!$C$5:$C$58,"Electricity duty")+SUMIFS(AP_Project_GOs!$F$5:$F$58,AP_Project_GOs!$A$5:$A$58,A7,AP_Project_GOs!$C$5:$C$58,"Cross-subsidy surcharge")+SUMIFS(AP_Project_GOs!$F$5:$F$58,AP_Project_GOs!$A$5:$A$58,A7,AP_Project_GOs!$C$5:$C$58,"RE / green power charges")+SUMIFS(AP_Project_GOs!$F$5:$F$58,AP_Project_GOs!$A$5:$A$58,A7,AP_Project_GOs!$C$5:$C$58,"Grid / electrical infra")</f>
        <v>5700</v>
      </c>
      <c r="K7" s="7">
        <f t="shared" si="1"/>
        <v>0.39569593891010069</v>
      </c>
      <c r="L7" s="3" t="s">
        <v>25</v>
      </c>
    </row>
    <row r="8" spans="1:12" ht="42" customHeight="1" x14ac:dyDescent="0.25">
      <c r="A8" s="3" t="s">
        <v>26</v>
      </c>
      <c r="B8" s="3" t="s">
        <v>27</v>
      </c>
      <c r="C8" s="3" t="s">
        <v>28</v>
      </c>
      <c r="D8" s="4">
        <v>486</v>
      </c>
      <c r="E8" s="4">
        <v>58743</v>
      </c>
      <c r="F8" s="4">
        <v>1250</v>
      </c>
      <c r="G8" s="4">
        <f>SUMIFS(AP_Project_GOs!$F$5:$F$58,AP_Project_GOs!$A$5:$A$58,A8)</f>
        <v>9966.2200000000012</v>
      </c>
      <c r="H8" s="5">
        <f t="shared" si="0"/>
        <v>0.16965800180447033</v>
      </c>
      <c r="I8" s="6">
        <f>IF(D8="","n/a",G8/D8)</f>
        <v>20.506625514403293</v>
      </c>
      <c r="J8" s="4">
        <f>SUMIFS(AP_Project_GOs!$F$5:$F$58,AP_Project_GOs!$A$5:$A$58,A8,AP_Project_GOs!$C$5:$C$58,"Power tariff")+SUMIFS(AP_Project_GOs!$F$5:$F$58,AP_Project_GOs!$A$5:$A$58,A8,AP_Project_GOs!$C$5:$C$58,"Transmission &amp; wheeling")+SUMIFS(AP_Project_GOs!$F$5:$F$58,AP_Project_GOs!$A$5:$A$58,A8,AP_Project_GOs!$C$5:$C$58,"Electricity duty")+SUMIFS(AP_Project_GOs!$F$5:$F$58,AP_Project_GOs!$A$5:$A$58,A8,AP_Project_GOs!$C$5:$C$58,"Cross-subsidy surcharge")+SUMIFS(AP_Project_GOs!$F$5:$F$58,AP_Project_GOs!$A$5:$A$58,A8,AP_Project_GOs!$C$5:$C$58,"RE / green power charges")+SUMIFS(AP_Project_GOs!$F$5:$F$58,AP_Project_GOs!$A$5:$A$58,A8,AP_Project_GOs!$C$5:$C$58,"Grid / electrical infra")</f>
        <v>6348.36</v>
      </c>
      <c r="K8" s="7">
        <f t="shared" si="1"/>
        <v>0.63698774460126295</v>
      </c>
      <c r="L8" s="3" t="s">
        <v>29</v>
      </c>
    </row>
    <row r="9" spans="1:12" ht="42" customHeight="1" x14ac:dyDescent="0.25">
      <c r="A9" s="3" t="s">
        <v>30</v>
      </c>
      <c r="B9" s="3" t="s">
        <v>31</v>
      </c>
      <c r="C9" s="3" t="s">
        <v>32</v>
      </c>
      <c r="D9" s="4">
        <v>512</v>
      </c>
      <c r="E9" s="4">
        <v>31387</v>
      </c>
      <c r="F9" s="4">
        <v>1000</v>
      </c>
      <c r="G9" s="4">
        <f>SUMIFS(AP_Project_GOs!$F$5:$F$58,AP_Project_GOs!$A$5:$A$58,A9)</f>
        <v>5176</v>
      </c>
      <c r="H9" s="5">
        <f t="shared" si="0"/>
        <v>0.16490903877401472</v>
      </c>
      <c r="I9" s="6">
        <f>IF(D9="","n/a",G9/D9)</f>
        <v>10.109375</v>
      </c>
      <c r="J9" s="4">
        <f>SUMIFS(AP_Project_GOs!$F$5:$F$58,AP_Project_GOs!$A$5:$A$58,A9,AP_Project_GOs!$C$5:$C$58,"Power tariff")+SUMIFS(AP_Project_GOs!$F$5:$F$58,AP_Project_GOs!$A$5:$A$58,A9,AP_Project_GOs!$C$5:$C$58,"Transmission &amp; wheeling")+SUMIFS(AP_Project_GOs!$F$5:$F$58,AP_Project_GOs!$A$5:$A$58,A9,AP_Project_GOs!$C$5:$C$58,"Electricity duty")+SUMIFS(AP_Project_GOs!$F$5:$F$58,AP_Project_GOs!$A$5:$A$58,A9,AP_Project_GOs!$C$5:$C$58,"Cross-subsidy surcharge")+SUMIFS(AP_Project_GOs!$F$5:$F$58,AP_Project_GOs!$A$5:$A$58,A9,AP_Project_GOs!$C$5:$C$58,"RE / green power charges")+SUMIFS(AP_Project_GOs!$F$5:$F$58,AP_Project_GOs!$A$5:$A$58,A9,AP_Project_GOs!$C$5:$C$58,"Grid / electrical infra")</f>
        <v>4340</v>
      </c>
      <c r="K9" s="7">
        <f t="shared" si="1"/>
        <v>0.83848531684698613</v>
      </c>
      <c r="L9" s="3" t="s">
        <v>33</v>
      </c>
    </row>
    <row r="10" spans="1:12" ht="24" x14ac:dyDescent="0.25">
      <c r="A10" s="9" t="s">
        <v>34</v>
      </c>
      <c r="D10" s="10">
        <f>SUM(D5:D9)</f>
        <v>2998</v>
      </c>
      <c r="E10" s="10">
        <f>SUM(E5:E9)</f>
        <v>370860</v>
      </c>
      <c r="F10" s="10">
        <f>SUM(F5:F9)</f>
        <v>4130</v>
      </c>
      <c r="G10" s="10">
        <f>SUM(G5:G9)</f>
        <v>70650.75</v>
      </c>
      <c r="H10" s="11">
        <f t="shared" si="0"/>
        <v>0.19050517715580004</v>
      </c>
      <c r="J10" s="10">
        <f>SUM(J5:J9)</f>
        <v>29489.39</v>
      </c>
      <c r="K10" s="12">
        <f t="shared" si="1"/>
        <v>0.41739670137967394</v>
      </c>
      <c r="L10" s="13" t="s">
        <v>35</v>
      </c>
    </row>
    <row r="12" spans="1:12" x14ac:dyDescent="0.25">
      <c r="A12" s="22" t="s">
        <v>36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 ht="27.95" customHeight="1" x14ac:dyDescent="0.25">
      <c r="A13" s="21" t="s">
        <v>37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1:12" ht="27.95" customHeight="1" x14ac:dyDescent="0.25">
      <c r="A14" s="21" t="s">
        <v>38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 ht="27.95" customHeight="1" x14ac:dyDescent="0.25">
      <c r="A15" s="21" t="s">
        <v>39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1:12" ht="27.95" customHeight="1" x14ac:dyDescent="0.25">
      <c r="A16" s="21" t="s">
        <v>40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1:12" ht="27.95" customHeight="1" x14ac:dyDescent="0.25">
      <c r="A17" s="21" t="s">
        <v>41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</sheetData>
  <mergeCells count="7">
    <mergeCell ref="A17:L17"/>
    <mergeCell ref="A12:L12"/>
    <mergeCell ref="A2:L2"/>
    <mergeCell ref="A16:L16"/>
    <mergeCell ref="A15:L15"/>
    <mergeCell ref="A13:L13"/>
    <mergeCell ref="A14:L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6" customWidth="1"/>
    <col min="2" max="2" width="30" customWidth="1"/>
    <col min="3" max="3" width="20" customWidth="1"/>
    <col min="4" max="4" width="62" customWidth="1"/>
    <col min="5" max="5" width="8" customWidth="1"/>
    <col min="6" max="6" width="11" customWidth="1"/>
    <col min="7" max="7" width="8" customWidth="1"/>
    <col min="8" max="8" width="6" customWidth="1"/>
    <col min="9" max="9" width="34" customWidth="1"/>
  </cols>
  <sheetData>
    <row r="1" spans="1:9" ht="16.5" x14ac:dyDescent="0.25">
      <c r="A1" s="1" t="s">
        <v>42</v>
      </c>
    </row>
    <row r="2" spans="1:9" ht="30" customHeight="1" x14ac:dyDescent="0.25">
      <c r="A2" s="19" t="s">
        <v>43</v>
      </c>
      <c r="B2" s="20"/>
      <c r="C2" s="20"/>
      <c r="D2" s="20"/>
      <c r="E2" s="20"/>
      <c r="F2" s="20"/>
      <c r="G2" s="20"/>
      <c r="H2" s="20"/>
      <c r="I2" s="20"/>
    </row>
    <row r="4" spans="1:9" ht="25.5" x14ac:dyDescent="0.25">
      <c r="A4" s="2" t="s">
        <v>2</v>
      </c>
      <c r="B4" s="2" t="s">
        <v>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</row>
    <row r="5" spans="1:9" ht="36" x14ac:dyDescent="0.25">
      <c r="A5" s="3" t="s">
        <v>14</v>
      </c>
      <c r="B5" s="3" t="s">
        <v>15</v>
      </c>
      <c r="C5" s="3" t="s">
        <v>51</v>
      </c>
      <c r="D5" s="3" t="s">
        <v>52</v>
      </c>
      <c r="E5" s="3"/>
      <c r="F5" s="6"/>
      <c r="G5" s="4"/>
      <c r="H5" s="14" t="s">
        <v>53</v>
      </c>
      <c r="I5" s="15" t="s">
        <v>54</v>
      </c>
    </row>
    <row r="6" spans="1:9" ht="36" x14ac:dyDescent="0.25">
      <c r="A6" s="3" t="s">
        <v>14</v>
      </c>
      <c r="B6" s="3" t="s">
        <v>15</v>
      </c>
      <c r="C6" s="3" t="s">
        <v>55</v>
      </c>
      <c r="D6" s="3" t="s">
        <v>56</v>
      </c>
      <c r="E6" s="3"/>
      <c r="F6" s="6"/>
      <c r="G6" s="4"/>
      <c r="H6" s="14" t="s">
        <v>53</v>
      </c>
      <c r="I6" s="15" t="s">
        <v>54</v>
      </c>
    </row>
    <row r="7" spans="1:9" ht="36" x14ac:dyDescent="0.25">
      <c r="A7" s="3" t="s">
        <v>14</v>
      </c>
      <c r="B7" s="3" t="s">
        <v>15</v>
      </c>
      <c r="C7" s="3" t="s">
        <v>57</v>
      </c>
      <c r="D7" s="3" t="s">
        <v>58</v>
      </c>
      <c r="E7" s="3">
        <v>10</v>
      </c>
      <c r="F7" s="6">
        <v>4500</v>
      </c>
      <c r="G7" s="4"/>
      <c r="H7" s="14" t="s">
        <v>53</v>
      </c>
      <c r="I7" s="15" t="s">
        <v>54</v>
      </c>
    </row>
    <row r="8" spans="1:9" ht="36" x14ac:dyDescent="0.25">
      <c r="A8" s="3" t="s">
        <v>14</v>
      </c>
      <c r="B8" s="3" t="s">
        <v>15</v>
      </c>
      <c r="C8" s="3" t="s">
        <v>59</v>
      </c>
      <c r="D8" s="3" t="s">
        <v>60</v>
      </c>
      <c r="E8" s="3">
        <v>10</v>
      </c>
      <c r="F8" s="6">
        <v>2527.38</v>
      </c>
      <c r="G8" s="4"/>
      <c r="H8" s="14" t="s">
        <v>53</v>
      </c>
      <c r="I8" s="15" t="s">
        <v>54</v>
      </c>
    </row>
    <row r="9" spans="1:9" ht="36" x14ac:dyDescent="0.25">
      <c r="A9" s="3" t="s">
        <v>14</v>
      </c>
      <c r="B9" s="3" t="s">
        <v>15</v>
      </c>
      <c r="C9" s="3" t="s">
        <v>59</v>
      </c>
      <c r="D9" s="3" t="s">
        <v>61</v>
      </c>
      <c r="E9" s="3">
        <v>10</v>
      </c>
      <c r="F9" s="6">
        <v>1800</v>
      </c>
      <c r="G9" s="4"/>
      <c r="H9" s="14" t="s">
        <v>53</v>
      </c>
      <c r="I9" s="15" t="s">
        <v>54</v>
      </c>
    </row>
    <row r="10" spans="1:9" ht="36" x14ac:dyDescent="0.25">
      <c r="A10" s="3" t="s">
        <v>14</v>
      </c>
      <c r="B10" s="3" t="s">
        <v>15</v>
      </c>
      <c r="C10" s="3" t="s">
        <v>62</v>
      </c>
      <c r="D10" s="3" t="s">
        <v>63</v>
      </c>
      <c r="E10" s="3">
        <v>10</v>
      </c>
      <c r="F10" s="6">
        <v>552.41</v>
      </c>
      <c r="G10" s="4"/>
      <c r="H10" s="14" t="s">
        <v>53</v>
      </c>
      <c r="I10" s="15" t="s">
        <v>54</v>
      </c>
    </row>
    <row r="11" spans="1:9" ht="36" x14ac:dyDescent="0.25">
      <c r="A11" s="3" t="s">
        <v>14</v>
      </c>
      <c r="B11" s="3" t="s">
        <v>15</v>
      </c>
      <c r="C11" s="3" t="s">
        <v>64</v>
      </c>
      <c r="D11" s="3" t="s">
        <v>65</v>
      </c>
      <c r="E11" s="3">
        <v>20</v>
      </c>
      <c r="F11" s="6">
        <v>1220.71</v>
      </c>
      <c r="G11" s="4"/>
      <c r="H11" s="14" t="s">
        <v>53</v>
      </c>
      <c r="I11" s="15" t="s">
        <v>54</v>
      </c>
    </row>
    <row r="12" spans="1:9" ht="36" x14ac:dyDescent="0.25">
      <c r="A12" s="3" t="s">
        <v>14</v>
      </c>
      <c r="B12" s="3" t="s">
        <v>15</v>
      </c>
      <c r="C12" s="3" t="s">
        <v>64</v>
      </c>
      <c r="D12" s="3" t="s">
        <v>66</v>
      </c>
      <c r="E12" s="3">
        <v>20</v>
      </c>
      <c r="F12" s="6">
        <v>200</v>
      </c>
      <c r="G12" s="4"/>
      <c r="H12" s="14" t="s">
        <v>53</v>
      </c>
      <c r="I12" s="15" t="s">
        <v>54</v>
      </c>
    </row>
    <row r="13" spans="1:9" ht="36" x14ac:dyDescent="0.25">
      <c r="A13" s="3" t="s">
        <v>14</v>
      </c>
      <c r="B13" s="3" t="s">
        <v>15</v>
      </c>
      <c r="C13" s="3" t="s">
        <v>67</v>
      </c>
      <c r="D13" s="3" t="s">
        <v>68</v>
      </c>
      <c r="E13" s="3">
        <v>15</v>
      </c>
      <c r="F13" s="6">
        <v>3114.18</v>
      </c>
      <c r="G13" s="4"/>
      <c r="H13" s="14" t="s">
        <v>53</v>
      </c>
      <c r="I13" s="15" t="s">
        <v>54</v>
      </c>
    </row>
    <row r="14" spans="1:9" ht="36" x14ac:dyDescent="0.25">
      <c r="A14" s="3" t="s">
        <v>14</v>
      </c>
      <c r="B14" s="3" t="s">
        <v>15</v>
      </c>
      <c r="C14" s="3" t="s">
        <v>69</v>
      </c>
      <c r="D14" s="3" t="s">
        <v>70</v>
      </c>
      <c r="E14" s="3">
        <v>20</v>
      </c>
      <c r="F14" s="6"/>
      <c r="G14" s="4"/>
      <c r="H14" s="14" t="s">
        <v>53</v>
      </c>
      <c r="I14" s="15" t="s">
        <v>54</v>
      </c>
    </row>
    <row r="15" spans="1:9" ht="36" x14ac:dyDescent="0.25">
      <c r="A15" s="3" t="s">
        <v>14</v>
      </c>
      <c r="B15" s="3" t="s">
        <v>15</v>
      </c>
      <c r="C15" s="3" t="s">
        <v>71</v>
      </c>
      <c r="D15" s="3" t="s">
        <v>72</v>
      </c>
      <c r="E15" s="3">
        <v>20</v>
      </c>
      <c r="F15" s="6">
        <v>5000</v>
      </c>
      <c r="G15" s="4"/>
      <c r="H15" s="14" t="s">
        <v>53</v>
      </c>
      <c r="I15" s="15" t="s">
        <v>54</v>
      </c>
    </row>
    <row r="16" spans="1:9" ht="36" x14ac:dyDescent="0.25">
      <c r="A16" s="3" t="s">
        <v>14</v>
      </c>
      <c r="B16" s="3" t="s">
        <v>15</v>
      </c>
      <c r="C16" s="3" t="s">
        <v>73</v>
      </c>
      <c r="D16" s="3" t="s">
        <v>56</v>
      </c>
      <c r="E16" s="3">
        <v>15</v>
      </c>
      <c r="F16" s="6">
        <v>186.85</v>
      </c>
      <c r="G16" s="4"/>
      <c r="H16" s="14" t="s">
        <v>53</v>
      </c>
      <c r="I16" s="15" t="s">
        <v>54</v>
      </c>
    </row>
    <row r="17" spans="1:9" ht="48" x14ac:dyDescent="0.25">
      <c r="A17" s="3" t="s">
        <v>14</v>
      </c>
      <c r="B17" s="3" t="s">
        <v>15</v>
      </c>
      <c r="C17" s="3" t="s">
        <v>74</v>
      </c>
      <c r="D17" s="3" t="s">
        <v>75</v>
      </c>
      <c r="E17" s="3"/>
      <c r="F17" s="6"/>
      <c r="G17" s="4"/>
      <c r="H17" s="14" t="s">
        <v>53</v>
      </c>
      <c r="I17" s="15" t="s">
        <v>54</v>
      </c>
    </row>
    <row r="18" spans="1:9" ht="48" x14ac:dyDescent="0.25">
      <c r="A18" s="3" t="s">
        <v>18</v>
      </c>
      <c r="B18" s="3" t="s">
        <v>19</v>
      </c>
      <c r="C18" s="3" t="s">
        <v>51</v>
      </c>
      <c r="D18" s="3" t="s">
        <v>76</v>
      </c>
      <c r="E18" s="3"/>
      <c r="F18" s="6"/>
      <c r="G18" s="4">
        <v>1000</v>
      </c>
      <c r="H18" s="16" t="s">
        <v>77</v>
      </c>
      <c r="I18" s="15" t="s">
        <v>78</v>
      </c>
    </row>
    <row r="19" spans="1:9" ht="48" x14ac:dyDescent="0.25">
      <c r="A19" s="3" t="s">
        <v>18</v>
      </c>
      <c r="B19" s="3" t="s">
        <v>19</v>
      </c>
      <c r="C19" s="3" t="s">
        <v>55</v>
      </c>
      <c r="D19" s="3" t="s">
        <v>79</v>
      </c>
      <c r="E19" s="3"/>
      <c r="F19" s="6">
        <v>23.2</v>
      </c>
      <c r="G19" s="4">
        <v>1000</v>
      </c>
      <c r="H19" s="16" t="s">
        <v>77</v>
      </c>
      <c r="I19" s="15" t="s">
        <v>78</v>
      </c>
    </row>
    <row r="20" spans="1:9" ht="48" x14ac:dyDescent="0.25">
      <c r="A20" s="3" t="s">
        <v>18</v>
      </c>
      <c r="B20" s="3" t="s">
        <v>19</v>
      </c>
      <c r="C20" s="3" t="s">
        <v>57</v>
      </c>
      <c r="D20" s="3" t="s">
        <v>80</v>
      </c>
      <c r="E20" s="3">
        <v>10</v>
      </c>
      <c r="F20" s="6">
        <v>2129</v>
      </c>
      <c r="G20" s="4">
        <v>1000</v>
      </c>
      <c r="H20" s="16" t="s">
        <v>77</v>
      </c>
      <c r="I20" s="15" t="s">
        <v>78</v>
      </c>
    </row>
    <row r="21" spans="1:9" ht="48" x14ac:dyDescent="0.25">
      <c r="A21" s="3" t="s">
        <v>18</v>
      </c>
      <c r="B21" s="3" t="s">
        <v>19</v>
      </c>
      <c r="C21" s="3" t="s">
        <v>59</v>
      </c>
      <c r="D21" s="3" t="s">
        <v>81</v>
      </c>
      <c r="E21" s="3">
        <v>10</v>
      </c>
      <c r="F21" s="6">
        <v>3990</v>
      </c>
      <c r="G21" s="4">
        <v>1000</v>
      </c>
      <c r="H21" s="16" t="s">
        <v>77</v>
      </c>
      <c r="I21" s="15" t="s">
        <v>78</v>
      </c>
    </row>
    <row r="22" spans="1:9" ht="48" x14ac:dyDescent="0.25">
      <c r="A22" s="3" t="s">
        <v>18</v>
      </c>
      <c r="B22" s="3" t="s">
        <v>19</v>
      </c>
      <c r="C22" s="3" t="s">
        <v>67</v>
      </c>
      <c r="D22" s="3" t="s">
        <v>82</v>
      </c>
      <c r="E22" s="3">
        <v>15</v>
      </c>
      <c r="F22" s="6">
        <v>4800</v>
      </c>
      <c r="G22" s="4">
        <v>1000</v>
      </c>
      <c r="H22" s="16" t="s">
        <v>77</v>
      </c>
      <c r="I22" s="15" t="s">
        <v>78</v>
      </c>
    </row>
    <row r="23" spans="1:9" ht="48" x14ac:dyDescent="0.25">
      <c r="A23" s="3" t="s">
        <v>18</v>
      </c>
      <c r="B23" s="3" t="s">
        <v>19</v>
      </c>
      <c r="C23" s="3" t="s">
        <v>73</v>
      </c>
      <c r="D23" s="3" t="s">
        <v>83</v>
      </c>
      <c r="E23" s="3">
        <v>20</v>
      </c>
      <c r="F23" s="6"/>
      <c r="G23" s="4">
        <v>1000</v>
      </c>
      <c r="H23" s="16" t="s">
        <v>77</v>
      </c>
      <c r="I23" s="15" t="s">
        <v>78</v>
      </c>
    </row>
    <row r="24" spans="1:9" ht="48" x14ac:dyDescent="0.25">
      <c r="A24" s="3" t="s">
        <v>18</v>
      </c>
      <c r="B24" s="3" t="s">
        <v>19</v>
      </c>
      <c r="C24" s="3" t="s">
        <v>71</v>
      </c>
      <c r="D24" s="3" t="s">
        <v>84</v>
      </c>
      <c r="E24" s="3">
        <v>20</v>
      </c>
      <c r="F24" s="6"/>
      <c r="G24" s="4">
        <v>1000</v>
      </c>
      <c r="H24" s="16" t="s">
        <v>77</v>
      </c>
      <c r="I24" s="15" t="s">
        <v>78</v>
      </c>
    </row>
    <row r="25" spans="1:9" ht="48" x14ac:dyDescent="0.25">
      <c r="A25" s="3" t="s">
        <v>18</v>
      </c>
      <c r="B25" s="3" t="s">
        <v>19</v>
      </c>
      <c r="C25" s="3" t="s">
        <v>69</v>
      </c>
      <c r="D25" s="3" t="s">
        <v>85</v>
      </c>
      <c r="E25" s="3">
        <v>20</v>
      </c>
      <c r="F25" s="6"/>
      <c r="G25" s="4">
        <v>1000</v>
      </c>
      <c r="H25" s="16" t="s">
        <v>77</v>
      </c>
      <c r="I25" s="15" t="s">
        <v>78</v>
      </c>
    </row>
    <row r="26" spans="1:9" ht="48" x14ac:dyDescent="0.25">
      <c r="A26" s="3" t="s">
        <v>18</v>
      </c>
      <c r="B26" s="3" t="s">
        <v>19</v>
      </c>
      <c r="C26" s="3" t="s">
        <v>62</v>
      </c>
      <c r="D26" s="3" t="s">
        <v>86</v>
      </c>
      <c r="E26" s="3">
        <v>10</v>
      </c>
      <c r="F26" s="6"/>
      <c r="G26" s="4">
        <v>1000</v>
      </c>
      <c r="H26" s="16" t="s">
        <v>77</v>
      </c>
      <c r="I26" s="15" t="s">
        <v>78</v>
      </c>
    </row>
    <row r="27" spans="1:9" ht="48" x14ac:dyDescent="0.25">
      <c r="A27" s="3" t="s">
        <v>18</v>
      </c>
      <c r="B27" s="3" t="s">
        <v>19</v>
      </c>
      <c r="C27" s="3" t="s">
        <v>87</v>
      </c>
      <c r="D27" s="9" t="s">
        <v>88</v>
      </c>
      <c r="E27" s="3"/>
      <c r="F27" s="6"/>
      <c r="G27" s="4">
        <v>1000</v>
      </c>
      <c r="H27" s="16" t="s">
        <v>77</v>
      </c>
      <c r="I27" s="15" t="s">
        <v>78</v>
      </c>
    </row>
    <row r="28" spans="1:9" ht="60" x14ac:dyDescent="0.25">
      <c r="A28" s="3" t="s">
        <v>18</v>
      </c>
      <c r="B28" s="3" t="s">
        <v>19</v>
      </c>
      <c r="C28" s="3" t="s">
        <v>74</v>
      </c>
      <c r="D28" s="3" t="s">
        <v>89</v>
      </c>
      <c r="E28" s="3"/>
      <c r="F28" s="6"/>
      <c r="G28" s="4">
        <v>1000</v>
      </c>
      <c r="H28" s="16" t="s">
        <v>77</v>
      </c>
      <c r="I28" s="15" t="s">
        <v>78</v>
      </c>
    </row>
    <row r="29" spans="1:9" ht="36" x14ac:dyDescent="0.25">
      <c r="A29" s="3" t="s">
        <v>22</v>
      </c>
      <c r="B29" s="3" t="s">
        <v>23</v>
      </c>
      <c r="C29" s="3" t="s">
        <v>51</v>
      </c>
      <c r="D29" s="3" t="s">
        <v>90</v>
      </c>
      <c r="E29" s="3"/>
      <c r="F29" s="6"/>
      <c r="G29" s="4">
        <v>1000</v>
      </c>
      <c r="H29" s="14" t="s">
        <v>53</v>
      </c>
      <c r="I29" s="15" t="s">
        <v>91</v>
      </c>
    </row>
    <row r="30" spans="1:9" ht="36" x14ac:dyDescent="0.25">
      <c r="A30" s="3" t="s">
        <v>22</v>
      </c>
      <c r="B30" s="3" t="s">
        <v>23</v>
      </c>
      <c r="C30" s="3" t="s">
        <v>55</v>
      </c>
      <c r="D30" s="3" t="s">
        <v>92</v>
      </c>
      <c r="E30" s="3"/>
      <c r="F30" s="6">
        <v>5</v>
      </c>
      <c r="G30" s="4">
        <v>1000</v>
      </c>
      <c r="H30" s="14" t="s">
        <v>53</v>
      </c>
      <c r="I30" s="15" t="s">
        <v>91</v>
      </c>
    </row>
    <row r="31" spans="1:9" ht="36" x14ac:dyDescent="0.25">
      <c r="A31" s="3" t="s">
        <v>22</v>
      </c>
      <c r="B31" s="3" t="s">
        <v>23</v>
      </c>
      <c r="C31" s="3" t="s">
        <v>57</v>
      </c>
      <c r="D31" s="3" t="s">
        <v>93</v>
      </c>
      <c r="E31" s="3">
        <v>10</v>
      </c>
      <c r="F31" s="6">
        <v>3700</v>
      </c>
      <c r="G31" s="4">
        <v>1000</v>
      </c>
      <c r="H31" s="14" t="s">
        <v>53</v>
      </c>
      <c r="I31" s="15" t="s">
        <v>91</v>
      </c>
    </row>
    <row r="32" spans="1:9" ht="36" x14ac:dyDescent="0.25">
      <c r="A32" s="3" t="s">
        <v>22</v>
      </c>
      <c r="B32" s="3" t="s">
        <v>23</v>
      </c>
      <c r="C32" s="3" t="s">
        <v>59</v>
      </c>
      <c r="D32" s="3" t="s">
        <v>94</v>
      </c>
      <c r="E32" s="3">
        <v>10</v>
      </c>
      <c r="F32" s="6">
        <v>5000</v>
      </c>
      <c r="G32" s="4">
        <v>1000</v>
      </c>
      <c r="H32" s="14" t="s">
        <v>53</v>
      </c>
      <c r="I32" s="15" t="s">
        <v>91</v>
      </c>
    </row>
    <row r="33" spans="1:9" ht="36" x14ac:dyDescent="0.25">
      <c r="A33" s="3" t="s">
        <v>22</v>
      </c>
      <c r="B33" s="3" t="s">
        <v>23</v>
      </c>
      <c r="C33" s="3" t="s">
        <v>67</v>
      </c>
      <c r="D33" s="3" t="s">
        <v>95</v>
      </c>
      <c r="E33" s="3">
        <v>15</v>
      </c>
      <c r="F33" s="6">
        <v>2500</v>
      </c>
      <c r="G33" s="4">
        <v>1000</v>
      </c>
      <c r="H33" s="14" t="s">
        <v>53</v>
      </c>
      <c r="I33" s="15" t="s">
        <v>91</v>
      </c>
    </row>
    <row r="34" spans="1:9" ht="36" x14ac:dyDescent="0.25">
      <c r="A34" s="3" t="s">
        <v>22</v>
      </c>
      <c r="B34" s="3" t="s">
        <v>23</v>
      </c>
      <c r="C34" s="3" t="s">
        <v>71</v>
      </c>
      <c r="D34" s="3" t="s">
        <v>96</v>
      </c>
      <c r="E34" s="3">
        <v>20</v>
      </c>
      <c r="F34" s="6">
        <v>3000</v>
      </c>
      <c r="G34" s="4">
        <v>1000</v>
      </c>
      <c r="H34" s="14" t="s">
        <v>53</v>
      </c>
      <c r="I34" s="15" t="s">
        <v>91</v>
      </c>
    </row>
    <row r="35" spans="1:9" ht="36" x14ac:dyDescent="0.25">
      <c r="A35" s="3" t="s">
        <v>22</v>
      </c>
      <c r="B35" s="3" t="s">
        <v>23</v>
      </c>
      <c r="C35" s="3" t="s">
        <v>73</v>
      </c>
      <c r="D35" s="3" t="s">
        <v>56</v>
      </c>
      <c r="E35" s="3">
        <v>20</v>
      </c>
      <c r="F35" s="6">
        <v>200</v>
      </c>
      <c r="G35" s="4">
        <v>1000</v>
      </c>
      <c r="H35" s="14" t="s">
        <v>53</v>
      </c>
      <c r="I35" s="15" t="s">
        <v>91</v>
      </c>
    </row>
    <row r="36" spans="1:9" ht="36" x14ac:dyDescent="0.25">
      <c r="A36" s="3" t="s">
        <v>22</v>
      </c>
      <c r="B36" s="3" t="s">
        <v>23</v>
      </c>
      <c r="C36" s="3" t="s">
        <v>74</v>
      </c>
      <c r="D36" s="3" t="s">
        <v>97</v>
      </c>
      <c r="E36" s="3"/>
      <c r="F36" s="6"/>
      <c r="G36" s="4">
        <v>1000</v>
      </c>
      <c r="H36" s="14" t="s">
        <v>53</v>
      </c>
      <c r="I36" s="15" t="s">
        <v>91</v>
      </c>
    </row>
    <row r="37" spans="1:9" ht="36" x14ac:dyDescent="0.25">
      <c r="A37" s="3" t="s">
        <v>26</v>
      </c>
      <c r="B37" s="3" t="s">
        <v>27</v>
      </c>
      <c r="C37" s="3" t="s">
        <v>51</v>
      </c>
      <c r="D37" s="3" t="s">
        <v>98</v>
      </c>
      <c r="E37" s="3"/>
      <c r="F37" s="6">
        <v>30</v>
      </c>
      <c r="G37" s="4">
        <v>486</v>
      </c>
      <c r="H37" s="14" t="s">
        <v>53</v>
      </c>
      <c r="I37" s="15" t="s">
        <v>99</v>
      </c>
    </row>
    <row r="38" spans="1:9" ht="36" x14ac:dyDescent="0.25">
      <c r="A38" s="3" t="s">
        <v>26</v>
      </c>
      <c r="B38" s="3" t="s">
        <v>27</v>
      </c>
      <c r="C38" s="3" t="s">
        <v>55</v>
      </c>
      <c r="D38" s="3" t="s">
        <v>100</v>
      </c>
      <c r="E38" s="3"/>
      <c r="F38" s="6">
        <v>7</v>
      </c>
      <c r="G38" s="4">
        <v>486</v>
      </c>
      <c r="H38" s="14" t="s">
        <v>53</v>
      </c>
      <c r="I38" s="15" t="s">
        <v>99</v>
      </c>
    </row>
    <row r="39" spans="1:9" ht="36" x14ac:dyDescent="0.25">
      <c r="A39" s="3" t="s">
        <v>26</v>
      </c>
      <c r="B39" s="3" t="s">
        <v>27</v>
      </c>
      <c r="C39" s="3" t="s">
        <v>57</v>
      </c>
      <c r="D39" s="3" t="s">
        <v>93</v>
      </c>
      <c r="E39" s="3">
        <v>10</v>
      </c>
      <c r="F39" s="6">
        <v>1800</v>
      </c>
      <c r="G39" s="4">
        <v>486</v>
      </c>
      <c r="H39" s="14" t="s">
        <v>53</v>
      </c>
      <c r="I39" s="15" t="s">
        <v>99</v>
      </c>
    </row>
    <row r="40" spans="1:9" ht="36" x14ac:dyDescent="0.25">
      <c r="A40" s="3" t="s">
        <v>26</v>
      </c>
      <c r="B40" s="3" t="s">
        <v>27</v>
      </c>
      <c r="C40" s="3" t="s">
        <v>59</v>
      </c>
      <c r="D40" s="3" t="s">
        <v>101</v>
      </c>
      <c r="E40" s="3">
        <v>10</v>
      </c>
      <c r="F40" s="6">
        <v>703.44</v>
      </c>
      <c r="G40" s="4">
        <v>486</v>
      </c>
      <c r="H40" s="14" t="s">
        <v>53</v>
      </c>
      <c r="I40" s="15" t="s">
        <v>99</v>
      </c>
    </row>
    <row r="41" spans="1:9" ht="36" x14ac:dyDescent="0.25">
      <c r="A41" s="3" t="s">
        <v>26</v>
      </c>
      <c r="B41" s="3" t="s">
        <v>27</v>
      </c>
      <c r="C41" s="3" t="s">
        <v>59</v>
      </c>
      <c r="D41" s="3" t="s">
        <v>102</v>
      </c>
      <c r="E41" s="3">
        <v>10</v>
      </c>
      <c r="F41" s="6">
        <v>848</v>
      </c>
      <c r="G41" s="4">
        <v>486</v>
      </c>
      <c r="H41" s="14" t="s">
        <v>53</v>
      </c>
      <c r="I41" s="15" t="s">
        <v>99</v>
      </c>
    </row>
    <row r="42" spans="1:9" ht="36" x14ac:dyDescent="0.25">
      <c r="A42" s="3" t="s">
        <v>26</v>
      </c>
      <c r="B42" s="3" t="s">
        <v>27</v>
      </c>
      <c r="C42" s="3" t="s">
        <v>62</v>
      </c>
      <c r="D42" s="3" t="s">
        <v>103</v>
      </c>
      <c r="E42" s="3">
        <v>10</v>
      </c>
      <c r="F42" s="6">
        <v>2</v>
      </c>
      <c r="G42" s="4">
        <v>486</v>
      </c>
      <c r="H42" s="14" t="s">
        <v>53</v>
      </c>
      <c r="I42" s="15" t="s">
        <v>99</v>
      </c>
    </row>
    <row r="43" spans="1:9" ht="36" x14ac:dyDescent="0.25">
      <c r="A43" s="3" t="s">
        <v>26</v>
      </c>
      <c r="B43" s="3" t="s">
        <v>27</v>
      </c>
      <c r="C43" s="3" t="s">
        <v>64</v>
      </c>
      <c r="D43" s="3" t="s">
        <v>104</v>
      </c>
      <c r="E43" s="3"/>
      <c r="F43" s="6">
        <v>85</v>
      </c>
      <c r="G43" s="4">
        <v>486</v>
      </c>
      <c r="H43" s="14" t="s">
        <v>53</v>
      </c>
      <c r="I43" s="15" t="s">
        <v>99</v>
      </c>
    </row>
    <row r="44" spans="1:9" ht="36" x14ac:dyDescent="0.25">
      <c r="A44" s="3" t="s">
        <v>26</v>
      </c>
      <c r="B44" s="3" t="s">
        <v>27</v>
      </c>
      <c r="C44" s="3" t="s">
        <v>67</v>
      </c>
      <c r="D44" s="3" t="s">
        <v>95</v>
      </c>
      <c r="E44" s="3">
        <v>15</v>
      </c>
      <c r="F44" s="6">
        <v>4800</v>
      </c>
      <c r="G44" s="4">
        <v>486</v>
      </c>
      <c r="H44" s="14" t="s">
        <v>53</v>
      </c>
      <c r="I44" s="15" t="s">
        <v>99</v>
      </c>
    </row>
    <row r="45" spans="1:9" ht="36" x14ac:dyDescent="0.25">
      <c r="A45" s="3" t="s">
        <v>26</v>
      </c>
      <c r="B45" s="3" t="s">
        <v>27</v>
      </c>
      <c r="C45" s="3" t="s">
        <v>73</v>
      </c>
      <c r="D45" s="3" t="s">
        <v>56</v>
      </c>
      <c r="E45" s="3">
        <v>20</v>
      </c>
      <c r="F45" s="6">
        <v>410.41</v>
      </c>
      <c r="G45" s="4">
        <v>486</v>
      </c>
      <c r="H45" s="14" t="s">
        <v>53</v>
      </c>
      <c r="I45" s="15" t="s">
        <v>99</v>
      </c>
    </row>
    <row r="46" spans="1:9" ht="36" x14ac:dyDescent="0.25">
      <c r="A46" s="3" t="s">
        <v>26</v>
      </c>
      <c r="B46" s="3" t="s">
        <v>27</v>
      </c>
      <c r="C46" s="3" t="s">
        <v>64</v>
      </c>
      <c r="D46" s="3" t="s">
        <v>65</v>
      </c>
      <c r="E46" s="3">
        <v>20</v>
      </c>
      <c r="F46" s="6">
        <v>142.41999999999999</v>
      </c>
      <c r="G46" s="4">
        <v>486</v>
      </c>
      <c r="H46" s="14" t="s">
        <v>53</v>
      </c>
      <c r="I46" s="15" t="s">
        <v>99</v>
      </c>
    </row>
    <row r="47" spans="1:9" ht="36" x14ac:dyDescent="0.25">
      <c r="A47" s="3" t="s">
        <v>26</v>
      </c>
      <c r="B47" s="3" t="s">
        <v>27</v>
      </c>
      <c r="C47" s="3" t="s">
        <v>105</v>
      </c>
      <c r="D47" s="3" t="s">
        <v>106</v>
      </c>
      <c r="E47" s="3">
        <v>20</v>
      </c>
      <c r="F47" s="6">
        <v>983.45</v>
      </c>
      <c r="G47" s="4">
        <v>486</v>
      </c>
      <c r="H47" s="14" t="s">
        <v>53</v>
      </c>
      <c r="I47" s="15" t="s">
        <v>99</v>
      </c>
    </row>
    <row r="48" spans="1:9" ht="36" x14ac:dyDescent="0.25">
      <c r="A48" s="3" t="s">
        <v>26</v>
      </c>
      <c r="B48" s="3" t="s">
        <v>27</v>
      </c>
      <c r="C48" s="3" t="s">
        <v>107</v>
      </c>
      <c r="D48" s="3" t="s">
        <v>108</v>
      </c>
      <c r="E48" s="3"/>
      <c r="F48" s="6">
        <v>150</v>
      </c>
      <c r="G48" s="4">
        <v>486</v>
      </c>
      <c r="H48" s="14" t="s">
        <v>53</v>
      </c>
      <c r="I48" s="15" t="s">
        <v>99</v>
      </c>
    </row>
    <row r="49" spans="1:9" ht="36" x14ac:dyDescent="0.25">
      <c r="A49" s="3" t="s">
        <v>26</v>
      </c>
      <c r="B49" s="3" t="s">
        <v>27</v>
      </c>
      <c r="C49" s="3" t="s">
        <v>107</v>
      </c>
      <c r="D49" s="3" t="s">
        <v>109</v>
      </c>
      <c r="E49" s="3"/>
      <c r="F49" s="6">
        <v>4.5</v>
      </c>
      <c r="G49" s="4">
        <v>486</v>
      </c>
      <c r="H49" s="14" t="s">
        <v>53</v>
      </c>
      <c r="I49" s="15" t="s">
        <v>99</v>
      </c>
    </row>
    <row r="50" spans="1:9" ht="48" x14ac:dyDescent="0.25">
      <c r="A50" s="3" t="s">
        <v>26</v>
      </c>
      <c r="B50" s="3" t="s">
        <v>27</v>
      </c>
      <c r="C50" s="3" t="s">
        <v>74</v>
      </c>
      <c r="D50" s="3" t="s">
        <v>110</v>
      </c>
      <c r="E50" s="3"/>
      <c r="F50" s="6"/>
      <c r="G50" s="4">
        <v>486</v>
      </c>
      <c r="H50" s="14" t="s">
        <v>53</v>
      </c>
      <c r="I50" s="15" t="s">
        <v>99</v>
      </c>
    </row>
    <row r="51" spans="1:9" ht="36" x14ac:dyDescent="0.25">
      <c r="A51" s="3" t="s">
        <v>30</v>
      </c>
      <c r="B51" s="3" t="s">
        <v>31</v>
      </c>
      <c r="C51" s="3" t="s">
        <v>55</v>
      </c>
      <c r="D51" s="3" t="s">
        <v>56</v>
      </c>
      <c r="E51" s="3"/>
      <c r="F51" s="6">
        <v>16</v>
      </c>
      <c r="G51" s="4">
        <v>512</v>
      </c>
      <c r="H51" s="14" t="s">
        <v>53</v>
      </c>
      <c r="I51" s="15" t="s">
        <v>111</v>
      </c>
    </row>
    <row r="52" spans="1:9" ht="36" x14ac:dyDescent="0.25">
      <c r="A52" s="3" t="s">
        <v>30</v>
      </c>
      <c r="B52" s="3" t="s">
        <v>31</v>
      </c>
      <c r="C52" s="3" t="s">
        <v>57</v>
      </c>
      <c r="D52" s="3" t="s">
        <v>112</v>
      </c>
      <c r="E52" s="3">
        <v>10</v>
      </c>
      <c r="F52" s="6">
        <v>300</v>
      </c>
      <c r="G52" s="4">
        <v>512</v>
      </c>
      <c r="H52" s="14" t="s">
        <v>53</v>
      </c>
      <c r="I52" s="15" t="s">
        <v>111</v>
      </c>
    </row>
    <row r="53" spans="1:9" ht="36" x14ac:dyDescent="0.25">
      <c r="A53" s="3" t="s">
        <v>30</v>
      </c>
      <c r="B53" s="3" t="s">
        <v>31</v>
      </c>
      <c r="C53" s="3" t="s">
        <v>59</v>
      </c>
      <c r="D53" s="3" t="s">
        <v>113</v>
      </c>
      <c r="E53" s="3">
        <v>10</v>
      </c>
      <c r="F53" s="6">
        <v>490</v>
      </c>
      <c r="G53" s="4">
        <v>512</v>
      </c>
      <c r="H53" s="14" t="s">
        <v>53</v>
      </c>
      <c r="I53" s="15" t="s">
        <v>111</v>
      </c>
    </row>
    <row r="54" spans="1:9" ht="36" x14ac:dyDescent="0.25">
      <c r="A54" s="3" t="s">
        <v>30</v>
      </c>
      <c r="B54" s="3" t="s">
        <v>31</v>
      </c>
      <c r="C54" s="3" t="s">
        <v>71</v>
      </c>
      <c r="D54" s="3" t="s">
        <v>114</v>
      </c>
      <c r="E54" s="3">
        <v>20</v>
      </c>
      <c r="F54" s="6">
        <v>1250</v>
      </c>
      <c r="G54" s="4">
        <v>512</v>
      </c>
      <c r="H54" s="14" t="s">
        <v>53</v>
      </c>
      <c r="I54" s="15" t="s">
        <v>111</v>
      </c>
    </row>
    <row r="55" spans="1:9" ht="36" x14ac:dyDescent="0.25">
      <c r="A55" s="3" t="s">
        <v>30</v>
      </c>
      <c r="B55" s="3" t="s">
        <v>31</v>
      </c>
      <c r="C55" s="3" t="s">
        <v>73</v>
      </c>
      <c r="D55" s="3" t="s">
        <v>56</v>
      </c>
      <c r="E55" s="3">
        <v>20</v>
      </c>
      <c r="F55" s="6">
        <v>90</v>
      </c>
      <c r="G55" s="4">
        <v>512</v>
      </c>
      <c r="H55" s="14" t="s">
        <v>53</v>
      </c>
      <c r="I55" s="15" t="s">
        <v>111</v>
      </c>
    </row>
    <row r="56" spans="1:9" ht="36" x14ac:dyDescent="0.25">
      <c r="A56" s="3" t="s">
        <v>30</v>
      </c>
      <c r="B56" s="3" t="s">
        <v>31</v>
      </c>
      <c r="C56" s="3" t="s">
        <v>69</v>
      </c>
      <c r="D56" s="3" t="s">
        <v>115</v>
      </c>
      <c r="E56" s="3">
        <v>20</v>
      </c>
      <c r="F56" s="6">
        <v>3000</v>
      </c>
      <c r="G56" s="4">
        <v>512</v>
      </c>
      <c r="H56" s="14" t="s">
        <v>53</v>
      </c>
      <c r="I56" s="15" t="s">
        <v>111</v>
      </c>
    </row>
    <row r="57" spans="1:9" ht="36" x14ac:dyDescent="0.25">
      <c r="A57" s="3" t="s">
        <v>30</v>
      </c>
      <c r="B57" s="3" t="s">
        <v>31</v>
      </c>
      <c r="C57" s="3" t="s">
        <v>64</v>
      </c>
      <c r="D57" s="3" t="s">
        <v>116</v>
      </c>
      <c r="E57" s="3">
        <v>20</v>
      </c>
      <c r="F57" s="6">
        <v>30</v>
      </c>
      <c r="G57" s="4">
        <v>512</v>
      </c>
      <c r="H57" s="14" t="s">
        <v>53</v>
      </c>
      <c r="I57" s="15" t="s">
        <v>111</v>
      </c>
    </row>
    <row r="58" spans="1:9" ht="36" x14ac:dyDescent="0.25">
      <c r="A58" s="3" t="s">
        <v>30</v>
      </c>
      <c r="B58" s="3" t="s">
        <v>31</v>
      </c>
      <c r="C58" s="3" t="s">
        <v>74</v>
      </c>
      <c r="D58" s="3" t="s">
        <v>117</v>
      </c>
      <c r="E58" s="3"/>
      <c r="F58" s="6"/>
      <c r="G58" s="4">
        <v>512</v>
      </c>
      <c r="H58" s="14" t="s">
        <v>53</v>
      </c>
      <c r="I58" s="15" t="s">
        <v>111</v>
      </c>
    </row>
  </sheetData>
  <autoFilter ref="A4:I58" xr:uid="{00000000-0009-0000-0000-000001000000}"/>
  <mergeCells count="1">
    <mergeCell ref="A2:I2"/>
  </mergeCells>
  <hyperlinks>
    <hyperlink ref="I5" r:id="rId1" xr:uid="{00000000-0004-0000-0100-000000000000}"/>
    <hyperlink ref="I6" r:id="rId2" xr:uid="{00000000-0004-0000-0100-000001000000}"/>
    <hyperlink ref="I7" r:id="rId3" xr:uid="{00000000-0004-0000-0100-000002000000}"/>
    <hyperlink ref="I8" r:id="rId4" xr:uid="{00000000-0004-0000-0100-000003000000}"/>
    <hyperlink ref="I9" r:id="rId5" xr:uid="{00000000-0004-0000-0100-000004000000}"/>
    <hyperlink ref="I10" r:id="rId6" xr:uid="{00000000-0004-0000-0100-000005000000}"/>
    <hyperlink ref="I11" r:id="rId7" xr:uid="{00000000-0004-0000-0100-000006000000}"/>
    <hyperlink ref="I12" r:id="rId8" xr:uid="{00000000-0004-0000-0100-000007000000}"/>
    <hyperlink ref="I13" r:id="rId9" xr:uid="{00000000-0004-0000-0100-000008000000}"/>
    <hyperlink ref="I14" r:id="rId10" xr:uid="{00000000-0004-0000-0100-000009000000}"/>
    <hyperlink ref="I15" r:id="rId11" xr:uid="{00000000-0004-0000-0100-00000A000000}"/>
    <hyperlink ref="I16" r:id="rId12" xr:uid="{00000000-0004-0000-0100-00000B000000}"/>
    <hyperlink ref="I17" r:id="rId13" xr:uid="{00000000-0004-0000-0100-00000C000000}"/>
    <hyperlink ref="I18" r:id="rId14" xr:uid="{00000000-0004-0000-0100-00000D000000}"/>
    <hyperlink ref="I19" r:id="rId15" xr:uid="{00000000-0004-0000-0100-00000E000000}"/>
    <hyperlink ref="I20" r:id="rId16" xr:uid="{00000000-0004-0000-0100-00000F000000}"/>
    <hyperlink ref="I21" r:id="rId17" xr:uid="{00000000-0004-0000-0100-000010000000}"/>
    <hyperlink ref="I22" r:id="rId18" xr:uid="{00000000-0004-0000-0100-000011000000}"/>
    <hyperlink ref="I23" r:id="rId19" xr:uid="{00000000-0004-0000-0100-000012000000}"/>
    <hyperlink ref="I24" r:id="rId20" xr:uid="{00000000-0004-0000-0100-000013000000}"/>
    <hyperlink ref="I25" r:id="rId21" xr:uid="{00000000-0004-0000-0100-000014000000}"/>
    <hyperlink ref="I26" r:id="rId22" xr:uid="{00000000-0004-0000-0100-000015000000}"/>
    <hyperlink ref="I27" r:id="rId23" xr:uid="{00000000-0004-0000-0100-000016000000}"/>
    <hyperlink ref="I28" r:id="rId24" xr:uid="{00000000-0004-0000-0100-000017000000}"/>
    <hyperlink ref="I29" r:id="rId25" xr:uid="{00000000-0004-0000-0100-000018000000}"/>
    <hyperlink ref="I30" r:id="rId26" xr:uid="{00000000-0004-0000-0100-000019000000}"/>
    <hyperlink ref="I31" r:id="rId27" xr:uid="{00000000-0004-0000-0100-00001A000000}"/>
    <hyperlink ref="I32" r:id="rId28" xr:uid="{00000000-0004-0000-0100-00001B000000}"/>
    <hyperlink ref="I33" r:id="rId29" xr:uid="{00000000-0004-0000-0100-00001C000000}"/>
    <hyperlink ref="I34" r:id="rId30" xr:uid="{00000000-0004-0000-0100-00001D000000}"/>
    <hyperlink ref="I35" r:id="rId31" xr:uid="{00000000-0004-0000-0100-00001E000000}"/>
    <hyperlink ref="I36" r:id="rId32" xr:uid="{00000000-0004-0000-0100-00001F000000}"/>
    <hyperlink ref="I37" r:id="rId33" xr:uid="{00000000-0004-0000-0100-000020000000}"/>
    <hyperlink ref="I38" r:id="rId34" xr:uid="{00000000-0004-0000-0100-000021000000}"/>
    <hyperlink ref="I39" r:id="rId35" xr:uid="{00000000-0004-0000-0100-000022000000}"/>
    <hyperlink ref="I40" r:id="rId36" xr:uid="{00000000-0004-0000-0100-000023000000}"/>
    <hyperlink ref="I41" r:id="rId37" xr:uid="{00000000-0004-0000-0100-000024000000}"/>
    <hyperlink ref="I42" r:id="rId38" xr:uid="{00000000-0004-0000-0100-000025000000}"/>
    <hyperlink ref="I43" r:id="rId39" xr:uid="{00000000-0004-0000-0100-000026000000}"/>
    <hyperlink ref="I44" r:id="rId40" xr:uid="{00000000-0004-0000-0100-000027000000}"/>
    <hyperlink ref="I45" r:id="rId41" xr:uid="{00000000-0004-0000-0100-000028000000}"/>
    <hyperlink ref="I46" r:id="rId42" xr:uid="{00000000-0004-0000-0100-000029000000}"/>
    <hyperlink ref="I47" r:id="rId43" xr:uid="{00000000-0004-0000-0100-00002A000000}"/>
    <hyperlink ref="I48" r:id="rId44" xr:uid="{00000000-0004-0000-0100-00002B000000}"/>
    <hyperlink ref="I49" r:id="rId45" xr:uid="{00000000-0004-0000-0100-00002C000000}"/>
    <hyperlink ref="I50" r:id="rId46" xr:uid="{00000000-0004-0000-0100-00002D000000}"/>
    <hyperlink ref="I51" r:id="rId47" xr:uid="{00000000-0004-0000-0100-00002E000000}"/>
    <hyperlink ref="I52" r:id="rId48" xr:uid="{00000000-0004-0000-0100-00002F000000}"/>
    <hyperlink ref="I53" r:id="rId49" xr:uid="{00000000-0004-0000-0100-000030000000}"/>
    <hyperlink ref="I54" r:id="rId50" xr:uid="{00000000-0004-0000-0100-000031000000}"/>
    <hyperlink ref="I55" r:id="rId51" xr:uid="{00000000-0004-0000-0100-000032000000}"/>
    <hyperlink ref="I56" r:id="rId52" xr:uid="{00000000-0004-0000-0100-000033000000}"/>
    <hyperlink ref="I57" r:id="rId53" xr:uid="{00000000-0004-0000-0100-000034000000}"/>
    <hyperlink ref="I58" r:id="rId54" xr:uid="{00000000-0004-0000-0100-000035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2" customWidth="1"/>
    <col min="2" max="2" width="52" customWidth="1"/>
    <col min="3" max="3" width="46" customWidth="1"/>
    <col min="4" max="4" width="58" customWidth="1"/>
  </cols>
  <sheetData>
    <row r="1" spans="1:4" ht="16.5" x14ac:dyDescent="0.25">
      <c r="A1" s="1" t="s">
        <v>118</v>
      </c>
    </row>
    <row r="2" spans="1:4" ht="42" customHeight="1" x14ac:dyDescent="0.25">
      <c r="A2" s="19" t="s">
        <v>119</v>
      </c>
      <c r="B2" s="20"/>
      <c r="C2" s="20"/>
      <c r="D2" s="20"/>
    </row>
    <row r="4" spans="1:4" x14ac:dyDescent="0.25">
      <c r="A4" s="2" t="s">
        <v>120</v>
      </c>
      <c r="B4" s="2" t="s">
        <v>121</v>
      </c>
      <c r="C4" s="2" t="s">
        <v>122</v>
      </c>
      <c r="D4" s="2" t="s">
        <v>123</v>
      </c>
    </row>
    <row r="5" spans="1:4" ht="57.95" customHeight="1" x14ac:dyDescent="0.25">
      <c r="A5" s="9" t="s">
        <v>67</v>
      </c>
      <c r="B5" s="3" t="s">
        <v>124</v>
      </c>
      <c r="C5" s="3" t="s">
        <v>125</v>
      </c>
      <c r="D5" s="3" t="s">
        <v>126</v>
      </c>
    </row>
    <row r="6" spans="1:4" ht="57.95" customHeight="1" x14ac:dyDescent="0.25">
      <c r="A6" s="9" t="s">
        <v>73</v>
      </c>
      <c r="B6" s="3" t="s">
        <v>127</v>
      </c>
      <c r="C6" s="3" t="s">
        <v>128</v>
      </c>
      <c r="D6" s="3" t="s">
        <v>129</v>
      </c>
    </row>
    <row r="7" spans="1:4" ht="57.95" customHeight="1" x14ac:dyDescent="0.25">
      <c r="A7" s="9" t="s">
        <v>130</v>
      </c>
      <c r="B7" s="3" t="s">
        <v>131</v>
      </c>
      <c r="C7" s="3" t="s">
        <v>132</v>
      </c>
      <c r="D7" s="3" t="s">
        <v>133</v>
      </c>
    </row>
    <row r="8" spans="1:4" ht="57.95" customHeight="1" x14ac:dyDescent="0.25">
      <c r="A8" s="9" t="s">
        <v>134</v>
      </c>
      <c r="B8" s="3" t="s">
        <v>135</v>
      </c>
      <c r="C8" s="3" t="s">
        <v>136</v>
      </c>
      <c r="D8" s="3" t="s">
        <v>137</v>
      </c>
    </row>
    <row r="9" spans="1:4" ht="57.95" customHeight="1" x14ac:dyDescent="0.25">
      <c r="A9" s="9" t="s">
        <v>138</v>
      </c>
      <c r="B9" s="3" t="s">
        <v>139</v>
      </c>
      <c r="C9" s="3" t="s">
        <v>140</v>
      </c>
      <c r="D9" s="3" t="s">
        <v>141</v>
      </c>
    </row>
    <row r="10" spans="1:4" ht="57.95" customHeight="1" x14ac:dyDescent="0.25">
      <c r="A10" s="9" t="s">
        <v>142</v>
      </c>
      <c r="B10" s="3" t="s">
        <v>143</v>
      </c>
      <c r="C10" s="3" t="s">
        <v>144</v>
      </c>
      <c r="D10" s="3" t="s">
        <v>144</v>
      </c>
    </row>
    <row r="11" spans="1:4" ht="57.95" customHeight="1" x14ac:dyDescent="0.25">
      <c r="A11" s="9" t="s">
        <v>51</v>
      </c>
      <c r="B11" s="3" t="s">
        <v>145</v>
      </c>
      <c r="C11" s="3" t="s">
        <v>146</v>
      </c>
      <c r="D11" s="3" t="s">
        <v>147</v>
      </c>
    </row>
    <row r="12" spans="1:4" ht="57.95" customHeight="1" x14ac:dyDescent="0.25">
      <c r="A12" s="9" t="s">
        <v>55</v>
      </c>
      <c r="B12" s="3" t="s">
        <v>148</v>
      </c>
      <c r="C12" s="3" t="s">
        <v>149</v>
      </c>
      <c r="D12" s="3" t="s">
        <v>150</v>
      </c>
    </row>
    <row r="13" spans="1:4" ht="57.95" customHeight="1" x14ac:dyDescent="0.25">
      <c r="A13" s="9" t="s">
        <v>151</v>
      </c>
      <c r="B13" s="3" t="s">
        <v>152</v>
      </c>
      <c r="C13" s="3" t="s">
        <v>153</v>
      </c>
      <c r="D13" s="3" t="s">
        <v>154</v>
      </c>
    </row>
    <row r="14" spans="1:4" ht="57.95" customHeight="1" x14ac:dyDescent="0.25">
      <c r="A14" s="9" t="s">
        <v>59</v>
      </c>
      <c r="B14" s="3" t="s">
        <v>155</v>
      </c>
      <c r="C14" s="3" t="s">
        <v>132</v>
      </c>
      <c r="D14" s="3" t="s">
        <v>133</v>
      </c>
    </row>
    <row r="15" spans="1:4" ht="57.95" customHeight="1" x14ac:dyDescent="0.25">
      <c r="A15" s="9" t="s">
        <v>62</v>
      </c>
      <c r="B15" s="3" t="s">
        <v>156</v>
      </c>
      <c r="C15" s="3" t="s">
        <v>157</v>
      </c>
      <c r="D15" s="3" t="s">
        <v>132</v>
      </c>
    </row>
    <row r="16" spans="1:4" ht="57.95" customHeight="1" x14ac:dyDescent="0.25">
      <c r="A16" s="9" t="s">
        <v>64</v>
      </c>
      <c r="B16" s="3" t="s">
        <v>158</v>
      </c>
      <c r="C16" s="3" t="s">
        <v>159</v>
      </c>
      <c r="D16" s="3" t="s">
        <v>132</v>
      </c>
    </row>
    <row r="17" spans="1:4" ht="57.95" customHeight="1" x14ac:dyDescent="0.25">
      <c r="A17" s="9" t="s">
        <v>160</v>
      </c>
      <c r="B17" s="3" t="s">
        <v>161</v>
      </c>
      <c r="C17" s="3" t="s">
        <v>162</v>
      </c>
      <c r="D17" s="3" t="s">
        <v>163</v>
      </c>
    </row>
    <row r="18" spans="1:4" ht="57.95" customHeight="1" x14ac:dyDescent="0.25">
      <c r="A18" s="9" t="s">
        <v>164</v>
      </c>
      <c r="B18" s="3" t="s">
        <v>165</v>
      </c>
      <c r="C18" s="3" t="s">
        <v>166</v>
      </c>
      <c r="D18" s="3" t="s">
        <v>167</v>
      </c>
    </row>
    <row r="19" spans="1:4" ht="57.95" customHeight="1" x14ac:dyDescent="0.25">
      <c r="A19" s="9" t="s">
        <v>168</v>
      </c>
      <c r="B19" s="3" t="s">
        <v>169</v>
      </c>
      <c r="C19" s="3" t="s">
        <v>170</v>
      </c>
      <c r="D19" s="3" t="s">
        <v>171</v>
      </c>
    </row>
    <row r="20" spans="1:4" ht="57.95" customHeight="1" x14ac:dyDescent="0.25">
      <c r="A20" s="3" t="s">
        <v>172</v>
      </c>
      <c r="B20" s="3" t="s">
        <v>173</v>
      </c>
      <c r="C20" s="3" t="s">
        <v>174</v>
      </c>
      <c r="D20" s="3" t="s">
        <v>175</v>
      </c>
    </row>
  </sheetData>
  <mergeCells count="1"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/>
  </sheetViews>
  <sheetFormatPr defaultRowHeight="15" x14ac:dyDescent="0.25"/>
  <cols>
    <col min="1" max="1" width="14" customWidth="1"/>
    <col min="2" max="2" width="30" customWidth="1"/>
    <col min="3" max="3" width="90" customWidth="1"/>
    <col min="4" max="4" width="6" customWidth="1"/>
    <col min="5" max="5" width="40" customWidth="1"/>
  </cols>
  <sheetData>
    <row r="1" spans="1:5" ht="16.5" x14ac:dyDescent="0.25">
      <c r="A1" s="1" t="s">
        <v>176</v>
      </c>
    </row>
    <row r="3" spans="1:5" x14ac:dyDescent="0.25">
      <c r="A3" s="2" t="s">
        <v>177</v>
      </c>
      <c r="B3" s="2" t="s">
        <v>178</v>
      </c>
      <c r="C3" s="2" t="s">
        <v>179</v>
      </c>
      <c r="D3" s="2" t="s">
        <v>49</v>
      </c>
      <c r="E3" s="2" t="s">
        <v>50</v>
      </c>
    </row>
    <row r="4" spans="1:5" ht="51.95" customHeight="1" x14ac:dyDescent="0.25">
      <c r="A4" s="9" t="s">
        <v>180</v>
      </c>
      <c r="B4" s="3" t="s">
        <v>181</v>
      </c>
      <c r="C4" s="3" t="s">
        <v>182</v>
      </c>
      <c r="D4" s="17" t="s">
        <v>183</v>
      </c>
      <c r="E4" s="15" t="s">
        <v>184</v>
      </c>
    </row>
    <row r="5" spans="1:5" ht="51.95" customHeight="1" x14ac:dyDescent="0.25">
      <c r="A5" s="9" t="s">
        <v>185</v>
      </c>
      <c r="B5" s="3" t="s">
        <v>186</v>
      </c>
      <c r="C5" s="3" t="s">
        <v>187</v>
      </c>
      <c r="D5" s="17" t="s">
        <v>183</v>
      </c>
      <c r="E5" s="15" t="s">
        <v>188</v>
      </c>
    </row>
    <row r="6" spans="1:5" ht="51.95" customHeight="1" x14ac:dyDescent="0.25">
      <c r="A6" s="9" t="s">
        <v>189</v>
      </c>
      <c r="B6" s="3" t="s">
        <v>190</v>
      </c>
      <c r="C6" s="3" t="s">
        <v>191</v>
      </c>
      <c r="D6" s="17" t="s">
        <v>183</v>
      </c>
      <c r="E6" s="15" t="s">
        <v>184</v>
      </c>
    </row>
    <row r="7" spans="1:5" ht="51.95" customHeight="1" x14ac:dyDescent="0.25">
      <c r="A7" s="9" t="s">
        <v>192</v>
      </c>
      <c r="B7" s="3" t="s">
        <v>193</v>
      </c>
      <c r="C7" s="3" t="s">
        <v>194</v>
      </c>
      <c r="D7" s="17" t="s">
        <v>183</v>
      </c>
      <c r="E7" s="15" t="s">
        <v>184</v>
      </c>
    </row>
    <row r="8" spans="1:5" ht="51.95" customHeight="1" x14ac:dyDescent="0.25">
      <c r="A8" s="9" t="s">
        <v>195</v>
      </c>
      <c r="B8" s="3" t="s">
        <v>196</v>
      </c>
      <c r="C8" s="3" t="s">
        <v>197</v>
      </c>
      <c r="D8" s="17" t="s">
        <v>183</v>
      </c>
      <c r="E8" s="15" t="s">
        <v>184</v>
      </c>
    </row>
    <row r="9" spans="1:5" ht="51.95" customHeight="1" x14ac:dyDescent="0.25">
      <c r="A9" s="9" t="s">
        <v>198</v>
      </c>
      <c r="B9" s="3" t="s">
        <v>199</v>
      </c>
      <c r="C9" s="3" t="s">
        <v>200</v>
      </c>
      <c r="D9" s="17" t="s">
        <v>183</v>
      </c>
      <c r="E9" s="15" t="s">
        <v>201</v>
      </c>
    </row>
    <row r="10" spans="1:5" ht="51.95" customHeight="1" x14ac:dyDescent="0.25">
      <c r="A10" s="9" t="s">
        <v>202</v>
      </c>
      <c r="B10" s="3" t="s">
        <v>203</v>
      </c>
      <c r="C10" s="3" t="s">
        <v>204</v>
      </c>
      <c r="D10" s="17" t="s">
        <v>183</v>
      </c>
      <c r="E10" s="15" t="s">
        <v>205</v>
      </c>
    </row>
    <row r="12" spans="1:5" x14ac:dyDescent="0.25">
      <c r="A12" s="18" t="s">
        <v>206</v>
      </c>
    </row>
  </sheetData>
  <hyperlinks>
    <hyperlink ref="E4" r:id="rId1" xr:uid="{00000000-0004-0000-0300-000000000000}"/>
    <hyperlink ref="E5" r:id="rId2" xr:uid="{00000000-0004-0000-0300-000001000000}"/>
    <hyperlink ref="E6" r:id="rId3" xr:uid="{00000000-0004-0000-0300-000002000000}"/>
    <hyperlink ref="E7" r:id="rId4" xr:uid="{00000000-0004-0000-0300-000003000000}"/>
    <hyperlink ref="E8" r:id="rId5" xr:uid="{00000000-0004-0000-0300-000004000000}"/>
    <hyperlink ref="E9" r:id="rId6" xr:uid="{00000000-0004-0000-0300-000005000000}"/>
    <hyperlink ref="E10" r:id="rId7" xr:uid="{00000000-0004-0000-0300-00000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AP_Package_Summary</vt:lpstr>
      <vt:lpstr>AP_Project_GOs</vt:lpstr>
      <vt:lpstr>Policy_Compare_AP_TG_MH</vt:lpstr>
      <vt:lpstr>Other_States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206_Harsh Misra</cp:lastModifiedBy>
  <dcterms:created xsi:type="dcterms:W3CDTF">2026-10-22T00:31:36Z</dcterms:created>
  <dcterms:modified xsi:type="dcterms:W3CDTF">2026-10-22T00:31:37Z</dcterms:modified>
</cp:coreProperties>
</file>