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ayments" sheetId="3" state="visible" r:id="rId5"/>
    <sheet name="CEX" sheetId="4" state="visible" r:id="rId6"/>
    <sheet name="DeFi" sheetId="5" state="visible" r:id="rId7"/>
    <sheet name="Store of Value" sheetId="6" state="visible" r:id="rId8"/>
    <sheet name="Tokenized Assets" sheetId="7" state="visible" r:id="rId9"/>
    <sheet name="Agentic Commerce" sheetId="8" state="visible" r:id="rId10"/>
    <sheet name="Other On-Chai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<sst xmlns="http://schemas.openxmlformats.org/spreadsheetml/2006/main" count="270" uniqueCount="167">
  <si>
    <t xml:space="preserve">STABLECOIN SUPPLY MODEL — SUMMARY OUTPUT</t>
  </si>
  <si>
    <t xml:space="preserve">Category</t>
  </si>
  <si>
    <t xml:space="preserve">Units</t>
  </si>
  <si>
    <t xml:space="preserve">STABLECOIN VOLUMES BY CATEGORY</t>
  </si>
  <si>
    <t xml:space="preserve">CEX Trading Volume</t>
  </si>
  <si>
    <t xml:space="preserve">$Tn</t>
  </si>
  <si>
    <t xml:space="preserve">DeFi Volume (Trading + Lending + Other)</t>
  </si>
  <si>
    <t xml:space="preserve">Payments — Domestic</t>
  </si>
  <si>
    <t xml:space="preserve">$Bn</t>
  </si>
  <si>
    <t xml:space="preserve">Payments — Cross-Border</t>
  </si>
  <si>
    <t xml:space="preserve">Payments — Total</t>
  </si>
  <si>
    <t xml:space="preserve">Store of Value / Savings</t>
  </si>
  <si>
    <t xml:space="preserve">Tokenized Asset Settlement</t>
  </si>
  <si>
    <t xml:space="preserve">Agentic Commerce</t>
  </si>
  <si>
    <t xml:space="preserve">Other On-Chain Transactions</t>
  </si>
  <si>
    <t xml:space="preserve">Total Stablecoin Volume</t>
  </si>
  <si>
    <t xml:space="preserve">VELOCITY ASSUMPTIONS BY CATEGORY</t>
  </si>
  <si>
    <t xml:space="preserve">CEX Velocity (monthly turns)</t>
  </si>
  <si>
    <t xml:space="preserve">x</t>
  </si>
  <si>
    <t xml:space="preserve">DeFi Velocity</t>
  </si>
  <si>
    <t xml:space="preserve">Payments Velocity</t>
  </si>
  <si>
    <t xml:space="preserve">Store of Value Velocity</t>
  </si>
  <si>
    <t xml:space="preserve">Tokenized Asset Velocity</t>
  </si>
  <si>
    <t xml:space="preserve">Agentic Commerce Velocity</t>
  </si>
  <si>
    <t xml:space="preserve">Other On-Chain Velocity</t>
  </si>
  <si>
    <t xml:space="preserve">IMPLIED STABLECOIN SUPPLY (Volume / Velocity)</t>
  </si>
  <si>
    <t xml:space="preserve">CEX-Driven Supply</t>
  </si>
  <si>
    <t xml:space="preserve">DeFi-Driven Supply</t>
  </si>
  <si>
    <t xml:space="preserve">Payments-Driven Supply</t>
  </si>
  <si>
    <t xml:space="preserve">Store of Value Supply</t>
  </si>
  <si>
    <t xml:space="preserve">Tokenized Asset Supply</t>
  </si>
  <si>
    <t xml:space="preserve">Agentic Commerce Supply</t>
  </si>
  <si>
    <t xml:space="preserve">Other On-Chain Supply</t>
  </si>
  <si>
    <t xml:space="preserve">TOTAL STABLECOIN SUPPLY</t>
  </si>
  <si>
    <t xml:space="preserve">Memo: Actual Stablecoin Supply (for comparison)</t>
  </si>
  <si>
    <t xml:space="preserve">GLOBAL MACRO ASSUMPTIONS</t>
  </si>
  <si>
    <t xml:space="preserve">Metric</t>
  </si>
  <si>
    <t xml:space="preserve">Global GDP</t>
  </si>
  <si>
    <t xml:space="preserve">Global Digital Payments Volume</t>
  </si>
  <si>
    <t xml:space="preserve">Global Cross-Border Flows</t>
  </si>
  <si>
    <t xml:space="preserve">Global Remittances</t>
  </si>
  <si>
    <t xml:space="preserve">Crypto Total Market Cap</t>
  </si>
  <si>
    <t xml:space="preserve">CEX Spot Trading Volume (Annual)</t>
  </si>
  <si>
    <t xml:space="preserve">DEX Spot Trading Volume (Annual)</t>
  </si>
  <si>
    <t xml:space="preserve">Stablecoin Circulating Supply (Actual/Est)</t>
  </si>
  <si>
    <t xml:space="preserve">VELOCITY ASSUMPTIONS</t>
  </si>
  <si>
    <t xml:space="preserve">CEX Trading Velocity (annual turns on supply)</t>
  </si>
  <si>
    <t xml:space="preserve">DeFi Velocity (annual turns)</t>
  </si>
  <si>
    <t xml:space="preserve">Payments Velocity (annual turns)</t>
  </si>
  <si>
    <t xml:space="preserve">Tokenized Asset Settlement Velocity</t>
  </si>
  <si>
    <t xml:space="preserve">Source Notes:</t>
  </si>
  <si>
    <t xml:space="preserve">Allium 'Stablecoins: The Emergence of a New Payment Rail' (Feb 2026) — labeled payment volumes, category splits, geographic flows</t>
  </si>
  <si>
    <t xml:space="preserve">BCG/Allium 'Stablecoin Payments: The Truth Behind the Numbers' (Jan 2026) — real economy payments $350-550Bn</t>
  </si>
  <si>
    <t xml:space="preserve">FXC Intelligence — cross-border flows $208Tn in 2025, revenue pool $625Bn</t>
  </si>
  <si>
    <t xml:space="preserve">McKinsey Global Payments Report — $1.9Tn payments revenue in 2024, $2.4Tn by 2029</t>
  </si>
  <si>
    <t xml:space="preserve">Worldpay Global Payments Report 2025 — global digital payments $18.7Tn in 2024, projected $33.5Tn by 2030</t>
  </si>
  <si>
    <t xml:space="preserve">CEX.IO — stablecoin trading volume $25.8Tn (2024), $33.4Tn (2025)</t>
  </si>
  <si>
    <t xml:space="preserve">CoinGecko / DefiLlama — DEX spot $2.3Tn (2025), perp DEX $6.7Tn (2025)</t>
  </si>
  <si>
    <t xml:space="preserve">J.P. Morgan — cross-border spending $194.6Tn (2024), projected $320Tn by 2032</t>
  </si>
  <si>
    <t xml:space="preserve">IMF Working Paper — global cross-border market ~$1 quadrillion (2024)</t>
  </si>
  <si>
    <t xml:space="preserve">Visa/Allium — stablecoin lending volume $670Bn cumulative, $51.7Bn/month (Aug 2025)</t>
  </si>
  <si>
    <t xml:space="preserve">STABLECOIN PAYMENTS MODEL — TAM, PENETRATION &amp; VOLUME BUILD</t>
  </si>
  <si>
    <t xml:space="preserve">Line Item</t>
  </si>
  <si>
    <t xml:space="preserve">SOURCE</t>
  </si>
  <si>
    <t xml:space="preserve">1. CROSS-BORDER PAYMENTS TAM</t>
  </si>
  <si>
    <t xml:space="preserve">1A. Cross-border TAM ($Tn)</t>
  </si>
  <si>
    <t xml:space="preserve">Total Cross-Border Payment Flows</t>
  </si>
  <si>
    <t xml:space="preserve">FXC Intelligence Market Sizing Report (Apr 2025); McKinsey Global Payments Map</t>
  </si>
  <si>
    <t xml:space="preserve">  Non-Wholesale Cross-Border Flows</t>
  </si>
  <si>
    <t xml:space="preserve">FXC Intelligence: non-wholesale TAM $39.9Tn (2024), 6.2% CAGR to $64.5Tn by 2032</t>
  </si>
  <si>
    <t xml:space="preserve">    B2B (trade, supply chain, vendor)</t>
  </si>
  <si>
    <t xml:space="preserve">FXC Intelligence: derived as non-wholesale total less C2C, C2B, B2C</t>
  </si>
  <si>
    <t xml:space="preserve">    B2C (payroll, gig economy, creator)</t>
  </si>
  <si>
    <t xml:space="preserve">FXC Intelligence: $1.9Tn (2024), 11.1% CAGR to $4.4Tn by 2032</t>
  </si>
  <si>
    <t xml:space="preserve">    C2B (cross-border e-commerce, travel)</t>
  </si>
  <si>
    <t xml:space="preserve">FXC Intelligence: $4.5Tn (2024), 5.9% CAGR to $7.1Tn by 2032</t>
  </si>
  <si>
    <t xml:space="preserve">    C2C (remittances, P2P transfers)</t>
  </si>
  <si>
    <t xml:space="preserve">FXC Intelligence: $2.0Tn (2024), 5.9% CAGR to $3.1Tn by 2032; World Bank remittances $860Bn (2024)</t>
  </si>
  <si>
    <t xml:space="preserve">2. DOMESTIC PAYMENTS TAM</t>
  </si>
  <si>
    <t xml:space="preserve">2A. Domestic TAM ($Tn)</t>
  </si>
  <si>
    <t xml:space="preserve">Total Domestic Payment Flows (ex-wholesale)</t>
  </si>
  <si>
    <t xml:space="preserve">McKinsey GPM: ~$2,000Tn total flows (2024); domestic non-wholesale est. ~$125Tn</t>
  </si>
  <si>
    <t xml:space="preserve">    B2B (commercial trade, invoicing, AP/AR)</t>
  </si>
  <si>
    <t xml:space="preserve">Euromonitor: $32.7Tn paper B2B (2023); est. total $55-65Tn incl. digital; B2B digital growing</t>
  </si>
  <si>
    <t xml:space="preserve">    B2C (payroll, refunds, govt transfers)</t>
  </si>
  <si>
    <t xml:space="preserve">ILO global wage estimates ~$50Tn; est. incl. govt transfers &amp; refunds</t>
  </si>
  <si>
    <t xml:space="preserve">    C2B (merchant/consumer spending)</t>
  </si>
  <si>
    <t xml:space="preserve">Statista: global consumer spending ~$61Tn (2024), to $77Tn by 2029; Datos: $50Tn digital</t>
  </si>
  <si>
    <t xml:space="preserve">    C2C (P2P domestic transfers)</t>
  </si>
  <si>
    <t xml:space="preserve">Est. from UPI India ~$3.5Tn, Zelle US ~$1Tn, PIX Brazil ~$1.5Tn, WeChat/Alipay P2P, others</t>
  </si>
  <si>
    <t xml:space="preserve">3. ACTUAL STABLECOIN PAYMENT VOLUMES ($BN)</t>
  </si>
  <si>
    <t xml:space="preserve">3A. Aggregate Actuals</t>
  </si>
  <si>
    <t xml:space="preserve">Total Stablecoin Payments (Allium labeled)</t>
  </si>
  <si>
    <t xml:space="preserve">Allium 'Emergence of a New Payment Rail' (Feb 2026)</t>
  </si>
  <si>
    <t xml:space="preserve">Total Stablecoin Payments (McKinsey/Artemis)</t>
  </si>
  <si>
    <t xml:space="preserve">McKinsey/Artemis 'Stablecoins in payments' (Feb 2026)</t>
  </si>
  <si>
    <t xml:space="preserve">Total Stablecoin Payments (BCG/Allium)</t>
  </si>
  <si>
    <t xml:space="preserve">BCG 'Truth Behind Numbers' (Jan 2026); midpoint of $350-550Bn range</t>
  </si>
  <si>
    <t xml:space="preserve">Cross-Border Share of Total</t>
  </si>
  <si>
    <t xml:space="preserve">%</t>
  </si>
  <si>
    <t xml:space="preserve">Allium: CB declined from 44% to 26% over Jan'24-Feb'26</t>
  </si>
  <si>
    <t xml:space="preserve">Domestic Share of Total</t>
  </si>
  <si>
    <t xml:space="preserve">Allium: '74% of payment volume occurs domestically' (2025)</t>
  </si>
  <si>
    <t xml:space="preserve">3B. Cross-border Stablecoin Volumes ($BN) — Allium Category Data</t>
  </si>
  <si>
    <t xml:space="preserve">Cross-border stablecoin payments ($BN)</t>
  </si>
  <si>
    <t xml:space="preserve">B2B</t>
  </si>
  <si>
    <t xml:space="preserve">Allium B2B: $44.4Bn(24)/$83.1Bn(25); CB share ~50%/47% est. from McKinsey corridor data</t>
  </si>
  <si>
    <t xml:space="preserve">B2C</t>
  </si>
  <si>
    <t xml:space="preserve">Allium B2C: $19.1Bn(24)/$32.2Bn(25); CB share ~35%/31% est.; McKinsey payroll/remit ~$90Bn</t>
  </si>
  <si>
    <t xml:space="preserve">C2B</t>
  </si>
  <si>
    <t xml:space="preserve">Allium C2B: $38.8Bn(24)/$89.7Bn(25); CB share ~12%/10% est.; mostly domestic merchant</t>
  </si>
  <si>
    <t xml:space="preserve">C2C</t>
  </si>
  <si>
    <t xml:space="preserve">Allium C2C: $111Bn(24)/$169.6Bn(25); CB share ~41%/23% est.; domestic P2P growing faster</t>
  </si>
  <si>
    <t xml:space="preserve">Total Cross-Border</t>
  </si>
  <si>
    <t xml:space="preserve">Sum; cross-check: Allium total × CB share = $78.9Bn(24)/$97.4Bn(25)</t>
  </si>
  <si>
    <t xml:space="preserve">3C. Domestic Stablecoin Volumes ($BN) — Allium Category Data</t>
  </si>
  <si>
    <t xml:space="preserve">Domestic stablecoin payments ($BN)</t>
  </si>
  <si>
    <t xml:space="preserve">Allium B2B total less cross-border: $44.4-22.2(24)/$83.1-39.1(25)</t>
  </si>
  <si>
    <t xml:space="preserve">Allium B2C total less cross-border: $19.1-6.7(24)/$32.2-10.0(25)</t>
  </si>
  <si>
    <t xml:space="preserve">Allium C2B total less cross-border: $38.8-4.7(24)/$89.7-9.0(25); C2B grew 131% YoY</t>
  </si>
  <si>
    <t xml:space="preserve">Allium C2C total less cross-border: $111-45.3(24)/$169.6-39.3(25)</t>
  </si>
  <si>
    <t xml:space="preserve">Total Domestic</t>
  </si>
  <si>
    <t xml:space="preserve">GRAND TOTAL STABLECOIN PAYMENTS</t>
  </si>
  <si>
    <t xml:space="preserve">Cross-check vs Allium $213.3Bn(24)/$374.5Bn(25)</t>
  </si>
  <si>
    <t xml:space="preserve">4. IMPLIED STABLECOIN PENETRATION (Volume / TAM)</t>
  </si>
  <si>
    <t xml:space="preserve">4A. Cross-border Penetration</t>
  </si>
  <si>
    <t xml:space="preserve">B2B Penetration</t>
  </si>
  <si>
    <t xml:space="preserve">Calculated: stablecoin volume / TAM</t>
  </si>
  <si>
    <t xml:space="preserve">B2C Penetration</t>
  </si>
  <si>
    <t xml:space="preserve">C2B Penetration</t>
  </si>
  <si>
    <t xml:space="preserve">C2C Penetration</t>
  </si>
  <si>
    <t xml:space="preserve">4B. Domestic Penetration</t>
  </si>
  <si>
    <t xml:space="preserve">5. PENETRATION FORECAST ASSUMPTIONS (2026E–2035E)</t>
  </si>
  <si>
    <t xml:space="preserve">[Penetration assumptions to be set — use implied 2024-2025 rates as anchor]</t>
  </si>
  <si>
    <t xml:space="preserve">[Once set, Volume = TAM × Penetration for each year]</t>
  </si>
  <si>
    <t xml:space="preserve">6. SOURCES &amp; METHODOLOGY</t>
  </si>
  <si>
    <t xml:space="preserve">TAM — Cross-Border</t>
  </si>
  <si>
    <t xml:space="preserve">FXC Intelligence Market Sizing Report (Apr 2025): $194.6Tn total, $39.9Tn non-wholesale, with B2B/B2C/C2B/C2C split. URL: fxcintel.com/research/reports</t>
  </si>
  <si>
    <t xml:space="preserve">TAM — Cross-Border Total</t>
  </si>
  <si>
    <t xml:space="preserve">McKinsey Global Payments Map (2025): ~$179Tn (2024), $2.0 quadrillion total flows. URL: mckinsey.com/industries/financial-services</t>
  </si>
  <si>
    <t xml:space="preserve">TAM — Remittances</t>
  </si>
  <si>
    <t xml:space="preserve">World Bank: $860Bn to developing countries (2024). FXC total C2C incl. developed: $2.0Tn</t>
  </si>
  <si>
    <t xml:space="preserve">TAM — Domestic C2B</t>
  </si>
  <si>
    <t xml:space="preserve">Statista/World Bank: global consumer spending ~$61Tn (2024). Datos Insights: $50Tn digital payments</t>
  </si>
  <si>
    <t xml:space="preserve">TAM — Domestic B2B</t>
  </si>
  <si>
    <t xml:space="preserve">Euromonitor: $32.7Tn paper B2B (2023). McKinsey: total B2B ~$1.6 quadrillion incl. wholesale</t>
  </si>
  <si>
    <t xml:space="preserve">TAM — Domestic C2C</t>
  </si>
  <si>
    <t xml:space="preserve">Est. from NPCI UPI ~$3.5Tn (India), Zelle ~$1Tn (US), PIX ~$1.5Tn (Brazil), others</t>
  </si>
  <si>
    <t xml:space="preserve">Stablecoin Volumes</t>
  </si>
  <si>
    <t xml:space="preserve">Allium 'Stablecoins: Emergence of a New Payment Rail' (Feb 2026): $213.3Bn(24)/$374.5Bn(25) labeled</t>
  </si>
  <si>
    <t xml:space="preserve">Stablecoin Cross-Check</t>
  </si>
  <si>
    <t xml:space="preserve">McKinsey/Artemis 'Stablecoins in payments' (Feb 2026): $390Bn(25); B2B ~$226Bn (60%)</t>
  </si>
  <si>
    <t xml:space="preserve">Stablecoin Cross-Check 2</t>
  </si>
  <si>
    <t xml:space="preserve">BCG/Allium 'Truth Behind the Numbers' (Jan 2026): $350-550Bn real economy payments</t>
  </si>
  <si>
    <t xml:space="preserve">Stablecoin B2B Detail</t>
  </si>
  <si>
    <t xml:space="preserve">Artemis/Stablecon (Feb 2026): B2B grew 733% YoY; 60% from Asia (SG, HK, JP corridors)</t>
  </si>
  <si>
    <t xml:space="preserve">CB/Domestic Split</t>
  </si>
  <si>
    <t xml:space="preserve">Allium: CB declined 44%→26% of payment vol Jan'24-Feb'26; 74% domestic; 84% intra-regional</t>
  </si>
  <si>
    <t xml:space="preserve">Category CB Shares</t>
  </si>
  <si>
    <t xml:space="preserve">Derived est.: B2B 47-50% CB, B2C 31-35%, C2B 10-12%, C2C 23-41%; calibrated to Allium aggregate</t>
  </si>
  <si>
    <t xml:space="preserve">CEX — TO BE BUILT</t>
  </si>
  <si>
    <t xml:space="preserve">[Sheet to be populated — structure mirrors Payments sheet]</t>
  </si>
  <si>
    <t xml:space="preserve">DEFI — TO BE BUILT</t>
  </si>
  <si>
    <t xml:space="preserve">STORE OF VALUE — TO BE BUILT</t>
  </si>
  <si>
    <t xml:space="preserve">TOKENIZED ASSETS — TO BE BUILT</t>
  </si>
  <si>
    <t xml:space="preserve">AGENTIC COMMERCE — TO BE BUILT</t>
  </si>
  <si>
    <t xml:space="preserve">OTHER ON-CHAIN — TO BE BUILT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</si>
</sst>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"/>
    <numFmt numFmtId="167" formatCode="0.0"/>
    <numFmt numFmtId="168" formatCode="0.0%"/>
    <numFmt numFmtId="169" formatCode="0.0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i val="true"/>
      <sz val="11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i val="true"/>
      <sz val="8"/>
      <color rgb="FF404040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sz val="10"/>
      <color rgb="FF000000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name val="Cambria"/>
      <family val="0"/>
      <charset val="1"/>
    </font>
    <font>
      <i val="true"/>
      <sz val="11"/>
      <color rgb="FF80808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4" customFormat="false" ht="1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true" outlineLevel="0" collapsed="false">
      <c r="A5" s="1" t="s">
        <v>4</v>
      </c>
      <c r="B5" s="1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true" outlineLevel="0" collapsed="false">
      <c r="A6" s="1" t="s">
        <v>6</v>
      </c>
      <c r="B6" s="1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true" outlineLevel="0" collapsed="false">
      <c r="A7" s="1" t="s">
        <v>7</v>
      </c>
      <c r="B7" s="1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1" t="s">
        <v>9</v>
      </c>
      <c r="B8" s="1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true" outlineLevel="0" collapsed="false">
      <c r="A9" s="1" t="s">
        <v>10</v>
      </c>
      <c r="B9" s="1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1" t="s">
        <v>11</v>
      </c>
      <c r="B10" s="1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true" outlineLevel="0" collapsed="false">
      <c r="A11" s="1" t="s">
        <v>12</v>
      </c>
      <c r="B11" s="1" t="s">
        <v>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true" outlineLevel="0" collapsed="false">
      <c r="A12" s="1" t="s">
        <v>13</v>
      </c>
      <c r="B12" s="1" t="s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true" outlineLevel="0" collapsed="false">
      <c r="A13" s="1" t="s">
        <v>14</v>
      </c>
      <c r="B13" s="1" t="s">
        <v>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true" outlineLevel="0" collapsed="false">
      <c r="A14" s="7" t="s">
        <v>15</v>
      </c>
      <c r="B14" s="3" t="s">
        <v>5</v>
      </c>
    </row>
    <row r="16" customFormat="false" ht="15" hidden="false" customHeight="true" outlineLevel="0" collapsed="false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true" outlineLevel="0" collapsed="false">
      <c r="A17" s="1" t="s">
        <v>17</v>
      </c>
      <c r="B17" s="1" t="s">
        <v>18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5" hidden="false" customHeight="true" outlineLevel="0" collapsed="false">
      <c r="A18" s="1" t="s">
        <v>19</v>
      </c>
      <c r="B18" s="1" t="s">
        <v>18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5" hidden="false" customHeight="true" outlineLevel="0" collapsed="false">
      <c r="A19" s="1" t="s">
        <v>20</v>
      </c>
      <c r="B19" s="1" t="s">
        <v>18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5" hidden="false" customHeight="true" outlineLevel="0" collapsed="false">
      <c r="A20" s="1" t="s">
        <v>21</v>
      </c>
      <c r="B20" s="1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5" hidden="false" customHeight="true" outlineLevel="0" collapsed="false">
      <c r="A21" s="1" t="s">
        <v>22</v>
      </c>
      <c r="B21" s="1" t="s">
        <v>18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5" hidden="false" customHeight="true" outlineLevel="0" collapsed="false">
      <c r="A22" s="1" t="s">
        <v>23</v>
      </c>
      <c r="B22" s="1" t="s">
        <v>18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1" t="s">
        <v>24</v>
      </c>
      <c r="B23" s="1" t="s">
        <v>18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5" customFormat="false" ht="15" hidden="false" customHeight="true" outlineLevel="0" collapsed="false">
      <c r="A25" s="2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true" outlineLevel="0" collapsed="false">
      <c r="A26" s="1" t="s">
        <v>26</v>
      </c>
      <c r="B26" s="1" t="s">
        <v>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15" hidden="false" customHeight="true" outlineLevel="0" collapsed="false">
      <c r="A27" s="1" t="s">
        <v>27</v>
      </c>
      <c r="B27" s="1" t="s">
        <v>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5" hidden="false" customHeight="true" outlineLevel="0" collapsed="false">
      <c r="A28" s="1" t="s">
        <v>28</v>
      </c>
      <c r="B28" s="1" t="s">
        <v>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true" outlineLevel="0" collapsed="false">
      <c r="A29" s="1" t="s">
        <v>29</v>
      </c>
      <c r="B29" s="1" t="s">
        <v>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5" hidden="false" customHeight="true" outlineLevel="0" collapsed="false">
      <c r="A30" s="1" t="s">
        <v>30</v>
      </c>
      <c r="B30" s="1" t="s">
        <v>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15" hidden="false" customHeight="true" outlineLevel="0" collapsed="false">
      <c r="A31" s="1" t="s">
        <v>31</v>
      </c>
      <c r="B31" s="1" t="s">
        <v>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5" hidden="false" customHeight="true" outlineLevel="0" collapsed="false">
      <c r="A32" s="1" t="s">
        <v>32</v>
      </c>
      <c r="B32" s="1" t="s">
        <v>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15" hidden="false" customHeight="true" outlineLevel="0" collapsed="false">
      <c r="A33" s="10" t="s">
        <v>33</v>
      </c>
      <c r="B33" s="3" t="s">
        <v>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5" customFormat="false" ht="15" hidden="false" customHeight="true" outlineLevel="0" collapsed="false">
      <c r="A35" s="12" t="s">
        <v>34</v>
      </c>
      <c r="B35" s="1" t="s">
        <v>8</v>
      </c>
      <c r="C35" s="13" t="n">
        <v>200</v>
      </c>
      <c r="D35" s="13" t="n">
        <v>235</v>
      </c>
      <c r="E35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4" t="s">
        <v>36</v>
      </c>
      <c r="B2" s="4" t="s">
        <v>2</v>
      </c>
      <c r="C2" s="5" t="n">
        <v>2024</v>
      </c>
      <c r="D2" s="5" t="n">
        <v>2025</v>
      </c>
      <c r="E2" s="5" t="n">
        <v>2026</v>
      </c>
      <c r="F2" s="5" t="n">
        <v>2027</v>
      </c>
      <c r="G2" s="5" t="n">
        <v>2028</v>
      </c>
      <c r="H2" s="5" t="n">
        <v>2029</v>
      </c>
      <c r="I2" s="5" t="n">
        <v>2030</v>
      </c>
      <c r="J2" s="5" t="n">
        <v>2031</v>
      </c>
      <c r="K2" s="5" t="n">
        <v>2032</v>
      </c>
      <c r="L2" s="5" t="n">
        <v>2033</v>
      </c>
      <c r="M2" s="5" t="n">
        <v>2034</v>
      </c>
      <c r="N2" s="5" t="n">
        <v>2035</v>
      </c>
    </row>
    <row r="3" customFormat="false" ht="15" hidden="false" customHeight="true" outlineLevel="0" collapsed="false">
      <c r="A3" s="1" t="s">
        <v>37</v>
      </c>
      <c r="B3" s="1" t="s">
        <v>5</v>
      </c>
      <c r="C3" s="13" t="n">
        <v>105</v>
      </c>
      <c r="D3" s="13" t="n">
        <v>110</v>
      </c>
      <c r="E3" s="13" t="n">
        <v>115</v>
      </c>
      <c r="F3" s="13" t="n">
        <v>120</v>
      </c>
      <c r="G3" s="13" t="n">
        <v>126</v>
      </c>
      <c r="H3" s="13" t="n">
        <v>132</v>
      </c>
      <c r="I3" s="13" t="n">
        <v>138</v>
      </c>
      <c r="J3" s="13" t="n">
        <v>145</v>
      </c>
      <c r="K3" s="13" t="n">
        <v>152</v>
      </c>
      <c r="L3" s="13" t="n">
        <v>160</v>
      </c>
      <c r="M3" s="13" t="n">
        <v>168</v>
      </c>
      <c r="N3" s="13" t="n">
        <v>176</v>
      </c>
    </row>
    <row r="4" customFormat="false" ht="15" hidden="false" customHeight="true" outlineLevel="0" collapsed="false">
      <c r="A4" s="1" t="s">
        <v>38</v>
      </c>
      <c r="B4" s="1" t="s">
        <v>5</v>
      </c>
      <c r="C4" s="13" t="n">
        <v>18.7</v>
      </c>
      <c r="D4" s="13" t="n">
        <v>21</v>
      </c>
      <c r="E4" s="13" t="n">
        <v>24</v>
      </c>
      <c r="F4" s="13" t="n">
        <v>27</v>
      </c>
      <c r="G4" s="13" t="n">
        <v>30</v>
      </c>
      <c r="H4" s="13" t="n">
        <v>33.5</v>
      </c>
      <c r="I4" s="13" t="n">
        <v>37</v>
      </c>
      <c r="J4" s="13" t="n">
        <v>41</v>
      </c>
      <c r="K4" s="13" t="n">
        <v>45</v>
      </c>
      <c r="L4" s="13" t="n">
        <v>49</v>
      </c>
      <c r="M4" s="13" t="n">
        <v>54</v>
      </c>
      <c r="N4" s="13" t="n">
        <v>59</v>
      </c>
    </row>
    <row r="5" customFormat="false" ht="15" hidden="false" customHeight="true" outlineLevel="0" collapsed="false">
      <c r="A5" s="1" t="s">
        <v>39</v>
      </c>
      <c r="B5" s="1" t="s">
        <v>5</v>
      </c>
      <c r="C5" s="13" t="n">
        <v>195</v>
      </c>
      <c r="D5" s="13" t="n">
        <v>208</v>
      </c>
      <c r="E5" s="13" t="n">
        <v>222</v>
      </c>
      <c r="F5" s="13" t="n">
        <v>237</v>
      </c>
      <c r="G5" s="13" t="n">
        <v>253</v>
      </c>
      <c r="H5" s="13" t="n">
        <v>270</v>
      </c>
      <c r="I5" s="13" t="n">
        <v>288</v>
      </c>
      <c r="J5" s="13" t="n">
        <v>307</v>
      </c>
      <c r="K5" s="13" t="n">
        <v>328</v>
      </c>
      <c r="L5" s="13" t="n">
        <v>350</v>
      </c>
      <c r="M5" s="13" t="n">
        <v>373</v>
      </c>
      <c r="N5" s="13" t="n">
        <v>398</v>
      </c>
    </row>
    <row r="6" customFormat="false" ht="15" hidden="false" customHeight="true" outlineLevel="0" collapsed="false">
      <c r="A6" s="1" t="s">
        <v>40</v>
      </c>
      <c r="B6" s="1" t="s">
        <v>8</v>
      </c>
      <c r="C6" s="13" t="n">
        <v>860</v>
      </c>
      <c r="D6" s="13" t="n">
        <v>910</v>
      </c>
      <c r="E6" s="13" t="n">
        <v>960</v>
      </c>
      <c r="F6" s="13" t="n">
        <v>1015</v>
      </c>
      <c r="G6" s="13" t="n">
        <v>1070</v>
      </c>
      <c r="H6" s="13" t="n">
        <v>1130</v>
      </c>
      <c r="I6" s="13" t="n">
        <v>1190</v>
      </c>
      <c r="J6" s="13" t="n">
        <v>1255</v>
      </c>
      <c r="K6" s="13" t="n">
        <v>1325</v>
      </c>
      <c r="L6" s="13" t="n">
        <v>1400</v>
      </c>
      <c r="M6" s="13" t="n">
        <v>1475</v>
      </c>
      <c r="N6" s="13" t="n">
        <v>1555</v>
      </c>
    </row>
    <row r="7" customFormat="false" ht="15" hidden="false" customHeight="true" outlineLevel="0" collapsed="false">
      <c r="A7" s="1" t="s">
        <v>41</v>
      </c>
      <c r="B7" s="1" t="s">
        <v>5</v>
      </c>
      <c r="C7" s="13" t="n">
        <v>3.5</v>
      </c>
      <c r="D7" s="13" t="n">
        <v>3.8</v>
      </c>
      <c r="E7" s="13" t="n">
        <v>4.5</v>
      </c>
      <c r="F7" s="13" t="n">
        <v>5.5</v>
      </c>
      <c r="G7" s="13" t="n">
        <v>6.5</v>
      </c>
      <c r="H7" s="13" t="n">
        <v>7.5</v>
      </c>
      <c r="I7" s="13" t="n">
        <v>8.5</v>
      </c>
      <c r="J7" s="13" t="n">
        <v>9.5</v>
      </c>
      <c r="K7" s="13" t="n">
        <v>10.5</v>
      </c>
      <c r="L7" s="13" t="n">
        <v>11.5</v>
      </c>
      <c r="M7" s="13" t="n">
        <v>12.5</v>
      </c>
      <c r="N7" s="13" t="n">
        <v>13.5</v>
      </c>
    </row>
    <row r="8" customFormat="false" ht="15" hidden="false" customHeight="true" outlineLevel="0" collapsed="false">
      <c r="A8" s="1" t="s">
        <v>42</v>
      </c>
      <c r="B8" s="1" t="s">
        <v>5</v>
      </c>
      <c r="C8" s="13" t="n">
        <v>17.1</v>
      </c>
      <c r="D8" s="13" t="n">
        <v>18.6</v>
      </c>
      <c r="E8" s="13" t="n">
        <v>22</v>
      </c>
      <c r="F8" s="13" t="n">
        <v>26</v>
      </c>
      <c r="G8" s="13" t="n">
        <v>30</v>
      </c>
      <c r="H8" s="13" t="n">
        <v>35</v>
      </c>
      <c r="I8" s="13" t="n">
        <v>40</v>
      </c>
      <c r="J8" s="13" t="n">
        <v>45</v>
      </c>
      <c r="K8" s="13" t="n">
        <v>50</v>
      </c>
      <c r="L8" s="13" t="n">
        <v>55</v>
      </c>
      <c r="M8" s="13" t="n">
        <v>60</v>
      </c>
      <c r="N8" s="13" t="n">
        <v>65</v>
      </c>
    </row>
    <row r="9" customFormat="false" ht="15" hidden="false" customHeight="true" outlineLevel="0" collapsed="false">
      <c r="A9" s="1" t="s">
        <v>43</v>
      </c>
      <c r="B9" s="1" t="s">
        <v>5</v>
      </c>
      <c r="C9" s="13" t="n">
        <v>1.5</v>
      </c>
      <c r="D9" s="13" t="n">
        <v>2.3</v>
      </c>
      <c r="E9" s="13" t="n">
        <v>3.5</v>
      </c>
      <c r="F9" s="13" t="n">
        <v>5</v>
      </c>
      <c r="G9" s="13" t="n">
        <v>7</v>
      </c>
      <c r="H9" s="13" t="n">
        <v>9.5</v>
      </c>
      <c r="I9" s="13" t="n">
        <v>12</v>
      </c>
      <c r="J9" s="13" t="n">
        <v>15</v>
      </c>
      <c r="K9" s="13" t="n">
        <v>18</v>
      </c>
      <c r="L9" s="13" t="n">
        <v>21</v>
      </c>
      <c r="M9" s="13" t="n">
        <v>24</v>
      </c>
      <c r="N9" s="13" t="n">
        <v>27</v>
      </c>
    </row>
    <row r="10" customFormat="false" ht="15" hidden="false" customHeight="true" outlineLevel="0" collapsed="false">
      <c r="A10" s="1" t="s">
        <v>44</v>
      </c>
      <c r="B10" s="1" t="s">
        <v>8</v>
      </c>
      <c r="C10" s="13" t="n">
        <v>200</v>
      </c>
      <c r="D10" s="13" t="n">
        <v>235</v>
      </c>
      <c r="E10" s="13" t="n">
        <v>300</v>
      </c>
      <c r="F10" s="13"/>
      <c r="G10" s="13"/>
      <c r="H10" s="13"/>
      <c r="I10" s="13"/>
      <c r="J10" s="13"/>
      <c r="K10" s="13"/>
      <c r="L10" s="13"/>
      <c r="M10" s="13"/>
      <c r="N10" s="13"/>
    </row>
    <row r="12" customFormat="false" ht="15" hidden="false" customHeight="true" outlineLevel="0" collapsed="false">
      <c r="A12" s="2" t="s">
        <v>45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true" outlineLevel="0" collapsed="false">
      <c r="A13" s="1" t="s">
        <v>46</v>
      </c>
      <c r="B13" s="1" t="s">
        <v>18</v>
      </c>
      <c r="C13" s="15" t="n">
        <v>48</v>
      </c>
      <c r="D13" s="15" t="n">
        <v>50</v>
      </c>
      <c r="E13" s="15" t="n">
        <v>52</v>
      </c>
      <c r="F13" s="15" t="n">
        <v>54</v>
      </c>
      <c r="G13" s="15" t="n">
        <v>55</v>
      </c>
      <c r="H13" s="15" t="n">
        <v>56</v>
      </c>
      <c r="I13" s="15" t="n">
        <v>57</v>
      </c>
      <c r="J13" s="15" t="n">
        <v>58</v>
      </c>
      <c r="K13" s="15" t="n">
        <v>58</v>
      </c>
      <c r="L13" s="15" t="n">
        <v>58</v>
      </c>
      <c r="M13" s="15" t="n">
        <v>58</v>
      </c>
      <c r="N13" s="15" t="n">
        <v>58</v>
      </c>
    </row>
    <row r="14" customFormat="false" ht="15" hidden="false" customHeight="true" outlineLevel="0" collapsed="false">
      <c r="A14" s="1" t="s">
        <v>47</v>
      </c>
      <c r="B14" s="1" t="s">
        <v>18</v>
      </c>
      <c r="C14" s="15" t="n">
        <v>36</v>
      </c>
      <c r="D14" s="15" t="n">
        <v>40</v>
      </c>
      <c r="E14" s="15" t="n">
        <v>44</v>
      </c>
      <c r="F14" s="15" t="n">
        <v>48</v>
      </c>
      <c r="G14" s="15" t="n">
        <v>50</v>
      </c>
      <c r="H14" s="15" t="n">
        <v>52</v>
      </c>
      <c r="I14" s="15" t="n">
        <v>54</v>
      </c>
      <c r="J14" s="15" t="n">
        <v>55</v>
      </c>
      <c r="K14" s="15" t="n">
        <v>56</v>
      </c>
      <c r="L14" s="15" t="n">
        <v>56</v>
      </c>
      <c r="M14" s="15" t="n">
        <v>56</v>
      </c>
      <c r="N14" s="15" t="n">
        <v>56</v>
      </c>
    </row>
    <row r="15" customFormat="false" ht="15" hidden="false" customHeight="true" outlineLevel="0" collapsed="false">
      <c r="A15" s="1" t="s">
        <v>48</v>
      </c>
      <c r="B15" s="1" t="s">
        <v>18</v>
      </c>
      <c r="C15" s="15" t="n">
        <v>8</v>
      </c>
      <c r="D15" s="15" t="n">
        <v>10</v>
      </c>
      <c r="E15" s="15" t="n">
        <v>12</v>
      </c>
      <c r="F15" s="15" t="n">
        <v>14</v>
      </c>
      <c r="G15" s="15" t="n">
        <v>16</v>
      </c>
      <c r="H15" s="15" t="n">
        <v>18</v>
      </c>
      <c r="I15" s="15" t="n">
        <v>20</v>
      </c>
      <c r="J15" s="15" t="n">
        <v>22</v>
      </c>
      <c r="K15" s="15" t="n">
        <v>24</v>
      </c>
      <c r="L15" s="15" t="n">
        <v>25</v>
      </c>
      <c r="M15" s="15" t="n">
        <v>26</v>
      </c>
      <c r="N15" s="15" t="n">
        <v>27</v>
      </c>
    </row>
    <row r="16" customFormat="false" ht="15" hidden="false" customHeight="true" outlineLevel="0" collapsed="false">
      <c r="A16" s="1" t="s">
        <v>21</v>
      </c>
      <c r="B16" s="1" t="s">
        <v>18</v>
      </c>
      <c r="C16" s="15" t="n">
        <v>1</v>
      </c>
      <c r="D16" s="15" t="n">
        <v>1</v>
      </c>
      <c r="E16" s="15" t="n">
        <v>1</v>
      </c>
      <c r="F16" s="15" t="n">
        <v>1</v>
      </c>
      <c r="G16" s="15" t="n">
        <v>1</v>
      </c>
      <c r="H16" s="15" t="n">
        <v>1</v>
      </c>
      <c r="I16" s="15" t="n">
        <v>1</v>
      </c>
      <c r="J16" s="15" t="n">
        <v>1</v>
      </c>
      <c r="K16" s="15" t="n">
        <v>1</v>
      </c>
      <c r="L16" s="15" t="n">
        <v>1</v>
      </c>
      <c r="M16" s="15" t="n">
        <v>1</v>
      </c>
      <c r="N16" s="15" t="n">
        <v>1</v>
      </c>
    </row>
    <row r="17" customFormat="false" ht="15" hidden="false" customHeight="true" outlineLevel="0" collapsed="false">
      <c r="A17" s="1" t="s">
        <v>49</v>
      </c>
      <c r="B17" s="1" t="s">
        <v>18</v>
      </c>
      <c r="C17" s="15" t="n">
        <v>12</v>
      </c>
      <c r="D17" s="15" t="n">
        <v>14</v>
      </c>
      <c r="E17" s="15" t="n">
        <v>16</v>
      </c>
      <c r="F17" s="15" t="n">
        <v>18</v>
      </c>
      <c r="G17" s="15" t="n">
        <v>20</v>
      </c>
      <c r="H17" s="15" t="n">
        <v>22</v>
      </c>
      <c r="I17" s="15" t="n">
        <v>24</v>
      </c>
      <c r="J17" s="15" t="n">
        <v>24</v>
      </c>
      <c r="K17" s="15" t="n">
        <v>24</v>
      </c>
      <c r="L17" s="15" t="n">
        <v>24</v>
      </c>
      <c r="M17" s="15" t="n">
        <v>24</v>
      </c>
      <c r="N17" s="15" t="n">
        <v>24</v>
      </c>
    </row>
    <row r="18" customFormat="false" ht="15" hidden="false" customHeight="true" outlineLevel="0" collapsed="false">
      <c r="A18" s="1" t="s">
        <v>23</v>
      </c>
      <c r="B18" s="1" t="s">
        <v>18</v>
      </c>
      <c r="C18" s="15" t="n">
        <v>0</v>
      </c>
      <c r="D18" s="15" t="n">
        <v>0</v>
      </c>
      <c r="E18" s="15" t="n">
        <v>24</v>
      </c>
      <c r="F18" s="15" t="n">
        <v>30</v>
      </c>
      <c r="G18" s="15" t="n">
        <v>36</v>
      </c>
      <c r="H18" s="15" t="n">
        <v>42</v>
      </c>
      <c r="I18" s="15" t="n">
        <v>48</v>
      </c>
      <c r="J18" s="15" t="n">
        <v>52</v>
      </c>
      <c r="K18" s="15" t="n">
        <v>55</v>
      </c>
      <c r="L18" s="15" t="n">
        <v>58</v>
      </c>
      <c r="M18" s="15" t="n">
        <v>60</v>
      </c>
      <c r="N18" s="15" t="n">
        <v>60</v>
      </c>
    </row>
    <row r="19" customFormat="false" ht="15" hidden="false" customHeight="true" outlineLevel="0" collapsed="false">
      <c r="A19" s="1" t="s">
        <v>24</v>
      </c>
      <c r="B19" s="1" t="s">
        <v>18</v>
      </c>
      <c r="C19" s="15" t="n">
        <v>24</v>
      </c>
      <c r="D19" s="15" t="n">
        <v>26</v>
      </c>
      <c r="E19" s="15" t="n">
        <v>28</v>
      </c>
      <c r="F19" s="15" t="n">
        <v>30</v>
      </c>
      <c r="G19" s="15" t="n">
        <v>32</v>
      </c>
      <c r="H19" s="15" t="n">
        <v>34</v>
      </c>
      <c r="I19" s="15" t="n">
        <v>36</v>
      </c>
      <c r="J19" s="15" t="n">
        <v>38</v>
      </c>
      <c r="K19" s="15" t="n">
        <v>40</v>
      </c>
      <c r="L19" s="15" t="n">
        <v>40</v>
      </c>
      <c r="M19" s="15" t="n">
        <v>40</v>
      </c>
      <c r="N19" s="15" t="n">
        <v>40</v>
      </c>
    </row>
    <row r="21" customFormat="false" ht="15" hidden="false" customHeight="true" outlineLevel="0" collapsed="false">
      <c r="A21" s="16" t="s">
        <v>50</v>
      </c>
    </row>
    <row r="22" customFormat="false" ht="15" hidden="false" customHeight="true" outlineLevel="0" collapsed="false">
      <c r="A22" s="17" t="s">
        <v>51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customFormat="false" ht="15" hidden="false" customHeight="true" outlineLevel="0" collapsed="false">
      <c r="A23" s="17" t="s">
        <v>52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customFormat="false" ht="15" hidden="false" customHeight="true" outlineLevel="0" collapsed="false">
      <c r="A24" s="17" t="s">
        <v>53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customFormat="false" ht="15" hidden="false" customHeight="true" outlineLevel="0" collapsed="false">
      <c r="A25" s="17" t="s">
        <v>54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customFormat="false" ht="15" hidden="false" customHeight="true" outlineLevel="0" collapsed="false">
      <c r="A26" s="17" t="s">
        <v>55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customFormat="false" ht="15" hidden="false" customHeight="true" outlineLevel="0" collapsed="false">
      <c r="A27" s="17" t="s">
        <v>56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customFormat="false" ht="15" hidden="false" customHeight="true" outlineLevel="0" collapsed="false">
      <c r="A28" s="17" t="s">
        <v>57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customFormat="false" ht="15" hidden="false" customHeight="true" outlineLevel="0" collapsed="false">
      <c r="A29" s="17" t="s">
        <v>58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customFormat="false" ht="15" hidden="false" customHeight="true" outlineLevel="0" collapsed="false">
      <c r="A30" s="17" t="s">
        <v>59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customFormat="false" ht="15" hidden="false" customHeight="true" outlineLevel="0" collapsed="false">
      <c r="A31" s="17" t="s">
        <v>60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</sheetData>
  <mergeCells count="10">
    <mergeCell ref="A22:N22"/>
    <mergeCell ref="A23:N23"/>
    <mergeCell ref="A24:N24"/>
    <mergeCell ref="A25:N25"/>
    <mergeCell ref="A26:N26"/>
    <mergeCell ref="A27:N27"/>
    <mergeCell ref="A28:N28"/>
    <mergeCell ref="A29:N29"/>
    <mergeCell ref="A30:N30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  <col collapsed="false" customWidth="true" hidden="false" outlineLevel="0" max="14" min="3" style="0" width="13"/>
    <col collapsed="false" customWidth="true" hidden="false" outlineLevel="0" max="15" min="15" style="0" width="60"/>
  </cols>
  <sheetData>
    <row r="1" customFormat="false" ht="15" hidden="false" customHeight="false" outlineLevel="0" collapsed="false">
      <c r="A1" s="18" t="s">
        <v>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3" customFormat="false" ht="15" hidden="false" customHeight="fals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  <c r="O3" s="4" t="s">
        <v>63</v>
      </c>
    </row>
    <row r="4" customFormat="false" ht="15" hidden="false" customHeight="false" outlineLevel="0" collapsed="false">
      <c r="A4" s="18" t="s">
        <v>64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customFormat="false" ht="15" hidden="false" customHeight="false" outlineLevel="0" collapsed="false">
      <c r="A5" s="19" t="s">
        <v>65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customFormat="false" ht="15" hidden="false" customHeight="false" outlineLevel="0" collapsed="false">
      <c r="A6" s="20" t="s">
        <v>66</v>
      </c>
      <c r="B6" s="20" t="s">
        <v>5</v>
      </c>
      <c r="C6" s="21" t="n">
        <v>194.6</v>
      </c>
      <c r="D6" s="21" t="n">
        <v>208</v>
      </c>
      <c r="E6" s="22" t="n">
        <v>222</v>
      </c>
      <c r="F6" s="22" t="n">
        <v>237</v>
      </c>
      <c r="G6" s="22" t="n">
        <v>253</v>
      </c>
      <c r="H6" s="22" t="n">
        <v>270</v>
      </c>
      <c r="I6" s="22" t="n">
        <v>288</v>
      </c>
      <c r="J6" s="22" t="n">
        <v>307</v>
      </c>
      <c r="K6" s="22" t="n">
        <v>328</v>
      </c>
      <c r="L6" s="22" t="n">
        <v>350</v>
      </c>
      <c r="M6" s="22" t="n">
        <v>373</v>
      </c>
      <c r="N6" s="22" t="n">
        <v>398</v>
      </c>
      <c r="O6" s="23" t="s">
        <v>67</v>
      </c>
    </row>
    <row r="7" customFormat="false" ht="15" hidden="false" customHeight="false" outlineLevel="0" collapsed="false">
      <c r="A7" s="20" t="s">
        <v>68</v>
      </c>
      <c r="B7" s="20" t="s">
        <v>5</v>
      </c>
      <c r="C7" s="21" t="n">
        <v>39.9</v>
      </c>
      <c r="D7" s="21" t="n">
        <v>42.4</v>
      </c>
      <c r="E7" s="22" t="n">
        <v>45</v>
      </c>
      <c r="F7" s="22" t="n">
        <v>47.8</v>
      </c>
      <c r="G7" s="22" t="n">
        <v>50.8</v>
      </c>
      <c r="H7" s="22" t="n">
        <v>53.9</v>
      </c>
      <c r="I7" s="22" t="n">
        <v>57.3</v>
      </c>
      <c r="J7" s="22" t="n">
        <v>60.8</v>
      </c>
      <c r="K7" s="22" t="n">
        <v>64.5</v>
      </c>
      <c r="L7" s="22" t="n">
        <v>68.5</v>
      </c>
      <c r="M7" s="22" t="n">
        <v>72.8</v>
      </c>
      <c r="N7" s="22" t="n">
        <v>77.3</v>
      </c>
      <c r="O7" s="23" t="s">
        <v>69</v>
      </c>
    </row>
    <row r="8" customFormat="false" ht="15" hidden="false" customHeight="false" outlineLevel="0" collapsed="false">
      <c r="A8" s="20" t="s">
        <v>70</v>
      </c>
      <c r="B8" s="20" t="s">
        <v>5</v>
      </c>
      <c r="C8" s="21" t="n">
        <v>31.5</v>
      </c>
      <c r="D8" s="21" t="n">
        <v>33.5</v>
      </c>
      <c r="E8" s="22" t="n">
        <v>35.6</v>
      </c>
      <c r="F8" s="22" t="n">
        <v>37.8</v>
      </c>
      <c r="G8" s="22" t="n">
        <v>40.2</v>
      </c>
      <c r="H8" s="22" t="n">
        <v>42.7</v>
      </c>
      <c r="I8" s="22" t="n">
        <v>45.4</v>
      </c>
      <c r="J8" s="22" t="n">
        <v>48.2</v>
      </c>
      <c r="K8" s="22" t="n">
        <v>51.2</v>
      </c>
      <c r="L8" s="22" t="n">
        <v>54.4</v>
      </c>
      <c r="M8" s="22" t="n">
        <v>57.8</v>
      </c>
      <c r="N8" s="22" t="n">
        <v>61.4</v>
      </c>
      <c r="O8" s="23" t="s">
        <v>71</v>
      </c>
    </row>
    <row r="9" customFormat="false" ht="15" hidden="false" customHeight="false" outlineLevel="0" collapsed="false">
      <c r="A9" s="20" t="s">
        <v>72</v>
      </c>
      <c r="B9" s="20" t="s">
        <v>5</v>
      </c>
      <c r="C9" s="21" t="n">
        <v>1.9</v>
      </c>
      <c r="D9" s="21" t="n">
        <v>2.1</v>
      </c>
      <c r="E9" s="22" t="n">
        <v>2.3</v>
      </c>
      <c r="F9" s="22" t="n">
        <v>2.6</v>
      </c>
      <c r="G9" s="22" t="n">
        <v>2.9</v>
      </c>
      <c r="H9" s="22" t="n">
        <v>3.2</v>
      </c>
      <c r="I9" s="22" t="n">
        <v>3.6</v>
      </c>
      <c r="J9" s="22" t="n">
        <v>4</v>
      </c>
      <c r="K9" s="22" t="n">
        <v>4.4</v>
      </c>
      <c r="L9" s="22" t="n">
        <v>4.9</v>
      </c>
      <c r="M9" s="22" t="n">
        <v>5.4</v>
      </c>
      <c r="N9" s="22" t="n">
        <v>6</v>
      </c>
      <c r="O9" s="23" t="s">
        <v>73</v>
      </c>
    </row>
    <row r="10" customFormat="false" ht="15" hidden="false" customHeight="false" outlineLevel="0" collapsed="false">
      <c r="A10" s="20" t="s">
        <v>74</v>
      </c>
      <c r="B10" s="20" t="s">
        <v>5</v>
      </c>
      <c r="C10" s="21" t="n">
        <v>4.5</v>
      </c>
      <c r="D10" s="21" t="n">
        <v>4.8</v>
      </c>
      <c r="E10" s="22" t="n">
        <v>5.1</v>
      </c>
      <c r="F10" s="22" t="n">
        <v>5.4</v>
      </c>
      <c r="G10" s="22" t="n">
        <v>5.7</v>
      </c>
      <c r="H10" s="22" t="n">
        <v>6</v>
      </c>
      <c r="I10" s="22" t="n">
        <v>6.4</v>
      </c>
      <c r="J10" s="22" t="n">
        <v>6.7</v>
      </c>
      <c r="K10" s="22" t="n">
        <v>7.1</v>
      </c>
      <c r="L10" s="22" t="n">
        <v>7.5</v>
      </c>
      <c r="M10" s="22" t="n">
        <v>8</v>
      </c>
      <c r="N10" s="22" t="n">
        <v>8.5</v>
      </c>
      <c r="O10" s="23" t="s">
        <v>75</v>
      </c>
    </row>
    <row r="11" customFormat="false" ht="15" hidden="false" customHeight="false" outlineLevel="0" collapsed="false">
      <c r="A11" s="20" t="s">
        <v>76</v>
      </c>
      <c r="B11" s="20" t="s">
        <v>5</v>
      </c>
      <c r="C11" s="21" t="n">
        <v>2</v>
      </c>
      <c r="D11" s="21" t="n">
        <v>2.1</v>
      </c>
      <c r="E11" s="22" t="n">
        <v>2.2</v>
      </c>
      <c r="F11" s="22" t="n">
        <v>2.4</v>
      </c>
      <c r="G11" s="22" t="n">
        <v>2.5</v>
      </c>
      <c r="H11" s="22" t="n">
        <v>2.7</v>
      </c>
      <c r="I11" s="22" t="n">
        <v>2.8</v>
      </c>
      <c r="J11" s="22" t="n">
        <v>3</v>
      </c>
      <c r="K11" s="22" t="n">
        <v>3.1</v>
      </c>
      <c r="L11" s="22" t="n">
        <v>3.3</v>
      </c>
      <c r="M11" s="22" t="n">
        <v>3.5</v>
      </c>
      <c r="N11" s="22" t="n">
        <v>3.7</v>
      </c>
      <c r="O11" s="23" t="s">
        <v>77</v>
      </c>
    </row>
    <row r="13" customFormat="false" ht="15" hidden="false" customHeight="false" outlineLevel="0" collapsed="false">
      <c r="A13" s="18" t="s">
        <v>78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customFormat="false" ht="15" hidden="false" customHeight="false" outlineLevel="0" collapsed="false">
      <c r="A14" s="19" t="s">
        <v>79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customFormat="false" ht="15" hidden="false" customHeight="false" outlineLevel="0" collapsed="false">
      <c r="A15" s="20" t="s">
        <v>80</v>
      </c>
      <c r="B15" s="20" t="s">
        <v>5</v>
      </c>
      <c r="C15" s="21" t="n">
        <v>125</v>
      </c>
      <c r="D15" s="21" t="n">
        <v>135</v>
      </c>
      <c r="E15" s="22" t="n">
        <v>145</v>
      </c>
      <c r="F15" s="22" t="n">
        <v>156</v>
      </c>
      <c r="G15" s="22" t="n">
        <v>168</v>
      </c>
      <c r="H15" s="22" t="n">
        <v>180</v>
      </c>
      <c r="I15" s="22" t="n">
        <v>193</v>
      </c>
      <c r="J15" s="22" t="n">
        <v>207</v>
      </c>
      <c r="K15" s="22" t="n">
        <v>222</v>
      </c>
      <c r="L15" s="22" t="n">
        <v>238</v>
      </c>
      <c r="M15" s="22" t="n">
        <v>256</v>
      </c>
      <c r="N15" s="22" t="n">
        <v>275</v>
      </c>
      <c r="O15" s="23" t="s">
        <v>81</v>
      </c>
    </row>
    <row r="16" customFormat="false" ht="15" hidden="false" customHeight="false" outlineLevel="0" collapsed="false">
      <c r="A16" s="20" t="s">
        <v>82</v>
      </c>
      <c r="B16" s="20" t="s">
        <v>5</v>
      </c>
      <c r="C16" s="21" t="n">
        <v>32.7</v>
      </c>
      <c r="D16" s="21" t="n">
        <v>35</v>
      </c>
      <c r="E16" s="22" t="n">
        <v>37</v>
      </c>
      <c r="F16" s="22" t="n">
        <v>40</v>
      </c>
      <c r="G16" s="22" t="n">
        <v>43</v>
      </c>
      <c r="H16" s="22" t="n">
        <v>46</v>
      </c>
      <c r="I16" s="22" t="n">
        <v>49</v>
      </c>
      <c r="J16" s="22" t="n">
        <v>53</v>
      </c>
      <c r="K16" s="22" t="n">
        <v>57</v>
      </c>
      <c r="L16" s="22" t="n">
        <v>61</v>
      </c>
      <c r="M16" s="22" t="n">
        <v>65</v>
      </c>
      <c r="N16" s="22" t="n">
        <v>70</v>
      </c>
      <c r="O16" s="23" t="s">
        <v>83</v>
      </c>
    </row>
    <row r="17" customFormat="false" ht="15" hidden="false" customHeight="false" outlineLevel="0" collapsed="false">
      <c r="A17" s="20" t="s">
        <v>84</v>
      </c>
      <c r="B17" s="20" t="s">
        <v>5</v>
      </c>
      <c r="C17" s="21" t="n">
        <v>52</v>
      </c>
      <c r="D17" s="21" t="n">
        <v>55</v>
      </c>
      <c r="E17" s="22" t="n">
        <v>58</v>
      </c>
      <c r="F17" s="22" t="n">
        <v>61</v>
      </c>
      <c r="G17" s="22" t="n">
        <v>64</v>
      </c>
      <c r="H17" s="22" t="n">
        <v>68</v>
      </c>
      <c r="I17" s="22" t="n">
        <v>72</v>
      </c>
      <c r="J17" s="22" t="n">
        <v>76</v>
      </c>
      <c r="K17" s="22" t="n">
        <v>80</v>
      </c>
      <c r="L17" s="22" t="n">
        <v>84</v>
      </c>
      <c r="M17" s="22" t="n">
        <v>89</v>
      </c>
      <c r="N17" s="22" t="n">
        <v>94</v>
      </c>
      <c r="O17" s="23" t="s">
        <v>85</v>
      </c>
    </row>
    <row r="18" customFormat="false" ht="15" hidden="false" customHeight="false" outlineLevel="0" collapsed="false">
      <c r="A18" s="20" t="s">
        <v>86</v>
      </c>
      <c r="B18" s="20" t="s">
        <v>5</v>
      </c>
      <c r="C18" s="21" t="n">
        <v>61</v>
      </c>
      <c r="D18" s="21" t="n">
        <v>64</v>
      </c>
      <c r="E18" s="22" t="n">
        <v>67</v>
      </c>
      <c r="F18" s="22" t="n">
        <v>70</v>
      </c>
      <c r="G18" s="22" t="n">
        <v>73</v>
      </c>
      <c r="H18" s="22" t="n">
        <v>77</v>
      </c>
      <c r="I18" s="22" t="n">
        <v>81</v>
      </c>
      <c r="J18" s="22" t="n">
        <v>85</v>
      </c>
      <c r="K18" s="22" t="n">
        <v>89</v>
      </c>
      <c r="L18" s="22" t="n">
        <v>94</v>
      </c>
      <c r="M18" s="22" t="n">
        <v>99</v>
      </c>
      <c r="N18" s="22" t="n">
        <v>104</v>
      </c>
      <c r="O18" s="23" t="s">
        <v>87</v>
      </c>
    </row>
    <row r="19" customFormat="false" ht="15" hidden="false" customHeight="false" outlineLevel="0" collapsed="false">
      <c r="A19" s="20" t="s">
        <v>88</v>
      </c>
      <c r="B19" s="20" t="s">
        <v>5</v>
      </c>
      <c r="C19" s="21" t="n">
        <v>10</v>
      </c>
      <c r="D19" s="21" t="n">
        <v>12</v>
      </c>
      <c r="E19" s="22" t="n">
        <v>14</v>
      </c>
      <c r="F19" s="22" t="n">
        <v>16</v>
      </c>
      <c r="G19" s="22" t="n">
        <v>19</v>
      </c>
      <c r="H19" s="22" t="n">
        <v>22</v>
      </c>
      <c r="I19" s="22" t="n">
        <v>25</v>
      </c>
      <c r="J19" s="22" t="n">
        <v>29</v>
      </c>
      <c r="K19" s="22" t="n">
        <v>33</v>
      </c>
      <c r="L19" s="22" t="n">
        <v>37</v>
      </c>
      <c r="M19" s="22" t="n">
        <v>42</v>
      </c>
      <c r="N19" s="22" t="n">
        <v>47</v>
      </c>
      <c r="O19" s="23" t="s">
        <v>89</v>
      </c>
    </row>
    <row r="21" customFormat="false" ht="15" hidden="false" customHeight="false" outlineLevel="0" collapsed="false">
      <c r="A21" s="18" t="s">
        <v>90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customFormat="false" ht="15" hidden="false" customHeight="false" outlineLevel="0" collapsed="false">
      <c r="A22" s="19" t="s">
        <v>91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15" hidden="false" customHeight="false" outlineLevel="0" collapsed="false">
      <c r="A23" s="20" t="s">
        <v>92</v>
      </c>
      <c r="B23" s="20" t="s">
        <v>8</v>
      </c>
      <c r="C23" s="24" t="n">
        <v>213.3</v>
      </c>
      <c r="D23" s="24" t="n">
        <v>374.5</v>
      </c>
      <c r="O23" s="23" t="s">
        <v>93</v>
      </c>
    </row>
    <row r="24" customFormat="false" ht="15" hidden="false" customHeight="false" outlineLevel="0" collapsed="false">
      <c r="A24" s="20" t="s">
        <v>94</v>
      </c>
      <c r="B24" s="20" t="s">
        <v>8</v>
      </c>
      <c r="C24" s="24" t="n">
        <v>180</v>
      </c>
      <c r="D24" s="24" t="n">
        <v>390</v>
      </c>
      <c r="O24" s="23" t="s">
        <v>95</v>
      </c>
    </row>
    <row r="25" customFormat="false" ht="15" hidden="false" customHeight="false" outlineLevel="0" collapsed="false">
      <c r="A25" s="20" t="s">
        <v>96</v>
      </c>
      <c r="B25" s="20" t="s">
        <v>8</v>
      </c>
      <c r="D25" s="24" t="n">
        <v>450</v>
      </c>
      <c r="O25" s="23" t="s">
        <v>97</v>
      </c>
    </row>
    <row r="26" customFormat="false" ht="15" hidden="false" customHeight="false" outlineLevel="0" collapsed="false">
      <c r="A26" s="20" t="s">
        <v>98</v>
      </c>
      <c r="B26" s="20" t="s">
        <v>99</v>
      </c>
      <c r="C26" s="25" t="n">
        <v>0.37</v>
      </c>
      <c r="D26" s="25" t="n">
        <v>0.26</v>
      </c>
      <c r="O26" s="23" t="s">
        <v>100</v>
      </c>
    </row>
    <row r="27" customFormat="false" ht="15" hidden="false" customHeight="false" outlineLevel="0" collapsed="false">
      <c r="A27" s="20" t="s">
        <v>101</v>
      </c>
      <c r="B27" s="20" t="s">
        <v>99</v>
      </c>
      <c r="C27" s="25" t="n">
        <v>0.63</v>
      </c>
      <c r="D27" s="25" t="n">
        <v>0.74</v>
      </c>
      <c r="O27" s="23" t="s">
        <v>102</v>
      </c>
    </row>
    <row r="29" customFormat="false" ht="15" hidden="false" customHeight="false" outlineLevel="0" collapsed="false">
      <c r="A29" s="19" t="s">
        <v>103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customFormat="false" ht="15" hidden="false" customHeight="false" outlineLevel="0" collapsed="false">
      <c r="A30" s="4" t="s">
        <v>104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customFormat="false" ht="15" hidden="false" customHeight="false" outlineLevel="0" collapsed="false">
      <c r="A31" s="20" t="s">
        <v>105</v>
      </c>
      <c r="B31" s="20" t="s">
        <v>8</v>
      </c>
      <c r="C31" s="21" t="n">
        <v>22.2</v>
      </c>
      <c r="D31" s="21" t="n">
        <v>39.1</v>
      </c>
      <c r="O31" s="23" t="s">
        <v>106</v>
      </c>
    </row>
    <row r="32" customFormat="false" ht="15" hidden="false" customHeight="false" outlineLevel="0" collapsed="false">
      <c r="A32" s="20" t="s">
        <v>107</v>
      </c>
      <c r="B32" s="20" t="s">
        <v>8</v>
      </c>
      <c r="C32" s="21" t="n">
        <v>6.7</v>
      </c>
      <c r="D32" s="21" t="n">
        <v>10</v>
      </c>
      <c r="O32" s="23" t="s">
        <v>108</v>
      </c>
    </row>
    <row r="33" customFormat="false" ht="15" hidden="false" customHeight="false" outlineLevel="0" collapsed="false">
      <c r="A33" s="20" t="s">
        <v>109</v>
      </c>
      <c r="B33" s="20" t="s">
        <v>8</v>
      </c>
      <c r="C33" s="21" t="n">
        <v>4.7</v>
      </c>
      <c r="D33" s="21" t="n">
        <v>9</v>
      </c>
      <c r="O33" s="23" t="s">
        <v>110</v>
      </c>
    </row>
    <row r="34" customFormat="false" ht="15" hidden="false" customHeight="false" outlineLevel="0" collapsed="false">
      <c r="A34" s="20" t="s">
        <v>111</v>
      </c>
      <c r="B34" s="20" t="s">
        <v>8</v>
      </c>
      <c r="C34" s="21" t="n">
        <v>45.3</v>
      </c>
      <c r="D34" s="21" t="n">
        <v>39.3</v>
      </c>
      <c r="O34" s="23" t="s">
        <v>112</v>
      </c>
    </row>
    <row r="35" customFormat="false" ht="15" hidden="false" customHeight="false" outlineLevel="0" collapsed="false">
      <c r="A35" s="26" t="s">
        <v>113</v>
      </c>
      <c r="B35" s="0" t="s">
        <v>8</v>
      </c>
      <c r="C35" s="27" t="n">
        <f aca="false">SUM(C31:C34)</f>
        <v>78.9</v>
      </c>
      <c r="D35" s="27" t="n">
        <f aca="false">SUM(D31:D34)</f>
        <v>97.4</v>
      </c>
      <c r="O35" s="23" t="s">
        <v>114</v>
      </c>
    </row>
    <row r="37" customFormat="false" ht="15" hidden="false" customHeight="false" outlineLevel="0" collapsed="false">
      <c r="A37" s="19" t="s">
        <v>115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customFormat="false" ht="15" hidden="false" customHeight="false" outlineLevel="0" collapsed="false">
      <c r="A38" s="4" t="s">
        <v>116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customFormat="false" ht="15" hidden="false" customHeight="false" outlineLevel="0" collapsed="false">
      <c r="A39" s="20" t="s">
        <v>105</v>
      </c>
      <c r="B39" s="20" t="s">
        <v>8</v>
      </c>
      <c r="C39" s="21" t="n">
        <v>22.2</v>
      </c>
      <c r="D39" s="21" t="n">
        <v>44</v>
      </c>
      <c r="O39" s="23" t="s">
        <v>117</v>
      </c>
    </row>
    <row r="40" customFormat="false" ht="15" hidden="false" customHeight="false" outlineLevel="0" collapsed="false">
      <c r="A40" s="20" t="s">
        <v>107</v>
      </c>
      <c r="B40" s="20" t="s">
        <v>8</v>
      </c>
      <c r="C40" s="21" t="n">
        <v>12.4</v>
      </c>
      <c r="D40" s="21" t="n">
        <v>22.2</v>
      </c>
      <c r="O40" s="23" t="s">
        <v>118</v>
      </c>
    </row>
    <row r="41" customFormat="false" ht="15" hidden="false" customHeight="false" outlineLevel="0" collapsed="false">
      <c r="A41" s="20" t="s">
        <v>109</v>
      </c>
      <c r="B41" s="20" t="s">
        <v>8</v>
      </c>
      <c r="C41" s="21" t="n">
        <v>34.1</v>
      </c>
      <c r="D41" s="21" t="n">
        <v>80.7</v>
      </c>
      <c r="O41" s="23" t="s">
        <v>119</v>
      </c>
    </row>
    <row r="42" customFormat="false" ht="15" hidden="false" customHeight="false" outlineLevel="0" collapsed="false">
      <c r="A42" s="20" t="s">
        <v>111</v>
      </c>
      <c r="B42" s="20" t="s">
        <v>8</v>
      </c>
      <c r="C42" s="21" t="n">
        <v>65.7</v>
      </c>
      <c r="D42" s="21" t="n">
        <v>130.3</v>
      </c>
      <c r="O42" s="23" t="s">
        <v>120</v>
      </c>
    </row>
    <row r="43" customFormat="false" ht="15" hidden="false" customHeight="false" outlineLevel="0" collapsed="false">
      <c r="A43" s="26" t="s">
        <v>121</v>
      </c>
      <c r="B43" s="0" t="s">
        <v>8</v>
      </c>
      <c r="C43" s="27" t="n">
        <f aca="false">SUM(C39:C42)</f>
        <v>134.4</v>
      </c>
      <c r="D43" s="27" t="n">
        <f aca="false">SUM(D39:D42)</f>
        <v>277.2</v>
      </c>
    </row>
    <row r="45" customFormat="false" ht="15" hidden="false" customHeight="false" outlineLevel="0" collapsed="false">
      <c r="A45" s="28" t="s">
        <v>122</v>
      </c>
      <c r="B45" s="0" t="s">
        <v>8</v>
      </c>
      <c r="C45" s="29" t="n">
        <f aca="false">C35+C43</f>
        <v>213.3</v>
      </c>
      <c r="D45" s="29" t="n">
        <f aca="false">D35+D43</f>
        <v>374.6</v>
      </c>
      <c r="O45" s="23" t="s">
        <v>123</v>
      </c>
    </row>
    <row r="47" customFormat="false" ht="15" hidden="false" customHeight="false" outlineLevel="0" collapsed="false">
      <c r="A47" s="18" t="s">
        <v>124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customFormat="false" ht="15" hidden="false" customHeight="false" outlineLevel="0" collapsed="false">
      <c r="A48" s="19" t="s">
        <v>125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customFormat="false" ht="15" hidden="false" customHeight="false" outlineLevel="0" collapsed="false">
      <c r="A49" s="20" t="s">
        <v>126</v>
      </c>
      <c r="B49" s="0" t="s">
        <v>99</v>
      </c>
      <c r="C49" s="30" t="n">
        <f aca="false">C31/(C8*1000)</f>
        <v>0.000704761904761905</v>
      </c>
      <c r="D49" s="30" t="n">
        <f aca="false">D31/(D8*1000)</f>
        <v>0.00116716417910448</v>
      </c>
      <c r="O49" s="23" t="s">
        <v>127</v>
      </c>
    </row>
    <row r="50" customFormat="false" ht="15" hidden="false" customHeight="false" outlineLevel="0" collapsed="false">
      <c r="A50" s="20" t="s">
        <v>128</v>
      </c>
      <c r="B50" s="0" t="s">
        <v>99</v>
      </c>
      <c r="C50" s="30" t="n">
        <f aca="false">C32/(C9*1000)</f>
        <v>0.00352631578947368</v>
      </c>
      <c r="D50" s="30" t="n">
        <f aca="false">D32/(D9*1000)</f>
        <v>0.00476190476190476</v>
      </c>
    </row>
    <row r="51" customFormat="false" ht="15" hidden="false" customHeight="false" outlineLevel="0" collapsed="false">
      <c r="A51" s="20" t="s">
        <v>129</v>
      </c>
      <c r="B51" s="0" t="s">
        <v>99</v>
      </c>
      <c r="C51" s="30" t="n">
        <f aca="false">C33/(C10*1000)</f>
        <v>0.00104444444444444</v>
      </c>
      <c r="D51" s="30" t="n">
        <f aca="false">D33/(D10*1000)</f>
        <v>0.001875</v>
      </c>
    </row>
    <row r="52" customFormat="false" ht="15" hidden="false" customHeight="false" outlineLevel="0" collapsed="false">
      <c r="A52" s="20" t="s">
        <v>130</v>
      </c>
      <c r="B52" s="0" t="s">
        <v>99</v>
      </c>
      <c r="C52" s="30" t="n">
        <f aca="false">C34/(C11*1000)</f>
        <v>0.02265</v>
      </c>
      <c r="D52" s="30" t="n">
        <f aca="false">D34/(D11*1000)</f>
        <v>0.0187142857142857</v>
      </c>
    </row>
    <row r="54" customFormat="false" ht="15" hidden="false" customHeight="false" outlineLevel="0" collapsed="false">
      <c r="A54" s="19" t="s">
        <v>131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customFormat="false" ht="15" hidden="false" customHeight="false" outlineLevel="0" collapsed="false">
      <c r="A55" s="20" t="s">
        <v>126</v>
      </c>
      <c r="B55" s="0" t="s">
        <v>99</v>
      </c>
      <c r="C55" s="30" t="n">
        <f aca="false">C39/(C16*1000)</f>
        <v>0.000678899082568807</v>
      </c>
      <c r="D55" s="30" t="n">
        <f aca="false">D39/(D16*1000)</f>
        <v>0.00125714285714286</v>
      </c>
      <c r="O55" s="23" t="s">
        <v>127</v>
      </c>
    </row>
    <row r="56" customFormat="false" ht="15" hidden="false" customHeight="false" outlineLevel="0" collapsed="false">
      <c r="A56" s="20" t="s">
        <v>128</v>
      </c>
      <c r="B56" s="0" t="s">
        <v>99</v>
      </c>
      <c r="C56" s="30" t="n">
        <f aca="false">C40/(C17*1000)</f>
        <v>0.000238461538461538</v>
      </c>
      <c r="D56" s="30" t="n">
        <f aca="false">D40/(D17*1000)</f>
        <v>0.000403636363636364</v>
      </c>
    </row>
    <row r="57" customFormat="false" ht="15" hidden="false" customHeight="false" outlineLevel="0" collapsed="false">
      <c r="A57" s="20" t="s">
        <v>129</v>
      </c>
      <c r="B57" s="0" t="s">
        <v>99</v>
      </c>
      <c r="C57" s="30" t="n">
        <f aca="false">C41/(C18*1000)</f>
        <v>0.000559016393442623</v>
      </c>
      <c r="D57" s="30" t="n">
        <f aca="false">D41/(D18*1000)</f>
        <v>0.0012609375</v>
      </c>
    </row>
    <row r="58" customFormat="false" ht="15" hidden="false" customHeight="false" outlineLevel="0" collapsed="false">
      <c r="A58" s="20" t="s">
        <v>130</v>
      </c>
      <c r="B58" s="0" t="s">
        <v>99</v>
      </c>
      <c r="C58" s="30" t="n">
        <f aca="false">C42/(C19*1000)</f>
        <v>0.00657</v>
      </c>
      <c r="D58" s="30" t="n">
        <f aca="false">D42/(D19*1000)</f>
        <v>0.0108583333333333</v>
      </c>
    </row>
    <row r="60" customFormat="false" ht="15" hidden="false" customHeight="false" outlineLevel="0" collapsed="false">
      <c r="A60" s="18" t="s">
        <v>132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customFormat="false" ht="15" hidden="false" customHeight="false" outlineLevel="0" collapsed="false">
      <c r="A61" s="31" t="s">
        <v>133</v>
      </c>
    </row>
    <row r="62" customFormat="false" ht="15" hidden="false" customHeight="false" outlineLevel="0" collapsed="false">
      <c r="A62" s="31" t="s">
        <v>134</v>
      </c>
    </row>
    <row r="64" customFormat="false" ht="15" hidden="false" customHeight="false" outlineLevel="0" collapsed="false">
      <c r="A64" s="18" t="s">
        <v>135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customFormat="false" ht="15" hidden="false" customHeight="false" outlineLevel="0" collapsed="false">
      <c r="A65" s="32" t="s">
        <v>136</v>
      </c>
      <c r="C65" s="33" t="s">
        <v>137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</row>
    <row r="66" customFormat="false" ht="15" hidden="false" customHeight="false" outlineLevel="0" collapsed="false">
      <c r="A66" s="32" t="s">
        <v>138</v>
      </c>
      <c r="C66" s="33" t="s">
        <v>139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 customFormat="false" ht="15" hidden="false" customHeight="false" outlineLevel="0" collapsed="false">
      <c r="A67" s="32" t="s">
        <v>140</v>
      </c>
      <c r="C67" s="33" t="s">
        <v>141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</row>
    <row r="68" customFormat="false" ht="15" hidden="false" customHeight="false" outlineLevel="0" collapsed="false">
      <c r="A68" s="32" t="s">
        <v>142</v>
      </c>
      <c r="C68" s="33" t="s">
        <v>143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</row>
    <row r="69" customFormat="false" ht="15" hidden="false" customHeight="false" outlineLevel="0" collapsed="false">
      <c r="A69" s="32" t="s">
        <v>144</v>
      </c>
      <c r="C69" s="33" t="s">
        <v>145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</row>
    <row r="70" customFormat="false" ht="15" hidden="false" customHeight="false" outlineLevel="0" collapsed="false">
      <c r="A70" s="32" t="s">
        <v>146</v>
      </c>
      <c r="C70" s="33" t="s">
        <v>147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1" customFormat="false" ht="15" hidden="false" customHeight="false" outlineLevel="0" collapsed="false">
      <c r="A71" s="32" t="s">
        <v>148</v>
      </c>
      <c r="C71" s="33" t="s">
        <v>149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</row>
    <row r="72" customFormat="false" ht="15" hidden="false" customHeight="false" outlineLevel="0" collapsed="false">
      <c r="A72" s="32" t="s">
        <v>150</v>
      </c>
      <c r="C72" s="33" t="s">
        <v>151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3" customFormat="false" ht="15" hidden="false" customHeight="false" outlineLevel="0" collapsed="false">
      <c r="A73" s="32" t="s">
        <v>152</v>
      </c>
      <c r="C73" s="33" t="s">
        <v>153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</row>
    <row r="74" customFormat="false" ht="15" hidden="false" customHeight="false" outlineLevel="0" collapsed="false">
      <c r="A74" s="32" t="s">
        <v>154</v>
      </c>
      <c r="C74" s="33" t="s">
        <v>155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</row>
    <row r="75" customFormat="false" ht="15" hidden="false" customHeight="false" outlineLevel="0" collapsed="false">
      <c r="A75" s="32" t="s">
        <v>156</v>
      </c>
      <c r="C75" s="33" t="s">
        <v>157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</row>
    <row r="76" customFormat="false" ht="15" hidden="false" customHeight="false" outlineLevel="0" collapsed="false">
      <c r="A76" s="32" t="s">
        <v>158</v>
      </c>
      <c r="C76" s="33" t="s">
        <v>159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</sheetData>
  <mergeCells count="12">
    <mergeCell ref="C65:O65"/>
    <mergeCell ref="C66:O66"/>
    <mergeCell ref="C67:O67"/>
    <mergeCell ref="C68:O68"/>
    <mergeCell ref="C69:O69"/>
    <mergeCell ref="C70:O70"/>
    <mergeCell ref="C71:O71"/>
    <mergeCell ref="C72:O72"/>
    <mergeCell ref="C73:O73"/>
    <mergeCell ref="C74:O74"/>
    <mergeCell ref="C75:O75"/>
    <mergeCell ref="C76:O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3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3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3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3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3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  <col collapsed="false" customWidth="true" hidden="false" outlineLevel="0" max="14" min="3" style="1" width="14"/>
  </cols>
  <sheetData>
    <row r="1" customFormat="false" ht="15" hidden="false" customHeight="true" outlineLevel="0" collapsed="false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4" t="s">
        <v>62</v>
      </c>
      <c r="B3" s="4" t="s">
        <v>2</v>
      </c>
      <c r="C3" s="5" t="n">
        <v>2024</v>
      </c>
      <c r="D3" s="5" t="n">
        <v>2025</v>
      </c>
      <c r="E3" s="5" t="n">
        <v>2026</v>
      </c>
      <c r="F3" s="5" t="n">
        <v>2027</v>
      </c>
      <c r="G3" s="5" t="n">
        <v>2028</v>
      </c>
      <c r="H3" s="5" t="n">
        <v>2029</v>
      </c>
      <c r="I3" s="5" t="n">
        <v>2030</v>
      </c>
      <c r="J3" s="5" t="n">
        <v>2031</v>
      </c>
      <c r="K3" s="5" t="n">
        <v>2032</v>
      </c>
      <c r="L3" s="5" t="n">
        <v>2033</v>
      </c>
      <c r="M3" s="5" t="n">
        <v>2034</v>
      </c>
      <c r="N3" s="5" t="n">
        <v>2035</v>
      </c>
    </row>
    <row r="5" customFormat="false" ht="15" hidden="false" customHeight="true" outlineLevel="0" collapsed="false">
      <c r="A5" s="3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2026-04-23T05:40:03Z</dcterms:created>
  <dc:creator>openpyxl</dc:creator>
  <dc:description/>
  <dc:language>en-US</dc:language>
  <cp:lastModifiedBy/>
  <dcterms:modified xsi:type="dcterms:W3CDTF">2026-04-23T06:01:20Z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