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f1201067fc29930/Desktop/Codex folder/India Power/"/>
    </mc:Choice>
  </mc:AlternateContent>
  <xr:revisionPtr revIDLastSave="0" documentId="11_5EE570A9FAFE540744C6381519376D08F42491D0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H_Master_Summary" sheetId="1" r:id="rId1"/>
    <sheet name="MH_Master_List" sheetId="2" r:id="rId2"/>
    <sheet name="Summary" sheetId="3" r:id="rId3"/>
    <sheet name="By_Group" sheetId="4" r:id="rId4"/>
    <sheet name="SLDC_Projects" sheetId="5" r:id="rId5"/>
    <sheet name="Ours_not_in_SLDC" sheetId="6" r:id="rId6"/>
  </sheets>
  <definedNames>
    <definedName name="_xlnm._FilterDatabase" localSheetId="1" hidden="1">MH_Master_List!$A$4:$Y$61</definedName>
    <definedName name="_xlnm._FilterDatabase" localSheetId="4" hidden="1">SLDC_Projects!$A$4:$AD$40</definedName>
  </definedNames>
  <calcPr calcId="191029"/>
</workbook>
</file>

<file path=xl/calcChain.xml><?xml version="1.0" encoding="utf-8"?>
<calcChain xmlns="http://schemas.openxmlformats.org/spreadsheetml/2006/main">
  <c r="AC43" i="5" l="1"/>
  <c r="AB43" i="5"/>
  <c r="AA43" i="5"/>
  <c r="Z43" i="5"/>
  <c r="Y43" i="5"/>
  <c r="X43" i="5"/>
  <c r="B38" i="3" s="1"/>
  <c r="W43" i="5"/>
  <c r="B37" i="3" s="1"/>
  <c r="V43" i="5"/>
  <c r="U43" i="5"/>
  <c r="T43" i="5"/>
  <c r="S43" i="5"/>
  <c r="R43" i="5"/>
  <c r="Q43" i="5"/>
  <c r="P43" i="5"/>
  <c r="B30" i="3" s="1"/>
  <c r="J42" i="5"/>
  <c r="I42" i="5"/>
  <c r="H42" i="5"/>
  <c r="G42" i="5"/>
  <c r="J41" i="5"/>
  <c r="I41" i="5"/>
  <c r="H41" i="5"/>
  <c r="H43" i="5" s="1"/>
  <c r="B7" i="3" s="1"/>
  <c r="G41" i="5"/>
  <c r="G43" i="5" s="1"/>
  <c r="B6" i="3" s="1"/>
  <c r="AD40" i="5"/>
  <c r="AD39" i="5"/>
  <c r="AD38" i="5"/>
  <c r="AD37" i="5"/>
  <c r="AD36" i="5"/>
  <c r="AD35" i="5"/>
  <c r="AD34" i="5"/>
  <c r="AD33" i="5"/>
  <c r="AD32" i="5"/>
  <c r="AD31" i="5"/>
  <c r="AD30" i="5"/>
  <c r="AD29" i="5"/>
  <c r="AD28" i="5"/>
  <c r="AD27" i="5"/>
  <c r="AD26" i="5"/>
  <c r="AD25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D10" i="5"/>
  <c r="AD9" i="5"/>
  <c r="AD8" i="5"/>
  <c r="AD7" i="5"/>
  <c r="AD6" i="5"/>
  <c r="AD5" i="5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D22" i="4" s="1"/>
  <c r="C4" i="4"/>
  <c r="B4" i="4"/>
  <c r="B43" i="3"/>
  <c r="B42" i="3"/>
  <c r="B41" i="3"/>
  <c r="B40" i="3"/>
  <c r="B39" i="3"/>
  <c r="B36" i="3"/>
  <c r="B35" i="3"/>
  <c r="B34" i="3"/>
  <c r="B33" i="3"/>
  <c r="B32" i="3"/>
  <c r="B31" i="3"/>
  <c r="C19" i="3"/>
  <c r="B19" i="3"/>
  <c r="C18" i="3"/>
  <c r="B18" i="3"/>
  <c r="C17" i="3"/>
  <c r="B17" i="3"/>
  <c r="C16" i="3"/>
  <c r="B16" i="3"/>
  <c r="C15" i="3"/>
  <c r="B15" i="3"/>
  <c r="C14" i="3"/>
  <c r="B14" i="3"/>
  <c r="B10" i="3"/>
  <c r="C9" i="3"/>
  <c r="C8" i="3"/>
  <c r="P62" i="2"/>
  <c r="M62" i="2"/>
  <c r="L62" i="2"/>
  <c r="K62" i="2"/>
  <c r="J62" i="2"/>
  <c r="I62" i="2"/>
  <c r="H62" i="2"/>
  <c r="S61" i="2"/>
  <c r="U61" i="2" s="1"/>
  <c r="D53" i="1" s="1"/>
  <c r="S60" i="2"/>
  <c r="U60" i="2" s="1"/>
  <c r="D52" i="1" s="1"/>
  <c r="S59" i="2"/>
  <c r="U59" i="2" s="1"/>
  <c r="D51" i="1" s="1"/>
  <c r="T58" i="2"/>
  <c r="S58" i="2"/>
  <c r="U58" i="2" s="1"/>
  <c r="S57" i="2"/>
  <c r="U57" i="2" s="1"/>
  <c r="D50" i="1" s="1"/>
  <c r="S56" i="2"/>
  <c r="U56" i="2" s="1"/>
  <c r="S55" i="2"/>
  <c r="T55" i="2" s="1"/>
  <c r="U54" i="2"/>
  <c r="S54" i="2"/>
  <c r="T54" i="2" s="1"/>
  <c r="S53" i="2"/>
  <c r="U53" i="2" s="1"/>
  <c r="D47" i="1" s="1"/>
  <c r="S52" i="2"/>
  <c r="U52" i="2" s="1"/>
  <c r="S51" i="2"/>
  <c r="U51" i="2" s="1"/>
  <c r="U50" i="2"/>
  <c r="S50" i="2"/>
  <c r="T50" i="2" s="1"/>
  <c r="U49" i="2"/>
  <c r="T49" i="2"/>
  <c r="S49" i="2"/>
  <c r="S48" i="2"/>
  <c r="U48" i="2" s="1"/>
  <c r="S47" i="2"/>
  <c r="T47" i="2" s="1"/>
  <c r="S46" i="2"/>
  <c r="T46" i="2" s="1"/>
  <c r="T45" i="2"/>
  <c r="S45" i="2"/>
  <c r="U45" i="2" s="1"/>
  <c r="D42" i="1" s="1"/>
  <c r="T44" i="2"/>
  <c r="S44" i="2"/>
  <c r="U44" i="2" s="1"/>
  <c r="S43" i="2"/>
  <c r="U43" i="2" s="1"/>
  <c r="U42" i="2"/>
  <c r="D62" i="1" s="1"/>
  <c r="T42" i="2"/>
  <c r="S42" i="2"/>
  <c r="U41" i="2"/>
  <c r="T41" i="2"/>
  <c r="S41" i="2"/>
  <c r="T40" i="2"/>
  <c r="S40" i="2"/>
  <c r="U40" i="2" s="1"/>
  <c r="U39" i="2"/>
  <c r="D40" i="1" s="1"/>
  <c r="T39" i="2"/>
  <c r="S39" i="2"/>
  <c r="U38" i="2"/>
  <c r="D39" i="1" s="1"/>
  <c r="T38" i="2"/>
  <c r="S38" i="2"/>
  <c r="T37" i="2"/>
  <c r="S37" i="2"/>
  <c r="U37" i="2" s="1"/>
  <c r="T36" i="2"/>
  <c r="S36" i="2"/>
  <c r="U36" i="2" s="1"/>
  <c r="D38" i="1" s="1"/>
  <c r="T35" i="2"/>
  <c r="S35" i="2"/>
  <c r="U35" i="2" s="1"/>
  <c r="D37" i="1" s="1"/>
  <c r="U34" i="2"/>
  <c r="T34" i="2"/>
  <c r="S34" i="2"/>
  <c r="U33" i="2"/>
  <c r="T33" i="2"/>
  <c r="S33" i="2"/>
  <c r="T32" i="2"/>
  <c r="S32" i="2"/>
  <c r="U32" i="2" s="1"/>
  <c r="U31" i="2"/>
  <c r="T31" i="2"/>
  <c r="S31" i="2"/>
  <c r="U30" i="2"/>
  <c r="T30" i="2"/>
  <c r="S30" i="2"/>
  <c r="T29" i="2"/>
  <c r="S29" i="2"/>
  <c r="U29" i="2" s="1"/>
  <c r="T28" i="2"/>
  <c r="S28" i="2"/>
  <c r="U28" i="2" s="1"/>
  <c r="T27" i="2"/>
  <c r="S27" i="2"/>
  <c r="U27" i="2" s="1"/>
  <c r="U26" i="2"/>
  <c r="T26" i="2"/>
  <c r="S26" i="2"/>
  <c r="U25" i="2"/>
  <c r="T25" i="2"/>
  <c r="S25" i="2"/>
  <c r="T24" i="2"/>
  <c r="S24" i="2"/>
  <c r="U24" i="2" s="1"/>
  <c r="U23" i="2"/>
  <c r="D32" i="1" s="1"/>
  <c r="T23" i="2"/>
  <c r="S23" i="2"/>
  <c r="U22" i="2"/>
  <c r="T22" i="2"/>
  <c r="S22" i="2"/>
  <c r="T21" i="2"/>
  <c r="S21" i="2"/>
  <c r="U21" i="2" s="1"/>
  <c r="T20" i="2"/>
  <c r="S20" i="2"/>
  <c r="U20" i="2" s="1"/>
  <c r="T19" i="2"/>
  <c r="S19" i="2"/>
  <c r="U19" i="2" s="1"/>
  <c r="D33" i="1" s="1"/>
  <c r="U18" i="2"/>
  <c r="T18" i="2"/>
  <c r="S18" i="2"/>
  <c r="U17" i="2"/>
  <c r="T17" i="2"/>
  <c r="S17" i="2"/>
  <c r="T16" i="2"/>
  <c r="S16" i="2"/>
  <c r="U16" i="2" s="1"/>
  <c r="U15" i="2"/>
  <c r="T15" i="2"/>
  <c r="S15" i="2"/>
  <c r="U14" i="2"/>
  <c r="T14" i="2"/>
  <c r="S14" i="2"/>
  <c r="T13" i="2"/>
  <c r="S13" i="2"/>
  <c r="U13" i="2" s="1"/>
  <c r="T12" i="2"/>
  <c r="S12" i="2"/>
  <c r="U12" i="2" s="1"/>
  <c r="T11" i="2"/>
  <c r="S11" i="2"/>
  <c r="U11" i="2" s="1"/>
  <c r="D29" i="1" s="1"/>
  <c r="U10" i="2"/>
  <c r="T10" i="2"/>
  <c r="S10" i="2"/>
  <c r="U9" i="2"/>
  <c r="T9" i="2"/>
  <c r="S9" i="2"/>
  <c r="T8" i="2"/>
  <c r="S8" i="2"/>
  <c r="U8" i="2" s="1"/>
  <c r="D26" i="1" s="1"/>
  <c r="U7" i="2"/>
  <c r="D25" i="1" s="1"/>
  <c r="T7" i="2"/>
  <c r="S7" i="2"/>
  <c r="U6" i="2"/>
  <c r="T6" i="2"/>
  <c r="S6" i="2"/>
  <c r="T5" i="2"/>
  <c r="S5" i="2"/>
  <c r="C23" i="1" s="1"/>
  <c r="E62" i="1"/>
  <c r="C62" i="1"/>
  <c r="B62" i="1"/>
  <c r="E61" i="1"/>
  <c r="B61" i="1"/>
  <c r="E60" i="1"/>
  <c r="B60" i="1"/>
  <c r="E59" i="1"/>
  <c r="B59" i="1"/>
  <c r="E58" i="1"/>
  <c r="B58" i="1"/>
  <c r="E57" i="1"/>
  <c r="B57" i="1"/>
  <c r="E56" i="1"/>
  <c r="B56" i="1"/>
  <c r="E53" i="1"/>
  <c r="B53" i="1"/>
  <c r="E52" i="1"/>
  <c r="C52" i="1"/>
  <c r="B52" i="1"/>
  <c r="E51" i="1"/>
  <c r="C51" i="1"/>
  <c r="B51" i="1"/>
  <c r="E50" i="1"/>
  <c r="B50" i="1"/>
  <c r="E49" i="1"/>
  <c r="B49" i="1"/>
  <c r="E48" i="1"/>
  <c r="C48" i="1"/>
  <c r="B48" i="1"/>
  <c r="E47" i="1"/>
  <c r="B47" i="1"/>
  <c r="E46" i="1"/>
  <c r="C46" i="1"/>
  <c r="B46" i="1"/>
  <c r="E45" i="1"/>
  <c r="C45" i="1"/>
  <c r="B45" i="1"/>
  <c r="E44" i="1"/>
  <c r="D44" i="1"/>
  <c r="C44" i="1"/>
  <c r="B44" i="1"/>
  <c r="E43" i="1"/>
  <c r="B43" i="1"/>
  <c r="E42" i="1"/>
  <c r="C42" i="1"/>
  <c r="B42" i="1"/>
  <c r="E41" i="1"/>
  <c r="C41" i="1"/>
  <c r="B41" i="1"/>
  <c r="E40" i="1"/>
  <c r="C40" i="1"/>
  <c r="B40" i="1"/>
  <c r="E39" i="1"/>
  <c r="C39" i="1"/>
  <c r="B39" i="1"/>
  <c r="E38" i="1"/>
  <c r="C38" i="1"/>
  <c r="B38" i="1"/>
  <c r="E37" i="1"/>
  <c r="C37" i="1"/>
  <c r="B37" i="1"/>
  <c r="E36" i="1"/>
  <c r="B36" i="1"/>
  <c r="E35" i="1"/>
  <c r="B35" i="1"/>
  <c r="E34" i="1"/>
  <c r="C34" i="1"/>
  <c r="B34" i="1"/>
  <c r="E33" i="1"/>
  <c r="C33" i="1"/>
  <c r="B33" i="1"/>
  <c r="E32" i="1"/>
  <c r="B32" i="1"/>
  <c r="E31" i="1"/>
  <c r="C31" i="1"/>
  <c r="B31" i="1"/>
  <c r="E30" i="1"/>
  <c r="C30" i="1"/>
  <c r="B30" i="1"/>
  <c r="E29" i="1"/>
  <c r="B29" i="1"/>
  <c r="E28" i="1"/>
  <c r="C28" i="1"/>
  <c r="B28" i="1"/>
  <c r="E27" i="1"/>
  <c r="D27" i="1"/>
  <c r="C27" i="1"/>
  <c r="B27" i="1"/>
  <c r="E26" i="1"/>
  <c r="B26" i="1"/>
  <c r="E25" i="1"/>
  <c r="C25" i="1"/>
  <c r="B25" i="1"/>
  <c r="E24" i="1"/>
  <c r="C24" i="1"/>
  <c r="B24" i="1"/>
  <c r="E23" i="1"/>
  <c r="B23" i="1"/>
  <c r="B19" i="1"/>
  <c r="B18" i="1"/>
  <c r="B10" i="1"/>
  <c r="C9" i="1"/>
  <c r="B17" i="1" s="1"/>
  <c r="B9" i="1"/>
  <c r="B8" i="1"/>
  <c r="B7" i="1"/>
  <c r="B6" i="1"/>
  <c r="B5" i="1"/>
  <c r="C49" i="1" l="1"/>
  <c r="U47" i="2"/>
  <c r="D43" i="1" s="1"/>
  <c r="B11" i="1"/>
  <c r="C5" i="1"/>
  <c r="C35" i="1"/>
  <c r="C43" i="1"/>
  <c r="C56" i="1"/>
  <c r="U46" i="2"/>
  <c r="D8" i="1" s="1"/>
  <c r="U55" i="2"/>
  <c r="D48" i="1" s="1"/>
  <c r="C10" i="3"/>
  <c r="C7" i="1"/>
  <c r="B15" i="1" s="1"/>
  <c r="C36" i="1"/>
  <c r="C57" i="1"/>
  <c r="C60" i="1"/>
  <c r="T57" i="2"/>
  <c r="B11" i="3"/>
  <c r="C11" i="3" s="1"/>
  <c r="C7" i="3"/>
  <c r="C26" i="1"/>
  <c r="D45" i="1"/>
  <c r="I43" i="5"/>
  <c r="C8" i="1"/>
  <c r="C50" i="1"/>
  <c r="J43" i="5"/>
  <c r="C29" i="1"/>
  <c r="C58" i="1"/>
  <c r="D24" i="1"/>
  <c r="D28" i="1"/>
  <c r="B22" i="4"/>
  <c r="AD43" i="5"/>
  <c r="D57" i="1"/>
  <c r="C32" i="1"/>
  <c r="C22" i="4"/>
  <c r="D34" i="1"/>
  <c r="D61" i="1"/>
  <c r="D10" i="1"/>
  <c r="D49" i="1"/>
  <c r="D31" i="1"/>
  <c r="D56" i="1"/>
  <c r="D6" i="1"/>
  <c r="D35" i="1"/>
  <c r="D60" i="1"/>
  <c r="D41" i="1"/>
  <c r="D36" i="1"/>
  <c r="D7" i="1"/>
  <c r="D9" i="1"/>
  <c r="D46" i="1"/>
  <c r="D59" i="1"/>
  <c r="D30" i="1"/>
  <c r="C47" i="1"/>
  <c r="C53" i="1"/>
  <c r="C59" i="1"/>
  <c r="C61" i="1"/>
  <c r="T53" i="2"/>
  <c r="T61" i="2"/>
  <c r="C6" i="1"/>
  <c r="U5" i="2"/>
  <c r="T48" i="2"/>
  <c r="T56" i="2"/>
  <c r="S62" i="2"/>
  <c r="C10" i="1"/>
  <c r="T43" i="2"/>
  <c r="T51" i="2"/>
  <c r="T59" i="2"/>
  <c r="T52" i="2"/>
  <c r="T60" i="2"/>
  <c r="B20" i="1" l="1"/>
  <c r="D58" i="1"/>
  <c r="D23" i="1"/>
  <c r="U62" i="2"/>
  <c r="D5" i="1"/>
  <c r="D11" i="1" s="1"/>
  <c r="B14" i="1"/>
  <c r="B16" i="1" s="1"/>
  <c r="C11" i="1"/>
  <c r="E11" i="1" l="1"/>
  <c r="E7" i="1"/>
  <c r="E8" i="1"/>
  <c r="E9" i="1"/>
  <c r="E5" i="1"/>
  <c r="E10" i="1"/>
  <c r="E6" i="1"/>
</calcChain>
</file>

<file path=xl/sharedStrings.xml><?xml version="1.0" encoding="utf-8"?>
<sst xmlns="http://schemas.openxmlformats.org/spreadsheetml/2006/main" count="1400" uniqueCount="705">
  <si>
    <t>Maharashtra data centres - verifiable pipeline (combined list)</t>
  </si>
  <si>
    <t>Built from MH_Master_List. Verifiable = MW in an official record (SLDC / CTUIL / MERC / SEIAA / state GO-LoI-MoU). Facility (grid) MW, not IT MW.</t>
  </si>
  <si>
    <t>By stage</t>
  </si>
  <si>
    <t>Projects</t>
  </si>
  <si>
    <t>Verifiable MW</t>
  </si>
  <si>
    <t>Indicative MW</t>
  </si>
  <si>
    <t>Share of verifiable</t>
  </si>
  <si>
    <t>What it is</t>
  </si>
  <si>
    <t>1 Grid sanctioned - partly live</t>
  </si>
  <si>
    <t>STU sanction with load already realised (SLDC)</t>
  </si>
  <si>
    <t>2 Grid sanctioned / approved - not yet live</t>
  </si>
  <si>
    <t>STU sanction / CTUIL approval / MERC grant, not yet drawing</t>
  </si>
  <si>
    <t>3 Grid applied / under consideration</t>
  </si>
  <si>
    <t>CTUIL GNA under process; MERC 'under consideration'</t>
  </si>
  <si>
    <t>4 Permit only (no grid record)</t>
  </si>
  <si>
    <t>EC / MPCB record but no grid record (often MW not disclosed)</t>
  </si>
  <si>
    <t>5 MoU / LoI / EOI</t>
  </si>
  <si>
    <t>State MoU / LoI / EOI (government action, early stage)</t>
  </si>
  <si>
    <t>6 Company claim / announced only</t>
  </si>
  <si>
    <t>Only company or press figure - not counted as verifiable</t>
  </si>
  <si>
    <t>Total</t>
  </si>
  <si>
    <t>Key measures</t>
  </si>
  <si>
    <t>MW</t>
  </si>
  <si>
    <t>Note</t>
  </si>
  <si>
    <t>Grid-sanctioned / approved (stages 1-2) - firmest verifiable</t>
  </si>
  <si>
    <t>SLDC sanctions + CTUIL approved (Support Properties) + MERC Ambernath increase</t>
  </si>
  <si>
    <t>Plus: grid applications pending (stage 3)</t>
  </si>
  <si>
    <t>CTUIL under process + MERC 1,500 MW under consideration</t>
  </si>
  <si>
    <t>Grid pipeline, stages 1-3 (sum of the two rows above)</t>
  </si>
  <si>
    <t>Official grid-level DC pipeline in Maharashtra</t>
  </si>
  <si>
    <t>Plus: State MoU / LoI / EOI (stage 5)</t>
  </si>
  <si>
    <t>AirTrunk Pen 3 GW, ReNew 750, Trentar 500, MAHAPREIT 200</t>
  </si>
  <si>
    <t>Realised so far (SLDC, Dec-2025)</t>
  </si>
  <si>
    <t>Final connectivity granted / load realised</t>
  </si>
  <si>
    <t>Actually drawn - avg last 3 months (SLDC, 18 DCs)</t>
  </si>
  <si>
    <t>Metered average load</t>
  </si>
  <si>
    <t>Unverified extra (company / press only)</t>
  </si>
  <si>
    <t>PDG, L&amp;T Vyoma, Zerra, ESR, TCC, Avisirah</t>
  </si>
  <si>
    <t>By group</t>
  </si>
  <si>
    <t>SLDC realised</t>
  </si>
  <si>
    <t>Main sites</t>
  </si>
  <si>
    <t>Bharti Airtel (Nxtra)</t>
  </si>
  <si>
    <t>Navi Mumbai - TTC, Pune</t>
  </si>
  <si>
    <t>Blackstone / AirTrunk</t>
  </si>
  <si>
    <t>Navi Mumbai - TTC, Panvel / Raigad</t>
  </si>
  <si>
    <t>Bridge Data Centres</t>
  </si>
  <si>
    <t>Navi Mumbai - TTC</t>
  </si>
  <si>
    <t>CapitaLand</t>
  </si>
  <si>
    <t>Colt DCS - RMZ</t>
  </si>
  <si>
    <t>CtrlS</t>
  </si>
  <si>
    <t>Digital Edge</t>
  </si>
  <si>
    <t>K Raheja Corp / Mindspace</t>
  </si>
  <si>
    <t>NTT</t>
  </si>
  <si>
    <t>Mumbai city, Navi Mumbai - TTC</t>
  </si>
  <si>
    <t>STT GDC</t>
  </si>
  <si>
    <t>Ambernath (Lodha Palava park), Navi Mumbai - TTC, Pune</t>
  </si>
  <si>
    <t>Sify</t>
  </si>
  <si>
    <t>Adani Group</t>
  </si>
  <si>
    <t>Navi Mumbai - TTC, Panvel / Raigad, Pune</t>
  </si>
  <si>
    <t>AWS (Amazon)</t>
  </si>
  <si>
    <t>Ambernath (Lodha Palava park), Mumbai city, Thane</t>
  </si>
  <si>
    <t>Lodha park (AWS, STT + 1 more)</t>
  </si>
  <si>
    <t>Ambernath (Lodha Palava park)</t>
  </si>
  <si>
    <t>Google</t>
  </si>
  <si>
    <t>Iron Mountain (Web Werks)</t>
  </si>
  <si>
    <t>Unidentified ('IMCC')</t>
  </si>
  <si>
    <t>Unidentified ('Innovative')</t>
  </si>
  <si>
    <t>Yotta (Hiranandani)</t>
  </si>
  <si>
    <t>Panvel / Raigad</t>
  </si>
  <si>
    <t>SITAC Group</t>
  </si>
  <si>
    <t>Pune</t>
  </si>
  <si>
    <t>Unidentified (Chandivali)</t>
  </si>
  <si>
    <t>Mumbai city</t>
  </si>
  <si>
    <t>Unidentified (Gargantuan Industrial Space)</t>
  </si>
  <si>
    <t>L&amp;T</t>
  </si>
  <si>
    <t>MAHAPREIT (state)</t>
  </si>
  <si>
    <t>Not disclosed</t>
  </si>
  <si>
    <t>Trentar (Dorf Ketal)</t>
  </si>
  <si>
    <t>ReNew</t>
  </si>
  <si>
    <t>Avisirah</t>
  </si>
  <si>
    <t>ESR</t>
  </si>
  <si>
    <t>Princeton Digital Group</t>
  </si>
  <si>
    <t>Zerra</t>
  </si>
  <si>
    <t>TCC Concept / NES Data</t>
  </si>
  <si>
    <t>By cluster</t>
  </si>
  <si>
    <t>Thane</t>
  </si>
  <si>
    <t>Notes</t>
  </si>
  <si>
    <t>Excluded from the list: CTUIL Maharashtra bulk filings that are not data centres (Central Railway Talegaon 50 MW; Reliance Nagothane 50 MW) and utility projections (AEML 354 MW DC demand increase).</t>
  </si>
  <si>
    <t>De-duplication: each SLDC line is one row; our company figures are attached to the matching SLDC row (e.g. CtrlS 214 IT MW sits on SLDC #3). Lodha Ambernath = SLDC AWS 475 + STT 450 rows + a MERC 'increase' row (525) + MERC 'under consideration' row (1,500).</t>
  </si>
  <si>
    <t>Possible overlap kept separate and flagged: Adani Infra CTUIL 500 MW (Padghe-Kharghar) vs AdaniConneX Taloja / CoreWeave 240 MW - shown on one row; Bearys ES-05 permit may be part of an NTT line.</t>
  </si>
  <si>
    <t>Our main workbook (State_DC_Power_by_Company.xlsx) is unchanged; this list uses the official SLDC numbers (e.g. AWS Thane 150 MW, not the tier-D 272).</t>
  </si>
  <si>
    <t>Maharashtra data centres - combined master list (SLDC grid + CTUIL + MERC + permits + our dataset), one row per project</t>
  </si>
  <si>
    <t>Verifiable MW = figure found in an official record, in priority order: SLDC/STU sanctioned load (Dec-2025) &gt; CTUIL GNA (approved + under process) &gt; other official (MERC order, EC/SEIAA connected load, state GO/LoI/MoU/EOI). Company / press figures are shown separately and NOT counted as verifiable. Grid MW (SLDC, CTUIL, MERC) and connected-load MW are facility power, not IT MW (IT is roughly 55-65% of facility load per SLDC).</t>
  </si>
  <si>
    <t>ID</t>
  </si>
  <si>
    <t>Primary record</t>
  </si>
  <si>
    <t>Group</t>
  </si>
  <si>
    <t>Company / SPV (as filed)</t>
  </si>
  <si>
    <t>Site / location</t>
  </si>
  <si>
    <t>Cluster</t>
  </si>
  <si>
    <t>Grid connection</t>
  </si>
  <si>
    <t>SLDC sanctioned (MW)</t>
  </si>
  <si>
    <t>SLDC realised (MW)</t>
  </si>
  <si>
    <t>SLDC avg load 3 m (MW)</t>
  </si>
  <si>
    <t>CTUIL approved (MW)</t>
  </si>
  <si>
    <t>CTUIL under process (MW)</t>
  </si>
  <si>
    <t>Other official (MW)</t>
  </si>
  <si>
    <t>Other official basis</t>
  </si>
  <si>
    <t>Other official tier</t>
  </si>
  <si>
    <t>Company / press (MW)</t>
  </si>
  <si>
    <t>Company / press basis &amp; tier</t>
  </si>
  <si>
    <t>Permits (EC / MPCB)</t>
  </si>
  <si>
    <t>VERIFIABLE MW</t>
  </si>
  <si>
    <t>Verifiable source</t>
  </si>
  <si>
    <t>Indicative MW (incl. unverified)</t>
  </si>
  <si>
    <t>Stage</t>
  </si>
  <si>
    <t>Primary source</t>
  </si>
  <si>
    <t>Other source</t>
  </si>
  <si>
    <t>Group key</t>
  </si>
  <si>
    <t>MH01</t>
  </si>
  <si>
    <t>SLDC</t>
  </si>
  <si>
    <t>M/s. Nxtra</t>
  </si>
  <si>
    <t>TTC, Mahape</t>
  </si>
  <si>
    <t>LILO on 220 kV Kalwa-Tiffil line</t>
  </si>
  <si>
    <t>SEIAA EC (expansion) - Granted (M022); MPCB CTE expansion (Feb-25); CTO part (Jun-25) - Approved (M023)</t>
  </si>
  <si>
    <t>https://mahasldc.in/assets/public-ui/files/Data_Centre.pdf#page=23</t>
  </si>
  <si>
    <t>https://assets.airtel.in/nxtra/pdf/EC_Environmental_Clearance_Certificate_Nxtra%20Mahape_DC-02_25.11.25.pdf</t>
  </si>
  <si>
    <t>SLDC MMR #8. Not in our MH state data (Airtel Nxtra)</t>
  </si>
  <si>
    <t>MH02</t>
  </si>
  <si>
    <t>Blackstone / AirTrunk (Gramercy SPVs) - inferred</t>
  </si>
  <si>
    <t>M/s Estela Hindustan Unilever (Gramercy Techpark)</t>
  </si>
  <si>
    <t>TTC MIDC, Airoli</t>
  </si>
  <si>
    <t>LILO on 220 kV Kalwa-Taloja-Panchanand</t>
  </si>
  <si>
    <t>IT MW - tier D</t>
  </si>
  <si>
    <t>MPCB Consent to Establish - Approved (M024); MPCB / SEIAA CTO (part); EC expansion - Approved / on agenda (M025)</t>
  </si>
  <si>
    <t>https://mahasldc.in/assets/public-ui/files/Data_Centre.pdf#page=24</t>
  </si>
  <si>
    <t>https://mpcb.gov.in/sites/default/files/inline-files/Minutes%20of%2015th%20CAC%20Establish%20Booklet%20no%2065.pdf</t>
  </si>
  <si>
    <t>SLDC MMR #13. Official grid figure (90 MW) replaces directory-sourced 62 MW</t>
  </si>
  <si>
    <t>MH03</t>
  </si>
  <si>
    <t>M/s. Bridge Data Centre</t>
  </si>
  <si>
    <t>Dighi MIDC, Navi Mumbai</t>
  </si>
  <si>
    <t>LILO on 100 kV Kalwa-Mukund ckt-1</t>
  </si>
  <si>
    <t>MPCB CTO renewal - Approved (M040)</t>
  </si>
  <si>
    <t>https://mahasldc.in/assets/public-ui/files/Data_Centre.pdf#page=26</t>
  </si>
  <si>
    <t>https://mpcb.gov.in/sites/default/files/inline-files/Index_Of_15th_CAC_Meeting.pdf</t>
  </si>
  <si>
    <t>SLDC MMR #29. Not in our data; operating (avg ~11 MW)</t>
  </si>
  <si>
    <t>MH04</t>
  </si>
  <si>
    <t>M/s. Datascape</t>
  </si>
  <si>
    <t>TTC, Dighe</t>
  </si>
  <si>
    <t>LILO on 220 kV Kalwa-Bapgaon</t>
  </si>
  <si>
    <t>EC / Form-1A connected load</t>
  </si>
  <si>
    <t>A1</t>
  </si>
  <si>
    <t>Connected MW - tier A1</t>
  </si>
  <si>
    <t>SEIAA EC (expansion) - Discussed (M005); MPCB Consent to Establish - Listed (M006); MPCB Consent to 1st Operate (part) - Approved (M007)</t>
  </si>
  <si>
    <t>https://environmentclearance.nic.in/writereaddata/FormB/agenda/1509202585756580%28740114%29MINUTESOF301DAY-4TABLEITEM-Copy.pdf</t>
  </si>
  <si>
    <t>SLDC MMR #17.</t>
  </si>
  <si>
    <t>MH05</t>
  </si>
  <si>
    <t>M/s. Data Centre Holding</t>
  </si>
  <si>
    <t>Kalwa Industrial Area, Dighe, Airoli</t>
  </si>
  <si>
    <t>LILO on 220 kV Kalwa-Colourchem</t>
  </si>
  <si>
    <t>IT MW - tier C</t>
  </si>
  <si>
    <t>MPCB CTO / renewal - Approved (M039)</t>
  </si>
  <si>
    <t>https://indianinfrastructure.com/2026/10/16/colt-dcs-and-rmz-begin-construction-of-third-data-centre-in-mumbai/</t>
  </si>
  <si>
    <t>SLDC MMR #16. SLDC sanction only 60 MW so far vs 148 MW campus potential</t>
  </si>
  <si>
    <t>MH06</t>
  </si>
  <si>
    <t>M/s CTRLS</t>
  </si>
  <si>
    <t>TTC MIDC, Mahape</t>
  </si>
  <si>
    <t>LILO on ckt-I of 220 kV Kharghar-Borivali D/C</t>
  </si>
  <si>
    <t>IT MW - tier A1</t>
  </si>
  <si>
    <t>MPCB CTE for expansion - Approved (M038)</t>
  </si>
  <si>
    <t>https://mahasldc.in/assets/public-ui/files/Data_Centre.pdf#page=22</t>
  </si>
  <si>
    <t>https://www.ctrls.com/</t>
  </si>
  <si>
    <t>SLDC MMR #3. SLDC: 295 MW sanctioned + 290 MW 'CtrlS New' (#24) = 585 MW grid vs our 214 IT MW. Site visit: 70 MW live, avg 42-45 MW</t>
  </si>
  <si>
    <t>MH07</t>
  </si>
  <si>
    <t>M/s. Digital Edge (AGP)</t>
  </si>
  <si>
    <t>Mukund Ltd, Kalwa &amp; Digha</t>
  </si>
  <si>
    <t>LILO on 100 kV Kalwa-BDC-Mukund I &amp; II</t>
  </si>
  <si>
    <t>MPCB Consent to 1st Operate - Approved (M020)</t>
  </si>
  <si>
    <t>https://mpcb.gov.in/sites/default/files/inline-files/Action_Taken_Report_of_17th_CAC_Booklet_no_17_2024-25.pdf</t>
  </si>
  <si>
    <t>SLDC MMR #27. SLDC: Digital Edge #27 + #28 = 225 MW grid vs 350 MW campus</t>
  </si>
  <si>
    <t>MH08</t>
  </si>
  <si>
    <t>M/s Newfound</t>
  </si>
  <si>
    <t>TTC Industrial Area, Thane, Navi Mumbai</t>
  </si>
  <si>
    <t>LILO on 220 kV Kharghar-Sonkhar line</t>
  </si>
  <si>
    <t>SEIAA / MPCB CTO Part-I for Bldg 5A (Data Centre) - Approved (M033)</t>
  </si>
  <si>
    <t>SLDC MMR #4. Not in state data; 250 MW sanctioned to 2034</t>
  </si>
  <si>
    <t>MH09</t>
  </si>
  <si>
    <t>M/s Gigaplex</t>
  </si>
  <si>
    <t>Airoli Knowledge Park, Airoli</t>
  </si>
  <si>
    <t>SEIAA / MPCB CTO application; EC amendment - Listed (M034)</t>
  </si>
  <si>
    <t>https://mpcb.gov.in/sites/default/files/inline-files/Index_of_4th_CAC_Meeting_of_2025-26.pdf</t>
  </si>
  <si>
    <t>SLDC MMR #5. Not in state data; 285 MW sanctioned to 2031</t>
  </si>
  <si>
    <t>MH10</t>
  </si>
  <si>
    <t>M/s Netmagic</t>
  </si>
  <si>
    <t>LILO on ckt-1 of 220 kV Kharghar-Borivali D/C</t>
  </si>
  <si>
    <t>SLDC MMR #6. SLDC: NTT sites #6 + #9 + #18 = 665 MW grid</t>
  </si>
  <si>
    <t>MH11</t>
  </si>
  <si>
    <t>M/s. Estela Mukund (NTT Global)</t>
  </si>
  <si>
    <t>Bhola Nagar, Kalwa</t>
  </si>
  <si>
    <t>Interim LILO on 220 kV Kalwa-Bapgaon; final LILO on 400 kV Kalwa-Padghe</t>
  </si>
  <si>
    <t>MPCB CTO; renewal (part) - Approved (M036)</t>
  </si>
  <si>
    <t>https://www.datacenterdynamics.com/en/news/ntt-announces-500mw-nav2-data-center-in-navi-mumbai-india/</t>
  </si>
  <si>
    <t>SLDC MMR #9. NAV2 = 500 MW facility; our IT figure is consistent</t>
  </si>
  <si>
    <t>MH12</t>
  </si>
  <si>
    <t>M/s. NTT Global DC-13</t>
  </si>
  <si>
    <t>TTC, Bhola Nagar, Kalwa</t>
  </si>
  <si>
    <t>LILO on 220 kV Kalwa-Bapgaon at 220 kV GIS of NTT NAV2 (DC-13)</t>
  </si>
  <si>
    <t>SLDC MMR #18.</t>
  </si>
  <si>
    <t>MH13</t>
  </si>
  <si>
    <t>M/s. STT Global</t>
  </si>
  <si>
    <t>TTC MIDC, Khairane</t>
  </si>
  <si>
    <t>LILO on 220 kV Mahape-Tiffil</t>
  </si>
  <si>
    <t>MPCB CTE; CTO (part); amendment - Approved (M035)</t>
  </si>
  <si>
    <t>https://www.sttelemediagdc.com/in-en/locations/mumbai</t>
  </si>
  <si>
    <t>SLDC MMR #14.</t>
  </si>
  <si>
    <t>MH14</t>
  </si>
  <si>
    <t>M/s Print House (Sify Infinit Spaces)</t>
  </si>
  <si>
    <t>TTC, Rabale</t>
  </si>
  <si>
    <t>LILO on 220 kV Apta-Kalwa</t>
  </si>
  <si>
    <t>SEIAA / MPCB EC expansion; CTE expansion - Approved / on agenda (M028)</t>
  </si>
  <si>
    <t>https://www.sifytechnologies.com/data-center/rabale-data-center/</t>
  </si>
  <si>
    <t>SLDC MMR #12. SLDC: Sify #12 + #30 = 160 MW grid vs 377 MW company campus figure</t>
  </si>
  <si>
    <t>MH15</t>
  </si>
  <si>
    <t>M/s. Sify Technologies Ltd</t>
  </si>
  <si>
    <t>LILO of 100 kV Reliable-Standard Alkali</t>
  </si>
  <si>
    <t>SLDC MMR #30.</t>
  </si>
  <si>
    <t>MH16</t>
  </si>
  <si>
    <t>Adani Group (ex-Microsoft site) - inferred</t>
  </si>
  <si>
    <t>M/s Microsoft Corporation India Ltd (Pimpri-Chinchwad)</t>
  </si>
  <si>
    <t>Pimpri Chinchwad, Pune</t>
  </si>
  <si>
    <t>220 kV D/C UG cable from 220 kV Bhosari-I S/s (4 km)</t>
  </si>
  <si>
    <t>MPCB Consent to Establish - Approved (M017); SEIAA EC - On agenda (M018)</t>
  </si>
  <si>
    <t>SLDC PMR #2. First MW figure for this site: 155 MW (cumulative schedule to Jan-2030)</t>
  </si>
  <si>
    <t>MH17</t>
  </si>
  <si>
    <t>M/s NXTRA Data Ltd-1</t>
  </si>
  <si>
    <t>MIDC Plot 13/104, Hinjewadi Ph-3, Pune</t>
  </si>
  <si>
    <t>2 x 220 kV lines from 400 kV Hinjewadi Ph-III</t>
  </si>
  <si>
    <t>https://mahasldc.in/assets/public-ui/files/Data_Centre.pdf#page=27</t>
  </si>
  <si>
    <t>SLDC PMR #4. Not in our data</t>
  </si>
  <si>
    <t>MH18</t>
  </si>
  <si>
    <t>M/s NXTRA Data Ltd-2</t>
  </si>
  <si>
    <t>Hinjewadi Ph-3, Mann, Pune</t>
  </si>
  <si>
    <t>220 kV UG D/C from 400/220 kV Hinjewadi Ph-III</t>
  </si>
  <si>
    <t>MPCB CTE expansion; CTO (part) - Approved (after SCN) (M043)</t>
  </si>
  <si>
    <t>https://mpcb.gov.in/sites/default/files/inline-files/Action_Taken_Report_of_16th_CAC_Booklet_no._16_%281%29.pdf</t>
  </si>
  <si>
    <t>SLDC PMR #5. Not in our data</t>
  </si>
  <si>
    <t>MH19</t>
  </si>
  <si>
    <t>M/s. STT Global Data Centres India Pvt Ltd</t>
  </si>
  <si>
    <t>Alandi Road, VSNL Old Colony, Dighi, Pune</t>
  </si>
  <si>
    <t>220 kV VSNL-STT Global ckt-I &amp; II</t>
  </si>
  <si>
    <t>SLDC PMR #3. Not in our MH data: 100 MW existing + 100 MW additional; avg load ~42 MW</t>
  </si>
  <si>
    <t>MH20</t>
  </si>
  <si>
    <t>M/s. Amazon, Ambernath</t>
  </si>
  <si>
    <t>Narhen, Usatane, Burdul &amp; Asode, Ambernath</t>
  </si>
  <si>
    <t>220 kV D/C from 220 kV Lodha switching station (proposed MSETCL)</t>
  </si>
  <si>
    <t>https://mahasldc.in/assets/public-ui/files/Data_Centre.pdf#page=25</t>
  </si>
  <si>
    <t>SLDC MMR #22. Dec-2025: AWS 475 + STT 450 = 925 MW; MERC order (Jun-2026) later raised the park to ~1,450 MW granted. Phase schedule in report sums to 450</t>
  </si>
  <si>
    <t>MH21</t>
  </si>
  <si>
    <t>MERC</t>
  </si>
  <si>
    <t>Maharashtra STU - Ambernath 400/220 kV (Lodha-funded)</t>
  </si>
  <si>
    <t>Ambernath (Palava) - increase in STU grant Dec-25 -&gt; Jun-26</t>
  </si>
  <si>
    <t>400/220 kV Ambernath S/s (TBCB annulled; STU to build)</t>
  </si>
  <si>
    <t>Derived: MERC 1,450 MW granted (Jun-2026) less SLDC 925 MW (AWS 475 + STT 450, Dec-2025)</t>
  </si>
  <si>
    <t>https://merc.gov.in/wp-content/uploads/2026/06/Order-88-of-2026.pdf</t>
  </si>
  <si>
    <t>MERC Case 88/2026 para 7.15. AWS Ambernath EC filing (473 MW) sits inside this park - not added separately</t>
  </si>
  <si>
    <t>MH22</t>
  </si>
  <si>
    <t>M/s. STT Global, Ambernath</t>
  </si>
  <si>
    <t>SLDC MMR #23.</t>
  </si>
  <si>
    <t>MH23</t>
  </si>
  <si>
    <t>Amazon Data Services Pvt Ltd, Mumbai</t>
  </si>
  <si>
    <t>Tungwa, Powai (Kurla)</t>
  </si>
  <si>
    <t>LILO on 220 kV Salsette-Sahar &amp; Salsette-Saki</t>
  </si>
  <si>
    <t>SEIAA EC - Discussed (M010); MPCB Consent to Establish - Approved (M011)</t>
  </si>
  <si>
    <t>SLDC MMR #19. Grid sanction 225 MW vs 77 MW in the EC - EC covers only the first building(s)</t>
  </si>
  <si>
    <t>MH24</t>
  </si>
  <si>
    <t>CTUIL</t>
  </si>
  <si>
    <t>Adani Group (AdaniConneX)</t>
  </si>
  <si>
    <t>Support Properties Pvt Ltd ('ACXNMI-01')</t>
  </si>
  <si>
    <t>A-GEN-4 TTC Rabale / Ghansoli; 400 kV POWERGRID Navi Mumbai (GIS)</t>
  </si>
  <si>
    <t>ISTS - 400 kV PG Navi Mumbai (GIS)</t>
  </si>
  <si>
    <t>SEIAA / MPCB EC expansion; CTE (Feb-24) - On agenda / approved (M027)</t>
  </si>
  <si>
    <t>https://ctuil.in/nswsapi/gna</t>
  </si>
  <si>
    <t>https://www.ecmpcb.in/login/download_ec_document/MjMyMTI2NEMzMjYzNDM5M0IxRTJDRDY5MENBNDZFODcucGRm</t>
  </si>
  <si>
    <t>17 GNA applications (13 x 50 + 418 + 74 + 174 + 152) approved; AdaniConneX subsidiary since 2023. Not in SLDC (ISTS, not STU)</t>
  </si>
  <si>
    <t>MH25</t>
  </si>
  <si>
    <t>M/s Estela Coromandal (Gramercy Infopark Pvt Ltd)</t>
  </si>
  <si>
    <t>TTC, Mavli, Ghansoli</t>
  </si>
  <si>
    <t>Interim LILO on 220 kV Kharghar-Borivali; final LILO on 400 kV Kalwa-Kharghar</t>
  </si>
  <si>
    <t>SLDC MMR #11. Largest new item: 480 MW (Mar-2028 to Nov-2031); needs a 400 kV LILO</t>
  </si>
  <si>
    <t>MH26</t>
  </si>
  <si>
    <t>M/s. Gramercy Business Hub Pvt Ltd</t>
  </si>
  <si>
    <t>220 kV Gramercy switching station; LILO on 220 kV Kharghar-Netmagic</t>
  </si>
  <si>
    <t>MPCB Consent to Establish - Approved (M026)</t>
  </si>
  <si>
    <t>https://airtrunk.com/location/bom2-mumbai/</t>
  </si>
  <si>
    <t>SLDC MMR #25. Likely AirTrunk BOM2 (Mahape)</t>
  </si>
  <si>
    <t>MH27</t>
  </si>
  <si>
    <t>M/s. Gramercy Infra Realty Pvt Ltd</t>
  </si>
  <si>
    <t>Plot IT-1, IT-2, Knowledge Park, Navi Mumbai</t>
  </si>
  <si>
    <t>TFR awaited from field office</t>
  </si>
  <si>
    <t>SLDC MMR #26. Not in our data; connectivity still at feasibility (TFR awaited)</t>
  </si>
  <si>
    <t>MH28</t>
  </si>
  <si>
    <t>M/s. CTRLS New</t>
  </si>
  <si>
    <t>220 kV Mahape-CtrlS GIS D/C UG cable (1 km)</t>
  </si>
  <si>
    <t>SLDC MMR #24. Second CtrlS GIS substation, +290 MW</t>
  </si>
  <si>
    <t>MH29</t>
  </si>
  <si>
    <t>M/s. Digital Edge</t>
  </si>
  <si>
    <t>Dighe, Thane Belapur Road</t>
  </si>
  <si>
    <t>LILO of 220 kV DCHI-Colourchem</t>
  </si>
  <si>
    <t>MPCB Consent to Establish - Approved (M019); SEIAA EC - Granted (M021)</t>
  </si>
  <si>
    <t>https://www.digitaledgedc.com/products-services/data-centers/india/</t>
  </si>
  <si>
    <t>SLDC MMR #28.</t>
  </si>
  <si>
    <t>MH30</t>
  </si>
  <si>
    <t>M/s Amantin (Greenscape)</t>
  </si>
  <si>
    <t>TTC, Turbhe</t>
  </si>
  <si>
    <t>LILO on 220 kV Kalwa-Tiffil at proposed 220 kV S/s</t>
  </si>
  <si>
    <t>SEAC-II EC application - n/a (M001)</t>
  </si>
  <si>
    <t>https://environmentclearance.nic.in/DownloadPfdFile.aspx?FileName=Kwy+a1Xl%2FGHp2kMbJYBd8GPrFSz%2FNzzr1mrm87hA6RfsBvasy5U%2FhwjR4PRxBwwupD8Lw8MExL5FqtSFZLEOTQ%3D%3D&amp;FilePath=93ZZBm8LWEXfg+HAlQix2fE2t8z%2FpgnoBhDlYdZCxzXTbTpOQqzWjBW0IF63rxBVcDlG0LKdfbGNs0Ou%2FTEvAA%3D%3D</t>
  </si>
  <si>
    <t>SLDC MMR #10. SLDC 130 MW grid vs 103.4 MW connected load in EC filing</t>
  </si>
  <si>
    <t>MH31</t>
  </si>
  <si>
    <t>M/s. Raiden InfoTech India (P) Ltd</t>
  </si>
  <si>
    <t>Turbhe MIDC, TTC</t>
  </si>
  <si>
    <t>LILO on 220 kV Kharghar-Sonkhar</t>
  </si>
  <si>
    <t>n/a - tier A1</t>
  </si>
  <si>
    <t>MPCB Consent to Establish - Approved (M002); SEIAA EC application - On agenda (M003)</t>
  </si>
  <si>
    <t>https://mpcb.gov.in/sites/default/files/inline-files/Action_Taken_report_of_5th_CAC_Booklet_no_5_0.pdf</t>
  </si>
  <si>
    <t>SLDC MMR #21. First MW figure for Google's own Navi Mumbai site: 190 MW, May-2026 to May-2031</t>
  </si>
  <si>
    <t>MH32</t>
  </si>
  <si>
    <t>M/s. Web Werks</t>
  </si>
  <si>
    <t>LILO on 220 kV Kalwa-Siemens at proposed 220 kV GIS</t>
  </si>
  <si>
    <t>SEIAA EC (new DC buildings) - Discussed (M008); MPCB Consent to Establish - Approved (M009)</t>
  </si>
  <si>
    <t>SLDC MMR #15.</t>
  </si>
  <si>
    <t>MH33</t>
  </si>
  <si>
    <t>M/s. ST Telemedia</t>
  </si>
  <si>
    <t>Thane Belapur Road</t>
  </si>
  <si>
    <t>LILO on 220 kV Mahape-Tiffil line</t>
  </si>
  <si>
    <t>SLDC MMR #1. SLDC grid sanction for the two STT Navi Mumbai sites = 120 MW</t>
  </si>
  <si>
    <t>MH34</t>
  </si>
  <si>
    <t>M/s IMCC</t>
  </si>
  <si>
    <t>TTC MIDC Zone-A, Ghansoli</t>
  </si>
  <si>
    <t>SLDC MMR #7. Not in our data; sponsor to be identified</t>
  </si>
  <si>
    <t>MH35</t>
  </si>
  <si>
    <t>M/s. Innovative</t>
  </si>
  <si>
    <t>Khairane MIDC, Navi Mumbai</t>
  </si>
  <si>
    <t>LILO on 220 kV Mahape-Tiffil ckt of Kalwa-Siemens-Mahape-Tiffil line</t>
  </si>
  <si>
    <t>SLDC MMR #2. Not in our data; sponsor to be identified</t>
  </si>
  <si>
    <t>MH36</t>
  </si>
  <si>
    <t>Yotta Data Services</t>
  </si>
  <si>
    <t>Hiranandani Fortune City, Panvel</t>
  </si>
  <si>
    <t>-</t>
  </si>
  <si>
    <t>MPCB Renewal of consent - Approved (M041)</t>
  </si>
  <si>
    <t>https://colocation.yotta.com/data-center/nm1-datacenter-mumbai-region-maharashtra/</t>
  </si>
  <si>
    <t>SLDC MMR #31. Exact match</t>
  </si>
  <si>
    <t>MH37</t>
  </si>
  <si>
    <t>Adani Group (ex-Microsoft site)</t>
  </si>
  <si>
    <t>M/s Microsoft Corporation India Ltd (Bhosari)</t>
  </si>
  <si>
    <t>Bhosari, Pimpri Industrial Area, Pune</t>
  </si>
  <si>
    <t>220 kV D/C UG cable from 220 kV Century Enka S/s (2 km)</t>
  </si>
  <si>
    <t>SEIAA EC (expansion) - Referred back to SEAC-III (M015); MPCB Consent to Establish - Approved (M016)</t>
  </si>
  <si>
    <t>https://environmentclearance.nic.in/writereaddata/FormB/agenda/2302202697285484%28921161%29MINUTESOF319DAY-5PART-B.pdf</t>
  </si>
  <si>
    <t>SLDC PMR #1. 74 MW grid = 75.4 MW EC. Schedule in report is cumulative (16.1 -&gt; 74); converted to annual increments</t>
  </si>
  <si>
    <t>MH38</t>
  </si>
  <si>
    <t>Amazon Data Services Pvt Ltd, Thane</t>
  </si>
  <si>
    <t>Balkum &amp; Majiwade, Thane</t>
  </si>
  <si>
    <t>LILO on 220 kV Colorchem-Temghar</t>
  </si>
  <si>
    <t>MPCB Consent to Establish - Approved (M012); SEIAA EC application - On agenda (M013)</t>
  </si>
  <si>
    <t>https://x.com/cbdhage/status/1762797367529480646</t>
  </si>
  <si>
    <t>SLDC MMR #20. Official: 150 MW sanctioned in 4 x 37.5 MW phases 2025-28. Replace 272 (tier D) with 150 (A1)</t>
  </si>
  <si>
    <t>MH39</t>
  </si>
  <si>
    <t>Maharashtra STU - Ambernath (connectivity under consideration)</t>
  </si>
  <si>
    <t>Ambernath (Palava)</t>
  </si>
  <si>
    <t>400/220 kV Ambernath S/s</t>
  </si>
  <si>
    <t>MERC: ~1,500 MW additional load under consideration by STU</t>
  </si>
  <si>
    <t>One more DC's application under process (MERC para 7.6); park total 2,950 MW</t>
  </si>
  <si>
    <t>MH40</t>
  </si>
  <si>
    <t>Adani Group (Adani Infra / AdaniConneX)</t>
  </si>
  <si>
    <t>Adani Infra (India) Ltd - likely AdaniConneX Taloja (CoreWeave)</t>
  </si>
  <si>
    <t>LILO of 400 kV Padghe-Kharghar (Taloja / Kharghar belt)</t>
  </si>
  <si>
    <t>ISTS - LILO of 400 kV Padghe-Kharghar</t>
  </si>
  <si>
    <t>IT MW - tier C (CoreWeave release; 480 MW option)</t>
  </si>
  <si>
    <t>https://investors.coreweave.com/news/news-details/2026/CoreWeave-Enters-India-Expanding-AI-Cloud-Platform-With-AdaniConneX/default.aspx</t>
  </si>
  <si>
    <t>10 x 50 MW GNA under process (May-Jun 2026). Link to Taloja/CoreWeave campus is inferred (location + timing)</t>
  </si>
  <si>
    <t>MH41</t>
  </si>
  <si>
    <t>Vardhexa Data Centre Pvt Ltd</t>
  </si>
  <si>
    <t>Pune (Talegaon) 400 kV</t>
  </si>
  <si>
    <t>ISTS - Pune (Talegaon)</t>
  </si>
  <si>
    <t>1 GNA application (16-09-2026). Not in our earlier state data. SITAC group mapping per your research</t>
  </si>
  <si>
    <t>MH42</t>
  </si>
  <si>
    <t>Permits</t>
  </si>
  <si>
    <t>NTT Global Data Centers &amp; Cloud Infrastructure India</t>
  </si>
  <si>
    <t>Saki Vihar / Marol, Mumbai</t>
  </si>
  <si>
    <t>MPCB CTO renewal - Listed (M044)</t>
  </si>
  <si>
    <t>https://mpcb.gov.in/sites/default/files/inline-files/Agenda%20Index%20of%2013th%20CAC%20Meeting.pdf</t>
  </si>
  <si>
    <t>Existing NTT (ex-Netmagic) Saki Vihar DC - CTO renewal; served by Mumbai licensee</t>
  </si>
  <si>
    <t>MH43</t>
  </si>
  <si>
    <t>Our data</t>
  </si>
  <si>
    <t>Tusshar Infra Developers &amp; Pantheon Buildcon</t>
  </si>
  <si>
    <t>Saki Vihar-Chandivali, Mumbai</t>
  </si>
  <si>
    <t>Connected MW - EC (expansion) under appraisal 2025</t>
  </si>
  <si>
    <t>SEIAA EC (expansion) - 'Commercial IT (Data Centre)' - Discussed (M014)</t>
  </si>
  <si>
    <t>https://environmentclearance.nic.in/writereaddata/FormB/agenda/2107202594781152MINUTESOF296DAY-3PART-B.pdf</t>
  </si>
  <si>
    <t>EC (expansion) under appraisal - 113.9 MW connected load in SEIAA minutes (A1); likely Tata Power / AEML supply, so not in SLDC</t>
  </si>
  <si>
    <t>MH44</t>
  </si>
  <si>
    <t>NTT (likely - Bearys builds NTT campuses)</t>
  </si>
  <si>
    <t>Bearys Properties &amp; Developments Pvt Ltd</t>
  </si>
  <si>
    <t>Plot ES-05, TTC Mahape</t>
  </si>
  <si>
    <t>SEIAA EC - On agenda (M030)</t>
  </si>
  <si>
    <t>https://www.ecmpcb.in/login/download_ec_document/QjJCMzlBQzg5M0MzNDZERjg1NDQxQTZGN0YzQzE0MjMucGRm</t>
  </si>
  <si>
    <t>EC on agenda for Plot ES-05 Mahape; may be part of an NTT SLDC line</t>
  </si>
  <si>
    <t>MH45</t>
  </si>
  <si>
    <t>Gargantuan Industrial Space Solutions Pvt Ltd</t>
  </si>
  <si>
    <t>Plot R-978, Sector 8, Rabale</t>
  </si>
  <si>
    <t>SEIAA EC expansion - On agenda (M029)</t>
  </si>
  <si>
    <t>https://www.ecmpcb.in/login/download_ec_document/ODY2MDg5MDRCMzNGNDNCN0JEMTFBNDUzNEI4MjlGNEQucGRm</t>
  </si>
  <si>
    <t>EC expansion on agenda; no MW, no grid record</t>
  </si>
  <si>
    <t>MH46</t>
  </si>
  <si>
    <t>Larsen &amp; Toubro Ltd</t>
  </si>
  <si>
    <t>S.No. 39, 42, 49 Bhokarpada, Panvel</t>
  </si>
  <si>
    <t>SEIAA EC (DC + residential) - On agenda (M032)</t>
  </si>
  <si>
    <t>https://www.ecmpcb.in/login/download_ec_document/MzMzQzM2MDM3QkQ5NEYxQUIyOTNEMjAyNEE2NUNFODgucGRm</t>
  </si>
  <si>
    <t>EC for DC + residential at Bhokarpada, Panvel; no MW</t>
  </si>
  <si>
    <t>MH47</t>
  </si>
  <si>
    <t>Persipina Developers Pvt Ltd</t>
  </si>
  <si>
    <t>Bhokarpada, Panvel</t>
  </si>
  <si>
    <t>MPCB CTO for DG sets - Approved (M042)</t>
  </si>
  <si>
    <t>https://mpcb.gov.in/sites/default/files/inline-files/Webhost%20Minutes%20of%203rd%20CAC%20Booklet%20no.%203.pdf</t>
  </si>
  <si>
    <t>CTO for DG sets in the Yotta park - likely part of Yotta NM1/NM2</t>
  </si>
  <si>
    <t>MH48</t>
  </si>
  <si>
    <t>MAHAPREIT</t>
  </si>
  <si>
    <t>State DC project</t>
  </si>
  <si>
    <t>Total load MW - EOI stage</t>
  </si>
  <si>
    <t>https://mahapreit.in/assets/uploads/tender-ext-65-1786725791.pdf</t>
  </si>
  <si>
    <t>State EOI (A1) - 200 MW total load</t>
  </si>
  <si>
    <t>MH49</t>
  </si>
  <si>
    <t>Trentar Pvt Ltd</t>
  </si>
  <si>
    <t>Location not disclosed</t>
  </si>
  <si>
    <t>IT MW - State LoI + MoU Oct-2026</t>
  </si>
  <si>
    <t>A2</t>
  </si>
  <si>
    <t>https://www.prnewswire.com/in/news-releases/trentar-signs-30-000-crore-3-3-bn-mou-with-maharashtra-for-500-mw-green-integrated-data-center-park-302899623.html</t>
  </si>
  <si>
    <t>State LoI + MoU Oct-2026 (reported, A2)</t>
  </si>
  <si>
    <t>MH50</t>
  </si>
  <si>
    <t>AirTrunk</t>
  </si>
  <si>
    <t>Raigad-Pen Growth Centre</t>
  </si>
  <si>
    <t>IT MW - State Letter of Intent for land (Jun-2026)</t>
  </si>
  <si>
    <t>https://www.aninews.in/news/business/maharashtra-issues-letter-of-intent-to-airtrunk-for-rs-2-lakh-crore-data-centre-project-in-raigad20260601123602/</t>
  </si>
  <si>
    <t>State LoI for land (Jun-2026); 3 GW IT - govt action reported (A2)</t>
  </si>
  <si>
    <t>MH51</t>
  </si>
  <si>
    <t>ReNew Wind Energy</t>
  </si>
  <si>
    <t>MMR green DC park (Panvel/Taloja/Khalapur)</t>
  </si>
  <si>
    <t>IT MW - State MoU Oct-2026</t>
  </si>
  <si>
    <t>https://www.business-standard.com/industry/news/renew-signs-mou-with-maharashtra-for-70-000-crore-green-data-centre-park-126100801226_1.html</t>
  </si>
  <si>
    <t>State MoU Oct-2026 (reported, A2)</t>
  </si>
  <si>
    <t>MH52</t>
  </si>
  <si>
    <t>Avisirah Technologies</t>
  </si>
  <si>
    <t>Navi Mumbai</t>
  </si>
  <si>
    <t>IT MW - Financed - tier D</t>
  </si>
  <si>
    <t>https://propnewstime.com/latestnewsstories/MzY3MDg=/avisirah-raises-inr-75-crore-for-navi-mumbai-data-centre</t>
  </si>
  <si>
    <t>Small - distribution voltage</t>
  </si>
  <si>
    <t>MH53</t>
  </si>
  <si>
    <t>Rabale</t>
  </si>
  <si>
    <t>Facility MW - Announced - tier D</t>
  </si>
  <si>
    <t>https://www.crnasia.com/india/news/2026/esr-enters-india-data-centre-market-with-60-mw-facility-in-mumbai</t>
  </si>
  <si>
    <t>MH54</t>
  </si>
  <si>
    <t>L&amp;T (Vyoma)</t>
  </si>
  <si>
    <t>Larsen &amp; Toubro</t>
  </si>
  <si>
    <t>Vyoma EL-200 Mahape</t>
  </si>
  <si>
    <t>IT MW - SEIAA EC application (Oct-2025) - tier A1</t>
  </si>
  <si>
    <t>SEIAA EC - On agenda (M031)</t>
  </si>
  <si>
    <t>https://www.larsentoubro.com/pressreleases/2026/2026-01-21-larsen-toubro-vyoma-breaks-ground-on-40-mw-green-ai-ready-data-centre-in-navi-mumbai</t>
  </si>
  <si>
    <t>https://www.ecmpcb.in/login/download_ec_document/MzI2MjVDNjJFNjhGNEFDMkFCRjA0MDc5NDdENUQ3QjMucGRm</t>
  </si>
  <si>
    <t>EC on agenda (no MW in record); 40 MW of 100 MW campus per L&amp;T release</t>
  </si>
  <si>
    <t>MH55</t>
  </si>
  <si>
    <t>PDG (India) Management</t>
  </si>
  <si>
    <t>MU1 Airoli (50 live + 100 expansion) + MU2 (120)</t>
  </si>
  <si>
    <t>IT MW - MU1: MPCB CTO May-2025; MU2: construction started Apr-2026, no permit found - tier C</t>
  </si>
  <si>
    <t>MPCB Consent to 1st Operate - Approved (M037)</t>
  </si>
  <si>
    <t>https://www.datacenterdynamics.com/en/news/pdg-breaks-ground-on-latest-mumbai-data-center/</t>
  </si>
  <si>
    <t>https://mpcb.gov.in/sites/default/files/inline-files/Action_Taken_Report_of_1st_CAC_Meeting_Part_I.pdf</t>
  </si>
  <si>
    <t>MU1 CTO approved (MPCB) but not in SLDC list - may be fed from a park substation; MW is company-stated</t>
  </si>
  <si>
    <t>MH56</t>
  </si>
  <si>
    <t>Zerra (AGPDC)</t>
  </si>
  <si>
    <t>Navi Mumbai 29 acres</t>
  </si>
  <si>
    <t>IT MW - Company claims consents; no government record found - tier C</t>
  </si>
  <si>
    <t>https://zerradc.com/projects/navi-mumbai/</t>
  </si>
  <si>
    <t>Company claims consents; no government record found</t>
  </si>
  <si>
    <t>MH57</t>
  </si>
  <si>
    <t>TCC Concept</t>
  </si>
  <si>
    <t>Hinjewadi, Pune</t>
  </si>
  <si>
    <t>IT MW - 4 MW operating; land MoU for 60 MW - tier C</t>
  </si>
  <si>
    <t>https://www.constructionworld.in/policy-updates-and-economic-news/tcc-concept-plans-60-mw-data-centre-campus-in-pune/95832</t>
  </si>
  <si>
    <t>Small - likely distribution voltage</t>
  </si>
  <si>
    <t>TOTAL</t>
  </si>
  <si>
    <t>Maharashtra - what the SLDC data-centre report (Dec-2025) adds to our dataset</t>
  </si>
  <si>
    <t>https://mahasldc.in/assets/public-ui/files/Data_Centre.pdf</t>
  </si>
  <si>
    <t>Headline numbers (official, STU / SLDC)</t>
  </si>
  <si>
    <t>% / note</t>
  </si>
  <si>
    <t>Comment</t>
  </si>
  <si>
    <t>Data-centre projects with STU grid connectivity (MMR + PMR)</t>
  </si>
  <si>
    <t>31 in MMR, 5 in PMR</t>
  </si>
  <si>
    <t>Total load sanctioned by STU</t>
  </si>
  <si>
    <t>Report: 6,000 MW (MMR 5,385 + PMR 615)</t>
  </si>
  <si>
    <t>Load realised (final connectivity granted)</t>
  </si>
  <si>
    <t>Report: 685 MW (~11% of sanctioned)</t>
  </si>
  <si>
    <t>Average metered load, last 3 months (18 commissioned DCs)</t>
  </si>
  <si>
    <t>33% of the 615 MW granted to these 18 DCs</t>
  </si>
  <si>
    <t>Maximum metered load, last 3 months</t>
  </si>
  <si>
    <t>44% of granted - DCs draw far below sanction today</t>
  </si>
  <si>
    <t>Sanctioned load scheduled for 2025-2028</t>
  </si>
  <si>
    <t>Bulk of the ramp is 2025-28, per report</t>
  </si>
  <si>
    <t>Sanctioned load scheduled for 2029-2036</t>
  </si>
  <si>
    <t>Long tail to 2036 (Ambernath, Newfound)</t>
  </si>
  <si>
    <t>Comparison with our Maharashtra data</t>
  </si>
  <si>
    <t>SLDC sanctioned MW</t>
  </si>
  <si>
    <t>What it means</t>
  </si>
  <si>
    <t>NEW - in SLDC, not in our state data</t>
  </si>
  <si>
    <t>Add ~2 GW of grid-sanctioned DC load: K Raheja Newfound (250) &amp; Gigaplex (285), Gramercy Infopark (480) &amp; Gramercy Infra Realty (180), STT Pune (200), Airtel Nxtra Mahape + Pune (221), IMCC (106), Innovative (50), Bridge DC (32)</t>
  </si>
  <si>
    <t>Matched - SLDC gives a bigger / first official MW</t>
  </si>
  <si>
    <t>AWS Powai 225 vs 77; CtrlS 295 + 290 vs 214 IT; Amanthin 130 vs 103; Gramercy Techpark 90 vs 62; Gramercy Business Hub 150 vs 120</t>
  </si>
  <si>
    <t>Matched - SLDC adds MW where we had none</t>
  </si>
  <si>
    <t>Google/Raiden Turbhe 190 MW; Microsoft (now Adani SPV) Pimpri 155 MW; CtrlS New 290 MW</t>
  </si>
  <si>
    <t>Matched - SLDC smaller than our (company) figure</t>
  </si>
  <si>
    <t>Sify 160 grid vs 377 campus; Colt DCS-RMZ 60 vs 148; Digital Edge 225 vs 350</t>
  </si>
  <si>
    <t>Corrects our row</t>
  </si>
  <si>
    <t>AWS Thane (Balkum-Majiwada): 150 MW official vs 272 MW tier-D figure</t>
  </si>
  <si>
    <t>Matched - consistent</t>
  </si>
  <si>
    <t>STT Navi Mumbai, NTT, Web Werks, Datascape, Yotta (52 = 52), Microsoft Bhosari (74 vs 75.4), Lodha/Ambernath</t>
  </si>
  <si>
    <t>Key takeaways</t>
  </si>
  <si>
    <t>1) Official confirmation of the pipeline: STU has sanctioned ~6 GW of DC load in MMR + Pune (Dec-2025) - vs only ~0.7 GW realised and ~0.2 GW actually drawn on average. The client's 'much bigger than the press' view is supported on sanctions; actual draw lags badly.</t>
  </si>
  <si>
    <t>2) Utilisation is low: 18 commissioned DCs draw 33% (avg) / 44% (peak) of the 615 MW granted to them - phased IT fit-out, not grid constraints (SLDC's own conclusion).</t>
  </si>
  <si>
    <t>3) Navi Mumbai (TTC-Mahape-Airoli-Kalwa) is the stress point: almost all MMR projects hang off a handful of 220 kV LILOs (Kalwa-Tiffil, Kharghar-Borivali, Kalwa-Bapgaon, Kalwa-Colourchem, Mahape-Tiffil); NTT and Gramercy Infopark need 400 kV LILOs.</t>
  </si>
  <si>
    <t>4) This report EXCLUDES ISTS (CTUIL) connections - Support Properties / AdaniConneX 1,468 MW at PG Navi Mumbai and Adani Infra 500 MW at Padghe-Kharghar are on top of the 6 GW.</t>
  </si>
  <si>
    <t>5) Later events: MERC Case 88/2026 (Jun-2026) raised the Lodha Ambernath park to ~1,450 MW granted + 1,500 MW under consideration (vs 925 MW here), so the 6 GW is already stale on the upside.</t>
  </si>
  <si>
    <t>6) Projects in our data but not here (no STU sanction by Dec-2025, served by a discom, or announced only): AdaniConneX Taloja (CoreWeave), PDG MU1/MU2, Chandivali, L&amp;T Vyoma, AirTrunk Pen, ReNew, Trentar, Zerra, ESR, MAHAPREIT - see Ours_not_in_SLDC.</t>
  </si>
  <si>
    <t>Sanctioned DC load by scheduled year (MW)</t>
  </si>
  <si>
    <t>Ph-I / undated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</si>
  <si>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</si>
  <si>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</si>
  <si>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</si>
  <si>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</si>
  <si>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</si>
  <si>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</si>
  <si>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</si>
  <si>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</si>
  <si>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</si>
  <si>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</si>
  <si>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</si>
  <si>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</si>
  <si>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</si>
  <si>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SLDC sanctioned / realised load by group (MW)</t>
  </si>
  <si>
    <t>Group (mapped)</t>
  </si>
  <si>
    <t>Sanctioned (MW)</t>
  </si>
  <si>
    <t>Realised (MW)</t>
  </si>
  <si>
    <t>Avg load 3 m (MW)</t>
  </si>
  <si>
    <t>Blackstone / AirTrunk (Gramercy SPVs)</t>
  </si>
  <si>
    <t>Microsoft site -&gt; Adani SPVs</t>
  </si>
  <si>
    <t>Bridge Data Centres (BDC)</t>
  </si>
  <si>
    <t>Maharashtra SLDC (MahaTransco) - data-centre grid connectivity sanctioned by STU, MMR &amp; PMR (report dated Dec-2025)</t>
  </si>
  <si>
    <t>Source: 'Preliminary Assessment of Data Centre Load Patterns in the Maharashtra Power System', Maharashtra State Load Despatch Centre, Dec-2025, Tables 1-4 (pp.21-29). Sanctioned = STU-sanctioned load (grid MW). Realised = final grid connectivity granted / load realised. Avg/Max = metered load, last 3 months (Table 4). Covers only STU (state 100-220-400 kV) connections - CTUIL / ISTS connections (e.g. Support Properties 1,468 MW, Adani Infra 500 MW) are NOT in this report.</t>
  </si>
  <si>
    <t>Region</t>
  </si>
  <si>
    <t>Sr</t>
  </si>
  <si>
    <t>Consumer (as in report)</t>
  </si>
  <si>
    <t>Address</t>
  </si>
  <si>
    <t>Grid connectivity</t>
  </si>
  <si>
    <t>Avg load, last 3 m (MW)</t>
  </si>
  <si>
    <t>Max load, last 3 m (MW)</t>
  </si>
  <si>
    <t>Match vs our dataset</t>
  </si>
  <si>
    <t>Our row / project</t>
  </si>
  <si>
    <t>Our MW &amp; basis</t>
  </si>
  <si>
    <t>Report page</t>
  </si>
  <si>
    <t>Schedule total</t>
  </si>
  <si>
    <t>MMR</t>
  </si>
  <si>
    <t>Matched</t>
  </si>
  <si>
    <t>Row 20 STT GDC TTC Khairane/Mahape</t>
  </si>
  <si>
    <t>133 IT MW (with SLDC #14)</t>
  </si>
  <si>
    <t>SLDC grid sanction for the two STT Navi Mumbai sites = 120 MW</t>
  </si>
  <si>
    <t>NEW</t>
  </si>
  <si>
    <t>Not in our data; sponsor to be identified</t>
  </si>
  <si>
    <t>Matched - bigger</t>
  </si>
  <si>
    <t>Row 19 CtrlS Mahape DC1-DC7</t>
  </si>
  <si>
    <t>214 IT MW</t>
  </si>
  <si>
    <t>SLDC: 295 MW sanctioned + 290 MW 'CtrlS New' (#24) = 585 MW grid vs our 214 IT MW. Site visit: 70 MW live, avg 42-45 MW</t>
  </si>
  <si>
    <t>K Raheja Corp (Newfound Properties) - inferred</t>
  </si>
  <si>
    <t>v3 MH_Permits only (no MW)</t>
  </si>
  <si>
    <t>Not in state data; 250 MW sanctioned to 2034</t>
  </si>
  <si>
    <t>K Raheja Corp / Mindspace REIT (Gigaplex) - inferred</t>
  </si>
  <si>
    <t>Not in state data; 285 MW sanctioned to 2031</t>
  </si>
  <si>
    <t>Row 21 NTT NAV1A + NAV2</t>
  </si>
  <si>
    <t>366 IT MW (with #9, #18)</t>
  </si>
  <si>
    <t>SLDC: NTT sites #6 + #9 + #18 = 665 MW grid</t>
  </si>
  <si>
    <t>Not in our MH state data (Airtel Nxtra)</t>
  </si>
  <si>
    <t>Row 21 NTT NAV2</t>
  </si>
  <si>
    <t>366 IT MW (with #6, #18)</t>
  </si>
  <si>
    <t>NAV2 = 500 MW facility; our IT figure is consistent</t>
  </si>
  <si>
    <t>Google (Amanthin / EverYondr lease)</t>
  </si>
  <si>
    <t>Row 11 Amanthin D-31/32 TTC Turbhe</t>
  </si>
  <si>
    <t>103.4 connected MW (Form-1A)</t>
  </si>
  <si>
    <t>SLDC 130 MW grid vs 103.4 MW connected load in EC filing</t>
  </si>
  <si>
    <t>Blackstone / AirTrunk (Gramercy SPV) - inferred</t>
  </si>
  <si>
    <t>Largest new item: 480 MW (Mar-2028 to Nov-2031); needs a 400 kV LILO</t>
  </si>
  <si>
    <t>Matched - smaller</t>
  </si>
  <si>
    <t>Row 17 Sify Rabale campus</t>
  </si>
  <si>
    <t>377 IT MW (company)</t>
  </si>
  <si>
    <t>SLDC: Sify #12 + #30 = 160 MW grid vs 377 MW company campus figure</t>
  </si>
  <si>
    <t>Blackstone / AirTrunk (Gramercy Techpark)</t>
  </si>
  <si>
    <t>Row 4 AirTrunk BOM1 (Gramercy Techpark)</t>
  </si>
  <si>
    <t>62 IT MW (tier D)</t>
  </si>
  <si>
    <t>Official grid figure (90 MW) replaces directory-sourced 62 MW</t>
  </si>
  <si>
    <t>Row 20 STT GDC</t>
  </si>
  <si>
    <t>133 IT MW (with #1)</t>
  </si>
  <si>
    <t>Row 14 Web Werks MUM-3</t>
  </si>
  <si>
    <t>140 connected MW (SEIAA)</t>
  </si>
  <si>
    <t>Row 23 Colt DCS-RMZ Kalwa</t>
  </si>
  <si>
    <t>148 IT MW (potential)</t>
  </si>
  <si>
    <t>SLDC sanction only 60 MW so far vs 148 MW campus potential</t>
  </si>
  <si>
    <t>Row 13 CapitaLand Digha</t>
  </si>
  <si>
    <t>135 connected MW (SEIAA)</t>
  </si>
  <si>
    <t>Row 21 NTT</t>
  </si>
  <si>
    <t>(with #6, #9)</t>
  </si>
  <si>
    <t>Row 10 AWS Powai</t>
  </si>
  <si>
    <t>77 connected MW (SEIAA EC)</t>
  </si>
  <si>
    <t>Grid sanction 225 MW vs 77 MW in the EC - EC covers only the first building(s)</t>
  </si>
  <si>
    <t>CORRECTS our row</t>
  </si>
  <si>
    <t>Row 9 AWS Balkum-Majiwada</t>
  </si>
  <si>
    <t>272 IT MW (tier D, social media)</t>
  </si>
  <si>
    <t>Official: 150 MW sanctioned in 4 x 37.5 MW phases 2025-28. Replace 272 (tier D) with 150 (A1)</t>
  </si>
  <si>
    <t>Google (Raiden)</t>
  </si>
  <si>
    <t>Matched - adds MW</t>
  </si>
  <si>
    <t>Row 12 Raiden GEN-2/1/A/1 Turbhe</t>
  </si>
  <si>
    <t>no MW</t>
  </si>
  <si>
    <t>First MW figure for Google's own Navi Mumbai site: 190 MW, May-2026 to May-2031</t>
  </si>
  <si>
    <t>AWS (Amazon) - Lodha Palava park</t>
  </si>
  <si>
    <t>Row 2 Lodha Palava-Ambernath park</t>
  </si>
  <si>
    <t>1,450 approved + 1,500 under consideration (MERC Jun-2026)</t>
  </si>
  <si>
    <t>Dec-2025: AWS 475 + STT 450 = 925 MW; MERC order (Jun-2026) later raised the park to ~1,450 MW granted. Phase schedule in report sums to 450</t>
  </si>
  <si>
    <t>STT GDC - Lodha Palava park</t>
  </si>
  <si>
    <t>Row 2 Lodha park</t>
  </si>
  <si>
    <t>(with #22)</t>
  </si>
  <si>
    <t>Row 19 CtrlS</t>
  </si>
  <si>
    <t>(with #3)</t>
  </si>
  <si>
    <t>Second CtrlS GIS substation, +290 MW</t>
  </si>
  <si>
    <t>Row 5 AirTrunk BOM2 Mahape</t>
  </si>
  <si>
    <t>120 IT MW (company)</t>
  </si>
  <si>
    <t>Likely AirTrunk BOM2 (Mahape)</t>
  </si>
  <si>
    <t>Not in our data; connectivity still at feasibility (TFR awaited)</t>
  </si>
  <si>
    <t>Row 16 Digital Edge BOM</t>
  </si>
  <si>
    <t>350 IT MW (campus)</t>
  </si>
  <si>
    <t>SLDC: Digital Edge #27 + #28 = 225 MW grid vs 350 MW campus</t>
  </si>
  <si>
    <t>Row 16 Digital Edge</t>
  </si>
  <si>
    <t>(with #27)</t>
  </si>
  <si>
    <t>Not in our data; operating (avg ~11 MW)</t>
  </si>
  <si>
    <t>Row 17 Sify</t>
  </si>
  <si>
    <t>(with #12)</t>
  </si>
  <si>
    <t>Row 18 Yotta NM1</t>
  </si>
  <si>
    <t>52 IT MW</t>
  </si>
  <si>
    <t>Exact match</t>
  </si>
  <si>
    <t>PMR</t>
  </si>
  <si>
    <t>Microsoft site -&gt; Adani SPV (Pune Data Center Ltd)</t>
  </si>
  <si>
    <t>Row 8 Pune Data Center Ltd (ACXPNQ26)</t>
  </si>
  <si>
    <t>75.4 connected MW (SEIAA)</t>
  </si>
  <si>
    <t>74 MW grid = 75.4 MW EC. Schedule in report is cumulative (16.1 -&gt; 74); converted to annual increments</t>
  </si>
  <si>
    <t>Microsoft site -&gt; Adani SPV (Pune Data Center Two Ltd) - inferred</t>
  </si>
  <si>
    <t>v3 P041 Microsoft Pimpri (PNQ06 / ACXPNQ27&amp;29)</t>
  </si>
  <si>
    <t>First MW figure for this site: 155 MW (cumulative schedule to Jan-2030)</t>
  </si>
  <si>
    <t>Not in our MH data: 100 MW existing + 100 MW additional; avg load ~42 MW</t>
  </si>
  <si>
    <t>Not in our data</t>
  </si>
  <si>
    <t>Total - MMR</t>
  </si>
  <si>
    <t>Total - PMR</t>
  </si>
  <si>
    <t>GRAND TOTAL (report: 6,000 sanctioned / 685 realised)</t>
  </si>
  <si>
    <t>Report totals check: MMR 5,385 / 526; PMR 615 / 159; metered avg 204.52 MW, max 274.46 MW (Table 4). Amazon Ambernath phase schedule sums to 450 vs 475 sanctioned (as printed).</t>
  </si>
  <si>
    <t>Maharashtra rows in our dataset with no STU sanction in the SLDC report (Dec-2025)</t>
  </si>
  <si>
    <t>Our row</t>
  </si>
  <si>
    <t>Site</t>
  </si>
  <si>
    <t>Our MW &amp; status</t>
  </si>
  <si>
    <t>Likely reason not in SLDC</t>
  </si>
  <si>
    <t>AirTrunk (Blackstone)</t>
  </si>
  <si>
    <t>3,000 IT MW - LoI Jun-2026</t>
  </si>
  <si>
    <t>Announced after Dec-2025; no grid application yet</t>
  </si>
  <si>
    <t>Adani Group (AdaniConneX / CoreWeave)</t>
  </si>
  <si>
    <t>Taloja campus</t>
  </si>
  <si>
    <t>240 IT MW - contracted</t>
  </si>
  <si>
    <t>Likely fed via ISTS: Adani Infra 10 x 50 MW CTUIL filing at Padghe-Kharghar (outside SLDC scope)</t>
  </si>
  <si>
    <t>Adani Group (Support Properties)</t>
  </si>
  <si>
    <t>A-GEN-4 TTC Rabale/Ghansoli</t>
  </si>
  <si>
    <t>CTUIL 1,468 MW approved</t>
  </si>
  <si>
    <t>ISTS connection at POWERGRID Navi Mumbai - outside STU scope</t>
  </si>
  <si>
    <t>113.9 connected MW - EC stage</t>
  </si>
  <si>
    <t>Mumbai city - likely supplied by Tata Power / AEML licensee network, not STU</t>
  </si>
  <si>
    <t>MU1 Airoli + MU2</t>
  </si>
  <si>
    <t>150 + 120 IT MW</t>
  </si>
  <si>
    <t>Not listed - may be supplied at 22/33 kV by MSEDCL or via a co-located park; check</t>
  </si>
  <si>
    <t>100 IT MW - EC application</t>
  </si>
  <si>
    <t>Connectivity application probably after Dec-2025</t>
  </si>
  <si>
    <t>MMR green DC park</t>
  </si>
  <si>
    <t>750 IT MW - MoU Oct-2026</t>
  </si>
  <si>
    <t>Announced after report</t>
  </si>
  <si>
    <t>Trentar</t>
  </si>
  <si>
    <t>Undisclosed</t>
  </si>
  <si>
    <t>500 IT MW - LoI Oct-2026</t>
  </si>
  <si>
    <t>240 IT MW - company claim</t>
  </si>
  <si>
    <t>No STU sanction - supports treating as unverified</t>
  </si>
  <si>
    <t>200 MW - EOI</t>
  </si>
  <si>
    <t>EOI stage</t>
  </si>
  <si>
    <t>60 MW - announced</t>
  </si>
  <si>
    <t>Announced only</t>
  </si>
  <si>
    <t>4 op + 56 MW</t>
  </si>
  <si>
    <t>Small - likely at distribution voltage</t>
  </si>
  <si>
    <t>5.5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</si>
</sst>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-#,##0;&quot;-&quot;"/>
    <numFmt numFmtId="165" formatCode="#,##0.0;\-#,##0.0;&quot;-&quot;"/>
  </numFmts>
  <fonts count="8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9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u/>
      <sz val="9"/>
      <color rgb="FF0563C1"/>
      <name val="Arial"/>
    </font>
    <font>
      <b/>
      <sz val="9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6" fillId="0" borderId="0" xfId="0" applyFont="1"/>
    <xf numFmtId="0" fontId="3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4" fillId="0" borderId="0" xfId="0" applyFont="1"/>
    <xf numFmtId="164" fontId="4" fillId="0" borderId="0" xfId="0" applyNumberFormat="1" applyFont="1"/>
    <xf numFmtId="165" fontId="4" fillId="0" borderId="1" xfId="0" applyNumberFormat="1" applyFont="1" applyBorder="1" applyAlignment="1">
      <alignment vertical="top" wrapText="1"/>
    </xf>
    <xf numFmtId="165" fontId="5" fillId="0" borderId="1" xfId="0" applyNumberFormat="1" applyFont="1" applyBorder="1" applyAlignment="1">
      <alignment vertical="top" wrapText="1"/>
    </xf>
    <xf numFmtId="0" fontId="3" fillId="2" borderId="0" xfId="0" applyFont="1" applyFill="1"/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2" fillId="0" borderId="0" xfId="0" applyFont="1"/>
    <xf numFmtId="0" fontId="7" fillId="2" borderId="1" xfId="0" applyFont="1" applyFill="1" applyBorder="1" applyAlignment="1">
      <alignment vertical="center" wrapText="1"/>
    </xf>
    <xf numFmtId="9" fontId="5" fillId="0" borderId="1" xfId="0" applyNumberFormat="1" applyFont="1" applyBorder="1" applyAlignment="1">
      <alignment vertical="top" wrapText="1"/>
    </xf>
    <xf numFmtId="0" fontId="7" fillId="2" borderId="0" xfId="0" applyFont="1" applyFill="1"/>
    <xf numFmtId="0" fontId="6" fillId="0" borderId="1" xfId="0" applyFont="1" applyBorder="1" applyAlignment="1">
      <alignment vertical="top" wrapText="1"/>
    </xf>
    <xf numFmtId="164" fontId="5" fillId="0" borderId="1" xfId="0" applyNumberFormat="1" applyFont="1" applyBorder="1"/>
    <xf numFmtId="0" fontId="4" fillId="0" borderId="0" xfId="0" applyFont="1" applyAlignment="1">
      <alignment vertical="top" wrapText="1"/>
    </xf>
    <xf numFmtId="0" fontId="0" fillId="0" borderId="0" xfId="0"/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Verifiable vs indicative MW by group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MH_Master_Summary!$C$22</c:f>
              <c:strCache>
                <c:ptCount val="1"/>
                <c:pt idx="0">
                  <c:v>Verifiable MW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MH_Master_Summary!$A$23:$A$53</c:f>
              <c:strCache>
                <c:ptCount val="31"/>
                <c:pt idx="0">
                  <c:v>Bharti Airtel (Nxtra)</c:v>
                </c:pt>
                <c:pt idx="1">
                  <c:v>Blackstone / AirTrunk</c:v>
                </c:pt>
                <c:pt idx="2">
                  <c:v>Bridge Data Centres</c:v>
                </c:pt>
                <c:pt idx="3">
                  <c:v>CapitaLand</c:v>
                </c:pt>
                <c:pt idx="4">
                  <c:v>Colt DCS - RMZ</c:v>
                </c:pt>
                <c:pt idx="5">
                  <c:v>CtrlS</c:v>
                </c:pt>
                <c:pt idx="6">
                  <c:v>Digital Edge</c:v>
                </c:pt>
                <c:pt idx="7">
                  <c:v>K Raheja Corp / Mindspace</c:v>
                </c:pt>
                <c:pt idx="8">
                  <c:v>NTT</c:v>
                </c:pt>
                <c:pt idx="9">
                  <c:v>STT GDC</c:v>
                </c:pt>
                <c:pt idx="10">
                  <c:v>Sify</c:v>
                </c:pt>
                <c:pt idx="11">
                  <c:v>Adani Group</c:v>
                </c:pt>
                <c:pt idx="12">
                  <c:v>AWS (Amazon)</c:v>
                </c:pt>
                <c:pt idx="13">
                  <c:v>Lodha park (AWS, STT + 1 more)</c:v>
                </c:pt>
                <c:pt idx="14">
                  <c:v>Google</c:v>
                </c:pt>
                <c:pt idx="15">
                  <c:v>Iron Mountain (Web Werks)</c:v>
                </c:pt>
                <c:pt idx="16">
                  <c:v>Unidentified ('IMCC')</c:v>
                </c:pt>
                <c:pt idx="17">
                  <c:v>Unidentified ('Innovative')</c:v>
                </c:pt>
                <c:pt idx="18">
                  <c:v>Yotta (Hiranandani)</c:v>
                </c:pt>
                <c:pt idx="19">
                  <c:v>SITAC Group</c:v>
                </c:pt>
                <c:pt idx="20">
                  <c:v>Unidentified (Chandivali)</c:v>
                </c:pt>
                <c:pt idx="21">
                  <c:v>Unidentified (Gargantuan Industrial Space)</c:v>
                </c:pt>
                <c:pt idx="22">
                  <c:v>L&amp;T</c:v>
                </c:pt>
                <c:pt idx="23">
                  <c:v>MAHAPREIT (state)</c:v>
                </c:pt>
                <c:pt idx="24">
                  <c:v>Trentar (Dorf Ketal)</c:v>
                </c:pt>
                <c:pt idx="25">
                  <c:v>ReNew</c:v>
                </c:pt>
                <c:pt idx="26">
                  <c:v>Avisirah</c:v>
                </c:pt>
                <c:pt idx="27">
                  <c:v>ESR</c:v>
                </c:pt>
                <c:pt idx="28">
                  <c:v>Princeton Digital Group</c:v>
                </c:pt>
                <c:pt idx="29">
                  <c:v>Zerra</c:v>
                </c:pt>
                <c:pt idx="30">
                  <c:v>TCC Concept / NES Data</c:v>
                </c:pt>
              </c:strCache>
            </c:strRef>
          </c:cat>
          <c:val>
            <c:numRef>
              <c:f>MH_Master_Summary!$C$23:$C$53</c:f>
              <c:numCache>
                <c:formatCode>#,##0;\-#,##0;"-"</c:formatCode>
                <c:ptCount val="31"/>
                <c:pt idx="0">
                  <c:v>221</c:v>
                </c:pt>
                <c:pt idx="1">
                  <c:v>3900</c:v>
                </c:pt>
                <c:pt idx="2">
                  <c:v>32</c:v>
                </c:pt>
                <c:pt idx="3">
                  <c:v>120</c:v>
                </c:pt>
                <c:pt idx="4">
                  <c:v>60</c:v>
                </c:pt>
                <c:pt idx="5">
                  <c:v>585</c:v>
                </c:pt>
                <c:pt idx="6">
                  <c:v>225</c:v>
                </c:pt>
                <c:pt idx="7">
                  <c:v>535</c:v>
                </c:pt>
                <c:pt idx="8">
                  <c:v>665</c:v>
                </c:pt>
                <c:pt idx="9">
                  <c:v>770</c:v>
                </c:pt>
                <c:pt idx="10">
                  <c:v>160</c:v>
                </c:pt>
                <c:pt idx="11">
                  <c:v>2197</c:v>
                </c:pt>
                <c:pt idx="12">
                  <c:v>850</c:v>
                </c:pt>
                <c:pt idx="13">
                  <c:v>2025</c:v>
                </c:pt>
                <c:pt idx="14">
                  <c:v>320</c:v>
                </c:pt>
                <c:pt idx="15">
                  <c:v>120</c:v>
                </c:pt>
                <c:pt idx="16">
                  <c:v>106</c:v>
                </c:pt>
                <c:pt idx="17">
                  <c:v>50</c:v>
                </c:pt>
                <c:pt idx="18">
                  <c:v>52</c:v>
                </c:pt>
                <c:pt idx="19">
                  <c:v>100</c:v>
                </c:pt>
                <c:pt idx="20">
                  <c:v>113.9</c:v>
                </c:pt>
                <c:pt idx="21">
                  <c:v>0</c:v>
                </c:pt>
                <c:pt idx="22">
                  <c:v>0</c:v>
                </c:pt>
                <c:pt idx="23">
                  <c:v>200</c:v>
                </c:pt>
                <c:pt idx="24">
                  <c:v>500</c:v>
                </c:pt>
                <c:pt idx="25">
                  <c:v>750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B-40F4-B53F-7C92B7C721A1}"/>
            </c:ext>
          </c:extLst>
        </c:ser>
        <c:ser>
          <c:idx val="1"/>
          <c:order val="1"/>
          <c:tx>
            <c:strRef>
              <c:f>MH_Master_Summary!$D$22</c:f>
              <c:strCache>
                <c:ptCount val="1"/>
                <c:pt idx="0">
                  <c:v>Indicative MW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MH_Master_Summary!$A$23:$A$53</c:f>
              <c:strCache>
                <c:ptCount val="31"/>
                <c:pt idx="0">
                  <c:v>Bharti Airtel (Nxtra)</c:v>
                </c:pt>
                <c:pt idx="1">
                  <c:v>Blackstone / AirTrunk</c:v>
                </c:pt>
                <c:pt idx="2">
                  <c:v>Bridge Data Centres</c:v>
                </c:pt>
                <c:pt idx="3">
                  <c:v>CapitaLand</c:v>
                </c:pt>
                <c:pt idx="4">
                  <c:v>Colt DCS - RMZ</c:v>
                </c:pt>
                <c:pt idx="5">
                  <c:v>CtrlS</c:v>
                </c:pt>
                <c:pt idx="6">
                  <c:v>Digital Edge</c:v>
                </c:pt>
                <c:pt idx="7">
                  <c:v>K Raheja Corp / Mindspace</c:v>
                </c:pt>
                <c:pt idx="8">
                  <c:v>NTT</c:v>
                </c:pt>
                <c:pt idx="9">
                  <c:v>STT GDC</c:v>
                </c:pt>
                <c:pt idx="10">
                  <c:v>Sify</c:v>
                </c:pt>
                <c:pt idx="11">
                  <c:v>Adani Group</c:v>
                </c:pt>
                <c:pt idx="12">
                  <c:v>AWS (Amazon)</c:v>
                </c:pt>
                <c:pt idx="13">
                  <c:v>Lodha park (AWS, STT + 1 more)</c:v>
                </c:pt>
                <c:pt idx="14">
                  <c:v>Google</c:v>
                </c:pt>
                <c:pt idx="15">
                  <c:v>Iron Mountain (Web Werks)</c:v>
                </c:pt>
                <c:pt idx="16">
                  <c:v>Unidentified ('IMCC')</c:v>
                </c:pt>
                <c:pt idx="17">
                  <c:v>Unidentified ('Innovative')</c:v>
                </c:pt>
                <c:pt idx="18">
                  <c:v>Yotta (Hiranandani)</c:v>
                </c:pt>
                <c:pt idx="19">
                  <c:v>SITAC Group</c:v>
                </c:pt>
                <c:pt idx="20">
                  <c:v>Unidentified (Chandivali)</c:v>
                </c:pt>
                <c:pt idx="21">
                  <c:v>Unidentified (Gargantuan Industrial Space)</c:v>
                </c:pt>
                <c:pt idx="22">
                  <c:v>L&amp;T</c:v>
                </c:pt>
                <c:pt idx="23">
                  <c:v>MAHAPREIT (state)</c:v>
                </c:pt>
                <c:pt idx="24">
                  <c:v>Trentar (Dorf Ketal)</c:v>
                </c:pt>
                <c:pt idx="25">
                  <c:v>ReNew</c:v>
                </c:pt>
                <c:pt idx="26">
                  <c:v>Avisirah</c:v>
                </c:pt>
                <c:pt idx="27">
                  <c:v>ESR</c:v>
                </c:pt>
                <c:pt idx="28">
                  <c:v>Princeton Digital Group</c:v>
                </c:pt>
                <c:pt idx="29">
                  <c:v>Zerra</c:v>
                </c:pt>
                <c:pt idx="30">
                  <c:v>TCC Concept / NES Data</c:v>
                </c:pt>
              </c:strCache>
            </c:strRef>
          </c:cat>
          <c:val>
            <c:numRef>
              <c:f>MH_Master_Summary!$D$23:$D$53</c:f>
              <c:numCache>
                <c:formatCode>#,##0;\-#,##0;"-"</c:formatCode>
                <c:ptCount val="31"/>
                <c:pt idx="0">
                  <c:v>221</c:v>
                </c:pt>
                <c:pt idx="1">
                  <c:v>3900</c:v>
                </c:pt>
                <c:pt idx="2">
                  <c:v>32</c:v>
                </c:pt>
                <c:pt idx="3">
                  <c:v>120</c:v>
                </c:pt>
                <c:pt idx="4">
                  <c:v>60</c:v>
                </c:pt>
                <c:pt idx="5">
                  <c:v>585</c:v>
                </c:pt>
                <c:pt idx="6">
                  <c:v>225</c:v>
                </c:pt>
                <c:pt idx="7">
                  <c:v>535</c:v>
                </c:pt>
                <c:pt idx="8">
                  <c:v>665</c:v>
                </c:pt>
                <c:pt idx="9">
                  <c:v>770</c:v>
                </c:pt>
                <c:pt idx="10">
                  <c:v>160</c:v>
                </c:pt>
                <c:pt idx="11">
                  <c:v>2197</c:v>
                </c:pt>
                <c:pt idx="12">
                  <c:v>850</c:v>
                </c:pt>
                <c:pt idx="13">
                  <c:v>2025</c:v>
                </c:pt>
                <c:pt idx="14">
                  <c:v>320</c:v>
                </c:pt>
                <c:pt idx="15">
                  <c:v>120</c:v>
                </c:pt>
                <c:pt idx="16">
                  <c:v>106</c:v>
                </c:pt>
                <c:pt idx="17">
                  <c:v>50</c:v>
                </c:pt>
                <c:pt idx="18">
                  <c:v>52</c:v>
                </c:pt>
                <c:pt idx="19">
                  <c:v>100</c:v>
                </c:pt>
                <c:pt idx="20">
                  <c:v>113.9</c:v>
                </c:pt>
                <c:pt idx="21">
                  <c:v>0</c:v>
                </c:pt>
                <c:pt idx="22">
                  <c:v>100</c:v>
                </c:pt>
                <c:pt idx="23">
                  <c:v>200</c:v>
                </c:pt>
                <c:pt idx="24">
                  <c:v>500</c:v>
                </c:pt>
                <c:pt idx="25">
                  <c:v>750</c:v>
                </c:pt>
                <c:pt idx="26">
                  <c:v>5.5</c:v>
                </c:pt>
                <c:pt idx="27">
                  <c:v>60</c:v>
                </c:pt>
                <c:pt idx="28">
                  <c:v>270</c:v>
                </c:pt>
                <c:pt idx="29">
                  <c:v>240</c:v>
                </c:pt>
                <c:pt idx="3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0B-40F4-B53F-7C92B7C72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;\-#,##0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STU-sanctioned DC load by scheduled year (MMR + PMR)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Summary!$A$30:$A$43</c:f>
              <c:strCache>
                <c:ptCount val="14"/>
                <c:pt idx="0">
                  <c:v>Ph-I / undated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strCache>
            </c:strRef>
          </c:cat>
          <c:val>
            <c:numRef>
              <c:f>Summary!$B$30:$B$43</c:f>
              <c:numCache>
                <c:formatCode>#,##0;\-#,##0;"-"</c:formatCode>
                <c:ptCount val="14"/>
                <c:pt idx="0">
                  <c:v>1004</c:v>
                </c:pt>
                <c:pt idx="1">
                  <c:v>65</c:v>
                </c:pt>
                <c:pt idx="2">
                  <c:v>705</c:v>
                </c:pt>
                <c:pt idx="3">
                  <c:v>779</c:v>
                </c:pt>
                <c:pt idx="4">
                  <c:v>758.5</c:v>
                </c:pt>
                <c:pt idx="5">
                  <c:v>887.5</c:v>
                </c:pt>
                <c:pt idx="6">
                  <c:v>429</c:v>
                </c:pt>
                <c:pt idx="7">
                  <c:v>558</c:v>
                </c:pt>
                <c:pt idx="8">
                  <c:v>304</c:v>
                </c:pt>
                <c:pt idx="9">
                  <c:v>176</c:v>
                </c:pt>
                <c:pt idx="10">
                  <c:v>84</c:v>
                </c:pt>
                <c:pt idx="11">
                  <c:v>125</c:v>
                </c:pt>
                <c:pt idx="12">
                  <c:v>50</c:v>
                </c:pt>
                <c:pt idx="1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4C-4EB7-9951-BC750BFF5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MW</a:t>
                </a:r>
              </a:p>
            </c:rich>
          </c:tx>
          <c:overlay val="1"/>
        </c:title>
        <c:numFmt formatCode="#,##0;\-#,##0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Sanctioned vs realised by group (MW)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By_Group!$B$3</c:f>
              <c:strCache>
                <c:ptCount val="1"/>
                <c:pt idx="0">
                  <c:v>Sanctioned (MW)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By_Group!$A$4:$A$21</c:f>
              <c:strCache>
                <c:ptCount val="18"/>
                <c:pt idx="0">
                  <c:v>Blackstone / AirTrunk (Gramercy SPVs)</c:v>
                </c:pt>
                <c:pt idx="1">
                  <c:v>AWS (Amazon)</c:v>
                </c:pt>
                <c:pt idx="2">
                  <c:v>STT GDC</c:v>
                </c:pt>
                <c:pt idx="3">
                  <c:v>NTT</c:v>
                </c:pt>
                <c:pt idx="4">
                  <c:v>CtrlS</c:v>
                </c:pt>
                <c:pt idx="5">
                  <c:v>K Raheja Corp / Mindspace</c:v>
                </c:pt>
                <c:pt idx="6">
                  <c:v>Google</c:v>
                </c:pt>
                <c:pt idx="7">
                  <c:v>Microsoft site -&gt; Adani SPVs</c:v>
                </c:pt>
                <c:pt idx="8">
                  <c:v>Digital Edge</c:v>
                </c:pt>
                <c:pt idx="9">
                  <c:v>Bharti Airtel (Nxtra)</c:v>
                </c:pt>
                <c:pt idx="10">
                  <c:v>Sify</c:v>
                </c:pt>
                <c:pt idx="11">
                  <c:v>Iron Mountain (Web Werks)</c:v>
                </c:pt>
                <c:pt idx="12">
                  <c:v>CapitaLand</c:v>
                </c:pt>
                <c:pt idx="13">
                  <c:v>Unidentified ('IMCC')</c:v>
                </c:pt>
                <c:pt idx="14">
                  <c:v>Colt DCS - RMZ</c:v>
                </c:pt>
                <c:pt idx="15">
                  <c:v>Yotta (Hiranandani)</c:v>
                </c:pt>
                <c:pt idx="16">
                  <c:v>Unidentified ('Innovative')</c:v>
                </c:pt>
                <c:pt idx="17">
                  <c:v>Bridge Data Centres (BDC)</c:v>
                </c:pt>
              </c:strCache>
            </c:strRef>
          </c:cat>
          <c:val>
            <c:numRef>
              <c:f>By_Group!$B$4:$B$21</c:f>
              <c:numCache>
                <c:formatCode>#,##0.0;\-#,##0.0;"-"</c:formatCode>
                <c:ptCount val="18"/>
                <c:pt idx="0">
                  <c:v>900</c:v>
                </c:pt>
                <c:pt idx="1">
                  <c:v>850</c:v>
                </c:pt>
                <c:pt idx="2">
                  <c:v>770</c:v>
                </c:pt>
                <c:pt idx="3">
                  <c:v>665</c:v>
                </c:pt>
                <c:pt idx="4">
                  <c:v>585</c:v>
                </c:pt>
                <c:pt idx="5">
                  <c:v>535</c:v>
                </c:pt>
                <c:pt idx="6">
                  <c:v>320</c:v>
                </c:pt>
                <c:pt idx="7">
                  <c:v>229</c:v>
                </c:pt>
                <c:pt idx="8">
                  <c:v>225</c:v>
                </c:pt>
                <c:pt idx="9">
                  <c:v>221</c:v>
                </c:pt>
                <c:pt idx="10">
                  <c:v>160</c:v>
                </c:pt>
                <c:pt idx="11">
                  <c:v>120</c:v>
                </c:pt>
                <c:pt idx="12">
                  <c:v>120</c:v>
                </c:pt>
                <c:pt idx="13">
                  <c:v>106</c:v>
                </c:pt>
                <c:pt idx="14">
                  <c:v>60</c:v>
                </c:pt>
                <c:pt idx="15">
                  <c:v>52</c:v>
                </c:pt>
                <c:pt idx="16">
                  <c:v>50</c:v>
                </c:pt>
                <c:pt idx="17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0-466C-B806-2DB8932599C2}"/>
            </c:ext>
          </c:extLst>
        </c:ser>
        <c:ser>
          <c:idx val="1"/>
          <c:order val="1"/>
          <c:tx>
            <c:strRef>
              <c:f>By_Group!$C$3</c:f>
              <c:strCache>
                <c:ptCount val="1"/>
                <c:pt idx="0">
                  <c:v>Realised (MW)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By_Group!$A$4:$A$21</c:f>
              <c:strCache>
                <c:ptCount val="18"/>
                <c:pt idx="0">
                  <c:v>Blackstone / AirTrunk (Gramercy SPVs)</c:v>
                </c:pt>
                <c:pt idx="1">
                  <c:v>AWS (Amazon)</c:v>
                </c:pt>
                <c:pt idx="2">
                  <c:v>STT GDC</c:v>
                </c:pt>
                <c:pt idx="3">
                  <c:v>NTT</c:v>
                </c:pt>
                <c:pt idx="4">
                  <c:v>CtrlS</c:v>
                </c:pt>
                <c:pt idx="5">
                  <c:v>K Raheja Corp / Mindspace</c:v>
                </c:pt>
                <c:pt idx="6">
                  <c:v>Google</c:v>
                </c:pt>
                <c:pt idx="7">
                  <c:v>Microsoft site -&gt; Adani SPVs</c:v>
                </c:pt>
                <c:pt idx="8">
                  <c:v>Digital Edge</c:v>
                </c:pt>
                <c:pt idx="9">
                  <c:v>Bharti Airtel (Nxtra)</c:v>
                </c:pt>
                <c:pt idx="10">
                  <c:v>Sify</c:v>
                </c:pt>
                <c:pt idx="11">
                  <c:v>Iron Mountain (Web Werks)</c:v>
                </c:pt>
                <c:pt idx="12">
                  <c:v>CapitaLand</c:v>
                </c:pt>
                <c:pt idx="13">
                  <c:v>Unidentified ('IMCC')</c:v>
                </c:pt>
                <c:pt idx="14">
                  <c:v>Colt DCS - RMZ</c:v>
                </c:pt>
                <c:pt idx="15">
                  <c:v>Yotta (Hiranandani)</c:v>
                </c:pt>
                <c:pt idx="16">
                  <c:v>Unidentified ('Innovative')</c:v>
                </c:pt>
                <c:pt idx="17">
                  <c:v>Bridge Data Centres (BDC)</c:v>
                </c:pt>
              </c:strCache>
            </c:strRef>
          </c:cat>
          <c:val>
            <c:numRef>
              <c:f>By_Group!$C$4:$C$21</c:f>
              <c:numCache>
                <c:formatCode>#,##0.0;\-#,##0.0;"-"</c:formatCode>
                <c:ptCount val="18"/>
                <c:pt idx="0">
                  <c:v>35</c:v>
                </c:pt>
                <c:pt idx="1">
                  <c:v>0</c:v>
                </c:pt>
                <c:pt idx="2">
                  <c:v>97</c:v>
                </c:pt>
                <c:pt idx="3">
                  <c:v>90</c:v>
                </c:pt>
                <c:pt idx="4">
                  <c:v>70</c:v>
                </c:pt>
                <c:pt idx="5">
                  <c:v>71</c:v>
                </c:pt>
                <c:pt idx="6">
                  <c:v>0</c:v>
                </c:pt>
                <c:pt idx="7">
                  <c:v>16</c:v>
                </c:pt>
                <c:pt idx="8">
                  <c:v>25</c:v>
                </c:pt>
                <c:pt idx="9">
                  <c:v>121</c:v>
                </c:pt>
                <c:pt idx="10">
                  <c:v>100</c:v>
                </c:pt>
                <c:pt idx="11">
                  <c:v>0</c:v>
                </c:pt>
                <c:pt idx="12">
                  <c:v>18</c:v>
                </c:pt>
                <c:pt idx="13">
                  <c:v>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C0-466C-B806-2DB893259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.0;\-#,##0.0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720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28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ifytechnologies.com/data-center/rabale-data-center/" TargetMode="External"/><Relationship Id="rId21" Type="http://schemas.openxmlformats.org/officeDocument/2006/relationships/hyperlink" Target="https://www.datacenterdynamics.com/en/news/ntt-announces-500mw-nav2-data-center-in-navi-mumbai-india/" TargetMode="External"/><Relationship Id="rId42" Type="http://schemas.openxmlformats.org/officeDocument/2006/relationships/hyperlink" Target="https://mahasldc.in/assets/public-ui/files/Data_Centre.pdf" TargetMode="External"/><Relationship Id="rId47" Type="http://schemas.openxmlformats.org/officeDocument/2006/relationships/hyperlink" Target="https://www.digitaledgedc.com/products-services/data-centers/india/" TargetMode="External"/><Relationship Id="rId63" Type="http://schemas.openxmlformats.org/officeDocument/2006/relationships/hyperlink" Target="https://merc.gov.in/wp-content/uploads/2026/06/Order-88-of-2026.pdf" TargetMode="External"/><Relationship Id="rId68" Type="http://schemas.openxmlformats.org/officeDocument/2006/relationships/hyperlink" Target="https://environmentclearance.nic.in/writereaddata/FormB/agenda/2107202594781152MINUTESOF296DAY-3PART-B.pdf" TargetMode="External"/><Relationship Id="rId84" Type="http://schemas.openxmlformats.org/officeDocument/2006/relationships/hyperlink" Target="https://zerradc.com/projects/navi-mumbai/" TargetMode="External"/><Relationship Id="rId16" Type="http://schemas.openxmlformats.org/officeDocument/2006/relationships/hyperlink" Target="https://mpcb.gov.in/sites/default/files/inline-files/Action_Taken_Report_of_17th_CAC_Booklet_no_17_2024-25.pdf" TargetMode="External"/><Relationship Id="rId11" Type="http://schemas.openxmlformats.org/officeDocument/2006/relationships/hyperlink" Target="https://mahasldc.in/assets/public-ui/files/Data_Centre.pdf" TargetMode="External"/><Relationship Id="rId32" Type="http://schemas.openxmlformats.org/officeDocument/2006/relationships/hyperlink" Target="https://mpcb.gov.in/sites/default/files/inline-files/Action_Taken_Report_of_16th_CAC_Booklet_no._16_%281%29.pdf" TargetMode="External"/><Relationship Id="rId37" Type="http://schemas.openxmlformats.org/officeDocument/2006/relationships/hyperlink" Target="https://mahasldc.in/assets/public-ui/files/Data_Centre.pdf" TargetMode="External"/><Relationship Id="rId53" Type="http://schemas.openxmlformats.org/officeDocument/2006/relationships/hyperlink" Target="https://environmentclearance.nic.in/writereaddata/FormB/agenda/1509202585756580%28740114%29MINUTESOF301DAY-4TABLEITEM-Copy.pdf" TargetMode="External"/><Relationship Id="rId58" Type="http://schemas.openxmlformats.org/officeDocument/2006/relationships/hyperlink" Target="https://colocation.yotta.com/data-center/nm1-datacenter-mumbai-region-maharashtra/" TargetMode="External"/><Relationship Id="rId74" Type="http://schemas.openxmlformats.org/officeDocument/2006/relationships/hyperlink" Target="https://mahapreit.in/assets/uploads/tender-ext-65-1786725791.pdf" TargetMode="External"/><Relationship Id="rId79" Type="http://schemas.openxmlformats.org/officeDocument/2006/relationships/hyperlink" Target="https://www.crnasia.com/india/news/2026/esr-enters-india-data-centre-market-with-60-mw-facility-in-mumbai" TargetMode="External"/><Relationship Id="rId5" Type="http://schemas.openxmlformats.org/officeDocument/2006/relationships/hyperlink" Target="https://mahasldc.in/assets/public-ui/files/Data_Centre.pdf" TargetMode="External"/><Relationship Id="rId19" Type="http://schemas.openxmlformats.org/officeDocument/2006/relationships/hyperlink" Target="https://mahasldc.in/assets/public-ui/files/Data_Centre.pdf" TargetMode="External"/><Relationship Id="rId14" Type="http://schemas.openxmlformats.org/officeDocument/2006/relationships/hyperlink" Target="https://mpcb.gov.in/sites/default/files/inline-files/Action_Taken_Report_of_17th_CAC_Booklet_no_17_2024-25.pdf" TargetMode="External"/><Relationship Id="rId22" Type="http://schemas.openxmlformats.org/officeDocument/2006/relationships/hyperlink" Target="https://mahasldc.in/assets/public-ui/files/Data_Centre.pdf" TargetMode="External"/><Relationship Id="rId27" Type="http://schemas.openxmlformats.org/officeDocument/2006/relationships/hyperlink" Target="https://mahasldc.in/assets/public-ui/files/Data_Centre.pdf" TargetMode="External"/><Relationship Id="rId30" Type="http://schemas.openxmlformats.org/officeDocument/2006/relationships/hyperlink" Target="https://mahasldc.in/assets/public-ui/files/Data_Centre.pdf" TargetMode="External"/><Relationship Id="rId35" Type="http://schemas.openxmlformats.org/officeDocument/2006/relationships/hyperlink" Target="https://merc.gov.in/wp-content/uploads/2026/06/Order-88-of-2026.pdf" TargetMode="External"/><Relationship Id="rId43" Type="http://schemas.openxmlformats.org/officeDocument/2006/relationships/hyperlink" Target="https://airtrunk.com/location/bom2-mumbai/" TargetMode="External"/><Relationship Id="rId48" Type="http://schemas.openxmlformats.org/officeDocument/2006/relationships/hyperlink" Target="https://mahasldc.in/assets/public-ui/files/Data_Centre.pdf" TargetMode="External"/><Relationship Id="rId56" Type="http://schemas.openxmlformats.org/officeDocument/2006/relationships/hyperlink" Target="https://mahasldc.in/assets/public-ui/files/Data_Centre.pdf" TargetMode="External"/><Relationship Id="rId64" Type="http://schemas.openxmlformats.org/officeDocument/2006/relationships/hyperlink" Target="https://ctuil.in/nswsapi/gna" TargetMode="External"/><Relationship Id="rId69" Type="http://schemas.openxmlformats.org/officeDocument/2006/relationships/hyperlink" Target="https://environmentclearance.nic.in/writereaddata/FormB/agenda/2107202594781152MINUTESOF296DAY-3PART-B.pdf" TargetMode="External"/><Relationship Id="rId77" Type="http://schemas.openxmlformats.org/officeDocument/2006/relationships/hyperlink" Target="https://www.business-standard.com/industry/news/renew-signs-mou-with-maharashtra-for-70-000-crore-green-data-centre-park-126100801226_1.html" TargetMode="External"/><Relationship Id="rId8" Type="http://schemas.openxmlformats.org/officeDocument/2006/relationships/hyperlink" Target="https://environmentclearance.nic.in/writereaddata/FormB/agenda/1509202585756580%28740114%29MINUTESOF301DAY-4TABLEITEM-Copy.pdf" TargetMode="External"/><Relationship Id="rId51" Type="http://schemas.openxmlformats.org/officeDocument/2006/relationships/hyperlink" Target="https://mpcb.gov.in/sites/default/files/inline-files/Action_Taken_report_of_5th_CAC_Booklet_no_5_0.pdf" TargetMode="External"/><Relationship Id="rId72" Type="http://schemas.openxmlformats.org/officeDocument/2006/relationships/hyperlink" Target="https://www.ecmpcb.in/login/download_ec_document/MzMzQzM2MDM3QkQ5NEYxQUIyOTNEMjAyNEE2NUNFODgucGRm" TargetMode="External"/><Relationship Id="rId80" Type="http://schemas.openxmlformats.org/officeDocument/2006/relationships/hyperlink" Target="https://www.larsentoubro.com/pressreleases/2026/2026-01-21-larsen-toubro-vyoma-breaks-ground-on-40-mw-green-ai-ready-data-centre-in-navi-mumbai" TargetMode="External"/><Relationship Id="rId85" Type="http://schemas.openxmlformats.org/officeDocument/2006/relationships/hyperlink" Target="https://www.constructionworld.in/policy-updates-and-economic-news/tcc-concept-plans-60-mw-data-centre-campus-in-pune/95832" TargetMode="External"/><Relationship Id="rId3" Type="http://schemas.openxmlformats.org/officeDocument/2006/relationships/hyperlink" Target="https://mahasldc.in/assets/public-ui/files/Data_Centre.pdf" TargetMode="External"/><Relationship Id="rId12" Type="http://schemas.openxmlformats.org/officeDocument/2006/relationships/hyperlink" Target="https://www.ctrls.com/" TargetMode="External"/><Relationship Id="rId17" Type="http://schemas.openxmlformats.org/officeDocument/2006/relationships/hyperlink" Target="https://mahasldc.in/assets/public-ui/files/Data_Centre.pdf" TargetMode="External"/><Relationship Id="rId25" Type="http://schemas.openxmlformats.org/officeDocument/2006/relationships/hyperlink" Target="https://mahasldc.in/assets/public-ui/files/Data_Centre.pdf" TargetMode="External"/><Relationship Id="rId33" Type="http://schemas.openxmlformats.org/officeDocument/2006/relationships/hyperlink" Target="https://mahasldc.in/assets/public-ui/files/Data_Centre.pdf" TargetMode="External"/><Relationship Id="rId38" Type="http://schemas.openxmlformats.org/officeDocument/2006/relationships/hyperlink" Target="https://environmentclearance.nic.in/writereaddata/FormB/agenda/1509202585756580%28740114%29MINUTESOF301DAY-4TABLEITEM-Copy.pdf" TargetMode="External"/><Relationship Id="rId46" Type="http://schemas.openxmlformats.org/officeDocument/2006/relationships/hyperlink" Target="https://mahasldc.in/assets/public-ui/files/Data_Centre.pdf" TargetMode="External"/><Relationship Id="rId59" Type="http://schemas.openxmlformats.org/officeDocument/2006/relationships/hyperlink" Target="https://mahasldc.in/assets/public-ui/files/Data_Centre.pdf" TargetMode="External"/><Relationship Id="rId67" Type="http://schemas.openxmlformats.org/officeDocument/2006/relationships/hyperlink" Target="https://mpcb.gov.in/sites/default/files/inline-files/Agenda%20Index%20of%2013th%20CAC%20Meeting.pdf" TargetMode="External"/><Relationship Id="rId20" Type="http://schemas.openxmlformats.org/officeDocument/2006/relationships/hyperlink" Target="https://mahasldc.in/assets/public-ui/files/Data_Centre.pdf" TargetMode="External"/><Relationship Id="rId41" Type="http://schemas.openxmlformats.org/officeDocument/2006/relationships/hyperlink" Target="https://mahasldc.in/assets/public-ui/files/Data_Centre.pdf" TargetMode="External"/><Relationship Id="rId54" Type="http://schemas.openxmlformats.org/officeDocument/2006/relationships/hyperlink" Target="https://mahasldc.in/assets/public-ui/files/Data_Centre.pdf" TargetMode="External"/><Relationship Id="rId62" Type="http://schemas.openxmlformats.org/officeDocument/2006/relationships/hyperlink" Target="https://x.com/cbdhage/status/1762797367529480646" TargetMode="External"/><Relationship Id="rId70" Type="http://schemas.openxmlformats.org/officeDocument/2006/relationships/hyperlink" Target="https://www.ecmpcb.in/login/download_ec_document/QjJCMzlBQzg5M0MzNDZERjg1NDQxQTZGN0YzQzE0MjMucGRm" TargetMode="External"/><Relationship Id="rId75" Type="http://schemas.openxmlformats.org/officeDocument/2006/relationships/hyperlink" Target="https://www.prnewswire.com/in/news-releases/trentar-signs-30-000-crore-3-3-bn-mou-with-maharashtra-for-500-mw-green-integrated-data-center-park-302899623.html" TargetMode="External"/><Relationship Id="rId83" Type="http://schemas.openxmlformats.org/officeDocument/2006/relationships/hyperlink" Target="https://mpcb.gov.in/sites/default/files/inline-files/Action_Taken_Report_of_1st_CAC_Meeting_Part_I.pdf" TargetMode="External"/><Relationship Id="rId1" Type="http://schemas.openxmlformats.org/officeDocument/2006/relationships/hyperlink" Target="https://mahasldc.in/assets/public-ui/files/Data_Centre.pdf" TargetMode="External"/><Relationship Id="rId6" Type="http://schemas.openxmlformats.org/officeDocument/2006/relationships/hyperlink" Target="https://mpcb.gov.in/sites/default/files/inline-files/Index_Of_15th_CAC_Meeting.pdf" TargetMode="External"/><Relationship Id="rId15" Type="http://schemas.openxmlformats.org/officeDocument/2006/relationships/hyperlink" Target="https://mahasldc.in/assets/public-ui/files/Data_Centre.pdf" TargetMode="External"/><Relationship Id="rId23" Type="http://schemas.openxmlformats.org/officeDocument/2006/relationships/hyperlink" Target="https://mahasldc.in/assets/public-ui/files/Data_Centre.pdf" TargetMode="External"/><Relationship Id="rId28" Type="http://schemas.openxmlformats.org/officeDocument/2006/relationships/hyperlink" Target="https://mahasldc.in/assets/public-ui/files/Data_Centre.pdf" TargetMode="External"/><Relationship Id="rId36" Type="http://schemas.openxmlformats.org/officeDocument/2006/relationships/hyperlink" Target="https://mahasldc.in/assets/public-ui/files/Data_Centre.pdf" TargetMode="External"/><Relationship Id="rId49" Type="http://schemas.openxmlformats.org/officeDocument/2006/relationships/hyperlink" Target="https://environmentclearance.nic.in/DownloadPfdFile.aspx?FileName=Kwy+a1Xl%2FGHp2kMbJYBd8GPrFSz%2FNzzr1mrm87hA6RfsBvasy5U%2FhwjR4PRxBwwupD8Lw8MExL5FqtSFZLEOTQ%3D%3D&amp;FilePath=93ZZBm8LWEXfg+HAlQix2fE2t8z%2FpgnoBhDlYdZCxzXTbTpOQqzWjBW0IF63rxBVcDlG0LKdfbGNs0Ou%2FTEvAA%3D%3D" TargetMode="External"/><Relationship Id="rId57" Type="http://schemas.openxmlformats.org/officeDocument/2006/relationships/hyperlink" Target="https://mahasldc.in/assets/public-ui/files/Data_Centre.pdf" TargetMode="External"/><Relationship Id="rId10" Type="http://schemas.openxmlformats.org/officeDocument/2006/relationships/hyperlink" Target="https://indianinfrastructure.com/2026/10/16/colt-dcs-and-rmz-begin-construction-of-third-data-centre-in-mumbai/" TargetMode="External"/><Relationship Id="rId31" Type="http://schemas.openxmlformats.org/officeDocument/2006/relationships/hyperlink" Target="https://mahasldc.in/assets/public-ui/files/Data_Centre.pdf" TargetMode="External"/><Relationship Id="rId44" Type="http://schemas.openxmlformats.org/officeDocument/2006/relationships/hyperlink" Target="https://mahasldc.in/assets/public-ui/files/Data_Centre.pdf" TargetMode="External"/><Relationship Id="rId52" Type="http://schemas.openxmlformats.org/officeDocument/2006/relationships/hyperlink" Target="https://mahasldc.in/assets/public-ui/files/Data_Centre.pdf" TargetMode="External"/><Relationship Id="rId60" Type="http://schemas.openxmlformats.org/officeDocument/2006/relationships/hyperlink" Target="https://environmentclearance.nic.in/writereaddata/FormB/agenda/2302202697285484%28921161%29MINUTESOF319DAY-5PART-B.pdf" TargetMode="External"/><Relationship Id="rId65" Type="http://schemas.openxmlformats.org/officeDocument/2006/relationships/hyperlink" Target="https://investors.coreweave.com/news/news-details/2026/CoreWeave-Enters-India-Expanding-AI-Cloud-Platform-With-AdaniConneX/default.aspx" TargetMode="External"/><Relationship Id="rId73" Type="http://schemas.openxmlformats.org/officeDocument/2006/relationships/hyperlink" Target="https://mpcb.gov.in/sites/default/files/inline-files/Webhost%20Minutes%20of%203rd%20CAC%20Booklet%20no.%203.pdf" TargetMode="External"/><Relationship Id="rId78" Type="http://schemas.openxmlformats.org/officeDocument/2006/relationships/hyperlink" Target="https://propnewstime.com/latestnewsstories/MzY3MDg=/avisirah-raises-inr-75-crore-for-navi-mumbai-data-centre" TargetMode="External"/><Relationship Id="rId81" Type="http://schemas.openxmlformats.org/officeDocument/2006/relationships/hyperlink" Target="https://www.ecmpcb.in/login/download_ec_document/MzI2MjVDNjJFNjhGNEFDMkFCRjA0MDc5NDdENUQ3QjMucGRm" TargetMode="External"/><Relationship Id="rId4" Type="http://schemas.openxmlformats.org/officeDocument/2006/relationships/hyperlink" Target="https://mpcb.gov.in/sites/default/files/inline-files/Minutes%20of%2015th%20CAC%20Establish%20Booklet%20no%2065.pdf" TargetMode="External"/><Relationship Id="rId9" Type="http://schemas.openxmlformats.org/officeDocument/2006/relationships/hyperlink" Target="https://mahasldc.in/assets/public-ui/files/Data_Centre.pdf" TargetMode="External"/><Relationship Id="rId13" Type="http://schemas.openxmlformats.org/officeDocument/2006/relationships/hyperlink" Target="https://mahasldc.in/assets/public-ui/files/Data_Centre.pdf" TargetMode="External"/><Relationship Id="rId18" Type="http://schemas.openxmlformats.org/officeDocument/2006/relationships/hyperlink" Target="https://mpcb.gov.in/sites/default/files/inline-files/Index_of_4th_CAC_Meeting_of_2025-26.pdf" TargetMode="External"/><Relationship Id="rId39" Type="http://schemas.openxmlformats.org/officeDocument/2006/relationships/hyperlink" Target="https://ctuil.in/nswsapi/gna" TargetMode="External"/><Relationship Id="rId34" Type="http://schemas.openxmlformats.org/officeDocument/2006/relationships/hyperlink" Target="https://mahasldc.in/assets/public-ui/files/Data_Centre.pdf" TargetMode="External"/><Relationship Id="rId50" Type="http://schemas.openxmlformats.org/officeDocument/2006/relationships/hyperlink" Target="https://mahasldc.in/assets/public-ui/files/Data_Centre.pdf" TargetMode="External"/><Relationship Id="rId55" Type="http://schemas.openxmlformats.org/officeDocument/2006/relationships/hyperlink" Target="https://mahasldc.in/assets/public-ui/files/Data_Centre.pdf" TargetMode="External"/><Relationship Id="rId76" Type="http://schemas.openxmlformats.org/officeDocument/2006/relationships/hyperlink" Target="https://www.aninews.in/news/business/maharashtra-issues-letter-of-intent-to-airtrunk-for-rs-2-lakh-crore-data-centre-project-in-raigad20260601123602/" TargetMode="External"/><Relationship Id="rId7" Type="http://schemas.openxmlformats.org/officeDocument/2006/relationships/hyperlink" Target="https://mahasldc.in/assets/public-ui/files/Data_Centre.pdf" TargetMode="External"/><Relationship Id="rId71" Type="http://schemas.openxmlformats.org/officeDocument/2006/relationships/hyperlink" Target="https://www.ecmpcb.in/login/download_ec_document/ODY2MDg5MDRCMzNGNDNCN0JEMTFBNDUzNEI4MjlGNEQucGRm" TargetMode="External"/><Relationship Id="rId2" Type="http://schemas.openxmlformats.org/officeDocument/2006/relationships/hyperlink" Target="https://assets.airtel.in/nxtra/pdf/EC_Environmental_Clearance_Certificate_Nxtra%20Mahape_DC-02_25.11.25.pdf" TargetMode="External"/><Relationship Id="rId29" Type="http://schemas.openxmlformats.org/officeDocument/2006/relationships/hyperlink" Target="https://mpcb.gov.in/sites/default/files/inline-files/Minutes%20of%2015th%20CAC%20Establish%20Booklet%20no%2065.pdf" TargetMode="External"/><Relationship Id="rId24" Type="http://schemas.openxmlformats.org/officeDocument/2006/relationships/hyperlink" Target="https://www.sttelemediagdc.com/in-en/locations/mumbai" TargetMode="External"/><Relationship Id="rId40" Type="http://schemas.openxmlformats.org/officeDocument/2006/relationships/hyperlink" Target="https://www.ecmpcb.in/login/download_ec_document/MjMyMTI2NEMzMjYzNDM5M0IxRTJDRDY5MENBNDZFODcucGRm" TargetMode="External"/><Relationship Id="rId45" Type="http://schemas.openxmlformats.org/officeDocument/2006/relationships/hyperlink" Target="https://mahasldc.in/assets/public-ui/files/Data_Centre.pdf" TargetMode="External"/><Relationship Id="rId66" Type="http://schemas.openxmlformats.org/officeDocument/2006/relationships/hyperlink" Target="https://ctuil.in/nswsapi/gna" TargetMode="External"/><Relationship Id="rId61" Type="http://schemas.openxmlformats.org/officeDocument/2006/relationships/hyperlink" Target="https://mahasldc.in/assets/public-ui/files/Data_Centre.pdf" TargetMode="External"/><Relationship Id="rId82" Type="http://schemas.openxmlformats.org/officeDocument/2006/relationships/hyperlink" Target="https://www.datacenterdynamics.com/en/news/pdg-breaks-ground-on-latest-mumbai-data-center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mahasldc.in/assets/public-ui/files/Data_Centre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workbookViewId="0"/>
  </sheetViews>
  <sheetFormatPr defaultRowHeight="15" x14ac:dyDescent="0.25"/>
  <cols>
    <col min="1" max="1" width="44" customWidth="1"/>
    <col min="2" max="2" width="11" customWidth="1"/>
    <col min="3" max="4" width="13" customWidth="1"/>
    <col min="5" max="5" width="11" customWidth="1"/>
    <col min="6" max="6" width="50" customWidth="1"/>
  </cols>
  <sheetData>
    <row r="1" spans="1:6" ht="16.5" x14ac:dyDescent="0.25">
      <c r="A1" s="1" t="s">
        <v>0</v>
      </c>
    </row>
    <row r="2" spans="1:6" x14ac:dyDescent="0.25">
      <c r="A2" s="18" t="s">
        <v>1</v>
      </c>
    </row>
    <row r="4" spans="1:6" ht="24" x14ac:dyDescent="0.25">
      <c r="A4" s="19" t="s">
        <v>2</v>
      </c>
      <c r="B4" s="19" t="s">
        <v>3</v>
      </c>
      <c r="C4" s="19" t="s">
        <v>4</v>
      </c>
      <c r="D4" s="19" t="s">
        <v>5</v>
      </c>
      <c r="E4" s="19" t="s">
        <v>6</v>
      </c>
      <c r="F4" s="19" t="s">
        <v>7</v>
      </c>
    </row>
    <row r="5" spans="1:6" x14ac:dyDescent="0.25">
      <c r="A5" s="4" t="s">
        <v>8</v>
      </c>
      <c r="B5" s="7">
        <f>COUNTIFS(MH_Master_List!$V$5:$V$61,A5)</f>
        <v>19</v>
      </c>
      <c r="C5" s="5">
        <f>SUMIFS(MH_Master_List!$S$5:$S$61,MH_Master_List!$V$5:$V$61,A5)</f>
        <v>2648</v>
      </c>
      <c r="D5" s="5">
        <f>SUMIFS(MH_Master_List!$U$5:$U$61,MH_Master_List!$V$5:$V$61,A5)</f>
        <v>2648</v>
      </c>
      <c r="E5" s="6">
        <f t="shared" ref="E5:E10" si="0">C5/C$11</f>
        <v>0.18066576151846572</v>
      </c>
      <c r="F5" s="7" t="s">
        <v>9</v>
      </c>
    </row>
    <row r="6" spans="1:6" x14ac:dyDescent="0.25">
      <c r="A6" s="4" t="s">
        <v>10</v>
      </c>
      <c r="B6" s="7">
        <f>COUNTIFS(MH_Master_List!$V$5:$V$61,A6)</f>
        <v>19</v>
      </c>
      <c r="C6" s="5">
        <f>SUMIFS(MH_Master_List!$S$5:$S$61,MH_Master_List!$V$5:$V$61,A6)</f>
        <v>5345</v>
      </c>
      <c r="D6" s="5">
        <f>SUMIFS(MH_Master_List!$U$5:$U$61,MH_Master_List!$V$5:$V$61,A6)</f>
        <v>5345</v>
      </c>
      <c r="E6" s="6">
        <f t="shared" si="0"/>
        <v>0.36467465835203899</v>
      </c>
      <c r="F6" s="7" t="s">
        <v>11</v>
      </c>
    </row>
    <row r="7" spans="1:6" x14ac:dyDescent="0.25">
      <c r="A7" s="4" t="s">
        <v>12</v>
      </c>
      <c r="B7" s="7">
        <f>COUNTIFS(MH_Master_List!$V$5:$V$61,A7)</f>
        <v>3</v>
      </c>
      <c r="C7" s="5">
        <f>SUMIFS(MH_Master_List!$S$5:$S$61,MH_Master_List!$V$5:$V$61,A7)</f>
        <v>2100</v>
      </c>
      <c r="D7" s="5">
        <f>SUMIFS(MH_Master_List!$U$5:$U$61,MH_Master_List!$V$5:$V$61,A7)</f>
        <v>2100</v>
      </c>
      <c r="E7" s="6">
        <f t="shared" si="0"/>
        <v>0.14327722779032401</v>
      </c>
      <c r="F7" s="7" t="s">
        <v>13</v>
      </c>
    </row>
    <row r="8" spans="1:6" ht="24" x14ac:dyDescent="0.25">
      <c r="A8" s="4" t="s">
        <v>14</v>
      </c>
      <c r="B8" s="7">
        <f>COUNTIFS(MH_Master_List!$V$5:$V$61,A8)</f>
        <v>6</v>
      </c>
      <c r="C8" s="5">
        <f>SUMIFS(MH_Master_List!$S$5:$S$61,MH_Master_List!$V$5:$V$61,A8)</f>
        <v>113.9</v>
      </c>
      <c r="D8" s="5">
        <f>SUMIFS(MH_Master_List!$U$5:$U$61,MH_Master_List!$V$5:$V$61,A8)</f>
        <v>113.9</v>
      </c>
      <c r="E8" s="6">
        <f t="shared" si="0"/>
        <v>7.7710839263418598E-3</v>
      </c>
      <c r="F8" s="7" t="s">
        <v>15</v>
      </c>
    </row>
    <row r="9" spans="1:6" x14ac:dyDescent="0.25">
      <c r="A9" s="4" t="s">
        <v>16</v>
      </c>
      <c r="B9" s="7">
        <f>COUNTIFS(MH_Master_List!$V$5:$V$61,A9)</f>
        <v>4</v>
      </c>
      <c r="C9" s="5">
        <f>SUMIFS(MH_Master_List!$S$5:$S$61,MH_Master_List!$V$5:$V$61,A9)</f>
        <v>4450</v>
      </c>
      <c r="D9" s="5">
        <f>SUMIFS(MH_Master_List!$U$5:$U$61,MH_Master_List!$V$5:$V$61,A9)</f>
        <v>4450</v>
      </c>
      <c r="E9" s="6">
        <f t="shared" si="0"/>
        <v>0.30361126841282948</v>
      </c>
      <c r="F9" s="7" t="s">
        <v>17</v>
      </c>
    </row>
    <row r="10" spans="1:6" x14ac:dyDescent="0.25">
      <c r="A10" s="4" t="s">
        <v>18</v>
      </c>
      <c r="B10" s="7">
        <f>COUNTIFS(MH_Master_List!$V$5:$V$61,A10)</f>
        <v>6</v>
      </c>
      <c r="C10" s="5">
        <f>SUMIFS(MH_Master_List!$S$5:$S$61,MH_Master_List!$V$5:$V$61,A10)</f>
        <v>0</v>
      </c>
      <c r="D10" s="5">
        <f>SUMIFS(MH_Master_List!$U$5:$U$61,MH_Master_List!$V$5:$V$61,A10)</f>
        <v>735.5</v>
      </c>
      <c r="E10" s="6">
        <f t="shared" si="0"/>
        <v>0</v>
      </c>
      <c r="F10" s="7" t="s">
        <v>19</v>
      </c>
    </row>
    <row r="11" spans="1:6" x14ac:dyDescent="0.25">
      <c r="A11" s="4" t="s">
        <v>20</v>
      </c>
      <c r="B11" s="4">
        <f>SUM(B5:B10)</f>
        <v>57</v>
      </c>
      <c r="C11" s="17">
        <f>SUM(C5:C10)</f>
        <v>14656.9</v>
      </c>
      <c r="D11" s="17">
        <f>SUM(D5:D10)</f>
        <v>15392.4</v>
      </c>
      <c r="E11" s="20">
        <f>C11/C11</f>
        <v>1</v>
      </c>
    </row>
    <row r="13" spans="1:6" x14ac:dyDescent="0.25">
      <c r="A13" s="19" t="s">
        <v>21</v>
      </c>
      <c r="B13" s="19" t="s">
        <v>22</v>
      </c>
      <c r="C13" s="19"/>
      <c r="D13" s="19"/>
      <c r="E13" s="19"/>
      <c r="F13" s="19" t="s">
        <v>23</v>
      </c>
    </row>
    <row r="14" spans="1:6" ht="24" x14ac:dyDescent="0.25">
      <c r="A14" s="4" t="s">
        <v>24</v>
      </c>
      <c r="B14" s="17">
        <f>C5+C6</f>
        <v>7993</v>
      </c>
      <c r="F14" s="7" t="s">
        <v>25</v>
      </c>
    </row>
    <row r="15" spans="1:6" ht="24" x14ac:dyDescent="0.25">
      <c r="A15" s="4" t="s">
        <v>26</v>
      </c>
      <c r="B15" s="17">
        <f>C7</f>
        <v>2100</v>
      </c>
      <c r="F15" s="7" t="s">
        <v>27</v>
      </c>
    </row>
    <row r="16" spans="1:6" ht="24" x14ac:dyDescent="0.25">
      <c r="A16" s="4" t="s">
        <v>28</v>
      </c>
      <c r="B16" s="17">
        <f>B14+B15</f>
        <v>10093</v>
      </c>
      <c r="F16" s="7" t="s">
        <v>29</v>
      </c>
    </row>
    <row r="17" spans="1:6" ht="24" x14ac:dyDescent="0.25">
      <c r="A17" s="4" t="s">
        <v>30</v>
      </c>
      <c r="B17" s="17">
        <f>C9</f>
        <v>4450</v>
      </c>
      <c r="F17" s="7" t="s">
        <v>31</v>
      </c>
    </row>
    <row r="18" spans="1:6" x14ac:dyDescent="0.25">
      <c r="A18" s="4" t="s">
        <v>32</v>
      </c>
      <c r="B18" s="17">
        <f>SUM(MH_Master_List!$I$5:$I$61)</f>
        <v>685</v>
      </c>
      <c r="F18" s="7" t="s">
        <v>33</v>
      </c>
    </row>
    <row r="19" spans="1:6" x14ac:dyDescent="0.25">
      <c r="A19" s="4" t="s">
        <v>34</v>
      </c>
      <c r="B19" s="17">
        <f>SUM(MH_Master_List!$J$5:$J$61)</f>
        <v>204.52</v>
      </c>
      <c r="F19" s="7" t="s">
        <v>35</v>
      </c>
    </row>
    <row r="20" spans="1:6" x14ac:dyDescent="0.25">
      <c r="A20" s="4" t="s">
        <v>36</v>
      </c>
      <c r="B20" s="17">
        <f>SUMIFS(MH_Master_List!$U$5:$U$61,MH_Master_List!$T$5:$T$61,"Unverified")</f>
        <v>735.5</v>
      </c>
      <c r="F20" s="7" t="s">
        <v>37</v>
      </c>
    </row>
    <row r="22" spans="1:6" ht="24" x14ac:dyDescent="0.25">
      <c r="A22" s="19" t="s">
        <v>38</v>
      </c>
      <c r="B22" s="19" t="s">
        <v>3</v>
      </c>
      <c r="C22" s="19" t="s">
        <v>4</v>
      </c>
      <c r="D22" s="19" t="s">
        <v>5</v>
      </c>
      <c r="E22" s="19" t="s">
        <v>39</v>
      </c>
      <c r="F22" s="19" t="s">
        <v>40</v>
      </c>
    </row>
    <row r="23" spans="1:6" x14ac:dyDescent="0.25">
      <c r="A23" s="4" t="s">
        <v>41</v>
      </c>
      <c r="B23" s="7">
        <f>COUNTIFS(MH_Master_List!$Z$5:$Z$61,A23)</f>
        <v>3</v>
      </c>
      <c r="C23" s="5">
        <f>SUMIFS(MH_Master_List!$S$5:$S$61,MH_Master_List!$Z$5:$Z$61,A23)</f>
        <v>221</v>
      </c>
      <c r="D23" s="5">
        <f>SUMIFS(MH_Master_List!$U$5:$U$61,MH_Master_List!$Z$5:$Z$61,A23)</f>
        <v>221</v>
      </c>
      <c r="E23" s="5">
        <f>SUMIFS(MH_Master_List!$I$5:$I$61,MH_Master_List!$Z$5:$Z$61,A23)</f>
        <v>121</v>
      </c>
      <c r="F23" s="7" t="s">
        <v>42</v>
      </c>
    </row>
    <row r="24" spans="1:6" x14ac:dyDescent="0.25">
      <c r="A24" s="4" t="s">
        <v>43</v>
      </c>
      <c r="B24" s="7">
        <f>COUNTIFS(MH_Master_List!$Z$5:$Z$61,A24)</f>
        <v>5</v>
      </c>
      <c r="C24" s="5">
        <f>SUMIFS(MH_Master_List!$S$5:$S$61,MH_Master_List!$Z$5:$Z$61,A24)</f>
        <v>3900</v>
      </c>
      <c r="D24" s="5">
        <f>SUMIFS(MH_Master_List!$U$5:$U$61,MH_Master_List!$Z$5:$Z$61,A24)</f>
        <v>3900</v>
      </c>
      <c r="E24" s="5">
        <f>SUMIFS(MH_Master_List!$I$5:$I$61,MH_Master_List!$Z$5:$Z$61,A24)</f>
        <v>35</v>
      </c>
      <c r="F24" s="7" t="s">
        <v>44</v>
      </c>
    </row>
    <row r="25" spans="1:6" x14ac:dyDescent="0.25">
      <c r="A25" s="4" t="s">
        <v>45</v>
      </c>
      <c r="B25" s="7">
        <f>COUNTIFS(MH_Master_List!$Z$5:$Z$61,A25)</f>
        <v>1</v>
      </c>
      <c r="C25" s="5">
        <f>SUMIFS(MH_Master_List!$S$5:$S$61,MH_Master_List!$Z$5:$Z$61,A25)</f>
        <v>32</v>
      </c>
      <c r="D25" s="5">
        <f>SUMIFS(MH_Master_List!$U$5:$U$61,MH_Master_List!$Z$5:$Z$61,A25)</f>
        <v>32</v>
      </c>
      <c r="E25" s="5">
        <f>SUMIFS(MH_Master_List!$I$5:$I$61,MH_Master_List!$Z$5:$Z$61,A25)</f>
        <v>32</v>
      </c>
      <c r="F25" s="7" t="s">
        <v>46</v>
      </c>
    </row>
    <row r="26" spans="1:6" x14ac:dyDescent="0.25">
      <c r="A26" s="4" t="s">
        <v>47</v>
      </c>
      <c r="B26" s="7">
        <f>COUNTIFS(MH_Master_List!$Z$5:$Z$61,A26)</f>
        <v>1</v>
      </c>
      <c r="C26" s="5">
        <f>SUMIFS(MH_Master_List!$S$5:$S$61,MH_Master_List!$Z$5:$Z$61,A26)</f>
        <v>120</v>
      </c>
      <c r="D26" s="5">
        <f>SUMIFS(MH_Master_List!$U$5:$U$61,MH_Master_List!$Z$5:$Z$61,A26)</f>
        <v>120</v>
      </c>
      <c r="E26" s="5">
        <f>SUMIFS(MH_Master_List!$I$5:$I$61,MH_Master_List!$Z$5:$Z$61,A26)</f>
        <v>18</v>
      </c>
      <c r="F26" s="7" t="s">
        <v>46</v>
      </c>
    </row>
    <row r="27" spans="1:6" x14ac:dyDescent="0.25">
      <c r="A27" s="4" t="s">
        <v>48</v>
      </c>
      <c r="B27" s="7">
        <f>COUNTIFS(MH_Master_List!$Z$5:$Z$61,A27)</f>
        <v>1</v>
      </c>
      <c r="C27" s="5">
        <f>SUMIFS(MH_Master_List!$S$5:$S$61,MH_Master_List!$Z$5:$Z$61,A27)</f>
        <v>60</v>
      </c>
      <c r="D27" s="5">
        <f>SUMIFS(MH_Master_List!$U$5:$U$61,MH_Master_List!$Z$5:$Z$61,A27)</f>
        <v>60</v>
      </c>
      <c r="E27" s="5">
        <f>SUMIFS(MH_Master_List!$I$5:$I$61,MH_Master_List!$Z$5:$Z$61,A27)</f>
        <v>10</v>
      </c>
      <c r="F27" s="7" t="s">
        <v>46</v>
      </c>
    </row>
    <row r="28" spans="1:6" x14ac:dyDescent="0.25">
      <c r="A28" s="4" t="s">
        <v>49</v>
      </c>
      <c r="B28" s="7">
        <f>COUNTIFS(MH_Master_List!$Z$5:$Z$61,A28)</f>
        <v>2</v>
      </c>
      <c r="C28" s="5">
        <f>SUMIFS(MH_Master_List!$S$5:$S$61,MH_Master_List!$Z$5:$Z$61,A28)</f>
        <v>585</v>
      </c>
      <c r="D28" s="5">
        <f>SUMIFS(MH_Master_List!$U$5:$U$61,MH_Master_List!$Z$5:$Z$61,A28)</f>
        <v>585</v>
      </c>
      <c r="E28" s="5">
        <f>SUMIFS(MH_Master_List!$I$5:$I$61,MH_Master_List!$Z$5:$Z$61,A28)</f>
        <v>70</v>
      </c>
      <c r="F28" s="7" t="s">
        <v>46</v>
      </c>
    </row>
    <row r="29" spans="1:6" x14ac:dyDescent="0.25">
      <c r="A29" s="4" t="s">
        <v>50</v>
      </c>
      <c r="B29" s="7">
        <f>COUNTIFS(MH_Master_List!$Z$5:$Z$61,A29)</f>
        <v>2</v>
      </c>
      <c r="C29" s="5">
        <f>SUMIFS(MH_Master_List!$S$5:$S$61,MH_Master_List!$Z$5:$Z$61,A29)</f>
        <v>225</v>
      </c>
      <c r="D29" s="5">
        <f>SUMIFS(MH_Master_List!$U$5:$U$61,MH_Master_List!$Z$5:$Z$61,A29)</f>
        <v>225</v>
      </c>
      <c r="E29" s="5">
        <f>SUMIFS(MH_Master_List!$I$5:$I$61,MH_Master_List!$Z$5:$Z$61,A29)</f>
        <v>25</v>
      </c>
      <c r="F29" s="7" t="s">
        <v>46</v>
      </c>
    </row>
    <row r="30" spans="1:6" x14ac:dyDescent="0.25">
      <c r="A30" s="4" t="s">
        <v>51</v>
      </c>
      <c r="B30" s="7">
        <f>COUNTIFS(MH_Master_List!$Z$5:$Z$61,A30)</f>
        <v>2</v>
      </c>
      <c r="C30" s="5">
        <f>SUMIFS(MH_Master_List!$S$5:$S$61,MH_Master_List!$Z$5:$Z$61,A30)</f>
        <v>535</v>
      </c>
      <c r="D30" s="5">
        <f>SUMIFS(MH_Master_List!$U$5:$U$61,MH_Master_List!$Z$5:$Z$61,A30)</f>
        <v>535</v>
      </c>
      <c r="E30" s="5">
        <f>SUMIFS(MH_Master_List!$I$5:$I$61,MH_Master_List!$Z$5:$Z$61,A30)</f>
        <v>71</v>
      </c>
      <c r="F30" s="7" t="s">
        <v>46</v>
      </c>
    </row>
    <row r="31" spans="1:6" x14ac:dyDescent="0.25">
      <c r="A31" s="4" t="s">
        <v>52</v>
      </c>
      <c r="B31" s="7">
        <f>COUNTIFS(MH_Master_List!$Z$5:$Z$61,A31)</f>
        <v>5</v>
      </c>
      <c r="C31" s="5">
        <f>SUMIFS(MH_Master_List!$S$5:$S$61,MH_Master_List!$Z$5:$Z$61,A31)</f>
        <v>665</v>
      </c>
      <c r="D31" s="5">
        <f>SUMIFS(MH_Master_List!$U$5:$U$61,MH_Master_List!$Z$5:$Z$61,A31)</f>
        <v>665</v>
      </c>
      <c r="E31" s="5">
        <f>SUMIFS(MH_Master_List!$I$5:$I$61,MH_Master_List!$Z$5:$Z$61,A31)</f>
        <v>90</v>
      </c>
      <c r="F31" s="7" t="s">
        <v>53</v>
      </c>
    </row>
    <row r="32" spans="1:6" x14ac:dyDescent="0.25">
      <c r="A32" s="4" t="s">
        <v>54</v>
      </c>
      <c r="B32" s="7">
        <f>COUNTIFS(MH_Master_List!$Z$5:$Z$61,A32)</f>
        <v>4</v>
      </c>
      <c r="C32" s="5">
        <f>SUMIFS(MH_Master_List!$S$5:$S$61,MH_Master_List!$Z$5:$Z$61,A32)</f>
        <v>770</v>
      </c>
      <c r="D32" s="5">
        <f>SUMIFS(MH_Master_List!$U$5:$U$61,MH_Master_List!$Z$5:$Z$61,A32)</f>
        <v>770</v>
      </c>
      <c r="E32" s="5">
        <f>SUMIFS(MH_Master_List!$I$5:$I$61,MH_Master_List!$Z$5:$Z$61,A32)</f>
        <v>97</v>
      </c>
      <c r="F32" s="7" t="s">
        <v>55</v>
      </c>
    </row>
    <row r="33" spans="1:6" x14ac:dyDescent="0.25">
      <c r="A33" s="4" t="s">
        <v>56</v>
      </c>
      <c r="B33" s="7">
        <f>COUNTIFS(MH_Master_List!$Z$5:$Z$61,A33)</f>
        <v>2</v>
      </c>
      <c r="C33" s="5">
        <f>SUMIFS(MH_Master_List!$S$5:$S$61,MH_Master_List!$Z$5:$Z$61,A33)</f>
        <v>160</v>
      </c>
      <c r="D33" s="5">
        <f>SUMIFS(MH_Master_List!$U$5:$U$61,MH_Master_List!$Z$5:$Z$61,A33)</f>
        <v>160</v>
      </c>
      <c r="E33" s="5">
        <f>SUMIFS(MH_Master_List!$I$5:$I$61,MH_Master_List!$Z$5:$Z$61,A33)</f>
        <v>100</v>
      </c>
      <c r="F33" s="7" t="s">
        <v>46</v>
      </c>
    </row>
    <row r="34" spans="1:6" x14ac:dyDescent="0.25">
      <c r="A34" s="4" t="s">
        <v>57</v>
      </c>
      <c r="B34" s="7">
        <f>COUNTIFS(MH_Master_List!$Z$5:$Z$61,A34)</f>
        <v>4</v>
      </c>
      <c r="C34" s="5">
        <f>SUMIFS(MH_Master_List!$S$5:$S$61,MH_Master_List!$Z$5:$Z$61,A34)</f>
        <v>2197</v>
      </c>
      <c r="D34" s="5">
        <f>SUMIFS(MH_Master_List!$U$5:$U$61,MH_Master_List!$Z$5:$Z$61,A34)</f>
        <v>2197</v>
      </c>
      <c r="E34" s="5">
        <f>SUMIFS(MH_Master_List!$I$5:$I$61,MH_Master_List!$Z$5:$Z$61,A34)</f>
        <v>16</v>
      </c>
      <c r="F34" s="7" t="s">
        <v>58</v>
      </c>
    </row>
    <row r="35" spans="1:6" x14ac:dyDescent="0.25">
      <c r="A35" s="4" t="s">
        <v>59</v>
      </c>
      <c r="B35" s="7">
        <f>COUNTIFS(MH_Master_List!$Z$5:$Z$61,A35)</f>
        <v>3</v>
      </c>
      <c r="C35" s="5">
        <f>SUMIFS(MH_Master_List!$S$5:$S$61,MH_Master_List!$Z$5:$Z$61,A35)</f>
        <v>850</v>
      </c>
      <c r="D35" s="5">
        <f>SUMIFS(MH_Master_List!$U$5:$U$61,MH_Master_List!$Z$5:$Z$61,A35)</f>
        <v>850</v>
      </c>
      <c r="E35" s="5">
        <f>SUMIFS(MH_Master_List!$I$5:$I$61,MH_Master_List!$Z$5:$Z$61,A35)</f>
        <v>0</v>
      </c>
      <c r="F35" s="7" t="s">
        <v>60</v>
      </c>
    </row>
    <row r="36" spans="1:6" x14ac:dyDescent="0.25">
      <c r="A36" s="4" t="s">
        <v>61</v>
      </c>
      <c r="B36" s="7">
        <f>COUNTIFS(MH_Master_List!$Z$5:$Z$61,A36)</f>
        <v>2</v>
      </c>
      <c r="C36" s="5">
        <f>SUMIFS(MH_Master_List!$S$5:$S$61,MH_Master_List!$Z$5:$Z$61,A36)</f>
        <v>2025</v>
      </c>
      <c r="D36" s="5">
        <f>SUMIFS(MH_Master_List!$U$5:$U$61,MH_Master_List!$Z$5:$Z$61,A36)</f>
        <v>2025</v>
      </c>
      <c r="E36" s="5">
        <f>SUMIFS(MH_Master_List!$I$5:$I$61,MH_Master_List!$Z$5:$Z$61,A36)</f>
        <v>0</v>
      </c>
      <c r="F36" s="7" t="s">
        <v>62</v>
      </c>
    </row>
    <row r="37" spans="1:6" x14ac:dyDescent="0.25">
      <c r="A37" s="4" t="s">
        <v>63</v>
      </c>
      <c r="B37" s="7">
        <f>COUNTIFS(MH_Master_List!$Z$5:$Z$61,A37)</f>
        <v>2</v>
      </c>
      <c r="C37" s="5">
        <f>SUMIFS(MH_Master_List!$S$5:$S$61,MH_Master_List!$Z$5:$Z$61,A37)</f>
        <v>320</v>
      </c>
      <c r="D37" s="5">
        <f>SUMIFS(MH_Master_List!$U$5:$U$61,MH_Master_List!$Z$5:$Z$61,A37)</f>
        <v>320</v>
      </c>
      <c r="E37" s="5">
        <f>SUMIFS(MH_Master_List!$I$5:$I$61,MH_Master_List!$Z$5:$Z$61,A37)</f>
        <v>0</v>
      </c>
      <c r="F37" s="7" t="s">
        <v>46</v>
      </c>
    </row>
    <row r="38" spans="1:6" x14ac:dyDescent="0.25">
      <c r="A38" s="4" t="s">
        <v>64</v>
      </c>
      <c r="B38" s="7">
        <f>COUNTIFS(MH_Master_List!$Z$5:$Z$61,A38)</f>
        <v>1</v>
      </c>
      <c r="C38" s="5">
        <f>SUMIFS(MH_Master_List!$S$5:$S$61,MH_Master_List!$Z$5:$Z$61,A38)</f>
        <v>120</v>
      </c>
      <c r="D38" s="5">
        <f>SUMIFS(MH_Master_List!$U$5:$U$61,MH_Master_List!$Z$5:$Z$61,A38)</f>
        <v>120</v>
      </c>
      <c r="E38" s="5">
        <f>SUMIFS(MH_Master_List!$I$5:$I$61,MH_Master_List!$Z$5:$Z$61,A38)</f>
        <v>0</v>
      </c>
      <c r="F38" s="7" t="s">
        <v>46</v>
      </c>
    </row>
    <row r="39" spans="1:6" x14ac:dyDescent="0.25">
      <c r="A39" s="4" t="s">
        <v>65</v>
      </c>
      <c r="B39" s="7">
        <f>COUNTIFS(MH_Master_List!$Z$5:$Z$61,A39)</f>
        <v>1</v>
      </c>
      <c r="C39" s="5">
        <f>SUMIFS(MH_Master_List!$S$5:$S$61,MH_Master_List!$Z$5:$Z$61,A39)</f>
        <v>106</v>
      </c>
      <c r="D39" s="5">
        <f>SUMIFS(MH_Master_List!$U$5:$U$61,MH_Master_List!$Z$5:$Z$61,A39)</f>
        <v>106</v>
      </c>
      <c r="E39" s="5">
        <f>SUMIFS(MH_Master_List!$I$5:$I$61,MH_Master_List!$Z$5:$Z$61,A39)</f>
        <v>0</v>
      </c>
      <c r="F39" s="7" t="s">
        <v>46</v>
      </c>
    </row>
    <row r="40" spans="1:6" x14ac:dyDescent="0.25">
      <c r="A40" s="4" t="s">
        <v>66</v>
      </c>
      <c r="B40" s="7">
        <f>COUNTIFS(MH_Master_List!$Z$5:$Z$61,A40)</f>
        <v>1</v>
      </c>
      <c r="C40" s="5">
        <f>SUMIFS(MH_Master_List!$S$5:$S$61,MH_Master_List!$Z$5:$Z$61,A40)</f>
        <v>50</v>
      </c>
      <c r="D40" s="5">
        <f>SUMIFS(MH_Master_List!$U$5:$U$61,MH_Master_List!$Z$5:$Z$61,A40)</f>
        <v>50</v>
      </c>
      <c r="E40" s="5">
        <f>SUMIFS(MH_Master_List!$I$5:$I$61,MH_Master_List!$Z$5:$Z$61,A40)</f>
        <v>0</v>
      </c>
      <c r="F40" s="7" t="s">
        <v>46</v>
      </c>
    </row>
    <row r="41" spans="1:6" x14ac:dyDescent="0.25">
      <c r="A41" s="4" t="s">
        <v>67</v>
      </c>
      <c r="B41" s="7">
        <f>COUNTIFS(MH_Master_List!$Z$5:$Z$61,A41)</f>
        <v>2</v>
      </c>
      <c r="C41" s="5">
        <f>SUMIFS(MH_Master_List!$S$5:$S$61,MH_Master_List!$Z$5:$Z$61,A41)</f>
        <v>52</v>
      </c>
      <c r="D41" s="5">
        <f>SUMIFS(MH_Master_List!$U$5:$U$61,MH_Master_List!$Z$5:$Z$61,A41)</f>
        <v>52</v>
      </c>
      <c r="E41" s="5">
        <f>SUMIFS(MH_Master_List!$I$5:$I$61,MH_Master_List!$Z$5:$Z$61,A41)</f>
        <v>0</v>
      </c>
      <c r="F41" s="7" t="s">
        <v>68</v>
      </c>
    </row>
    <row r="42" spans="1:6" x14ac:dyDescent="0.25">
      <c r="A42" s="4" t="s">
        <v>69</v>
      </c>
      <c r="B42" s="7">
        <f>COUNTIFS(MH_Master_List!$Z$5:$Z$61,A42)</f>
        <v>1</v>
      </c>
      <c r="C42" s="5">
        <f>SUMIFS(MH_Master_List!$S$5:$S$61,MH_Master_List!$Z$5:$Z$61,A42)</f>
        <v>100</v>
      </c>
      <c r="D42" s="5">
        <f>SUMIFS(MH_Master_List!$U$5:$U$61,MH_Master_List!$Z$5:$Z$61,A42)</f>
        <v>100</v>
      </c>
      <c r="E42" s="5">
        <f>SUMIFS(MH_Master_List!$I$5:$I$61,MH_Master_List!$Z$5:$Z$61,A42)</f>
        <v>0</v>
      </c>
      <c r="F42" s="7" t="s">
        <v>70</v>
      </c>
    </row>
    <row r="43" spans="1:6" x14ac:dyDescent="0.25">
      <c r="A43" s="4" t="s">
        <v>71</v>
      </c>
      <c r="B43" s="7">
        <f>COUNTIFS(MH_Master_List!$Z$5:$Z$61,A43)</f>
        <v>1</v>
      </c>
      <c r="C43" s="5">
        <f>SUMIFS(MH_Master_List!$S$5:$S$61,MH_Master_List!$Z$5:$Z$61,A43)</f>
        <v>113.9</v>
      </c>
      <c r="D43" s="5">
        <f>SUMIFS(MH_Master_List!$U$5:$U$61,MH_Master_List!$Z$5:$Z$61,A43)</f>
        <v>113.9</v>
      </c>
      <c r="E43" s="5">
        <f>SUMIFS(MH_Master_List!$I$5:$I$61,MH_Master_List!$Z$5:$Z$61,A43)</f>
        <v>0</v>
      </c>
      <c r="F43" s="7" t="s">
        <v>72</v>
      </c>
    </row>
    <row r="44" spans="1:6" x14ac:dyDescent="0.25">
      <c r="A44" s="4" t="s">
        <v>73</v>
      </c>
      <c r="B44" s="7">
        <f>COUNTIFS(MH_Master_List!$Z$5:$Z$61,A44)</f>
        <v>1</v>
      </c>
      <c r="C44" s="5">
        <f>SUMIFS(MH_Master_List!$S$5:$S$61,MH_Master_List!$Z$5:$Z$61,A44)</f>
        <v>0</v>
      </c>
      <c r="D44" s="5">
        <f>SUMIFS(MH_Master_List!$U$5:$U$61,MH_Master_List!$Z$5:$Z$61,A44)</f>
        <v>0</v>
      </c>
      <c r="E44" s="5">
        <f>SUMIFS(MH_Master_List!$I$5:$I$61,MH_Master_List!$Z$5:$Z$61,A44)</f>
        <v>0</v>
      </c>
      <c r="F44" s="7" t="s">
        <v>46</v>
      </c>
    </row>
    <row r="45" spans="1:6" x14ac:dyDescent="0.25">
      <c r="A45" s="4" t="s">
        <v>74</v>
      </c>
      <c r="B45" s="7">
        <f>COUNTIFS(MH_Master_List!$Z$5:$Z$61,A45)</f>
        <v>2</v>
      </c>
      <c r="C45" s="5">
        <f>SUMIFS(MH_Master_List!$S$5:$S$61,MH_Master_List!$Z$5:$Z$61,A45)</f>
        <v>0</v>
      </c>
      <c r="D45" s="5">
        <f>SUMIFS(MH_Master_List!$U$5:$U$61,MH_Master_List!$Z$5:$Z$61,A45)</f>
        <v>100</v>
      </c>
      <c r="E45" s="5">
        <f>SUMIFS(MH_Master_List!$I$5:$I$61,MH_Master_List!$Z$5:$Z$61,A45)</f>
        <v>0</v>
      </c>
      <c r="F45" s="7" t="s">
        <v>44</v>
      </c>
    </row>
    <row r="46" spans="1:6" x14ac:dyDescent="0.25">
      <c r="A46" s="4" t="s">
        <v>75</v>
      </c>
      <c r="B46" s="7">
        <f>COUNTIFS(MH_Master_List!$Z$5:$Z$61,A46)</f>
        <v>1</v>
      </c>
      <c r="C46" s="5">
        <f>SUMIFS(MH_Master_List!$S$5:$S$61,MH_Master_List!$Z$5:$Z$61,A46)</f>
        <v>200</v>
      </c>
      <c r="D46" s="5">
        <f>SUMIFS(MH_Master_List!$U$5:$U$61,MH_Master_List!$Z$5:$Z$61,A46)</f>
        <v>200</v>
      </c>
      <c r="E46" s="5">
        <f>SUMIFS(MH_Master_List!$I$5:$I$61,MH_Master_List!$Z$5:$Z$61,A46)</f>
        <v>0</v>
      </c>
      <c r="F46" s="7" t="s">
        <v>76</v>
      </c>
    </row>
    <row r="47" spans="1:6" x14ac:dyDescent="0.25">
      <c r="A47" s="4" t="s">
        <v>77</v>
      </c>
      <c r="B47" s="7">
        <f>COUNTIFS(MH_Master_List!$Z$5:$Z$61,A47)</f>
        <v>1</v>
      </c>
      <c r="C47" s="5">
        <f>SUMIFS(MH_Master_List!$S$5:$S$61,MH_Master_List!$Z$5:$Z$61,A47)</f>
        <v>500</v>
      </c>
      <c r="D47" s="5">
        <f>SUMIFS(MH_Master_List!$U$5:$U$61,MH_Master_List!$Z$5:$Z$61,A47)</f>
        <v>500</v>
      </c>
      <c r="E47" s="5">
        <f>SUMIFS(MH_Master_List!$I$5:$I$61,MH_Master_List!$Z$5:$Z$61,A47)</f>
        <v>0</v>
      </c>
      <c r="F47" s="7" t="s">
        <v>76</v>
      </c>
    </row>
    <row r="48" spans="1:6" x14ac:dyDescent="0.25">
      <c r="A48" s="4" t="s">
        <v>78</v>
      </c>
      <c r="B48" s="7">
        <f>COUNTIFS(MH_Master_List!$Z$5:$Z$61,A48)</f>
        <v>1</v>
      </c>
      <c r="C48" s="5">
        <f>SUMIFS(MH_Master_List!$S$5:$S$61,MH_Master_List!$Z$5:$Z$61,A48)</f>
        <v>750</v>
      </c>
      <c r="D48" s="5">
        <f>SUMIFS(MH_Master_List!$U$5:$U$61,MH_Master_List!$Z$5:$Z$61,A48)</f>
        <v>750</v>
      </c>
      <c r="E48" s="5">
        <f>SUMIFS(MH_Master_List!$I$5:$I$61,MH_Master_List!$Z$5:$Z$61,A48)</f>
        <v>0</v>
      </c>
      <c r="F48" s="7" t="s">
        <v>68</v>
      </c>
    </row>
    <row r="49" spans="1:6" x14ac:dyDescent="0.25">
      <c r="A49" s="4" t="s">
        <v>79</v>
      </c>
      <c r="B49" s="7">
        <f>COUNTIFS(MH_Master_List!$Z$5:$Z$61,A49)</f>
        <v>1</v>
      </c>
      <c r="C49" s="5">
        <f>SUMIFS(MH_Master_List!$S$5:$S$61,MH_Master_List!$Z$5:$Z$61,A49)</f>
        <v>0</v>
      </c>
      <c r="D49" s="5">
        <f>SUMIFS(MH_Master_List!$U$5:$U$61,MH_Master_List!$Z$5:$Z$61,A49)</f>
        <v>5.5</v>
      </c>
      <c r="E49" s="5">
        <f>SUMIFS(MH_Master_List!$I$5:$I$61,MH_Master_List!$Z$5:$Z$61,A49)</f>
        <v>0</v>
      </c>
      <c r="F49" s="7" t="s">
        <v>46</v>
      </c>
    </row>
    <row r="50" spans="1:6" x14ac:dyDescent="0.25">
      <c r="A50" s="4" t="s">
        <v>80</v>
      </c>
      <c r="B50" s="7">
        <f>COUNTIFS(MH_Master_List!$Z$5:$Z$61,A50)</f>
        <v>1</v>
      </c>
      <c r="C50" s="5">
        <f>SUMIFS(MH_Master_List!$S$5:$S$61,MH_Master_List!$Z$5:$Z$61,A50)</f>
        <v>0</v>
      </c>
      <c r="D50" s="5">
        <f>SUMIFS(MH_Master_List!$U$5:$U$61,MH_Master_List!$Z$5:$Z$61,A50)</f>
        <v>60</v>
      </c>
      <c r="E50" s="5">
        <f>SUMIFS(MH_Master_List!$I$5:$I$61,MH_Master_List!$Z$5:$Z$61,A50)</f>
        <v>0</v>
      </c>
      <c r="F50" s="7" t="s">
        <v>46</v>
      </c>
    </row>
    <row r="51" spans="1:6" x14ac:dyDescent="0.25">
      <c r="A51" s="4" t="s">
        <v>81</v>
      </c>
      <c r="B51" s="7">
        <f>COUNTIFS(MH_Master_List!$Z$5:$Z$61,A51)</f>
        <v>1</v>
      </c>
      <c r="C51" s="5">
        <f>SUMIFS(MH_Master_List!$S$5:$S$61,MH_Master_List!$Z$5:$Z$61,A51)</f>
        <v>0</v>
      </c>
      <c r="D51" s="5">
        <f>SUMIFS(MH_Master_List!$U$5:$U$61,MH_Master_List!$Z$5:$Z$61,A51)</f>
        <v>270</v>
      </c>
      <c r="E51" s="5">
        <f>SUMIFS(MH_Master_List!$I$5:$I$61,MH_Master_List!$Z$5:$Z$61,A51)</f>
        <v>0</v>
      </c>
      <c r="F51" s="7" t="s">
        <v>46</v>
      </c>
    </row>
    <row r="52" spans="1:6" x14ac:dyDescent="0.25">
      <c r="A52" s="4" t="s">
        <v>82</v>
      </c>
      <c r="B52" s="7">
        <f>COUNTIFS(MH_Master_List!$Z$5:$Z$61,A52)</f>
        <v>1</v>
      </c>
      <c r="C52" s="5">
        <f>SUMIFS(MH_Master_List!$S$5:$S$61,MH_Master_List!$Z$5:$Z$61,A52)</f>
        <v>0</v>
      </c>
      <c r="D52" s="5">
        <f>SUMIFS(MH_Master_List!$U$5:$U$61,MH_Master_List!$Z$5:$Z$61,A52)</f>
        <v>240</v>
      </c>
      <c r="E52" s="5">
        <f>SUMIFS(MH_Master_List!$I$5:$I$61,MH_Master_List!$Z$5:$Z$61,A52)</f>
        <v>0</v>
      </c>
      <c r="F52" s="7" t="s">
        <v>46</v>
      </c>
    </row>
    <row r="53" spans="1:6" x14ac:dyDescent="0.25">
      <c r="A53" s="4" t="s">
        <v>83</v>
      </c>
      <c r="B53" s="7">
        <f>COUNTIFS(MH_Master_List!$Z$5:$Z$61,A53)</f>
        <v>1</v>
      </c>
      <c r="C53" s="5">
        <f>SUMIFS(MH_Master_List!$S$5:$S$61,MH_Master_List!$Z$5:$Z$61,A53)</f>
        <v>0</v>
      </c>
      <c r="D53" s="5">
        <f>SUMIFS(MH_Master_List!$U$5:$U$61,MH_Master_List!$Z$5:$Z$61,A53)</f>
        <v>60</v>
      </c>
      <c r="E53" s="5">
        <f>SUMIFS(MH_Master_List!$I$5:$I$61,MH_Master_List!$Z$5:$Z$61,A53)</f>
        <v>0</v>
      </c>
      <c r="F53" s="7" t="s">
        <v>70</v>
      </c>
    </row>
    <row r="55" spans="1:6" ht="24" x14ac:dyDescent="0.25">
      <c r="A55" s="19" t="s">
        <v>84</v>
      </c>
      <c r="B55" s="19" t="s">
        <v>3</v>
      </c>
      <c r="C55" s="19" t="s">
        <v>4</v>
      </c>
      <c r="D55" s="19" t="s">
        <v>5</v>
      </c>
      <c r="E55" s="19" t="s">
        <v>39</v>
      </c>
      <c r="F55" s="19"/>
    </row>
    <row r="56" spans="1:6" x14ac:dyDescent="0.25">
      <c r="A56" s="4" t="s">
        <v>62</v>
      </c>
      <c r="B56" s="7">
        <f>COUNTIFS(MH_Master_List!$F$5:$F$61,A56)</f>
        <v>4</v>
      </c>
      <c r="C56" s="5">
        <f>SUMIFS(MH_Master_List!$S$5:$S$61,MH_Master_List!$F$5:$F$61,A56)</f>
        <v>2950</v>
      </c>
      <c r="D56" s="5">
        <f>SUMIFS(MH_Master_List!$U$5:$U$61,MH_Master_List!$F$5:$F$61,A56)</f>
        <v>2950</v>
      </c>
      <c r="E56" s="5">
        <f>SUMIFS(MH_Master_List!$I$5:$I$61,MH_Master_List!$F$5:$F$61,A56)</f>
        <v>0</v>
      </c>
    </row>
    <row r="57" spans="1:6" x14ac:dyDescent="0.25">
      <c r="A57" s="4" t="s">
        <v>72</v>
      </c>
      <c r="B57" s="7">
        <f>COUNTIFS(MH_Master_List!$F$5:$F$61,A57)</f>
        <v>3</v>
      </c>
      <c r="C57" s="5">
        <f>SUMIFS(MH_Master_List!$S$5:$S$61,MH_Master_List!$F$5:$F$61,A57)</f>
        <v>338.9</v>
      </c>
      <c r="D57" s="5">
        <f>SUMIFS(MH_Master_List!$U$5:$U$61,MH_Master_List!$F$5:$F$61,A57)</f>
        <v>338.9</v>
      </c>
      <c r="E57" s="5">
        <f>SUMIFS(MH_Master_List!$I$5:$I$61,MH_Master_List!$F$5:$F$61,A57)</f>
        <v>0</v>
      </c>
    </row>
    <row r="58" spans="1:6" x14ac:dyDescent="0.25">
      <c r="A58" s="4" t="s">
        <v>46</v>
      </c>
      <c r="B58" s="7">
        <f>COUNTIFS(MH_Master_List!$F$5:$F$61,A58)</f>
        <v>34</v>
      </c>
      <c r="C58" s="5">
        <f>SUMIFS(MH_Master_List!$S$5:$S$61,MH_Master_List!$F$5:$F$61,A58)</f>
        <v>5501</v>
      </c>
      <c r="D58" s="5">
        <f>SUMIFS(MH_Master_List!$U$5:$U$61,MH_Master_List!$F$5:$F$61,A58)</f>
        <v>6176.5</v>
      </c>
      <c r="E58" s="5">
        <f>SUMIFS(MH_Master_List!$I$5:$I$61,MH_Master_List!$F$5:$F$61,A58)</f>
        <v>526</v>
      </c>
    </row>
    <row r="59" spans="1:6" x14ac:dyDescent="0.25">
      <c r="A59" s="4" t="s">
        <v>76</v>
      </c>
      <c r="B59" s="7">
        <f>COUNTIFS(MH_Master_List!$F$5:$F$61,A59)</f>
        <v>2</v>
      </c>
      <c r="C59" s="5">
        <f>SUMIFS(MH_Master_List!$S$5:$S$61,MH_Master_List!$F$5:$F$61,A59)</f>
        <v>700</v>
      </c>
      <c r="D59" s="5">
        <f>SUMIFS(MH_Master_List!$U$5:$U$61,MH_Master_List!$F$5:$F$61,A59)</f>
        <v>700</v>
      </c>
      <c r="E59" s="5">
        <f>SUMIFS(MH_Master_List!$I$5:$I$61,MH_Master_List!$F$5:$F$61,A59)</f>
        <v>0</v>
      </c>
    </row>
    <row r="60" spans="1:6" x14ac:dyDescent="0.25">
      <c r="A60" s="4" t="s">
        <v>68</v>
      </c>
      <c r="B60" s="7">
        <f>COUNTIFS(MH_Master_List!$F$5:$F$61,A60)</f>
        <v>6</v>
      </c>
      <c r="C60" s="5">
        <f>SUMIFS(MH_Master_List!$S$5:$S$61,MH_Master_List!$F$5:$F$61,A60)</f>
        <v>4302</v>
      </c>
      <c r="D60" s="5">
        <f>SUMIFS(MH_Master_List!$U$5:$U$61,MH_Master_List!$F$5:$F$61,A60)</f>
        <v>4302</v>
      </c>
      <c r="E60" s="5">
        <f>SUMIFS(MH_Master_List!$I$5:$I$61,MH_Master_List!$F$5:$F$61,A60)</f>
        <v>0</v>
      </c>
    </row>
    <row r="61" spans="1:6" x14ac:dyDescent="0.25">
      <c r="A61" s="4" t="s">
        <v>70</v>
      </c>
      <c r="B61" s="7">
        <f>COUNTIFS(MH_Master_List!$F$5:$F$61,A61)</f>
        <v>7</v>
      </c>
      <c r="C61" s="5">
        <f>SUMIFS(MH_Master_List!$S$5:$S$61,MH_Master_List!$F$5:$F$61,A61)</f>
        <v>715</v>
      </c>
      <c r="D61" s="5">
        <f>SUMIFS(MH_Master_List!$U$5:$U$61,MH_Master_List!$F$5:$F$61,A61)</f>
        <v>775</v>
      </c>
      <c r="E61" s="5">
        <f>SUMIFS(MH_Master_List!$I$5:$I$61,MH_Master_List!$F$5:$F$61,A61)</f>
        <v>159</v>
      </c>
    </row>
    <row r="62" spans="1:6" x14ac:dyDescent="0.25">
      <c r="A62" s="4" t="s">
        <v>85</v>
      </c>
      <c r="B62" s="7">
        <f>COUNTIFS(MH_Master_List!$F$5:$F$61,A62)</f>
        <v>1</v>
      </c>
      <c r="C62" s="5">
        <f>SUMIFS(MH_Master_List!$S$5:$S$61,MH_Master_List!$F$5:$F$61,A62)</f>
        <v>150</v>
      </c>
      <c r="D62" s="5">
        <f>SUMIFS(MH_Master_List!$U$5:$U$61,MH_Master_List!$F$5:$F$61,A62)</f>
        <v>150</v>
      </c>
      <c r="E62" s="5">
        <f>SUMIFS(MH_Master_List!$I$5:$I$61,MH_Master_List!$F$5:$F$61,A62)</f>
        <v>0</v>
      </c>
    </row>
    <row r="64" spans="1:6" x14ac:dyDescent="0.25">
      <c r="A64" s="26" t="s">
        <v>86</v>
      </c>
      <c r="B64" s="25"/>
      <c r="C64" s="25"/>
      <c r="D64" s="25"/>
      <c r="E64" s="25"/>
      <c r="F64" s="25"/>
    </row>
    <row r="65" spans="1:6" ht="30" customHeight="1" x14ac:dyDescent="0.25">
      <c r="A65" s="24" t="s">
        <v>87</v>
      </c>
      <c r="B65" s="25"/>
      <c r="C65" s="25"/>
      <c r="D65" s="25"/>
      <c r="E65" s="25"/>
      <c r="F65" s="25"/>
    </row>
    <row r="66" spans="1:6" ht="30" customHeight="1" x14ac:dyDescent="0.25">
      <c r="A66" s="24" t="s">
        <v>88</v>
      </c>
      <c r="B66" s="25"/>
      <c r="C66" s="25"/>
      <c r="D66" s="25"/>
      <c r="E66" s="25"/>
      <c r="F66" s="25"/>
    </row>
    <row r="67" spans="1:6" ht="30" customHeight="1" x14ac:dyDescent="0.25">
      <c r="A67" s="24" t="s">
        <v>89</v>
      </c>
      <c r="B67" s="25"/>
      <c r="C67" s="25"/>
      <c r="D67" s="25"/>
      <c r="E67" s="25"/>
      <c r="F67" s="25"/>
    </row>
    <row r="68" spans="1:6" ht="30" customHeight="1" x14ac:dyDescent="0.25">
      <c r="A68" s="24" t="s">
        <v>90</v>
      </c>
      <c r="B68" s="25"/>
      <c r="C68" s="25"/>
      <c r="D68" s="25"/>
      <c r="E68" s="25"/>
      <c r="F68" s="25"/>
    </row>
  </sheetData>
  <mergeCells count="5">
    <mergeCell ref="A68:F68"/>
    <mergeCell ref="A66:F66"/>
    <mergeCell ref="A67:F67"/>
    <mergeCell ref="A64:F64"/>
    <mergeCell ref="A65:F6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2"/>
  <sheetViews>
    <sheetView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8" customWidth="1"/>
    <col min="3" max="3" width="22" customWidth="1"/>
    <col min="4" max="4" width="26" customWidth="1"/>
    <col min="5" max="5" width="28" customWidth="1"/>
    <col min="6" max="6" width="15" customWidth="1"/>
    <col min="7" max="7" width="24" customWidth="1"/>
    <col min="8" max="13" width="9" customWidth="1"/>
    <col min="14" max="14" width="28" customWidth="1"/>
    <col min="15" max="15" width="6" customWidth="1"/>
    <col min="16" max="16" width="9" customWidth="1"/>
    <col min="17" max="17" width="22" customWidth="1"/>
    <col min="18" max="18" width="34" customWidth="1"/>
    <col min="19" max="19" width="10" customWidth="1"/>
    <col min="20" max="20" width="11" customWidth="1"/>
    <col min="21" max="21" width="10" customWidth="1"/>
    <col min="22" max="22" width="22" customWidth="1"/>
    <col min="23" max="24" width="26" customWidth="1"/>
    <col min="25" max="25" width="46" customWidth="1"/>
  </cols>
  <sheetData>
    <row r="1" spans="1:26" ht="16.5" x14ac:dyDescent="0.25">
      <c r="A1" s="1" t="s">
        <v>91</v>
      </c>
    </row>
    <row r="2" spans="1:26" ht="44.1" customHeight="1" x14ac:dyDescent="0.25">
      <c r="A2" s="27" t="s">
        <v>92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4" spans="1:26" ht="48" customHeight="1" x14ac:dyDescent="0.25">
      <c r="A4" s="19" t="s">
        <v>93</v>
      </c>
      <c r="B4" s="19" t="s">
        <v>94</v>
      </c>
      <c r="C4" s="19" t="s">
        <v>95</v>
      </c>
      <c r="D4" s="19" t="s">
        <v>96</v>
      </c>
      <c r="E4" s="19" t="s">
        <v>97</v>
      </c>
      <c r="F4" s="19" t="s">
        <v>98</v>
      </c>
      <c r="G4" s="19" t="s">
        <v>99</v>
      </c>
      <c r="H4" s="19" t="s">
        <v>100</v>
      </c>
      <c r="I4" s="19" t="s">
        <v>101</v>
      </c>
      <c r="J4" s="19" t="s">
        <v>102</v>
      </c>
      <c r="K4" s="19" t="s">
        <v>103</v>
      </c>
      <c r="L4" s="19" t="s">
        <v>104</v>
      </c>
      <c r="M4" s="19" t="s">
        <v>105</v>
      </c>
      <c r="N4" s="19" t="s">
        <v>106</v>
      </c>
      <c r="O4" s="19" t="s">
        <v>107</v>
      </c>
      <c r="P4" s="19" t="s">
        <v>108</v>
      </c>
      <c r="Q4" s="19" t="s">
        <v>109</v>
      </c>
      <c r="R4" s="19" t="s">
        <v>110</v>
      </c>
      <c r="S4" s="19" t="s">
        <v>111</v>
      </c>
      <c r="T4" s="19" t="s">
        <v>112</v>
      </c>
      <c r="U4" s="19" t="s">
        <v>113</v>
      </c>
      <c r="V4" s="19" t="s">
        <v>114</v>
      </c>
      <c r="W4" s="19" t="s">
        <v>115</v>
      </c>
      <c r="X4" s="19" t="s">
        <v>116</v>
      </c>
      <c r="Y4" s="19" t="s">
        <v>86</v>
      </c>
      <c r="Z4" s="21" t="s">
        <v>117</v>
      </c>
    </row>
    <row r="5" spans="1:26" ht="48" x14ac:dyDescent="0.25">
      <c r="A5" s="7" t="s">
        <v>118</v>
      </c>
      <c r="B5" s="7" t="s">
        <v>119</v>
      </c>
      <c r="C5" s="7" t="s">
        <v>41</v>
      </c>
      <c r="D5" s="7" t="s">
        <v>120</v>
      </c>
      <c r="E5" s="7" t="s">
        <v>121</v>
      </c>
      <c r="F5" s="7" t="s">
        <v>46</v>
      </c>
      <c r="G5" s="7" t="s">
        <v>122</v>
      </c>
      <c r="H5" s="11">
        <v>35</v>
      </c>
      <c r="I5" s="11">
        <v>35</v>
      </c>
      <c r="J5" s="11">
        <v>2.2799999999999998</v>
      </c>
      <c r="K5" s="11"/>
      <c r="L5" s="11"/>
      <c r="M5" s="11"/>
      <c r="N5" s="7"/>
      <c r="O5" s="7"/>
      <c r="P5" s="11"/>
      <c r="Q5" s="7"/>
      <c r="R5" s="7" t="s">
        <v>123</v>
      </c>
      <c r="S5" s="12">
        <f t="shared" ref="S5:S36" si="0">IF(N(H5)&gt;0,H5,IF(N(K5)+N(L5)&gt;0,N(K5)+N(L5),IF(AND(N(M5)&gt;0,OR(O5="A1",O5="A2")),M5,0)))</f>
        <v>35</v>
      </c>
      <c r="T5" s="7" t="str">
        <f t="shared" ref="T5:T36" si="1">IF(N(H5)&gt;0,"SLDC",IF(N(K5)+N(L5)&gt;0,"CTUIL",IF(S5&gt;0,"Other official",IF(N(P5)&gt;0,"Unverified","No MW"))))</f>
        <v>SLDC</v>
      </c>
      <c r="U5" s="11">
        <f t="shared" ref="U5:U36" si="2">IF(S5&gt;0,S5,N(P5))</f>
        <v>35</v>
      </c>
      <c r="V5" s="7" t="s">
        <v>8</v>
      </c>
      <c r="W5" s="22" t="s">
        <v>124</v>
      </c>
      <c r="X5" s="22" t="s">
        <v>125</v>
      </c>
      <c r="Y5" s="7" t="s">
        <v>126</v>
      </c>
      <c r="Z5" s="9" t="s">
        <v>41</v>
      </c>
    </row>
    <row r="6" spans="1:26" ht="60" x14ac:dyDescent="0.25">
      <c r="A6" s="7" t="s">
        <v>127</v>
      </c>
      <c r="B6" s="7" t="s">
        <v>119</v>
      </c>
      <c r="C6" s="7" t="s">
        <v>128</v>
      </c>
      <c r="D6" s="7" t="s">
        <v>129</v>
      </c>
      <c r="E6" s="7" t="s">
        <v>130</v>
      </c>
      <c r="F6" s="7" t="s">
        <v>46</v>
      </c>
      <c r="G6" s="7" t="s">
        <v>131</v>
      </c>
      <c r="H6" s="11">
        <v>90</v>
      </c>
      <c r="I6" s="11">
        <v>35</v>
      </c>
      <c r="J6" s="11">
        <v>5</v>
      </c>
      <c r="K6" s="11"/>
      <c r="L6" s="11"/>
      <c r="M6" s="11"/>
      <c r="N6" s="7"/>
      <c r="O6" s="7"/>
      <c r="P6" s="11">
        <v>62</v>
      </c>
      <c r="Q6" s="7" t="s">
        <v>132</v>
      </c>
      <c r="R6" s="7" t="s">
        <v>133</v>
      </c>
      <c r="S6" s="12">
        <f t="shared" si="0"/>
        <v>90</v>
      </c>
      <c r="T6" s="7" t="str">
        <f t="shared" si="1"/>
        <v>SLDC</v>
      </c>
      <c r="U6" s="11">
        <f t="shared" si="2"/>
        <v>90</v>
      </c>
      <c r="V6" s="7" t="s">
        <v>8</v>
      </c>
      <c r="W6" s="22" t="s">
        <v>134</v>
      </c>
      <c r="X6" s="22" t="s">
        <v>135</v>
      </c>
      <c r="Y6" s="7" t="s">
        <v>136</v>
      </c>
      <c r="Z6" s="9" t="s">
        <v>43</v>
      </c>
    </row>
    <row r="7" spans="1:26" ht="48" x14ac:dyDescent="0.25">
      <c r="A7" s="7" t="s">
        <v>137</v>
      </c>
      <c r="B7" s="7" t="s">
        <v>119</v>
      </c>
      <c r="C7" s="7" t="s">
        <v>45</v>
      </c>
      <c r="D7" s="7" t="s">
        <v>138</v>
      </c>
      <c r="E7" s="7" t="s">
        <v>139</v>
      </c>
      <c r="F7" s="7" t="s">
        <v>46</v>
      </c>
      <c r="G7" s="7" t="s">
        <v>140</v>
      </c>
      <c r="H7" s="11">
        <v>32</v>
      </c>
      <c r="I7" s="11">
        <v>32</v>
      </c>
      <c r="J7" s="11">
        <v>10.93</v>
      </c>
      <c r="K7" s="11"/>
      <c r="L7" s="11"/>
      <c r="M7" s="11"/>
      <c r="N7" s="7"/>
      <c r="O7" s="7"/>
      <c r="P7" s="11"/>
      <c r="Q7" s="7"/>
      <c r="R7" s="7" t="s">
        <v>141</v>
      </c>
      <c r="S7" s="12">
        <f t="shared" si="0"/>
        <v>32</v>
      </c>
      <c r="T7" s="7" t="str">
        <f t="shared" si="1"/>
        <v>SLDC</v>
      </c>
      <c r="U7" s="11">
        <f t="shared" si="2"/>
        <v>32</v>
      </c>
      <c r="V7" s="7" t="s">
        <v>8</v>
      </c>
      <c r="W7" s="22" t="s">
        <v>142</v>
      </c>
      <c r="X7" s="22" t="s">
        <v>143</v>
      </c>
      <c r="Y7" s="7" t="s">
        <v>144</v>
      </c>
      <c r="Z7" s="9" t="s">
        <v>45</v>
      </c>
    </row>
    <row r="8" spans="1:26" ht="60" x14ac:dyDescent="0.25">
      <c r="A8" s="7" t="s">
        <v>145</v>
      </c>
      <c r="B8" s="7" t="s">
        <v>119</v>
      </c>
      <c r="C8" s="7" t="s">
        <v>47</v>
      </c>
      <c r="D8" s="7" t="s">
        <v>146</v>
      </c>
      <c r="E8" s="7" t="s">
        <v>147</v>
      </c>
      <c r="F8" s="7" t="s">
        <v>46</v>
      </c>
      <c r="G8" s="7" t="s">
        <v>148</v>
      </c>
      <c r="H8" s="11">
        <v>120</v>
      </c>
      <c r="I8" s="11">
        <v>18</v>
      </c>
      <c r="J8" s="11">
        <v>9</v>
      </c>
      <c r="K8" s="11"/>
      <c r="L8" s="11"/>
      <c r="M8" s="11">
        <v>135</v>
      </c>
      <c r="N8" s="7" t="s">
        <v>149</v>
      </c>
      <c r="O8" s="7" t="s">
        <v>150</v>
      </c>
      <c r="P8" s="11">
        <v>135</v>
      </c>
      <c r="Q8" s="7" t="s">
        <v>151</v>
      </c>
      <c r="R8" s="7" t="s">
        <v>152</v>
      </c>
      <c r="S8" s="12">
        <f t="shared" si="0"/>
        <v>120</v>
      </c>
      <c r="T8" s="7" t="str">
        <f t="shared" si="1"/>
        <v>SLDC</v>
      </c>
      <c r="U8" s="11">
        <f t="shared" si="2"/>
        <v>120</v>
      </c>
      <c r="V8" s="7" t="s">
        <v>8</v>
      </c>
      <c r="W8" s="22" t="s">
        <v>134</v>
      </c>
      <c r="X8" s="22" t="s">
        <v>153</v>
      </c>
      <c r="Y8" s="7" t="s">
        <v>154</v>
      </c>
      <c r="Z8" s="9" t="s">
        <v>47</v>
      </c>
    </row>
    <row r="9" spans="1:26" ht="48" x14ac:dyDescent="0.25">
      <c r="A9" s="7" t="s">
        <v>155</v>
      </c>
      <c r="B9" s="7" t="s">
        <v>119</v>
      </c>
      <c r="C9" s="7" t="s">
        <v>48</v>
      </c>
      <c r="D9" s="7" t="s">
        <v>156</v>
      </c>
      <c r="E9" s="7" t="s">
        <v>157</v>
      </c>
      <c r="F9" s="7" t="s">
        <v>46</v>
      </c>
      <c r="G9" s="7" t="s">
        <v>158</v>
      </c>
      <c r="H9" s="11">
        <v>60</v>
      </c>
      <c r="I9" s="11">
        <v>10</v>
      </c>
      <c r="J9" s="11">
        <v>1.2</v>
      </c>
      <c r="K9" s="11"/>
      <c r="L9" s="11"/>
      <c r="M9" s="11"/>
      <c r="N9" s="7"/>
      <c r="O9" s="7"/>
      <c r="P9" s="11">
        <v>148</v>
      </c>
      <c r="Q9" s="7" t="s">
        <v>159</v>
      </c>
      <c r="R9" s="7" t="s">
        <v>160</v>
      </c>
      <c r="S9" s="12">
        <f t="shared" si="0"/>
        <v>60</v>
      </c>
      <c r="T9" s="7" t="str">
        <f t="shared" si="1"/>
        <v>SLDC</v>
      </c>
      <c r="U9" s="11">
        <f t="shared" si="2"/>
        <v>60</v>
      </c>
      <c r="V9" s="7" t="s">
        <v>8</v>
      </c>
      <c r="W9" s="22" t="s">
        <v>134</v>
      </c>
      <c r="X9" s="22" t="s">
        <v>161</v>
      </c>
      <c r="Y9" s="7" t="s">
        <v>162</v>
      </c>
      <c r="Z9" s="9" t="s">
        <v>48</v>
      </c>
    </row>
    <row r="10" spans="1:26" ht="48" x14ac:dyDescent="0.25">
      <c r="A10" s="7" t="s">
        <v>163</v>
      </c>
      <c r="B10" s="7" t="s">
        <v>119</v>
      </c>
      <c r="C10" s="7" t="s">
        <v>49</v>
      </c>
      <c r="D10" s="7" t="s">
        <v>164</v>
      </c>
      <c r="E10" s="7" t="s">
        <v>165</v>
      </c>
      <c r="F10" s="7" t="s">
        <v>46</v>
      </c>
      <c r="G10" s="7" t="s">
        <v>166</v>
      </c>
      <c r="H10" s="11">
        <v>295</v>
      </c>
      <c r="I10" s="11">
        <v>70</v>
      </c>
      <c r="J10" s="11">
        <v>43</v>
      </c>
      <c r="K10" s="11"/>
      <c r="L10" s="11"/>
      <c r="M10" s="11"/>
      <c r="N10" s="7"/>
      <c r="O10" s="7"/>
      <c r="P10" s="11">
        <v>214</v>
      </c>
      <c r="Q10" s="7" t="s">
        <v>167</v>
      </c>
      <c r="R10" s="7" t="s">
        <v>168</v>
      </c>
      <c r="S10" s="12">
        <f t="shared" si="0"/>
        <v>295</v>
      </c>
      <c r="T10" s="7" t="str">
        <f t="shared" si="1"/>
        <v>SLDC</v>
      </c>
      <c r="U10" s="11">
        <f t="shared" si="2"/>
        <v>295</v>
      </c>
      <c r="V10" s="7" t="s">
        <v>8</v>
      </c>
      <c r="W10" s="22" t="s">
        <v>169</v>
      </c>
      <c r="X10" s="22" t="s">
        <v>170</v>
      </c>
      <c r="Y10" s="7" t="s">
        <v>171</v>
      </c>
      <c r="Z10" s="9" t="s">
        <v>49</v>
      </c>
    </row>
    <row r="11" spans="1:26" ht="60" x14ac:dyDescent="0.25">
      <c r="A11" s="7" t="s">
        <v>172</v>
      </c>
      <c r="B11" s="7" t="s">
        <v>119</v>
      </c>
      <c r="C11" s="7" t="s">
        <v>50</v>
      </c>
      <c r="D11" s="7" t="s">
        <v>173</v>
      </c>
      <c r="E11" s="7" t="s">
        <v>174</v>
      </c>
      <c r="F11" s="7" t="s">
        <v>46</v>
      </c>
      <c r="G11" s="7" t="s">
        <v>175</v>
      </c>
      <c r="H11" s="11">
        <v>35</v>
      </c>
      <c r="I11" s="11">
        <v>25</v>
      </c>
      <c r="J11" s="11">
        <v>0.97</v>
      </c>
      <c r="K11" s="11"/>
      <c r="L11" s="11"/>
      <c r="M11" s="11"/>
      <c r="N11" s="7"/>
      <c r="O11" s="7"/>
      <c r="P11" s="11"/>
      <c r="Q11" s="7"/>
      <c r="R11" s="7" t="s">
        <v>176</v>
      </c>
      <c r="S11" s="12">
        <f t="shared" si="0"/>
        <v>35</v>
      </c>
      <c r="T11" s="7" t="str">
        <f t="shared" si="1"/>
        <v>SLDC</v>
      </c>
      <c r="U11" s="11">
        <f t="shared" si="2"/>
        <v>35</v>
      </c>
      <c r="V11" s="7" t="s">
        <v>8</v>
      </c>
      <c r="W11" s="22" t="s">
        <v>142</v>
      </c>
      <c r="X11" s="22" t="s">
        <v>177</v>
      </c>
      <c r="Y11" s="7" t="s">
        <v>178</v>
      </c>
      <c r="Z11" s="9" t="s">
        <v>50</v>
      </c>
    </row>
    <row r="12" spans="1:26" ht="60" x14ac:dyDescent="0.25">
      <c r="A12" s="7" t="s">
        <v>179</v>
      </c>
      <c r="B12" s="7" t="s">
        <v>119</v>
      </c>
      <c r="C12" s="7" t="s">
        <v>51</v>
      </c>
      <c r="D12" s="7" t="s">
        <v>180</v>
      </c>
      <c r="E12" s="7" t="s">
        <v>181</v>
      </c>
      <c r="F12" s="7" t="s">
        <v>46</v>
      </c>
      <c r="G12" s="7" t="s">
        <v>182</v>
      </c>
      <c r="H12" s="11">
        <v>250</v>
      </c>
      <c r="I12" s="11">
        <v>36</v>
      </c>
      <c r="J12" s="11">
        <v>0.42</v>
      </c>
      <c r="K12" s="11"/>
      <c r="L12" s="11"/>
      <c r="M12" s="11"/>
      <c r="N12" s="7"/>
      <c r="O12" s="7"/>
      <c r="P12" s="11"/>
      <c r="Q12" s="7"/>
      <c r="R12" s="7" t="s">
        <v>183</v>
      </c>
      <c r="S12" s="12">
        <f t="shared" si="0"/>
        <v>250</v>
      </c>
      <c r="T12" s="7" t="str">
        <f t="shared" si="1"/>
        <v>SLDC</v>
      </c>
      <c r="U12" s="11">
        <f t="shared" si="2"/>
        <v>250</v>
      </c>
      <c r="V12" s="7" t="s">
        <v>8</v>
      </c>
      <c r="W12" s="22" t="s">
        <v>169</v>
      </c>
      <c r="X12" s="22" t="s">
        <v>177</v>
      </c>
      <c r="Y12" s="7" t="s">
        <v>184</v>
      </c>
      <c r="Z12" s="9" t="s">
        <v>51</v>
      </c>
    </row>
    <row r="13" spans="1:26" ht="48" x14ac:dyDescent="0.25">
      <c r="A13" s="7" t="s">
        <v>185</v>
      </c>
      <c r="B13" s="7" t="s">
        <v>119</v>
      </c>
      <c r="C13" s="7" t="s">
        <v>51</v>
      </c>
      <c r="D13" s="7" t="s">
        <v>186</v>
      </c>
      <c r="E13" s="7" t="s">
        <v>187</v>
      </c>
      <c r="F13" s="7" t="s">
        <v>46</v>
      </c>
      <c r="G13" s="7" t="s">
        <v>148</v>
      </c>
      <c r="H13" s="11">
        <v>285</v>
      </c>
      <c r="I13" s="11">
        <v>35</v>
      </c>
      <c r="J13" s="11">
        <v>7</v>
      </c>
      <c r="K13" s="11"/>
      <c r="L13" s="11"/>
      <c r="M13" s="11"/>
      <c r="N13" s="7"/>
      <c r="O13" s="7"/>
      <c r="P13" s="11"/>
      <c r="Q13" s="7"/>
      <c r="R13" s="7" t="s">
        <v>188</v>
      </c>
      <c r="S13" s="12">
        <f t="shared" si="0"/>
        <v>285</v>
      </c>
      <c r="T13" s="7" t="str">
        <f t="shared" si="1"/>
        <v>SLDC</v>
      </c>
      <c r="U13" s="11">
        <f t="shared" si="2"/>
        <v>285</v>
      </c>
      <c r="V13" s="7" t="s">
        <v>8</v>
      </c>
      <c r="W13" s="22" t="s">
        <v>169</v>
      </c>
      <c r="X13" s="22" t="s">
        <v>189</v>
      </c>
      <c r="Y13" s="7" t="s">
        <v>190</v>
      </c>
      <c r="Z13" s="9" t="s">
        <v>51</v>
      </c>
    </row>
    <row r="14" spans="1:26" ht="48" x14ac:dyDescent="0.25">
      <c r="A14" s="7" t="s">
        <v>191</v>
      </c>
      <c r="B14" s="7" t="s">
        <v>119</v>
      </c>
      <c r="C14" s="7" t="s">
        <v>52</v>
      </c>
      <c r="D14" s="7" t="s">
        <v>192</v>
      </c>
      <c r="E14" s="7" t="s">
        <v>121</v>
      </c>
      <c r="F14" s="7" t="s">
        <v>46</v>
      </c>
      <c r="G14" s="7" t="s">
        <v>193</v>
      </c>
      <c r="H14" s="11">
        <v>90</v>
      </c>
      <c r="I14" s="11">
        <v>25</v>
      </c>
      <c r="J14" s="11">
        <v>23.19</v>
      </c>
      <c r="K14" s="11"/>
      <c r="L14" s="11"/>
      <c r="M14" s="11"/>
      <c r="N14" s="7"/>
      <c r="O14" s="7"/>
      <c r="P14" s="11"/>
      <c r="Q14" s="7"/>
      <c r="R14" s="7"/>
      <c r="S14" s="12">
        <f t="shared" si="0"/>
        <v>90</v>
      </c>
      <c r="T14" s="7" t="str">
        <f t="shared" si="1"/>
        <v>SLDC</v>
      </c>
      <c r="U14" s="11">
        <f t="shared" si="2"/>
        <v>90</v>
      </c>
      <c r="V14" s="7" t="s">
        <v>8</v>
      </c>
      <c r="W14" s="22" t="s">
        <v>124</v>
      </c>
      <c r="X14" s="7"/>
      <c r="Y14" s="7" t="s">
        <v>194</v>
      </c>
      <c r="Z14" s="9" t="s">
        <v>52</v>
      </c>
    </row>
    <row r="15" spans="1:26" ht="48" x14ac:dyDescent="0.25">
      <c r="A15" s="7" t="s">
        <v>195</v>
      </c>
      <c r="B15" s="7" t="s">
        <v>119</v>
      </c>
      <c r="C15" s="7" t="s">
        <v>52</v>
      </c>
      <c r="D15" s="7" t="s">
        <v>196</v>
      </c>
      <c r="E15" s="7" t="s">
        <v>197</v>
      </c>
      <c r="F15" s="7" t="s">
        <v>46</v>
      </c>
      <c r="G15" s="7" t="s">
        <v>198</v>
      </c>
      <c r="H15" s="11">
        <v>500</v>
      </c>
      <c r="I15" s="11">
        <v>50</v>
      </c>
      <c r="J15" s="11">
        <v>14</v>
      </c>
      <c r="K15" s="11"/>
      <c r="L15" s="11"/>
      <c r="M15" s="11"/>
      <c r="N15" s="7"/>
      <c r="O15" s="7"/>
      <c r="P15" s="11">
        <v>366</v>
      </c>
      <c r="Q15" s="7" t="s">
        <v>159</v>
      </c>
      <c r="R15" s="7" t="s">
        <v>199</v>
      </c>
      <c r="S15" s="12">
        <f t="shared" si="0"/>
        <v>500</v>
      </c>
      <c r="T15" s="7" t="str">
        <f t="shared" si="1"/>
        <v>SLDC</v>
      </c>
      <c r="U15" s="11">
        <f t="shared" si="2"/>
        <v>500</v>
      </c>
      <c r="V15" s="7" t="s">
        <v>8</v>
      </c>
      <c r="W15" s="22" t="s">
        <v>124</v>
      </c>
      <c r="X15" s="22" t="s">
        <v>200</v>
      </c>
      <c r="Y15" s="7" t="s">
        <v>201</v>
      </c>
      <c r="Z15" s="9" t="s">
        <v>52</v>
      </c>
    </row>
    <row r="16" spans="1:26" ht="48" x14ac:dyDescent="0.25">
      <c r="A16" s="7" t="s">
        <v>202</v>
      </c>
      <c r="B16" s="7" t="s">
        <v>119</v>
      </c>
      <c r="C16" s="7" t="s">
        <v>52</v>
      </c>
      <c r="D16" s="7" t="s">
        <v>203</v>
      </c>
      <c r="E16" s="7" t="s">
        <v>204</v>
      </c>
      <c r="F16" s="7" t="s">
        <v>46</v>
      </c>
      <c r="G16" s="7" t="s">
        <v>205</v>
      </c>
      <c r="H16" s="11">
        <v>75</v>
      </c>
      <c r="I16" s="11">
        <v>15</v>
      </c>
      <c r="J16" s="11">
        <v>5</v>
      </c>
      <c r="K16" s="11"/>
      <c r="L16" s="11"/>
      <c r="M16" s="11"/>
      <c r="N16" s="7"/>
      <c r="O16" s="7"/>
      <c r="P16" s="11"/>
      <c r="Q16" s="7"/>
      <c r="R16" s="7"/>
      <c r="S16" s="12">
        <f t="shared" si="0"/>
        <v>75</v>
      </c>
      <c r="T16" s="7" t="str">
        <f t="shared" si="1"/>
        <v>SLDC</v>
      </c>
      <c r="U16" s="11">
        <f t="shared" si="2"/>
        <v>75</v>
      </c>
      <c r="V16" s="7" t="s">
        <v>8</v>
      </c>
      <c r="W16" s="22" t="s">
        <v>134</v>
      </c>
      <c r="X16" s="7"/>
      <c r="Y16" s="7" t="s">
        <v>206</v>
      </c>
      <c r="Z16" s="9" t="s">
        <v>52</v>
      </c>
    </row>
    <row r="17" spans="1:26" ht="48" x14ac:dyDescent="0.25">
      <c r="A17" s="7" t="s">
        <v>207</v>
      </c>
      <c r="B17" s="7" t="s">
        <v>119</v>
      </c>
      <c r="C17" s="7" t="s">
        <v>54</v>
      </c>
      <c r="D17" s="7" t="s">
        <v>208</v>
      </c>
      <c r="E17" s="7" t="s">
        <v>209</v>
      </c>
      <c r="F17" s="7" t="s">
        <v>46</v>
      </c>
      <c r="G17" s="7" t="s">
        <v>210</v>
      </c>
      <c r="H17" s="11">
        <v>80</v>
      </c>
      <c r="I17" s="11">
        <v>40</v>
      </c>
      <c r="J17" s="11">
        <v>5</v>
      </c>
      <c r="K17" s="11"/>
      <c r="L17" s="11"/>
      <c r="M17" s="11"/>
      <c r="N17" s="7"/>
      <c r="O17" s="7"/>
      <c r="P17" s="11">
        <v>133</v>
      </c>
      <c r="Q17" s="7" t="s">
        <v>167</v>
      </c>
      <c r="R17" s="7" t="s">
        <v>211</v>
      </c>
      <c r="S17" s="12">
        <f t="shared" si="0"/>
        <v>80</v>
      </c>
      <c r="T17" s="7" t="str">
        <f t="shared" si="1"/>
        <v>SLDC</v>
      </c>
      <c r="U17" s="11">
        <f t="shared" si="2"/>
        <v>80</v>
      </c>
      <c r="V17" s="7" t="s">
        <v>8</v>
      </c>
      <c r="W17" s="22" t="s">
        <v>134</v>
      </c>
      <c r="X17" s="22" t="s">
        <v>212</v>
      </c>
      <c r="Y17" s="7" t="s">
        <v>213</v>
      </c>
      <c r="Z17" s="9" t="s">
        <v>54</v>
      </c>
    </row>
    <row r="18" spans="1:26" ht="48" x14ac:dyDescent="0.25">
      <c r="A18" s="7" t="s">
        <v>214</v>
      </c>
      <c r="B18" s="7" t="s">
        <v>119</v>
      </c>
      <c r="C18" s="7" t="s">
        <v>56</v>
      </c>
      <c r="D18" s="7" t="s">
        <v>215</v>
      </c>
      <c r="E18" s="7" t="s">
        <v>216</v>
      </c>
      <c r="F18" s="7" t="s">
        <v>46</v>
      </c>
      <c r="G18" s="7" t="s">
        <v>217</v>
      </c>
      <c r="H18" s="11">
        <v>90</v>
      </c>
      <c r="I18" s="11">
        <v>30</v>
      </c>
      <c r="J18" s="11">
        <v>14</v>
      </c>
      <c r="K18" s="11"/>
      <c r="L18" s="11"/>
      <c r="M18" s="11"/>
      <c r="N18" s="7"/>
      <c r="O18" s="7"/>
      <c r="P18" s="11">
        <v>377</v>
      </c>
      <c r="Q18" s="7" t="s">
        <v>167</v>
      </c>
      <c r="R18" s="7" t="s">
        <v>218</v>
      </c>
      <c r="S18" s="12">
        <f t="shared" si="0"/>
        <v>90</v>
      </c>
      <c r="T18" s="7" t="str">
        <f t="shared" si="1"/>
        <v>SLDC</v>
      </c>
      <c r="U18" s="11">
        <f t="shared" si="2"/>
        <v>90</v>
      </c>
      <c r="V18" s="7" t="s">
        <v>8</v>
      </c>
      <c r="W18" s="22" t="s">
        <v>124</v>
      </c>
      <c r="X18" s="22" t="s">
        <v>219</v>
      </c>
      <c r="Y18" s="7" t="s">
        <v>220</v>
      </c>
      <c r="Z18" s="9" t="s">
        <v>56</v>
      </c>
    </row>
    <row r="19" spans="1:26" ht="48" x14ac:dyDescent="0.25">
      <c r="A19" s="7" t="s">
        <v>221</v>
      </c>
      <c r="B19" s="7" t="s">
        <v>119</v>
      </c>
      <c r="C19" s="7" t="s">
        <v>56</v>
      </c>
      <c r="D19" s="7" t="s">
        <v>222</v>
      </c>
      <c r="E19" s="7" t="s">
        <v>216</v>
      </c>
      <c r="F19" s="7" t="s">
        <v>46</v>
      </c>
      <c r="G19" s="7" t="s">
        <v>223</v>
      </c>
      <c r="H19" s="11">
        <v>70</v>
      </c>
      <c r="I19" s="11">
        <v>70</v>
      </c>
      <c r="J19" s="11"/>
      <c r="K19" s="11"/>
      <c r="L19" s="11"/>
      <c r="M19" s="11"/>
      <c r="N19" s="7"/>
      <c r="O19" s="7"/>
      <c r="P19" s="11"/>
      <c r="Q19" s="7"/>
      <c r="R19" s="7"/>
      <c r="S19" s="12">
        <f t="shared" si="0"/>
        <v>70</v>
      </c>
      <c r="T19" s="7" t="str">
        <f t="shared" si="1"/>
        <v>SLDC</v>
      </c>
      <c r="U19" s="11">
        <f t="shared" si="2"/>
        <v>70</v>
      </c>
      <c r="V19" s="7" t="s">
        <v>8</v>
      </c>
      <c r="W19" s="22" t="s">
        <v>142</v>
      </c>
      <c r="X19" s="7"/>
      <c r="Y19" s="7" t="s">
        <v>224</v>
      </c>
      <c r="Z19" s="9" t="s">
        <v>56</v>
      </c>
    </row>
    <row r="20" spans="1:26" ht="60" x14ac:dyDescent="0.25">
      <c r="A20" s="7" t="s">
        <v>225</v>
      </c>
      <c r="B20" s="7" t="s">
        <v>119</v>
      </c>
      <c r="C20" s="7" t="s">
        <v>226</v>
      </c>
      <c r="D20" s="7" t="s">
        <v>227</v>
      </c>
      <c r="E20" s="7" t="s">
        <v>228</v>
      </c>
      <c r="F20" s="7" t="s">
        <v>70</v>
      </c>
      <c r="G20" s="7" t="s">
        <v>229</v>
      </c>
      <c r="H20" s="11">
        <v>155</v>
      </c>
      <c r="I20" s="11">
        <v>16</v>
      </c>
      <c r="J20" s="11">
        <v>0</v>
      </c>
      <c r="K20" s="11"/>
      <c r="L20" s="11"/>
      <c r="M20" s="11"/>
      <c r="N20" s="7"/>
      <c r="O20" s="7"/>
      <c r="P20" s="11"/>
      <c r="Q20" s="7"/>
      <c r="R20" s="7" t="s">
        <v>230</v>
      </c>
      <c r="S20" s="12">
        <f t="shared" si="0"/>
        <v>155</v>
      </c>
      <c r="T20" s="7" t="str">
        <f t="shared" si="1"/>
        <v>SLDC</v>
      </c>
      <c r="U20" s="11">
        <f t="shared" si="2"/>
        <v>155</v>
      </c>
      <c r="V20" s="7" t="s">
        <v>8</v>
      </c>
      <c r="W20" s="22" t="s">
        <v>142</v>
      </c>
      <c r="X20" s="22" t="s">
        <v>135</v>
      </c>
      <c r="Y20" s="7" t="s">
        <v>231</v>
      </c>
      <c r="Z20" s="9" t="s">
        <v>57</v>
      </c>
    </row>
    <row r="21" spans="1:26" ht="48" x14ac:dyDescent="0.25">
      <c r="A21" s="7" t="s">
        <v>232</v>
      </c>
      <c r="B21" s="7" t="s">
        <v>119</v>
      </c>
      <c r="C21" s="7" t="s">
        <v>41</v>
      </c>
      <c r="D21" s="7" t="s">
        <v>233</v>
      </c>
      <c r="E21" s="7" t="s">
        <v>234</v>
      </c>
      <c r="F21" s="7" t="s">
        <v>70</v>
      </c>
      <c r="G21" s="7" t="s">
        <v>235</v>
      </c>
      <c r="H21" s="11">
        <v>36</v>
      </c>
      <c r="I21" s="11">
        <v>36</v>
      </c>
      <c r="J21" s="11">
        <v>16.88</v>
      </c>
      <c r="K21" s="11"/>
      <c r="L21" s="11"/>
      <c r="M21" s="11"/>
      <c r="N21" s="7"/>
      <c r="O21" s="7"/>
      <c r="P21" s="11"/>
      <c r="Q21" s="7"/>
      <c r="R21" s="7"/>
      <c r="S21" s="12">
        <f t="shared" si="0"/>
        <v>36</v>
      </c>
      <c r="T21" s="7" t="str">
        <f t="shared" si="1"/>
        <v>SLDC</v>
      </c>
      <c r="U21" s="11">
        <f t="shared" si="2"/>
        <v>36</v>
      </c>
      <c r="V21" s="7" t="s">
        <v>8</v>
      </c>
      <c r="W21" s="22" t="s">
        <v>236</v>
      </c>
      <c r="X21" s="7"/>
      <c r="Y21" s="7" t="s">
        <v>237</v>
      </c>
      <c r="Z21" s="9" t="s">
        <v>41</v>
      </c>
    </row>
    <row r="22" spans="1:26" ht="60" x14ac:dyDescent="0.25">
      <c r="A22" s="7" t="s">
        <v>238</v>
      </c>
      <c r="B22" s="7" t="s">
        <v>119</v>
      </c>
      <c r="C22" s="7" t="s">
        <v>41</v>
      </c>
      <c r="D22" s="7" t="s">
        <v>239</v>
      </c>
      <c r="E22" s="7" t="s">
        <v>240</v>
      </c>
      <c r="F22" s="7" t="s">
        <v>70</v>
      </c>
      <c r="G22" s="7" t="s">
        <v>241</v>
      </c>
      <c r="H22" s="11">
        <v>150</v>
      </c>
      <c r="I22" s="11">
        <v>50</v>
      </c>
      <c r="J22" s="11">
        <v>5.0199999999999996</v>
      </c>
      <c r="K22" s="11"/>
      <c r="L22" s="11"/>
      <c r="M22" s="11"/>
      <c r="N22" s="7"/>
      <c r="O22" s="7"/>
      <c r="P22" s="11"/>
      <c r="Q22" s="7"/>
      <c r="R22" s="7" t="s">
        <v>242</v>
      </c>
      <c r="S22" s="12">
        <f t="shared" si="0"/>
        <v>150</v>
      </c>
      <c r="T22" s="7" t="str">
        <f t="shared" si="1"/>
        <v>SLDC</v>
      </c>
      <c r="U22" s="11">
        <f t="shared" si="2"/>
        <v>150</v>
      </c>
      <c r="V22" s="7" t="s">
        <v>8</v>
      </c>
      <c r="W22" s="22" t="s">
        <v>236</v>
      </c>
      <c r="X22" s="22" t="s">
        <v>243</v>
      </c>
      <c r="Y22" s="7" t="s">
        <v>244</v>
      </c>
      <c r="Z22" s="9" t="s">
        <v>41</v>
      </c>
    </row>
    <row r="23" spans="1:26" ht="48" x14ac:dyDescent="0.25">
      <c r="A23" s="7" t="s">
        <v>245</v>
      </c>
      <c r="B23" s="7" t="s">
        <v>119</v>
      </c>
      <c r="C23" s="7" t="s">
        <v>54</v>
      </c>
      <c r="D23" s="7" t="s">
        <v>246</v>
      </c>
      <c r="E23" s="7" t="s">
        <v>247</v>
      </c>
      <c r="F23" s="7" t="s">
        <v>70</v>
      </c>
      <c r="G23" s="7" t="s">
        <v>248</v>
      </c>
      <c r="H23" s="11">
        <v>200</v>
      </c>
      <c r="I23" s="11">
        <v>57</v>
      </c>
      <c r="J23" s="11">
        <v>41.63</v>
      </c>
      <c r="K23" s="11"/>
      <c r="L23" s="11"/>
      <c r="M23" s="11"/>
      <c r="N23" s="7"/>
      <c r="O23" s="7"/>
      <c r="P23" s="11"/>
      <c r="Q23" s="7"/>
      <c r="R23" s="7"/>
      <c r="S23" s="12">
        <f t="shared" si="0"/>
        <v>200</v>
      </c>
      <c r="T23" s="7" t="str">
        <f t="shared" si="1"/>
        <v>SLDC</v>
      </c>
      <c r="U23" s="11">
        <f t="shared" si="2"/>
        <v>200</v>
      </c>
      <c r="V23" s="7" t="s">
        <v>8</v>
      </c>
      <c r="W23" s="22" t="s">
        <v>236</v>
      </c>
      <c r="X23" s="7"/>
      <c r="Y23" s="7" t="s">
        <v>249</v>
      </c>
      <c r="Z23" s="9" t="s">
        <v>54</v>
      </c>
    </row>
    <row r="24" spans="1:26" ht="48" x14ac:dyDescent="0.25">
      <c r="A24" s="7" t="s">
        <v>250</v>
      </c>
      <c r="B24" s="7" t="s">
        <v>119</v>
      </c>
      <c r="C24" s="7" t="s">
        <v>59</v>
      </c>
      <c r="D24" s="7" t="s">
        <v>251</v>
      </c>
      <c r="E24" s="7" t="s">
        <v>252</v>
      </c>
      <c r="F24" s="7" t="s">
        <v>62</v>
      </c>
      <c r="G24" s="7" t="s">
        <v>253</v>
      </c>
      <c r="H24" s="11">
        <v>475</v>
      </c>
      <c r="I24" s="11"/>
      <c r="J24" s="11"/>
      <c r="K24" s="11"/>
      <c r="L24" s="11"/>
      <c r="M24" s="11"/>
      <c r="N24" s="7"/>
      <c r="O24" s="7"/>
      <c r="P24" s="11"/>
      <c r="Q24" s="7"/>
      <c r="R24" s="7"/>
      <c r="S24" s="12">
        <f t="shared" si="0"/>
        <v>475</v>
      </c>
      <c r="T24" s="7" t="str">
        <f t="shared" si="1"/>
        <v>SLDC</v>
      </c>
      <c r="U24" s="11">
        <f t="shared" si="2"/>
        <v>475</v>
      </c>
      <c r="V24" s="7" t="s">
        <v>10</v>
      </c>
      <c r="W24" s="22" t="s">
        <v>254</v>
      </c>
      <c r="X24" s="7"/>
      <c r="Y24" s="7" t="s">
        <v>255</v>
      </c>
      <c r="Z24" s="9" t="s">
        <v>59</v>
      </c>
    </row>
    <row r="25" spans="1:26" ht="36" x14ac:dyDescent="0.25">
      <c r="A25" s="7" t="s">
        <v>256</v>
      </c>
      <c r="B25" s="7" t="s">
        <v>257</v>
      </c>
      <c r="C25" s="7" t="s">
        <v>61</v>
      </c>
      <c r="D25" s="7" t="s">
        <v>258</v>
      </c>
      <c r="E25" s="7" t="s">
        <v>259</v>
      </c>
      <c r="F25" s="7" t="s">
        <v>62</v>
      </c>
      <c r="G25" s="7" t="s">
        <v>260</v>
      </c>
      <c r="H25" s="11"/>
      <c r="I25" s="11"/>
      <c r="J25" s="11"/>
      <c r="K25" s="11"/>
      <c r="L25" s="11"/>
      <c r="M25" s="11">
        <v>525</v>
      </c>
      <c r="N25" s="7" t="s">
        <v>261</v>
      </c>
      <c r="O25" s="7" t="s">
        <v>150</v>
      </c>
      <c r="P25" s="11"/>
      <c r="Q25" s="7"/>
      <c r="R25" s="7"/>
      <c r="S25" s="12">
        <f t="shared" si="0"/>
        <v>525</v>
      </c>
      <c r="T25" s="7" t="str">
        <f t="shared" si="1"/>
        <v>Other official</v>
      </c>
      <c r="U25" s="11">
        <f t="shared" si="2"/>
        <v>525</v>
      </c>
      <c r="V25" s="7" t="s">
        <v>10</v>
      </c>
      <c r="W25" s="22" t="s">
        <v>262</v>
      </c>
      <c r="X25" s="7"/>
      <c r="Y25" s="7" t="s">
        <v>263</v>
      </c>
      <c r="Z25" s="9" t="s">
        <v>61</v>
      </c>
    </row>
    <row r="26" spans="1:26" ht="48" x14ac:dyDescent="0.25">
      <c r="A26" s="7" t="s">
        <v>264</v>
      </c>
      <c r="B26" s="7" t="s">
        <v>119</v>
      </c>
      <c r="C26" s="7" t="s">
        <v>54</v>
      </c>
      <c r="D26" s="7" t="s">
        <v>265</v>
      </c>
      <c r="E26" s="7" t="s">
        <v>252</v>
      </c>
      <c r="F26" s="7" t="s">
        <v>62</v>
      </c>
      <c r="G26" s="7" t="s">
        <v>253</v>
      </c>
      <c r="H26" s="11">
        <v>450</v>
      </c>
      <c r="I26" s="11"/>
      <c r="J26" s="11"/>
      <c r="K26" s="11"/>
      <c r="L26" s="11"/>
      <c r="M26" s="11"/>
      <c r="N26" s="7"/>
      <c r="O26" s="7"/>
      <c r="P26" s="11"/>
      <c r="Q26" s="7"/>
      <c r="R26" s="7"/>
      <c r="S26" s="12">
        <f t="shared" si="0"/>
        <v>450</v>
      </c>
      <c r="T26" s="7" t="str">
        <f t="shared" si="1"/>
        <v>SLDC</v>
      </c>
      <c r="U26" s="11">
        <f t="shared" si="2"/>
        <v>450</v>
      </c>
      <c r="V26" s="7" t="s">
        <v>10</v>
      </c>
      <c r="W26" s="22" t="s">
        <v>254</v>
      </c>
      <c r="X26" s="7"/>
      <c r="Y26" s="7" t="s">
        <v>266</v>
      </c>
      <c r="Z26" s="9" t="s">
        <v>54</v>
      </c>
    </row>
    <row r="27" spans="1:26" ht="60" x14ac:dyDescent="0.25">
      <c r="A27" s="7" t="s">
        <v>267</v>
      </c>
      <c r="B27" s="7" t="s">
        <v>119</v>
      </c>
      <c r="C27" s="7" t="s">
        <v>59</v>
      </c>
      <c r="D27" s="7" t="s">
        <v>268</v>
      </c>
      <c r="E27" s="7" t="s">
        <v>269</v>
      </c>
      <c r="F27" s="7" t="s">
        <v>72</v>
      </c>
      <c r="G27" s="7" t="s">
        <v>270</v>
      </c>
      <c r="H27" s="11">
        <v>225</v>
      </c>
      <c r="I27" s="11"/>
      <c r="J27" s="11"/>
      <c r="K27" s="11"/>
      <c r="L27" s="11"/>
      <c r="M27" s="11">
        <v>77</v>
      </c>
      <c r="N27" s="7" t="s">
        <v>149</v>
      </c>
      <c r="O27" s="7" t="s">
        <v>150</v>
      </c>
      <c r="P27" s="11">
        <v>77</v>
      </c>
      <c r="Q27" s="7" t="s">
        <v>151</v>
      </c>
      <c r="R27" s="7" t="s">
        <v>271</v>
      </c>
      <c r="S27" s="12">
        <f t="shared" si="0"/>
        <v>225</v>
      </c>
      <c r="T27" s="7" t="str">
        <f t="shared" si="1"/>
        <v>SLDC</v>
      </c>
      <c r="U27" s="11">
        <f t="shared" si="2"/>
        <v>225</v>
      </c>
      <c r="V27" s="7" t="s">
        <v>10</v>
      </c>
      <c r="W27" s="22" t="s">
        <v>134</v>
      </c>
      <c r="X27" s="22" t="s">
        <v>153</v>
      </c>
      <c r="Y27" s="7" t="s">
        <v>272</v>
      </c>
      <c r="Z27" s="9" t="s">
        <v>59</v>
      </c>
    </row>
    <row r="28" spans="1:26" ht="48" x14ac:dyDescent="0.25">
      <c r="A28" s="7" t="s">
        <v>273</v>
      </c>
      <c r="B28" s="7" t="s">
        <v>274</v>
      </c>
      <c r="C28" s="7" t="s">
        <v>275</v>
      </c>
      <c r="D28" s="7" t="s">
        <v>276</v>
      </c>
      <c r="E28" s="7" t="s">
        <v>277</v>
      </c>
      <c r="F28" s="7" t="s">
        <v>46</v>
      </c>
      <c r="G28" s="7" t="s">
        <v>278</v>
      </c>
      <c r="H28" s="11"/>
      <c r="I28" s="11"/>
      <c r="J28" s="11"/>
      <c r="K28" s="11">
        <v>1468</v>
      </c>
      <c r="L28" s="11"/>
      <c r="M28" s="11"/>
      <c r="N28" s="7"/>
      <c r="O28" s="7"/>
      <c r="P28" s="11"/>
      <c r="Q28" s="7"/>
      <c r="R28" s="7" t="s">
        <v>279</v>
      </c>
      <c r="S28" s="12">
        <f t="shared" si="0"/>
        <v>1468</v>
      </c>
      <c r="T28" s="7" t="str">
        <f t="shared" si="1"/>
        <v>CTUIL</v>
      </c>
      <c r="U28" s="11">
        <f t="shared" si="2"/>
        <v>1468</v>
      </c>
      <c r="V28" s="7" t="s">
        <v>10</v>
      </c>
      <c r="W28" s="22" t="s">
        <v>280</v>
      </c>
      <c r="X28" s="22" t="s">
        <v>281</v>
      </c>
      <c r="Y28" s="7" t="s">
        <v>282</v>
      </c>
      <c r="Z28" s="9" t="s">
        <v>57</v>
      </c>
    </row>
    <row r="29" spans="1:26" ht="48" x14ac:dyDescent="0.25">
      <c r="A29" s="7" t="s">
        <v>283</v>
      </c>
      <c r="B29" s="7" t="s">
        <v>119</v>
      </c>
      <c r="C29" s="7" t="s">
        <v>128</v>
      </c>
      <c r="D29" s="7" t="s">
        <v>284</v>
      </c>
      <c r="E29" s="7" t="s">
        <v>285</v>
      </c>
      <c r="F29" s="7" t="s">
        <v>46</v>
      </c>
      <c r="G29" s="7" t="s">
        <v>286</v>
      </c>
      <c r="H29" s="11">
        <v>480</v>
      </c>
      <c r="I29" s="11"/>
      <c r="J29" s="11"/>
      <c r="K29" s="11"/>
      <c r="L29" s="11"/>
      <c r="M29" s="11"/>
      <c r="N29" s="7"/>
      <c r="O29" s="7"/>
      <c r="P29" s="11"/>
      <c r="Q29" s="7"/>
      <c r="R29" s="7"/>
      <c r="S29" s="12">
        <f t="shared" si="0"/>
        <v>480</v>
      </c>
      <c r="T29" s="7" t="str">
        <f t="shared" si="1"/>
        <v>SLDC</v>
      </c>
      <c r="U29" s="11">
        <f t="shared" si="2"/>
        <v>480</v>
      </c>
      <c r="V29" s="7" t="s">
        <v>10</v>
      </c>
      <c r="W29" s="22" t="s">
        <v>124</v>
      </c>
      <c r="X29" s="7"/>
      <c r="Y29" s="7" t="s">
        <v>287</v>
      </c>
      <c r="Z29" s="9" t="s">
        <v>43</v>
      </c>
    </row>
    <row r="30" spans="1:26" ht="48" x14ac:dyDescent="0.25">
      <c r="A30" s="7" t="s">
        <v>288</v>
      </c>
      <c r="B30" s="7" t="s">
        <v>119</v>
      </c>
      <c r="C30" s="7" t="s">
        <v>128</v>
      </c>
      <c r="D30" s="7" t="s">
        <v>289</v>
      </c>
      <c r="E30" s="7" t="s">
        <v>121</v>
      </c>
      <c r="F30" s="7" t="s">
        <v>46</v>
      </c>
      <c r="G30" s="7" t="s">
        <v>290</v>
      </c>
      <c r="H30" s="11">
        <v>150</v>
      </c>
      <c r="I30" s="11"/>
      <c r="J30" s="11"/>
      <c r="K30" s="11"/>
      <c r="L30" s="11"/>
      <c r="M30" s="11"/>
      <c r="N30" s="7"/>
      <c r="O30" s="7"/>
      <c r="P30" s="11">
        <v>120</v>
      </c>
      <c r="Q30" s="7" t="s">
        <v>159</v>
      </c>
      <c r="R30" s="7" t="s">
        <v>291</v>
      </c>
      <c r="S30" s="12">
        <f t="shared" si="0"/>
        <v>150</v>
      </c>
      <c r="T30" s="7" t="str">
        <f t="shared" si="1"/>
        <v>SLDC</v>
      </c>
      <c r="U30" s="11">
        <f t="shared" si="2"/>
        <v>150</v>
      </c>
      <c r="V30" s="7" t="s">
        <v>10</v>
      </c>
      <c r="W30" s="22" t="s">
        <v>254</v>
      </c>
      <c r="X30" s="22" t="s">
        <v>292</v>
      </c>
      <c r="Y30" s="7" t="s">
        <v>293</v>
      </c>
      <c r="Z30" s="9" t="s">
        <v>43</v>
      </c>
    </row>
    <row r="31" spans="1:26" ht="48" x14ac:dyDescent="0.25">
      <c r="A31" s="7" t="s">
        <v>294</v>
      </c>
      <c r="B31" s="7" t="s">
        <v>119</v>
      </c>
      <c r="C31" s="7" t="s">
        <v>128</v>
      </c>
      <c r="D31" s="7" t="s">
        <v>295</v>
      </c>
      <c r="E31" s="7" t="s">
        <v>296</v>
      </c>
      <c r="F31" s="7" t="s">
        <v>46</v>
      </c>
      <c r="G31" s="7" t="s">
        <v>297</v>
      </c>
      <c r="H31" s="11">
        <v>180</v>
      </c>
      <c r="I31" s="11"/>
      <c r="J31" s="11"/>
      <c r="K31" s="11"/>
      <c r="L31" s="11"/>
      <c r="M31" s="11"/>
      <c r="N31" s="7"/>
      <c r="O31" s="7"/>
      <c r="P31" s="11"/>
      <c r="Q31" s="7"/>
      <c r="R31" s="7"/>
      <c r="S31" s="12">
        <f t="shared" si="0"/>
        <v>180</v>
      </c>
      <c r="T31" s="7" t="str">
        <f t="shared" si="1"/>
        <v>SLDC</v>
      </c>
      <c r="U31" s="11">
        <f t="shared" si="2"/>
        <v>180</v>
      </c>
      <c r="V31" s="7" t="s">
        <v>10</v>
      </c>
      <c r="W31" s="22" t="s">
        <v>254</v>
      </c>
      <c r="X31" s="7"/>
      <c r="Y31" s="7" t="s">
        <v>298</v>
      </c>
      <c r="Z31" s="9" t="s">
        <v>43</v>
      </c>
    </row>
    <row r="32" spans="1:26" ht="48" x14ac:dyDescent="0.25">
      <c r="A32" s="7" t="s">
        <v>299</v>
      </c>
      <c r="B32" s="7" t="s">
        <v>119</v>
      </c>
      <c r="C32" s="7" t="s">
        <v>49</v>
      </c>
      <c r="D32" s="7" t="s">
        <v>300</v>
      </c>
      <c r="E32" s="7" t="s">
        <v>165</v>
      </c>
      <c r="F32" s="7" t="s">
        <v>46</v>
      </c>
      <c r="G32" s="7" t="s">
        <v>301</v>
      </c>
      <c r="H32" s="11">
        <v>290</v>
      </c>
      <c r="I32" s="11"/>
      <c r="J32" s="11"/>
      <c r="K32" s="11"/>
      <c r="L32" s="11"/>
      <c r="M32" s="11"/>
      <c r="N32" s="7"/>
      <c r="O32" s="7"/>
      <c r="P32" s="11"/>
      <c r="Q32" s="7"/>
      <c r="R32" s="7"/>
      <c r="S32" s="12">
        <f t="shared" si="0"/>
        <v>290</v>
      </c>
      <c r="T32" s="7" t="str">
        <f t="shared" si="1"/>
        <v>SLDC</v>
      </c>
      <c r="U32" s="11">
        <f t="shared" si="2"/>
        <v>290</v>
      </c>
      <c r="V32" s="7" t="s">
        <v>10</v>
      </c>
      <c r="W32" s="22" t="s">
        <v>254</v>
      </c>
      <c r="X32" s="7"/>
      <c r="Y32" s="7" t="s">
        <v>302</v>
      </c>
      <c r="Z32" s="9" t="s">
        <v>49</v>
      </c>
    </row>
    <row r="33" spans="1:26" ht="48" x14ac:dyDescent="0.25">
      <c r="A33" s="7" t="s">
        <v>303</v>
      </c>
      <c r="B33" s="7" t="s">
        <v>119</v>
      </c>
      <c r="C33" s="7" t="s">
        <v>50</v>
      </c>
      <c r="D33" s="7" t="s">
        <v>304</v>
      </c>
      <c r="E33" s="7" t="s">
        <v>305</v>
      </c>
      <c r="F33" s="7" t="s">
        <v>46</v>
      </c>
      <c r="G33" s="7" t="s">
        <v>306</v>
      </c>
      <c r="H33" s="11">
        <v>190</v>
      </c>
      <c r="I33" s="11"/>
      <c r="J33" s="11"/>
      <c r="K33" s="11"/>
      <c r="L33" s="11"/>
      <c r="M33" s="11"/>
      <c r="N33" s="7"/>
      <c r="O33" s="7"/>
      <c r="P33" s="11">
        <v>350</v>
      </c>
      <c r="Q33" s="7" t="s">
        <v>159</v>
      </c>
      <c r="R33" s="7" t="s">
        <v>307</v>
      </c>
      <c r="S33" s="12">
        <f t="shared" si="0"/>
        <v>190</v>
      </c>
      <c r="T33" s="7" t="str">
        <f t="shared" si="1"/>
        <v>SLDC</v>
      </c>
      <c r="U33" s="11">
        <f t="shared" si="2"/>
        <v>190</v>
      </c>
      <c r="V33" s="7" t="s">
        <v>10</v>
      </c>
      <c r="W33" s="22" t="s">
        <v>142</v>
      </c>
      <c r="X33" s="22" t="s">
        <v>308</v>
      </c>
      <c r="Y33" s="7" t="s">
        <v>309</v>
      </c>
      <c r="Z33" s="9" t="s">
        <v>50</v>
      </c>
    </row>
    <row r="34" spans="1:26" ht="144" x14ac:dyDescent="0.25">
      <c r="A34" s="7" t="s">
        <v>310</v>
      </c>
      <c r="B34" s="7" t="s">
        <v>119</v>
      </c>
      <c r="C34" s="7" t="s">
        <v>63</v>
      </c>
      <c r="D34" s="7" t="s">
        <v>311</v>
      </c>
      <c r="E34" s="7" t="s">
        <v>312</v>
      </c>
      <c r="F34" s="7" t="s">
        <v>46</v>
      </c>
      <c r="G34" s="7" t="s">
        <v>313</v>
      </c>
      <c r="H34" s="11">
        <v>130</v>
      </c>
      <c r="I34" s="11"/>
      <c r="J34" s="11"/>
      <c r="K34" s="11"/>
      <c r="L34" s="11"/>
      <c r="M34" s="11">
        <v>103.367</v>
      </c>
      <c r="N34" s="7" t="s">
        <v>149</v>
      </c>
      <c r="O34" s="7" t="s">
        <v>150</v>
      </c>
      <c r="P34" s="11">
        <v>103.4</v>
      </c>
      <c r="Q34" s="7" t="s">
        <v>151</v>
      </c>
      <c r="R34" s="7" t="s">
        <v>314</v>
      </c>
      <c r="S34" s="12">
        <f t="shared" si="0"/>
        <v>130</v>
      </c>
      <c r="T34" s="7" t="str">
        <f t="shared" si="1"/>
        <v>SLDC</v>
      </c>
      <c r="U34" s="11">
        <f t="shared" si="2"/>
        <v>130</v>
      </c>
      <c r="V34" s="7" t="s">
        <v>10</v>
      </c>
      <c r="W34" s="22" t="s">
        <v>124</v>
      </c>
      <c r="X34" s="22" t="s">
        <v>315</v>
      </c>
      <c r="Y34" s="7" t="s">
        <v>316</v>
      </c>
      <c r="Z34" s="9" t="s">
        <v>63</v>
      </c>
    </row>
    <row r="35" spans="1:26" ht="48" x14ac:dyDescent="0.25">
      <c r="A35" s="7" t="s">
        <v>317</v>
      </c>
      <c r="B35" s="7" t="s">
        <v>119</v>
      </c>
      <c r="C35" s="7" t="s">
        <v>63</v>
      </c>
      <c r="D35" s="7" t="s">
        <v>318</v>
      </c>
      <c r="E35" s="7" t="s">
        <v>319</v>
      </c>
      <c r="F35" s="7" t="s">
        <v>46</v>
      </c>
      <c r="G35" s="7" t="s">
        <v>320</v>
      </c>
      <c r="H35" s="11">
        <v>190</v>
      </c>
      <c r="I35" s="11"/>
      <c r="J35" s="11"/>
      <c r="K35" s="11"/>
      <c r="L35" s="11"/>
      <c r="M35" s="11"/>
      <c r="N35" s="7"/>
      <c r="O35" s="7"/>
      <c r="P35" s="11"/>
      <c r="Q35" s="7" t="s">
        <v>321</v>
      </c>
      <c r="R35" s="7" t="s">
        <v>322</v>
      </c>
      <c r="S35" s="12">
        <f t="shared" si="0"/>
        <v>190</v>
      </c>
      <c r="T35" s="7" t="str">
        <f t="shared" si="1"/>
        <v>SLDC</v>
      </c>
      <c r="U35" s="11">
        <f t="shared" si="2"/>
        <v>190</v>
      </c>
      <c r="V35" s="7" t="s">
        <v>10</v>
      </c>
      <c r="W35" s="22" t="s">
        <v>254</v>
      </c>
      <c r="X35" s="22" t="s">
        <v>323</v>
      </c>
      <c r="Y35" s="7" t="s">
        <v>324</v>
      </c>
      <c r="Z35" s="9" t="s">
        <v>63</v>
      </c>
    </row>
    <row r="36" spans="1:26" ht="60" x14ac:dyDescent="0.25">
      <c r="A36" s="7" t="s">
        <v>325</v>
      </c>
      <c r="B36" s="7" t="s">
        <v>119</v>
      </c>
      <c r="C36" s="7" t="s">
        <v>64</v>
      </c>
      <c r="D36" s="7" t="s">
        <v>326</v>
      </c>
      <c r="E36" s="7" t="s">
        <v>216</v>
      </c>
      <c r="F36" s="7" t="s">
        <v>46</v>
      </c>
      <c r="G36" s="7" t="s">
        <v>327</v>
      </c>
      <c r="H36" s="11">
        <v>120</v>
      </c>
      <c r="I36" s="11"/>
      <c r="J36" s="11"/>
      <c r="K36" s="11"/>
      <c r="L36" s="11"/>
      <c r="M36" s="11">
        <v>140</v>
      </c>
      <c r="N36" s="7" t="s">
        <v>149</v>
      </c>
      <c r="O36" s="7" t="s">
        <v>150</v>
      </c>
      <c r="P36" s="11">
        <v>140</v>
      </c>
      <c r="Q36" s="7" t="s">
        <v>151</v>
      </c>
      <c r="R36" s="7" t="s">
        <v>328</v>
      </c>
      <c r="S36" s="12">
        <f t="shared" si="0"/>
        <v>120</v>
      </c>
      <c r="T36" s="7" t="str">
        <f t="shared" si="1"/>
        <v>SLDC</v>
      </c>
      <c r="U36" s="11">
        <f t="shared" si="2"/>
        <v>120</v>
      </c>
      <c r="V36" s="7" t="s">
        <v>10</v>
      </c>
      <c r="W36" s="22" t="s">
        <v>134</v>
      </c>
      <c r="X36" s="22" t="s">
        <v>153</v>
      </c>
      <c r="Y36" s="7" t="s">
        <v>329</v>
      </c>
      <c r="Z36" s="9" t="s">
        <v>64</v>
      </c>
    </row>
    <row r="37" spans="1:26" ht="48" x14ac:dyDescent="0.25">
      <c r="A37" s="7" t="s">
        <v>330</v>
      </c>
      <c r="B37" s="7" t="s">
        <v>119</v>
      </c>
      <c r="C37" s="7" t="s">
        <v>54</v>
      </c>
      <c r="D37" s="7" t="s">
        <v>331</v>
      </c>
      <c r="E37" s="7" t="s">
        <v>332</v>
      </c>
      <c r="F37" s="7" t="s">
        <v>46</v>
      </c>
      <c r="G37" s="7" t="s">
        <v>333</v>
      </c>
      <c r="H37" s="11">
        <v>40</v>
      </c>
      <c r="I37" s="11"/>
      <c r="J37" s="11"/>
      <c r="K37" s="11"/>
      <c r="L37" s="11"/>
      <c r="M37" s="11"/>
      <c r="N37" s="7"/>
      <c r="O37" s="7"/>
      <c r="P37" s="11"/>
      <c r="Q37" s="7"/>
      <c r="R37" s="7"/>
      <c r="S37" s="12">
        <f t="shared" ref="S37:S61" si="3">IF(N(H37)&gt;0,H37,IF(N(K37)+N(L37)&gt;0,N(K37)+N(L37),IF(AND(N(M37)&gt;0,OR(O37="A1",O37="A2")),M37,0)))</f>
        <v>40</v>
      </c>
      <c r="T37" s="7" t="str">
        <f t="shared" ref="T37:T68" si="4">IF(N(H37)&gt;0,"SLDC",IF(N(K37)+N(L37)&gt;0,"CTUIL",IF(S37&gt;0,"Other official",IF(N(P37)&gt;0,"Unverified","No MW"))))</f>
        <v>SLDC</v>
      </c>
      <c r="U37" s="11">
        <f t="shared" ref="U37:U61" si="5">IF(S37&gt;0,S37,N(P37))</f>
        <v>40</v>
      </c>
      <c r="V37" s="7" t="s">
        <v>10</v>
      </c>
      <c r="W37" s="22" t="s">
        <v>169</v>
      </c>
      <c r="X37" s="7"/>
      <c r="Y37" s="7" t="s">
        <v>334</v>
      </c>
      <c r="Z37" s="9" t="s">
        <v>54</v>
      </c>
    </row>
    <row r="38" spans="1:26" ht="48" x14ac:dyDescent="0.25">
      <c r="A38" s="7" t="s">
        <v>335</v>
      </c>
      <c r="B38" s="7" t="s">
        <v>119</v>
      </c>
      <c r="C38" s="7" t="s">
        <v>65</v>
      </c>
      <c r="D38" s="7" t="s">
        <v>336</v>
      </c>
      <c r="E38" s="7" t="s">
        <v>337</v>
      </c>
      <c r="F38" s="7" t="s">
        <v>46</v>
      </c>
      <c r="G38" s="7" t="s">
        <v>166</v>
      </c>
      <c r="H38" s="11">
        <v>106</v>
      </c>
      <c r="I38" s="11"/>
      <c r="J38" s="11"/>
      <c r="K38" s="11"/>
      <c r="L38" s="11"/>
      <c r="M38" s="11"/>
      <c r="N38" s="7"/>
      <c r="O38" s="7"/>
      <c r="P38" s="11"/>
      <c r="Q38" s="7"/>
      <c r="R38" s="7"/>
      <c r="S38" s="12">
        <f t="shared" si="3"/>
        <v>106</v>
      </c>
      <c r="T38" s="7" t="str">
        <f t="shared" si="4"/>
        <v>SLDC</v>
      </c>
      <c r="U38" s="11">
        <f t="shared" si="5"/>
        <v>106</v>
      </c>
      <c r="V38" s="7" t="s">
        <v>10</v>
      </c>
      <c r="W38" s="22" t="s">
        <v>124</v>
      </c>
      <c r="X38" s="7"/>
      <c r="Y38" s="7" t="s">
        <v>338</v>
      </c>
      <c r="Z38" s="9" t="s">
        <v>65</v>
      </c>
    </row>
    <row r="39" spans="1:26" ht="48" x14ac:dyDescent="0.25">
      <c r="A39" s="7" t="s">
        <v>339</v>
      </c>
      <c r="B39" s="7" t="s">
        <v>119</v>
      </c>
      <c r="C39" s="7" t="s">
        <v>66</v>
      </c>
      <c r="D39" s="7" t="s">
        <v>340</v>
      </c>
      <c r="E39" s="7" t="s">
        <v>341</v>
      </c>
      <c r="F39" s="7" t="s">
        <v>46</v>
      </c>
      <c r="G39" s="7" t="s">
        <v>342</v>
      </c>
      <c r="H39" s="11">
        <v>50</v>
      </c>
      <c r="I39" s="11"/>
      <c r="J39" s="11"/>
      <c r="K39" s="11"/>
      <c r="L39" s="11"/>
      <c r="M39" s="11"/>
      <c r="N39" s="7"/>
      <c r="O39" s="7"/>
      <c r="P39" s="11"/>
      <c r="Q39" s="7"/>
      <c r="R39" s="7"/>
      <c r="S39" s="12">
        <f t="shared" si="3"/>
        <v>50</v>
      </c>
      <c r="T39" s="7" t="str">
        <f t="shared" si="4"/>
        <v>SLDC</v>
      </c>
      <c r="U39" s="11">
        <f t="shared" si="5"/>
        <v>50</v>
      </c>
      <c r="V39" s="7" t="s">
        <v>10</v>
      </c>
      <c r="W39" s="22" t="s">
        <v>169</v>
      </c>
      <c r="X39" s="7"/>
      <c r="Y39" s="7" t="s">
        <v>343</v>
      </c>
      <c r="Z39" s="9" t="s">
        <v>66</v>
      </c>
    </row>
    <row r="40" spans="1:26" ht="48" x14ac:dyDescent="0.25">
      <c r="A40" s="7" t="s">
        <v>344</v>
      </c>
      <c r="B40" s="7" t="s">
        <v>119</v>
      </c>
      <c r="C40" s="7" t="s">
        <v>67</v>
      </c>
      <c r="D40" s="7" t="s">
        <v>345</v>
      </c>
      <c r="E40" s="7" t="s">
        <v>346</v>
      </c>
      <c r="F40" s="7" t="s">
        <v>68</v>
      </c>
      <c r="G40" s="7" t="s">
        <v>347</v>
      </c>
      <c r="H40" s="11">
        <v>52</v>
      </c>
      <c r="I40" s="11"/>
      <c r="J40" s="11"/>
      <c r="K40" s="11"/>
      <c r="L40" s="11"/>
      <c r="M40" s="11"/>
      <c r="N40" s="7"/>
      <c r="O40" s="7"/>
      <c r="P40" s="11">
        <v>52</v>
      </c>
      <c r="Q40" s="7" t="s">
        <v>159</v>
      </c>
      <c r="R40" s="7" t="s">
        <v>348</v>
      </c>
      <c r="S40" s="12">
        <f t="shared" si="3"/>
        <v>52</v>
      </c>
      <c r="T40" s="7" t="str">
        <f t="shared" si="4"/>
        <v>SLDC</v>
      </c>
      <c r="U40" s="11">
        <f t="shared" si="5"/>
        <v>52</v>
      </c>
      <c r="V40" s="7" t="s">
        <v>10</v>
      </c>
      <c r="W40" s="22" t="s">
        <v>142</v>
      </c>
      <c r="X40" s="22" t="s">
        <v>349</v>
      </c>
      <c r="Y40" s="7" t="s">
        <v>350</v>
      </c>
      <c r="Z40" s="9" t="s">
        <v>67</v>
      </c>
    </row>
    <row r="41" spans="1:26" ht="60" x14ac:dyDescent="0.25">
      <c r="A41" s="7" t="s">
        <v>351</v>
      </c>
      <c r="B41" s="7" t="s">
        <v>119</v>
      </c>
      <c r="C41" s="7" t="s">
        <v>352</v>
      </c>
      <c r="D41" s="7" t="s">
        <v>353</v>
      </c>
      <c r="E41" s="7" t="s">
        <v>354</v>
      </c>
      <c r="F41" s="7" t="s">
        <v>70</v>
      </c>
      <c r="G41" s="7" t="s">
        <v>355</v>
      </c>
      <c r="H41" s="11">
        <v>74</v>
      </c>
      <c r="I41" s="11"/>
      <c r="J41" s="11"/>
      <c r="K41" s="11"/>
      <c r="L41" s="11"/>
      <c r="M41" s="11">
        <v>75.400000000000006</v>
      </c>
      <c r="N41" s="7" t="s">
        <v>149</v>
      </c>
      <c r="O41" s="7" t="s">
        <v>150</v>
      </c>
      <c r="P41" s="11">
        <v>75.400000000000006</v>
      </c>
      <c r="Q41" s="7" t="s">
        <v>151</v>
      </c>
      <c r="R41" s="7" t="s">
        <v>356</v>
      </c>
      <c r="S41" s="12">
        <f t="shared" si="3"/>
        <v>74</v>
      </c>
      <c r="T41" s="7" t="str">
        <f t="shared" si="4"/>
        <v>SLDC</v>
      </c>
      <c r="U41" s="11">
        <f t="shared" si="5"/>
        <v>74</v>
      </c>
      <c r="V41" s="7" t="s">
        <v>10</v>
      </c>
      <c r="W41" s="22" t="s">
        <v>142</v>
      </c>
      <c r="X41" s="22" t="s">
        <v>357</v>
      </c>
      <c r="Y41" s="7" t="s">
        <v>358</v>
      </c>
      <c r="Z41" s="9" t="s">
        <v>57</v>
      </c>
    </row>
    <row r="42" spans="1:26" ht="48" x14ac:dyDescent="0.25">
      <c r="A42" s="7" t="s">
        <v>359</v>
      </c>
      <c r="B42" s="7" t="s">
        <v>119</v>
      </c>
      <c r="C42" s="7" t="s">
        <v>59</v>
      </c>
      <c r="D42" s="7" t="s">
        <v>360</v>
      </c>
      <c r="E42" s="7" t="s">
        <v>361</v>
      </c>
      <c r="F42" s="7" t="s">
        <v>85</v>
      </c>
      <c r="G42" s="7" t="s">
        <v>362</v>
      </c>
      <c r="H42" s="11">
        <v>150</v>
      </c>
      <c r="I42" s="11"/>
      <c r="J42" s="11"/>
      <c r="K42" s="11"/>
      <c r="L42" s="11"/>
      <c r="M42" s="11"/>
      <c r="N42" s="7"/>
      <c r="O42" s="7"/>
      <c r="P42" s="11">
        <v>272</v>
      </c>
      <c r="Q42" s="7" t="s">
        <v>132</v>
      </c>
      <c r="R42" s="7" t="s">
        <v>363</v>
      </c>
      <c r="S42" s="12">
        <f t="shared" si="3"/>
        <v>150</v>
      </c>
      <c r="T42" s="7" t="str">
        <f t="shared" si="4"/>
        <v>SLDC</v>
      </c>
      <c r="U42" s="11">
        <f t="shared" si="5"/>
        <v>150</v>
      </c>
      <c r="V42" s="7" t="s">
        <v>10</v>
      </c>
      <c r="W42" s="22" t="s">
        <v>134</v>
      </c>
      <c r="X42" s="22" t="s">
        <v>364</v>
      </c>
      <c r="Y42" s="7" t="s">
        <v>365</v>
      </c>
      <c r="Z42" s="9" t="s">
        <v>59</v>
      </c>
    </row>
    <row r="43" spans="1:26" ht="36" x14ac:dyDescent="0.25">
      <c r="A43" s="7" t="s">
        <v>366</v>
      </c>
      <c r="B43" s="7" t="s">
        <v>257</v>
      </c>
      <c r="C43" s="7" t="s">
        <v>61</v>
      </c>
      <c r="D43" s="7" t="s">
        <v>367</v>
      </c>
      <c r="E43" s="7" t="s">
        <v>368</v>
      </c>
      <c r="F43" s="7" t="s">
        <v>62</v>
      </c>
      <c r="G43" s="7" t="s">
        <v>369</v>
      </c>
      <c r="H43" s="11"/>
      <c r="I43" s="11"/>
      <c r="J43" s="11"/>
      <c r="K43" s="11"/>
      <c r="L43" s="11"/>
      <c r="M43" s="11">
        <v>1500</v>
      </c>
      <c r="N43" s="7" t="s">
        <v>370</v>
      </c>
      <c r="O43" s="7" t="s">
        <v>150</v>
      </c>
      <c r="P43" s="11"/>
      <c r="Q43" s="7"/>
      <c r="R43" s="7"/>
      <c r="S43" s="12">
        <f t="shared" si="3"/>
        <v>1500</v>
      </c>
      <c r="T43" s="7" t="str">
        <f t="shared" si="4"/>
        <v>Other official</v>
      </c>
      <c r="U43" s="11">
        <f t="shared" si="5"/>
        <v>1500</v>
      </c>
      <c r="V43" s="7" t="s">
        <v>12</v>
      </c>
      <c r="W43" s="22" t="s">
        <v>262</v>
      </c>
      <c r="X43" s="7"/>
      <c r="Y43" s="7" t="s">
        <v>371</v>
      </c>
      <c r="Z43" s="9" t="s">
        <v>61</v>
      </c>
    </row>
    <row r="44" spans="1:26" ht="72" x14ac:dyDescent="0.25">
      <c r="A44" s="7" t="s">
        <v>372</v>
      </c>
      <c r="B44" s="7" t="s">
        <v>274</v>
      </c>
      <c r="C44" s="7" t="s">
        <v>373</v>
      </c>
      <c r="D44" s="7" t="s">
        <v>374</v>
      </c>
      <c r="E44" s="7" t="s">
        <v>375</v>
      </c>
      <c r="F44" s="7" t="s">
        <v>68</v>
      </c>
      <c r="G44" s="7" t="s">
        <v>376</v>
      </c>
      <c r="H44" s="11"/>
      <c r="I44" s="11"/>
      <c r="J44" s="11"/>
      <c r="K44" s="11"/>
      <c r="L44" s="11">
        <v>500</v>
      </c>
      <c r="M44" s="11"/>
      <c r="N44" s="7"/>
      <c r="O44" s="7"/>
      <c r="P44" s="11">
        <v>240</v>
      </c>
      <c r="Q44" s="7" t="s">
        <v>377</v>
      </c>
      <c r="R44" s="7"/>
      <c r="S44" s="12">
        <f t="shared" si="3"/>
        <v>500</v>
      </c>
      <c r="T44" s="7" t="str">
        <f t="shared" si="4"/>
        <v>CTUIL</v>
      </c>
      <c r="U44" s="11">
        <f t="shared" si="5"/>
        <v>500</v>
      </c>
      <c r="V44" s="7" t="s">
        <v>12</v>
      </c>
      <c r="W44" s="22" t="s">
        <v>280</v>
      </c>
      <c r="X44" s="22" t="s">
        <v>378</v>
      </c>
      <c r="Y44" s="7" t="s">
        <v>379</v>
      </c>
      <c r="Z44" s="9" t="s">
        <v>57</v>
      </c>
    </row>
    <row r="45" spans="1:26" ht="24" x14ac:dyDescent="0.25">
      <c r="A45" s="7" t="s">
        <v>380</v>
      </c>
      <c r="B45" s="7" t="s">
        <v>274</v>
      </c>
      <c r="C45" s="7" t="s">
        <v>69</v>
      </c>
      <c r="D45" s="7" t="s">
        <v>381</v>
      </c>
      <c r="E45" s="7" t="s">
        <v>382</v>
      </c>
      <c r="F45" s="7" t="s">
        <v>70</v>
      </c>
      <c r="G45" s="7" t="s">
        <v>383</v>
      </c>
      <c r="H45" s="11"/>
      <c r="I45" s="11"/>
      <c r="J45" s="11"/>
      <c r="K45" s="11"/>
      <c r="L45" s="11">
        <v>100</v>
      </c>
      <c r="M45" s="11"/>
      <c r="N45" s="7"/>
      <c r="O45" s="7"/>
      <c r="P45" s="11"/>
      <c r="Q45" s="7"/>
      <c r="R45" s="7"/>
      <c r="S45" s="12">
        <f t="shared" si="3"/>
        <v>100</v>
      </c>
      <c r="T45" s="7" t="str">
        <f t="shared" si="4"/>
        <v>CTUIL</v>
      </c>
      <c r="U45" s="11">
        <f t="shared" si="5"/>
        <v>100</v>
      </c>
      <c r="V45" s="7" t="s">
        <v>12</v>
      </c>
      <c r="W45" s="22" t="s">
        <v>280</v>
      </c>
      <c r="X45" s="7"/>
      <c r="Y45" s="7" t="s">
        <v>384</v>
      </c>
      <c r="Z45" s="9" t="s">
        <v>69</v>
      </c>
    </row>
    <row r="46" spans="1:26" ht="60" x14ac:dyDescent="0.25">
      <c r="A46" s="7" t="s">
        <v>385</v>
      </c>
      <c r="B46" s="7" t="s">
        <v>386</v>
      </c>
      <c r="C46" s="7" t="s">
        <v>52</v>
      </c>
      <c r="D46" s="7" t="s">
        <v>387</v>
      </c>
      <c r="E46" s="7" t="s">
        <v>388</v>
      </c>
      <c r="F46" s="7" t="s">
        <v>72</v>
      </c>
      <c r="G46" s="7"/>
      <c r="H46" s="11"/>
      <c r="I46" s="11"/>
      <c r="J46" s="11"/>
      <c r="K46" s="11"/>
      <c r="L46" s="11"/>
      <c r="M46" s="11"/>
      <c r="N46" s="7"/>
      <c r="O46" s="7"/>
      <c r="P46" s="11"/>
      <c r="Q46" s="7"/>
      <c r="R46" s="7" t="s">
        <v>389</v>
      </c>
      <c r="S46" s="12">
        <f t="shared" si="3"/>
        <v>0</v>
      </c>
      <c r="T46" s="7" t="str">
        <f t="shared" si="4"/>
        <v>No MW</v>
      </c>
      <c r="U46" s="11">
        <f t="shared" si="5"/>
        <v>0</v>
      </c>
      <c r="V46" s="7" t="s">
        <v>14</v>
      </c>
      <c r="W46" s="22" t="s">
        <v>390</v>
      </c>
      <c r="X46" s="7"/>
      <c r="Y46" s="7" t="s">
        <v>391</v>
      </c>
      <c r="Z46" s="9" t="s">
        <v>52</v>
      </c>
    </row>
    <row r="47" spans="1:26" ht="48" x14ac:dyDescent="0.25">
      <c r="A47" s="7" t="s">
        <v>392</v>
      </c>
      <c r="B47" s="7" t="s">
        <v>393</v>
      </c>
      <c r="C47" s="7" t="s">
        <v>71</v>
      </c>
      <c r="D47" s="7" t="s">
        <v>394</v>
      </c>
      <c r="E47" s="7" t="s">
        <v>395</v>
      </c>
      <c r="F47" s="7" t="s">
        <v>72</v>
      </c>
      <c r="G47" s="7"/>
      <c r="H47" s="11"/>
      <c r="I47" s="11"/>
      <c r="J47" s="11"/>
      <c r="K47" s="11"/>
      <c r="L47" s="11"/>
      <c r="M47" s="11">
        <v>113.9</v>
      </c>
      <c r="N47" s="7" t="s">
        <v>396</v>
      </c>
      <c r="O47" s="7" t="s">
        <v>150</v>
      </c>
      <c r="P47" s="11"/>
      <c r="Q47" s="7"/>
      <c r="R47" s="7" t="s">
        <v>397</v>
      </c>
      <c r="S47" s="12">
        <f t="shared" si="3"/>
        <v>113.9</v>
      </c>
      <c r="T47" s="7" t="str">
        <f t="shared" si="4"/>
        <v>Other official</v>
      </c>
      <c r="U47" s="11">
        <f t="shared" si="5"/>
        <v>113.9</v>
      </c>
      <c r="V47" s="7" t="s">
        <v>14</v>
      </c>
      <c r="W47" s="22" t="s">
        <v>398</v>
      </c>
      <c r="X47" s="22" t="s">
        <v>398</v>
      </c>
      <c r="Y47" s="7" t="s">
        <v>399</v>
      </c>
      <c r="Z47" s="9" t="s">
        <v>71</v>
      </c>
    </row>
    <row r="48" spans="1:26" ht="48" x14ac:dyDescent="0.25">
      <c r="A48" s="7" t="s">
        <v>400</v>
      </c>
      <c r="B48" s="7" t="s">
        <v>386</v>
      </c>
      <c r="C48" s="7" t="s">
        <v>401</v>
      </c>
      <c r="D48" s="7" t="s">
        <v>402</v>
      </c>
      <c r="E48" s="7" t="s">
        <v>403</v>
      </c>
      <c r="F48" s="7" t="s">
        <v>46</v>
      </c>
      <c r="G48" s="7"/>
      <c r="H48" s="11"/>
      <c r="I48" s="11"/>
      <c r="J48" s="11"/>
      <c r="K48" s="11"/>
      <c r="L48" s="11"/>
      <c r="M48" s="11"/>
      <c r="N48" s="7"/>
      <c r="O48" s="7"/>
      <c r="P48" s="11"/>
      <c r="Q48" s="7"/>
      <c r="R48" s="7" t="s">
        <v>404</v>
      </c>
      <c r="S48" s="12">
        <f t="shared" si="3"/>
        <v>0</v>
      </c>
      <c r="T48" s="7" t="str">
        <f t="shared" si="4"/>
        <v>No MW</v>
      </c>
      <c r="U48" s="11">
        <f t="shared" si="5"/>
        <v>0</v>
      </c>
      <c r="V48" s="7" t="s">
        <v>14</v>
      </c>
      <c r="W48" s="22" t="s">
        <v>405</v>
      </c>
      <c r="X48" s="7"/>
      <c r="Y48" s="7" t="s">
        <v>406</v>
      </c>
      <c r="Z48" s="9" t="s">
        <v>52</v>
      </c>
    </row>
    <row r="49" spans="1:26" ht="60" x14ac:dyDescent="0.25">
      <c r="A49" s="7" t="s">
        <v>407</v>
      </c>
      <c r="B49" s="7" t="s">
        <v>386</v>
      </c>
      <c r="C49" s="7" t="s">
        <v>73</v>
      </c>
      <c r="D49" s="7" t="s">
        <v>408</v>
      </c>
      <c r="E49" s="7" t="s">
        <v>409</v>
      </c>
      <c r="F49" s="7" t="s">
        <v>46</v>
      </c>
      <c r="G49" s="7"/>
      <c r="H49" s="11"/>
      <c r="I49" s="11"/>
      <c r="J49" s="11"/>
      <c r="K49" s="11"/>
      <c r="L49" s="11"/>
      <c r="M49" s="11"/>
      <c r="N49" s="7"/>
      <c r="O49" s="7"/>
      <c r="P49" s="11"/>
      <c r="Q49" s="7"/>
      <c r="R49" s="7" t="s">
        <v>410</v>
      </c>
      <c r="S49" s="12">
        <f t="shared" si="3"/>
        <v>0</v>
      </c>
      <c r="T49" s="7" t="str">
        <f t="shared" si="4"/>
        <v>No MW</v>
      </c>
      <c r="U49" s="11">
        <f t="shared" si="5"/>
        <v>0</v>
      </c>
      <c r="V49" s="7" t="s">
        <v>14</v>
      </c>
      <c r="W49" s="22" t="s">
        <v>411</v>
      </c>
      <c r="X49" s="7"/>
      <c r="Y49" s="7" t="s">
        <v>412</v>
      </c>
      <c r="Z49" s="9" t="s">
        <v>73</v>
      </c>
    </row>
    <row r="50" spans="1:26" ht="48" x14ac:dyDescent="0.25">
      <c r="A50" s="7" t="s">
        <v>413</v>
      </c>
      <c r="B50" s="7" t="s">
        <v>386</v>
      </c>
      <c r="C50" s="7" t="s">
        <v>74</v>
      </c>
      <c r="D50" s="7" t="s">
        <v>414</v>
      </c>
      <c r="E50" s="7" t="s">
        <v>415</v>
      </c>
      <c r="F50" s="7" t="s">
        <v>68</v>
      </c>
      <c r="G50" s="7"/>
      <c r="H50" s="11"/>
      <c r="I50" s="11"/>
      <c r="J50" s="11"/>
      <c r="K50" s="11"/>
      <c r="L50" s="11"/>
      <c r="M50" s="11"/>
      <c r="N50" s="7"/>
      <c r="O50" s="7"/>
      <c r="P50" s="11"/>
      <c r="Q50" s="7"/>
      <c r="R50" s="7" t="s">
        <v>416</v>
      </c>
      <c r="S50" s="12">
        <f t="shared" si="3"/>
        <v>0</v>
      </c>
      <c r="T50" s="7" t="str">
        <f t="shared" si="4"/>
        <v>No MW</v>
      </c>
      <c r="U50" s="11">
        <f t="shared" si="5"/>
        <v>0</v>
      </c>
      <c r="V50" s="7" t="s">
        <v>14</v>
      </c>
      <c r="W50" s="22" t="s">
        <v>417</v>
      </c>
      <c r="X50" s="7"/>
      <c r="Y50" s="7" t="s">
        <v>418</v>
      </c>
      <c r="Z50" s="9" t="s">
        <v>74</v>
      </c>
    </row>
    <row r="51" spans="1:26" ht="60" x14ac:dyDescent="0.25">
      <c r="A51" s="7" t="s">
        <v>419</v>
      </c>
      <c r="B51" s="7" t="s">
        <v>386</v>
      </c>
      <c r="C51" s="7" t="s">
        <v>67</v>
      </c>
      <c r="D51" s="7" t="s">
        <v>420</v>
      </c>
      <c r="E51" s="7" t="s">
        <v>421</v>
      </c>
      <c r="F51" s="7" t="s">
        <v>68</v>
      </c>
      <c r="G51" s="7"/>
      <c r="H51" s="11"/>
      <c r="I51" s="11"/>
      <c r="J51" s="11"/>
      <c r="K51" s="11"/>
      <c r="L51" s="11"/>
      <c r="M51" s="11"/>
      <c r="N51" s="7"/>
      <c r="O51" s="7"/>
      <c r="P51" s="11"/>
      <c r="Q51" s="7"/>
      <c r="R51" s="7" t="s">
        <v>422</v>
      </c>
      <c r="S51" s="12">
        <f t="shared" si="3"/>
        <v>0</v>
      </c>
      <c r="T51" s="7" t="str">
        <f t="shared" si="4"/>
        <v>No MW</v>
      </c>
      <c r="U51" s="11">
        <f t="shared" si="5"/>
        <v>0</v>
      </c>
      <c r="V51" s="7" t="s">
        <v>14</v>
      </c>
      <c r="W51" s="22" t="s">
        <v>423</v>
      </c>
      <c r="X51" s="7"/>
      <c r="Y51" s="7" t="s">
        <v>424</v>
      </c>
      <c r="Z51" s="9" t="s">
        <v>67</v>
      </c>
    </row>
    <row r="52" spans="1:26" ht="36" x14ac:dyDescent="0.25">
      <c r="A52" s="7" t="s">
        <v>425</v>
      </c>
      <c r="B52" s="7" t="s">
        <v>393</v>
      </c>
      <c r="C52" s="7" t="s">
        <v>75</v>
      </c>
      <c r="D52" s="7" t="s">
        <v>426</v>
      </c>
      <c r="E52" s="7" t="s">
        <v>427</v>
      </c>
      <c r="F52" s="7" t="s">
        <v>76</v>
      </c>
      <c r="G52" s="7"/>
      <c r="H52" s="11"/>
      <c r="I52" s="11"/>
      <c r="J52" s="11"/>
      <c r="K52" s="11"/>
      <c r="L52" s="11"/>
      <c r="M52" s="11">
        <v>200</v>
      </c>
      <c r="N52" s="7" t="s">
        <v>428</v>
      </c>
      <c r="O52" s="7" t="s">
        <v>150</v>
      </c>
      <c r="P52" s="11"/>
      <c r="Q52" s="7"/>
      <c r="R52" s="7"/>
      <c r="S52" s="12">
        <f t="shared" si="3"/>
        <v>200</v>
      </c>
      <c r="T52" s="7" t="str">
        <f t="shared" si="4"/>
        <v>Other official</v>
      </c>
      <c r="U52" s="11">
        <f t="shared" si="5"/>
        <v>200</v>
      </c>
      <c r="V52" s="7" t="s">
        <v>16</v>
      </c>
      <c r="W52" s="22" t="s">
        <v>429</v>
      </c>
      <c r="X52" s="7"/>
      <c r="Y52" s="7" t="s">
        <v>430</v>
      </c>
      <c r="Z52" s="9" t="s">
        <v>75</v>
      </c>
    </row>
    <row r="53" spans="1:26" ht="72" x14ac:dyDescent="0.25">
      <c r="A53" s="7" t="s">
        <v>431</v>
      </c>
      <c r="B53" s="7" t="s">
        <v>393</v>
      </c>
      <c r="C53" s="7" t="s">
        <v>77</v>
      </c>
      <c r="D53" s="7" t="s">
        <v>432</v>
      </c>
      <c r="E53" s="7" t="s">
        <v>433</v>
      </c>
      <c r="F53" s="7" t="s">
        <v>76</v>
      </c>
      <c r="G53" s="7"/>
      <c r="H53" s="11"/>
      <c r="I53" s="11"/>
      <c r="J53" s="11"/>
      <c r="K53" s="11"/>
      <c r="L53" s="11"/>
      <c r="M53" s="11">
        <v>500</v>
      </c>
      <c r="N53" s="7" t="s">
        <v>434</v>
      </c>
      <c r="O53" s="7" t="s">
        <v>435</v>
      </c>
      <c r="P53" s="11"/>
      <c r="Q53" s="7"/>
      <c r="R53" s="7"/>
      <c r="S53" s="12">
        <f t="shared" si="3"/>
        <v>500</v>
      </c>
      <c r="T53" s="7" t="str">
        <f t="shared" si="4"/>
        <v>Other official</v>
      </c>
      <c r="U53" s="11">
        <f t="shared" si="5"/>
        <v>500</v>
      </c>
      <c r="V53" s="7" t="s">
        <v>16</v>
      </c>
      <c r="W53" s="22" t="s">
        <v>436</v>
      </c>
      <c r="X53" s="7"/>
      <c r="Y53" s="7" t="s">
        <v>437</v>
      </c>
      <c r="Z53" s="9" t="s">
        <v>77</v>
      </c>
    </row>
    <row r="54" spans="1:26" ht="72" x14ac:dyDescent="0.25">
      <c r="A54" s="7" t="s">
        <v>438</v>
      </c>
      <c r="B54" s="7" t="s">
        <v>393</v>
      </c>
      <c r="C54" s="7" t="s">
        <v>43</v>
      </c>
      <c r="D54" s="7" t="s">
        <v>439</v>
      </c>
      <c r="E54" s="7" t="s">
        <v>440</v>
      </c>
      <c r="F54" s="7" t="s">
        <v>68</v>
      </c>
      <c r="G54" s="7"/>
      <c r="H54" s="11"/>
      <c r="I54" s="11"/>
      <c r="J54" s="11"/>
      <c r="K54" s="11"/>
      <c r="L54" s="11"/>
      <c r="M54" s="11">
        <v>3000</v>
      </c>
      <c r="N54" s="7" t="s">
        <v>441</v>
      </c>
      <c r="O54" s="7" t="s">
        <v>435</v>
      </c>
      <c r="P54" s="11"/>
      <c r="Q54" s="7"/>
      <c r="R54" s="7"/>
      <c r="S54" s="12">
        <f t="shared" si="3"/>
        <v>3000</v>
      </c>
      <c r="T54" s="7" t="str">
        <f t="shared" si="4"/>
        <v>Other official</v>
      </c>
      <c r="U54" s="11">
        <f t="shared" si="5"/>
        <v>3000</v>
      </c>
      <c r="V54" s="7" t="s">
        <v>16</v>
      </c>
      <c r="W54" s="22" t="s">
        <v>442</v>
      </c>
      <c r="X54" s="7"/>
      <c r="Y54" s="7" t="s">
        <v>443</v>
      </c>
      <c r="Z54" s="9" t="s">
        <v>43</v>
      </c>
    </row>
    <row r="55" spans="1:26" ht="72" x14ac:dyDescent="0.25">
      <c r="A55" s="7" t="s">
        <v>444</v>
      </c>
      <c r="B55" s="7" t="s">
        <v>393</v>
      </c>
      <c r="C55" s="7" t="s">
        <v>78</v>
      </c>
      <c r="D55" s="7" t="s">
        <v>445</v>
      </c>
      <c r="E55" s="7" t="s">
        <v>446</v>
      </c>
      <c r="F55" s="7" t="s">
        <v>68</v>
      </c>
      <c r="G55" s="7"/>
      <c r="H55" s="11"/>
      <c r="I55" s="11"/>
      <c r="J55" s="11"/>
      <c r="K55" s="11"/>
      <c r="L55" s="11"/>
      <c r="M55" s="11">
        <v>750</v>
      </c>
      <c r="N55" s="7" t="s">
        <v>447</v>
      </c>
      <c r="O55" s="7" t="s">
        <v>435</v>
      </c>
      <c r="P55" s="11"/>
      <c r="Q55" s="7"/>
      <c r="R55" s="7"/>
      <c r="S55" s="12">
        <f t="shared" si="3"/>
        <v>750</v>
      </c>
      <c r="T55" s="7" t="str">
        <f t="shared" si="4"/>
        <v>Other official</v>
      </c>
      <c r="U55" s="11">
        <f t="shared" si="5"/>
        <v>750</v>
      </c>
      <c r="V55" s="7" t="s">
        <v>16</v>
      </c>
      <c r="W55" s="22" t="s">
        <v>448</v>
      </c>
      <c r="X55" s="7"/>
      <c r="Y55" s="7" t="s">
        <v>449</v>
      </c>
      <c r="Z55" s="9" t="s">
        <v>78</v>
      </c>
    </row>
    <row r="56" spans="1:26" ht="48" x14ac:dyDescent="0.25">
      <c r="A56" s="7" t="s">
        <v>450</v>
      </c>
      <c r="B56" s="7" t="s">
        <v>393</v>
      </c>
      <c r="C56" s="7" t="s">
        <v>79</v>
      </c>
      <c r="D56" s="7" t="s">
        <v>451</v>
      </c>
      <c r="E56" s="7" t="s">
        <v>452</v>
      </c>
      <c r="F56" s="7" t="s">
        <v>46</v>
      </c>
      <c r="G56" s="7"/>
      <c r="H56" s="11"/>
      <c r="I56" s="11"/>
      <c r="J56" s="11"/>
      <c r="K56" s="11"/>
      <c r="L56" s="11"/>
      <c r="M56" s="11"/>
      <c r="N56" s="7"/>
      <c r="O56" s="7"/>
      <c r="P56" s="11">
        <v>5.5</v>
      </c>
      <c r="Q56" s="7" t="s">
        <v>453</v>
      </c>
      <c r="R56" s="7"/>
      <c r="S56" s="12">
        <f t="shared" si="3"/>
        <v>0</v>
      </c>
      <c r="T56" s="7" t="str">
        <f t="shared" si="4"/>
        <v>Unverified</v>
      </c>
      <c r="U56" s="11">
        <f t="shared" si="5"/>
        <v>5.5</v>
      </c>
      <c r="V56" s="7" t="s">
        <v>18</v>
      </c>
      <c r="W56" s="22" t="s">
        <v>454</v>
      </c>
      <c r="X56" s="7"/>
      <c r="Y56" s="7" t="s">
        <v>455</v>
      </c>
      <c r="Z56" s="9" t="s">
        <v>79</v>
      </c>
    </row>
    <row r="57" spans="1:26" ht="48" x14ac:dyDescent="0.25">
      <c r="A57" s="7" t="s">
        <v>456</v>
      </c>
      <c r="B57" s="7" t="s">
        <v>393</v>
      </c>
      <c r="C57" s="7" t="s">
        <v>80</v>
      </c>
      <c r="D57" s="7" t="s">
        <v>80</v>
      </c>
      <c r="E57" s="7" t="s">
        <v>457</v>
      </c>
      <c r="F57" s="7" t="s">
        <v>46</v>
      </c>
      <c r="G57" s="7"/>
      <c r="H57" s="11"/>
      <c r="I57" s="11"/>
      <c r="J57" s="11"/>
      <c r="K57" s="11"/>
      <c r="L57" s="11"/>
      <c r="M57" s="11"/>
      <c r="N57" s="7"/>
      <c r="O57" s="7"/>
      <c r="P57" s="11">
        <v>60</v>
      </c>
      <c r="Q57" s="7" t="s">
        <v>458</v>
      </c>
      <c r="R57" s="7"/>
      <c r="S57" s="12">
        <f t="shared" si="3"/>
        <v>0</v>
      </c>
      <c r="T57" s="7" t="str">
        <f t="shared" si="4"/>
        <v>Unverified</v>
      </c>
      <c r="U57" s="11">
        <f t="shared" si="5"/>
        <v>60</v>
      </c>
      <c r="V57" s="7" t="s">
        <v>18</v>
      </c>
      <c r="W57" s="22" t="s">
        <v>459</v>
      </c>
      <c r="X57" s="7"/>
      <c r="Y57" s="7"/>
      <c r="Z57" s="9" t="s">
        <v>80</v>
      </c>
    </row>
    <row r="58" spans="1:26" ht="72" x14ac:dyDescent="0.25">
      <c r="A58" s="7" t="s">
        <v>460</v>
      </c>
      <c r="B58" s="7" t="s">
        <v>393</v>
      </c>
      <c r="C58" s="7" t="s">
        <v>461</v>
      </c>
      <c r="D58" s="7" t="s">
        <v>462</v>
      </c>
      <c r="E58" s="7" t="s">
        <v>463</v>
      </c>
      <c r="F58" s="7" t="s">
        <v>46</v>
      </c>
      <c r="G58" s="7"/>
      <c r="H58" s="11"/>
      <c r="I58" s="11"/>
      <c r="J58" s="11"/>
      <c r="K58" s="11"/>
      <c r="L58" s="11"/>
      <c r="M58" s="11"/>
      <c r="N58" s="7"/>
      <c r="O58" s="7"/>
      <c r="P58" s="11">
        <v>100</v>
      </c>
      <c r="Q58" s="7" t="s">
        <v>464</v>
      </c>
      <c r="R58" s="7" t="s">
        <v>465</v>
      </c>
      <c r="S58" s="12">
        <f t="shared" si="3"/>
        <v>0</v>
      </c>
      <c r="T58" s="7" t="str">
        <f t="shared" si="4"/>
        <v>Unverified</v>
      </c>
      <c r="U58" s="11">
        <f t="shared" si="5"/>
        <v>100</v>
      </c>
      <c r="V58" s="7" t="s">
        <v>18</v>
      </c>
      <c r="W58" s="22" t="s">
        <v>466</v>
      </c>
      <c r="X58" s="22" t="s">
        <v>467</v>
      </c>
      <c r="Y58" s="7" t="s">
        <v>468</v>
      </c>
      <c r="Z58" s="9" t="s">
        <v>74</v>
      </c>
    </row>
    <row r="59" spans="1:26" ht="60" x14ac:dyDescent="0.25">
      <c r="A59" s="7" t="s">
        <v>469</v>
      </c>
      <c r="B59" s="7" t="s">
        <v>393</v>
      </c>
      <c r="C59" s="7" t="s">
        <v>81</v>
      </c>
      <c r="D59" s="7" t="s">
        <v>470</v>
      </c>
      <c r="E59" s="7" t="s">
        <v>471</v>
      </c>
      <c r="F59" s="7" t="s">
        <v>46</v>
      </c>
      <c r="G59" s="7"/>
      <c r="H59" s="11"/>
      <c r="I59" s="11"/>
      <c r="J59" s="11"/>
      <c r="K59" s="11"/>
      <c r="L59" s="11"/>
      <c r="M59" s="11"/>
      <c r="N59" s="7"/>
      <c r="O59" s="7"/>
      <c r="P59" s="11">
        <v>270</v>
      </c>
      <c r="Q59" s="7" t="s">
        <v>472</v>
      </c>
      <c r="R59" s="7" t="s">
        <v>473</v>
      </c>
      <c r="S59" s="12">
        <f t="shared" si="3"/>
        <v>0</v>
      </c>
      <c r="T59" s="7" t="str">
        <f t="shared" si="4"/>
        <v>Unverified</v>
      </c>
      <c r="U59" s="11">
        <f t="shared" si="5"/>
        <v>270</v>
      </c>
      <c r="V59" s="7" t="s">
        <v>18</v>
      </c>
      <c r="W59" s="22" t="s">
        <v>474</v>
      </c>
      <c r="X59" s="22" t="s">
        <v>475</v>
      </c>
      <c r="Y59" s="7" t="s">
        <v>476</v>
      </c>
      <c r="Z59" s="9" t="s">
        <v>81</v>
      </c>
    </row>
    <row r="60" spans="1:26" ht="36" x14ac:dyDescent="0.25">
      <c r="A60" s="7" t="s">
        <v>477</v>
      </c>
      <c r="B60" s="7" t="s">
        <v>393</v>
      </c>
      <c r="C60" s="7" t="s">
        <v>82</v>
      </c>
      <c r="D60" s="7" t="s">
        <v>478</v>
      </c>
      <c r="E60" s="7" t="s">
        <v>479</v>
      </c>
      <c r="F60" s="7" t="s">
        <v>46</v>
      </c>
      <c r="G60" s="7"/>
      <c r="H60" s="11"/>
      <c r="I60" s="11"/>
      <c r="J60" s="11"/>
      <c r="K60" s="11"/>
      <c r="L60" s="11"/>
      <c r="M60" s="11"/>
      <c r="N60" s="7"/>
      <c r="O60" s="7"/>
      <c r="P60" s="11">
        <v>240</v>
      </c>
      <c r="Q60" s="7" t="s">
        <v>480</v>
      </c>
      <c r="R60" s="7"/>
      <c r="S60" s="12">
        <f t="shared" si="3"/>
        <v>0</v>
      </c>
      <c r="T60" s="7" t="str">
        <f t="shared" si="4"/>
        <v>Unverified</v>
      </c>
      <c r="U60" s="11">
        <f t="shared" si="5"/>
        <v>240</v>
      </c>
      <c r="V60" s="7" t="s">
        <v>18</v>
      </c>
      <c r="W60" s="22" t="s">
        <v>481</v>
      </c>
      <c r="X60" s="7"/>
      <c r="Y60" s="7" t="s">
        <v>482</v>
      </c>
      <c r="Z60" s="9" t="s">
        <v>82</v>
      </c>
    </row>
    <row r="61" spans="1:26" ht="60" x14ac:dyDescent="0.25">
      <c r="A61" s="7" t="s">
        <v>483</v>
      </c>
      <c r="B61" s="7" t="s">
        <v>393</v>
      </c>
      <c r="C61" s="7" t="s">
        <v>83</v>
      </c>
      <c r="D61" s="7" t="s">
        <v>484</v>
      </c>
      <c r="E61" s="7" t="s">
        <v>485</v>
      </c>
      <c r="F61" s="7" t="s">
        <v>70</v>
      </c>
      <c r="G61" s="7"/>
      <c r="H61" s="11"/>
      <c r="I61" s="11"/>
      <c r="J61" s="11"/>
      <c r="K61" s="11"/>
      <c r="L61" s="11"/>
      <c r="M61" s="11"/>
      <c r="N61" s="7"/>
      <c r="O61" s="7"/>
      <c r="P61" s="11">
        <v>60</v>
      </c>
      <c r="Q61" s="7" t="s">
        <v>486</v>
      </c>
      <c r="R61" s="7"/>
      <c r="S61" s="12">
        <f t="shared" si="3"/>
        <v>0</v>
      </c>
      <c r="T61" s="7" t="str">
        <f t="shared" si="4"/>
        <v>Unverified</v>
      </c>
      <c r="U61" s="11">
        <f t="shared" si="5"/>
        <v>60</v>
      </c>
      <c r="V61" s="7" t="s">
        <v>18</v>
      </c>
      <c r="W61" s="22" t="s">
        <v>487</v>
      </c>
      <c r="X61" s="7"/>
      <c r="Y61" s="7" t="s">
        <v>488</v>
      </c>
      <c r="Z61" s="9" t="s">
        <v>83</v>
      </c>
    </row>
    <row r="62" spans="1:26" x14ac:dyDescent="0.25">
      <c r="D62" s="8" t="s">
        <v>489</v>
      </c>
      <c r="H62" s="23">
        <f t="shared" ref="H62:M62" si="6">SUM(H5:H61)</f>
        <v>6000</v>
      </c>
      <c r="I62" s="23">
        <f t="shared" si="6"/>
        <v>685</v>
      </c>
      <c r="J62" s="23">
        <f t="shared" si="6"/>
        <v>204.52</v>
      </c>
      <c r="K62" s="23">
        <f t="shared" si="6"/>
        <v>1468</v>
      </c>
      <c r="L62" s="23">
        <f t="shared" si="6"/>
        <v>600</v>
      </c>
      <c r="M62" s="23">
        <f t="shared" si="6"/>
        <v>7119.6669999999995</v>
      </c>
      <c r="P62" s="23">
        <f>SUM(P5:P61)</f>
        <v>3600.3</v>
      </c>
      <c r="S62" s="23">
        <f>SUM(S5:S61)</f>
        <v>14656.9</v>
      </c>
      <c r="U62" s="23">
        <f>SUM(U5:U61)</f>
        <v>15392.4</v>
      </c>
    </row>
  </sheetData>
  <autoFilter ref="A4:Y61" xr:uid="{00000000-0009-0000-0000-000001000000}"/>
  <mergeCells count="1">
    <mergeCell ref="A2:Y2"/>
  </mergeCells>
  <hyperlinks>
    <hyperlink ref="W5" r:id="rId1" location="page=23" xr:uid="{00000000-0004-0000-0100-000000000000}"/>
    <hyperlink ref="X5" r:id="rId2" xr:uid="{00000000-0004-0000-0100-000001000000}"/>
    <hyperlink ref="W6" r:id="rId3" location="page=24" xr:uid="{00000000-0004-0000-0100-000002000000}"/>
    <hyperlink ref="X6" r:id="rId4" xr:uid="{00000000-0004-0000-0100-000003000000}"/>
    <hyperlink ref="W7" r:id="rId5" location="page=26" xr:uid="{00000000-0004-0000-0100-000004000000}"/>
    <hyperlink ref="X7" r:id="rId6" xr:uid="{00000000-0004-0000-0100-000005000000}"/>
    <hyperlink ref="W8" r:id="rId7" location="page=24" xr:uid="{00000000-0004-0000-0100-000006000000}"/>
    <hyperlink ref="X8" r:id="rId8" xr:uid="{00000000-0004-0000-0100-000007000000}"/>
    <hyperlink ref="W9" r:id="rId9" location="page=24" xr:uid="{00000000-0004-0000-0100-000008000000}"/>
    <hyperlink ref="X9" r:id="rId10" xr:uid="{00000000-0004-0000-0100-000009000000}"/>
    <hyperlink ref="W10" r:id="rId11" location="page=22" xr:uid="{00000000-0004-0000-0100-00000A000000}"/>
    <hyperlink ref="X10" r:id="rId12" xr:uid="{00000000-0004-0000-0100-00000B000000}"/>
    <hyperlink ref="W11" r:id="rId13" location="page=26" xr:uid="{00000000-0004-0000-0100-00000C000000}"/>
    <hyperlink ref="X11" r:id="rId14" xr:uid="{00000000-0004-0000-0100-00000D000000}"/>
    <hyperlink ref="W12" r:id="rId15" location="page=22" xr:uid="{00000000-0004-0000-0100-00000E000000}"/>
    <hyperlink ref="X12" r:id="rId16" xr:uid="{00000000-0004-0000-0100-00000F000000}"/>
    <hyperlink ref="W13" r:id="rId17" location="page=22" xr:uid="{00000000-0004-0000-0100-000010000000}"/>
    <hyperlink ref="X13" r:id="rId18" xr:uid="{00000000-0004-0000-0100-000011000000}"/>
    <hyperlink ref="W14" r:id="rId19" location="page=23" xr:uid="{00000000-0004-0000-0100-000012000000}"/>
    <hyperlink ref="W15" r:id="rId20" location="page=23" xr:uid="{00000000-0004-0000-0100-000013000000}"/>
    <hyperlink ref="X15" r:id="rId21" xr:uid="{00000000-0004-0000-0100-000014000000}"/>
    <hyperlink ref="W16" r:id="rId22" location="page=24" xr:uid="{00000000-0004-0000-0100-000015000000}"/>
    <hyperlink ref="W17" r:id="rId23" location="page=24" xr:uid="{00000000-0004-0000-0100-000016000000}"/>
    <hyperlink ref="X17" r:id="rId24" xr:uid="{00000000-0004-0000-0100-000017000000}"/>
    <hyperlink ref="W18" r:id="rId25" location="page=23" xr:uid="{00000000-0004-0000-0100-000018000000}"/>
    <hyperlink ref="X18" r:id="rId26" xr:uid="{00000000-0004-0000-0100-000019000000}"/>
    <hyperlink ref="W19" r:id="rId27" location="page=26" xr:uid="{00000000-0004-0000-0100-00001A000000}"/>
    <hyperlink ref="W20" r:id="rId28" location="page=26" xr:uid="{00000000-0004-0000-0100-00001B000000}"/>
    <hyperlink ref="X20" r:id="rId29" xr:uid="{00000000-0004-0000-0100-00001C000000}"/>
    <hyperlink ref="W21" r:id="rId30" location="page=27" xr:uid="{00000000-0004-0000-0100-00001D000000}"/>
    <hyperlink ref="W22" r:id="rId31" location="page=27" xr:uid="{00000000-0004-0000-0100-00001E000000}"/>
    <hyperlink ref="X22" r:id="rId32" xr:uid="{00000000-0004-0000-0100-00001F000000}"/>
    <hyperlink ref="W23" r:id="rId33" location="page=27" xr:uid="{00000000-0004-0000-0100-000020000000}"/>
    <hyperlink ref="W24" r:id="rId34" location="page=25" xr:uid="{00000000-0004-0000-0100-000021000000}"/>
    <hyperlink ref="W25" r:id="rId35" xr:uid="{00000000-0004-0000-0100-000022000000}"/>
    <hyperlink ref="W26" r:id="rId36" location="page=25" xr:uid="{00000000-0004-0000-0100-000023000000}"/>
    <hyperlink ref="W27" r:id="rId37" location="page=24" xr:uid="{00000000-0004-0000-0100-000024000000}"/>
    <hyperlink ref="X27" r:id="rId38" xr:uid="{00000000-0004-0000-0100-000025000000}"/>
    <hyperlink ref="W28" r:id="rId39" xr:uid="{00000000-0004-0000-0100-000026000000}"/>
    <hyperlink ref="X28" r:id="rId40" xr:uid="{00000000-0004-0000-0100-000027000000}"/>
    <hyperlink ref="W29" r:id="rId41" location="page=23" xr:uid="{00000000-0004-0000-0100-000028000000}"/>
    <hyperlink ref="W30" r:id="rId42" location="page=25" xr:uid="{00000000-0004-0000-0100-000029000000}"/>
    <hyperlink ref="X30" r:id="rId43" xr:uid="{00000000-0004-0000-0100-00002A000000}"/>
    <hyperlink ref="W31" r:id="rId44" location="page=25" xr:uid="{00000000-0004-0000-0100-00002B000000}"/>
    <hyperlink ref="W32" r:id="rId45" location="page=25" xr:uid="{00000000-0004-0000-0100-00002C000000}"/>
    <hyperlink ref="W33" r:id="rId46" location="page=26" xr:uid="{00000000-0004-0000-0100-00002D000000}"/>
    <hyperlink ref="X33" r:id="rId47" xr:uid="{00000000-0004-0000-0100-00002E000000}"/>
    <hyperlink ref="W34" r:id="rId48" location="page=23" xr:uid="{00000000-0004-0000-0100-00002F000000}"/>
    <hyperlink ref="X34" r:id="rId49" xr:uid="{00000000-0004-0000-0100-000030000000}"/>
    <hyperlink ref="W35" r:id="rId50" location="page=25" xr:uid="{00000000-0004-0000-0100-000031000000}"/>
    <hyperlink ref="X35" r:id="rId51" xr:uid="{00000000-0004-0000-0100-000032000000}"/>
    <hyperlink ref="W36" r:id="rId52" location="page=24" xr:uid="{00000000-0004-0000-0100-000033000000}"/>
    <hyperlink ref="X36" r:id="rId53" xr:uid="{00000000-0004-0000-0100-000034000000}"/>
    <hyperlink ref="W37" r:id="rId54" location="page=22" xr:uid="{00000000-0004-0000-0100-000035000000}"/>
    <hyperlink ref="W38" r:id="rId55" location="page=23" xr:uid="{00000000-0004-0000-0100-000036000000}"/>
    <hyperlink ref="W39" r:id="rId56" location="page=22" xr:uid="{00000000-0004-0000-0100-000037000000}"/>
    <hyperlink ref="W40" r:id="rId57" location="page=26" xr:uid="{00000000-0004-0000-0100-000038000000}"/>
    <hyperlink ref="X40" r:id="rId58" xr:uid="{00000000-0004-0000-0100-000039000000}"/>
    <hyperlink ref="W41" r:id="rId59" location="page=26" xr:uid="{00000000-0004-0000-0100-00003A000000}"/>
    <hyperlink ref="X41" r:id="rId60" xr:uid="{00000000-0004-0000-0100-00003B000000}"/>
    <hyperlink ref="W42" r:id="rId61" location="page=24" xr:uid="{00000000-0004-0000-0100-00003C000000}"/>
    <hyperlink ref="X42" r:id="rId62" xr:uid="{00000000-0004-0000-0100-00003D000000}"/>
    <hyperlink ref="W43" r:id="rId63" xr:uid="{00000000-0004-0000-0100-00003E000000}"/>
    <hyperlink ref="W44" r:id="rId64" xr:uid="{00000000-0004-0000-0100-00003F000000}"/>
    <hyperlink ref="X44" r:id="rId65" xr:uid="{00000000-0004-0000-0100-000040000000}"/>
    <hyperlink ref="W45" r:id="rId66" xr:uid="{00000000-0004-0000-0100-000041000000}"/>
    <hyperlink ref="W46" r:id="rId67" xr:uid="{00000000-0004-0000-0100-000042000000}"/>
    <hyperlink ref="W47" r:id="rId68" xr:uid="{00000000-0004-0000-0100-000043000000}"/>
    <hyperlink ref="X47" r:id="rId69" xr:uid="{00000000-0004-0000-0100-000044000000}"/>
    <hyperlink ref="W48" r:id="rId70" xr:uid="{00000000-0004-0000-0100-000045000000}"/>
    <hyperlink ref="W49" r:id="rId71" xr:uid="{00000000-0004-0000-0100-000046000000}"/>
    <hyperlink ref="W50" r:id="rId72" xr:uid="{00000000-0004-0000-0100-000047000000}"/>
    <hyperlink ref="W51" r:id="rId73" xr:uid="{00000000-0004-0000-0100-000048000000}"/>
    <hyperlink ref="W52" r:id="rId74" xr:uid="{00000000-0004-0000-0100-000049000000}"/>
    <hyperlink ref="W53" r:id="rId75" xr:uid="{00000000-0004-0000-0100-00004A000000}"/>
    <hyperlink ref="W54" r:id="rId76" xr:uid="{00000000-0004-0000-0100-00004B000000}"/>
    <hyperlink ref="W55" r:id="rId77" xr:uid="{00000000-0004-0000-0100-00004C000000}"/>
    <hyperlink ref="W56" r:id="rId78" xr:uid="{00000000-0004-0000-0100-00004D000000}"/>
    <hyperlink ref="W57" r:id="rId79" xr:uid="{00000000-0004-0000-0100-00004E000000}"/>
    <hyperlink ref="W58" r:id="rId80" xr:uid="{00000000-0004-0000-0100-00004F000000}"/>
    <hyperlink ref="X58" r:id="rId81" xr:uid="{00000000-0004-0000-0100-000050000000}"/>
    <hyperlink ref="W59" r:id="rId82" xr:uid="{00000000-0004-0000-0100-000051000000}"/>
    <hyperlink ref="X59" r:id="rId83" xr:uid="{00000000-0004-0000-0100-000052000000}"/>
    <hyperlink ref="W60" r:id="rId84" xr:uid="{00000000-0004-0000-0100-000053000000}"/>
    <hyperlink ref="W61" r:id="rId85" xr:uid="{00000000-0004-0000-0100-000054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3"/>
  <sheetViews>
    <sheetView workbookViewId="0"/>
  </sheetViews>
  <sheetFormatPr defaultRowHeight="15" x14ac:dyDescent="0.25"/>
  <cols>
    <col min="1" max="1" width="46" customWidth="1"/>
    <col min="2" max="3" width="14" customWidth="1"/>
    <col min="4" max="4" width="60" customWidth="1"/>
  </cols>
  <sheetData>
    <row r="1" spans="1:4" ht="16.5" x14ac:dyDescent="0.25">
      <c r="A1" s="1" t="s">
        <v>490</v>
      </c>
    </row>
    <row r="2" spans="1:4" x14ac:dyDescent="0.25">
      <c r="A2" s="2" t="s">
        <v>491</v>
      </c>
    </row>
    <row r="4" spans="1:4" x14ac:dyDescent="0.25">
      <c r="A4" s="3" t="s">
        <v>492</v>
      </c>
      <c r="B4" s="3" t="s">
        <v>22</v>
      </c>
      <c r="C4" s="3" t="s">
        <v>493</v>
      </c>
      <c r="D4" s="3" t="s">
        <v>494</v>
      </c>
    </row>
    <row r="5" spans="1:4" ht="24" x14ac:dyDescent="0.25">
      <c r="A5" s="4" t="s">
        <v>495</v>
      </c>
      <c r="B5" s="5">
        <v>36</v>
      </c>
      <c r="C5" s="6"/>
      <c r="D5" s="7" t="s">
        <v>496</v>
      </c>
    </row>
    <row r="6" spans="1:4" x14ac:dyDescent="0.25">
      <c r="A6" s="4" t="s">
        <v>497</v>
      </c>
      <c r="B6" s="5">
        <f>SLDC_Projects!G43</f>
        <v>6000</v>
      </c>
      <c r="C6" s="6"/>
      <c r="D6" s="7" t="s">
        <v>498</v>
      </c>
    </row>
    <row r="7" spans="1:4" x14ac:dyDescent="0.25">
      <c r="A7" s="4" t="s">
        <v>499</v>
      </c>
      <c r="B7" s="5">
        <f>SLDC_Projects!H43</f>
        <v>685</v>
      </c>
      <c r="C7" s="6">
        <f>B7/B6</f>
        <v>0.11416666666666667</v>
      </c>
      <c r="D7" s="7" t="s">
        <v>500</v>
      </c>
    </row>
    <row r="8" spans="1:4" ht="24" x14ac:dyDescent="0.25">
      <c r="A8" s="4" t="s">
        <v>501</v>
      </c>
      <c r="B8" s="5">
        <v>204.52</v>
      </c>
      <c r="C8" s="6">
        <f>B8/615</f>
        <v>0.33255284552845532</v>
      </c>
      <c r="D8" s="7" t="s">
        <v>502</v>
      </c>
    </row>
    <row r="9" spans="1:4" x14ac:dyDescent="0.25">
      <c r="A9" s="4" t="s">
        <v>503</v>
      </c>
      <c r="B9" s="5">
        <v>274.45999999999998</v>
      </c>
      <c r="C9" s="6">
        <f>B9/615</f>
        <v>0.44627642276422763</v>
      </c>
      <c r="D9" s="7" t="s">
        <v>504</v>
      </c>
    </row>
    <row r="10" spans="1:4" x14ac:dyDescent="0.25">
      <c r="A10" s="4" t="s">
        <v>505</v>
      </c>
      <c r="B10" s="5">
        <f>SUM(SLDC_Projects!R43:'SLDC_Projects'!U43)</f>
        <v>3130</v>
      </c>
      <c r="C10" s="6">
        <f>B10/B6</f>
        <v>0.52166666666666661</v>
      </c>
      <c r="D10" s="7" t="s">
        <v>506</v>
      </c>
    </row>
    <row r="11" spans="1:4" x14ac:dyDescent="0.25">
      <c r="A11" s="4" t="s">
        <v>507</v>
      </c>
      <c r="B11" s="5">
        <f>SUM(SLDC_Projects!V43:'SLDC_Projects'!AC43)</f>
        <v>1776</v>
      </c>
      <c r="C11" s="6">
        <f>B11/B6</f>
        <v>0.29599999999999999</v>
      </c>
      <c r="D11" s="7" t="s">
        <v>508</v>
      </c>
    </row>
    <row r="13" spans="1:4" ht="38.25" x14ac:dyDescent="0.25">
      <c r="A13" s="3" t="s">
        <v>509</v>
      </c>
      <c r="B13" s="3" t="s">
        <v>3</v>
      </c>
      <c r="C13" s="3" t="s">
        <v>510</v>
      </c>
      <c r="D13" s="3" t="s">
        <v>511</v>
      </c>
    </row>
    <row r="14" spans="1:4" ht="39.950000000000003" customHeight="1" x14ac:dyDescent="0.25">
      <c r="A14" s="4" t="s">
        <v>512</v>
      </c>
      <c r="B14" s="7">
        <f>COUNTIFS(SLDC_Projects!$K$5:$K$40,"NEW")</f>
        <v>11</v>
      </c>
      <c r="C14" s="5">
        <f>SUMIFS(SLDC_Projects!$G$5:$G$40,SLDC_Projects!$K$5:$K$40,"NEW")</f>
        <v>1804</v>
      </c>
      <c r="D14" s="7" t="s">
        <v>513</v>
      </c>
    </row>
    <row r="15" spans="1:4" ht="39.950000000000003" customHeight="1" x14ac:dyDescent="0.25">
      <c r="A15" s="4" t="s">
        <v>514</v>
      </c>
      <c r="B15" s="7">
        <f>COUNTIFS(SLDC_Projects!$K$5:$K$40,"*bigger*")</f>
        <v>5</v>
      </c>
      <c r="C15" s="5">
        <f>SUMIFS(SLDC_Projects!$G$5:$G$40,SLDC_Projects!$K$5:$K$40,"*bigger*")</f>
        <v>890</v>
      </c>
      <c r="D15" s="7" t="s">
        <v>515</v>
      </c>
    </row>
    <row r="16" spans="1:4" ht="39.950000000000003" customHeight="1" x14ac:dyDescent="0.25">
      <c r="A16" s="4" t="s">
        <v>516</v>
      </c>
      <c r="B16" s="7">
        <f>COUNTIFS(SLDC_Projects!$K$5:$K$40,"*adds*")</f>
        <v>3</v>
      </c>
      <c r="C16" s="5">
        <f>SUMIFS(SLDC_Projects!$G$5:$G$40,SLDC_Projects!$K$5:$K$40,"*adds*")</f>
        <v>635</v>
      </c>
      <c r="D16" s="7" t="s">
        <v>517</v>
      </c>
    </row>
    <row r="17" spans="1:4" ht="39.950000000000003" customHeight="1" x14ac:dyDescent="0.25">
      <c r="A17" s="4" t="s">
        <v>518</v>
      </c>
      <c r="B17" s="7">
        <f>COUNTIFS(SLDC_Projects!$K$5:$K$40,"*smaller*")</f>
        <v>4</v>
      </c>
      <c r="C17" s="5">
        <f>SUMIFS(SLDC_Projects!$G$5:$G$40,SLDC_Projects!$K$5:$K$40,"*smaller*")</f>
        <v>375</v>
      </c>
      <c r="D17" s="7" t="s">
        <v>519</v>
      </c>
    </row>
    <row r="18" spans="1:4" ht="39.950000000000003" customHeight="1" x14ac:dyDescent="0.25">
      <c r="A18" s="4" t="s">
        <v>520</v>
      </c>
      <c r="B18" s="7">
        <f>COUNTIFS(SLDC_Projects!$K$5:$K$40,"CORRECTS*")</f>
        <v>1</v>
      </c>
      <c r="C18" s="5">
        <f>SUMIFS(SLDC_Projects!$G$5:$G$40,SLDC_Projects!$K$5:$K$40,"CORRECTS*")</f>
        <v>150</v>
      </c>
      <c r="D18" s="7" t="s">
        <v>521</v>
      </c>
    </row>
    <row r="19" spans="1:4" ht="39.950000000000003" customHeight="1" x14ac:dyDescent="0.25">
      <c r="A19" s="4" t="s">
        <v>522</v>
      </c>
      <c r="B19" s="7">
        <f>COUNTIFS(SLDC_Projects!$K$5:$K$40,"Matched")</f>
        <v>12</v>
      </c>
      <c r="C19" s="5">
        <f>SUMIFS(SLDC_Projects!$G$5:$G$40,SLDC_Projects!$K$5:$K$40,"Matched")</f>
        <v>2146</v>
      </c>
      <c r="D19" s="7" t="s">
        <v>523</v>
      </c>
    </row>
    <row r="21" spans="1:4" x14ac:dyDescent="0.25">
      <c r="A21" s="26" t="s">
        <v>524</v>
      </c>
      <c r="B21" s="25"/>
      <c r="C21" s="25"/>
      <c r="D21" s="25"/>
    </row>
    <row r="22" spans="1:4" ht="30" customHeight="1" x14ac:dyDescent="0.25">
      <c r="A22" s="24" t="s">
        <v>525</v>
      </c>
      <c r="B22" s="25"/>
      <c r="C22" s="25"/>
      <c r="D22" s="25"/>
    </row>
    <row r="23" spans="1:4" ht="30" customHeight="1" x14ac:dyDescent="0.25">
      <c r="A23" s="24" t="s">
        <v>526</v>
      </c>
      <c r="B23" s="25"/>
      <c r="C23" s="25"/>
      <c r="D23" s="25"/>
    </row>
    <row r="24" spans="1:4" ht="30" customHeight="1" x14ac:dyDescent="0.25">
      <c r="A24" s="24" t="s">
        <v>527</v>
      </c>
      <c r="B24" s="25"/>
      <c r="C24" s="25"/>
      <c r="D24" s="25"/>
    </row>
    <row r="25" spans="1:4" ht="30" customHeight="1" x14ac:dyDescent="0.25">
      <c r="A25" s="24" t="s">
        <v>528</v>
      </c>
      <c r="B25" s="25"/>
      <c r="C25" s="25"/>
      <c r="D25" s="25"/>
    </row>
    <row r="26" spans="1:4" ht="30" customHeight="1" x14ac:dyDescent="0.25">
      <c r="A26" s="24" t="s">
        <v>529</v>
      </c>
      <c r="B26" s="25"/>
      <c r="C26" s="25"/>
      <c r="D26" s="25"/>
    </row>
    <row r="27" spans="1:4" ht="30" customHeight="1" x14ac:dyDescent="0.25">
      <c r="A27" s="24" t="s">
        <v>530</v>
      </c>
      <c r="B27" s="25"/>
      <c r="C27" s="25"/>
      <c r="D27" s="25"/>
    </row>
    <row r="29" spans="1:4" x14ac:dyDescent="0.25">
      <c r="A29" s="8" t="s">
        <v>531</v>
      </c>
    </row>
    <row r="30" spans="1:4" x14ac:dyDescent="0.25">
      <c r="A30" s="9" t="s">
        <v>532</v>
      </c>
      <c r="B30" s="10">
        <f>SLDC_Projects!P43</f>
        <v>1004</v>
      </c>
    </row>
    <row r="31" spans="1:4" x14ac:dyDescent="0.25">
      <c r="A31" s="9" t="s">
        <v>533</v>
      </c>
      <c r="B31" s="10">
        <f>SLDC_Projects!Q43</f>
        <v>65</v>
      </c>
    </row>
    <row r="32" spans="1:4" x14ac:dyDescent="0.25">
      <c r="A32" s="9" t="s">
        <v>534</v>
      </c>
      <c r="B32" s="10">
        <f>SLDC_Projects!R43</f>
        <v>705</v>
      </c>
    </row>
    <row r="33" spans="1:2" x14ac:dyDescent="0.25">
      <c r="A33" s="9" t="s">
        <v>535</v>
      </c>
      <c r="B33" s="10">
        <f>SLDC_Projects!S43</f>
        <v>779</v>
      </c>
    </row>
    <row r="34" spans="1:2" x14ac:dyDescent="0.25">
      <c r="A34" s="9" t="s">
        <v>536</v>
      </c>
      <c r="B34" s="10">
        <f>SLDC_Projects!T43</f>
        <v>758.5</v>
      </c>
    </row>
    <row r="35" spans="1:2" x14ac:dyDescent="0.25">
      <c r="A35" s="9" t="s">
        <v>537</v>
      </c>
      <c r="B35" s="10">
        <f>SLDC_Projects!U43</f>
        <v>887.5</v>
      </c>
    </row>
    <row r="36" spans="1:2" x14ac:dyDescent="0.25">
      <c r="A36" s="9" t="s">
        <v>538</v>
      </c>
      <c r="B36" s="10">
        <f>SLDC_Projects!V43</f>
        <v>429</v>
      </c>
    </row>
    <row r="37" spans="1:2" x14ac:dyDescent="0.25">
      <c r="A37" s="9" t="s">
        <v>539</v>
      </c>
      <c r="B37" s="10">
        <f>SLDC_Projects!W43</f>
        <v>558</v>
      </c>
    </row>
    <row r="38" spans="1:2" x14ac:dyDescent="0.25">
      <c r="A38" s="9" t="s">
        <v>540</v>
      </c>
      <c r="B38" s="10">
        <f>SLDC_Projects!X43</f>
        <v>304</v>
      </c>
    </row>
    <row r="39" spans="1:2" x14ac:dyDescent="0.25">
      <c r="A39" s="9" t="s">
        <v>541</v>
      </c>
      <c r="B39" s="10">
        <f>SLDC_Projects!Y43</f>
        <v>176</v>
      </c>
    </row>
    <row r="40" spans="1:2" x14ac:dyDescent="0.25">
      <c r="A40" s="9" t="s">
        <v>542</v>
      </c>
      <c r="B40" s="10">
        <f>SLDC_Projects!Z43</f>
        <v>84</v>
      </c>
    </row>
    <row r="41" spans="1:2" x14ac:dyDescent="0.25">
      <c r="A41" s="9" t="s">
        <v>543</v>
      </c>
      <c r="B41" s="10">
        <f>SLDC_Projects!AA43</f>
        <v>125</v>
      </c>
    </row>
    <row r="42" spans="1:2" x14ac:dyDescent="0.25">
      <c r="A42" s="9" t="s">
        <v>544</v>
      </c>
      <c r="B42" s="10">
        <f>SLDC_Projects!AB43</f>
        <v>50</v>
      </c>
    </row>
    <row r="43" spans="1:2" x14ac:dyDescent="0.25">
      <c r="A43" s="9" t="s">
        <v>545</v>
      </c>
      <c r="B43" s="10">
        <f>SLDC_Projects!AC43</f>
        <v>50</v>
      </c>
    </row>
  </sheetData>
  <mergeCells count="7">
    <mergeCell ref="A23:D23"/>
    <mergeCell ref="A27:D27"/>
    <mergeCell ref="A22:D22"/>
    <mergeCell ref="A26:D26"/>
    <mergeCell ref="A21:D21"/>
    <mergeCell ref="A25:D25"/>
    <mergeCell ref="A24:D24"/>
  </mergeCells>
  <hyperlinks>
    <hyperlink ref="A2" r:id="rId1" xr:uid="{00000000-0004-0000-0200-000000000000}"/>
  </hyperlinks>
  <pageMargins left="0.75" right="0.75" top="1" bottom="1" header="0.5" footer="0.5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workbookViewId="0"/>
  </sheetViews>
  <sheetFormatPr defaultRowHeight="15" x14ac:dyDescent="0.25"/>
  <cols>
    <col min="1" max="1" width="46" customWidth="1"/>
    <col min="2" max="4" width="12" customWidth="1"/>
    <col min="5" max="5" width="9" customWidth="1"/>
  </cols>
  <sheetData>
    <row r="1" spans="1:5" ht="16.5" x14ac:dyDescent="0.25">
      <c r="A1" s="1" t="s">
        <v>546</v>
      </c>
    </row>
    <row r="3" spans="1:5" ht="25.5" x14ac:dyDescent="0.25">
      <c r="A3" s="3" t="s">
        <v>547</v>
      </c>
      <c r="B3" s="3" t="s">
        <v>548</v>
      </c>
      <c r="C3" s="3" t="s">
        <v>549</v>
      </c>
      <c r="D3" s="3" t="s">
        <v>550</v>
      </c>
      <c r="E3" s="3" t="s">
        <v>3</v>
      </c>
    </row>
    <row r="4" spans="1:5" x14ac:dyDescent="0.25">
      <c r="A4" s="7" t="s">
        <v>551</v>
      </c>
      <c r="B4" s="11">
        <f>SUMIFS(SLDC_Projects!$G$5:$G$40,SLDC_Projects!$AE$5:$AE$40,A4)</f>
        <v>900</v>
      </c>
      <c r="C4" s="11">
        <f>SUMIFS(SLDC_Projects!$H$5:$H$40,SLDC_Projects!$AE$5:$AE$40,A4)</f>
        <v>35</v>
      </c>
      <c r="D4" s="11">
        <f>SUMIFS(SLDC_Projects!$I$5:$I$40,SLDC_Projects!$AE$5:$AE$40,A4)</f>
        <v>5</v>
      </c>
      <c r="E4" s="7">
        <f>COUNTIFS(SLDC_Projects!$AE$5:$AE$40,A4)</f>
        <v>4</v>
      </c>
    </row>
    <row r="5" spans="1:5" x14ac:dyDescent="0.25">
      <c r="A5" s="7" t="s">
        <v>59</v>
      </c>
      <c r="B5" s="11">
        <f>SUMIFS(SLDC_Projects!$G$5:$G$40,SLDC_Projects!$AE$5:$AE$40,A5)</f>
        <v>850</v>
      </c>
      <c r="C5" s="11">
        <f>SUMIFS(SLDC_Projects!$H$5:$H$40,SLDC_Projects!$AE$5:$AE$40,A5)</f>
        <v>0</v>
      </c>
      <c r="D5" s="11">
        <f>SUMIFS(SLDC_Projects!$I$5:$I$40,SLDC_Projects!$AE$5:$AE$40,A5)</f>
        <v>0</v>
      </c>
      <c r="E5" s="7">
        <f>COUNTIFS(SLDC_Projects!$AE$5:$AE$40,A5)</f>
        <v>3</v>
      </c>
    </row>
    <row r="6" spans="1:5" x14ac:dyDescent="0.25">
      <c r="A6" s="7" t="s">
        <v>54</v>
      </c>
      <c r="B6" s="11">
        <f>SUMIFS(SLDC_Projects!$G$5:$G$40,SLDC_Projects!$AE$5:$AE$40,A6)</f>
        <v>770</v>
      </c>
      <c r="C6" s="11">
        <f>SUMIFS(SLDC_Projects!$H$5:$H$40,SLDC_Projects!$AE$5:$AE$40,A6)</f>
        <v>97</v>
      </c>
      <c r="D6" s="11">
        <f>SUMIFS(SLDC_Projects!$I$5:$I$40,SLDC_Projects!$AE$5:$AE$40,A6)</f>
        <v>46.63</v>
      </c>
      <c r="E6" s="7">
        <f>COUNTIFS(SLDC_Projects!$AE$5:$AE$40,A6)</f>
        <v>4</v>
      </c>
    </row>
    <row r="7" spans="1:5" x14ac:dyDescent="0.25">
      <c r="A7" s="7" t="s">
        <v>52</v>
      </c>
      <c r="B7" s="11">
        <f>SUMIFS(SLDC_Projects!$G$5:$G$40,SLDC_Projects!$AE$5:$AE$40,A7)</f>
        <v>665</v>
      </c>
      <c r="C7" s="11">
        <f>SUMIFS(SLDC_Projects!$H$5:$H$40,SLDC_Projects!$AE$5:$AE$40,A7)</f>
        <v>90</v>
      </c>
      <c r="D7" s="11">
        <f>SUMIFS(SLDC_Projects!$I$5:$I$40,SLDC_Projects!$AE$5:$AE$40,A7)</f>
        <v>42.19</v>
      </c>
      <c r="E7" s="7">
        <f>COUNTIFS(SLDC_Projects!$AE$5:$AE$40,A7)</f>
        <v>3</v>
      </c>
    </row>
    <row r="8" spans="1:5" x14ac:dyDescent="0.25">
      <c r="A8" s="7" t="s">
        <v>49</v>
      </c>
      <c r="B8" s="11">
        <f>SUMIFS(SLDC_Projects!$G$5:$G$40,SLDC_Projects!$AE$5:$AE$40,A8)</f>
        <v>585</v>
      </c>
      <c r="C8" s="11">
        <f>SUMIFS(SLDC_Projects!$H$5:$H$40,SLDC_Projects!$AE$5:$AE$40,A8)</f>
        <v>70</v>
      </c>
      <c r="D8" s="11">
        <f>SUMIFS(SLDC_Projects!$I$5:$I$40,SLDC_Projects!$AE$5:$AE$40,A8)</f>
        <v>43</v>
      </c>
      <c r="E8" s="7">
        <f>COUNTIFS(SLDC_Projects!$AE$5:$AE$40,A8)</f>
        <v>2</v>
      </c>
    </row>
    <row r="9" spans="1:5" x14ac:dyDescent="0.25">
      <c r="A9" s="7" t="s">
        <v>51</v>
      </c>
      <c r="B9" s="11">
        <f>SUMIFS(SLDC_Projects!$G$5:$G$40,SLDC_Projects!$AE$5:$AE$40,A9)</f>
        <v>535</v>
      </c>
      <c r="C9" s="11">
        <f>SUMIFS(SLDC_Projects!$H$5:$H$40,SLDC_Projects!$AE$5:$AE$40,A9)</f>
        <v>71</v>
      </c>
      <c r="D9" s="11">
        <f>SUMIFS(SLDC_Projects!$I$5:$I$40,SLDC_Projects!$AE$5:$AE$40,A9)</f>
        <v>7.42</v>
      </c>
      <c r="E9" s="7">
        <f>COUNTIFS(SLDC_Projects!$AE$5:$AE$40,A9)</f>
        <v>2</v>
      </c>
    </row>
    <row r="10" spans="1:5" x14ac:dyDescent="0.25">
      <c r="A10" s="7" t="s">
        <v>63</v>
      </c>
      <c r="B10" s="11">
        <f>SUMIFS(SLDC_Projects!$G$5:$G$40,SLDC_Projects!$AE$5:$AE$40,A10)</f>
        <v>320</v>
      </c>
      <c r="C10" s="11">
        <f>SUMIFS(SLDC_Projects!$H$5:$H$40,SLDC_Projects!$AE$5:$AE$40,A10)</f>
        <v>0</v>
      </c>
      <c r="D10" s="11">
        <f>SUMIFS(SLDC_Projects!$I$5:$I$40,SLDC_Projects!$AE$5:$AE$40,A10)</f>
        <v>0</v>
      </c>
      <c r="E10" s="7">
        <f>COUNTIFS(SLDC_Projects!$AE$5:$AE$40,A10)</f>
        <v>2</v>
      </c>
    </row>
    <row r="11" spans="1:5" x14ac:dyDescent="0.25">
      <c r="A11" s="7" t="s">
        <v>552</v>
      </c>
      <c r="B11" s="11">
        <f>SUMIFS(SLDC_Projects!$G$5:$G$40,SLDC_Projects!$AE$5:$AE$40,A11)</f>
        <v>229</v>
      </c>
      <c r="C11" s="11">
        <f>SUMIFS(SLDC_Projects!$H$5:$H$40,SLDC_Projects!$AE$5:$AE$40,A11)</f>
        <v>16</v>
      </c>
      <c r="D11" s="11">
        <f>SUMIFS(SLDC_Projects!$I$5:$I$40,SLDC_Projects!$AE$5:$AE$40,A11)</f>
        <v>0</v>
      </c>
      <c r="E11" s="7">
        <f>COUNTIFS(SLDC_Projects!$AE$5:$AE$40,A11)</f>
        <v>2</v>
      </c>
    </row>
    <row r="12" spans="1:5" x14ac:dyDescent="0.25">
      <c r="A12" s="7" t="s">
        <v>50</v>
      </c>
      <c r="B12" s="11">
        <f>SUMIFS(SLDC_Projects!$G$5:$G$40,SLDC_Projects!$AE$5:$AE$40,A12)</f>
        <v>225</v>
      </c>
      <c r="C12" s="11">
        <f>SUMIFS(SLDC_Projects!$H$5:$H$40,SLDC_Projects!$AE$5:$AE$40,A12)</f>
        <v>25</v>
      </c>
      <c r="D12" s="11">
        <f>SUMIFS(SLDC_Projects!$I$5:$I$40,SLDC_Projects!$AE$5:$AE$40,A12)</f>
        <v>0.97</v>
      </c>
      <c r="E12" s="7">
        <f>COUNTIFS(SLDC_Projects!$AE$5:$AE$40,A12)</f>
        <v>2</v>
      </c>
    </row>
    <row r="13" spans="1:5" x14ac:dyDescent="0.25">
      <c r="A13" s="7" t="s">
        <v>41</v>
      </c>
      <c r="B13" s="11">
        <f>SUMIFS(SLDC_Projects!$G$5:$G$40,SLDC_Projects!$AE$5:$AE$40,A13)</f>
        <v>221</v>
      </c>
      <c r="C13" s="11">
        <f>SUMIFS(SLDC_Projects!$H$5:$H$40,SLDC_Projects!$AE$5:$AE$40,A13)</f>
        <v>121</v>
      </c>
      <c r="D13" s="11">
        <f>SUMIFS(SLDC_Projects!$I$5:$I$40,SLDC_Projects!$AE$5:$AE$40,A13)</f>
        <v>24.18</v>
      </c>
      <c r="E13" s="7">
        <f>COUNTIFS(SLDC_Projects!$AE$5:$AE$40,A13)</f>
        <v>3</v>
      </c>
    </row>
    <row r="14" spans="1:5" x14ac:dyDescent="0.25">
      <c r="A14" s="7" t="s">
        <v>56</v>
      </c>
      <c r="B14" s="11">
        <f>SUMIFS(SLDC_Projects!$G$5:$G$40,SLDC_Projects!$AE$5:$AE$40,A14)</f>
        <v>160</v>
      </c>
      <c r="C14" s="11">
        <f>SUMIFS(SLDC_Projects!$H$5:$H$40,SLDC_Projects!$AE$5:$AE$40,A14)</f>
        <v>100</v>
      </c>
      <c r="D14" s="11">
        <f>SUMIFS(SLDC_Projects!$I$5:$I$40,SLDC_Projects!$AE$5:$AE$40,A14)</f>
        <v>14</v>
      </c>
      <c r="E14" s="7">
        <f>COUNTIFS(SLDC_Projects!$AE$5:$AE$40,A14)</f>
        <v>2</v>
      </c>
    </row>
    <row r="15" spans="1:5" x14ac:dyDescent="0.25">
      <c r="A15" s="7" t="s">
        <v>64</v>
      </c>
      <c r="B15" s="11">
        <f>SUMIFS(SLDC_Projects!$G$5:$G$40,SLDC_Projects!$AE$5:$AE$40,A15)</f>
        <v>120</v>
      </c>
      <c r="C15" s="11">
        <f>SUMIFS(SLDC_Projects!$H$5:$H$40,SLDC_Projects!$AE$5:$AE$40,A15)</f>
        <v>0</v>
      </c>
      <c r="D15" s="11">
        <f>SUMIFS(SLDC_Projects!$I$5:$I$40,SLDC_Projects!$AE$5:$AE$40,A15)</f>
        <v>0</v>
      </c>
      <c r="E15" s="7">
        <f>COUNTIFS(SLDC_Projects!$AE$5:$AE$40,A15)</f>
        <v>1</v>
      </c>
    </row>
    <row r="16" spans="1:5" x14ac:dyDescent="0.25">
      <c r="A16" s="7" t="s">
        <v>47</v>
      </c>
      <c r="B16" s="11">
        <f>SUMIFS(SLDC_Projects!$G$5:$G$40,SLDC_Projects!$AE$5:$AE$40,A16)</f>
        <v>120</v>
      </c>
      <c r="C16" s="11">
        <f>SUMIFS(SLDC_Projects!$H$5:$H$40,SLDC_Projects!$AE$5:$AE$40,A16)</f>
        <v>18</v>
      </c>
      <c r="D16" s="11">
        <f>SUMIFS(SLDC_Projects!$I$5:$I$40,SLDC_Projects!$AE$5:$AE$40,A16)</f>
        <v>9</v>
      </c>
      <c r="E16" s="7">
        <f>COUNTIFS(SLDC_Projects!$AE$5:$AE$40,A16)</f>
        <v>1</v>
      </c>
    </row>
    <row r="17" spans="1:5" x14ac:dyDescent="0.25">
      <c r="A17" s="7" t="s">
        <v>65</v>
      </c>
      <c r="B17" s="11">
        <f>SUMIFS(SLDC_Projects!$G$5:$G$40,SLDC_Projects!$AE$5:$AE$40,A17)</f>
        <v>106</v>
      </c>
      <c r="C17" s="11">
        <f>SUMIFS(SLDC_Projects!$H$5:$H$40,SLDC_Projects!$AE$5:$AE$40,A17)</f>
        <v>0</v>
      </c>
      <c r="D17" s="11">
        <f>SUMIFS(SLDC_Projects!$I$5:$I$40,SLDC_Projects!$AE$5:$AE$40,A17)</f>
        <v>0</v>
      </c>
      <c r="E17" s="7">
        <f>COUNTIFS(SLDC_Projects!$AE$5:$AE$40,A17)</f>
        <v>1</v>
      </c>
    </row>
    <row r="18" spans="1:5" x14ac:dyDescent="0.25">
      <c r="A18" s="7" t="s">
        <v>48</v>
      </c>
      <c r="B18" s="11">
        <f>SUMIFS(SLDC_Projects!$G$5:$G$40,SLDC_Projects!$AE$5:$AE$40,A18)</f>
        <v>60</v>
      </c>
      <c r="C18" s="11">
        <f>SUMIFS(SLDC_Projects!$H$5:$H$40,SLDC_Projects!$AE$5:$AE$40,A18)</f>
        <v>10</v>
      </c>
      <c r="D18" s="11">
        <f>SUMIFS(SLDC_Projects!$I$5:$I$40,SLDC_Projects!$AE$5:$AE$40,A18)</f>
        <v>1.2</v>
      </c>
      <c r="E18" s="7">
        <f>COUNTIFS(SLDC_Projects!$AE$5:$AE$40,A18)</f>
        <v>1</v>
      </c>
    </row>
    <row r="19" spans="1:5" x14ac:dyDescent="0.25">
      <c r="A19" s="7" t="s">
        <v>67</v>
      </c>
      <c r="B19" s="11">
        <f>SUMIFS(SLDC_Projects!$G$5:$G$40,SLDC_Projects!$AE$5:$AE$40,A19)</f>
        <v>52</v>
      </c>
      <c r="C19" s="11">
        <f>SUMIFS(SLDC_Projects!$H$5:$H$40,SLDC_Projects!$AE$5:$AE$40,A19)</f>
        <v>0</v>
      </c>
      <c r="D19" s="11">
        <f>SUMIFS(SLDC_Projects!$I$5:$I$40,SLDC_Projects!$AE$5:$AE$40,A19)</f>
        <v>0</v>
      </c>
      <c r="E19" s="7">
        <f>COUNTIFS(SLDC_Projects!$AE$5:$AE$40,A19)</f>
        <v>1</v>
      </c>
    </row>
    <row r="20" spans="1:5" x14ac:dyDescent="0.25">
      <c r="A20" s="7" t="s">
        <v>66</v>
      </c>
      <c r="B20" s="11">
        <f>SUMIFS(SLDC_Projects!$G$5:$G$40,SLDC_Projects!$AE$5:$AE$40,A20)</f>
        <v>50</v>
      </c>
      <c r="C20" s="11">
        <f>SUMIFS(SLDC_Projects!$H$5:$H$40,SLDC_Projects!$AE$5:$AE$40,A20)</f>
        <v>0</v>
      </c>
      <c r="D20" s="11">
        <f>SUMIFS(SLDC_Projects!$I$5:$I$40,SLDC_Projects!$AE$5:$AE$40,A20)</f>
        <v>0</v>
      </c>
      <c r="E20" s="7">
        <f>COUNTIFS(SLDC_Projects!$AE$5:$AE$40,A20)</f>
        <v>1</v>
      </c>
    </row>
    <row r="21" spans="1:5" x14ac:dyDescent="0.25">
      <c r="A21" s="7" t="s">
        <v>553</v>
      </c>
      <c r="B21" s="11">
        <f>SUMIFS(SLDC_Projects!$G$5:$G$40,SLDC_Projects!$AE$5:$AE$40,A21)</f>
        <v>32</v>
      </c>
      <c r="C21" s="11">
        <f>SUMIFS(SLDC_Projects!$H$5:$H$40,SLDC_Projects!$AE$5:$AE$40,A21)</f>
        <v>32</v>
      </c>
      <c r="D21" s="11">
        <f>SUMIFS(SLDC_Projects!$I$5:$I$40,SLDC_Projects!$AE$5:$AE$40,A21)</f>
        <v>10.93</v>
      </c>
      <c r="E21" s="7">
        <f>COUNTIFS(SLDC_Projects!$AE$5:$AE$40,A21)</f>
        <v>1</v>
      </c>
    </row>
    <row r="22" spans="1:5" x14ac:dyDescent="0.25">
      <c r="A22" s="4" t="s">
        <v>20</v>
      </c>
      <c r="B22" s="12">
        <f>SUM(B4:B21)</f>
        <v>6000</v>
      </c>
      <c r="C22" s="12">
        <f>SUM(C4:C21)</f>
        <v>685</v>
      </c>
      <c r="D22" s="12">
        <f>SUM(D4:D21)</f>
        <v>204.51999999999998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4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4" customWidth="1"/>
    <col min="3" max="3" width="28" customWidth="1"/>
    <col min="4" max="4" width="24" customWidth="1"/>
    <col min="5" max="5" width="22" customWidth="1"/>
    <col min="6" max="6" width="30" customWidth="1"/>
    <col min="7" max="7" width="10" customWidth="1"/>
    <col min="8" max="10" width="9" customWidth="1"/>
    <col min="11" max="11" width="14" customWidth="1"/>
    <col min="12" max="12" width="26" customWidth="1"/>
    <col min="13" max="13" width="20" customWidth="1"/>
    <col min="14" max="14" width="42" customWidth="1"/>
    <col min="15" max="29" width="7" customWidth="1"/>
    <col min="30" max="30" width="8" customWidth="1"/>
  </cols>
  <sheetData>
    <row r="1" spans="1:31" ht="16.5" x14ac:dyDescent="0.25">
      <c r="A1" s="1" t="s">
        <v>554</v>
      </c>
    </row>
    <row r="2" spans="1:31" ht="44.1" customHeight="1" x14ac:dyDescent="0.25">
      <c r="A2" s="27" t="s">
        <v>555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4" spans="1:31" ht="39.950000000000003" customHeight="1" x14ac:dyDescent="0.25">
      <c r="A4" s="3" t="s">
        <v>556</v>
      </c>
      <c r="B4" s="3" t="s">
        <v>557</v>
      </c>
      <c r="C4" s="3" t="s">
        <v>558</v>
      </c>
      <c r="D4" s="3" t="s">
        <v>547</v>
      </c>
      <c r="E4" s="3" t="s">
        <v>559</v>
      </c>
      <c r="F4" s="3" t="s">
        <v>560</v>
      </c>
      <c r="G4" s="3" t="s">
        <v>548</v>
      </c>
      <c r="H4" s="3" t="s">
        <v>549</v>
      </c>
      <c r="I4" s="3" t="s">
        <v>561</v>
      </c>
      <c r="J4" s="3" t="s">
        <v>562</v>
      </c>
      <c r="K4" s="3" t="s">
        <v>563</v>
      </c>
      <c r="L4" s="3" t="s">
        <v>564</v>
      </c>
      <c r="M4" s="3" t="s">
        <v>565</v>
      </c>
      <c r="N4" s="3" t="s">
        <v>494</v>
      </c>
      <c r="O4" s="3" t="s">
        <v>566</v>
      </c>
      <c r="P4" s="3" t="s">
        <v>532</v>
      </c>
      <c r="Q4" s="3" t="s">
        <v>533</v>
      </c>
      <c r="R4" s="3" t="s">
        <v>534</v>
      </c>
      <c r="S4" s="3" t="s">
        <v>535</v>
      </c>
      <c r="T4" s="3" t="s">
        <v>536</v>
      </c>
      <c r="U4" s="3" t="s">
        <v>537</v>
      </c>
      <c r="V4" s="3" t="s">
        <v>538</v>
      </c>
      <c r="W4" s="3" t="s">
        <v>539</v>
      </c>
      <c r="X4" s="3" t="s">
        <v>540</v>
      </c>
      <c r="Y4" s="3" t="s">
        <v>541</v>
      </c>
      <c r="Z4" s="3" t="s">
        <v>542</v>
      </c>
      <c r="AA4" s="3" t="s">
        <v>543</v>
      </c>
      <c r="AB4" s="3" t="s">
        <v>544</v>
      </c>
      <c r="AC4" s="3" t="s">
        <v>545</v>
      </c>
      <c r="AD4" s="3" t="s">
        <v>567</v>
      </c>
      <c r="AE4" s="13" t="s">
        <v>117</v>
      </c>
    </row>
    <row r="5" spans="1:31" ht="24" x14ac:dyDescent="0.25">
      <c r="A5" s="7" t="s">
        <v>568</v>
      </c>
      <c r="B5" s="7">
        <v>1</v>
      </c>
      <c r="C5" s="7" t="s">
        <v>331</v>
      </c>
      <c r="D5" s="7" t="s">
        <v>54</v>
      </c>
      <c r="E5" s="7" t="s">
        <v>332</v>
      </c>
      <c r="F5" s="7" t="s">
        <v>333</v>
      </c>
      <c r="G5" s="11">
        <v>40</v>
      </c>
      <c r="H5" s="11"/>
      <c r="I5" s="11"/>
      <c r="J5" s="11"/>
      <c r="K5" s="14" t="s">
        <v>569</v>
      </c>
      <c r="L5" s="7" t="s">
        <v>570</v>
      </c>
      <c r="M5" s="7" t="s">
        <v>571</v>
      </c>
      <c r="N5" s="7" t="s">
        <v>572</v>
      </c>
      <c r="O5" s="7">
        <v>21</v>
      </c>
      <c r="P5" s="11">
        <v>40</v>
      </c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>
        <f t="shared" ref="AD5:AD40" si="0">SUM(P5:AC5)</f>
        <v>40</v>
      </c>
      <c r="AE5" s="9" t="s">
        <v>54</v>
      </c>
    </row>
    <row r="6" spans="1:31" ht="24" x14ac:dyDescent="0.25">
      <c r="A6" s="7" t="s">
        <v>568</v>
      </c>
      <c r="B6" s="7">
        <v>2</v>
      </c>
      <c r="C6" s="7" t="s">
        <v>340</v>
      </c>
      <c r="D6" s="7" t="s">
        <v>66</v>
      </c>
      <c r="E6" s="7" t="s">
        <v>341</v>
      </c>
      <c r="F6" s="7" t="s">
        <v>342</v>
      </c>
      <c r="G6" s="11">
        <v>50</v>
      </c>
      <c r="H6" s="11"/>
      <c r="I6" s="11"/>
      <c r="J6" s="11"/>
      <c r="K6" s="15" t="s">
        <v>573</v>
      </c>
      <c r="L6" s="7" t="s">
        <v>347</v>
      </c>
      <c r="M6" s="7" t="s">
        <v>347</v>
      </c>
      <c r="N6" s="7" t="s">
        <v>574</v>
      </c>
      <c r="O6" s="7">
        <v>21</v>
      </c>
      <c r="P6" s="11">
        <v>50</v>
      </c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>
        <f t="shared" si="0"/>
        <v>50</v>
      </c>
      <c r="AE6" s="9" t="s">
        <v>66</v>
      </c>
    </row>
    <row r="7" spans="1:31" ht="36" x14ac:dyDescent="0.25">
      <c r="A7" s="7" t="s">
        <v>568</v>
      </c>
      <c r="B7" s="7">
        <v>3</v>
      </c>
      <c r="C7" s="7" t="s">
        <v>164</v>
      </c>
      <c r="D7" s="7" t="s">
        <v>49</v>
      </c>
      <c r="E7" s="7" t="s">
        <v>165</v>
      </c>
      <c r="F7" s="7" t="s">
        <v>166</v>
      </c>
      <c r="G7" s="11">
        <v>295</v>
      </c>
      <c r="H7" s="11">
        <v>70</v>
      </c>
      <c r="I7" s="11">
        <v>43</v>
      </c>
      <c r="J7" s="11">
        <v>45</v>
      </c>
      <c r="K7" s="16" t="s">
        <v>575</v>
      </c>
      <c r="L7" s="7" t="s">
        <v>576</v>
      </c>
      <c r="M7" s="7" t="s">
        <v>577</v>
      </c>
      <c r="N7" s="7" t="s">
        <v>578</v>
      </c>
      <c r="O7" s="7">
        <v>21</v>
      </c>
      <c r="P7" s="11">
        <v>70</v>
      </c>
      <c r="Q7" s="11"/>
      <c r="R7" s="11">
        <v>50</v>
      </c>
      <c r="S7" s="11">
        <v>30</v>
      </c>
      <c r="T7" s="11"/>
      <c r="U7" s="11"/>
      <c r="V7" s="11"/>
      <c r="W7" s="11">
        <v>145</v>
      </c>
      <c r="X7" s="11"/>
      <c r="Y7" s="11"/>
      <c r="Z7" s="11"/>
      <c r="AA7" s="11"/>
      <c r="AB7" s="11"/>
      <c r="AC7" s="11"/>
      <c r="AD7" s="11">
        <f t="shared" si="0"/>
        <v>295</v>
      </c>
      <c r="AE7" s="9" t="s">
        <v>49</v>
      </c>
    </row>
    <row r="8" spans="1:31" ht="24" x14ac:dyDescent="0.25">
      <c r="A8" s="7" t="s">
        <v>568</v>
      </c>
      <c r="B8" s="7">
        <v>4</v>
      </c>
      <c r="C8" s="7" t="s">
        <v>180</v>
      </c>
      <c r="D8" s="7" t="s">
        <v>579</v>
      </c>
      <c r="E8" s="7" t="s">
        <v>181</v>
      </c>
      <c r="F8" s="7" t="s">
        <v>182</v>
      </c>
      <c r="G8" s="11">
        <v>250</v>
      </c>
      <c r="H8" s="11">
        <v>36</v>
      </c>
      <c r="I8" s="11">
        <v>0.42</v>
      </c>
      <c r="J8" s="11">
        <v>4.25</v>
      </c>
      <c r="K8" s="15" t="s">
        <v>573</v>
      </c>
      <c r="L8" s="7" t="s">
        <v>580</v>
      </c>
      <c r="M8" s="7" t="s">
        <v>347</v>
      </c>
      <c r="N8" s="7" t="s">
        <v>581</v>
      </c>
      <c r="O8" s="7">
        <v>21</v>
      </c>
      <c r="P8" s="11">
        <v>36</v>
      </c>
      <c r="Q8" s="11"/>
      <c r="R8" s="11">
        <v>19</v>
      </c>
      <c r="S8" s="11">
        <v>15</v>
      </c>
      <c r="T8" s="11">
        <v>16</v>
      </c>
      <c r="U8" s="11">
        <v>32</v>
      </c>
      <c r="V8" s="11">
        <v>13</v>
      </c>
      <c r="W8" s="11">
        <v>14</v>
      </c>
      <c r="X8" s="11">
        <v>10</v>
      </c>
      <c r="Y8" s="11">
        <v>11</v>
      </c>
      <c r="Z8" s="11">
        <v>9</v>
      </c>
      <c r="AA8" s="11">
        <v>75</v>
      </c>
      <c r="AB8" s="11"/>
      <c r="AC8" s="11"/>
      <c r="AD8" s="11">
        <f t="shared" si="0"/>
        <v>250</v>
      </c>
      <c r="AE8" s="9" t="s">
        <v>51</v>
      </c>
    </row>
    <row r="9" spans="1:31" ht="24" x14ac:dyDescent="0.25">
      <c r="A9" s="7" t="s">
        <v>568</v>
      </c>
      <c r="B9" s="7">
        <v>5</v>
      </c>
      <c r="C9" s="7" t="s">
        <v>186</v>
      </c>
      <c r="D9" s="7" t="s">
        <v>582</v>
      </c>
      <c r="E9" s="7" t="s">
        <v>187</v>
      </c>
      <c r="F9" s="7" t="s">
        <v>148</v>
      </c>
      <c r="G9" s="11">
        <v>285</v>
      </c>
      <c r="H9" s="11">
        <v>35</v>
      </c>
      <c r="I9" s="11">
        <v>7</v>
      </c>
      <c r="J9" s="11">
        <v>27</v>
      </c>
      <c r="K9" s="15" t="s">
        <v>573</v>
      </c>
      <c r="L9" s="7" t="s">
        <v>580</v>
      </c>
      <c r="M9" s="7" t="s">
        <v>347</v>
      </c>
      <c r="N9" s="7" t="s">
        <v>583</v>
      </c>
      <c r="O9" s="7">
        <v>21</v>
      </c>
      <c r="P9" s="11">
        <v>35</v>
      </c>
      <c r="Q9" s="11"/>
      <c r="R9" s="11">
        <v>40</v>
      </c>
      <c r="S9" s="11">
        <v>50</v>
      </c>
      <c r="T9" s="11">
        <v>35</v>
      </c>
      <c r="U9" s="11">
        <v>25</v>
      </c>
      <c r="V9" s="11">
        <v>35</v>
      </c>
      <c r="W9" s="11">
        <v>30</v>
      </c>
      <c r="X9" s="11">
        <v>35</v>
      </c>
      <c r="Y9" s="11"/>
      <c r="Z9" s="11"/>
      <c r="AA9" s="11"/>
      <c r="AB9" s="11"/>
      <c r="AC9" s="11"/>
      <c r="AD9" s="11">
        <f t="shared" si="0"/>
        <v>285</v>
      </c>
      <c r="AE9" s="9" t="s">
        <v>51</v>
      </c>
    </row>
    <row r="10" spans="1:31" ht="24" x14ac:dyDescent="0.25">
      <c r="A10" s="7" t="s">
        <v>568</v>
      </c>
      <c r="B10" s="7">
        <v>6</v>
      </c>
      <c r="C10" s="7" t="s">
        <v>192</v>
      </c>
      <c r="D10" s="7" t="s">
        <v>52</v>
      </c>
      <c r="E10" s="7" t="s">
        <v>121</v>
      </c>
      <c r="F10" s="7" t="s">
        <v>193</v>
      </c>
      <c r="G10" s="11">
        <v>90</v>
      </c>
      <c r="H10" s="11">
        <v>25</v>
      </c>
      <c r="I10" s="11">
        <v>23.19</v>
      </c>
      <c r="J10" s="11">
        <v>24.68</v>
      </c>
      <c r="K10" s="14" t="s">
        <v>569</v>
      </c>
      <c r="L10" s="7" t="s">
        <v>584</v>
      </c>
      <c r="M10" s="7" t="s">
        <v>585</v>
      </c>
      <c r="N10" s="7" t="s">
        <v>586</v>
      </c>
      <c r="O10" s="7">
        <v>22</v>
      </c>
      <c r="P10" s="11">
        <v>35</v>
      </c>
      <c r="Q10" s="11"/>
      <c r="R10" s="11">
        <v>15</v>
      </c>
      <c r="S10" s="11">
        <v>10</v>
      </c>
      <c r="T10" s="11">
        <v>10</v>
      </c>
      <c r="U10" s="11">
        <v>10</v>
      </c>
      <c r="V10" s="11">
        <v>10</v>
      </c>
      <c r="W10" s="11"/>
      <c r="X10" s="11"/>
      <c r="Y10" s="11"/>
      <c r="Z10" s="11"/>
      <c r="AA10" s="11"/>
      <c r="AB10" s="11"/>
      <c r="AC10" s="11"/>
      <c r="AD10" s="11">
        <f t="shared" si="0"/>
        <v>90</v>
      </c>
      <c r="AE10" s="9" t="s">
        <v>52</v>
      </c>
    </row>
    <row r="11" spans="1:31" ht="24" x14ac:dyDescent="0.25">
      <c r="A11" s="7" t="s">
        <v>568</v>
      </c>
      <c r="B11" s="7">
        <v>7</v>
      </c>
      <c r="C11" s="7" t="s">
        <v>336</v>
      </c>
      <c r="D11" s="7" t="s">
        <v>65</v>
      </c>
      <c r="E11" s="7" t="s">
        <v>337</v>
      </c>
      <c r="F11" s="7" t="s">
        <v>166</v>
      </c>
      <c r="G11" s="11">
        <v>106</v>
      </c>
      <c r="H11" s="11"/>
      <c r="I11" s="11"/>
      <c r="J11" s="11"/>
      <c r="K11" s="15" t="s">
        <v>573</v>
      </c>
      <c r="L11" s="7" t="s">
        <v>347</v>
      </c>
      <c r="M11" s="7" t="s">
        <v>347</v>
      </c>
      <c r="N11" s="7" t="s">
        <v>574</v>
      </c>
      <c r="O11" s="7">
        <v>22</v>
      </c>
      <c r="P11" s="11">
        <v>20</v>
      </c>
      <c r="Q11" s="11"/>
      <c r="R11" s="11">
        <v>20</v>
      </c>
      <c r="S11" s="11">
        <v>20</v>
      </c>
      <c r="T11" s="11">
        <v>20</v>
      </c>
      <c r="U11" s="11">
        <v>26</v>
      </c>
      <c r="V11" s="11"/>
      <c r="W11" s="11"/>
      <c r="X11" s="11"/>
      <c r="Y11" s="11"/>
      <c r="Z11" s="11"/>
      <c r="AA11" s="11"/>
      <c r="AB11" s="11"/>
      <c r="AC11" s="11"/>
      <c r="AD11" s="11">
        <f t="shared" si="0"/>
        <v>106</v>
      </c>
      <c r="AE11" s="9" t="s">
        <v>65</v>
      </c>
    </row>
    <row r="12" spans="1:31" x14ac:dyDescent="0.25">
      <c r="A12" s="7" t="s">
        <v>568</v>
      </c>
      <c r="B12" s="7">
        <v>8</v>
      </c>
      <c r="C12" s="7" t="s">
        <v>120</v>
      </c>
      <c r="D12" s="7" t="s">
        <v>41</v>
      </c>
      <c r="E12" s="7" t="s">
        <v>121</v>
      </c>
      <c r="F12" s="7" t="s">
        <v>122</v>
      </c>
      <c r="G12" s="11">
        <v>35</v>
      </c>
      <c r="H12" s="11">
        <v>35</v>
      </c>
      <c r="I12" s="11">
        <v>2.2799999999999998</v>
      </c>
      <c r="J12" s="11">
        <v>3.5</v>
      </c>
      <c r="K12" s="15" t="s">
        <v>573</v>
      </c>
      <c r="L12" s="7" t="s">
        <v>347</v>
      </c>
      <c r="M12" s="7" t="s">
        <v>347</v>
      </c>
      <c r="N12" s="7" t="s">
        <v>587</v>
      </c>
      <c r="O12" s="7">
        <v>22</v>
      </c>
      <c r="P12" s="11">
        <v>35</v>
      </c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>
        <f t="shared" si="0"/>
        <v>35</v>
      </c>
      <c r="AE12" s="9" t="s">
        <v>41</v>
      </c>
    </row>
    <row r="13" spans="1:31" ht="36" x14ac:dyDescent="0.25">
      <c r="A13" s="7" t="s">
        <v>568</v>
      </c>
      <c r="B13" s="7">
        <v>9</v>
      </c>
      <c r="C13" s="7" t="s">
        <v>196</v>
      </c>
      <c r="D13" s="7" t="s">
        <v>52</v>
      </c>
      <c r="E13" s="7" t="s">
        <v>197</v>
      </c>
      <c r="F13" s="7" t="s">
        <v>198</v>
      </c>
      <c r="G13" s="11">
        <v>500</v>
      </c>
      <c r="H13" s="11">
        <v>50</v>
      </c>
      <c r="I13" s="11">
        <v>14</v>
      </c>
      <c r="J13" s="11">
        <v>15</v>
      </c>
      <c r="K13" s="14" t="s">
        <v>569</v>
      </c>
      <c r="L13" s="7" t="s">
        <v>588</v>
      </c>
      <c r="M13" s="7" t="s">
        <v>589</v>
      </c>
      <c r="N13" s="7" t="s">
        <v>590</v>
      </c>
      <c r="O13" s="7">
        <v>22</v>
      </c>
      <c r="P13" s="11">
        <v>120</v>
      </c>
      <c r="Q13" s="11"/>
      <c r="R13" s="11">
        <v>80</v>
      </c>
      <c r="S13" s="11">
        <v>150</v>
      </c>
      <c r="T13" s="11">
        <v>150</v>
      </c>
      <c r="U13" s="11"/>
      <c r="V13" s="11"/>
      <c r="W13" s="11"/>
      <c r="X13" s="11"/>
      <c r="Y13" s="11"/>
      <c r="Z13" s="11"/>
      <c r="AA13" s="11"/>
      <c r="AB13" s="11"/>
      <c r="AC13" s="11"/>
      <c r="AD13" s="11">
        <f t="shared" si="0"/>
        <v>500</v>
      </c>
      <c r="AE13" s="9" t="s">
        <v>52</v>
      </c>
    </row>
    <row r="14" spans="1:31" ht="24" x14ac:dyDescent="0.25">
      <c r="A14" s="7" t="s">
        <v>568</v>
      </c>
      <c r="B14" s="7">
        <v>10</v>
      </c>
      <c r="C14" s="7" t="s">
        <v>311</v>
      </c>
      <c r="D14" s="7" t="s">
        <v>591</v>
      </c>
      <c r="E14" s="7" t="s">
        <v>312</v>
      </c>
      <c r="F14" s="7" t="s">
        <v>313</v>
      </c>
      <c r="G14" s="11">
        <v>130</v>
      </c>
      <c r="H14" s="11"/>
      <c r="I14" s="11"/>
      <c r="J14" s="11"/>
      <c r="K14" s="16" t="s">
        <v>575</v>
      </c>
      <c r="L14" s="7" t="s">
        <v>592</v>
      </c>
      <c r="M14" s="7" t="s">
        <v>593</v>
      </c>
      <c r="N14" s="7" t="s">
        <v>594</v>
      </c>
      <c r="O14" s="7">
        <v>22</v>
      </c>
      <c r="P14" s="11"/>
      <c r="Q14" s="11"/>
      <c r="R14" s="11">
        <v>23</v>
      </c>
      <c r="S14" s="11">
        <v>21</v>
      </c>
      <c r="T14" s="11">
        <v>21</v>
      </c>
      <c r="U14" s="11">
        <v>23</v>
      </c>
      <c r="V14" s="11">
        <v>22</v>
      </c>
      <c r="W14" s="11">
        <v>20</v>
      </c>
      <c r="X14" s="11"/>
      <c r="Y14" s="11"/>
      <c r="Z14" s="11"/>
      <c r="AA14" s="11"/>
      <c r="AB14" s="11"/>
      <c r="AC14" s="11"/>
      <c r="AD14" s="11">
        <f t="shared" si="0"/>
        <v>130</v>
      </c>
      <c r="AE14" s="9" t="s">
        <v>63</v>
      </c>
    </row>
    <row r="15" spans="1:31" ht="36" x14ac:dyDescent="0.25">
      <c r="A15" s="7" t="s">
        <v>568</v>
      </c>
      <c r="B15" s="7">
        <v>11</v>
      </c>
      <c r="C15" s="7" t="s">
        <v>284</v>
      </c>
      <c r="D15" s="7" t="s">
        <v>595</v>
      </c>
      <c r="E15" s="7" t="s">
        <v>285</v>
      </c>
      <c r="F15" s="7" t="s">
        <v>286</v>
      </c>
      <c r="G15" s="11">
        <v>480</v>
      </c>
      <c r="H15" s="11"/>
      <c r="I15" s="11"/>
      <c r="J15" s="11"/>
      <c r="K15" s="15" t="s">
        <v>573</v>
      </c>
      <c r="L15" s="7" t="s">
        <v>347</v>
      </c>
      <c r="M15" s="7" t="s">
        <v>347</v>
      </c>
      <c r="N15" s="7" t="s">
        <v>596</v>
      </c>
      <c r="O15" s="7">
        <v>22</v>
      </c>
      <c r="P15" s="11"/>
      <c r="Q15" s="11"/>
      <c r="R15" s="11"/>
      <c r="S15" s="11"/>
      <c r="T15" s="11"/>
      <c r="U15" s="11">
        <v>150</v>
      </c>
      <c r="V15" s="11">
        <v>100</v>
      </c>
      <c r="W15" s="11">
        <v>100</v>
      </c>
      <c r="X15" s="11">
        <v>130</v>
      </c>
      <c r="Y15" s="11"/>
      <c r="Z15" s="11"/>
      <c r="AA15" s="11"/>
      <c r="AB15" s="11"/>
      <c r="AC15" s="11"/>
      <c r="AD15" s="11">
        <f t="shared" si="0"/>
        <v>480</v>
      </c>
      <c r="AE15" s="9" t="s">
        <v>551</v>
      </c>
    </row>
    <row r="16" spans="1:31" ht="24" x14ac:dyDescent="0.25">
      <c r="A16" s="7" t="s">
        <v>568</v>
      </c>
      <c r="B16" s="7">
        <v>12</v>
      </c>
      <c r="C16" s="7" t="s">
        <v>215</v>
      </c>
      <c r="D16" s="7" t="s">
        <v>56</v>
      </c>
      <c r="E16" s="7" t="s">
        <v>216</v>
      </c>
      <c r="F16" s="7" t="s">
        <v>217</v>
      </c>
      <c r="G16" s="11">
        <v>90</v>
      </c>
      <c r="H16" s="11">
        <v>30</v>
      </c>
      <c r="I16" s="11">
        <v>14</v>
      </c>
      <c r="J16" s="11">
        <v>19</v>
      </c>
      <c r="K16" s="16" t="s">
        <v>597</v>
      </c>
      <c r="L16" s="7" t="s">
        <v>598</v>
      </c>
      <c r="M16" s="7" t="s">
        <v>599</v>
      </c>
      <c r="N16" s="7" t="s">
        <v>600</v>
      </c>
      <c r="O16" s="7">
        <v>22</v>
      </c>
      <c r="P16" s="11">
        <v>30</v>
      </c>
      <c r="Q16" s="11"/>
      <c r="R16" s="11">
        <v>40</v>
      </c>
      <c r="S16" s="11"/>
      <c r="T16" s="11">
        <v>10</v>
      </c>
      <c r="U16" s="11">
        <v>10</v>
      </c>
      <c r="V16" s="11"/>
      <c r="W16" s="11"/>
      <c r="X16" s="11"/>
      <c r="Y16" s="11"/>
      <c r="Z16" s="11"/>
      <c r="AA16" s="11"/>
      <c r="AB16" s="11"/>
      <c r="AC16" s="11"/>
      <c r="AD16" s="11">
        <f t="shared" si="0"/>
        <v>90</v>
      </c>
      <c r="AE16" s="9" t="s">
        <v>56</v>
      </c>
    </row>
    <row r="17" spans="1:31" ht="24" x14ac:dyDescent="0.25">
      <c r="A17" s="7" t="s">
        <v>568</v>
      </c>
      <c r="B17" s="7">
        <v>13</v>
      </c>
      <c r="C17" s="7" t="s">
        <v>129</v>
      </c>
      <c r="D17" s="7" t="s">
        <v>601</v>
      </c>
      <c r="E17" s="7" t="s">
        <v>130</v>
      </c>
      <c r="F17" s="7" t="s">
        <v>131</v>
      </c>
      <c r="G17" s="11">
        <v>90</v>
      </c>
      <c r="H17" s="11">
        <v>35</v>
      </c>
      <c r="I17" s="11">
        <v>5</v>
      </c>
      <c r="J17" s="11">
        <v>10</v>
      </c>
      <c r="K17" s="16" t="s">
        <v>575</v>
      </c>
      <c r="L17" s="7" t="s">
        <v>602</v>
      </c>
      <c r="M17" s="7" t="s">
        <v>603</v>
      </c>
      <c r="N17" s="7" t="s">
        <v>604</v>
      </c>
      <c r="O17" s="7">
        <v>23</v>
      </c>
      <c r="P17" s="11">
        <v>35</v>
      </c>
      <c r="Q17" s="11"/>
      <c r="R17" s="11">
        <v>25</v>
      </c>
      <c r="S17" s="11">
        <v>30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>
        <f t="shared" si="0"/>
        <v>90</v>
      </c>
      <c r="AE17" s="9" t="s">
        <v>551</v>
      </c>
    </row>
    <row r="18" spans="1:31" x14ac:dyDescent="0.25">
      <c r="A18" s="7" t="s">
        <v>568</v>
      </c>
      <c r="B18" s="7">
        <v>14</v>
      </c>
      <c r="C18" s="7" t="s">
        <v>208</v>
      </c>
      <c r="D18" s="7" t="s">
        <v>54</v>
      </c>
      <c r="E18" s="7" t="s">
        <v>209</v>
      </c>
      <c r="F18" s="7" t="s">
        <v>210</v>
      </c>
      <c r="G18" s="11">
        <v>80</v>
      </c>
      <c r="H18" s="11">
        <v>40</v>
      </c>
      <c r="I18" s="11">
        <v>5</v>
      </c>
      <c r="J18" s="11">
        <v>5</v>
      </c>
      <c r="K18" s="14" t="s">
        <v>569</v>
      </c>
      <c r="L18" s="7" t="s">
        <v>605</v>
      </c>
      <c r="M18" s="7" t="s">
        <v>606</v>
      </c>
      <c r="N18" s="7"/>
      <c r="O18" s="7">
        <v>23</v>
      </c>
      <c r="P18" s="11">
        <v>40</v>
      </c>
      <c r="Q18" s="11"/>
      <c r="R18" s="11"/>
      <c r="S18" s="11">
        <v>20</v>
      </c>
      <c r="T18" s="11">
        <v>20</v>
      </c>
      <c r="U18" s="11"/>
      <c r="V18" s="11"/>
      <c r="W18" s="11"/>
      <c r="X18" s="11"/>
      <c r="Y18" s="11"/>
      <c r="Z18" s="11"/>
      <c r="AA18" s="11"/>
      <c r="AB18" s="11"/>
      <c r="AC18" s="11"/>
      <c r="AD18" s="11">
        <f t="shared" si="0"/>
        <v>80</v>
      </c>
      <c r="AE18" s="9" t="s">
        <v>54</v>
      </c>
    </row>
    <row r="19" spans="1:31" ht="24" x14ac:dyDescent="0.25">
      <c r="A19" s="7" t="s">
        <v>568</v>
      </c>
      <c r="B19" s="7">
        <v>15</v>
      </c>
      <c r="C19" s="7" t="s">
        <v>326</v>
      </c>
      <c r="D19" s="7" t="s">
        <v>64</v>
      </c>
      <c r="E19" s="7" t="s">
        <v>216</v>
      </c>
      <c r="F19" s="7" t="s">
        <v>327</v>
      </c>
      <c r="G19" s="11">
        <v>120</v>
      </c>
      <c r="H19" s="11"/>
      <c r="I19" s="11"/>
      <c r="J19" s="11"/>
      <c r="K19" s="14" t="s">
        <v>569</v>
      </c>
      <c r="L19" s="7" t="s">
        <v>607</v>
      </c>
      <c r="M19" s="7" t="s">
        <v>608</v>
      </c>
      <c r="N19" s="7"/>
      <c r="O19" s="7">
        <v>23</v>
      </c>
      <c r="P19" s="11">
        <v>25</v>
      </c>
      <c r="Q19" s="11"/>
      <c r="R19" s="11">
        <v>15</v>
      </c>
      <c r="S19" s="11">
        <v>25</v>
      </c>
      <c r="T19" s="11">
        <v>55</v>
      </c>
      <c r="U19" s="11"/>
      <c r="V19" s="11"/>
      <c r="W19" s="11"/>
      <c r="X19" s="11"/>
      <c r="Y19" s="11"/>
      <c r="Z19" s="11"/>
      <c r="AA19" s="11"/>
      <c r="AB19" s="11"/>
      <c r="AC19" s="11"/>
      <c r="AD19" s="11">
        <f t="shared" si="0"/>
        <v>120</v>
      </c>
      <c r="AE19" s="9" t="s">
        <v>64</v>
      </c>
    </row>
    <row r="20" spans="1:31" ht="24" x14ac:dyDescent="0.25">
      <c r="A20" s="7" t="s">
        <v>568</v>
      </c>
      <c r="B20" s="7">
        <v>16</v>
      </c>
      <c r="C20" s="7" t="s">
        <v>156</v>
      </c>
      <c r="D20" s="7" t="s">
        <v>48</v>
      </c>
      <c r="E20" s="7" t="s">
        <v>157</v>
      </c>
      <c r="F20" s="7" t="s">
        <v>158</v>
      </c>
      <c r="G20" s="11">
        <v>60</v>
      </c>
      <c r="H20" s="11">
        <v>10</v>
      </c>
      <c r="I20" s="11">
        <v>1.2</v>
      </c>
      <c r="J20" s="11">
        <v>1.75</v>
      </c>
      <c r="K20" s="16" t="s">
        <v>597</v>
      </c>
      <c r="L20" s="7" t="s">
        <v>609</v>
      </c>
      <c r="M20" s="7" t="s">
        <v>610</v>
      </c>
      <c r="N20" s="7" t="s">
        <v>611</v>
      </c>
      <c r="O20" s="7">
        <v>23</v>
      </c>
      <c r="P20" s="11">
        <v>10</v>
      </c>
      <c r="Q20" s="11"/>
      <c r="R20" s="11"/>
      <c r="S20" s="11">
        <v>15</v>
      </c>
      <c r="T20" s="11"/>
      <c r="U20" s="11">
        <v>10</v>
      </c>
      <c r="V20" s="11">
        <v>25</v>
      </c>
      <c r="W20" s="11"/>
      <c r="X20" s="11"/>
      <c r="Y20" s="11"/>
      <c r="Z20" s="11"/>
      <c r="AA20" s="11"/>
      <c r="AB20" s="11"/>
      <c r="AC20" s="11"/>
      <c r="AD20" s="11">
        <f t="shared" si="0"/>
        <v>60</v>
      </c>
      <c r="AE20" s="9" t="s">
        <v>48</v>
      </c>
    </row>
    <row r="21" spans="1:31" ht="24" x14ac:dyDescent="0.25">
      <c r="A21" s="7" t="s">
        <v>568</v>
      </c>
      <c r="B21" s="7">
        <v>17</v>
      </c>
      <c r="C21" s="7" t="s">
        <v>146</v>
      </c>
      <c r="D21" s="7" t="s">
        <v>47</v>
      </c>
      <c r="E21" s="7" t="s">
        <v>147</v>
      </c>
      <c r="F21" s="7" t="s">
        <v>148</v>
      </c>
      <c r="G21" s="11">
        <v>120</v>
      </c>
      <c r="H21" s="11">
        <v>18</v>
      </c>
      <c r="I21" s="11">
        <v>9</v>
      </c>
      <c r="J21" s="11">
        <v>10</v>
      </c>
      <c r="K21" s="14" t="s">
        <v>569</v>
      </c>
      <c r="L21" s="7" t="s">
        <v>612</v>
      </c>
      <c r="M21" s="7" t="s">
        <v>613</v>
      </c>
      <c r="N21" s="7"/>
      <c r="O21" s="7">
        <v>23</v>
      </c>
      <c r="P21" s="11">
        <v>18</v>
      </c>
      <c r="Q21" s="11"/>
      <c r="R21" s="11">
        <v>28</v>
      </c>
      <c r="S21" s="11">
        <v>22</v>
      </c>
      <c r="T21" s="11">
        <v>22</v>
      </c>
      <c r="U21" s="11">
        <v>30</v>
      </c>
      <c r="V21" s="11"/>
      <c r="W21" s="11"/>
      <c r="X21" s="11"/>
      <c r="Y21" s="11"/>
      <c r="Z21" s="11"/>
      <c r="AA21" s="11"/>
      <c r="AB21" s="11"/>
      <c r="AC21" s="11"/>
      <c r="AD21" s="11">
        <f t="shared" si="0"/>
        <v>120</v>
      </c>
      <c r="AE21" s="9" t="s">
        <v>47</v>
      </c>
    </row>
    <row r="22" spans="1:31" ht="24" x14ac:dyDescent="0.25">
      <c r="A22" s="7" t="s">
        <v>568</v>
      </c>
      <c r="B22" s="7">
        <v>18</v>
      </c>
      <c r="C22" s="7" t="s">
        <v>203</v>
      </c>
      <c r="D22" s="7" t="s">
        <v>52</v>
      </c>
      <c r="E22" s="7" t="s">
        <v>204</v>
      </c>
      <c r="F22" s="7" t="s">
        <v>205</v>
      </c>
      <c r="G22" s="11">
        <v>75</v>
      </c>
      <c r="H22" s="11">
        <v>15</v>
      </c>
      <c r="I22" s="11">
        <v>5</v>
      </c>
      <c r="J22" s="11">
        <v>6</v>
      </c>
      <c r="K22" s="14" t="s">
        <v>569</v>
      </c>
      <c r="L22" s="7" t="s">
        <v>614</v>
      </c>
      <c r="M22" s="7" t="s">
        <v>615</v>
      </c>
      <c r="N22" s="7"/>
      <c r="O22" s="7">
        <v>23</v>
      </c>
      <c r="P22" s="11">
        <v>15</v>
      </c>
      <c r="Q22" s="11"/>
      <c r="R22" s="11">
        <v>20</v>
      </c>
      <c r="S22" s="11">
        <v>40</v>
      </c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>
        <f t="shared" si="0"/>
        <v>75</v>
      </c>
      <c r="AE22" s="9" t="s">
        <v>52</v>
      </c>
    </row>
    <row r="23" spans="1:31" ht="24" x14ac:dyDescent="0.25">
      <c r="A23" s="7" t="s">
        <v>568</v>
      </c>
      <c r="B23" s="7">
        <v>19</v>
      </c>
      <c r="C23" s="7" t="s">
        <v>268</v>
      </c>
      <c r="D23" s="7" t="s">
        <v>59</v>
      </c>
      <c r="E23" s="7" t="s">
        <v>269</v>
      </c>
      <c r="F23" s="7" t="s">
        <v>270</v>
      </c>
      <c r="G23" s="11">
        <v>225</v>
      </c>
      <c r="H23" s="11"/>
      <c r="I23" s="11"/>
      <c r="J23" s="11"/>
      <c r="K23" s="16" t="s">
        <v>575</v>
      </c>
      <c r="L23" s="7" t="s">
        <v>616</v>
      </c>
      <c r="M23" s="7" t="s">
        <v>617</v>
      </c>
      <c r="N23" s="7" t="s">
        <v>618</v>
      </c>
      <c r="O23" s="7">
        <v>23</v>
      </c>
      <c r="P23" s="11"/>
      <c r="Q23" s="11"/>
      <c r="R23" s="11">
        <v>12</v>
      </c>
      <c r="S23" s="11">
        <v>54</v>
      </c>
      <c r="T23" s="11">
        <v>36</v>
      </c>
      <c r="U23" s="11">
        <v>48</v>
      </c>
      <c r="V23" s="11">
        <v>42</v>
      </c>
      <c r="W23" s="11">
        <v>24</v>
      </c>
      <c r="X23" s="11">
        <v>9</v>
      </c>
      <c r="Y23" s="11"/>
      <c r="Z23" s="11"/>
      <c r="AA23" s="11"/>
      <c r="AB23" s="11"/>
      <c r="AC23" s="11"/>
      <c r="AD23" s="11">
        <f t="shared" si="0"/>
        <v>225</v>
      </c>
      <c r="AE23" s="9" t="s">
        <v>59</v>
      </c>
    </row>
    <row r="24" spans="1:31" ht="24" x14ac:dyDescent="0.25">
      <c r="A24" s="7" t="s">
        <v>568</v>
      </c>
      <c r="B24" s="7">
        <v>20</v>
      </c>
      <c r="C24" s="7" t="s">
        <v>360</v>
      </c>
      <c r="D24" s="7" t="s">
        <v>59</v>
      </c>
      <c r="E24" s="7" t="s">
        <v>361</v>
      </c>
      <c r="F24" s="7" t="s">
        <v>362</v>
      </c>
      <c r="G24" s="11">
        <v>150</v>
      </c>
      <c r="H24" s="11"/>
      <c r="I24" s="11"/>
      <c r="J24" s="11"/>
      <c r="K24" s="16" t="s">
        <v>619</v>
      </c>
      <c r="L24" s="7" t="s">
        <v>620</v>
      </c>
      <c r="M24" s="7" t="s">
        <v>621</v>
      </c>
      <c r="N24" s="7" t="s">
        <v>622</v>
      </c>
      <c r="O24" s="7">
        <v>23</v>
      </c>
      <c r="P24" s="11"/>
      <c r="Q24" s="11"/>
      <c r="R24" s="11">
        <v>37.5</v>
      </c>
      <c r="S24" s="11">
        <v>37.5</v>
      </c>
      <c r="T24" s="11">
        <v>37.5</v>
      </c>
      <c r="U24" s="11">
        <v>37.5</v>
      </c>
      <c r="V24" s="11"/>
      <c r="W24" s="11"/>
      <c r="X24" s="11"/>
      <c r="Y24" s="11"/>
      <c r="Z24" s="11"/>
      <c r="AA24" s="11"/>
      <c r="AB24" s="11"/>
      <c r="AC24" s="11"/>
      <c r="AD24" s="11">
        <f t="shared" si="0"/>
        <v>150</v>
      </c>
      <c r="AE24" s="9" t="s">
        <v>59</v>
      </c>
    </row>
    <row r="25" spans="1:31" ht="24" x14ac:dyDescent="0.25">
      <c r="A25" s="7" t="s">
        <v>568</v>
      </c>
      <c r="B25" s="7">
        <v>21</v>
      </c>
      <c r="C25" s="7" t="s">
        <v>318</v>
      </c>
      <c r="D25" s="7" t="s">
        <v>623</v>
      </c>
      <c r="E25" s="7" t="s">
        <v>319</v>
      </c>
      <c r="F25" s="7" t="s">
        <v>320</v>
      </c>
      <c r="G25" s="11">
        <v>190</v>
      </c>
      <c r="H25" s="11"/>
      <c r="I25" s="11"/>
      <c r="J25" s="11"/>
      <c r="K25" s="16" t="s">
        <v>624</v>
      </c>
      <c r="L25" s="7" t="s">
        <v>625</v>
      </c>
      <c r="M25" s="7" t="s">
        <v>626</v>
      </c>
      <c r="N25" s="7" t="s">
        <v>627</v>
      </c>
      <c r="O25" s="7">
        <v>24</v>
      </c>
      <c r="P25" s="11"/>
      <c r="Q25" s="11"/>
      <c r="R25" s="11"/>
      <c r="S25" s="11">
        <v>20</v>
      </c>
      <c r="T25" s="11">
        <v>30</v>
      </c>
      <c r="U25" s="11">
        <v>30</v>
      </c>
      <c r="V25" s="11">
        <v>30</v>
      </c>
      <c r="W25" s="11">
        <v>40</v>
      </c>
      <c r="X25" s="11">
        <v>40</v>
      </c>
      <c r="Y25" s="11"/>
      <c r="Z25" s="11"/>
      <c r="AA25" s="11"/>
      <c r="AB25" s="11"/>
      <c r="AC25" s="11"/>
      <c r="AD25" s="11">
        <f t="shared" si="0"/>
        <v>190</v>
      </c>
      <c r="AE25" s="9" t="s">
        <v>63</v>
      </c>
    </row>
    <row r="26" spans="1:31" ht="48" x14ac:dyDescent="0.25">
      <c r="A26" s="7" t="s">
        <v>568</v>
      </c>
      <c r="B26" s="7">
        <v>22</v>
      </c>
      <c r="C26" s="7" t="s">
        <v>251</v>
      </c>
      <c r="D26" s="7" t="s">
        <v>628</v>
      </c>
      <c r="E26" s="7" t="s">
        <v>252</v>
      </c>
      <c r="F26" s="7" t="s">
        <v>253</v>
      </c>
      <c r="G26" s="11">
        <v>475</v>
      </c>
      <c r="H26" s="11"/>
      <c r="I26" s="11"/>
      <c r="J26" s="11"/>
      <c r="K26" s="14" t="s">
        <v>569</v>
      </c>
      <c r="L26" s="7" t="s">
        <v>629</v>
      </c>
      <c r="M26" s="7" t="s">
        <v>630</v>
      </c>
      <c r="N26" s="7" t="s">
        <v>631</v>
      </c>
      <c r="O26" s="7">
        <v>24</v>
      </c>
      <c r="P26" s="11"/>
      <c r="Q26" s="11"/>
      <c r="R26" s="11"/>
      <c r="S26" s="11"/>
      <c r="T26" s="11"/>
      <c r="U26" s="11">
        <v>150</v>
      </c>
      <c r="V26" s="11"/>
      <c r="W26" s="11"/>
      <c r="X26" s="11">
        <v>50</v>
      </c>
      <c r="Y26" s="11">
        <v>25</v>
      </c>
      <c r="Z26" s="11">
        <v>75</v>
      </c>
      <c r="AA26" s="11">
        <v>50</v>
      </c>
      <c r="AB26" s="11">
        <v>50</v>
      </c>
      <c r="AC26" s="11">
        <v>50</v>
      </c>
      <c r="AD26" s="11">
        <f t="shared" si="0"/>
        <v>450</v>
      </c>
      <c r="AE26" s="9" t="s">
        <v>59</v>
      </c>
    </row>
    <row r="27" spans="1:31" ht="36" x14ac:dyDescent="0.25">
      <c r="A27" s="7" t="s">
        <v>568</v>
      </c>
      <c r="B27" s="7">
        <v>23</v>
      </c>
      <c r="C27" s="7" t="s">
        <v>265</v>
      </c>
      <c r="D27" s="7" t="s">
        <v>632</v>
      </c>
      <c r="E27" s="7" t="s">
        <v>252</v>
      </c>
      <c r="F27" s="7" t="s">
        <v>253</v>
      </c>
      <c r="G27" s="11">
        <v>450</v>
      </c>
      <c r="H27" s="11"/>
      <c r="I27" s="11"/>
      <c r="J27" s="11"/>
      <c r="K27" s="14" t="s">
        <v>569</v>
      </c>
      <c r="L27" s="7" t="s">
        <v>633</v>
      </c>
      <c r="M27" s="7" t="s">
        <v>634</v>
      </c>
      <c r="N27" s="7"/>
      <c r="O27" s="7">
        <v>24</v>
      </c>
      <c r="P27" s="11"/>
      <c r="Q27" s="11"/>
      <c r="R27" s="11"/>
      <c r="S27" s="11"/>
      <c r="T27" s="11">
        <v>150</v>
      </c>
      <c r="U27" s="11">
        <v>100</v>
      </c>
      <c r="V27" s="11"/>
      <c r="W27" s="11">
        <v>100</v>
      </c>
      <c r="X27" s="11"/>
      <c r="Y27" s="11">
        <v>100</v>
      </c>
      <c r="Z27" s="11"/>
      <c r="AA27" s="11"/>
      <c r="AB27" s="11"/>
      <c r="AC27" s="11"/>
      <c r="AD27" s="11">
        <f t="shared" si="0"/>
        <v>450</v>
      </c>
      <c r="AE27" s="9" t="s">
        <v>54</v>
      </c>
    </row>
    <row r="28" spans="1:31" ht="24" x14ac:dyDescent="0.25">
      <c r="A28" s="7" t="s">
        <v>568</v>
      </c>
      <c r="B28" s="7">
        <v>24</v>
      </c>
      <c r="C28" s="7" t="s">
        <v>300</v>
      </c>
      <c r="D28" s="7" t="s">
        <v>49</v>
      </c>
      <c r="E28" s="7" t="s">
        <v>165</v>
      </c>
      <c r="F28" s="7" t="s">
        <v>301</v>
      </c>
      <c r="G28" s="11">
        <v>290</v>
      </c>
      <c r="H28" s="11"/>
      <c r="I28" s="11"/>
      <c r="J28" s="11"/>
      <c r="K28" s="16" t="s">
        <v>624</v>
      </c>
      <c r="L28" s="7" t="s">
        <v>635</v>
      </c>
      <c r="M28" s="7" t="s">
        <v>636</v>
      </c>
      <c r="N28" s="7" t="s">
        <v>637</v>
      </c>
      <c r="O28" s="7">
        <v>24</v>
      </c>
      <c r="P28" s="11"/>
      <c r="Q28" s="11"/>
      <c r="R28" s="11">
        <v>50</v>
      </c>
      <c r="S28" s="11">
        <v>50</v>
      </c>
      <c r="T28" s="11">
        <v>50</v>
      </c>
      <c r="U28" s="11">
        <v>50</v>
      </c>
      <c r="V28" s="11">
        <v>50</v>
      </c>
      <c r="W28" s="11">
        <v>40</v>
      </c>
      <c r="X28" s="11"/>
      <c r="Y28" s="11"/>
      <c r="Z28" s="11"/>
      <c r="AA28" s="11"/>
      <c r="AB28" s="11"/>
      <c r="AC28" s="11"/>
      <c r="AD28" s="11">
        <f t="shared" si="0"/>
        <v>290</v>
      </c>
      <c r="AE28" s="9" t="s">
        <v>49</v>
      </c>
    </row>
    <row r="29" spans="1:31" ht="24" x14ac:dyDescent="0.25">
      <c r="A29" s="7" t="s">
        <v>568</v>
      </c>
      <c r="B29" s="7">
        <v>25</v>
      </c>
      <c r="C29" s="7" t="s">
        <v>289</v>
      </c>
      <c r="D29" s="7" t="s">
        <v>595</v>
      </c>
      <c r="E29" s="7" t="s">
        <v>121</v>
      </c>
      <c r="F29" s="7" t="s">
        <v>290</v>
      </c>
      <c r="G29" s="11">
        <v>150</v>
      </c>
      <c r="H29" s="11"/>
      <c r="I29" s="11"/>
      <c r="J29" s="11"/>
      <c r="K29" s="16" t="s">
        <v>575</v>
      </c>
      <c r="L29" s="7" t="s">
        <v>638</v>
      </c>
      <c r="M29" s="7" t="s">
        <v>639</v>
      </c>
      <c r="N29" s="7" t="s">
        <v>640</v>
      </c>
      <c r="O29" s="7">
        <v>24</v>
      </c>
      <c r="P29" s="11"/>
      <c r="Q29" s="11">
        <v>15</v>
      </c>
      <c r="R29" s="11">
        <v>30</v>
      </c>
      <c r="S29" s="11">
        <v>30</v>
      </c>
      <c r="T29" s="11">
        <v>30</v>
      </c>
      <c r="U29" s="11">
        <v>30</v>
      </c>
      <c r="V29" s="11">
        <v>15</v>
      </c>
      <c r="W29" s="11"/>
      <c r="X29" s="11"/>
      <c r="Y29" s="11"/>
      <c r="Z29" s="11"/>
      <c r="AA29" s="11"/>
      <c r="AB29" s="11"/>
      <c r="AC29" s="11"/>
      <c r="AD29" s="11">
        <f t="shared" si="0"/>
        <v>150</v>
      </c>
      <c r="AE29" s="9" t="s">
        <v>551</v>
      </c>
    </row>
    <row r="30" spans="1:31" ht="24" x14ac:dyDescent="0.25">
      <c r="A30" s="7" t="s">
        <v>568</v>
      </c>
      <c r="B30" s="7">
        <v>26</v>
      </c>
      <c r="C30" s="7" t="s">
        <v>295</v>
      </c>
      <c r="D30" s="7" t="s">
        <v>595</v>
      </c>
      <c r="E30" s="7" t="s">
        <v>296</v>
      </c>
      <c r="F30" s="7" t="s">
        <v>297</v>
      </c>
      <c r="G30" s="11">
        <v>180</v>
      </c>
      <c r="H30" s="11"/>
      <c r="I30" s="11"/>
      <c r="J30" s="11"/>
      <c r="K30" s="15" t="s">
        <v>573</v>
      </c>
      <c r="L30" s="7" t="s">
        <v>347</v>
      </c>
      <c r="M30" s="7" t="s">
        <v>347</v>
      </c>
      <c r="N30" s="7" t="s">
        <v>641</v>
      </c>
      <c r="O30" s="7">
        <v>24</v>
      </c>
      <c r="P30" s="11"/>
      <c r="Q30" s="11"/>
      <c r="R30" s="11"/>
      <c r="S30" s="11"/>
      <c r="T30" s="11">
        <v>20</v>
      </c>
      <c r="U30" s="11">
        <v>30</v>
      </c>
      <c r="V30" s="11">
        <v>30</v>
      </c>
      <c r="W30" s="11">
        <v>30</v>
      </c>
      <c r="X30" s="11">
        <v>30</v>
      </c>
      <c r="Y30" s="11">
        <v>40</v>
      </c>
      <c r="Z30" s="11"/>
      <c r="AA30" s="11"/>
      <c r="AB30" s="11"/>
      <c r="AC30" s="11"/>
      <c r="AD30" s="11">
        <f t="shared" si="0"/>
        <v>180</v>
      </c>
      <c r="AE30" s="9" t="s">
        <v>551</v>
      </c>
    </row>
    <row r="31" spans="1:31" ht="24" x14ac:dyDescent="0.25">
      <c r="A31" s="7" t="s">
        <v>568</v>
      </c>
      <c r="B31" s="7">
        <v>27</v>
      </c>
      <c r="C31" s="7" t="s">
        <v>173</v>
      </c>
      <c r="D31" s="7" t="s">
        <v>50</v>
      </c>
      <c r="E31" s="7" t="s">
        <v>174</v>
      </c>
      <c r="F31" s="7" t="s">
        <v>175</v>
      </c>
      <c r="G31" s="11">
        <v>35</v>
      </c>
      <c r="H31" s="11">
        <v>25</v>
      </c>
      <c r="I31" s="11">
        <v>0.97</v>
      </c>
      <c r="J31" s="11">
        <v>7.77</v>
      </c>
      <c r="K31" s="16" t="s">
        <v>597</v>
      </c>
      <c r="L31" s="7" t="s">
        <v>642</v>
      </c>
      <c r="M31" s="7" t="s">
        <v>643</v>
      </c>
      <c r="N31" s="7" t="s">
        <v>644</v>
      </c>
      <c r="O31" s="7">
        <v>25</v>
      </c>
      <c r="P31" s="11"/>
      <c r="Q31" s="11"/>
      <c r="R31" s="11">
        <v>25</v>
      </c>
      <c r="S31" s="11">
        <v>10</v>
      </c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>
        <f t="shared" si="0"/>
        <v>35</v>
      </c>
      <c r="AE31" s="9" t="s">
        <v>50</v>
      </c>
    </row>
    <row r="32" spans="1:31" ht="24" x14ac:dyDescent="0.25">
      <c r="A32" s="7" t="s">
        <v>568</v>
      </c>
      <c r="B32" s="7">
        <v>28</v>
      </c>
      <c r="C32" s="7" t="s">
        <v>304</v>
      </c>
      <c r="D32" s="7" t="s">
        <v>50</v>
      </c>
      <c r="E32" s="7" t="s">
        <v>305</v>
      </c>
      <c r="F32" s="7" t="s">
        <v>306</v>
      </c>
      <c r="G32" s="11">
        <v>190</v>
      </c>
      <c r="H32" s="11"/>
      <c r="I32" s="11"/>
      <c r="J32" s="11"/>
      <c r="K32" s="16" t="s">
        <v>597</v>
      </c>
      <c r="L32" s="7" t="s">
        <v>645</v>
      </c>
      <c r="M32" s="7" t="s">
        <v>646</v>
      </c>
      <c r="N32" s="7"/>
      <c r="O32" s="7">
        <v>25</v>
      </c>
      <c r="P32" s="11"/>
      <c r="Q32" s="11"/>
      <c r="R32" s="11">
        <v>50</v>
      </c>
      <c r="S32" s="11">
        <v>35</v>
      </c>
      <c r="T32" s="11">
        <v>30</v>
      </c>
      <c r="U32" s="11">
        <v>30</v>
      </c>
      <c r="V32" s="11">
        <v>45</v>
      </c>
      <c r="W32" s="11"/>
      <c r="X32" s="11"/>
      <c r="Y32" s="11"/>
      <c r="Z32" s="11"/>
      <c r="AA32" s="11"/>
      <c r="AB32" s="11"/>
      <c r="AC32" s="11"/>
      <c r="AD32" s="11">
        <f t="shared" si="0"/>
        <v>190</v>
      </c>
      <c r="AE32" s="9" t="s">
        <v>50</v>
      </c>
    </row>
    <row r="33" spans="1:31" x14ac:dyDescent="0.25">
      <c r="A33" s="7" t="s">
        <v>568</v>
      </c>
      <c r="B33" s="7">
        <v>29</v>
      </c>
      <c r="C33" s="7" t="s">
        <v>138</v>
      </c>
      <c r="D33" s="7" t="s">
        <v>553</v>
      </c>
      <c r="E33" s="7" t="s">
        <v>139</v>
      </c>
      <c r="F33" s="7" t="s">
        <v>140</v>
      </c>
      <c r="G33" s="11">
        <v>32</v>
      </c>
      <c r="H33" s="11">
        <v>32</v>
      </c>
      <c r="I33" s="11">
        <v>10.93</v>
      </c>
      <c r="J33" s="11">
        <v>11.56</v>
      </c>
      <c r="K33" s="15" t="s">
        <v>573</v>
      </c>
      <c r="L33" s="7" t="s">
        <v>347</v>
      </c>
      <c r="M33" s="7" t="s">
        <v>347</v>
      </c>
      <c r="N33" s="7" t="s">
        <v>647</v>
      </c>
      <c r="O33" s="7">
        <v>25</v>
      </c>
      <c r="P33" s="11">
        <v>32</v>
      </c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>
        <f t="shared" si="0"/>
        <v>32</v>
      </c>
      <c r="AE33" s="9" t="s">
        <v>553</v>
      </c>
    </row>
    <row r="34" spans="1:31" ht="24" x14ac:dyDescent="0.25">
      <c r="A34" s="7" t="s">
        <v>568</v>
      </c>
      <c r="B34" s="7">
        <v>30</v>
      </c>
      <c r="C34" s="7" t="s">
        <v>222</v>
      </c>
      <c r="D34" s="7" t="s">
        <v>56</v>
      </c>
      <c r="E34" s="7" t="s">
        <v>216</v>
      </c>
      <c r="F34" s="7" t="s">
        <v>223</v>
      </c>
      <c r="G34" s="11">
        <v>70</v>
      </c>
      <c r="H34" s="11">
        <v>70</v>
      </c>
      <c r="I34" s="11"/>
      <c r="J34" s="11"/>
      <c r="K34" s="14" t="s">
        <v>569</v>
      </c>
      <c r="L34" s="7" t="s">
        <v>648</v>
      </c>
      <c r="M34" s="7" t="s">
        <v>649</v>
      </c>
      <c r="N34" s="7"/>
      <c r="O34" s="7">
        <v>25</v>
      </c>
      <c r="P34" s="11">
        <v>70</v>
      </c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>
        <f t="shared" si="0"/>
        <v>70</v>
      </c>
      <c r="AE34" s="9" t="s">
        <v>56</v>
      </c>
    </row>
    <row r="35" spans="1:31" ht="24" x14ac:dyDescent="0.25">
      <c r="A35" s="7" t="s">
        <v>568</v>
      </c>
      <c r="B35" s="7">
        <v>31</v>
      </c>
      <c r="C35" s="7" t="s">
        <v>345</v>
      </c>
      <c r="D35" s="7" t="s">
        <v>67</v>
      </c>
      <c r="E35" s="7" t="s">
        <v>346</v>
      </c>
      <c r="F35" s="7" t="s">
        <v>347</v>
      </c>
      <c r="G35" s="11">
        <v>52</v>
      </c>
      <c r="H35" s="11"/>
      <c r="I35" s="11"/>
      <c r="J35" s="11"/>
      <c r="K35" s="14" t="s">
        <v>569</v>
      </c>
      <c r="L35" s="7" t="s">
        <v>650</v>
      </c>
      <c r="M35" s="7" t="s">
        <v>651</v>
      </c>
      <c r="N35" s="7" t="s">
        <v>652</v>
      </c>
      <c r="O35" s="7">
        <v>25</v>
      </c>
      <c r="P35" s="11">
        <v>52</v>
      </c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>
        <f t="shared" si="0"/>
        <v>52</v>
      </c>
      <c r="AE35" s="9" t="s">
        <v>67</v>
      </c>
    </row>
    <row r="36" spans="1:31" ht="36" x14ac:dyDescent="0.25">
      <c r="A36" s="7" t="s">
        <v>653</v>
      </c>
      <c r="B36" s="7">
        <v>1</v>
      </c>
      <c r="C36" s="7" t="s">
        <v>353</v>
      </c>
      <c r="D36" s="7" t="s">
        <v>654</v>
      </c>
      <c r="E36" s="7" t="s">
        <v>354</v>
      </c>
      <c r="F36" s="7" t="s">
        <v>355</v>
      </c>
      <c r="G36" s="11">
        <v>74</v>
      </c>
      <c r="H36" s="11"/>
      <c r="I36" s="11"/>
      <c r="J36" s="11"/>
      <c r="K36" s="14" t="s">
        <v>569</v>
      </c>
      <c r="L36" s="7" t="s">
        <v>655</v>
      </c>
      <c r="M36" s="7" t="s">
        <v>656</v>
      </c>
      <c r="N36" s="7" t="s">
        <v>657</v>
      </c>
      <c r="O36" s="7">
        <v>25</v>
      </c>
      <c r="P36" s="11"/>
      <c r="Q36" s="11"/>
      <c r="R36" s="11">
        <v>51.5</v>
      </c>
      <c r="S36" s="11">
        <v>22.5</v>
      </c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>
        <f t="shared" si="0"/>
        <v>74</v>
      </c>
      <c r="AE36" s="9" t="s">
        <v>552</v>
      </c>
    </row>
    <row r="37" spans="1:31" ht="36" x14ac:dyDescent="0.25">
      <c r="A37" s="7" t="s">
        <v>653</v>
      </c>
      <c r="B37" s="7">
        <v>2</v>
      </c>
      <c r="C37" s="7" t="s">
        <v>227</v>
      </c>
      <c r="D37" s="7" t="s">
        <v>658</v>
      </c>
      <c r="E37" s="7" t="s">
        <v>228</v>
      </c>
      <c r="F37" s="7" t="s">
        <v>229</v>
      </c>
      <c r="G37" s="11">
        <v>155</v>
      </c>
      <c r="H37" s="11">
        <v>16</v>
      </c>
      <c r="I37" s="11">
        <v>0</v>
      </c>
      <c r="J37" s="11">
        <v>0</v>
      </c>
      <c r="K37" s="16" t="s">
        <v>624</v>
      </c>
      <c r="L37" s="7" t="s">
        <v>659</v>
      </c>
      <c r="M37" s="7" t="s">
        <v>626</v>
      </c>
      <c r="N37" s="7" t="s">
        <v>660</v>
      </c>
      <c r="O37" s="7">
        <v>25</v>
      </c>
      <c r="P37" s="11"/>
      <c r="Q37" s="11"/>
      <c r="R37" s="11">
        <v>74</v>
      </c>
      <c r="S37" s="11">
        <v>22</v>
      </c>
      <c r="T37" s="11">
        <v>16</v>
      </c>
      <c r="U37" s="11">
        <v>16</v>
      </c>
      <c r="V37" s="11">
        <v>12</v>
      </c>
      <c r="W37" s="11">
        <v>15</v>
      </c>
      <c r="X37" s="11"/>
      <c r="Y37" s="11"/>
      <c r="Z37" s="11"/>
      <c r="AA37" s="11"/>
      <c r="AB37" s="11"/>
      <c r="AC37" s="11"/>
      <c r="AD37" s="11">
        <f t="shared" si="0"/>
        <v>155</v>
      </c>
      <c r="AE37" s="9" t="s">
        <v>552</v>
      </c>
    </row>
    <row r="38" spans="1:31" ht="24" x14ac:dyDescent="0.25">
      <c r="A38" s="7" t="s">
        <v>653</v>
      </c>
      <c r="B38" s="7">
        <v>3</v>
      </c>
      <c r="C38" s="7" t="s">
        <v>246</v>
      </c>
      <c r="D38" s="7" t="s">
        <v>54</v>
      </c>
      <c r="E38" s="7" t="s">
        <v>247</v>
      </c>
      <c r="F38" s="7" t="s">
        <v>248</v>
      </c>
      <c r="G38" s="11">
        <v>200</v>
      </c>
      <c r="H38" s="11">
        <v>57</v>
      </c>
      <c r="I38" s="11">
        <v>41.63</v>
      </c>
      <c r="J38" s="11">
        <v>57.8</v>
      </c>
      <c r="K38" s="15" t="s">
        <v>573</v>
      </c>
      <c r="L38" s="7" t="s">
        <v>347</v>
      </c>
      <c r="M38" s="7" t="s">
        <v>347</v>
      </c>
      <c r="N38" s="7" t="s">
        <v>661</v>
      </c>
      <c r="O38" s="7">
        <v>26</v>
      </c>
      <c r="P38" s="11">
        <v>200</v>
      </c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>
        <f t="shared" si="0"/>
        <v>200</v>
      </c>
      <c r="AE38" s="9" t="s">
        <v>54</v>
      </c>
    </row>
    <row r="39" spans="1:31" ht="24" x14ac:dyDescent="0.25">
      <c r="A39" s="7" t="s">
        <v>653</v>
      </c>
      <c r="B39" s="7">
        <v>4</v>
      </c>
      <c r="C39" s="7" t="s">
        <v>233</v>
      </c>
      <c r="D39" s="7" t="s">
        <v>41</v>
      </c>
      <c r="E39" s="7" t="s">
        <v>234</v>
      </c>
      <c r="F39" s="7" t="s">
        <v>235</v>
      </c>
      <c r="G39" s="11">
        <v>36</v>
      </c>
      <c r="H39" s="11">
        <v>36</v>
      </c>
      <c r="I39" s="11">
        <v>16.88</v>
      </c>
      <c r="J39" s="11">
        <v>17.170000000000002</v>
      </c>
      <c r="K39" s="15" t="s">
        <v>573</v>
      </c>
      <c r="L39" s="7" t="s">
        <v>347</v>
      </c>
      <c r="M39" s="7" t="s">
        <v>347</v>
      </c>
      <c r="N39" s="7" t="s">
        <v>662</v>
      </c>
      <c r="O39" s="7">
        <v>26</v>
      </c>
      <c r="P39" s="11">
        <v>36</v>
      </c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>
        <f t="shared" si="0"/>
        <v>36</v>
      </c>
      <c r="AE39" s="9" t="s">
        <v>41</v>
      </c>
    </row>
    <row r="40" spans="1:31" ht="24" x14ac:dyDescent="0.25">
      <c r="A40" s="7" t="s">
        <v>653</v>
      </c>
      <c r="B40" s="7">
        <v>5</v>
      </c>
      <c r="C40" s="7" t="s">
        <v>239</v>
      </c>
      <c r="D40" s="7" t="s">
        <v>41</v>
      </c>
      <c r="E40" s="7" t="s">
        <v>240</v>
      </c>
      <c r="F40" s="7" t="s">
        <v>241</v>
      </c>
      <c r="G40" s="11">
        <v>150</v>
      </c>
      <c r="H40" s="11">
        <v>50</v>
      </c>
      <c r="I40" s="11">
        <v>5.0199999999999996</v>
      </c>
      <c r="J40" s="11">
        <v>8.98</v>
      </c>
      <c r="K40" s="15" t="s">
        <v>573</v>
      </c>
      <c r="L40" s="7" t="s">
        <v>347</v>
      </c>
      <c r="M40" s="7" t="s">
        <v>347</v>
      </c>
      <c r="N40" s="7" t="s">
        <v>662</v>
      </c>
      <c r="O40" s="7">
        <v>26</v>
      </c>
      <c r="P40" s="11"/>
      <c r="Q40" s="11">
        <v>50</v>
      </c>
      <c r="R40" s="11"/>
      <c r="S40" s="11">
        <v>50</v>
      </c>
      <c r="T40" s="11"/>
      <c r="U40" s="11">
        <v>50</v>
      </c>
      <c r="V40" s="11"/>
      <c r="W40" s="11"/>
      <c r="X40" s="11"/>
      <c r="Y40" s="11"/>
      <c r="Z40" s="11"/>
      <c r="AA40" s="11"/>
      <c r="AB40" s="11"/>
      <c r="AC40" s="11"/>
      <c r="AD40" s="11">
        <f t="shared" si="0"/>
        <v>150</v>
      </c>
      <c r="AE40" s="9" t="s">
        <v>41</v>
      </c>
    </row>
    <row r="41" spans="1:31" x14ac:dyDescent="0.25">
      <c r="C41" s="4" t="s">
        <v>663</v>
      </c>
      <c r="G41" s="12">
        <f>SUMIFS(G5:G40,$A$5:$A$40,"MMR")</f>
        <v>5385</v>
      </c>
      <c r="H41" s="12">
        <f>SUMIFS(H5:H40,$A$5:$A$40,"MMR")</f>
        <v>526</v>
      </c>
      <c r="I41" s="12">
        <f>SUMIFS(I5:I40,$A$5:$A$40,"MMR")</f>
        <v>140.99</v>
      </c>
      <c r="J41" s="12">
        <f>SUMIFS(J5:J40,$A$5:$A$40,"MMR")</f>
        <v>190.51000000000002</v>
      </c>
    </row>
    <row r="42" spans="1:31" x14ac:dyDescent="0.25">
      <c r="C42" s="4" t="s">
        <v>664</v>
      </c>
      <c r="G42" s="12">
        <f>SUMIFS(G5:G40,$A$5:$A$40,"PMR")</f>
        <v>615</v>
      </c>
      <c r="H42" s="12">
        <f>SUMIFS(H5:H40,$A$5:$A$40,"PMR")</f>
        <v>159</v>
      </c>
      <c r="I42" s="12">
        <f>SUMIFS(I5:I40,$A$5:$A$40,"PMR")</f>
        <v>63.53</v>
      </c>
      <c r="J42" s="12">
        <f>SUMIFS(J5:J40,$A$5:$A$40,"PMR")</f>
        <v>83.95</v>
      </c>
    </row>
    <row r="43" spans="1:31" ht="24" x14ac:dyDescent="0.25">
      <c r="C43" s="4" t="s">
        <v>665</v>
      </c>
      <c r="G43" s="12">
        <f>G41+G42</f>
        <v>6000</v>
      </c>
      <c r="H43" s="12">
        <f>H41+H42</f>
        <v>685</v>
      </c>
      <c r="I43" s="12">
        <f>I41+I42</f>
        <v>204.52</v>
      </c>
      <c r="J43" s="12">
        <f>J41+J42</f>
        <v>274.46000000000004</v>
      </c>
      <c r="P43" s="17">
        <f t="shared" ref="P43:AD43" si="1">SUM(P5:P40)</f>
        <v>1004</v>
      </c>
      <c r="Q43" s="17">
        <f t="shared" si="1"/>
        <v>65</v>
      </c>
      <c r="R43" s="17">
        <f t="shared" si="1"/>
        <v>705</v>
      </c>
      <c r="S43" s="17">
        <f t="shared" si="1"/>
        <v>779</v>
      </c>
      <c r="T43" s="17">
        <f t="shared" si="1"/>
        <v>758.5</v>
      </c>
      <c r="U43" s="17">
        <f t="shared" si="1"/>
        <v>887.5</v>
      </c>
      <c r="V43" s="17">
        <f t="shared" si="1"/>
        <v>429</v>
      </c>
      <c r="W43" s="17">
        <f t="shared" si="1"/>
        <v>558</v>
      </c>
      <c r="X43" s="17">
        <f t="shared" si="1"/>
        <v>304</v>
      </c>
      <c r="Y43" s="17">
        <f t="shared" si="1"/>
        <v>176</v>
      </c>
      <c r="Z43" s="17">
        <f t="shared" si="1"/>
        <v>84</v>
      </c>
      <c r="AA43" s="17">
        <f t="shared" si="1"/>
        <v>125</v>
      </c>
      <c r="AB43" s="17">
        <f t="shared" si="1"/>
        <v>50</v>
      </c>
      <c r="AC43" s="17">
        <f t="shared" si="1"/>
        <v>50</v>
      </c>
      <c r="AD43" s="17">
        <f t="shared" si="1"/>
        <v>5975</v>
      </c>
    </row>
    <row r="44" spans="1:31" x14ac:dyDescent="0.25">
      <c r="C44" s="18" t="s">
        <v>666</v>
      </c>
    </row>
  </sheetData>
  <autoFilter ref="A4:AD40" xr:uid="{00000000-0009-0000-0000-000004000000}"/>
  <mergeCells count="1"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workbookViewId="0"/>
  </sheetViews>
  <sheetFormatPr defaultRowHeight="15" x14ac:dyDescent="0.25"/>
  <cols>
    <col min="1" max="1" width="8" customWidth="1"/>
    <col min="2" max="2" width="26" customWidth="1"/>
    <col min="3" max="3" width="34" customWidth="1"/>
    <col min="4" max="4" width="30" customWidth="1"/>
    <col min="5" max="5" width="60" customWidth="1"/>
  </cols>
  <sheetData>
    <row r="1" spans="1:5" ht="16.5" x14ac:dyDescent="0.25">
      <c r="A1" s="1" t="s">
        <v>667</v>
      </c>
    </row>
    <row r="3" spans="1:5" ht="25.5" x14ac:dyDescent="0.25">
      <c r="A3" s="3" t="s">
        <v>668</v>
      </c>
      <c r="B3" s="3" t="s">
        <v>95</v>
      </c>
      <c r="C3" s="3" t="s">
        <v>669</v>
      </c>
      <c r="D3" s="3" t="s">
        <v>670</v>
      </c>
      <c r="E3" s="3" t="s">
        <v>671</v>
      </c>
    </row>
    <row r="4" spans="1:5" ht="30" customHeight="1" x14ac:dyDescent="0.25">
      <c r="A4" s="7">
        <v>3</v>
      </c>
      <c r="B4" s="7" t="s">
        <v>672</v>
      </c>
      <c r="C4" s="7" t="s">
        <v>440</v>
      </c>
      <c r="D4" s="7" t="s">
        <v>673</v>
      </c>
      <c r="E4" s="7" t="s">
        <v>674</v>
      </c>
    </row>
    <row r="5" spans="1:5" ht="30" customHeight="1" x14ac:dyDescent="0.25">
      <c r="A5" s="7">
        <v>6</v>
      </c>
      <c r="B5" s="7" t="s">
        <v>675</v>
      </c>
      <c r="C5" s="7" t="s">
        <v>676</v>
      </c>
      <c r="D5" s="7" t="s">
        <v>677</v>
      </c>
      <c r="E5" s="7" t="s">
        <v>678</v>
      </c>
    </row>
    <row r="6" spans="1:5" ht="30" customHeight="1" x14ac:dyDescent="0.25">
      <c r="A6" s="7">
        <v>7</v>
      </c>
      <c r="B6" s="7" t="s">
        <v>679</v>
      </c>
      <c r="C6" s="7" t="s">
        <v>680</v>
      </c>
      <c r="D6" s="7" t="s">
        <v>681</v>
      </c>
      <c r="E6" s="7" t="s">
        <v>682</v>
      </c>
    </row>
    <row r="7" spans="1:5" ht="30" customHeight="1" x14ac:dyDescent="0.25">
      <c r="A7" s="7">
        <v>15</v>
      </c>
      <c r="B7" s="7" t="s">
        <v>71</v>
      </c>
      <c r="C7" s="7" t="s">
        <v>395</v>
      </c>
      <c r="D7" s="7" t="s">
        <v>683</v>
      </c>
      <c r="E7" s="7" t="s">
        <v>684</v>
      </c>
    </row>
    <row r="8" spans="1:5" ht="30" customHeight="1" x14ac:dyDescent="0.25">
      <c r="A8" s="7">
        <v>22</v>
      </c>
      <c r="B8" s="7" t="s">
        <v>81</v>
      </c>
      <c r="C8" s="7" t="s">
        <v>685</v>
      </c>
      <c r="D8" s="7" t="s">
        <v>686</v>
      </c>
      <c r="E8" s="7" t="s">
        <v>687</v>
      </c>
    </row>
    <row r="9" spans="1:5" ht="30" customHeight="1" x14ac:dyDescent="0.25">
      <c r="A9" s="7">
        <v>24</v>
      </c>
      <c r="B9" s="7" t="s">
        <v>74</v>
      </c>
      <c r="C9" s="7" t="s">
        <v>463</v>
      </c>
      <c r="D9" s="7" t="s">
        <v>688</v>
      </c>
      <c r="E9" s="7" t="s">
        <v>689</v>
      </c>
    </row>
    <row r="10" spans="1:5" ht="30" customHeight="1" x14ac:dyDescent="0.25">
      <c r="A10" s="7">
        <v>25</v>
      </c>
      <c r="B10" s="7" t="s">
        <v>78</v>
      </c>
      <c r="C10" s="7" t="s">
        <v>690</v>
      </c>
      <c r="D10" s="7" t="s">
        <v>691</v>
      </c>
      <c r="E10" s="7" t="s">
        <v>692</v>
      </c>
    </row>
    <row r="11" spans="1:5" ht="30" customHeight="1" x14ac:dyDescent="0.25">
      <c r="A11" s="7">
        <v>26</v>
      </c>
      <c r="B11" s="7" t="s">
        <v>693</v>
      </c>
      <c r="C11" s="7" t="s">
        <v>694</v>
      </c>
      <c r="D11" s="7" t="s">
        <v>695</v>
      </c>
      <c r="E11" s="7" t="s">
        <v>692</v>
      </c>
    </row>
    <row r="12" spans="1:5" ht="30" customHeight="1" x14ac:dyDescent="0.25">
      <c r="A12" s="7">
        <v>27</v>
      </c>
      <c r="B12" s="7" t="s">
        <v>82</v>
      </c>
      <c r="C12" s="7" t="s">
        <v>479</v>
      </c>
      <c r="D12" s="7" t="s">
        <v>696</v>
      </c>
      <c r="E12" s="7" t="s">
        <v>697</v>
      </c>
    </row>
    <row r="13" spans="1:5" ht="30" customHeight="1" x14ac:dyDescent="0.25">
      <c r="A13" s="7">
        <v>28</v>
      </c>
      <c r="B13" s="7" t="s">
        <v>426</v>
      </c>
      <c r="C13" s="7" t="s">
        <v>427</v>
      </c>
      <c r="D13" s="7" t="s">
        <v>698</v>
      </c>
      <c r="E13" s="7" t="s">
        <v>699</v>
      </c>
    </row>
    <row r="14" spans="1:5" ht="30" customHeight="1" x14ac:dyDescent="0.25">
      <c r="A14" s="7">
        <v>29</v>
      </c>
      <c r="B14" s="7" t="s">
        <v>80</v>
      </c>
      <c r="C14" s="7" t="s">
        <v>457</v>
      </c>
      <c r="D14" s="7" t="s">
        <v>700</v>
      </c>
      <c r="E14" s="7" t="s">
        <v>701</v>
      </c>
    </row>
    <row r="15" spans="1:5" ht="30" customHeight="1" x14ac:dyDescent="0.25">
      <c r="A15" s="7">
        <v>30</v>
      </c>
      <c r="B15" s="7" t="s">
        <v>83</v>
      </c>
      <c r="C15" s="7" t="s">
        <v>485</v>
      </c>
      <c r="D15" s="7" t="s">
        <v>702</v>
      </c>
      <c r="E15" s="7" t="s">
        <v>703</v>
      </c>
    </row>
    <row r="16" spans="1:5" ht="30" customHeight="1" x14ac:dyDescent="0.25">
      <c r="A16" s="7">
        <v>31</v>
      </c>
      <c r="B16" s="7" t="s">
        <v>79</v>
      </c>
      <c r="C16" s="7" t="s">
        <v>452</v>
      </c>
      <c r="D16" s="7" t="s">
        <v>704</v>
      </c>
      <c r="E16" s="7" t="s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MH_Master_Summary</vt:lpstr>
      <vt:lpstr>MH_Master_List</vt:lpstr>
      <vt:lpstr>Summary</vt:lpstr>
      <vt:lpstr>By_Group</vt:lpstr>
      <vt:lpstr>SLDC_Projects</vt:lpstr>
      <vt:lpstr>Ours_not_in_SLDC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206_Harsh Misra</cp:lastModifiedBy>
  <dcterms:created xsi:type="dcterms:W3CDTF">2026-10-22T03:29:51Z</dcterms:created>
  <dcterms:modified xsi:type="dcterms:W3CDTF">2026-10-22T03:30:07Z</dcterms:modified>
</cp:coreProperties>
</file>