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f1201067fc29930/Desktop/Codex folder/India Power/"/>
    </mc:Choice>
  </mc:AlternateContent>
  <xr:revisionPtr revIDLastSave="0" documentId="11_DAC59CDF48B799E221C2500E73D5D2269BE127C9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1_State_Incentives" sheetId="1" r:id="rId1"/>
    <sheet name="T2_AP_GO_Benefits" sheetId="2" r:id="rId2"/>
    <sheet name="T3_Summary_Firm_vs_Headline" sheetId="3" r:id="rId3"/>
  </sheets>
  <calcPr calcId="191029"/>
</workbook>
</file>

<file path=xl/calcChain.xml><?xml version="1.0" encoding="utf-8"?>
<calcChain xmlns="http://schemas.openxmlformats.org/spreadsheetml/2006/main">
  <c r="D10" i="3" l="1"/>
  <c r="C10" i="3"/>
  <c r="C11" i="3" s="1"/>
  <c r="B10" i="3"/>
  <c r="D11" i="3" l="1"/>
</calcChain>
</file>

<file path=xl/sharedStrings.xml><?xml version="1.0" encoding="utf-8"?>
<sst xmlns="http://schemas.openxmlformats.org/spreadsheetml/2006/main" count="215" uniqueCount="187">
  <si>
    <t>Exhibit 4 - State support for data centers</t>
  </si>
  <si>
    <t>Andhra Pradesh</t>
  </si>
  <si>
    <t>Telangana</t>
  </si>
  <si>
    <t>Maharashtra</t>
  </si>
  <si>
    <t>Uttar Pradesh</t>
  </si>
  <si>
    <t>Basis</t>
  </si>
  <si>
    <t>Project GOs (capped)</t>
  </si>
  <si>
    <t>DC Policy 2016</t>
  </si>
  <si>
    <t>IT/ITeS Policy 2023 + 2026 GRs</t>
  </si>
  <si>
    <t>DC Policy 2026</t>
  </si>
  <si>
    <t>Power tariff</t>
  </si>
  <si>
    <t>✓
₹1/kWh, 15 yrs</t>
  </si>
  <si>
    <t>◐
'At cost of generation'</t>
  </si>
  <si>
    <t>✓
₹1/kWh, 10-20 yrs¹</t>
  </si>
  <si>
    <t>✗</t>
  </si>
  <si>
    <t>Electricity duty</t>
  </si>
  <si>
    <t>✓
100%, 15-20 yrs</t>
  </si>
  <si>
    <t>✓
100%, 20 yrs</t>
  </si>
  <si>
    <t>✓
100%, 10 yrs</t>
  </si>
  <si>
    <t>Transmission / wheeling</t>
  </si>
  <si>
    <t>✓
100% waiver, 20 yrs</t>
  </si>
  <si>
    <t>◐
RE open access ≤1/3 load</t>
  </si>
  <si>
    <t>◐
Open access; ≥51% green</t>
  </si>
  <si>
    <t>✓
50-100% waiver, 25 yrs</t>
  </si>
  <si>
    <t>Capital support</t>
  </si>
  <si>
    <t>✓
10% of equipment + SGST refund</t>
  </si>
  <si>
    <t>✓
75% of capex¹</t>
  </si>
  <si>
    <t>✓
7% of capex (≤₹20 cr)</t>
  </si>
  <si>
    <t>Land / stamp duty</t>
  </si>
  <si>
    <t>✓
25% off land; 100% stamp</t>
  </si>
  <si>
    <t>◐
Subsidised land</t>
  </si>
  <si>
    <t>✓
100% stamp</t>
  </si>
  <si>
    <t>✓
25-50% land; 50-100% stamp</t>
  </si>
  <si>
    <t>✓ granted   ◐ partial / intent only   ✗ not offered</t>
  </si>
  <si>
    <t>1) Green DC parks only: ₹1/kWh for 10 yrs at ≥₹30k cr investment, 20 yrs at ≥₹60k cr; 75% capex subsidy at ≥₹60k cr.</t>
  </si>
  <si>
    <t>Source: State government policy documents and GOs, press reports</t>
  </si>
  <si>
    <t>Suggested caption / takeaway (one line):</t>
  </si>
  <si>
    <t>AP and Maharashtra subsidise the cost of power; none of the states guarantees grid access - connectivity stays with the developer.</t>
  </si>
  <si>
    <t>What was cut vs the draft (and why)</t>
  </si>
  <si>
    <t>- Merged 'Power procurement and network charges' into one 'Transmission / wheeling' row; dropped the DDL detail (applies to one AP project).</t>
  </si>
  <si>
    <t>- Dropped the 'Infrastructure and approvals' row (essential-service status, FSI, parking) - similar in all four states, no differentiation.</t>
  </si>
  <si>
    <t>- UP capital line cut to the unit-level 7% (≤₹20 cr); park-level interest subsidy and caps moved out (detail, not comparison).</t>
  </si>
  <si>
    <t>- Footnotes cut from three to one; ticks carry the yes/no, one line of numbers under each tick.</t>
  </si>
  <si>
    <t>- UP 2026 policy figures are as in your draft - not re-verified here (we have the 2021 policy summary only).</t>
  </si>
  <si>
    <t>Andhra Pradesh - incentives granted to each data-center project (Government Orders)</t>
  </si>
  <si>
    <t>Google (Raiden)
GO 40</t>
  </si>
  <si>
    <t>Reliance
GO 30 / 52</t>
  </si>
  <si>
    <t>ReNew
GO 55</t>
  </si>
  <si>
    <t>Colt DCS-RMZ (DCHI)
GO 56</t>
  </si>
  <si>
    <t>AM AI Factory
GO 59</t>
  </si>
  <si>
    <t>Capacity (MW)</t>
  </si>
  <si>
    <t>~1,000</t>
  </si>
  <si>
    <t>Not stated</t>
  </si>
  <si>
    <t>1,000</t>
  </si>
  <si>
    <t>486</t>
  </si>
  <si>
    <t>512</t>
  </si>
  <si>
    <t>Investment (₹ cr)</t>
  </si>
  <si>
    <t>87,520</t>
  </si>
  <si>
    <t>1,08,010</t>
  </si>
  <si>
    <t>85,200</t>
  </si>
  <si>
    <t>58,743</t>
  </si>
  <si>
    <t>31,387</t>
  </si>
  <si>
    <t>Land discount</t>
  </si>
  <si>
    <t>✓
25%</t>
  </si>
  <si>
    <t>✗
APIIC rate</t>
  </si>
  <si>
    <t>✓
25% (≤₹30 cr)</t>
  </si>
  <si>
    <t>✗
At cost</t>
  </si>
  <si>
    <t>Stamp duty / registration</t>
  </si>
  <si>
    <t>✓
100%²</t>
  </si>
  <si>
    <t>✓
100%</t>
  </si>
  <si>
    <t>✓
≤₹5 cr</t>
  </si>
  <si>
    <t>✓
≤₹7 cr</t>
  </si>
  <si>
    <t>✓
≤₹16 cr</t>
  </si>
  <si>
    <t>Capital subsidy</t>
  </si>
  <si>
    <t>✓
10%, ₹2,129 cr</t>
  </si>
  <si>
    <t>✓
6%, ₹4,500 cr</t>
  </si>
  <si>
    <t>✓
10%, ₹3,700 cr</t>
  </si>
  <si>
    <t>✓
10%, ₹1,800 cr</t>
  </si>
  <si>
    <t>✓
10%, ₹300 cr</t>
  </si>
  <si>
    <t>SGST refund - construction</t>
  </si>
  <si>
    <t>✓
₹2,245 cr</t>
  </si>
  <si>
    <t>✓
₹2,527 cr</t>
  </si>
  <si>
    <t>✓
₹5,000 cr³</t>
  </si>
  <si>
    <t>✓
₹703 cr</t>
  </si>
  <si>
    <t>✓
₹490 cr</t>
  </si>
  <si>
    <t>SGST refund - leasing</t>
  </si>
  <si>
    <t>✓
₹1,745 cr</t>
  </si>
  <si>
    <t>✓
₹1,800 cr</t>
  </si>
  <si>
    <t>✓
₹848 cr</t>
  </si>
  <si>
    <t>Power: ₹1/kWh discount</t>
  </si>
  <si>
    <t>✓
10+5 yrs⁴, ₹4,800 cr</t>
  </si>
  <si>
    <t>✓
15 yrs, ₹3,114 cr</t>
  </si>
  <si>
    <t>✓
15 yrs, ₹2,500 cr</t>
  </si>
  <si>
    <t>✓
15 yrs, ₹4,800 cr</t>
  </si>
  <si>
    <t>Transmission / wheeling waiver</t>
  </si>
  <si>
    <t>✓
20 yrs, ₹4,000 cr</t>
  </si>
  <si>
    <t>✓
20 yrs, ₹5,000 cr</t>
  </si>
  <si>
    <t>✓
20 yrs, ₹3,000 cr</t>
  </si>
  <si>
    <t>✓
20 yrs, ₹1,250 cr</t>
  </si>
  <si>
    <t>Electricity duty waiver</t>
  </si>
  <si>
    <t>✓
10+5 yrs⁴, ₹1,200 cr</t>
  </si>
  <si>
    <t>✓
15 yrs, ₹187 cr</t>
  </si>
  <si>
    <t>✓
20 yrs, ₹200 cr</t>
  </si>
  <si>
    <t>✓
20 yrs, ₹410 cr</t>
  </si>
  <si>
    <t>✓
20 yrs, ₹90 cr</t>
  </si>
  <si>
    <t>Cross-subsidy / green-power charges waiver</t>
  </si>
  <si>
    <t>✓
20 yrs, ₹4,500 cr</t>
  </si>
  <si>
    <t>✓
Captive solar, 20 yrs</t>
  </si>
  <si>
    <t>✓
20 yrs, ₹983 cr</t>
  </si>
  <si>
    <t>Grid connection cost refund</t>
  </si>
  <si>
    <t>✓
₹500 cr</t>
  </si>
  <si>
    <t>✓
₹150 cr</t>
  </si>
  <si>
    <t>Water tariff subsidy</t>
  </si>
  <si>
    <t>✓
25%, 10 yrs, ₹12 cr</t>
  </si>
  <si>
    <t>✓
15%, 10 yrs, ₹552 cr</t>
  </si>
  <si>
    <t>✓
25%, 10 yrs, ₹2 cr</t>
  </si>
  <si>
    <t>Fibre (OPGW) 30% discount</t>
  </si>
  <si>
    <t>✓
20 yrs, ₹282 cr</t>
  </si>
  <si>
    <t>✓
20 yrs, ₹1,221 cr</t>
  </si>
  <si>
    <t>✓
20 yrs, ₹142 cr</t>
  </si>
  <si>
    <t>✓
20 yrs, ₹30 cr</t>
  </si>
  <si>
    <t>Right-of-way charges waiver</t>
  </si>
  <si>
    <t>✓
₹175 cr</t>
  </si>
  <si>
    <t>✓
₹200 cr</t>
  </si>
  <si>
    <t>✓
₹85 cr</t>
  </si>
  <si>
    <t>Power trading / distribution licence help</t>
  </si>
  <si>
    <t>✓</t>
  </si>
  <si>
    <t>Govt cloud procurement</t>
  </si>
  <si>
    <t>✓
Google Cloud considered</t>
  </si>
  <si>
    <t>Total capped incentives (₹ cr)</t>
  </si>
  <si>
    <t>22,002⁵</t>
  </si>
  <si>
    <t>19,102</t>
  </si>
  <si>
    <t>14,405</t>
  </si>
  <si>
    <t>9,966</t>
  </si>
  <si>
    <t>5,176</t>
  </si>
  <si>
    <t>Caps as % of investment</t>
  </si>
  <si>
    <t>25%</t>
  </si>
  <si>
    <t>18%</t>
  </si>
  <si>
    <t>17%</t>
  </si>
  <si>
    <t>16%</t>
  </si>
  <si>
    <t>Caps per MW (₹ cr)</t>
  </si>
  <si>
    <t>22.0</t>
  </si>
  <si>
    <t>n/a</t>
  </si>
  <si>
    <t>14.4</t>
  </si>
  <si>
    <t>20.5</t>
  </si>
  <si>
    <t>10.1</t>
  </si>
  <si>
    <t>✓ granted (cap / period below)   ✗ not in the GO. Caps are maximum ₹ cr over the period, nominal.</t>
  </si>
  <si>
    <t>1) All GOs read in full: ITE&amp;C G.O.Ms. 40 (11-10-2025, from the AP GO register), 30 &amp; 52, 55, 56, 59 (2026).</t>
  </si>
  <si>
    <t>2) Google: G.O.Ms. 472 (Revenue, 30-07-2026) waived ₹20.6 cr stamp duty + ₹2.6 cr registration for the three Adani Infra SPVs holding the sites.</t>
  </si>
  <si>
    <t>3) ReNew: 100% net SGST on capital investment (not construction-only).</t>
  </si>
  <si>
    <t>4) Google: first 10 yrs; +5 yrs on meeting investment and capacity milestones. Energy incentives given on a 'discounted model' (ITE&amp;C to settle with Energy Dept).</t>
  </si>
  <si>
    <t>5) Google: overall cap stated in GO 40 (individual caps sum to ₹21,588 cr). Incentives extend to notified partners - Adani Infra, AdaniConneX, Adani Power, Airtel, Nxtra (GO 66).</t>
  </si>
  <si>
    <t>Grid connection: APTRANSCO only 'facilitates'; the developer bears the cost except Google (≤₹500 cr) and DCHI (≤₹150 cr), whose costs are refunded.</t>
  </si>
  <si>
    <t>Source: AP ITE&amp;C G.O.Ms. 40, 66 (2025); 30, 52, 55, 56, 59 (2026); Revenue G.O.Ms. 472 (2026)</t>
  </si>
  <si>
    <t>Data-center power: headline pipeline vs firm and approved (GW)</t>
  </si>
  <si>
    <t>Centre / state</t>
  </si>
  <si>
    <t>Headline in note (GW)</t>
  </si>
  <si>
    <t>Firm &amp; approved for DC (GW)</t>
  </si>
  <si>
    <t>Firm + in grid queue (GW)</t>
  </si>
  <si>
    <t>What is counted as firm</t>
  </si>
  <si>
    <t>Main items NOT firm</t>
  </si>
  <si>
    <t>Centre - ISTS (CTUIL)</t>
  </si>
  <si>
    <t>Support Properties (AdaniConneX), Navi Mumbai: 1,468 MW approved</t>
  </si>
  <si>
    <t>DC-linked applications under process: Adani Telangana SPVs 2.4, TCS 1.55, SITAC 0.64, Adani Infra 0.55; Blueparrot 2.08 (end use not stated)</t>
  </si>
  <si>
    <t>Maharashtra (state grid)</t>
  </si>
  <si>
    <t>STU-sanctioned load 6.0 GW (SLDC, Dec-25) + 0.5 GW added at Ambernath (MERC, Jun-26)</t>
  </si>
  <si>
    <t>MERC 1.5 GW under consideration; MoU/LoI 4.45 GW (AirTrunk Pen 3.0, ReNew 0.75, Trentar 0.5, MAHAPREIT 0.2)</t>
  </si>
  <si>
    <t>GO-approved with MW stated: Google ~1.0, ReNew 1.0, Sify 0.55, AM AI 0.51, Colt DCS-RMZ 0.49, CtrlS 0.1</t>
  </si>
  <si>
    <t>Reliance (GO approved, MW not stated; 1.5 GW only in registry); Google sites at 2.1 GW grid MW in ECs vs ~1 GW in GO</t>
  </si>
  <si>
    <t>Peddavedu 278 MW (SEIAA EC); AdaniConneX Hyderabad 19 MW operating</t>
  </si>
  <si>
    <t>Fortune 2,000 MVA (developer claim); MoUs - CtrlS 0.4, NTT-Neysa 0.4, STT 0.1, UPC-Volt 0.1</t>
  </si>
  <si>
    <t>Tamil Nadu</t>
  </si>
  <si>
    <t>170 MVA connected to DCs statewide (Energy Policy Note 2025-26)</t>
  </si>
  <si>
    <t>Ambattur 400 kV S/s, 1,400 MVA - proposed, tender stage</t>
  </si>
  <si>
    <t>Others (UP, Odisha, Karnataka, Haryana, Gujarat, WB)</t>
  </si>
  <si>
    <t>Odisha HLCA approvals 1.12 (Adani 1.0, Sentraforge 0.12 - no grid record yet); UP 0.13 commercialised; Haryana 0.03 built</t>
  </si>
  <si>
    <t>UP proposed 0.44; Karnataka Hoskote park 0.5; WB 0.28; Reliance-Meta Jamnagar 0.17; Haryana 0.28</t>
  </si>
  <si>
    <t>Total</t>
  </si>
  <si>
    <t>Firm as % of headline</t>
  </si>
  <si>
    <t>How the numbers were built (no double counting)</t>
  </si>
  <si>
    <t>1) Each project is counted once. Where a project appears both in CTUIL and in a state, it sits in the state row: Google's Vizag SPVs (CTUIL 2.3 GW) are in AP; TCS HyperVault Telangana (CTUIL 1.55 GW) and Adani's Telangana SPVs are in the CTUIL row (state MoUs for them removed from Telangana).</t>
  </si>
  <si>
    <t>2) CTUIL row = DC-linked bulk-consumer applications only (Adani DC SPVs, TCS, SITAC, Adani Infra, Blueparrot) after moving Google's AP SPVs to AP. Excluded as not DC: Reliance Jamnagar 14.65 GW (mixed - refinery, giga-factories, green fuels, DCs), ACME 10.1 GW (green ammonia), NTPC 3.6 GW (green H2), Mundra Petrochem 1.14 GW (PVC), steel / aluminium / cement / railways.</t>
  </si>
  <si>
    <t>3) Maharashtra headline = verifiable non-CTUIL list (SLDC 6.0 + MERC 2.0 + permit 0.1 + state MoU/LoI 4.45). Firm = SLDC sanctioned + MERC granted increase.</t>
  </si>
  <si>
    <t>4) Firm = grid connectivity approved / sanctioned (CTUIL, STU, MERC) or a state GO / EC / HLCA approval stating MW for a DC. Not firm = MoU, LoI, EOI, announcements, developer claims, applications under process.</t>
  </si>
  <si>
    <t>5) 'Firm + in grid queue' adds DC applications that have a formal grid application pending (CTUIL under process excl. Blueparrot; Google Vizag SPVs 2.3 GW applied vs ~1.0 GW firm, so +1.3 GW in AP; MERC 1.5 GW under consideration).</t>
  </si>
  <si>
    <t>6) Units are mixed: grid / facility MW (CTUIL, SLDC, MERC, ECs) and 'MW data center' in AP GOs (likely IT). IT load is ~55-65% of facility load (SLDC) - firm 13 GW of mostly facility MW is ~8-10 GW IT.</t>
  </si>
  <si>
    <t>7) Timing: in Maharashtra ~52% of STU-sanctioned DC load is scheduled for 2025-28 and the rest to 2036 (SLDC). Realised today: 0.7 GW in MH; average drawn 0.2 GW.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</si>
</sst>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9"/>
      <color rgb="FFFFFFFF"/>
      <name val="Arial"/>
    </font>
    <font>
      <b/>
      <sz val="9"/>
      <name val="Arial"/>
    </font>
    <font>
      <sz val="9"/>
      <name val="Arial"/>
    </font>
    <font>
      <i/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6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3" fillId="7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 wrapText="1"/>
    </xf>
    <xf numFmtId="0" fontId="4" fillId="0" borderId="0" xfId="0" applyFont="1"/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/>
  </sheetViews>
  <sheetFormatPr defaultRowHeight="15" x14ac:dyDescent="0.25"/>
  <cols>
    <col min="1" max="1" width="20" customWidth="1"/>
    <col min="2" max="5" width="22" customWidth="1"/>
  </cols>
  <sheetData>
    <row r="1" spans="1:5" ht="15.75" x14ac:dyDescent="0.25">
      <c r="A1" s="1" t="s">
        <v>0</v>
      </c>
    </row>
    <row r="3" spans="1:5" x14ac:dyDescent="0.25">
      <c r="A3" s="2"/>
      <c r="B3" s="2" t="s">
        <v>1</v>
      </c>
      <c r="C3" s="2" t="s">
        <v>2</v>
      </c>
      <c r="D3" s="2" t="s">
        <v>3</v>
      </c>
      <c r="E3" s="2" t="s">
        <v>4</v>
      </c>
    </row>
    <row r="4" spans="1:5" ht="21.95" customHeight="1" x14ac:dyDescent="0.25">
      <c r="A4" s="3" t="s">
        <v>5</v>
      </c>
      <c r="B4" s="4" t="s">
        <v>6</v>
      </c>
      <c r="C4" s="4" t="s">
        <v>7</v>
      </c>
      <c r="D4" s="4" t="s">
        <v>8</v>
      </c>
      <c r="E4" s="4" t="s">
        <v>9</v>
      </c>
    </row>
    <row r="5" spans="1:5" ht="30" customHeight="1" x14ac:dyDescent="0.25">
      <c r="A5" s="3" t="s">
        <v>10</v>
      </c>
      <c r="B5" s="5" t="s">
        <v>11</v>
      </c>
      <c r="C5" s="6" t="s">
        <v>12</v>
      </c>
      <c r="D5" s="5" t="s">
        <v>13</v>
      </c>
      <c r="E5" s="7" t="s">
        <v>14</v>
      </c>
    </row>
    <row r="6" spans="1:5" ht="30" customHeight="1" x14ac:dyDescent="0.25">
      <c r="A6" s="3" t="s">
        <v>15</v>
      </c>
      <c r="B6" s="5" t="s">
        <v>16</v>
      </c>
      <c r="C6" s="7" t="s">
        <v>14</v>
      </c>
      <c r="D6" s="5" t="s">
        <v>17</v>
      </c>
      <c r="E6" s="5" t="s">
        <v>18</v>
      </c>
    </row>
    <row r="7" spans="1:5" ht="30" customHeight="1" x14ac:dyDescent="0.25">
      <c r="A7" s="3" t="s">
        <v>19</v>
      </c>
      <c r="B7" s="5" t="s">
        <v>20</v>
      </c>
      <c r="C7" s="6" t="s">
        <v>21</v>
      </c>
      <c r="D7" s="6" t="s">
        <v>22</v>
      </c>
      <c r="E7" s="5" t="s">
        <v>23</v>
      </c>
    </row>
    <row r="8" spans="1:5" ht="30" customHeight="1" x14ac:dyDescent="0.25">
      <c r="A8" s="3" t="s">
        <v>24</v>
      </c>
      <c r="B8" s="5" t="s">
        <v>25</v>
      </c>
      <c r="C8" s="7" t="s">
        <v>14</v>
      </c>
      <c r="D8" s="5" t="s">
        <v>26</v>
      </c>
      <c r="E8" s="5" t="s">
        <v>27</v>
      </c>
    </row>
    <row r="9" spans="1:5" ht="30" customHeight="1" x14ac:dyDescent="0.25">
      <c r="A9" s="3" t="s">
        <v>28</v>
      </c>
      <c r="B9" s="5" t="s">
        <v>29</v>
      </c>
      <c r="C9" s="6" t="s">
        <v>30</v>
      </c>
      <c r="D9" s="5" t="s">
        <v>31</v>
      </c>
      <c r="E9" s="5" t="s">
        <v>32</v>
      </c>
    </row>
    <row r="10" spans="1:5" x14ac:dyDescent="0.25">
      <c r="A10" s="17" t="s">
        <v>33</v>
      </c>
      <c r="B10" s="16"/>
      <c r="C10" s="16"/>
      <c r="D10" s="16"/>
      <c r="E10" s="16"/>
    </row>
    <row r="11" spans="1:5" x14ac:dyDescent="0.25">
      <c r="A11" s="17" t="s">
        <v>34</v>
      </c>
      <c r="B11" s="16"/>
      <c r="C11" s="16"/>
      <c r="D11" s="16"/>
      <c r="E11" s="16"/>
    </row>
    <row r="12" spans="1:5" x14ac:dyDescent="0.25">
      <c r="A12" s="17" t="s">
        <v>35</v>
      </c>
      <c r="B12" s="16"/>
      <c r="C12" s="16"/>
      <c r="D12" s="16"/>
      <c r="E12" s="16"/>
    </row>
    <row r="14" spans="1:5" x14ac:dyDescent="0.25">
      <c r="A14" s="8" t="s">
        <v>36</v>
      </c>
    </row>
    <row r="15" spans="1:5" x14ac:dyDescent="0.25">
      <c r="A15" s="15" t="s">
        <v>37</v>
      </c>
      <c r="B15" s="16"/>
      <c r="C15" s="16"/>
      <c r="D15" s="16"/>
      <c r="E15" s="16"/>
    </row>
    <row r="17" spans="1:5" x14ac:dyDescent="0.25">
      <c r="A17" s="8" t="s">
        <v>38</v>
      </c>
    </row>
    <row r="18" spans="1:5" x14ac:dyDescent="0.25">
      <c r="A18" s="15" t="s">
        <v>39</v>
      </c>
      <c r="B18" s="16"/>
      <c r="C18" s="16"/>
      <c r="D18" s="16"/>
      <c r="E18" s="16"/>
    </row>
    <row r="19" spans="1:5" x14ac:dyDescent="0.25">
      <c r="A19" s="15" t="s">
        <v>40</v>
      </c>
      <c r="B19" s="16"/>
      <c r="C19" s="16"/>
      <c r="D19" s="16"/>
      <c r="E19" s="16"/>
    </row>
    <row r="20" spans="1:5" x14ac:dyDescent="0.25">
      <c r="A20" s="15" t="s">
        <v>41</v>
      </c>
      <c r="B20" s="16"/>
      <c r="C20" s="16"/>
      <c r="D20" s="16"/>
      <c r="E20" s="16"/>
    </row>
    <row r="21" spans="1:5" x14ac:dyDescent="0.25">
      <c r="A21" s="15" t="s">
        <v>42</v>
      </c>
      <c r="B21" s="16"/>
      <c r="C21" s="16"/>
      <c r="D21" s="16"/>
      <c r="E21" s="16"/>
    </row>
    <row r="22" spans="1:5" x14ac:dyDescent="0.25">
      <c r="A22" s="15" t="s">
        <v>43</v>
      </c>
      <c r="B22" s="16"/>
      <c r="C22" s="16"/>
      <c r="D22" s="16"/>
      <c r="E22" s="16"/>
    </row>
  </sheetData>
  <mergeCells count="9">
    <mergeCell ref="A22:E22"/>
    <mergeCell ref="A18:E18"/>
    <mergeCell ref="A21:E21"/>
    <mergeCell ref="A12:E12"/>
    <mergeCell ref="A20:E20"/>
    <mergeCell ref="A15:E15"/>
    <mergeCell ref="A10:E10"/>
    <mergeCell ref="A19:E19"/>
    <mergeCell ref="A11:E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workbookViewId="0"/>
  </sheetViews>
  <sheetFormatPr defaultRowHeight="15" x14ac:dyDescent="0.25"/>
  <cols>
    <col min="1" max="1" width="30" customWidth="1"/>
    <col min="2" max="6" width="18" customWidth="1"/>
  </cols>
  <sheetData>
    <row r="1" spans="1:6" ht="15.75" x14ac:dyDescent="0.25">
      <c r="A1" s="1" t="s">
        <v>44</v>
      </c>
    </row>
    <row r="3" spans="1:6" ht="30" customHeight="1" x14ac:dyDescent="0.25">
      <c r="A3" s="2"/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</row>
    <row r="4" spans="1:6" ht="18" customHeight="1" x14ac:dyDescent="0.25">
      <c r="A4" s="3" t="s">
        <v>50</v>
      </c>
      <c r="B4" s="9" t="s">
        <v>51</v>
      </c>
      <c r="C4" s="9" t="s">
        <v>52</v>
      </c>
      <c r="D4" s="9" t="s">
        <v>53</v>
      </c>
      <c r="E4" s="9" t="s">
        <v>54</v>
      </c>
      <c r="F4" s="9" t="s">
        <v>55</v>
      </c>
    </row>
    <row r="5" spans="1:6" ht="18" customHeight="1" x14ac:dyDescent="0.25">
      <c r="A5" s="3" t="s">
        <v>56</v>
      </c>
      <c r="B5" s="9" t="s">
        <v>57</v>
      </c>
      <c r="C5" s="9" t="s">
        <v>58</v>
      </c>
      <c r="D5" s="9" t="s">
        <v>59</v>
      </c>
      <c r="E5" s="9" t="s">
        <v>60</v>
      </c>
      <c r="F5" s="9" t="s">
        <v>61</v>
      </c>
    </row>
    <row r="6" spans="1:6" ht="30" customHeight="1" x14ac:dyDescent="0.25">
      <c r="A6" s="3" t="s">
        <v>62</v>
      </c>
      <c r="B6" s="5" t="s">
        <v>63</v>
      </c>
      <c r="C6" s="5" t="s">
        <v>63</v>
      </c>
      <c r="D6" s="7" t="s">
        <v>64</v>
      </c>
      <c r="E6" s="5" t="s">
        <v>65</v>
      </c>
      <c r="F6" s="7" t="s">
        <v>66</v>
      </c>
    </row>
    <row r="7" spans="1:6" ht="30" customHeight="1" x14ac:dyDescent="0.25">
      <c r="A7" s="3" t="s">
        <v>67</v>
      </c>
      <c r="B7" s="5" t="s">
        <v>68</v>
      </c>
      <c r="C7" s="5" t="s">
        <v>69</v>
      </c>
      <c r="D7" s="5" t="s">
        <v>70</v>
      </c>
      <c r="E7" s="5" t="s">
        <v>71</v>
      </c>
      <c r="F7" s="5" t="s">
        <v>72</v>
      </c>
    </row>
    <row r="8" spans="1:6" ht="30" customHeight="1" x14ac:dyDescent="0.25">
      <c r="A8" s="3" t="s">
        <v>73</v>
      </c>
      <c r="B8" s="5" t="s">
        <v>74</v>
      </c>
      <c r="C8" s="5" t="s">
        <v>75</v>
      </c>
      <c r="D8" s="5" t="s">
        <v>76</v>
      </c>
      <c r="E8" s="5" t="s">
        <v>77</v>
      </c>
      <c r="F8" s="5" t="s">
        <v>78</v>
      </c>
    </row>
    <row r="9" spans="1:6" ht="30" customHeight="1" x14ac:dyDescent="0.25">
      <c r="A9" s="3" t="s">
        <v>79</v>
      </c>
      <c r="B9" s="5" t="s">
        <v>80</v>
      </c>
      <c r="C9" s="5" t="s">
        <v>81</v>
      </c>
      <c r="D9" s="5" t="s">
        <v>82</v>
      </c>
      <c r="E9" s="5" t="s">
        <v>83</v>
      </c>
      <c r="F9" s="5" t="s">
        <v>84</v>
      </c>
    </row>
    <row r="10" spans="1:6" ht="30" customHeight="1" x14ac:dyDescent="0.25">
      <c r="A10" s="3" t="s">
        <v>85</v>
      </c>
      <c r="B10" s="5" t="s">
        <v>86</v>
      </c>
      <c r="C10" s="5" t="s">
        <v>87</v>
      </c>
      <c r="D10" s="7" t="s">
        <v>14</v>
      </c>
      <c r="E10" s="5" t="s">
        <v>88</v>
      </c>
      <c r="F10" s="7" t="s">
        <v>14</v>
      </c>
    </row>
    <row r="11" spans="1:6" ht="30" customHeight="1" x14ac:dyDescent="0.25">
      <c r="A11" s="3" t="s">
        <v>89</v>
      </c>
      <c r="B11" s="5" t="s">
        <v>90</v>
      </c>
      <c r="C11" s="5" t="s">
        <v>91</v>
      </c>
      <c r="D11" s="5" t="s">
        <v>92</v>
      </c>
      <c r="E11" s="5" t="s">
        <v>93</v>
      </c>
      <c r="F11" s="7" t="s">
        <v>14</v>
      </c>
    </row>
    <row r="12" spans="1:6" ht="30" customHeight="1" x14ac:dyDescent="0.25">
      <c r="A12" s="3" t="s">
        <v>94</v>
      </c>
      <c r="B12" s="5" t="s">
        <v>95</v>
      </c>
      <c r="C12" s="5" t="s">
        <v>96</v>
      </c>
      <c r="D12" s="5" t="s">
        <v>97</v>
      </c>
      <c r="E12" s="7" t="s">
        <v>14</v>
      </c>
      <c r="F12" s="5" t="s">
        <v>98</v>
      </c>
    </row>
    <row r="13" spans="1:6" ht="30" customHeight="1" x14ac:dyDescent="0.25">
      <c r="A13" s="3" t="s">
        <v>99</v>
      </c>
      <c r="B13" s="5" t="s">
        <v>100</v>
      </c>
      <c r="C13" s="5" t="s">
        <v>101</v>
      </c>
      <c r="D13" s="5" t="s">
        <v>102</v>
      </c>
      <c r="E13" s="5" t="s">
        <v>103</v>
      </c>
      <c r="F13" s="5" t="s">
        <v>104</v>
      </c>
    </row>
    <row r="14" spans="1:6" ht="30" customHeight="1" x14ac:dyDescent="0.25">
      <c r="A14" s="3" t="s">
        <v>105</v>
      </c>
      <c r="B14" s="5" t="s">
        <v>106</v>
      </c>
      <c r="C14" s="5" t="s">
        <v>107</v>
      </c>
      <c r="D14" s="7" t="s">
        <v>14</v>
      </c>
      <c r="E14" s="5" t="s">
        <v>108</v>
      </c>
      <c r="F14" s="5" t="s">
        <v>97</v>
      </c>
    </row>
    <row r="15" spans="1:6" ht="30" customHeight="1" x14ac:dyDescent="0.25">
      <c r="A15" s="3" t="s">
        <v>109</v>
      </c>
      <c r="B15" s="5" t="s">
        <v>110</v>
      </c>
      <c r="C15" s="7" t="s">
        <v>14</v>
      </c>
      <c r="D15" s="7" t="s">
        <v>14</v>
      </c>
      <c r="E15" s="5" t="s">
        <v>111</v>
      </c>
      <c r="F15" s="7" t="s">
        <v>14</v>
      </c>
    </row>
    <row r="16" spans="1:6" ht="30" customHeight="1" x14ac:dyDescent="0.25">
      <c r="A16" s="3" t="s">
        <v>112</v>
      </c>
      <c r="B16" s="5" t="s">
        <v>113</v>
      </c>
      <c r="C16" s="5" t="s">
        <v>114</v>
      </c>
      <c r="D16" s="7" t="s">
        <v>14</v>
      </c>
      <c r="E16" s="5" t="s">
        <v>115</v>
      </c>
      <c r="F16" s="7" t="s">
        <v>14</v>
      </c>
    </row>
    <row r="17" spans="1:6" ht="30" customHeight="1" x14ac:dyDescent="0.25">
      <c r="A17" s="3" t="s">
        <v>116</v>
      </c>
      <c r="B17" s="5" t="s">
        <v>117</v>
      </c>
      <c r="C17" s="5" t="s">
        <v>118</v>
      </c>
      <c r="D17" s="7" t="s">
        <v>14</v>
      </c>
      <c r="E17" s="5" t="s">
        <v>119</v>
      </c>
      <c r="F17" s="5" t="s">
        <v>120</v>
      </c>
    </row>
    <row r="18" spans="1:6" ht="30" customHeight="1" x14ac:dyDescent="0.25">
      <c r="A18" s="3" t="s">
        <v>121</v>
      </c>
      <c r="B18" s="5" t="s">
        <v>122</v>
      </c>
      <c r="C18" s="5" t="s">
        <v>123</v>
      </c>
      <c r="D18" s="7" t="s">
        <v>14</v>
      </c>
      <c r="E18" s="5" t="s">
        <v>124</v>
      </c>
      <c r="F18" s="7" t="s">
        <v>14</v>
      </c>
    </row>
    <row r="19" spans="1:6" ht="30" customHeight="1" x14ac:dyDescent="0.25">
      <c r="A19" s="3" t="s">
        <v>125</v>
      </c>
      <c r="B19" s="7" t="s">
        <v>14</v>
      </c>
      <c r="C19" s="7" t="s">
        <v>14</v>
      </c>
      <c r="D19" s="7" t="s">
        <v>14</v>
      </c>
      <c r="E19" s="5" t="s">
        <v>126</v>
      </c>
      <c r="F19" s="7" t="s">
        <v>14</v>
      </c>
    </row>
    <row r="20" spans="1:6" ht="30" customHeight="1" x14ac:dyDescent="0.25">
      <c r="A20" s="3" t="s">
        <v>127</v>
      </c>
      <c r="B20" s="5" t="s">
        <v>128</v>
      </c>
      <c r="C20" s="7" t="s">
        <v>14</v>
      </c>
      <c r="D20" s="7" t="s">
        <v>14</v>
      </c>
      <c r="E20" s="7" t="s">
        <v>14</v>
      </c>
      <c r="F20" s="7" t="s">
        <v>14</v>
      </c>
    </row>
    <row r="21" spans="1:6" ht="18" customHeight="1" x14ac:dyDescent="0.25">
      <c r="A21" s="3" t="s">
        <v>129</v>
      </c>
      <c r="B21" s="4" t="s">
        <v>130</v>
      </c>
      <c r="C21" s="4" t="s">
        <v>131</v>
      </c>
      <c r="D21" s="4" t="s">
        <v>132</v>
      </c>
      <c r="E21" s="4" t="s">
        <v>133</v>
      </c>
      <c r="F21" s="4" t="s">
        <v>134</v>
      </c>
    </row>
    <row r="22" spans="1:6" ht="18" customHeight="1" x14ac:dyDescent="0.25">
      <c r="A22" s="3" t="s">
        <v>135</v>
      </c>
      <c r="B22" s="9" t="s">
        <v>136</v>
      </c>
      <c r="C22" s="9" t="s">
        <v>137</v>
      </c>
      <c r="D22" s="9" t="s">
        <v>138</v>
      </c>
      <c r="E22" s="9" t="s">
        <v>138</v>
      </c>
      <c r="F22" s="9" t="s">
        <v>139</v>
      </c>
    </row>
    <row r="23" spans="1:6" ht="18" customHeight="1" x14ac:dyDescent="0.25">
      <c r="A23" s="3" t="s">
        <v>140</v>
      </c>
      <c r="B23" s="9" t="s">
        <v>141</v>
      </c>
      <c r="C23" s="9" t="s">
        <v>142</v>
      </c>
      <c r="D23" s="9" t="s">
        <v>143</v>
      </c>
      <c r="E23" s="9" t="s">
        <v>144</v>
      </c>
      <c r="F23" s="9" t="s">
        <v>145</v>
      </c>
    </row>
    <row r="24" spans="1:6" ht="21.95" customHeight="1" x14ac:dyDescent="0.25">
      <c r="A24" s="18" t="s">
        <v>146</v>
      </c>
      <c r="B24" s="16"/>
      <c r="C24" s="16"/>
      <c r="D24" s="16"/>
      <c r="E24" s="16"/>
      <c r="F24" s="16"/>
    </row>
    <row r="25" spans="1:6" ht="21.95" customHeight="1" x14ac:dyDescent="0.25">
      <c r="A25" s="18" t="s">
        <v>147</v>
      </c>
      <c r="B25" s="16"/>
      <c r="C25" s="16"/>
      <c r="D25" s="16"/>
      <c r="E25" s="16"/>
      <c r="F25" s="16"/>
    </row>
    <row r="26" spans="1:6" ht="21.95" customHeight="1" x14ac:dyDescent="0.25">
      <c r="A26" s="18" t="s">
        <v>148</v>
      </c>
      <c r="B26" s="16"/>
      <c r="C26" s="16"/>
      <c r="D26" s="16"/>
      <c r="E26" s="16"/>
      <c r="F26" s="16"/>
    </row>
    <row r="27" spans="1:6" ht="21.95" customHeight="1" x14ac:dyDescent="0.25">
      <c r="A27" s="18" t="s">
        <v>149</v>
      </c>
      <c r="B27" s="16"/>
      <c r="C27" s="16"/>
      <c r="D27" s="16"/>
      <c r="E27" s="16"/>
      <c r="F27" s="16"/>
    </row>
    <row r="28" spans="1:6" ht="21.95" customHeight="1" x14ac:dyDescent="0.25">
      <c r="A28" s="18" t="s">
        <v>150</v>
      </c>
      <c r="B28" s="16"/>
      <c r="C28" s="16"/>
      <c r="D28" s="16"/>
      <c r="E28" s="16"/>
      <c r="F28" s="16"/>
    </row>
    <row r="29" spans="1:6" ht="21.95" customHeight="1" x14ac:dyDescent="0.25">
      <c r="A29" s="18" t="s">
        <v>151</v>
      </c>
      <c r="B29" s="16"/>
      <c r="C29" s="16"/>
      <c r="D29" s="16"/>
      <c r="E29" s="16"/>
      <c r="F29" s="16"/>
    </row>
    <row r="30" spans="1:6" ht="21.95" customHeight="1" x14ac:dyDescent="0.25">
      <c r="A30" s="18" t="s">
        <v>152</v>
      </c>
      <c r="B30" s="16"/>
      <c r="C30" s="16"/>
      <c r="D30" s="16"/>
      <c r="E30" s="16"/>
      <c r="F30" s="16"/>
    </row>
    <row r="31" spans="1:6" ht="21.95" customHeight="1" x14ac:dyDescent="0.25">
      <c r="A31" s="18" t="s">
        <v>153</v>
      </c>
      <c r="B31" s="16"/>
      <c r="C31" s="16"/>
      <c r="D31" s="16"/>
      <c r="E31" s="16"/>
      <c r="F31" s="16"/>
    </row>
  </sheetData>
  <mergeCells count="8">
    <mergeCell ref="A24:F24"/>
    <mergeCell ref="A28:F28"/>
    <mergeCell ref="A27:F27"/>
    <mergeCell ref="A31:F31"/>
    <mergeCell ref="A26:F26"/>
    <mergeCell ref="A30:F30"/>
    <mergeCell ref="A29:F29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/>
  </sheetViews>
  <sheetFormatPr defaultRowHeight="15" x14ac:dyDescent="0.25"/>
  <cols>
    <col min="1" max="1" width="30" customWidth="1"/>
    <col min="2" max="2" width="12" customWidth="1"/>
    <col min="3" max="4" width="13" customWidth="1"/>
    <col min="5" max="5" width="48" customWidth="1"/>
    <col min="6" max="6" width="56" customWidth="1"/>
  </cols>
  <sheetData>
    <row r="1" spans="1:6" ht="15.75" x14ac:dyDescent="0.25">
      <c r="A1" s="1" t="s">
        <v>154</v>
      </c>
    </row>
    <row r="3" spans="1:6" ht="36" x14ac:dyDescent="0.25">
      <c r="A3" s="2" t="s">
        <v>155</v>
      </c>
      <c r="B3" s="2" t="s">
        <v>156</v>
      </c>
      <c r="C3" s="2" t="s">
        <v>157</v>
      </c>
      <c r="D3" s="2" t="s">
        <v>158</v>
      </c>
      <c r="E3" s="2" t="s">
        <v>159</v>
      </c>
      <c r="F3" s="2" t="s">
        <v>160</v>
      </c>
    </row>
    <row r="4" spans="1:6" ht="39.950000000000003" customHeight="1" x14ac:dyDescent="0.25">
      <c r="A4" s="3" t="s">
        <v>161</v>
      </c>
      <c r="B4" s="10">
        <v>8.6999999999999993</v>
      </c>
      <c r="C4" s="11">
        <v>1.47</v>
      </c>
      <c r="D4" s="10">
        <v>6.6</v>
      </c>
      <c r="E4" s="12" t="s">
        <v>162</v>
      </c>
      <c r="F4" s="12" t="s">
        <v>163</v>
      </c>
    </row>
    <row r="5" spans="1:6" ht="39.950000000000003" customHeight="1" x14ac:dyDescent="0.25">
      <c r="A5" s="3" t="s">
        <v>164</v>
      </c>
      <c r="B5" s="10">
        <v>12.6</v>
      </c>
      <c r="C5" s="11">
        <v>6.5</v>
      </c>
      <c r="D5" s="10">
        <v>8</v>
      </c>
      <c r="E5" s="12" t="s">
        <v>165</v>
      </c>
      <c r="F5" s="12" t="s">
        <v>166</v>
      </c>
    </row>
    <row r="6" spans="1:6" ht="39.950000000000003" customHeight="1" x14ac:dyDescent="0.25">
      <c r="A6" s="3" t="s">
        <v>1</v>
      </c>
      <c r="B6" s="10">
        <v>6.5</v>
      </c>
      <c r="C6" s="11">
        <v>3.6</v>
      </c>
      <c r="D6" s="10">
        <v>5</v>
      </c>
      <c r="E6" s="12" t="s">
        <v>167</v>
      </c>
      <c r="F6" s="12" t="s">
        <v>168</v>
      </c>
    </row>
    <row r="7" spans="1:6" ht="39.950000000000003" customHeight="1" x14ac:dyDescent="0.25">
      <c r="A7" s="3" t="s">
        <v>2</v>
      </c>
      <c r="B7" s="10">
        <v>3.3</v>
      </c>
      <c r="C7" s="11">
        <v>0.3</v>
      </c>
      <c r="D7" s="10">
        <v>0.3</v>
      </c>
      <c r="E7" s="12" t="s">
        <v>169</v>
      </c>
      <c r="F7" s="12" t="s">
        <v>170</v>
      </c>
    </row>
    <row r="8" spans="1:6" ht="39.950000000000003" customHeight="1" x14ac:dyDescent="0.25">
      <c r="A8" s="3" t="s">
        <v>171</v>
      </c>
      <c r="B8" s="10">
        <v>1.4</v>
      </c>
      <c r="C8" s="11">
        <v>0.17</v>
      </c>
      <c r="D8" s="10">
        <v>0.17</v>
      </c>
      <c r="E8" s="12" t="s">
        <v>172</v>
      </c>
      <c r="F8" s="12" t="s">
        <v>173</v>
      </c>
    </row>
    <row r="9" spans="1:6" ht="39.950000000000003" customHeight="1" x14ac:dyDescent="0.25">
      <c r="A9" s="3" t="s">
        <v>174</v>
      </c>
      <c r="B9" s="10">
        <v>3</v>
      </c>
      <c r="C9" s="11">
        <v>1.3</v>
      </c>
      <c r="D9" s="10">
        <v>1.3</v>
      </c>
      <c r="E9" s="12" t="s">
        <v>175</v>
      </c>
      <c r="F9" s="12" t="s">
        <v>176</v>
      </c>
    </row>
    <row r="10" spans="1:6" x14ac:dyDescent="0.25">
      <c r="A10" s="8" t="s">
        <v>177</v>
      </c>
      <c r="B10" s="13">
        <f>SUM(B4:B9)</f>
        <v>35.5</v>
      </c>
      <c r="C10" s="11">
        <f>SUM(C4:C9)</f>
        <v>13.340000000000002</v>
      </c>
      <c r="D10" s="13">
        <f>SUM(D4:D9)</f>
        <v>21.370000000000005</v>
      </c>
    </row>
    <row r="11" spans="1:6" x14ac:dyDescent="0.25">
      <c r="A11" s="8" t="s">
        <v>178</v>
      </c>
      <c r="C11" s="14">
        <f>C10/B10</f>
        <v>0.37577464788732401</v>
      </c>
      <c r="D11" s="14">
        <f>D10/B10</f>
        <v>0.60197183098591567</v>
      </c>
    </row>
    <row r="13" spans="1:6" x14ac:dyDescent="0.25">
      <c r="A13" s="20" t="s">
        <v>179</v>
      </c>
      <c r="B13" s="16"/>
      <c r="C13" s="16"/>
      <c r="D13" s="16"/>
      <c r="E13" s="16"/>
      <c r="F13" s="16"/>
    </row>
    <row r="14" spans="1:6" ht="30" customHeight="1" x14ac:dyDescent="0.25">
      <c r="A14" s="19" t="s">
        <v>180</v>
      </c>
      <c r="B14" s="16"/>
      <c r="C14" s="16"/>
      <c r="D14" s="16"/>
      <c r="E14" s="16"/>
      <c r="F14" s="16"/>
    </row>
    <row r="15" spans="1:6" ht="30" customHeight="1" x14ac:dyDescent="0.25">
      <c r="A15" s="19" t="s">
        <v>181</v>
      </c>
      <c r="B15" s="16"/>
      <c r="C15" s="16"/>
      <c r="D15" s="16"/>
      <c r="E15" s="16"/>
      <c r="F15" s="16"/>
    </row>
    <row r="16" spans="1:6" ht="30" customHeight="1" x14ac:dyDescent="0.25">
      <c r="A16" s="19" t="s">
        <v>182</v>
      </c>
      <c r="B16" s="16"/>
      <c r="C16" s="16"/>
      <c r="D16" s="16"/>
      <c r="E16" s="16"/>
      <c r="F16" s="16"/>
    </row>
    <row r="17" spans="1:6" ht="30" customHeight="1" x14ac:dyDescent="0.25">
      <c r="A17" s="19" t="s">
        <v>183</v>
      </c>
      <c r="B17" s="16"/>
      <c r="C17" s="16"/>
      <c r="D17" s="16"/>
      <c r="E17" s="16"/>
      <c r="F17" s="16"/>
    </row>
    <row r="18" spans="1:6" ht="30" customHeight="1" x14ac:dyDescent="0.25">
      <c r="A18" s="19" t="s">
        <v>184</v>
      </c>
      <c r="B18" s="16"/>
      <c r="C18" s="16"/>
      <c r="D18" s="16"/>
      <c r="E18" s="16"/>
      <c r="F18" s="16"/>
    </row>
    <row r="19" spans="1:6" ht="30" customHeight="1" x14ac:dyDescent="0.25">
      <c r="A19" s="19" t="s">
        <v>185</v>
      </c>
      <c r="B19" s="16"/>
      <c r="C19" s="16"/>
      <c r="D19" s="16"/>
      <c r="E19" s="16"/>
      <c r="F19" s="16"/>
    </row>
    <row r="20" spans="1:6" ht="30" customHeight="1" x14ac:dyDescent="0.25">
      <c r="A20" s="19" t="s">
        <v>186</v>
      </c>
      <c r="B20" s="16"/>
      <c r="C20" s="16"/>
      <c r="D20" s="16"/>
      <c r="E20" s="16"/>
      <c r="F20" s="16"/>
    </row>
  </sheetData>
  <mergeCells count="8">
    <mergeCell ref="A20:F20"/>
    <mergeCell ref="A15:F15"/>
    <mergeCell ref="A16:F16"/>
    <mergeCell ref="A13:F13"/>
    <mergeCell ref="A14:F14"/>
    <mergeCell ref="A19:F19"/>
    <mergeCell ref="A17:F17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T1_State_Incentives</vt:lpstr>
      <vt:lpstr>T2_AP_GO_Benefits</vt:lpstr>
      <vt:lpstr>T3_Summary_Firm_vs_Headline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206_Harsh Misra</cp:lastModifiedBy>
  <dcterms:created xsi:type="dcterms:W3CDTF">2026-10-23T04:10:03Z</dcterms:created>
  <dcterms:modified xsi:type="dcterms:W3CDTF">2026-10-23T04:10:55Z</dcterms:modified>
</cp:coreProperties>
</file>