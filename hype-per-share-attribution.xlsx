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Attribution" sheetId="2" state="visible" r:id="rId4"/>
    <sheet name="Metho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<sst xmlns="http://schemas.openxmlformats.org/spreadsheetml/2006/main" count="136" uniqueCount="117">
  <si>
    <t xml:space="preserve">HYPE per 1000 shares — input data and derived flows</t>
  </si>
  <si>
    <t xml:space="preserve">AMBER cells are inputs — overwrite columns B, C, D with your model. Everything else is calculated.</t>
  </si>
  <si>
    <t xml:space="preserve">Assumptions</t>
  </si>
  <si>
    <t xml:space="preserve">% of HYPE staked</t>
  </si>
  <si>
    <t xml:space="preserve">Set to 0% if you supply acquisitions directly in column J</t>
  </si>
  <si>
    <t xml:space="preserve">Annual staking yield</t>
  </si>
  <si>
    <t xml:space="preserve">Validator reward rate, net of commission</t>
  </si>
  <si>
    <t xml:space="preserve">Quarterly staking rate</t>
  </si>
  <si>
    <t xml:space="preserve">#</t>
  </si>
  <si>
    <t xml:space="preserve">Period</t>
  </si>
  <si>
    <t xml:space="preserve">Total HYPE (m)</t>
  </si>
  <si>
    <t xml:space="preserve">FD shares (m)</t>
  </si>
  <si>
    <t xml:space="preserve">HYPE price ($)</t>
  </si>
  <si>
    <t xml:space="preserve">HYPE / 1000 sh</t>
  </si>
  <si>
    <t xml:space="preserve">NAV / 1000 sh ($)</t>
  </si>
  <si>
    <t xml:space="preserve">Δ HYPE (m)</t>
  </si>
  <si>
    <t xml:space="preserve">Staking (m)</t>
  </si>
  <si>
    <t xml:space="preserve">Acq. override (m)</t>
  </si>
  <si>
    <t xml:space="preserve">Acquisitions (m)</t>
  </si>
  <si>
    <t xml:space="preserve">Check</t>
  </si>
  <si>
    <t xml:space="preserve">Dec-25</t>
  </si>
  <si>
    <t xml:space="preserve">—</t>
  </si>
  <si>
    <t xml:space="preserve">Mar-26</t>
  </si>
  <si>
    <t xml:space="preserve">Jun-26</t>
  </si>
  <si>
    <t xml:space="preserve">Sep-26</t>
  </si>
  <si>
    <t xml:space="preserve">Dec-26</t>
  </si>
  <si>
    <t xml:space="preserve">Mar-27</t>
  </si>
  <si>
    <t xml:space="preserve">Jun-27</t>
  </si>
  <si>
    <t xml:space="preserve">Sep-27</t>
  </si>
  <si>
    <t xml:space="preserve">Dec-27</t>
  </si>
  <si>
    <t xml:space="preserve">Mar-28</t>
  </si>
  <si>
    <t xml:space="preserve">Jun-28</t>
  </si>
  <si>
    <t xml:space="preserve">Sep-28</t>
  </si>
  <si>
    <t xml:space="preserve">Dec-28</t>
  </si>
  <si>
    <t xml:space="preserve">Mar-29</t>
  </si>
  <si>
    <t xml:space="preserve">Jun-29</t>
  </si>
  <si>
    <t xml:space="preserve">Sep-29</t>
  </si>
  <si>
    <t xml:space="preserve">Dec-29</t>
  </si>
  <si>
    <t xml:space="preserve">Mar-30</t>
  </si>
  <si>
    <t xml:space="preserve">Jun-30</t>
  </si>
  <si>
    <t xml:space="preserve">Sep-30</t>
  </si>
  <si>
    <t xml:space="preserve">Dec-30</t>
  </si>
  <si>
    <t xml:space="preserve">Mar-31</t>
  </si>
  <si>
    <t xml:space="preserve">Jun-31</t>
  </si>
  <si>
    <t xml:space="preserve">Sep-31</t>
  </si>
  <si>
    <t xml:space="preserve">Dec-31</t>
  </si>
  <si>
    <t xml:space="preserve">Mar-32</t>
  </si>
  <si>
    <t xml:space="preserve">Jun-32</t>
  </si>
  <si>
    <t xml:space="preserve">Sep-32</t>
  </si>
  <si>
    <t xml:space="preserve">Dec-32</t>
  </si>
  <si>
    <t xml:space="preserve">Mar-33</t>
  </si>
  <si>
    <t xml:space="preserve">Jun-33</t>
  </si>
  <si>
    <t xml:space="preserve">Sep-33</t>
  </si>
  <si>
    <t xml:space="preserve">Dec-33</t>
  </si>
  <si>
    <t xml:space="preserve">Mar-34</t>
  </si>
  <si>
    <t xml:space="preserve">Jun-34</t>
  </si>
  <si>
    <t xml:space="preserve">Sep-34</t>
  </si>
  <si>
    <t xml:space="preserve">Dec-34</t>
  </si>
  <si>
    <t xml:space="preserve">Mar-35</t>
  </si>
  <si>
    <t xml:space="preserve">Jun-35</t>
  </si>
  <si>
    <t xml:space="preserve">Sep-35</t>
  </si>
  <si>
    <t xml:space="preserve">Dec-35</t>
  </si>
  <si>
    <t xml:space="preserve">Note: staking is modelled as prior-period HYPE balance x %staked x quarterly rate. Acquisitions are the residual. If your model already carries an acquisitions schedule, enter it in column J and staking becomes the residual instead — set the yield to 0% to switch off the estimate.</t>
  </si>
  <si>
    <t xml:space="preserve">Note: a negative acquisitions figure means HYPE was sold in that quarter. That is meaningful, not an error.</t>
  </si>
  <si>
    <t xml:space="preserve">Note: placeholder series in columns C, D, E are illustrative only and must be replaced before use.</t>
  </si>
  <si>
    <t xml:space="preserve">CAGR attribution — HYPE per 1000 shares</t>
  </si>
  <si>
    <t xml:space="preserve">Log-based decomposition. Contributions are rescaled to sum exactly to the reported CAGR.</t>
  </si>
  <si>
    <t xml:space="preserve">Start</t>
  </si>
  <si>
    <t xml:space="preserve">End</t>
  </si>
  <si>
    <t xml:space="preserve">Start index</t>
  </si>
  <si>
    <t xml:space="preserve">End index</t>
  </si>
  <si>
    <t xml:space="preserve">Years</t>
  </si>
  <si>
    <t xml:space="preserve">Levels</t>
  </si>
  <si>
    <t xml:space="preserve">HYPE held (m)</t>
  </si>
  <si>
    <t xml:space="preserve">Log growth rates (annualised)</t>
  </si>
  <si>
    <t xml:space="preserve">r_HYPE</t>
  </si>
  <si>
    <t xml:space="preserve">r_Shares</t>
  </si>
  <si>
    <t xml:space="preserve">r_Price</t>
  </si>
  <si>
    <t xml:space="preserve">r_HPS  (= r_HYPE - r_Shares)</t>
  </si>
  <si>
    <t xml:space="preserve">r_NAV  (= r_HPS + r_Price)</t>
  </si>
  <si>
    <t xml:space="preserve">Headline CAGRs</t>
  </si>
  <si>
    <t xml:space="preserve">HYPE per 1000 shares</t>
  </si>
  <si>
    <t xml:space="preserve">NAV per 1000 shares</t>
  </si>
  <si>
    <t xml:space="preserve">Source of HYPE added over the window</t>
  </si>
  <si>
    <t xml:space="preserve">Cumulative staking (m)</t>
  </si>
  <si>
    <t xml:space="preserve">Cumulative acquisitions (m)</t>
  </si>
  <si>
    <t xml:space="preserve">Total added (m)</t>
  </si>
  <si>
    <t xml:space="preserve">Weight — staking</t>
  </si>
  <si>
    <t xml:space="preserve">Weight — acquisitions</t>
  </si>
  <si>
    <t xml:space="preserve">Attribution — HYPE per 1000 shares CAGR</t>
  </si>
  <si>
    <t xml:space="preserve">Driver</t>
  </si>
  <si>
    <t xml:space="preserve">Log contribution</t>
  </si>
  <si>
    <t xml:space="preserve">CAGR contribution (pp)</t>
  </si>
  <si>
    <t xml:space="preserve">New HYPE acquired</t>
  </si>
  <si>
    <t xml:space="preserve">Staking rewards</t>
  </si>
  <si>
    <t xml:space="preserve">Share dilution</t>
  </si>
  <si>
    <t xml:space="preserve">Total</t>
  </si>
  <si>
    <t xml:space="preserve">Tie to headline</t>
  </si>
  <si>
    <t xml:space="preserve">Attribution — NAV per 1000 shares CAGR</t>
  </si>
  <si>
    <t xml:space="preserve">HYPE price</t>
  </si>
  <si>
    <t xml:space="preserve">Method and caveats</t>
  </si>
  <si>
    <t xml:space="preserve">The identity</t>
  </si>
  <si>
    <t xml:space="preserve">HYPE per 1000 shares = 1000 x HYPE held / fully diluted shares. Growth in the ratio equals growth in the numerator less growth in the denominator. Dilution is a subtraction, not an adjustment, and is usually the largest single driver.</t>
  </si>
  <si>
    <t xml:space="preserve">Why logs</t>
  </si>
  <si>
    <t xml:space="preserve">Percentage contributions do not add. Continuously compounded (log) growth rates do, exactly: r_HPS = r_HYPE - r_Shares. Each driver's log contribution is then rescaled by CAGR / r_total so the pieces sum to the reported CAGR without a balancing plug.</t>
  </si>
  <si>
    <t xml:space="preserve">Splitting the numerator</t>
  </si>
  <si>
    <t xml:space="preserve">r_HYPE is apportioned between acquisitions and staking by each source's share of cumulative HYPE added over the window. This assumes the mix is broadly stable through the period. If acquisitions are heavily front- or back-loaded, run the attribution on sub-periods instead of one ten-year window.</t>
  </si>
  <si>
    <t xml:space="preserve">Staking estimate</t>
  </si>
  <si>
    <t xml:space="preserve">Modelled as prior-quarter balance x % staked x quarterly rate, where the quarterly rate is (1+annual)^0.25-1. Acquisitions fall out as the residual. If the model carries an explicit acquisitions schedule, enter it in column J of Inputs; staking then becomes the residual. Set the yield to zero to disable the estimate.</t>
  </si>
  <si>
    <t xml:space="preserve">Price is not in the HPS metric</t>
  </si>
  <si>
    <t xml:space="preserve">HYPE per 1000 shares is a unit count and is unaffected by price. Price enters only the NAV per 1000 shares attribution, as a fourth driver. Keep the two decompositions separate — combining them is the most common error in this analysis.</t>
  </si>
  <si>
    <t xml:space="preserve">Negative acquisitions</t>
  </si>
  <si>
    <t xml:space="preserve">A negative residual means HYPE was sold in that quarter, or that the staking assumption is too high. Check column L before concluding the former.</t>
  </si>
  <si>
    <t xml:space="preserve">Sub-period analysis</t>
  </si>
  <si>
    <t xml:space="preserve">Change the start and end period on the Attribution sheet to run any window. A ten-year CAGR can conceal very different phases; consider reporting Dec-25 to Dec-30 and Dec-30 to Dec-35 separately.</t>
  </si>
  <si>
    <t xml:space="preserve">Placeholder data</t>
  </si>
  <si>
    <t xml:space="preserve">Columns C, D and E of the Inputs sheet are illustrative smooth series, not estimates. They must be replaced with your model output before any figure here is used.</t>
  </si>
</sst>
</file>

<file path=xl/styles.xml><?xml version="1.0" encoding="utf-8"?>
<styleSheet xmlns="http://schemas.openxmlformats.org/spreadsheetml/2006/main">
  <numFmts count="11">
    <numFmt numFmtId="164" formatCode="General"/>
    <numFmt numFmtId="165" formatCode="0%"/>
    <numFmt numFmtId="166" formatCode="0.0%"/>
    <numFmt numFmtId="167" formatCode="0.000%"/>
    <numFmt numFmtId="168" formatCode="#,##0.00"/>
    <numFmt numFmtId="169" formatCode="#,##0.0"/>
    <numFmt numFmtId="170" formatCode="\$#,##0.00"/>
    <numFmt numFmtId="171" formatCode="#,##0.000"/>
    <numFmt numFmtId="172" formatCode="0.00"/>
    <numFmt numFmtId="173" formatCode="0.0000"/>
    <numFmt numFmtId="174" formatCode="0.00%"/>
  </numFmts>
  <fonts count="10">
    <font>
      <sz val="11"/>
      <color theme="1"/>
      <name val="Calibri"/>
      <family val="2"/>
      <charset val="1"/>
    </font>
    <font>
      <sz val="10"/>
      <name val="Arial"/>
      <family val="0"/>
    </font>
    <font>
      <sz val="10"/>
      <name val="Arial"/>
      <family val="0"/>
    </font>
    <font>
      <sz val="10"/>
      <name val="Arial"/>
      <family val="0"/>
    </font>
    <font>
      <b val="true"/>
      <sz val="13"/>
      <color rgb="FF012060"/>
      <name val="Arial"/>
      <family val="0"/>
      <charset val="1"/>
    </font>
    <font>
      <i val="true"/>
      <sz val="8"/>
      <color rgb="FF808080"/>
      <name val="Arial"/>
      <family val="0"/>
      <charset val="1"/>
    </font>
    <font>
      <b val="true"/>
      <sz val="9"/>
      <name val="Arial"/>
      <family val="0"/>
      <charset val="1"/>
    </font>
    <font>
      <sz val="9"/>
      <name val="Arial"/>
      <family val="0"/>
      <charset val="1"/>
    </font>
    <font>
      <sz val="9"/>
      <color rgb="FF0000FF"/>
      <name val="Arial"/>
      <family val="0"/>
      <charset val="1"/>
    </font>
    <font>
      <b val="true"/>
      <sz val="9"/>
      <color rgb="FFFFFFFF"/>
      <name val="Arial"/>
      <family val="0"/>
      <charset val="1"/>
    </font>
  </fonts>
  <fills count="5">
    <fill>
      <patternFill patternType="none"/>
    </fill>
    <fill>
      <patternFill patternType="gray125"/>
    </fill>
    <fill>
      <patternFill patternType="solid">
        <fgColor rgb="FFFFF8E1"/>
        <bgColor rgb="FFFFFFFF"/>
      </patternFill>
    </fill>
    <fill>
      <patternFill patternType="solid">
        <fgColor rgb="FF012060"/>
        <bgColor rgb="FF000080"/>
      </patternFill>
    </fill>
    <fill>
      <patternFill patternType="solid">
        <fgColor rgb="FFEAF2EA"/>
        <bgColor rgb="FFFFF8E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9" fontId="8" fillId="2" borderId="1" xfId="0" applyFont="true" applyBorder="true" applyAlignment="false" applyProtection="false">
      <alignment horizontal="general" vertical="bottom" textRotation="0" wrapText="false" indent="0" shrinkToFit="false"/>
      <protection locked="true" hidden="false"/>
    </xf>
    <xf numFmtId="170" fontId="8" fillId="2"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1" fontId="0" fillId="2"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6"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tru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73" fontId="6"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E1"/>
      <rgbColor rgb="FFEAF2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1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5"/>
    <col collapsed="false" customWidth="true" hidden="false" outlineLevel="0" max="6" min="4" style="0" width="14"/>
    <col collapsed="false" customWidth="true" hidden="false" outlineLevel="0" max="7" min="7" style="0" width="17"/>
    <col collapsed="false" customWidth="true" hidden="false" outlineLevel="0" max="9" min="8" style="0" width="12"/>
    <col collapsed="false" customWidth="true" hidden="false" outlineLevel="0" max="11" min="10" style="0" width="15"/>
    <col collapsed="false" customWidth="true" hidden="false" outlineLevel="0" max="12" min="12" style="0" width="9"/>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v>0.8</v>
      </c>
      <c r="C5" s="2" t="s">
        <v>4</v>
      </c>
    </row>
    <row r="6" customFormat="false" ht="15" hidden="false" customHeight="false" outlineLevel="0" collapsed="false">
      <c r="A6" s="4" t="s">
        <v>5</v>
      </c>
      <c r="B6" s="6" t="n">
        <v>0.023</v>
      </c>
      <c r="C6" s="2" t="s">
        <v>6</v>
      </c>
    </row>
    <row r="7" customFormat="false" ht="15" hidden="false" customHeight="false" outlineLevel="0" collapsed="false">
      <c r="A7" s="4" t="s">
        <v>7</v>
      </c>
      <c r="B7" s="7" t="n">
        <f aca="false">(1+B6)^0.25-1</f>
        <v>0.00570106128969683</v>
      </c>
    </row>
    <row r="9" customFormat="false" ht="30" hidden="false" customHeight="true" outlineLevel="0" collapsed="false">
      <c r="A9" s="8" t="s">
        <v>8</v>
      </c>
      <c r="B9" s="8" t="s">
        <v>9</v>
      </c>
      <c r="C9" s="8" t="s">
        <v>10</v>
      </c>
      <c r="D9" s="8" t="s">
        <v>11</v>
      </c>
      <c r="E9" s="8" t="s">
        <v>12</v>
      </c>
      <c r="F9" s="8" t="s">
        <v>13</v>
      </c>
      <c r="G9" s="8" t="s">
        <v>14</v>
      </c>
      <c r="H9" s="8" t="s">
        <v>15</v>
      </c>
      <c r="I9" s="8" t="s">
        <v>16</v>
      </c>
      <c r="J9" s="8" t="s">
        <v>17</v>
      </c>
      <c r="K9" s="8" t="s">
        <v>18</v>
      </c>
      <c r="L9" s="8" t="s">
        <v>19</v>
      </c>
    </row>
    <row r="10" customFormat="false" ht="15" hidden="false" customHeight="false" outlineLevel="0" collapsed="false">
      <c r="A10" s="9" t="n">
        <v>0</v>
      </c>
      <c r="B10" s="10" t="s">
        <v>20</v>
      </c>
      <c r="C10" s="11" t="n">
        <v>12.6</v>
      </c>
      <c r="D10" s="12" t="n">
        <v>300</v>
      </c>
      <c r="E10" s="13" t="n">
        <v>40</v>
      </c>
      <c r="F10" s="14" t="n">
        <f aca="false">C10/D10*1000</f>
        <v>42</v>
      </c>
      <c r="G10" s="15" t="n">
        <f aca="false">F10*E10</f>
        <v>1680</v>
      </c>
      <c r="H10" s="16" t="s">
        <v>21</v>
      </c>
      <c r="I10" s="16" t="s">
        <v>21</v>
      </c>
      <c r="J10" s="17"/>
      <c r="K10" s="16" t="s">
        <v>21</v>
      </c>
      <c r="L10" s="18" t="s">
        <v>21</v>
      </c>
    </row>
    <row r="11" customFormat="false" ht="15" hidden="false" customHeight="false" outlineLevel="0" collapsed="false">
      <c r="A11" s="9" t="n">
        <v>1</v>
      </c>
      <c r="B11" s="10" t="s">
        <v>22</v>
      </c>
      <c r="C11" s="11" t="n">
        <v>12.8177</v>
      </c>
      <c r="D11" s="12" t="n">
        <v>302.5342</v>
      </c>
      <c r="E11" s="13" t="n">
        <v>41.5327</v>
      </c>
      <c r="F11" s="14" t="n">
        <f aca="false">C11/D11*1000</f>
        <v>42.3677719742099</v>
      </c>
      <c r="G11" s="15" t="n">
        <f aca="false">F11*E11</f>
        <v>1759.64796307327</v>
      </c>
      <c r="H11" s="14" t="n">
        <f aca="false">C11-C10</f>
        <v>0.217700000000001</v>
      </c>
      <c r="I11" s="14" t="n">
        <f aca="false">C10*$B$5*$B$7</f>
        <v>0.057466697800144</v>
      </c>
      <c r="J11" s="19"/>
      <c r="K11" s="14" t="n">
        <f aca="false">IF(J11="",H11-I11,J11)</f>
        <v>0.160233302199857</v>
      </c>
      <c r="L11" s="9" t="str">
        <f aca="false">IF(ROUND(I11+K11-H11,6)=0,"ok","check")</f>
        <v>ok</v>
      </c>
    </row>
    <row r="12" customFormat="false" ht="15" hidden="false" customHeight="false" outlineLevel="0" collapsed="false">
      <c r="A12" s="9" t="n">
        <v>2</v>
      </c>
      <c r="B12" s="10" t="s">
        <v>23</v>
      </c>
      <c r="C12" s="11" t="n">
        <v>13.0391</v>
      </c>
      <c r="D12" s="12" t="n">
        <v>305.0898</v>
      </c>
      <c r="E12" s="13" t="n">
        <v>43.1242</v>
      </c>
      <c r="F12" s="14" t="n">
        <f aca="false">C12/D12*1000</f>
        <v>42.7385641866755</v>
      </c>
      <c r="G12" s="15" t="n">
        <f aca="false">F12*E12</f>
        <v>1843.06638969903</v>
      </c>
      <c r="H12" s="14" t="n">
        <f aca="false">C12-C11</f>
        <v>0.221399999999999</v>
      </c>
      <c r="I12" s="14" t="n">
        <f aca="false">C11*$B$5*$B$7</f>
        <v>0.0584595946343576</v>
      </c>
      <c r="J12" s="19"/>
      <c r="K12" s="14" t="n">
        <f aca="false">IF(J12="",H12-I12,J12)</f>
        <v>0.162940405365642</v>
      </c>
      <c r="L12" s="9" t="str">
        <f aca="false">IF(ROUND(I12+K12-H12,6)=0,"ok","check")</f>
        <v>ok</v>
      </c>
    </row>
    <row r="13" customFormat="false" ht="15" hidden="false" customHeight="false" outlineLevel="0" collapsed="false">
      <c r="A13" s="9" t="n">
        <v>3</v>
      </c>
      <c r="B13" s="10" t="s">
        <v>24</v>
      </c>
      <c r="C13" s="11" t="n">
        <v>13.2644</v>
      </c>
      <c r="D13" s="12" t="n">
        <v>307.667</v>
      </c>
      <c r="E13" s="13" t="n">
        <v>44.7766</v>
      </c>
      <c r="F13" s="14" t="n">
        <f aca="false">C13/D13*1000</f>
        <v>43.1128460315861</v>
      </c>
      <c r="G13" s="15" t="n">
        <f aca="false">F13*E13</f>
        <v>1930.44666161792</v>
      </c>
      <c r="H13" s="14" t="n">
        <f aca="false">C13-C12</f>
        <v>0.225300000000001</v>
      </c>
      <c r="I13" s="14" t="n">
        <f aca="false">C12*$B$5*$B$7</f>
        <v>0.0594693666099888</v>
      </c>
      <c r="J13" s="19"/>
      <c r="K13" s="14" t="n">
        <f aca="false">IF(J13="",H13-I13,J13)</f>
        <v>0.165830633390012</v>
      </c>
      <c r="L13" s="9" t="str">
        <f aca="false">IF(ROUND(I13+K13-H13,6)=0,"ok","check")</f>
        <v>ok</v>
      </c>
    </row>
    <row r="14" customFormat="false" ht="15" hidden="false" customHeight="false" outlineLevel="0" collapsed="false">
      <c r="A14" s="9" t="n">
        <v>4</v>
      </c>
      <c r="B14" s="10" t="s">
        <v>25</v>
      </c>
      <c r="C14" s="11" t="n">
        <v>13.4936</v>
      </c>
      <c r="D14" s="12" t="n">
        <v>310.2659</v>
      </c>
      <c r="E14" s="13" t="n">
        <v>46.4923</v>
      </c>
      <c r="F14" s="14" t="n">
        <f aca="false">C14/D14*1000</f>
        <v>43.4904383627076</v>
      </c>
      <c r="G14" s="15" t="n">
        <f aca="false">F14*E14</f>
        <v>2021.97050749051</v>
      </c>
      <c r="H14" s="14" t="n">
        <f aca="false">C14-C13</f>
        <v>0.229200000000001</v>
      </c>
      <c r="I14" s="14" t="n">
        <f aca="false">C13*$B$5*$B$7</f>
        <v>0.0604969258968437</v>
      </c>
      <c r="J14" s="19"/>
      <c r="K14" s="14" t="n">
        <f aca="false">IF(J14="",H14-I14,J14)</f>
        <v>0.168703074103157</v>
      </c>
      <c r="L14" s="9" t="str">
        <f aca="false">IF(ROUND(I14+K14-H14,6)=0,"ok","check")</f>
        <v>ok</v>
      </c>
    </row>
    <row r="15" customFormat="false" ht="15" hidden="false" customHeight="false" outlineLevel="0" collapsed="false">
      <c r="A15" s="9" t="n">
        <v>5</v>
      </c>
      <c r="B15" s="10" t="s">
        <v>26</v>
      </c>
      <c r="C15" s="11" t="n">
        <v>13.7267</v>
      </c>
      <c r="D15" s="12" t="n">
        <v>312.8868</v>
      </c>
      <c r="E15" s="13" t="n">
        <v>48.2738</v>
      </c>
      <c r="F15" s="14" t="n">
        <f aca="false">C15/D15*1000</f>
        <v>43.8711380601547</v>
      </c>
      <c r="G15" s="15" t="n">
        <f aca="false">F15*E15</f>
        <v>2117.82654448829</v>
      </c>
      <c r="H15" s="14" t="n">
        <f aca="false">C15-C14</f>
        <v>0.233099999999999</v>
      </c>
      <c r="I15" s="14" t="n">
        <f aca="false">C14*$B$5*$B$7</f>
        <v>0.0615422724949225</v>
      </c>
      <c r="J15" s="19"/>
      <c r="K15" s="14" t="n">
        <f aca="false">IF(J15="",H15-I15,J15)</f>
        <v>0.171557727505076</v>
      </c>
      <c r="L15" s="9" t="str">
        <f aca="false">IF(ROUND(I15+K15-H15,6)=0,"ok","check")</f>
        <v>ok</v>
      </c>
    </row>
    <row r="16" customFormat="false" ht="15" hidden="false" customHeight="false" outlineLevel="0" collapsed="false">
      <c r="A16" s="9" t="n">
        <v>6</v>
      </c>
      <c r="B16" s="10" t="s">
        <v>27</v>
      </c>
      <c r="C16" s="11" t="n">
        <v>13.9639</v>
      </c>
      <c r="D16" s="12" t="n">
        <v>315.5299</v>
      </c>
      <c r="E16" s="13" t="n">
        <v>50.1236</v>
      </c>
      <c r="F16" s="14" t="n">
        <f aca="false">C16/D16*1000</f>
        <v>44.255393862832</v>
      </c>
      <c r="G16" s="15" t="n">
        <f aca="false">F16*E16</f>
        <v>2218.23965982305</v>
      </c>
      <c r="H16" s="14" t="n">
        <f aca="false">C16-C15</f>
        <v>0.237200000000001</v>
      </c>
      <c r="I16" s="14" t="n">
        <f aca="false">C15*$B$5*$B$7</f>
        <v>0.0626054064042252</v>
      </c>
      <c r="J16" s="19"/>
      <c r="K16" s="14" t="n">
        <f aca="false">IF(J16="",H16-I16,J16)</f>
        <v>0.174594593595776</v>
      </c>
      <c r="L16" s="9" t="str">
        <f aca="false">IF(ROUND(I16+K16-H16,6)=0,"ok","check")</f>
        <v>ok</v>
      </c>
    </row>
    <row r="17" customFormat="false" ht="15" hidden="false" customHeight="false" outlineLevel="0" collapsed="false">
      <c r="A17" s="9" t="n">
        <v>7</v>
      </c>
      <c r="B17" s="10" t="s">
        <v>28</v>
      </c>
      <c r="C17" s="11" t="n">
        <v>14.2051</v>
      </c>
      <c r="D17" s="12" t="n">
        <v>318.1952</v>
      </c>
      <c r="E17" s="13" t="n">
        <v>52.0442</v>
      </c>
      <c r="F17" s="14" t="n">
        <f aca="false">C17/D17*1000</f>
        <v>44.6427224546442</v>
      </c>
      <c r="G17" s="15" t="n">
        <f aca="false">F17*E17</f>
        <v>2323.39477597399</v>
      </c>
      <c r="H17" s="14" t="n">
        <f aca="false">C17-C16</f>
        <v>0.241199999999999</v>
      </c>
      <c r="I17" s="14" t="n">
        <f aca="false">C16*$B$5*$B$7</f>
        <v>0.0636872397945581</v>
      </c>
      <c r="J17" s="19"/>
      <c r="K17" s="14" t="n">
        <f aca="false">IF(J17="",H17-I17,J17)</f>
        <v>0.177512760205441</v>
      </c>
      <c r="L17" s="9" t="str">
        <f aca="false">IF(ROUND(I17+K17-H17,6)=0,"ok","check")</f>
        <v>ok</v>
      </c>
    </row>
    <row r="18" customFormat="false" ht="15" hidden="false" customHeight="false" outlineLevel="0" collapsed="false">
      <c r="A18" s="9" t="n">
        <v>8</v>
      </c>
      <c r="B18" s="10" t="s">
        <v>29</v>
      </c>
      <c r="C18" s="11" t="n">
        <v>14.4506</v>
      </c>
      <c r="D18" s="12" t="n">
        <v>320.8831</v>
      </c>
      <c r="E18" s="13" t="n">
        <v>54.0384</v>
      </c>
      <c r="F18" s="14" t="n">
        <f aca="false">C18/D18*1000</f>
        <v>45.0338456590578</v>
      </c>
      <c r="G18" s="15" t="n">
        <f aca="false">F18*E18</f>
        <v>2433.55696526243</v>
      </c>
      <c r="H18" s="14" t="n">
        <f aca="false">C18-C17</f>
        <v>0.2455</v>
      </c>
      <c r="I18" s="14" t="n">
        <f aca="false">C17*$B$5*$B$7</f>
        <v>0.064787316581018</v>
      </c>
      <c r="J18" s="19"/>
      <c r="K18" s="14" t="n">
        <f aca="false">IF(J18="",H18-I18,J18)</f>
        <v>0.180712683418982</v>
      </c>
      <c r="L18" s="9" t="str">
        <f aca="false">IF(ROUND(I18+K18-H18,6)=0,"ok","check")</f>
        <v>ok</v>
      </c>
    </row>
    <row r="19" customFormat="false" ht="15" hidden="false" customHeight="false" outlineLevel="0" collapsed="false">
      <c r="A19" s="9" t="n">
        <v>9</v>
      </c>
      <c r="B19" s="10" t="s">
        <v>30</v>
      </c>
      <c r="C19" s="11" t="n">
        <v>14.7002</v>
      </c>
      <c r="D19" s="12" t="n">
        <v>323.5937</v>
      </c>
      <c r="E19" s="13" t="n">
        <v>56.109</v>
      </c>
      <c r="F19" s="14" t="n">
        <f aca="false">C19/D19*1000</f>
        <v>45.4279548705676</v>
      </c>
      <c r="G19" s="15" t="n">
        <f aca="false">F19*E19</f>
        <v>2548.91711983268</v>
      </c>
      <c r="H19" s="14" t="n">
        <f aca="false">C19-C18</f>
        <v>0.249600000000001</v>
      </c>
      <c r="I19" s="14" t="n">
        <f aca="false">C18*$B$5*$B$7</f>
        <v>0.0659070050183144</v>
      </c>
      <c r="J19" s="19"/>
      <c r="K19" s="14" t="n">
        <f aca="false">IF(J19="",H19-I19,J19)</f>
        <v>0.183692994981687</v>
      </c>
      <c r="L19" s="9" t="str">
        <f aca="false">IF(ROUND(I19+K19-H19,6)=0,"ok","check")</f>
        <v>ok</v>
      </c>
    </row>
    <row r="20" customFormat="false" ht="15" hidden="false" customHeight="false" outlineLevel="0" collapsed="false">
      <c r="A20" s="9" t="n">
        <v>10</v>
      </c>
      <c r="B20" s="10" t="s">
        <v>31</v>
      </c>
      <c r="C20" s="11" t="n">
        <v>14.9542</v>
      </c>
      <c r="D20" s="12" t="n">
        <v>326.3272</v>
      </c>
      <c r="E20" s="13" t="n">
        <v>58.259</v>
      </c>
      <c r="F20" s="14" t="n">
        <f aca="false">C20/D20*1000</f>
        <v>45.8257846725618</v>
      </c>
      <c r="G20" s="15" t="n">
        <f aca="false">F20*E20</f>
        <v>2669.76438923878</v>
      </c>
      <c r="H20" s="14" t="n">
        <f aca="false">C20-C19</f>
        <v>0.254</v>
      </c>
      <c r="I20" s="14" t="n">
        <f aca="false">C19*$B$5*$B$7</f>
        <v>0.0670453929366411</v>
      </c>
      <c r="J20" s="19"/>
      <c r="K20" s="14" t="n">
        <f aca="false">IF(J20="",H20-I20,J20)</f>
        <v>0.186954607063358</v>
      </c>
      <c r="L20" s="9" t="str">
        <f aca="false">IF(ROUND(I20+K20-H20,6)=0,"ok","check")</f>
        <v>ok</v>
      </c>
    </row>
    <row r="21" customFormat="false" ht="15" hidden="false" customHeight="false" outlineLevel="0" collapsed="false">
      <c r="A21" s="9" t="n">
        <v>11</v>
      </c>
      <c r="B21" s="10" t="s">
        <v>32</v>
      </c>
      <c r="C21" s="11" t="n">
        <v>15.2126</v>
      </c>
      <c r="D21" s="12" t="n">
        <v>329.0838</v>
      </c>
      <c r="E21" s="13" t="n">
        <v>60.4914</v>
      </c>
      <c r="F21" s="14" t="n">
        <f aca="false">C21/D21*1000</f>
        <v>46.2271312048785</v>
      </c>
      <c r="G21" s="15" t="n">
        <f aca="false">F21*E21</f>
        <v>2796.34388456679</v>
      </c>
      <c r="H21" s="14" t="n">
        <f aca="false">C21-C20</f>
        <v>0.2584</v>
      </c>
      <c r="I21" s="14" t="n">
        <f aca="false">C20*$B$5*$B$7</f>
        <v>0.0682038485907075</v>
      </c>
      <c r="J21" s="19"/>
      <c r="K21" s="14" t="n">
        <f aca="false">IF(J21="",H21-I21,J21)</f>
        <v>0.190196151409293</v>
      </c>
      <c r="L21" s="9" t="str">
        <f aca="false">IF(ROUND(I21+K21-H21,6)=0,"ok","check")</f>
        <v>ok</v>
      </c>
    </row>
    <row r="22" customFormat="false" ht="15" hidden="false" customHeight="false" outlineLevel="0" collapsed="false">
      <c r="A22" s="9" t="n">
        <v>12</v>
      </c>
      <c r="B22" s="10" t="s">
        <v>33</v>
      </c>
      <c r="C22" s="11" t="n">
        <v>15.4754</v>
      </c>
      <c r="D22" s="12" t="n">
        <v>331.8636</v>
      </c>
      <c r="E22" s="13" t="n">
        <v>62.8093</v>
      </c>
      <c r="F22" s="14" t="n">
        <f aca="false">C22/D22*1000</f>
        <v>46.6318089721199</v>
      </c>
      <c r="G22" s="15" t="n">
        <f aca="false">F22*E22</f>
        <v>2928.91127927257</v>
      </c>
      <c r="H22" s="14" t="n">
        <f aca="false">C22-C21</f>
        <v>0.2628</v>
      </c>
      <c r="I22" s="14" t="n">
        <f aca="false">C21*$B$5*$B$7</f>
        <v>0.0693823719805136</v>
      </c>
      <c r="J22" s="19"/>
      <c r="K22" s="14" t="n">
        <f aca="false">IF(J22="",H22-I22,J22)</f>
        <v>0.193417628019487</v>
      </c>
      <c r="L22" s="9" t="str">
        <f aca="false">IF(ROUND(I22+K22-H22,6)=0,"ok","check")</f>
        <v>ok</v>
      </c>
    </row>
    <row r="23" customFormat="false" ht="15" hidden="false" customHeight="false" outlineLevel="0" collapsed="false">
      <c r="A23" s="9" t="n">
        <v>13</v>
      </c>
      <c r="B23" s="10" t="s">
        <v>34</v>
      </c>
      <c r="C23" s="11" t="n">
        <v>15.7428</v>
      </c>
      <c r="D23" s="12" t="n">
        <v>334.667</v>
      </c>
      <c r="E23" s="13" t="n">
        <v>65.216</v>
      </c>
      <c r="F23" s="14" t="n">
        <f aca="false">C23/D23*1000</f>
        <v>47.0401921910436</v>
      </c>
      <c r="G23" s="15" t="n">
        <f aca="false">F23*E23</f>
        <v>3067.7731739311</v>
      </c>
      <c r="H23" s="14" t="n">
        <f aca="false">C23-C22</f>
        <v>0.2674</v>
      </c>
      <c r="I23" s="14" t="n">
        <f aca="false">C22*$B$5*$B$7</f>
        <v>0.0705809631060595</v>
      </c>
      <c r="J23" s="19"/>
      <c r="K23" s="14" t="n">
        <f aca="false">IF(J23="",H23-I23,J23)</f>
        <v>0.196819036893941</v>
      </c>
      <c r="L23" s="9" t="str">
        <f aca="false">IF(ROUND(I23+K23-H23,6)=0,"ok","check")</f>
        <v>ok</v>
      </c>
    </row>
    <row r="24" customFormat="false" ht="15" hidden="false" customHeight="false" outlineLevel="0" collapsed="false">
      <c r="A24" s="9" t="n">
        <v>14</v>
      </c>
      <c r="B24" s="10" t="s">
        <v>35</v>
      </c>
      <c r="C24" s="11" t="n">
        <v>16.0147</v>
      </c>
      <c r="D24" s="12" t="n">
        <v>337.494</v>
      </c>
      <c r="E24" s="13" t="n">
        <v>67.7149</v>
      </c>
      <c r="F24" s="14" t="n">
        <f aca="false">C24/D24*1000</f>
        <v>47.451806550635</v>
      </c>
      <c r="G24" s="15" t="n">
        <f aca="false">F24*E24</f>
        <v>3213.19433539559</v>
      </c>
      <c r="H24" s="14" t="n">
        <f aca="false">C24-C23</f>
        <v>0.271900000000001</v>
      </c>
      <c r="I24" s="14" t="n">
        <f aca="false">C23*$B$5*$B$7</f>
        <v>0.0718005341371514</v>
      </c>
      <c r="J24" s="19"/>
      <c r="K24" s="14" t="n">
        <f aca="false">IF(J24="",H24-I24,J24)</f>
        <v>0.200099465862849</v>
      </c>
      <c r="L24" s="9" t="str">
        <f aca="false">IF(ROUND(I24+K24-H24,6)=0,"ok","check")</f>
        <v>ok</v>
      </c>
    </row>
    <row r="25" customFormat="false" ht="15" hidden="false" customHeight="false" outlineLevel="0" collapsed="false">
      <c r="A25" s="9" t="n">
        <v>15</v>
      </c>
      <c r="B25" s="10" t="s">
        <v>36</v>
      </c>
      <c r="C25" s="11" t="n">
        <v>16.2914</v>
      </c>
      <c r="D25" s="12" t="n">
        <v>340.3449</v>
      </c>
      <c r="E25" s="13" t="n">
        <v>70.3096</v>
      </c>
      <c r="F25" s="14" t="n">
        <f aca="false">C25/D25*1000</f>
        <v>47.8673251751385</v>
      </c>
      <c r="G25" s="15" t="n">
        <f aca="false">F25*E25</f>
        <v>3365.53248613392</v>
      </c>
      <c r="H25" s="14" t="n">
        <f aca="false">C25-C24</f>
        <v>0.276699999999998</v>
      </c>
      <c r="I25" s="14" t="n">
        <f aca="false">C24*$B$5*$B$7</f>
        <v>0.0730406289888863</v>
      </c>
      <c r="J25" s="19"/>
      <c r="K25" s="14" t="n">
        <f aca="false">IF(J25="",H25-I25,J25)</f>
        <v>0.203659371011112</v>
      </c>
      <c r="L25" s="9" t="str">
        <f aca="false">IF(ROUND(I25+K25-H25,6)=0,"ok","check")</f>
        <v>ok</v>
      </c>
    </row>
    <row r="26" customFormat="false" ht="15" hidden="false" customHeight="false" outlineLevel="0" collapsed="false">
      <c r="A26" s="9" t="n">
        <v>16</v>
      </c>
      <c r="B26" s="10" t="s">
        <v>37</v>
      </c>
      <c r="C26" s="11" t="n">
        <v>16.5729</v>
      </c>
      <c r="D26" s="12" t="n">
        <v>343.2199</v>
      </c>
      <c r="E26" s="13" t="n">
        <v>73.0037</v>
      </c>
      <c r="F26" s="14" t="n">
        <f aca="false">C26/D26*1000</f>
        <v>48.2865358331495</v>
      </c>
      <c r="G26" s="15" t="n">
        <f aca="false">F26*E26</f>
        <v>3525.0957760025</v>
      </c>
      <c r="H26" s="14" t="n">
        <f aca="false">C26-C25</f>
        <v>0.281500000000001</v>
      </c>
      <c r="I26" s="14" t="n">
        <f aca="false">C25*$B$5*$B$7</f>
        <v>0.0743026159159735</v>
      </c>
      <c r="J26" s="19"/>
      <c r="K26" s="14" t="n">
        <f aca="false">IF(J26="",H26-I26,J26)</f>
        <v>0.207197384084028</v>
      </c>
      <c r="L26" s="9" t="str">
        <f aca="false">IF(ROUND(I26+K26-H26,6)=0,"ok","check")</f>
        <v>ok</v>
      </c>
    </row>
    <row r="27" customFormat="false" ht="15" hidden="false" customHeight="false" outlineLevel="0" collapsed="false">
      <c r="A27" s="9" t="n">
        <v>17</v>
      </c>
      <c r="B27" s="10" t="s">
        <v>38</v>
      </c>
      <c r="C27" s="11" t="n">
        <v>16.8592</v>
      </c>
      <c r="D27" s="12" t="n">
        <v>346.1192</v>
      </c>
      <c r="E27" s="13" t="n">
        <v>75.8011</v>
      </c>
      <c r="F27" s="14" t="n">
        <f aca="false">C27/D27*1000</f>
        <v>48.7092308083458</v>
      </c>
      <c r="G27" s="15" t="n">
        <f aca="false">F27*E27</f>
        <v>3692.2132754265</v>
      </c>
      <c r="H27" s="14" t="n">
        <f aca="false">C27-C26</f>
        <v>0.286300000000001</v>
      </c>
      <c r="I27" s="14" t="n">
        <f aca="false">C26*$B$5*$B$7</f>
        <v>0.0755864949184133</v>
      </c>
      <c r="J27" s="19"/>
      <c r="K27" s="14" t="n">
        <f aca="false">IF(J27="",H27-I27,J27)</f>
        <v>0.210713505081587</v>
      </c>
      <c r="L27" s="9" t="str">
        <f aca="false">IF(ROUND(I27+K27-H27,6)=0,"ok","check")</f>
        <v>ok</v>
      </c>
    </row>
    <row r="28" customFormat="false" ht="15" hidden="false" customHeight="false" outlineLevel="0" collapsed="false">
      <c r="A28" s="9" t="n">
        <v>18</v>
      </c>
      <c r="B28" s="10" t="s">
        <v>39</v>
      </c>
      <c r="C28" s="11" t="n">
        <v>17.1505</v>
      </c>
      <c r="D28" s="12" t="n">
        <v>349.043</v>
      </c>
      <c r="E28" s="13" t="n">
        <v>78.7056</v>
      </c>
      <c r="F28" s="14" t="n">
        <f aca="false">C28/D28*1000</f>
        <v>49.1357798322843</v>
      </c>
      <c r="G28" s="15" t="n">
        <f aca="false">F28*E28</f>
        <v>3867.26103316783</v>
      </c>
      <c r="H28" s="14" t="n">
        <f aca="false">C28-C27</f>
        <v>0.2913</v>
      </c>
      <c r="I28" s="14" t="n">
        <f aca="false">C27*$B$5*$B$7</f>
        <v>0.0768922659962054</v>
      </c>
      <c r="J28" s="19"/>
      <c r="K28" s="14" t="n">
        <f aca="false">IF(J28="",H28-I28,J28)</f>
        <v>0.214407734003794</v>
      </c>
      <c r="L28" s="9" t="str">
        <f aca="false">IF(ROUND(I28+K28-H28,6)=0,"ok","check")</f>
        <v>ok</v>
      </c>
    </row>
    <row r="29" customFormat="false" ht="15" hidden="false" customHeight="false" outlineLevel="0" collapsed="false">
      <c r="A29" s="9" t="n">
        <v>19</v>
      </c>
      <c r="B29" s="10" t="s">
        <v>40</v>
      </c>
      <c r="C29" s="11" t="n">
        <v>17.4468</v>
      </c>
      <c r="D29" s="12" t="n">
        <v>351.9914</v>
      </c>
      <c r="E29" s="13" t="n">
        <v>81.7214</v>
      </c>
      <c r="F29" s="14" t="n">
        <f aca="false">C29/D29*1000</f>
        <v>49.5659837143748</v>
      </c>
      <c r="G29" s="15" t="n">
        <f aca="false">F29*E29</f>
        <v>4050.60158151591</v>
      </c>
      <c r="H29" s="14" t="n">
        <f aca="false">C29-C28</f>
        <v>0.296299999999999</v>
      </c>
      <c r="I29" s="14" t="n">
        <f aca="false">C28*$B$5*$B$7</f>
        <v>0.0782208413191564</v>
      </c>
      <c r="J29" s="19"/>
      <c r="K29" s="14" t="n">
        <f aca="false">IF(J29="",H29-I29,J29)</f>
        <v>0.218079158680842</v>
      </c>
      <c r="L29" s="9" t="str">
        <f aca="false">IF(ROUND(I29+K29-H29,6)=0,"ok","check")</f>
        <v>ok</v>
      </c>
    </row>
    <row r="30" customFormat="false" ht="15" hidden="false" customHeight="false" outlineLevel="0" collapsed="false">
      <c r="A30" s="9" t="n">
        <v>20</v>
      </c>
      <c r="B30" s="10" t="s">
        <v>41</v>
      </c>
      <c r="C30" s="11" t="n">
        <v>17.7482</v>
      </c>
      <c r="D30" s="12" t="n">
        <v>354.9648</v>
      </c>
      <c r="E30" s="13" t="n">
        <v>84.8528</v>
      </c>
      <c r="F30" s="14" t="n">
        <f aca="false">C30/D30*1000</f>
        <v>49.9998873127702</v>
      </c>
      <c r="G30" s="15" t="n">
        <f aca="false">F30*E30</f>
        <v>4242.63043817302</v>
      </c>
      <c r="H30" s="14" t="n">
        <f aca="false">C30-C29</f>
        <v>0.301400000000001</v>
      </c>
      <c r="I30" s="14" t="n">
        <f aca="false">C29*$B$5*$B$7</f>
        <v>0.0795722208872661</v>
      </c>
      <c r="J30" s="19"/>
      <c r="K30" s="14" t="n">
        <f aca="false">IF(J30="",H30-I30,J30)</f>
        <v>0.221827779112735</v>
      </c>
      <c r="L30" s="9" t="str">
        <f aca="false">IF(ROUND(I30+K30-H30,6)=0,"ok","check")</f>
        <v>ok</v>
      </c>
    </row>
    <row r="31" customFormat="false" ht="15" hidden="false" customHeight="false" outlineLevel="0" collapsed="false">
      <c r="A31" s="9" t="n">
        <v>21</v>
      </c>
      <c r="B31" s="10" t="s">
        <v>42</v>
      </c>
      <c r="C31" s="11" t="n">
        <v>18.0549</v>
      </c>
      <c r="D31" s="12" t="n">
        <v>357.9633</v>
      </c>
      <c r="E31" s="13" t="n">
        <v>88.1042</v>
      </c>
      <c r="F31" s="14" t="n">
        <f aca="false">C31/D31*1000</f>
        <v>50.4378521485303</v>
      </c>
      <c r="G31" s="15" t="n">
        <f aca="false">F31*E31</f>
        <v>4443.78661326455</v>
      </c>
      <c r="H31" s="14" t="n">
        <f aca="false">C31-C30</f>
        <v>0.306699999999999</v>
      </c>
      <c r="I31" s="14" t="n">
        <f aca="false">C30*$B$5*$B$7</f>
        <v>0.0809468607854378</v>
      </c>
      <c r="J31" s="19"/>
      <c r="K31" s="14" t="n">
        <f aca="false">IF(J31="",H31-I31,J31)</f>
        <v>0.225753139214561</v>
      </c>
      <c r="L31" s="9" t="str">
        <f aca="false">IF(ROUND(I31+K31-H31,6)=0,"ok","check")</f>
        <v>ok</v>
      </c>
    </row>
    <row r="32" customFormat="false" ht="15" hidden="false" customHeight="false" outlineLevel="0" collapsed="false">
      <c r="A32" s="9" t="n">
        <v>22</v>
      </c>
      <c r="B32" s="10" t="s">
        <v>43</v>
      </c>
      <c r="C32" s="11" t="n">
        <v>18.3668</v>
      </c>
      <c r="D32" s="12" t="n">
        <v>360.9871</v>
      </c>
      <c r="E32" s="13" t="n">
        <v>91.4802</v>
      </c>
      <c r="F32" s="14" t="n">
        <f aca="false">C32/D32*1000</f>
        <v>50.8793804543154</v>
      </c>
      <c r="G32" s="15" t="n">
        <f aca="false">F32*E32</f>
        <v>4654.45589983687</v>
      </c>
      <c r="H32" s="14" t="n">
        <f aca="false">C32-C31</f>
        <v>0.311900000000001</v>
      </c>
      <c r="I32" s="14" t="n">
        <f aca="false">C31*$B$5*$B$7</f>
        <v>0.0823456731834778</v>
      </c>
      <c r="J32" s="19"/>
      <c r="K32" s="14" t="n">
        <f aca="false">IF(J32="",H32-I32,J32)</f>
        <v>0.229554326816524</v>
      </c>
      <c r="L32" s="9" t="str">
        <f aca="false">IF(ROUND(I32+K32-H32,6)=0,"ok","check")</f>
        <v>ok</v>
      </c>
    </row>
    <row r="33" customFormat="false" ht="15" hidden="false" customHeight="false" outlineLevel="0" collapsed="false">
      <c r="A33" s="9" t="n">
        <v>23</v>
      </c>
      <c r="B33" s="10" t="s">
        <v>44</v>
      </c>
      <c r="C33" s="11" t="n">
        <v>18.6841</v>
      </c>
      <c r="D33" s="12" t="n">
        <v>364.0365</v>
      </c>
      <c r="E33" s="13" t="n">
        <v>94.9855</v>
      </c>
      <c r="F33" s="14" t="n">
        <f aca="false">C33/D33*1000</f>
        <v>51.3247984748782</v>
      </c>
      <c r="G33" s="15" t="n">
        <f aca="false">F33*E33</f>
        <v>4875.11164553555</v>
      </c>
      <c r="H33" s="14" t="n">
        <f aca="false">C33-C32</f>
        <v>0.317299999999999</v>
      </c>
      <c r="I33" s="14" t="n">
        <f aca="false">C32*$B$5*$B$7</f>
        <v>0.083768201996483</v>
      </c>
      <c r="J33" s="19"/>
      <c r="K33" s="14" t="n">
        <f aca="false">IF(J33="",H33-I33,J33)</f>
        <v>0.233531798003516</v>
      </c>
      <c r="L33" s="9" t="str">
        <f aca="false">IF(ROUND(I33+K33-H33,6)=0,"ok","check")</f>
        <v>ok</v>
      </c>
    </row>
    <row r="34" customFormat="false" ht="15" hidden="false" customHeight="false" outlineLevel="0" collapsed="false">
      <c r="A34" s="9" t="n">
        <v>24</v>
      </c>
      <c r="B34" s="10" t="s">
        <v>45</v>
      </c>
      <c r="C34" s="11" t="n">
        <v>19.0069</v>
      </c>
      <c r="D34" s="12" t="n">
        <v>367.1116</v>
      </c>
      <c r="E34" s="13" t="n">
        <v>98.6251</v>
      </c>
      <c r="F34" s="14" t="n">
        <f aca="false">C34/D34*1000</f>
        <v>51.774174392746</v>
      </c>
      <c r="G34" s="15" t="n">
        <f aca="false">F34*E34</f>
        <v>5106.23312690201</v>
      </c>
      <c r="H34" s="14" t="n">
        <f aca="false">C34-C33</f>
        <v>0.322800000000001</v>
      </c>
      <c r="I34" s="14" t="n">
        <f aca="false">C33*$B$5*$B$7</f>
        <v>0.0852153593942596</v>
      </c>
      <c r="J34" s="19"/>
      <c r="K34" s="14" t="n">
        <f aca="false">IF(J34="",H34-I34,J34)</f>
        <v>0.237584640605741</v>
      </c>
      <c r="L34" s="9" t="str">
        <f aca="false">IF(ROUND(I34+K34-H34,6)=0,"ok","check")</f>
        <v>ok</v>
      </c>
    </row>
    <row r="35" customFormat="false" ht="15" hidden="false" customHeight="false" outlineLevel="0" collapsed="false">
      <c r="A35" s="9" t="n">
        <v>25</v>
      </c>
      <c r="B35" s="10" t="s">
        <v>46</v>
      </c>
      <c r="C35" s="11" t="n">
        <v>19.3353</v>
      </c>
      <c r="D35" s="12" t="n">
        <v>370.2127</v>
      </c>
      <c r="E35" s="13" t="n">
        <v>102.4042</v>
      </c>
      <c r="F35" s="14" t="n">
        <f aca="false">C35/D35*1000</f>
        <v>52.2275437876659</v>
      </c>
      <c r="G35" s="15" t="n">
        <f aca="false">F35*E35</f>
        <v>5348.31983954089</v>
      </c>
      <c r="H35" s="14" t="n">
        <f aca="false">C35-C34</f>
        <v>0.328399999999998</v>
      </c>
      <c r="I35" s="14" t="n">
        <f aca="false">C34*$B$5*$B$7</f>
        <v>0.0866876014617109</v>
      </c>
      <c r="J35" s="19"/>
      <c r="K35" s="14" t="n">
        <f aca="false">IF(J35="",H35-I35,J35)</f>
        <v>0.241712398538288</v>
      </c>
      <c r="L35" s="9" t="str">
        <f aca="false">IF(ROUND(I35+K35-H35,6)=0,"ok","check")</f>
        <v>ok</v>
      </c>
    </row>
    <row r="36" customFormat="false" ht="15" hidden="false" customHeight="false" outlineLevel="0" collapsed="false">
      <c r="A36" s="9" t="n">
        <v>26</v>
      </c>
      <c r="B36" s="10" t="s">
        <v>47</v>
      </c>
      <c r="C36" s="11" t="n">
        <v>19.6694</v>
      </c>
      <c r="D36" s="12" t="n">
        <v>373.34</v>
      </c>
      <c r="E36" s="13" t="n">
        <v>106.3281</v>
      </c>
      <c r="F36" s="14" t="n">
        <f aca="false">C36/D36*1000</f>
        <v>52.6849520544276</v>
      </c>
      <c r="G36" s="15" t="n">
        <f aca="false">F36*E36</f>
        <v>5601.89085053838</v>
      </c>
      <c r="H36" s="14" t="n">
        <f aca="false">C36-C35</f>
        <v>0.334099999999999</v>
      </c>
      <c r="I36" s="14" t="n">
        <f aca="false">C35*$B$5*$B$7</f>
        <v>0.0881853842837401</v>
      </c>
      <c r="J36" s="19"/>
      <c r="K36" s="14" t="n">
        <f aca="false">IF(J36="",H36-I36,J36)</f>
        <v>0.245914615716259</v>
      </c>
      <c r="L36" s="9" t="str">
        <f aca="false">IF(ROUND(I36+K36-H36,6)=0,"ok","check")</f>
        <v>ok</v>
      </c>
    </row>
    <row r="37" customFormat="false" ht="15" hidden="false" customHeight="false" outlineLevel="0" collapsed="false">
      <c r="A37" s="9" t="n">
        <v>27</v>
      </c>
      <c r="B37" s="10" t="s">
        <v>48</v>
      </c>
      <c r="C37" s="11" t="n">
        <v>20.0092</v>
      </c>
      <c r="D37" s="12" t="n">
        <v>376.4937</v>
      </c>
      <c r="E37" s="13" t="n">
        <v>110.4024</v>
      </c>
      <c r="F37" s="14" t="n">
        <f aca="false">C37/D37*1000</f>
        <v>53.1461748231113</v>
      </c>
      <c r="G37" s="15" t="n">
        <f aca="false">F37*E37</f>
        <v>5867.46525129106</v>
      </c>
      <c r="H37" s="14" t="n">
        <f aca="false">C37-C36</f>
        <v>0.3398</v>
      </c>
      <c r="I37" s="14" t="n">
        <f aca="false">C36*$B$5*$B$7</f>
        <v>0.0897091639452503</v>
      </c>
      <c r="J37" s="19"/>
      <c r="K37" s="14" t="n">
        <f aca="false">IF(J37="",H37-I37,J37)</f>
        <v>0.25009083605475</v>
      </c>
      <c r="L37" s="9" t="str">
        <f aca="false">IF(ROUND(I37+K37-H37,6)=0,"ok","check")</f>
        <v>ok</v>
      </c>
    </row>
    <row r="38" customFormat="false" ht="15" hidden="false" customHeight="false" outlineLevel="0" collapsed="false">
      <c r="A38" s="9" t="n">
        <v>28</v>
      </c>
      <c r="B38" s="10" t="s">
        <v>49</v>
      </c>
      <c r="C38" s="11" t="n">
        <v>20.3549</v>
      </c>
      <c r="D38" s="12" t="n">
        <v>379.674</v>
      </c>
      <c r="E38" s="13" t="n">
        <v>114.6328</v>
      </c>
      <c r="F38" s="14" t="n">
        <f aca="false">C38/D38*1000</f>
        <v>53.6115193560792</v>
      </c>
      <c r="G38" s="15" t="n">
        <f aca="false">F38*E38</f>
        <v>6145.63857604155</v>
      </c>
      <c r="H38" s="14" t="n">
        <f aca="false">C38-C37</f>
        <v>0.345700000000001</v>
      </c>
      <c r="I38" s="14" t="n">
        <f aca="false">C37*$B$5*$B$7</f>
        <v>0.0912589404462414</v>
      </c>
      <c r="J38" s="19"/>
      <c r="K38" s="14" t="n">
        <f aca="false">IF(J38="",H38-I38,J38)</f>
        <v>0.254441059553759</v>
      </c>
      <c r="L38" s="9" t="str">
        <f aca="false">IF(ROUND(I38+K38-H38,6)=0,"ok","check")</f>
        <v>ok</v>
      </c>
    </row>
    <row r="39" customFormat="false" ht="15" hidden="false" customHeight="false" outlineLevel="0" collapsed="false">
      <c r="A39" s="9" t="n">
        <v>29</v>
      </c>
      <c r="B39" s="10" t="s">
        <v>50</v>
      </c>
      <c r="C39" s="11" t="n">
        <v>20.7066</v>
      </c>
      <c r="D39" s="12" t="n">
        <v>382.8812</v>
      </c>
      <c r="E39" s="13" t="n">
        <v>119.0252</v>
      </c>
      <c r="F39" s="14" t="n">
        <f aca="false">C39/D39*1000</f>
        <v>54.0810047607456</v>
      </c>
      <c r="G39" s="15" t="n">
        <f aca="false">F39*E39</f>
        <v>6437.0024078487</v>
      </c>
      <c r="H39" s="14" t="n">
        <f aca="false">C39-C38</f>
        <v>0.351700000000001</v>
      </c>
      <c r="I39" s="14" t="n">
        <f aca="false">C38*$B$5*$B$7</f>
        <v>0.09283562595652</v>
      </c>
      <c r="J39" s="19"/>
      <c r="K39" s="14" t="n">
        <f aca="false">IF(J39="",H39-I39,J39)</f>
        <v>0.258864374043481</v>
      </c>
      <c r="L39" s="9" t="str">
        <f aca="false">IF(ROUND(I39+K39-H39,6)=0,"ok","check")</f>
        <v>ok</v>
      </c>
    </row>
    <row r="40" customFormat="false" ht="15" hidden="false" customHeight="false" outlineLevel="0" collapsed="false">
      <c r="A40" s="9" t="n">
        <v>30</v>
      </c>
      <c r="B40" s="10" t="s">
        <v>51</v>
      </c>
      <c r="C40" s="11" t="n">
        <v>21.0643</v>
      </c>
      <c r="D40" s="12" t="n">
        <v>386.1155</v>
      </c>
      <c r="E40" s="13" t="n">
        <v>123.586</v>
      </c>
      <c r="F40" s="14" t="n">
        <f aca="false">C40/D40*1000</f>
        <v>54.5544014679545</v>
      </c>
      <c r="G40" s="15" t="n">
        <f aca="false">F40*E40</f>
        <v>6742.16025981863</v>
      </c>
      <c r="H40" s="14" t="n">
        <f aca="false">C40-C39</f>
        <v>0.357699999999998</v>
      </c>
      <c r="I40" s="14" t="n">
        <f aca="false">C39*$B$5*$B$7</f>
        <v>0.0944396765609891</v>
      </c>
      <c r="J40" s="19"/>
      <c r="K40" s="14" t="n">
        <f aca="false">IF(J40="",H40-I40,J40)</f>
        <v>0.263260323439009</v>
      </c>
      <c r="L40" s="9" t="str">
        <f aca="false">IF(ROUND(I40+K40-H40,6)=0,"ok","check")</f>
        <v>ok</v>
      </c>
    </row>
    <row r="41" customFormat="false" ht="15" hidden="false" customHeight="false" outlineLevel="0" collapsed="false">
      <c r="A41" s="9" t="n">
        <v>31</v>
      </c>
      <c r="B41" s="10" t="s">
        <v>52</v>
      </c>
      <c r="C41" s="11" t="n">
        <v>21.4283</v>
      </c>
      <c r="D41" s="12" t="n">
        <v>389.3772</v>
      </c>
      <c r="E41" s="13" t="n">
        <v>128.3216</v>
      </c>
      <c r="F41" s="14" t="n">
        <f aca="false">C41/D41*1000</f>
        <v>55.0322412303545</v>
      </c>
      <c r="G41" s="15" t="n">
        <f aca="false">F41*E41</f>
        <v>7061.82524626506</v>
      </c>
      <c r="H41" s="14" t="n">
        <f aca="false">C41-C40</f>
        <v>0.364000000000001</v>
      </c>
      <c r="I41" s="14" t="n">
        <f aca="false">C40*$B$5*$B$7</f>
        <v>0.0960710922596487</v>
      </c>
      <c r="J41" s="19"/>
      <c r="K41" s="14" t="n">
        <f aca="false">IF(J41="",H41-I41,J41)</f>
        <v>0.267928907740352</v>
      </c>
      <c r="L41" s="9" t="str">
        <f aca="false">IF(ROUND(I41+K41-H41,6)=0,"ok","check")</f>
        <v>ok</v>
      </c>
    </row>
    <row r="42" customFormat="false" ht="15" hidden="false" customHeight="false" outlineLevel="0" collapsed="false">
      <c r="A42" s="9" t="n">
        <v>32</v>
      </c>
      <c r="B42" s="10" t="s">
        <v>53</v>
      </c>
      <c r="C42" s="11" t="n">
        <v>21.7985</v>
      </c>
      <c r="D42" s="12" t="n">
        <v>392.6663</v>
      </c>
      <c r="E42" s="13" t="n">
        <v>133.2386</v>
      </c>
      <c r="F42" s="14" t="n">
        <f aca="false">C42/D42*1000</f>
        <v>55.5140586294266</v>
      </c>
      <c r="G42" s="15" t="n">
        <f aca="false">F42*E42</f>
        <v>7396.61545210272</v>
      </c>
      <c r="H42" s="14" t="n">
        <f aca="false">C42-C41</f>
        <v>0.370200000000001</v>
      </c>
      <c r="I42" s="14" t="n">
        <f aca="false">C41*$B$5*$B$7</f>
        <v>0.0977312413072085</v>
      </c>
      <c r="J42" s="19"/>
      <c r="K42" s="14" t="n">
        <f aca="false">IF(J42="",H42-I42,J42)</f>
        <v>0.272468758692792</v>
      </c>
      <c r="L42" s="9" t="str">
        <f aca="false">IF(ROUND(I42+K42-H42,6)=0,"ok","check")</f>
        <v>ok</v>
      </c>
    </row>
    <row r="43" customFormat="false" ht="15" hidden="false" customHeight="false" outlineLevel="0" collapsed="false">
      <c r="A43" s="9" t="n">
        <v>33</v>
      </c>
      <c r="B43" s="10" t="s">
        <v>54</v>
      </c>
      <c r="C43" s="11" t="n">
        <v>22.1751</v>
      </c>
      <c r="D43" s="12" t="n">
        <v>395.9833</v>
      </c>
      <c r="E43" s="13" t="n">
        <v>138.344</v>
      </c>
      <c r="F43" s="14" t="n">
        <f aca="false">C43/D43*1000</f>
        <v>56.0000888926377</v>
      </c>
      <c r="G43" s="15" t="n">
        <f aca="false">F43*E43</f>
        <v>7747.27629776306</v>
      </c>
      <c r="H43" s="14" t="n">
        <f aca="false">C43-C42</f>
        <v>0.3766</v>
      </c>
      <c r="I43" s="14" t="n">
        <f aca="false">C42*$B$5*$B$7</f>
        <v>0.0994196676187651</v>
      </c>
      <c r="J43" s="19"/>
      <c r="K43" s="14" t="n">
        <f aca="false">IF(J43="",H43-I43,J43)</f>
        <v>0.277180332381235</v>
      </c>
      <c r="L43" s="9" t="str">
        <f aca="false">IF(ROUND(I43+K43-H43,6)=0,"ok","check")</f>
        <v>ok</v>
      </c>
    </row>
    <row r="44" customFormat="false" ht="15" hidden="false" customHeight="false" outlineLevel="0" collapsed="false">
      <c r="A44" s="9" t="n">
        <v>34</v>
      </c>
      <c r="B44" s="10" t="s">
        <v>55</v>
      </c>
      <c r="C44" s="11" t="n">
        <v>22.5582</v>
      </c>
      <c r="D44" s="12" t="n">
        <v>399.3283</v>
      </c>
      <c r="E44" s="13" t="n">
        <v>143.645</v>
      </c>
      <c r="F44" s="14" t="n">
        <f aca="false">C44/D44*1000</f>
        <v>56.4903614394472</v>
      </c>
      <c r="G44" s="15" t="n">
        <f aca="false">F44*E44</f>
        <v>8114.55796896939</v>
      </c>
      <c r="H44" s="14" t="n">
        <f aca="false">C44-C43</f>
        <v>0.383099999999999</v>
      </c>
      <c r="I44" s="14" t="n">
        <f aca="false">C43*$B$5*$B$7</f>
        <v>0.101137283364125</v>
      </c>
      <c r="J44" s="19"/>
      <c r="K44" s="14" t="n">
        <f aca="false">IF(J44="",H44-I44,J44)</f>
        <v>0.281962716635874</v>
      </c>
      <c r="L44" s="9" t="str">
        <f aca="false">IF(ROUND(I44+K44-H44,6)=0,"ok","check")</f>
        <v>ok</v>
      </c>
    </row>
    <row r="45" customFormat="false" ht="15" hidden="false" customHeight="false" outlineLevel="0" collapsed="false">
      <c r="A45" s="9" t="n">
        <v>35</v>
      </c>
      <c r="B45" s="10" t="s">
        <v>56</v>
      </c>
      <c r="C45" s="11" t="n">
        <v>22.9479</v>
      </c>
      <c r="D45" s="12" t="n">
        <v>402.7015</v>
      </c>
      <c r="E45" s="13" t="n">
        <v>149.1492</v>
      </c>
      <c r="F45" s="14" t="n">
        <f aca="false">C45/D45*1000</f>
        <v>56.9848883105725</v>
      </c>
      <c r="G45" s="15" t="n">
        <f aca="false">F45*E45</f>
        <v>8499.25050361123</v>
      </c>
      <c r="H45" s="14" t="n">
        <f aca="false">C45-C44</f>
        <v>0.389700000000001</v>
      </c>
      <c r="I45" s="14" t="n">
        <f aca="false">C44*$B$5*$B$7</f>
        <v>0.102884544628191</v>
      </c>
      <c r="J45" s="19"/>
      <c r="K45" s="14" t="n">
        <f aca="false">IF(J45="",H45-I45,J45)</f>
        <v>0.28681545537181</v>
      </c>
      <c r="L45" s="9" t="str">
        <f aca="false">IF(ROUND(I45+K45-H45,6)=0,"ok","check")</f>
        <v>ok</v>
      </c>
    </row>
    <row r="46" customFormat="false" ht="15" hidden="false" customHeight="false" outlineLevel="0" collapsed="false">
      <c r="A46" s="9" t="n">
        <v>36</v>
      </c>
      <c r="B46" s="10" t="s">
        <v>57</v>
      </c>
      <c r="C46" s="11" t="n">
        <v>23.3444</v>
      </c>
      <c r="D46" s="12" t="n">
        <v>406.1033</v>
      </c>
      <c r="E46" s="13" t="n">
        <v>154.8643</v>
      </c>
      <c r="F46" s="14" t="n">
        <f aca="false">C46/D46*1000</f>
        <v>57.4838963386902</v>
      </c>
      <c r="G46" s="15" t="n">
        <f aca="false">F46*E46</f>
        <v>8902.20336776382</v>
      </c>
      <c r="H46" s="14" t="n">
        <f aca="false">C46-C45</f>
        <v>0.3965</v>
      </c>
      <c r="I46" s="14" t="n">
        <f aca="false">C45*$B$5*$B$7</f>
        <v>0.104661907495867</v>
      </c>
      <c r="J46" s="19"/>
      <c r="K46" s="14" t="n">
        <f aca="false">IF(J46="",H46-I46,J46)</f>
        <v>0.291838092504133</v>
      </c>
      <c r="L46" s="9" t="str">
        <f aca="false">IF(ROUND(I46+K46-H46,6)=0,"ok","check")</f>
        <v>ok</v>
      </c>
    </row>
    <row r="47" customFormat="false" ht="15" hidden="false" customHeight="false" outlineLevel="0" collapsed="false">
      <c r="A47" s="9" t="n">
        <v>37</v>
      </c>
      <c r="B47" s="10" t="s">
        <v>58</v>
      </c>
      <c r="C47" s="11" t="n">
        <v>23.7477</v>
      </c>
      <c r="D47" s="12" t="n">
        <v>409.5337</v>
      </c>
      <c r="E47" s="13" t="n">
        <v>160.7983</v>
      </c>
      <c r="F47" s="14" t="n">
        <f aca="false">C47/D47*1000</f>
        <v>57.9871693098761</v>
      </c>
      <c r="G47" s="15" t="n">
        <f aca="false">F47*E47</f>
        <v>9324.23824684025</v>
      </c>
      <c r="H47" s="14" t="n">
        <f aca="false">C47-C46</f>
        <v>0.403299999999998</v>
      </c>
      <c r="I47" s="14" t="n">
        <f aca="false">C46*$B$5*$B$7</f>
        <v>0.106470284136959</v>
      </c>
      <c r="J47" s="19"/>
      <c r="K47" s="14" t="n">
        <f aca="false">IF(J47="",H47-I47,J47)</f>
        <v>0.296829715863039</v>
      </c>
      <c r="L47" s="9" t="str">
        <f aca="false">IF(ROUND(I47+K47-H47,6)=0,"ok","check")</f>
        <v>ok</v>
      </c>
    </row>
    <row r="48" customFormat="false" ht="15" hidden="false" customHeight="false" outlineLevel="0" collapsed="false">
      <c r="A48" s="9" t="n">
        <v>38</v>
      </c>
      <c r="B48" s="10" t="s">
        <v>59</v>
      </c>
      <c r="C48" s="11" t="n">
        <v>24.158</v>
      </c>
      <c r="D48" s="12" t="n">
        <v>412.9932</v>
      </c>
      <c r="E48" s="13" t="n">
        <v>166.9598</v>
      </c>
      <c r="F48" s="14" t="n">
        <f aca="false">C48/D48*1000</f>
        <v>58.4949098435519</v>
      </c>
      <c r="G48" s="15" t="n">
        <f aca="false">F48*E48</f>
        <v>9766.29844849746</v>
      </c>
      <c r="H48" s="14" t="n">
        <f aca="false">C48-C47</f>
        <v>0.410300000000003</v>
      </c>
      <c r="I48" s="14" t="n">
        <f aca="false">C47*$B$5*$B$7</f>
        <v>0.108309674551467</v>
      </c>
      <c r="J48" s="19"/>
      <c r="K48" s="14" t="n">
        <f aca="false">IF(J48="",H48-I48,J48)</f>
        <v>0.301990325448536</v>
      </c>
      <c r="L48" s="9" t="str">
        <f aca="false">IF(ROUND(I48+K48-H48,6)=0,"ok","check")</f>
        <v>ok</v>
      </c>
    </row>
    <row r="49" customFormat="false" ht="15" hidden="false" customHeight="false" outlineLevel="0" collapsed="false">
      <c r="A49" s="9" t="n">
        <v>39</v>
      </c>
      <c r="B49" s="10" t="s">
        <v>60</v>
      </c>
      <c r="C49" s="11" t="n">
        <v>24.5754</v>
      </c>
      <c r="D49" s="12" t="n">
        <v>416.4819</v>
      </c>
      <c r="E49" s="13" t="n">
        <v>173.3573</v>
      </c>
      <c r="F49" s="14" t="n">
        <f aca="false">C49/D49*1000</f>
        <v>59.0071261200067</v>
      </c>
      <c r="G49" s="15" t="n">
        <f aca="false">F49*E49</f>
        <v>10229.3160649238</v>
      </c>
      <c r="H49" s="14" t="n">
        <f aca="false">C49-C48</f>
        <v>0.417399999999997</v>
      </c>
      <c r="I49" s="14" t="n">
        <f aca="false">C48*$B$5*$B$7</f>
        <v>0.110180990909197</v>
      </c>
      <c r="J49" s="19"/>
      <c r="K49" s="14" t="n">
        <f aca="false">IF(J49="",H49-I49,J49)</f>
        <v>0.3072190090908</v>
      </c>
      <c r="L49" s="9" t="str">
        <f aca="false">IF(ROUND(I49+K49-H49,6)=0,"ok","check")</f>
        <v>ok</v>
      </c>
    </row>
    <row r="50" customFormat="false" ht="15" hidden="false" customHeight="false" outlineLevel="0" collapsed="false">
      <c r="A50" s="9" t="n">
        <v>40</v>
      </c>
      <c r="B50" s="10" t="s">
        <v>61</v>
      </c>
      <c r="C50" s="11" t="n">
        <v>25</v>
      </c>
      <c r="D50" s="12" t="n">
        <v>420</v>
      </c>
      <c r="E50" s="13" t="n">
        <v>180</v>
      </c>
      <c r="F50" s="14" t="n">
        <f aca="false">C50/D50*1000</f>
        <v>59.5238095238095</v>
      </c>
      <c r="G50" s="15" t="n">
        <f aca="false">F50*E50</f>
        <v>10714.2857142857</v>
      </c>
      <c r="H50" s="14" t="n">
        <f aca="false">C50-C49</f>
        <v>0.424600000000002</v>
      </c>
      <c r="I50" s="14" t="n">
        <f aca="false">C49*$B$5*$B$7</f>
        <v>0.112084689295052</v>
      </c>
      <c r="J50" s="19"/>
      <c r="K50" s="14" t="n">
        <f aca="false">IF(J50="",H50-I50,J50)</f>
        <v>0.312515310704949</v>
      </c>
      <c r="L50" s="9" t="str">
        <f aca="false">IF(ROUND(I50+K50-H50,6)=0,"ok","check")</f>
        <v>ok</v>
      </c>
    </row>
    <row r="52" customFormat="false" ht="15" hidden="false" customHeight="false" outlineLevel="0" collapsed="false">
      <c r="A52" s="2" t="s">
        <v>62</v>
      </c>
    </row>
    <row r="53" customFormat="false" ht="15" hidden="false" customHeight="false" outlineLevel="0" collapsed="false">
      <c r="A53" s="2" t="s">
        <v>63</v>
      </c>
    </row>
    <row r="54" customFormat="false" ht="15" hidden="false" customHeight="false" outlineLevel="0" collapsed="false">
      <c r="A54" s="2"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22"/>
  </cols>
  <sheetData>
    <row r="1" customFormat="false" ht="16.15" hidden="false" customHeight="false" outlineLevel="0" collapsed="false">
      <c r="A1" s="1" t="s">
        <v>65</v>
      </c>
    </row>
    <row r="2" customFormat="false" ht="15" hidden="false" customHeight="false" outlineLevel="0" collapsed="false">
      <c r="A2" s="2" t="s">
        <v>66</v>
      </c>
    </row>
    <row r="4" customFormat="false" ht="15" hidden="false" customHeight="false" outlineLevel="0" collapsed="false">
      <c r="A4" s="3" t="s">
        <v>9</v>
      </c>
    </row>
    <row r="5" customFormat="false" ht="15" hidden="false" customHeight="false" outlineLevel="0" collapsed="false">
      <c r="A5" s="4" t="s">
        <v>67</v>
      </c>
      <c r="B5" s="20" t="s">
        <v>20</v>
      </c>
    </row>
    <row r="6" customFormat="false" ht="15" hidden="false" customHeight="false" outlineLevel="0" collapsed="false">
      <c r="A6" s="4" t="s">
        <v>68</v>
      </c>
      <c r="B6" s="20" t="s">
        <v>61</v>
      </c>
    </row>
    <row r="7" customFormat="false" ht="15" hidden="false" customHeight="false" outlineLevel="0" collapsed="false">
      <c r="A7" s="4" t="s">
        <v>69</v>
      </c>
      <c r="B7" s="9" t="n">
        <f aca="false">MATCH(B5,Inputs!$B$10:$B$50,0)-1</f>
        <v>0</v>
      </c>
    </row>
    <row r="8" customFormat="false" ht="15" hidden="false" customHeight="false" outlineLevel="0" collapsed="false">
      <c r="A8" s="4" t="s">
        <v>70</v>
      </c>
      <c r="B8" s="9" t="n">
        <f aca="false">MATCH(B6,Inputs!$B$10:$B$50,0)-1</f>
        <v>40</v>
      </c>
    </row>
    <row r="9" customFormat="false" ht="15" hidden="false" customHeight="false" outlineLevel="0" collapsed="false">
      <c r="A9" s="4" t="s">
        <v>71</v>
      </c>
      <c r="B9" s="21" t="n">
        <f aca="false">(B8-B7)/4</f>
        <v>10</v>
      </c>
    </row>
    <row r="11" customFormat="false" ht="15" hidden="false" customHeight="false" outlineLevel="0" collapsed="false">
      <c r="A11" s="3" t="s">
        <v>72</v>
      </c>
    </row>
    <row r="12" customFormat="false" ht="15" hidden="false" customHeight="false" outlineLevel="0" collapsed="false">
      <c r="B12" s="3" t="s">
        <v>67</v>
      </c>
      <c r="C12" s="3" t="s">
        <v>68</v>
      </c>
    </row>
    <row r="13" customFormat="false" ht="15" hidden="false" customHeight="false" outlineLevel="0" collapsed="false">
      <c r="A13" s="9" t="s">
        <v>73</v>
      </c>
      <c r="B13" s="22" t="n">
        <f aca="false">INDEX(Inputs!$C$10:$C$50,MATCH($B$5,Inputs!$B$10:$B$50,0))</f>
        <v>12.6</v>
      </c>
      <c r="C13" s="22" t="n">
        <f aca="false">INDEX(Inputs!$C$10:$C$50,MATCH($B$6,Inputs!$B$10:$B$50,0))</f>
        <v>25</v>
      </c>
    </row>
    <row r="14" customFormat="false" ht="15" hidden="false" customHeight="false" outlineLevel="0" collapsed="false">
      <c r="A14" s="9" t="s">
        <v>11</v>
      </c>
      <c r="B14" s="23" t="n">
        <f aca="false">INDEX(Inputs!$D$10:$D$50,MATCH($B$5,Inputs!$B$10:$B$50,0))</f>
        <v>300</v>
      </c>
      <c r="C14" s="23" t="n">
        <f aca="false">INDEX(Inputs!$D$10:$D$50,MATCH($B$6,Inputs!$B$10:$B$50,0))</f>
        <v>420</v>
      </c>
    </row>
    <row r="15" customFormat="false" ht="15" hidden="false" customHeight="false" outlineLevel="0" collapsed="false">
      <c r="A15" s="9" t="s">
        <v>12</v>
      </c>
      <c r="B15" s="15" t="n">
        <f aca="false">INDEX(Inputs!$E$10:$E$50,MATCH($B$5,Inputs!$B$10:$B$50,0))</f>
        <v>40</v>
      </c>
      <c r="C15" s="15" t="n">
        <f aca="false">INDEX(Inputs!$E$10:$E$50,MATCH($B$6,Inputs!$B$10:$B$50,0))</f>
        <v>180</v>
      </c>
    </row>
    <row r="16" customFormat="false" ht="15" hidden="false" customHeight="false" outlineLevel="0" collapsed="false">
      <c r="A16" s="9" t="s">
        <v>13</v>
      </c>
      <c r="B16" s="14" t="n">
        <f aca="false">INDEX(Inputs!$F$10:$F$50,MATCH($B$5,Inputs!$B$10:$B$50,0))</f>
        <v>42</v>
      </c>
      <c r="C16" s="14" t="n">
        <f aca="false">INDEX(Inputs!$F$10:$F$50,MATCH($B$6,Inputs!$B$10:$B$50,0))</f>
        <v>59.5238095238095</v>
      </c>
    </row>
    <row r="17" customFormat="false" ht="15" hidden="false" customHeight="false" outlineLevel="0" collapsed="false">
      <c r="A17" s="9" t="s">
        <v>14</v>
      </c>
      <c r="B17" s="15" t="n">
        <f aca="false">INDEX(Inputs!$G$10:$G$50,MATCH($B$5,Inputs!$B$10:$B$50,0))</f>
        <v>1680</v>
      </c>
      <c r="C17" s="15" t="n">
        <f aca="false">INDEX(Inputs!$G$10:$G$50,MATCH($B$6,Inputs!$B$10:$B$50,0))</f>
        <v>10714.2857142857</v>
      </c>
    </row>
    <row r="19" customFormat="false" ht="15" hidden="false" customHeight="false" outlineLevel="0" collapsed="false">
      <c r="A19" s="3" t="s">
        <v>74</v>
      </c>
    </row>
    <row r="20" customFormat="false" ht="15" hidden="false" customHeight="false" outlineLevel="0" collapsed="false">
      <c r="A20" s="9" t="s">
        <v>75</v>
      </c>
      <c r="B20" s="24" t="n">
        <f aca="false">LN(C13/B13)/$B$9</f>
        <v>0.0685179010910769</v>
      </c>
    </row>
    <row r="21" customFormat="false" ht="15" hidden="false" customHeight="false" outlineLevel="0" collapsed="false">
      <c r="A21" s="9" t="s">
        <v>76</v>
      </c>
      <c r="B21" s="24" t="n">
        <f aca="false">LN(C14/B14)/$B$9</f>
        <v>0.0336472236621213</v>
      </c>
    </row>
    <row r="22" customFormat="false" ht="15" hidden="false" customHeight="false" outlineLevel="0" collapsed="false">
      <c r="A22" s="9" t="s">
        <v>77</v>
      </c>
      <c r="B22" s="24" t="n">
        <f aca="false">LN(C15/B15)/$B$9</f>
        <v>0.150407739677627</v>
      </c>
    </row>
    <row r="23" customFormat="false" ht="15" hidden="false" customHeight="false" outlineLevel="0" collapsed="false">
      <c r="A23" s="9" t="s">
        <v>78</v>
      </c>
      <c r="B23" s="24" t="n">
        <f aca="false">B20-B21</f>
        <v>0.0348706774289556</v>
      </c>
    </row>
    <row r="24" customFormat="false" ht="15" hidden="false" customHeight="false" outlineLevel="0" collapsed="false">
      <c r="A24" s="9" t="s">
        <v>79</v>
      </c>
      <c r="B24" s="24" t="n">
        <f aca="false">B23+B22</f>
        <v>0.185278417106583</v>
      </c>
    </row>
    <row r="26" customFormat="false" ht="15" hidden="false" customHeight="false" outlineLevel="0" collapsed="false">
      <c r="A26" s="3" t="s">
        <v>80</v>
      </c>
    </row>
    <row r="27" customFormat="false" ht="15" hidden="false" customHeight="false" outlineLevel="0" collapsed="false">
      <c r="A27" s="9" t="s">
        <v>81</v>
      </c>
      <c r="B27" s="25" t="n">
        <f aca="false">EXP(B23)-1</f>
        <v>0.0354857884559052</v>
      </c>
    </row>
    <row r="28" customFormat="false" ht="15" hidden="false" customHeight="false" outlineLevel="0" collapsed="false">
      <c r="A28" s="9" t="s">
        <v>82</v>
      </c>
      <c r="B28" s="25" t="n">
        <f aca="false">EXP(B24)-1</f>
        <v>0.203553483363103</v>
      </c>
    </row>
    <row r="30" customFormat="false" ht="15" hidden="false" customHeight="false" outlineLevel="0" collapsed="false">
      <c r="A30" s="3" t="s">
        <v>83</v>
      </c>
    </row>
    <row r="31" customFormat="false" ht="15" hidden="false" customHeight="false" outlineLevel="0" collapsed="false">
      <c r="A31" s="9" t="s">
        <v>84</v>
      </c>
      <c r="B31" s="22" t="n">
        <f aca="false">SUMIFS(Inputs!$I$10:$I$50,Inputs!$A$10:$A$50,"&gt;"&amp;$B$7,Inputs!$A$10:$A$50,"&lt;="&amp;$B$8)</f>
        <v>3.27339386759194</v>
      </c>
    </row>
    <row r="32" customFormat="false" ht="15" hidden="false" customHeight="false" outlineLevel="0" collapsed="false">
      <c r="A32" s="9" t="s">
        <v>85</v>
      </c>
      <c r="B32" s="22" t="n">
        <f aca="false">SUMIFS(Inputs!$K$10:$K$50,Inputs!$A$10:$A$50,"&gt;"&amp;$B$7,Inputs!$A$10:$A$50,"&lt;="&amp;$B$8)</f>
        <v>9.12660613240806</v>
      </c>
    </row>
    <row r="33" customFormat="false" ht="15" hidden="false" customHeight="false" outlineLevel="0" collapsed="false">
      <c r="A33" s="9" t="s">
        <v>86</v>
      </c>
      <c r="B33" s="22" t="n">
        <f aca="false">B31+B32</f>
        <v>12.4</v>
      </c>
    </row>
    <row r="34" customFormat="false" ht="15" hidden="false" customHeight="false" outlineLevel="0" collapsed="false">
      <c r="A34" s="9" t="s">
        <v>87</v>
      </c>
      <c r="B34" s="26" t="n">
        <f aca="false">IFERROR(B31/B33,0)</f>
        <v>0.263983376418705</v>
      </c>
    </row>
    <row r="35" customFormat="false" ht="15" hidden="false" customHeight="false" outlineLevel="0" collapsed="false">
      <c r="A35" s="9" t="s">
        <v>88</v>
      </c>
      <c r="B35" s="26" t="n">
        <f aca="false">IFERROR(B32/B33,0)</f>
        <v>0.736016623581296</v>
      </c>
    </row>
    <row r="37" customFormat="false" ht="15" hidden="false" customHeight="false" outlineLevel="0" collapsed="false">
      <c r="A37" s="3" t="s">
        <v>89</v>
      </c>
    </row>
    <row r="38" customFormat="false" ht="15" hidden="false" customHeight="false" outlineLevel="0" collapsed="false">
      <c r="A38" s="27" t="s">
        <v>90</v>
      </c>
      <c r="B38" s="27" t="s">
        <v>91</v>
      </c>
      <c r="C38" s="27" t="s">
        <v>92</v>
      </c>
    </row>
    <row r="39" customFormat="false" ht="15" hidden="false" customHeight="false" outlineLevel="0" collapsed="false">
      <c r="A39" s="9" t="s">
        <v>93</v>
      </c>
      <c r="B39" s="24" t="n">
        <f aca="false">$B$35*$B$20</f>
        <v>0.0504303142159315</v>
      </c>
      <c r="C39" s="28" t="n">
        <f aca="false">IFERROR(B39/$B$23*$B$27,0)</f>
        <v>0.0513198937897714</v>
      </c>
    </row>
    <row r="40" customFormat="false" ht="15" hidden="false" customHeight="false" outlineLevel="0" collapsed="false">
      <c r="A40" s="9" t="s">
        <v>94</v>
      </c>
      <c r="B40" s="24" t="n">
        <f aca="false">$B$34*$B$20</f>
        <v>0.0180875868751453</v>
      </c>
      <c r="C40" s="28" t="n">
        <f aca="false">IFERROR(B40/$B$23*$B$27,0)</f>
        <v>0.0184066479017193</v>
      </c>
    </row>
    <row r="41" customFormat="false" ht="15" hidden="false" customHeight="false" outlineLevel="0" collapsed="false">
      <c r="A41" s="9" t="s">
        <v>95</v>
      </c>
      <c r="B41" s="24" t="n">
        <f aca="false">-$B$21</f>
        <v>-0.0336472236621213</v>
      </c>
      <c r="C41" s="28" t="n">
        <f aca="false">IFERROR(B41/$B$23*$B$27,0)</f>
        <v>-0.0342407532355854</v>
      </c>
    </row>
    <row r="42" customFormat="false" ht="15" hidden="false" customHeight="false" outlineLevel="0" collapsed="false">
      <c r="A42" s="29" t="s">
        <v>96</v>
      </c>
      <c r="B42" s="30" t="n">
        <f aca="false">SUM(B39:B41)</f>
        <v>0.0348706774289556</v>
      </c>
      <c r="C42" s="25" t="n">
        <f aca="false">SUM(C39:C41)</f>
        <v>0.0354857884559052</v>
      </c>
    </row>
    <row r="43" customFormat="false" ht="15" hidden="false" customHeight="false" outlineLevel="0" collapsed="false">
      <c r="A43" s="4" t="s">
        <v>97</v>
      </c>
      <c r="C43" s="4" t="str">
        <f aca="false">IF(ROUND(C42-B27,8)=0,"ties","does not tie")</f>
        <v>ties</v>
      </c>
    </row>
    <row r="45" customFormat="false" ht="15" hidden="false" customHeight="false" outlineLevel="0" collapsed="false">
      <c r="A45" s="3" t="s">
        <v>98</v>
      </c>
    </row>
    <row r="46" customFormat="false" ht="15" hidden="false" customHeight="false" outlineLevel="0" collapsed="false">
      <c r="A46" s="27" t="s">
        <v>90</v>
      </c>
      <c r="B46" s="27" t="s">
        <v>91</v>
      </c>
      <c r="C46" s="27" t="s">
        <v>92</v>
      </c>
    </row>
    <row r="47" customFormat="false" ht="15" hidden="false" customHeight="false" outlineLevel="0" collapsed="false">
      <c r="A47" s="9" t="s">
        <v>93</v>
      </c>
      <c r="B47" s="24" t="n">
        <f aca="false">$B$35*$B$20</f>
        <v>0.0504303142159315</v>
      </c>
      <c r="C47" s="28" t="n">
        <f aca="false">IFERROR(B47/$B$24*$B$28,0)</f>
        <v>0.0554045435299865</v>
      </c>
    </row>
    <row r="48" customFormat="false" ht="15" hidden="false" customHeight="false" outlineLevel="0" collapsed="false">
      <c r="A48" s="9" t="s">
        <v>94</v>
      </c>
      <c r="B48" s="24" t="n">
        <f aca="false">$B$34*$B$20</f>
        <v>0.0180875868751453</v>
      </c>
      <c r="C48" s="28" t="n">
        <f aca="false">IFERROR(B48/$B$24*$B$28,0)</f>
        <v>0.0198716686571787</v>
      </c>
    </row>
    <row r="49" customFormat="false" ht="15" hidden="false" customHeight="false" outlineLevel="0" collapsed="false">
      <c r="A49" s="9" t="s">
        <v>95</v>
      </c>
      <c r="B49" s="24" t="n">
        <f aca="false">-$B$21</f>
        <v>-0.0336472236621213</v>
      </c>
      <c r="C49" s="28" t="n">
        <f aca="false">IFERROR(B49/$B$24*$B$28,0)</f>
        <v>-0.0369660411011729</v>
      </c>
    </row>
    <row r="50" customFormat="false" ht="15" hidden="false" customHeight="false" outlineLevel="0" collapsed="false">
      <c r="A50" s="9" t="s">
        <v>99</v>
      </c>
      <c r="B50" s="24" t="n">
        <f aca="false">$B$22</f>
        <v>0.150407739677627</v>
      </c>
      <c r="C50" s="28" t="n">
        <f aca="false">IFERROR(B50/$B$24*$B$28,0)</f>
        <v>0.16524331227711</v>
      </c>
    </row>
    <row r="51" customFormat="false" ht="15" hidden="false" customHeight="false" outlineLevel="0" collapsed="false">
      <c r="A51" s="29" t="s">
        <v>96</v>
      </c>
      <c r="B51" s="30" t="n">
        <f aca="false">SUM(B47:B50)</f>
        <v>0.185278417106583</v>
      </c>
      <c r="C51" s="25" t="n">
        <f aca="false">SUM(C47:C50)</f>
        <v>0.203553483363103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2"/>
  </cols>
  <sheetData>
    <row r="1" customFormat="false" ht="16.15" hidden="false" customHeight="false" outlineLevel="0" collapsed="false">
      <c r="A1" s="1" t="s">
        <v>100</v>
      </c>
    </row>
    <row r="3" customFormat="false" ht="51.75" hidden="false" customHeight="true" outlineLevel="0" collapsed="false">
      <c r="A3" s="10" t="s">
        <v>101</v>
      </c>
      <c r="B3" s="31" t="s">
        <v>102</v>
      </c>
    </row>
    <row r="4" customFormat="false" ht="51.75" hidden="false" customHeight="true" outlineLevel="0" collapsed="false">
      <c r="A4" s="10" t="s">
        <v>103</v>
      </c>
      <c r="B4" s="31" t="s">
        <v>104</v>
      </c>
    </row>
    <row r="5" customFormat="false" ht="51.75" hidden="false" customHeight="true" outlineLevel="0" collapsed="false">
      <c r="A5" s="10" t="s">
        <v>105</v>
      </c>
      <c r="B5" s="31" t="s">
        <v>106</v>
      </c>
    </row>
    <row r="6" customFormat="false" ht="51.75" hidden="false" customHeight="true" outlineLevel="0" collapsed="false">
      <c r="A6" s="10" t="s">
        <v>107</v>
      </c>
      <c r="B6" s="31" t="s">
        <v>108</v>
      </c>
    </row>
    <row r="7" customFormat="false" ht="51.75" hidden="false" customHeight="true" outlineLevel="0" collapsed="false">
      <c r="A7" s="10" t="s">
        <v>109</v>
      </c>
      <c r="B7" s="31" t="s">
        <v>110</v>
      </c>
    </row>
    <row r="8" customFormat="false" ht="51.75" hidden="false" customHeight="true" outlineLevel="0" collapsed="false">
      <c r="A8" s="10" t="s">
        <v>111</v>
      </c>
      <c r="B8" s="31" t="s">
        <v>112</v>
      </c>
    </row>
    <row r="9" customFormat="false" ht="51.75" hidden="false" customHeight="true" outlineLevel="0" collapsed="false">
      <c r="A9" s="10" t="s">
        <v>113</v>
      </c>
      <c r="B9" s="31" t="s">
        <v>114</v>
      </c>
    </row>
    <row r="10" customFormat="false" ht="51.75" hidden="false" customHeight="true" outlineLevel="0" collapsed="false">
      <c r="A10" s="10" t="s">
        <v>115</v>
      </c>
      <c r="B10" s="3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2026-08-31T11:05:28Z</dcterms:created>
  <dc:creator>openpyxl</dc:creator>
  <dc:description/>
  <dc:language>en-US</dc:language>
  <cp:lastModifiedBy/>
  <dcterms:modified xsi:type="dcterms:W3CDTF">2026-08-31T11:05:28Z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