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Payments" sheetId="3" state="visible" r:id="rId5"/>
    <sheet name="CEX" sheetId="4" state="visible" r:id="rId6"/>
    <sheet name="DeFi" sheetId="5" state="visible" r:id="rId7"/>
    <sheet name="Agentic Commerce" sheetId="6" state="visible" r:id="rId8"/>
    <sheet name="Store of Value" sheetId="7" state="visible" r:id="rId9"/>
    <sheet name="Tokenized Assets" sheetId="8" state="visible" r:id="rId10"/>
    <sheet name="Other On-Chai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<sst xmlns="http://schemas.openxmlformats.org/spreadsheetml/2006/main" count="421" uniqueCount="263">
  <si>
    <t xml:space="preserve">STABLECOIN SUPPLY MODEL — SUMMARY OUTPUT</t>
  </si>
  <si>
    <t xml:space="preserve">Category</t>
  </si>
  <si>
    <t xml:space="preserve">Units</t>
  </si>
  <si>
    <t xml:space="preserve">STABLECOIN VOLUMES BY CATEGORY</t>
  </si>
  <si>
    <t xml:space="preserve">CEX Trading Volume</t>
  </si>
  <si>
    <t xml:space="preserve">$Tn</t>
  </si>
  <si>
    <t xml:space="preserve">DeFi Volume (Trading + Lending + Other)</t>
  </si>
  <si>
    <t xml:space="preserve">Payments — Domestic</t>
  </si>
  <si>
    <t xml:space="preserve">$Bn</t>
  </si>
  <si>
    <t xml:space="preserve">Payments — Cross-Border</t>
  </si>
  <si>
    <t xml:space="preserve">Payments — Total</t>
  </si>
  <si>
    <t xml:space="preserve">Store of Value / Savings</t>
  </si>
  <si>
    <t xml:space="preserve">Tokenized Asset Settlement</t>
  </si>
  <si>
    <t xml:space="preserve">Agentic Commerce</t>
  </si>
  <si>
    <t xml:space="preserve">Other On-Chain Transactions</t>
  </si>
  <si>
    <t xml:space="preserve">Total Stablecoin Volume</t>
  </si>
  <si>
    <t xml:space="preserve">VELOCITY ASSUMPTIONS BY CATEGORY</t>
  </si>
  <si>
    <t xml:space="preserve">CEX Velocity (monthly turns)</t>
  </si>
  <si>
    <t xml:space="preserve">x</t>
  </si>
  <si>
    <t xml:space="preserve">DeFi Velocity</t>
  </si>
  <si>
    <t xml:space="preserve">Payments Velocity</t>
  </si>
  <si>
    <t xml:space="preserve">Store of Value Velocity</t>
  </si>
  <si>
    <t xml:space="preserve">Tokenized Asset Velocity</t>
  </si>
  <si>
    <t xml:space="preserve">Agentic Commerce Velocity</t>
  </si>
  <si>
    <t xml:space="preserve">Other On-Chain Velocity</t>
  </si>
  <si>
    <t xml:space="preserve">IMPLIED STABLECOIN SUPPLY (Volume / Velocity)</t>
  </si>
  <si>
    <t xml:space="preserve">CEX-Driven Supply</t>
  </si>
  <si>
    <t xml:space="preserve">DeFi-Driven Supply</t>
  </si>
  <si>
    <t xml:space="preserve">Payments-Driven Supply</t>
  </si>
  <si>
    <t xml:space="preserve">Store of Value Supply</t>
  </si>
  <si>
    <t xml:space="preserve">Tokenized Asset Supply</t>
  </si>
  <si>
    <t xml:space="preserve">Agentic Commerce Supply</t>
  </si>
  <si>
    <t xml:space="preserve">Other On-Chain Supply</t>
  </si>
  <si>
    <t xml:space="preserve">TOTAL STABLECOIN SUPPLY</t>
  </si>
  <si>
    <t xml:space="preserve">Memo: Actual Stablecoin Supply (for comparison)</t>
  </si>
  <si>
    <t xml:space="preserve">GLOBAL MACRO ASSUMPTIONS</t>
  </si>
  <si>
    <t xml:space="preserve">Metric</t>
  </si>
  <si>
    <t xml:space="preserve">Global GDP</t>
  </si>
  <si>
    <t xml:space="preserve">Global Digital Payments Volume</t>
  </si>
  <si>
    <t xml:space="preserve">Global Cross-Border Flows</t>
  </si>
  <si>
    <t xml:space="preserve">Global Remittances</t>
  </si>
  <si>
    <t xml:space="preserve">Crypto Total Market Cap</t>
  </si>
  <si>
    <t xml:space="preserve">CEX Spot Trading Volume (Annual)</t>
  </si>
  <si>
    <t xml:space="preserve">DEX Spot Trading Volume (Annual)</t>
  </si>
  <si>
    <t xml:space="preserve">Stablecoin Circulating Supply (Actual/Est)</t>
  </si>
  <si>
    <t xml:space="preserve">VELOCITY ASSUMPTIONS</t>
  </si>
  <si>
    <t xml:space="preserve">CEX Trading Velocity (annual turns on supply)</t>
  </si>
  <si>
    <t xml:space="preserve">DeFi Velocity (annual turns)</t>
  </si>
  <si>
    <t xml:space="preserve">Payments Velocity (annual turns)</t>
  </si>
  <si>
    <t xml:space="preserve">Tokenized Asset Settlement Velocity</t>
  </si>
  <si>
    <t xml:space="preserve">Source Notes:</t>
  </si>
  <si>
    <t xml:space="preserve">Allium 'Stablecoins: The Emergence of a New Payment Rail' (Feb 2026) — labeled payment volumes, category splits, geographic flows</t>
  </si>
  <si>
    <t xml:space="preserve">BCG/Allium 'Stablecoin Payments: The Truth Behind the Numbers' (Jan 2026) — real economy payments $350-550Bn</t>
  </si>
  <si>
    <t xml:space="preserve">FXC Intelligence — cross-border flows $208Tn in 2025, revenue pool $625Bn</t>
  </si>
  <si>
    <t xml:space="preserve">McKinsey Global Payments Report — $1.9Tn payments revenue in 2024, $2.4Tn by 2029</t>
  </si>
  <si>
    <t xml:space="preserve">Worldpay Global Payments Report 2025 — global digital payments $18.7Tn in 2024, projected $33.5Tn by 2030</t>
  </si>
  <si>
    <t xml:space="preserve">CEX.IO — stablecoin trading volume $25.8Tn (2024), $33.4Tn (2025)</t>
  </si>
  <si>
    <t xml:space="preserve">CoinGecko / DefiLlama — DEX spot $2.3Tn (2025), perp DEX $6.7Tn (2025)</t>
  </si>
  <si>
    <t xml:space="preserve">J.P. Morgan — cross-border spending $194.6Tn (2024), projected $320Tn by 2032</t>
  </si>
  <si>
    <t xml:space="preserve">IMF Working Paper — global cross-border market ~$1 quadrillion (2024)</t>
  </si>
  <si>
    <t xml:space="preserve">Visa/Allium — stablecoin lending volume $670Bn cumulative, $51.7Bn/month (Aug 2025)</t>
  </si>
  <si>
    <t xml:space="preserve">STABLECOIN PAYMENTS MODEL — TAM, PENETRATION &amp; VOLUME BUILD</t>
  </si>
  <si>
    <t xml:space="preserve">Line Item</t>
  </si>
  <si>
    <t xml:space="preserve">SOURCE</t>
  </si>
  <si>
    <t xml:space="preserve">1. CROSS-BORDER PAYMENTS TAM</t>
  </si>
  <si>
    <t xml:space="preserve">1A. Cross-border TAM ($Tn)</t>
  </si>
  <si>
    <t xml:space="preserve">Total Cross-Border Payment Flows</t>
  </si>
  <si>
    <t xml:space="preserve">FXC Intelligence Mar 5, 2026: '$208tn in 2025' confirmed actual. Retail/non-wholesale = $44.0Tn; implied wholesale = $164Tn. URL: fxcintel.com/research/press-releases/the-cross-border-payments-market-grows-to-208tn</t>
  </si>
  <si>
    <t xml:space="preserve">  Non-Wholesale Cross-Border Flows</t>
  </si>
  <si>
    <t xml:space="preserve">FXC Intelligence 'Cross-Border Payments Global Market Sizing Report 2026' (Mar 5, 2026) — $44.0Tn confirmed 2025 actual; chart: '2025 &amp; 2033 retail CB flows by use case'</t>
  </si>
  <si>
    <t xml:space="preserve">    B2B (trade, supply chain, vendor)</t>
  </si>
  <si>
    <t xml:space="preserve">FXC Intelligence Mar 2026 (2025 actuals): Large Enterprise Goods $15.2Tn + Large Enterprise Services $5.2Tn + SMB Goods $10.6Tn + SMB Services $3.8Tn = $34.8Tn. URL: fxcintel.com/research/reports/how-big-is-the-b2b-cross-border-payments-market</t>
  </si>
  <si>
    <t xml:space="preserve">    B2C (payroll, gig economy, creator)</t>
  </si>
  <si>
    <t xml:space="preserve">FXC Intelligence Mar 2026: $2.1Tn confirmed 2025 actual (chart)</t>
  </si>
  <si>
    <t xml:space="preserve">    C2B (cross-border e-commerce, travel)</t>
  </si>
  <si>
    <t xml:space="preserve">FXC Intelligence Mar 2026: $4.9Tn confirmed 2025 actual (chart)</t>
  </si>
  <si>
    <t xml:space="preserve">    C2C (remittances, P2P transfers)</t>
  </si>
  <si>
    <t xml:space="preserve">2. DOMESTIC PAYMENTS TAM</t>
  </si>
  <si>
    <t xml:space="preserve">2A. Domestic TAM ($Tn)</t>
  </si>
  <si>
    <t xml:space="preserve">Total Domestic Payment Flows (ex-wholesale)</t>
  </si>
  <si>
    <t xml:space="preserve">Sum of B2B (Juniper) + B2C + C2B + C2C (all from McKinsey Exhibit 2 back-calc). Excludes wholesale FI-to-FI settlement flows (already excluded per McKinsey footnote). Note: B2B uses Juniper Sep 2025 as McKinsey B2B includes wholesale flows.</t>
  </si>
  <si>
    <t xml:space="preserve">    B2B (commercial trade, invoicing, AP/AR)</t>
  </si>
  <si>
    <t xml:space="preserve">DERIVED: Juniper Research 'B2B Payments Market 2025-2030' (Sep 23 2025): $186Tn total global B2B in 2025 (all rails incl. paper, ACH, wire, cards). Cross-check: Nacha ACH B2B US-only = $54.2Tn (2024) → consistent with $179Tn global. 2024 implied via 3.79% CAGR = $179.2Tn global. Less FXC cross-border B2B $31.5Tn(24)/$34.8Tn(25) = domestic residual. NOTE: Juniper Feb 2024 report ($89Tn) measured digital/electronic B2B only — SUPERSEDED. URL: globenewswire.com/news-release/2025/09/23/3154402/0/en/B2B-Payments-to-Hit-224-Trillion</t>
  </si>
  <si>
    <t xml:space="preserve">    B2C (payroll, govt transfers, pensions, gig)</t>
  </si>
  <si>
    <t xml:space="preserve">DERIVED: McKinsey 'Stablecoins in payments' (Feb 2026) Exhibit 2 back-calc: $11Bn B2C stablecoin ÷ 0.01% penetration = $110Tn global TAM (2024). Less FXC cross-border B2C $1.9Tn(24)/$2.1Tn(25) = domestic residual. 2025E grown at ~3% global wage growth (ILO: 2.7% real wage growth 2024). McKinsey URL: mckinsey.com/industries/financial-services/our-insights/stablecoins-in-payments-what-the-raw-transaction-numbers-miss</t>
  </si>
  <si>
    <t xml:space="preserve">    C2B (consumer spending, rent, utilities, insurance)</t>
  </si>
  <si>
    <t xml:space="preserve">DERIVED: McKinsey Exhibit 2 back-calc: $76Bn C2B stablecoin ÷ 0.11% penetration = $69.1Tn global TAM (2024). Broader than Worldpay POS+ecomm ($44.3Tn) as McKinsey includes rent, utilities, insurance, subscriptions. Less FXC cross-border C2B $4.5Tn(24)/$4.9Tn(25) = domestic residual. McKinsey URL: mckinsey.com/industries/financial-services/our-insights/stablecoins-in-payments-what-the-raw-transaction-numbers-miss</t>
  </si>
  <si>
    <t xml:space="preserve">    C2C (P2P domestic transfers)</t>
  </si>
  <si>
    <t xml:space="preserve">DERIVED: McKinsey Exhibit 2 back-calc: $77Bn C2C stablecoin ÷ 0.37% penetration = $20.8Tn global TAM (2024). Higher than bottom-up ($9.4Tn) as McKinsey captures informal/cash P2P not visible in platform data. Less FXC cross-border C2C $2.0Tn(24)/$2.1Tn(25) = domestic residual. McKinsey URL: mckinsey.com/industries/financial-services/our-insights/stablecoins-in-payments-what-the-raw-transaction-numbers-miss</t>
  </si>
  <si>
    <t xml:space="preserve">Color key: Green fill = directly sourced actual | Yellow fill = derived estimate | Blue font = hardcoded value (change for scenarios) | Black font = formula</t>
  </si>
  <si>
    <t xml:space="preserve">3. ACTUAL STABLECOIN PAYMENT VOLUMES ($BN)</t>
  </si>
  <si>
    <t xml:space="preserve">3A. Aggregate Actuals</t>
  </si>
  <si>
    <t xml:space="preserve">Total Stablecoin Payments (Allium labeled)</t>
  </si>
  <si>
    <t xml:space="preserve">Allium 'Emergence of a New Payment Rail' (Feb 2026)</t>
  </si>
  <si>
    <t xml:space="preserve">Total Stablecoin Payments (McKinsey/Artemis)</t>
  </si>
  <si>
    <t xml:space="preserve">McKinsey/Artemis 'Stablecoins in payments' (Feb 2026)</t>
  </si>
  <si>
    <t xml:space="preserve">Total Stablecoin Payments (BCG/Allium)</t>
  </si>
  <si>
    <t xml:space="preserve">BCG 'Truth Behind Numbers' (Jan 2026); midpoint of $350-550Bn range</t>
  </si>
  <si>
    <t xml:space="preserve">Cross-Border Share of Total</t>
  </si>
  <si>
    <t xml:space="preserve">%</t>
  </si>
  <si>
    <t xml:space="preserve">Allium: CB declined from 44% to 26% over Jan'24-Feb'26</t>
  </si>
  <si>
    <t xml:space="preserve">Domestic Share of Total</t>
  </si>
  <si>
    <t xml:space="preserve">Allium: '74% of payment volume occurs domestically' (2025)</t>
  </si>
  <si>
    <t xml:space="preserve">3B. Cross-Border Stablecoin Volumes ($BN) — McKinsey Category Totals × Allium CB Share</t>
  </si>
  <si>
    <t xml:space="preserve">Cross-border stablecoin payments ($BN)</t>
  </si>
  <si>
    <t xml:space="preserve">B2B</t>
  </si>
  <si>
    <t xml:space="preserve">DERIVED: McKinsey Exhibit 2 category total × Allium aggregate CB share (37%(24) / 26%(25)). Modelling assumption: CB share applied uniformly across all categories — no public source provides category-level CB/domestic split. Allium source: allium.so | McKinsey: mckinsey.com/industries/financial-services/our-insights/stablecoins-in-payments-what-the-raw-transaction-numbers-miss</t>
  </si>
  <si>
    <t xml:space="preserve">B2C</t>
  </si>
  <si>
    <t xml:space="preserve">C2B</t>
  </si>
  <si>
    <t xml:space="preserve">C2C</t>
  </si>
  <si>
    <t xml:space="preserve">Total Cross-Border</t>
  </si>
  <si>
    <t xml:space="preserve">Sum; cross-check: Allium total × CB share = $78.9Bn(24)/$97.4Bn(25)</t>
  </si>
  <si>
    <t xml:space="preserve">3C. Domestic Stablecoin Volumes ($BN) — McKinsey Category Totals × Allium Domestic Share</t>
  </si>
  <si>
    <t xml:space="preserve">Domestic stablecoin payments ($BN)</t>
  </si>
  <si>
    <t xml:space="preserve">DERIVED: McKinsey Exhibit 2 category total × Allium domestic share (63%(24) / 74%(25)). Modelling assumption: domestic share applied uniformly. Allium source: allium.so | McKinsey: mckinsey.com/industries/financial-services/our-insights/stablecoins-in-payments-what-the-raw-transaction-numbers-miss</t>
  </si>
  <si>
    <t xml:space="preserve">Total Domestic</t>
  </si>
  <si>
    <t xml:space="preserve">GRAND TOTAL STABLECOIN PAYMENTS</t>
  </si>
  <si>
    <t xml:space="preserve">Cross-check vs Allium $213.3Bn(24)/$374.5Bn(25)</t>
  </si>
  <si>
    <t xml:space="preserve">4. McKINSEY EXHIBIT 2 — STABLECOIN VOLUMES &amp; PENETRATION BY CATEGORY (2025 Annualized)</t>
  </si>
  <si>
    <t xml:space="preserve">4A. Cross-border Penetration</t>
  </si>
  <si>
    <t xml:space="preserve">B2B Penetration</t>
  </si>
  <si>
    <t xml:space="preserve">Calculated: stablecoin volume / TAM</t>
  </si>
  <si>
    <t xml:space="preserve">B2C Penetration</t>
  </si>
  <si>
    <t xml:space="preserve">C2B Penetration</t>
  </si>
  <si>
    <t xml:space="preserve">C2C Penetration</t>
  </si>
  <si>
    <t xml:space="preserve">4B. Domestic Penetration</t>
  </si>
  <si>
    <t xml:space="preserve">5. PENETRATION FORECAST ASSUMPTIONS (2026E–2035E)</t>
  </si>
  <si>
    <t xml:space="preserve">[Penetration assumptions to be set — use implied 2024-2025 rates as anchor]</t>
  </si>
  <si>
    <t xml:space="preserve">[Once set, Volume = TAM × Penetration for each year]</t>
  </si>
  <si>
    <t xml:space="preserve">6. SOURCES &amp; METHODOLOGY</t>
  </si>
  <si>
    <t xml:space="preserve">TAM — Cross-Border</t>
  </si>
  <si>
    <t xml:space="preserve">FXC Intelligence Market Sizing Report (Apr 2025): $194.6Tn total, $39.9Tn non-wholesale, with B2B/B2C/C2B/C2C split. URL: fxcintel.com/research/reports</t>
  </si>
  <si>
    <t xml:space="preserve">TAM — Cross-Border Total</t>
  </si>
  <si>
    <t xml:space="preserve">McKinsey Global Payments Map (2025): ~$179Tn (2024), $2.0 quadrillion total flows. URL: mckinsey.com/industries/financial-services</t>
  </si>
  <si>
    <t xml:space="preserve">TAM — Remittances</t>
  </si>
  <si>
    <t xml:space="preserve">World Bank: $860Bn to developing countries (2024). FXC total C2C incl. developed: $2.0Tn</t>
  </si>
  <si>
    <t xml:space="preserve">TAM — Domestic C2B</t>
  </si>
  <si>
    <t xml:space="preserve">Statista/World Bank: global consumer spending ~$61Tn (2024). Datos Insights: $50Tn digital payments</t>
  </si>
  <si>
    <t xml:space="preserve">TAM — Domestic B2B</t>
  </si>
  <si>
    <t xml:space="preserve">Euromonitor: $32.7Tn paper B2B (2023). McKinsey: total B2B ~$1.6 quadrillion incl. wholesale</t>
  </si>
  <si>
    <t xml:space="preserve">TAM — Domestic C2C</t>
  </si>
  <si>
    <t xml:space="preserve">Est. from NPCI UPI ~$3.5Tn (India), Zelle ~$1Tn (US), PIX ~$1.5Tn (Brazil), others</t>
  </si>
  <si>
    <t xml:space="preserve">Stablecoin Volumes</t>
  </si>
  <si>
    <t xml:space="preserve">Allium 'Stablecoins: Emergence of a New Payment Rail' (Feb 2026): $213.3Bn(24)/$374.5Bn(25) labeled</t>
  </si>
  <si>
    <t xml:space="preserve">Stablecoin Cross-Check</t>
  </si>
  <si>
    <t xml:space="preserve">McKinsey/Artemis 'Stablecoins in payments' (Feb 2026): $390Bn(25); B2B ~$226Bn (60%)</t>
  </si>
  <si>
    <t xml:space="preserve">Stablecoin Cross-Check 2</t>
  </si>
  <si>
    <t xml:space="preserve">BCG/Allium 'Truth Behind the Numbers' (Jan 2026): $350-550Bn real economy payments</t>
  </si>
  <si>
    <t xml:space="preserve">Stablecoin B2B Detail</t>
  </si>
  <si>
    <t xml:space="preserve">Artemis/Stablecon (Feb 2026): B2B grew 733% YoY; 60% from Asia (SG, HK, JP corridors)</t>
  </si>
  <si>
    <t xml:space="preserve">CB/Domestic Split</t>
  </si>
  <si>
    <t xml:space="preserve">Allium: CB declined 44%→26% of payment vol Jan'24-Feb'26; 74% domestic; 84% intra-regional</t>
  </si>
  <si>
    <t xml:space="preserve">Category CB Shares</t>
  </si>
  <si>
    <t xml:space="preserve">Derived est.: B2B 47-50% CB, B2C 31-35%, C2B 10-12%, C2C 23-41%; calibrated to Allium aggregate</t>
  </si>
  <si>
    <t xml:space="preserve">5. McKINSEY EXHIBIT 2 — STABLECOIN CATEGORY BREAKDOWN &amp; MARKET PENETRATION (2025)</t>
  </si>
  <si>
    <t xml:space="preserve">Source: McKinsey &amp; Company / Artemis Analytics — 'Stablecoins in payments: What the raw transaction numbers miss' (Feb 18, 2026)</t>
  </si>
  <si>
    <t xml:space="preserve">Exhibit 2: 'Stablecoins account for a tiny share of traditional payment volumes across categories, but usage is growing quickly'</t>
  </si>
  <si>
    <t xml:space="preserve">Annualized from December 2025 stablecoin payment activity. TAM = global domestic + cross-border, excl. FI-to-FI settlement.</t>
  </si>
  <si>
    <t xml:space="preserve">2024E</t>
  </si>
  <si>
    <t xml:space="preserve">2025A</t>
  </si>
  <si>
    <t xml:space="preserve">Source / Notes</t>
  </si>
  <si>
    <t xml:space="preserve">5A. Stablecoin Payment Volumes by Category ($Bn) — Exhibit 2</t>
  </si>
  <si>
    <t xml:space="preserve">  B2B (Business-to-Business)</t>
  </si>
  <si>
    <t xml:space="preserve">McKinsey Exhibit 2: $226Bn (2025 annualized from Dec 2025). +733% YoY growth per McKinsey text.</t>
  </si>
  <si>
    <t xml:space="preserve">  C2C (Consumer-to-Consumer)</t>
  </si>
  <si>
    <t xml:space="preserve">McKinsey Exhibit 2: $77Bn (2025). Highest penetration at 0.37% of TAM.</t>
  </si>
  <si>
    <t xml:space="preserve">  C2B (Consumer-to-Business)</t>
  </si>
  <si>
    <t xml:space="preserve">McKinsey Exhibit 2: $76Bn (2025). Includes card-linked $4.5Bn.</t>
  </si>
  <si>
    <t xml:space="preserve">  B2C (Business-to-Consumer)</t>
  </si>
  <si>
    <t xml:space="preserve">McKinsey Exhibit 2: $11Bn (2025). Payroll, creator payouts, marketplace earnings.</t>
  </si>
  <si>
    <t xml:space="preserve">  TOTAL</t>
  </si>
  <si>
    <t xml:space="preserve">McKinsey Exhibit 2: $390Bn total (2025). Note: Allium labels $374.5Bn; McKinsey uses broader methodology.</t>
  </si>
  <si>
    <t xml:space="preserve">5B. Market Penetration Rates by Category — Exhibit 2 (2025A)</t>
  </si>
  <si>
    <t xml:space="preserve">  B2B Penetration</t>
  </si>
  <si>
    <t xml:space="preserve">McKinsey Exhibit 2: 0.01% (rounds from ~0.014%). Global B2B TAM back-calc = ~$2.26 quadrillion (includes wholesale FI flows — NOT usable as commercial TAM)</t>
  </si>
  <si>
    <t xml:space="preserve">  C2C Penetration</t>
  </si>
  <si>
    <t xml:space="preserve">McKinsey Exhibit 2: 0.37% — HIGHEST of all categories. Remittances lead adoption. Global C2C TAM = $77Bn ÷ 0.37% = $20.8Tn</t>
  </si>
  <si>
    <t xml:space="preserve">  C2B Penetration</t>
  </si>
  <si>
    <t xml:space="preserve">McKinsey Exhibit 2: 0.11%. Global C2B TAM = $76Bn ÷ 0.11% = $69.1Tn</t>
  </si>
  <si>
    <t xml:space="preserve">  B2C Penetration</t>
  </si>
  <si>
    <t xml:space="preserve">McKinsey Exhibit 2: 0.01%. Global B2C TAM = $11Bn ÷ 0.01% = $110Tn (payroll + remittances)</t>
  </si>
  <si>
    <t xml:space="preserve">  Overall Penetration</t>
  </si>
  <si>
    <t xml:space="preserve">McKinsey Exhibit 2: 0.02% overall — $390Bn ÷ 0.02% = $1.95 quadrillion global payments TAM (domestic + CB, excl. FI settlement)</t>
  </si>
  <si>
    <t xml:space="preserve">5C. Global TAM Back-Calculated from McKinsey Exhibit 2 (Volume ÷ Penetration)</t>
  </si>
  <si>
    <t xml:space="preserve">  B2B Global TAM (back-calc)</t>
  </si>
  <si>
    <t xml:space="preserve">Back-calc: $226Bn div 0.01% = $2,260Tn. Confirms McKinsey includes wholesale FI flows — do NOT use as commercial TAM. Use Juniper $186Tn.</t>
  </si>
  <si>
    <t xml:space="preserve">  C2C Global TAM (back-calc)</t>
  </si>
  <si>
    <t xml:space="preserve">Back-calc: $77Bn div 0.37% = $20.8Tn. Usable — clean retail P2P definition.</t>
  </si>
  <si>
    <t xml:space="preserve">  C2B Global TAM (back-calc)</t>
  </si>
  <si>
    <t xml:space="preserve">Back-calc: $76Bn div 0.11% = $69.1Tn. Usable — broader than Worldpay POS+ecom.</t>
  </si>
  <si>
    <t xml:space="preserve">  B2C Global TAM (back-calc)</t>
  </si>
  <si>
    <t xml:space="preserve">Back-calc: $11Bn div 0.01% = $110Tn. Consistent with McKinsey text &gt;$100Tn payroll+remittances.</t>
  </si>
  <si>
    <t xml:space="preserve">  B2B Domestic TAM (Juniper)</t>
  </si>
  <si>
    <t xml:space="preserve">Juniper Sep 2025: $186Tn global less FXC $34.8Tn CB = $151.2Tn domestic.</t>
  </si>
  <si>
    <t xml:space="preserve">  B2C Domestic TAM</t>
  </si>
  <si>
    <t xml:space="preserve">$110Tn global less FXC $1.9Tn(24)/$2.1Tn(25) CB = domestic residual.</t>
  </si>
  <si>
    <t xml:space="preserve">  C2B Domestic TAM</t>
  </si>
  <si>
    <t xml:space="preserve">$69.1Tn global less FXC $4.5Tn(24)/$4.9Tn(25) CB = domestic residual.</t>
  </si>
  <si>
    <t xml:space="preserve">  C2C Domestic TAM</t>
  </si>
  <si>
    <t xml:space="preserve">$20.8Tn global less FXC $2.0Tn(24)/$2.1Tn(25) CB = domestic residual.</t>
  </si>
  <si>
    <t xml:space="preserve">CEX — TO BE BUILT</t>
  </si>
  <si>
    <t xml:space="preserve">[Sheet to be populated — structure mirrors Payments sheet]</t>
  </si>
  <si>
    <t xml:space="preserve">DEFI — TO BE BUILT</t>
  </si>
  <si>
    <t xml:space="preserve">AGENTIC COMMERCE — STABLECOIN VOLUME MODEL (2025–2035)</t>
  </si>
  <si>
    <t xml:space="preserve">3 categories: (1) Online Consumer Spend [goods+services]  (2) B2B Procurement  (3) A2A Micropayments [API economy]</t>
  </si>
  <si>
    <t xml:space="preserve">SOURCE / NOTES</t>
  </si>
  <si>
    <t xml:space="preserve">1. ONLINE CONSUMER SPEND (Goods + Services) — Worldpay Definition</t>
  </si>
  <si>
    <t xml:space="preserve">  Worldpay $6.8Tn (2024) = all consumer online spend: physical goods, travel, streaming, food delivery, subscriptions, financial services. Online ONLY — POS excluded.</t>
  </si>
  <si>
    <t xml:space="preserve">1A. TAM — Global Online Consumer Spend ($Bn)</t>
  </si>
  <si>
    <t xml:space="preserve">  Global online consumer spend (Worldpay e-commerce)</t>
  </si>
  <si>
    <t xml:space="preserve">Worldpay Global Payments Report 2025 (Mar 11, 2025): $6.8Tn global e-commerce (2024), ~10% CAGR. ONLINE ONLY — separate from $18.7Tn combined online+POS. Includes goods AND services (travel, streaming, food delivery, subscriptions). URL: corporate.worldpay.com/news-releases/news-release-details/10-years-cash-cards-and-crypto-worldpays-global-payments-report</t>
  </si>
  <si>
    <t xml:space="preserve">    of which: physical goods (Statista retail e-commerce)</t>
  </si>
  <si>
    <t xml:space="preserve">Memo: Statista 'retail e-commerce' (physical goods only) ~$4.1Tn (2024). Implies ~$2.7Tn services within Worldpay $6.8Tn. URL: statista.com/statistics/379046/worldwide-retail-e-commerce-sales</t>
  </si>
  <si>
    <t xml:space="preserve">    of which: online services (travel, streaming, food, subscriptions)</t>
  </si>
  <si>
    <t xml:space="preserve">Memo: Implied = Worldpay total less Statista retail goods. Includes: travel ($820Bn), food delivery ($500Bn), streaming ($200Bn), online financial services ($400Bn), other ($1.06Tn).</t>
  </si>
  <si>
    <t xml:space="preserve">    YoY growth %</t>
  </si>
  <si>
    <t xml:space="preserve">1B. Agent Penetration % — of online consumer spend initiated by AI agents</t>
  </si>
  <si>
    <t xml:space="preserve">  Agent penetration %</t>
  </si>
  <si>
    <t xml:space="preserve">ASSUMPTION — TO DISCUSS. 2025: 0.3% (ACP just launched Jan 2025; 23% Americans bought via AI but &lt;1% via agent checkout). 2030: 16.5% (midpoint of Morgan Stanley 10-20% US e-commerce; discounted to 16% for global). McKinsey goods-only: $3-5Tn = 28-46% of goods TAM by 2030 (bull case). Services lag goods ~1-2yr. Plateau at 37% by 2035 — human-in-loop persists for regulated services (healthcare, finance). Source: morganstanley.com/insights/articles/agentic-commerce-market-impact-outlook</t>
  </si>
  <si>
    <t xml:space="preserve">  Agent-initiated consumer volume</t>
  </si>
  <si>
    <t xml:space="preserve">  McKinsey cross-check: $3-5Tn goods only by 2030</t>
  </si>
  <si>
    <t xml:space="preserve">McKinsey Oct 2025: $3-5Tn consumer goods ONLY by 2030. Our model's 2030 consumer volume should be at or above this (ours includes services). URL: mckinsey.com/capabilities/quantumblack/our-insights/the-agentic-commerce-opportunity</t>
  </si>
  <si>
    <t xml:space="preserve">1C. Stablecoin % — of agent consumer spend settled via stablecoin rails (not Stripe/Visa)</t>
  </si>
  <si>
    <t xml:space="preserve">  Stablecoin settlement %</t>
  </si>
  <si>
    <t xml:space="preserve">ASSUMPTION — TO DISCUSS. 2025 base: Visa stablecoin settlement $3.5Bn annualised (late 2025) vs $7.48Tn total = ~0.05%. Grows as OpenAI ACP + Stripe stablecoin checkout + GENIUS Act (Jul 2025). Cross-border travel/services adopt faster (FX savings). Plateau ~40% — card rewards, consumer protection, familiarity maintain card dominance.</t>
  </si>
  <si>
    <t xml:space="preserve">  STABLECOIN CONSUMER VOLUME</t>
  </si>
  <si>
    <t xml:space="preserve">2. B2B PROCUREMENT — Agent-Initiated Business Purchasing</t>
  </si>
  <si>
    <t xml:space="preserve">  [McKinsey: B2B stablecoin already $226Bn (2025), +733% YoY | Numbers model: $48Tn digital B2B TAM (2025)]</t>
  </si>
  <si>
    <t xml:space="preserve">2A. TAM — Digital B2B Procurement &amp; SaaS Commerce ($Bn)</t>
  </si>
  <si>
    <t xml:space="preserve">  Global digital B2B procurement + SaaS volume</t>
  </si>
  <si>
    <t xml:space="preserve">Numbers model (Agentic_Payment_Economy_Model_2.numbers, Apr 2026): $48Tn digital B2B + procurement (2025), 6% CAGR. Note: Juniper Sep 2025 = $186Tn total B2B (all rails). This $48Tn = digital/SaaS-native B2B commerce subset only.</t>
  </si>
  <si>
    <t xml:space="preserve">2B. Agent Penetration % — B2B faster than consumer (clear ROI, lower trust friction)</t>
  </si>
  <si>
    <t xml:space="preserve">ASSUMPTION — TO DISCUSS. Numbers model baseline (0.5%→27% 2025-2030). B2B leads consumer: enterprises have measurable ROI. Salesforce Agentic Enterprise Index (Sep 2025): agent creation +119% H1 2025. 96% of enterprises expanding AI agent use (MarketsandMarkets 2025). Gartner: 33% of enterprise software has agentic AI by 2028 vs &lt;1% in 2024.</t>
  </si>
  <si>
    <t xml:space="preserve">  Agent-initiated B2B volume</t>
  </si>
  <si>
    <t xml:space="preserve">2C. Stablecoin % — highest (programmable settlement, instant cross-border, no card fees)</t>
  </si>
  <si>
    <t xml:space="preserve">ASSUMPTION — TO DISCUSS. McKinsey stablecoin report (Feb 2026): B2B stablecoin $226Bn already. Enterprises deploy agents specifically for programmable, instant, cross-border settlement. 20% base is conservative — much agent B2B still on Stripe/ACH today. Grows as stablecoin B2B rails mature and regulatory clarity improves.</t>
  </si>
  <si>
    <t xml:space="preserve">  STABLECOIN B2B VOLUME</t>
  </si>
  <si>
    <t xml:space="preserve">3. A2A MICROPAYMENTS — AI API Economy Settled Per-Call via Stablecoin</t>
  </si>
  <si>
    <t xml:space="preserve">  NOT double-counted above. This = sub-cent API calls structurally impossible on card rails ($0.05-$0.15 fixed fee). x402 protocol = $600Mn annualised (Mar 2026).</t>
  </si>
  <si>
    <t xml:space="preserve">3A. TAM — Total AI API Economy ($Bn)</t>
  </si>
  <si>
    <t xml:space="preserve">  LLM inference APIs (OpenAI, Anthropic, Google, AWS, Cohere)</t>
  </si>
  <si>
    <t xml:space="preserve">a16z (2024): LLM API market ~$20Bn (2025). ~90% CAGR 2025-27 decelerating to ~20% by 2032. Includes OpenAI ($13Bn API revenue est.), Anthropic, Google Vertex AI, AWS Bedrock, Cohere.</t>
  </si>
  <si>
    <t xml:space="preserve">  Data &amp; tool APIs (search, financial data, web, specialist)</t>
  </si>
  <si>
    <t xml:space="preserve">Estimated: Perplexity Sonar API ($5/1K searches), Bloomberg Terminal equiv, web scraping APIs, browser automation. ~18% CAGR. No single global public source.</t>
  </si>
  <si>
    <t xml:space="preserve">  Agent-to-agent task fees (agent hiring specialist agent per task)</t>
  </si>
  <si>
    <t xml:space="preserve">x402 protocol (Nevermined/BlockEden Mar 2026): $600Mn annualised, 35Mn txns on Solana. Avg tx ~$17. Genuine A2A: agents paying specialist agents $0.01-$1/task. URL: nevermined.ai/blog/stablecoin-payments-ai-agents-statistics</t>
  </si>
  <si>
    <t xml:space="preserve">  TOTAL AI API Economy TAM</t>
  </si>
  <si>
    <t xml:space="preserve">3B. Stablecoin % — migrating from subscription/credit card to per-call stablecoin settlement</t>
  </si>
  <si>
    <t xml:space="preserve">  Stablecoin per-call settlement %</t>
  </si>
  <si>
    <t xml:space="preserve">ASSUMPTION — TO DISCUSS. Base 2025: x402 $600Mn ÷ $35.6Bn total API market = 1.7% today (sourced). Card rails charge $0.05-$0.15 fixed fee — impossible for sub-cent micropayments. Only micropayment portion migrates; large LLM subscriptions stay on card/invoice. Grows as x402, Anthropic MCP billing, and similar protocols reach critical mass.</t>
  </si>
  <si>
    <t xml:space="preserve">  STABLECOIN A2A VOLUME</t>
  </si>
  <si>
    <t xml:space="preserve">4. SUMMARY — TOTAL STABLECOIN AGENTIC PAYMENT VOLUME</t>
  </si>
  <si>
    <t xml:space="preserve">  Online Consumer (Goods + Services)</t>
  </si>
  <si>
    <t xml:space="preserve">  B2B Procurement</t>
  </si>
  <si>
    <t xml:space="preserve">  A2A Micropayments (API economy)</t>
  </si>
  <si>
    <t xml:space="preserve">TOTAL STABLECOIN AGENTIC VOLUME</t>
  </si>
  <si>
    <t xml:space="preserve">  YoY Growth</t>
  </si>
  <si>
    <t xml:space="preserve">n/a</t>
  </si>
  <si>
    <t xml:space="preserve">  Consumer share of total</t>
  </si>
  <si>
    <t xml:space="preserve">  B2B share of total</t>
  </si>
  <si>
    <t xml:space="preserve">STORE OF VALUE — TO BE BUILT</t>
  </si>
  <si>
    <t xml:space="preserve">TOKENIZED ASSETS — TO BE BUILT</t>
  </si>
  <si>
    <t xml:space="preserve">OTHER ON-CHAIN — TO BE BUILT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</si>
</sst>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.0"/>
    <numFmt numFmtId="167" formatCode="0.0"/>
    <numFmt numFmtId="168" formatCode="0.0%"/>
    <numFmt numFmtId="169" formatCode="0.000%"/>
    <numFmt numFmtId="170" formatCode="0.00%"/>
    <numFmt numFmtId="171" formatCode="#,##0"/>
    <numFmt numFmtId="172" formatCode="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i val="true"/>
      <sz val="11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sz val="10"/>
      <name val="Cambria"/>
      <family val="0"/>
      <charset val="1"/>
    </font>
    <font>
      <sz val="10"/>
      <color rgb="FF0000FF"/>
      <name val="Cambria"/>
      <family val="0"/>
      <charset val="1"/>
    </font>
    <font>
      <i val="true"/>
      <sz val="8"/>
      <color rgb="FF404040"/>
      <name val="Cambria"/>
      <family val="0"/>
      <charset val="1"/>
    </font>
    <font>
      <i val="true"/>
      <sz val="8"/>
      <color rgb="FF595959"/>
      <name val="Cambria"/>
      <family val="0"/>
      <charset val="1"/>
    </font>
    <font>
      <b val="true"/>
      <sz val="10"/>
      <color rgb="FF0000FF"/>
      <name val="Cambria"/>
      <family val="0"/>
      <charset val="1"/>
    </font>
    <font>
      <sz val="10"/>
      <color rgb="FF000000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9"/>
      <name val="Cambria"/>
      <family val="0"/>
      <charset val="1"/>
    </font>
    <font>
      <i val="true"/>
      <sz val="8"/>
      <color rgb="FFFF0000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i val="true"/>
      <sz val="9"/>
      <color rgb="FF808080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B4C6E7"/>
        <bgColor rgb="FF99CCFF"/>
      </patternFill>
    </fill>
    <fill>
      <patternFill patternType="solid">
        <fgColor rgb="FFFFF2CC"/>
        <bgColor rgb="FFE2EFDA"/>
      </patternFill>
    </fill>
    <fill>
      <patternFill patternType="solid">
        <fgColor rgb="FFFFFFFF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</row>
    <row r="4" customFormat="false" ht="1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true" outlineLevel="0" collapsed="false">
      <c r="A5" s="1" t="s">
        <v>4</v>
      </c>
      <c r="B5" s="1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15" hidden="false" customHeight="true" outlineLevel="0" collapsed="false">
      <c r="A6" s="1" t="s">
        <v>6</v>
      </c>
      <c r="B6" s="1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true" outlineLevel="0" collapsed="false">
      <c r="A7" s="1" t="s">
        <v>7</v>
      </c>
      <c r="B7" s="1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customFormat="false" ht="15" hidden="false" customHeight="true" outlineLevel="0" collapsed="false">
      <c r="A8" s="1" t="s">
        <v>9</v>
      </c>
      <c r="B8" s="1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5" hidden="false" customHeight="true" outlineLevel="0" collapsed="false">
      <c r="A9" s="1" t="s">
        <v>10</v>
      </c>
      <c r="B9" s="1" t="s">
        <v>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customFormat="false" ht="15" hidden="false" customHeight="true" outlineLevel="0" collapsed="false">
      <c r="A10" s="1" t="s">
        <v>11</v>
      </c>
      <c r="B10" s="1" t="s">
        <v>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customFormat="false" ht="15" hidden="false" customHeight="true" outlineLevel="0" collapsed="false">
      <c r="A11" s="1" t="s">
        <v>12</v>
      </c>
      <c r="B11" s="1" t="s">
        <v>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customFormat="false" ht="15" hidden="false" customHeight="true" outlineLevel="0" collapsed="false">
      <c r="A12" s="1" t="s">
        <v>13</v>
      </c>
      <c r="B12" s="1" t="s">
        <v>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customFormat="false" ht="15" hidden="false" customHeight="true" outlineLevel="0" collapsed="false">
      <c r="A13" s="1" t="s">
        <v>14</v>
      </c>
      <c r="B13" s="1" t="s">
        <v>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customFormat="false" ht="15" hidden="false" customHeight="true" outlineLevel="0" collapsed="false">
      <c r="A14" s="7" t="s">
        <v>15</v>
      </c>
      <c r="B14" s="3" t="s">
        <v>5</v>
      </c>
    </row>
    <row r="16" customFormat="false" ht="15" hidden="false" customHeight="true" outlineLevel="0" collapsed="false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true" outlineLevel="0" collapsed="false">
      <c r="A17" s="1" t="s">
        <v>17</v>
      </c>
      <c r="B17" s="1" t="s">
        <v>18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15" hidden="false" customHeight="true" outlineLevel="0" collapsed="false">
      <c r="A18" s="1" t="s">
        <v>19</v>
      </c>
      <c r="B18" s="1" t="s">
        <v>18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15" hidden="false" customHeight="true" outlineLevel="0" collapsed="false">
      <c r="A19" s="1" t="s">
        <v>20</v>
      </c>
      <c r="B19" s="1" t="s">
        <v>18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15" hidden="false" customHeight="true" outlineLevel="0" collapsed="false">
      <c r="A20" s="1" t="s">
        <v>21</v>
      </c>
      <c r="B20" s="1" t="s">
        <v>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15" hidden="false" customHeight="true" outlineLevel="0" collapsed="false">
      <c r="A21" s="1" t="s">
        <v>22</v>
      </c>
      <c r="B21" s="1" t="s">
        <v>18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15" hidden="false" customHeight="true" outlineLevel="0" collapsed="false">
      <c r="A22" s="1" t="s">
        <v>23</v>
      </c>
      <c r="B22" s="1" t="s">
        <v>18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15" hidden="false" customHeight="true" outlineLevel="0" collapsed="false">
      <c r="A23" s="1" t="s">
        <v>24</v>
      </c>
      <c r="B23" s="1" t="s">
        <v>18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5" customFormat="false" ht="15" hidden="false" customHeight="true" outlineLevel="0" collapsed="false">
      <c r="A25" s="2" t="s">
        <v>25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true" outlineLevel="0" collapsed="false">
      <c r="A26" s="1" t="s">
        <v>26</v>
      </c>
      <c r="B26" s="1" t="s">
        <v>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customFormat="false" ht="15" hidden="false" customHeight="true" outlineLevel="0" collapsed="false">
      <c r="A27" s="1" t="s">
        <v>27</v>
      </c>
      <c r="B27" s="1" t="s">
        <v>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5" hidden="false" customHeight="true" outlineLevel="0" collapsed="false">
      <c r="A28" s="1" t="s">
        <v>28</v>
      </c>
      <c r="B28" s="1" t="s">
        <v>8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customFormat="false" ht="15" hidden="false" customHeight="true" outlineLevel="0" collapsed="false">
      <c r="A29" s="1" t="s">
        <v>29</v>
      </c>
      <c r="B29" s="1" t="s">
        <v>8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5" hidden="false" customHeight="true" outlineLevel="0" collapsed="false">
      <c r="A30" s="1" t="s">
        <v>30</v>
      </c>
      <c r="B30" s="1" t="s">
        <v>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customFormat="false" ht="15" hidden="false" customHeight="true" outlineLevel="0" collapsed="false">
      <c r="A31" s="1" t="s">
        <v>31</v>
      </c>
      <c r="B31" s="1" t="s">
        <v>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5" hidden="false" customHeight="true" outlineLevel="0" collapsed="false">
      <c r="A32" s="1" t="s">
        <v>32</v>
      </c>
      <c r="B32" s="1" t="s">
        <v>8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customFormat="false" ht="15" hidden="false" customHeight="true" outlineLevel="0" collapsed="false">
      <c r="A33" s="10" t="s">
        <v>33</v>
      </c>
      <c r="B33" s="3" t="s">
        <v>8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5" customFormat="false" ht="15" hidden="false" customHeight="true" outlineLevel="0" collapsed="false">
      <c r="A35" s="12" t="s">
        <v>34</v>
      </c>
      <c r="B35" s="1" t="s">
        <v>8</v>
      </c>
      <c r="C35" s="13" t="n">
        <v>200</v>
      </c>
      <c r="D35" s="13" t="n">
        <v>235</v>
      </c>
      <c r="E35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4" t="s">
        <v>36</v>
      </c>
      <c r="B2" s="4" t="s">
        <v>2</v>
      </c>
      <c r="C2" s="5" t="n">
        <v>2024</v>
      </c>
      <c r="D2" s="5" t="n">
        <v>2025</v>
      </c>
      <c r="E2" s="5" t="n">
        <v>2026</v>
      </c>
      <c r="F2" s="5" t="n">
        <v>2027</v>
      </c>
      <c r="G2" s="5" t="n">
        <v>2028</v>
      </c>
      <c r="H2" s="5" t="n">
        <v>2029</v>
      </c>
      <c r="I2" s="5" t="n">
        <v>2030</v>
      </c>
      <c r="J2" s="5" t="n">
        <v>2031</v>
      </c>
      <c r="K2" s="5" t="n">
        <v>2032</v>
      </c>
      <c r="L2" s="5" t="n">
        <v>2033</v>
      </c>
      <c r="M2" s="5" t="n">
        <v>2034</v>
      </c>
      <c r="N2" s="5" t="n">
        <v>2035</v>
      </c>
    </row>
    <row r="3" customFormat="false" ht="15" hidden="false" customHeight="true" outlineLevel="0" collapsed="false">
      <c r="A3" s="1" t="s">
        <v>37</v>
      </c>
      <c r="B3" s="1" t="s">
        <v>5</v>
      </c>
      <c r="C3" s="13" t="n">
        <v>105</v>
      </c>
      <c r="D3" s="13" t="n">
        <v>110</v>
      </c>
      <c r="E3" s="13" t="n">
        <v>115</v>
      </c>
      <c r="F3" s="13" t="n">
        <v>120</v>
      </c>
      <c r="G3" s="13" t="n">
        <v>126</v>
      </c>
      <c r="H3" s="13" t="n">
        <v>132</v>
      </c>
      <c r="I3" s="13" t="n">
        <v>138</v>
      </c>
      <c r="J3" s="13" t="n">
        <v>145</v>
      </c>
      <c r="K3" s="13" t="n">
        <v>152</v>
      </c>
      <c r="L3" s="13" t="n">
        <v>160</v>
      </c>
      <c r="M3" s="13" t="n">
        <v>168</v>
      </c>
      <c r="N3" s="13" t="n">
        <v>176</v>
      </c>
    </row>
    <row r="4" customFormat="false" ht="15" hidden="false" customHeight="true" outlineLevel="0" collapsed="false">
      <c r="A4" s="1" t="s">
        <v>38</v>
      </c>
      <c r="B4" s="1" t="s">
        <v>5</v>
      </c>
      <c r="C4" s="13" t="n">
        <v>18.7</v>
      </c>
      <c r="D4" s="13" t="n">
        <v>21</v>
      </c>
      <c r="E4" s="13" t="n">
        <v>24</v>
      </c>
      <c r="F4" s="13" t="n">
        <v>27</v>
      </c>
      <c r="G4" s="13" t="n">
        <v>30</v>
      </c>
      <c r="H4" s="13" t="n">
        <v>33.5</v>
      </c>
      <c r="I4" s="13" t="n">
        <v>37</v>
      </c>
      <c r="J4" s="13" t="n">
        <v>41</v>
      </c>
      <c r="K4" s="13" t="n">
        <v>45</v>
      </c>
      <c r="L4" s="13" t="n">
        <v>49</v>
      </c>
      <c r="M4" s="13" t="n">
        <v>54</v>
      </c>
      <c r="N4" s="13" t="n">
        <v>59</v>
      </c>
    </row>
    <row r="5" customFormat="false" ht="15" hidden="false" customHeight="true" outlineLevel="0" collapsed="false">
      <c r="A5" s="1" t="s">
        <v>39</v>
      </c>
      <c r="B5" s="1" t="s">
        <v>5</v>
      </c>
      <c r="C5" s="13" t="n">
        <v>195</v>
      </c>
      <c r="D5" s="13" t="n">
        <v>208</v>
      </c>
      <c r="E5" s="13" t="n">
        <v>222</v>
      </c>
      <c r="F5" s="13" t="n">
        <v>237</v>
      </c>
      <c r="G5" s="13" t="n">
        <v>253</v>
      </c>
      <c r="H5" s="13" t="n">
        <v>270</v>
      </c>
      <c r="I5" s="13" t="n">
        <v>288</v>
      </c>
      <c r="J5" s="13" t="n">
        <v>307</v>
      </c>
      <c r="K5" s="13" t="n">
        <v>328</v>
      </c>
      <c r="L5" s="13" t="n">
        <v>350</v>
      </c>
      <c r="M5" s="13" t="n">
        <v>373</v>
      </c>
      <c r="N5" s="13" t="n">
        <v>398</v>
      </c>
    </row>
    <row r="6" customFormat="false" ht="15" hidden="false" customHeight="true" outlineLevel="0" collapsed="false">
      <c r="A6" s="1" t="s">
        <v>40</v>
      </c>
      <c r="B6" s="1" t="s">
        <v>8</v>
      </c>
      <c r="C6" s="13" t="n">
        <v>860</v>
      </c>
      <c r="D6" s="13" t="n">
        <v>910</v>
      </c>
      <c r="E6" s="13" t="n">
        <v>960</v>
      </c>
      <c r="F6" s="13" t="n">
        <v>1015</v>
      </c>
      <c r="G6" s="13" t="n">
        <v>1070</v>
      </c>
      <c r="H6" s="13" t="n">
        <v>1130</v>
      </c>
      <c r="I6" s="13" t="n">
        <v>1190</v>
      </c>
      <c r="J6" s="13" t="n">
        <v>1255</v>
      </c>
      <c r="K6" s="13" t="n">
        <v>1325</v>
      </c>
      <c r="L6" s="13" t="n">
        <v>1400</v>
      </c>
      <c r="M6" s="13" t="n">
        <v>1475</v>
      </c>
      <c r="N6" s="13" t="n">
        <v>1555</v>
      </c>
    </row>
    <row r="7" customFormat="false" ht="15" hidden="false" customHeight="true" outlineLevel="0" collapsed="false">
      <c r="A7" s="1" t="s">
        <v>41</v>
      </c>
      <c r="B7" s="1" t="s">
        <v>5</v>
      </c>
      <c r="C7" s="13" t="n">
        <v>3.5</v>
      </c>
      <c r="D7" s="13" t="n">
        <v>3.8</v>
      </c>
      <c r="E7" s="13" t="n">
        <v>4.5</v>
      </c>
      <c r="F7" s="13" t="n">
        <v>5.5</v>
      </c>
      <c r="G7" s="13" t="n">
        <v>6.5</v>
      </c>
      <c r="H7" s="13" t="n">
        <v>7.5</v>
      </c>
      <c r="I7" s="13" t="n">
        <v>8.5</v>
      </c>
      <c r="J7" s="13" t="n">
        <v>9.5</v>
      </c>
      <c r="K7" s="13" t="n">
        <v>10.5</v>
      </c>
      <c r="L7" s="13" t="n">
        <v>11.5</v>
      </c>
      <c r="M7" s="13" t="n">
        <v>12.5</v>
      </c>
      <c r="N7" s="13" t="n">
        <v>13.5</v>
      </c>
    </row>
    <row r="8" customFormat="false" ht="15" hidden="false" customHeight="true" outlineLevel="0" collapsed="false">
      <c r="A8" s="1" t="s">
        <v>42</v>
      </c>
      <c r="B8" s="1" t="s">
        <v>5</v>
      </c>
      <c r="C8" s="13" t="n">
        <v>17.1</v>
      </c>
      <c r="D8" s="13" t="n">
        <v>18.6</v>
      </c>
      <c r="E8" s="13" t="n">
        <v>22</v>
      </c>
      <c r="F8" s="13" t="n">
        <v>26</v>
      </c>
      <c r="G8" s="13" t="n">
        <v>30</v>
      </c>
      <c r="H8" s="13" t="n">
        <v>35</v>
      </c>
      <c r="I8" s="13" t="n">
        <v>40</v>
      </c>
      <c r="J8" s="13" t="n">
        <v>45</v>
      </c>
      <c r="K8" s="13" t="n">
        <v>50</v>
      </c>
      <c r="L8" s="13" t="n">
        <v>55</v>
      </c>
      <c r="M8" s="13" t="n">
        <v>60</v>
      </c>
      <c r="N8" s="13" t="n">
        <v>65</v>
      </c>
    </row>
    <row r="9" customFormat="false" ht="15" hidden="false" customHeight="true" outlineLevel="0" collapsed="false">
      <c r="A9" s="1" t="s">
        <v>43</v>
      </c>
      <c r="B9" s="1" t="s">
        <v>5</v>
      </c>
      <c r="C9" s="13" t="n">
        <v>1.5</v>
      </c>
      <c r="D9" s="13" t="n">
        <v>2.3</v>
      </c>
      <c r="E9" s="13" t="n">
        <v>3.5</v>
      </c>
      <c r="F9" s="13" t="n">
        <v>5</v>
      </c>
      <c r="G9" s="13" t="n">
        <v>7</v>
      </c>
      <c r="H9" s="13" t="n">
        <v>9.5</v>
      </c>
      <c r="I9" s="13" t="n">
        <v>12</v>
      </c>
      <c r="J9" s="13" t="n">
        <v>15</v>
      </c>
      <c r="K9" s="13" t="n">
        <v>18</v>
      </c>
      <c r="L9" s="13" t="n">
        <v>21</v>
      </c>
      <c r="M9" s="13" t="n">
        <v>24</v>
      </c>
      <c r="N9" s="13" t="n">
        <v>27</v>
      </c>
    </row>
    <row r="10" customFormat="false" ht="15" hidden="false" customHeight="true" outlineLevel="0" collapsed="false">
      <c r="A10" s="1" t="s">
        <v>44</v>
      </c>
      <c r="B10" s="1" t="s">
        <v>8</v>
      </c>
      <c r="C10" s="13" t="n">
        <v>200</v>
      </c>
      <c r="D10" s="13" t="n">
        <v>235</v>
      </c>
      <c r="E10" s="13" t="n">
        <v>300</v>
      </c>
      <c r="F10" s="13"/>
      <c r="G10" s="13"/>
      <c r="H10" s="13"/>
      <c r="I10" s="13"/>
      <c r="J10" s="13"/>
      <c r="K10" s="13"/>
      <c r="L10" s="13"/>
      <c r="M10" s="13"/>
      <c r="N10" s="13"/>
    </row>
    <row r="12" customFormat="false" ht="15" hidden="false" customHeight="true" outlineLevel="0" collapsed="false">
      <c r="A12" s="2" t="s">
        <v>45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true" outlineLevel="0" collapsed="false">
      <c r="A13" s="1" t="s">
        <v>46</v>
      </c>
      <c r="B13" s="1" t="s">
        <v>18</v>
      </c>
      <c r="C13" s="15" t="n">
        <v>48</v>
      </c>
      <c r="D13" s="15" t="n">
        <v>50</v>
      </c>
      <c r="E13" s="15" t="n">
        <v>52</v>
      </c>
      <c r="F13" s="15" t="n">
        <v>54</v>
      </c>
      <c r="G13" s="15" t="n">
        <v>55</v>
      </c>
      <c r="H13" s="15" t="n">
        <v>56</v>
      </c>
      <c r="I13" s="15" t="n">
        <v>57</v>
      </c>
      <c r="J13" s="15" t="n">
        <v>58</v>
      </c>
      <c r="K13" s="15" t="n">
        <v>58</v>
      </c>
      <c r="L13" s="15" t="n">
        <v>58</v>
      </c>
      <c r="M13" s="15" t="n">
        <v>58</v>
      </c>
      <c r="N13" s="15" t="n">
        <v>58</v>
      </c>
    </row>
    <row r="14" customFormat="false" ht="15" hidden="false" customHeight="true" outlineLevel="0" collapsed="false">
      <c r="A14" s="1" t="s">
        <v>47</v>
      </c>
      <c r="B14" s="1" t="s">
        <v>18</v>
      </c>
      <c r="C14" s="15" t="n">
        <v>36</v>
      </c>
      <c r="D14" s="15" t="n">
        <v>40</v>
      </c>
      <c r="E14" s="15" t="n">
        <v>44</v>
      </c>
      <c r="F14" s="15" t="n">
        <v>48</v>
      </c>
      <c r="G14" s="15" t="n">
        <v>50</v>
      </c>
      <c r="H14" s="15" t="n">
        <v>52</v>
      </c>
      <c r="I14" s="15" t="n">
        <v>54</v>
      </c>
      <c r="J14" s="15" t="n">
        <v>55</v>
      </c>
      <c r="K14" s="15" t="n">
        <v>56</v>
      </c>
      <c r="L14" s="15" t="n">
        <v>56</v>
      </c>
      <c r="M14" s="15" t="n">
        <v>56</v>
      </c>
      <c r="N14" s="15" t="n">
        <v>56</v>
      </c>
    </row>
    <row r="15" customFormat="false" ht="15" hidden="false" customHeight="true" outlineLevel="0" collapsed="false">
      <c r="A15" s="1" t="s">
        <v>48</v>
      </c>
      <c r="B15" s="1" t="s">
        <v>18</v>
      </c>
      <c r="C15" s="15" t="n">
        <v>8</v>
      </c>
      <c r="D15" s="15" t="n">
        <v>10</v>
      </c>
      <c r="E15" s="15" t="n">
        <v>12</v>
      </c>
      <c r="F15" s="15" t="n">
        <v>14</v>
      </c>
      <c r="G15" s="15" t="n">
        <v>16</v>
      </c>
      <c r="H15" s="15" t="n">
        <v>18</v>
      </c>
      <c r="I15" s="15" t="n">
        <v>20</v>
      </c>
      <c r="J15" s="15" t="n">
        <v>22</v>
      </c>
      <c r="K15" s="15" t="n">
        <v>24</v>
      </c>
      <c r="L15" s="15" t="n">
        <v>25</v>
      </c>
      <c r="M15" s="15" t="n">
        <v>26</v>
      </c>
      <c r="N15" s="15" t="n">
        <v>27</v>
      </c>
    </row>
    <row r="16" customFormat="false" ht="15" hidden="false" customHeight="true" outlineLevel="0" collapsed="false">
      <c r="A16" s="1" t="s">
        <v>21</v>
      </c>
      <c r="B16" s="1" t="s">
        <v>18</v>
      </c>
      <c r="C16" s="15" t="n">
        <v>1</v>
      </c>
      <c r="D16" s="15" t="n">
        <v>1</v>
      </c>
      <c r="E16" s="15" t="n">
        <v>1</v>
      </c>
      <c r="F16" s="15" t="n">
        <v>1</v>
      </c>
      <c r="G16" s="15" t="n">
        <v>1</v>
      </c>
      <c r="H16" s="15" t="n">
        <v>1</v>
      </c>
      <c r="I16" s="15" t="n">
        <v>1</v>
      </c>
      <c r="J16" s="15" t="n">
        <v>1</v>
      </c>
      <c r="K16" s="15" t="n">
        <v>1</v>
      </c>
      <c r="L16" s="15" t="n">
        <v>1</v>
      </c>
      <c r="M16" s="15" t="n">
        <v>1</v>
      </c>
      <c r="N16" s="15" t="n">
        <v>1</v>
      </c>
    </row>
    <row r="17" customFormat="false" ht="15" hidden="false" customHeight="true" outlineLevel="0" collapsed="false">
      <c r="A17" s="1" t="s">
        <v>49</v>
      </c>
      <c r="B17" s="1" t="s">
        <v>18</v>
      </c>
      <c r="C17" s="15" t="n">
        <v>12</v>
      </c>
      <c r="D17" s="15" t="n">
        <v>14</v>
      </c>
      <c r="E17" s="15" t="n">
        <v>16</v>
      </c>
      <c r="F17" s="15" t="n">
        <v>18</v>
      </c>
      <c r="G17" s="15" t="n">
        <v>20</v>
      </c>
      <c r="H17" s="15" t="n">
        <v>22</v>
      </c>
      <c r="I17" s="15" t="n">
        <v>24</v>
      </c>
      <c r="J17" s="15" t="n">
        <v>24</v>
      </c>
      <c r="K17" s="15" t="n">
        <v>24</v>
      </c>
      <c r="L17" s="15" t="n">
        <v>24</v>
      </c>
      <c r="M17" s="15" t="n">
        <v>24</v>
      </c>
      <c r="N17" s="15" t="n">
        <v>24</v>
      </c>
    </row>
    <row r="18" customFormat="false" ht="15" hidden="false" customHeight="true" outlineLevel="0" collapsed="false">
      <c r="A18" s="1" t="s">
        <v>23</v>
      </c>
      <c r="B18" s="1" t="s">
        <v>18</v>
      </c>
      <c r="C18" s="15" t="n">
        <v>0</v>
      </c>
      <c r="D18" s="15" t="n">
        <v>0</v>
      </c>
      <c r="E18" s="15" t="n">
        <v>24</v>
      </c>
      <c r="F18" s="15" t="n">
        <v>30</v>
      </c>
      <c r="G18" s="15" t="n">
        <v>36</v>
      </c>
      <c r="H18" s="15" t="n">
        <v>42</v>
      </c>
      <c r="I18" s="15" t="n">
        <v>48</v>
      </c>
      <c r="J18" s="15" t="n">
        <v>52</v>
      </c>
      <c r="K18" s="15" t="n">
        <v>55</v>
      </c>
      <c r="L18" s="15" t="n">
        <v>58</v>
      </c>
      <c r="M18" s="15" t="n">
        <v>60</v>
      </c>
      <c r="N18" s="15" t="n">
        <v>60</v>
      </c>
    </row>
    <row r="19" customFormat="false" ht="15" hidden="false" customHeight="true" outlineLevel="0" collapsed="false">
      <c r="A19" s="1" t="s">
        <v>24</v>
      </c>
      <c r="B19" s="1" t="s">
        <v>18</v>
      </c>
      <c r="C19" s="15" t="n">
        <v>24</v>
      </c>
      <c r="D19" s="15" t="n">
        <v>26</v>
      </c>
      <c r="E19" s="15" t="n">
        <v>28</v>
      </c>
      <c r="F19" s="15" t="n">
        <v>30</v>
      </c>
      <c r="G19" s="15" t="n">
        <v>32</v>
      </c>
      <c r="H19" s="15" t="n">
        <v>34</v>
      </c>
      <c r="I19" s="15" t="n">
        <v>36</v>
      </c>
      <c r="J19" s="15" t="n">
        <v>38</v>
      </c>
      <c r="K19" s="15" t="n">
        <v>40</v>
      </c>
      <c r="L19" s="15" t="n">
        <v>40</v>
      </c>
      <c r="M19" s="15" t="n">
        <v>40</v>
      </c>
      <c r="N19" s="15" t="n">
        <v>40</v>
      </c>
    </row>
    <row r="21" customFormat="false" ht="15" hidden="false" customHeight="true" outlineLevel="0" collapsed="false">
      <c r="A21" s="16" t="s">
        <v>50</v>
      </c>
    </row>
    <row r="22" customFormat="false" ht="15" hidden="false" customHeight="true" outlineLevel="0" collapsed="false">
      <c r="A22" s="17" t="s">
        <v>51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customFormat="false" ht="15" hidden="false" customHeight="true" outlineLevel="0" collapsed="false">
      <c r="A23" s="17" t="s">
        <v>52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customFormat="false" ht="15" hidden="false" customHeight="true" outlineLevel="0" collapsed="false">
      <c r="A24" s="17" t="s">
        <v>53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customFormat="false" ht="15" hidden="false" customHeight="true" outlineLevel="0" collapsed="false">
      <c r="A25" s="17" t="s">
        <v>54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customFormat="false" ht="15" hidden="false" customHeight="true" outlineLevel="0" collapsed="false">
      <c r="A26" s="17" t="s">
        <v>55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customFormat="false" ht="15" hidden="false" customHeight="true" outlineLevel="0" collapsed="false">
      <c r="A27" s="17" t="s">
        <v>56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customFormat="false" ht="15" hidden="false" customHeight="true" outlineLevel="0" collapsed="false">
      <c r="A28" s="17" t="s">
        <v>57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customFormat="false" ht="15" hidden="false" customHeight="true" outlineLevel="0" collapsed="false">
      <c r="A29" s="17" t="s">
        <v>58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customFormat="false" ht="15" hidden="false" customHeight="true" outlineLevel="0" collapsed="false">
      <c r="A30" s="17" t="s">
        <v>59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customFormat="false" ht="15" hidden="false" customHeight="true" outlineLevel="0" collapsed="false">
      <c r="A31" s="17" t="s">
        <v>60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</sheetData>
  <mergeCells count="10">
    <mergeCell ref="A22:N22"/>
    <mergeCell ref="A23:N23"/>
    <mergeCell ref="A24:N24"/>
    <mergeCell ref="A25:N25"/>
    <mergeCell ref="A26:N26"/>
    <mergeCell ref="A27:N27"/>
    <mergeCell ref="A28:N28"/>
    <mergeCell ref="A29:N29"/>
    <mergeCell ref="A30:N30"/>
    <mergeCell ref="A31:N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8"/>
    <col collapsed="false" customWidth="true" hidden="false" outlineLevel="0" max="14" min="3" style="1" width="13"/>
    <col collapsed="false" customWidth="true" hidden="false" outlineLevel="0" max="15" min="15" style="1" width="60"/>
  </cols>
  <sheetData>
    <row r="1" customFormat="false" ht="15" hidden="false" customHeight="true" outlineLevel="0" collapsed="false">
      <c r="A1" s="18" t="s">
        <v>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3" customFormat="false" ht="15" hidden="false" customHeight="true" outlineLevel="0" collapsed="false">
      <c r="A3" s="4" t="s">
        <v>62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  <c r="O3" s="4" t="s">
        <v>63</v>
      </c>
    </row>
    <row r="4" customFormat="false" ht="15" hidden="false" customHeight="true" outlineLevel="0" collapsed="false">
      <c r="A4" s="18" t="s">
        <v>64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customFormat="false" ht="15" hidden="false" customHeight="true" outlineLevel="0" collapsed="false">
      <c r="A5" s="19" t="s">
        <v>65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customFormat="false" ht="15" hidden="false" customHeight="true" outlineLevel="0" collapsed="false">
      <c r="A6" s="20" t="s">
        <v>66</v>
      </c>
      <c r="B6" s="20" t="s">
        <v>5</v>
      </c>
      <c r="C6" s="21" t="n">
        <v>194.6</v>
      </c>
      <c r="D6" s="21" t="n">
        <v>208</v>
      </c>
      <c r="E6" s="22" t="n">
        <v>222</v>
      </c>
      <c r="F6" s="22" t="n">
        <v>237</v>
      </c>
      <c r="G6" s="22" t="n">
        <v>253</v>
      </c>
      <c r="H6" s="22" t="n">
        <v>270</v>
      </c>
      <c r="I6" s="22" t="n">
        <v>288</v>
      </c>
      <c r="J6" s="22" t="n">
        <v>307</v>
      </c>
      <c r="K6" s="22" t="n">
        <v>328</v>
      </c>
      <c r="L6" s="22" t="n">
        <v>350</v>
      </c>
      <c r="M6" s="22" t="n">
        <v>373</v>
      </c>
      <c r="N6" s="22" t="n">
        <v>398</v>
      </c>
      <c r="O6" s="23" t="s">
        <v>67</v>
      </c>
    </row>
    <row r="7" customFormat="false" ht="15" hidden="false" customHeight="true" outlineLevel="0" collapsed="false">
      <c r="A7" s="20" t="s">
        <v>68</v>
      </c>
      <c r="B7" s="20" t="s">
        <v>5</v>
      </c>
      <c r="C7" s="21" t="n">
        <v>39.9</v>
      </c>
      <c r="D7" s="21" t="n">
        <v>44</v>
      </c>
      <c r="E7" s="22" t="n">
        <v>45</v>
      </c>
      <c r="F7" s="22" t="n">
        <v>47.8</v>
      </c>
      <c r="G7" s="22" t="n">
        <v>50.8</v>
      </c>
      <c r="H7" s="22" t="n">
        <v>53.9</v>
      </c>
      <c r="I7" s="22" t="n">
        <v>57.3</v>
      </c>
      <c r="J7" s="22" t="n">
        <v>60.8</v>
      </c>
      <c r="K7" s="22" t="n">
        <v>64.5</v>
      </c>
      <c r="L7" s="22" t="n">
        <v>68.5</v>
      </c>
      <c r="M7" s="22" t="n">
        <v>72.8</v>
      </c>
      <c r="N7" s="22" t="n">
        <v>77.3</v>
      </c>
      <c r="O7" s="23" t="s">
        <v>69</v>
      </c>
    </row>
    <row r="8" customFormat="false" ht="15" hidden="false" customHeight="true" outlineLevel="0" collapsed="false">
      <c r="A8" s="20" t="s">
        <v>70</v>
      </c>
      <c r="B8" s="20" t="s">
        <v>5</v>
      </c>
      <c r="C8" s="21" t="n">
        <v>31.5</v>
      </c>
      <c r="D8" s="21" t="n">
        <v>34.8</v>
      </c>
      <c r="E8" s="22" t="n">
        <v>35.6</v>
      </c>
      <c r="F8" s="22" t="n">
        <v>37.8</v>
      </c>
      <c r="G8" s="22" t="n">
        <v>40.2</v>
      </c>
      <c r="H8" s="22" t="n">
        <v>42.7</v>
      </c>
      <c r="I8" s="22" t="n">
        <v>45.4</v>
      </c>
      <c r="J8" s="22" t="n">
        <v>48.2</v>
      </c>
      <c r="K8" s="22" t="n">
        <v>51.2</v>
      </c>
      <c r="L8" s="22" t="n">
        <v>54.4</v>
      </c>
      <c r="M8" s="22" t="n">
        <v>57.8</v>
      </c>
      <c r="N8" s="22" t="n">
        <v>61.4</v>
      </c>
      <c r="O8" s="23" t="s">
        <v>71</v>
      </c>
    </row>
    <row r="9" customFormat="false" ht="15" hidden="false" customHeight="true" outlineLevel="0" collapsed="false">
      <c r="A9" s="20" t="s">
        <v>72</v>
      </c>
      <c r="B9" s="20" t="s">
        <v>5</v>
      </c>
      <c r="C9" s="21" t="n">
        <v>1.9</v>
      </c>
      <c r="D9" s="21" t="n">
        <v>2.1</v>
      </c>
      <c r="E9" s="22" t="n">
        <v>2.3</v>
      </c>
      <c r="F9" s="22" t="n">
        <v>2.6</v>
      </c>
      <c r="G9" s="22" t="n">
        <v>2.9</v>
      </c>
      <c r="H9" s="22" t="n">
        <v>3.2</v>
      </c>
      <c r="I9" s="22" t="n">
        <v>3.6</v>
      </c>
      <c r="J9" s="22" t="n">
        <v>4</v>
      </c>
      <c r="K9" s="22" t="n">
        <v>4.4</v>
      </c>
      <c r="L9" s="22" t="n">
        <v>4.9</v>
      </c>
      <c r="M9" s="22" t="n">
        <v>5.4</v>
      </c>
      <c r="N9" s="22" t="n">
        <v>6</v>
      </c>
      <c r="O9" s="23" t="s">
        <v>73</v>
      </c>
    </row>
    <row r="10" customFormat="false" ht="15" hidden="false" customHeight="true" outlineLevel="0" collapsed="false">
      <c r="A10" s="20" t="s">
        <v>74</v>
      </c>
      <c r="B10" s="20" t="s">
        <v>5</v>
      </c>
      <c r="C10" s="21" t="n">
        <v>4.5</v>
      </c>
      <c r="D10" s="21" t="n">
        <v>4.9</v>
      </c>
      <c r="E10" s="22" t="n">
        <v>5.1</v>
      </c>
      <c r="F10" s="22" t="n">
        <v>5.4</v>
      </c>
      <c r="G10" s="22" t="n">
        <v>5.7</v>
      </c>
      <c r="H10" s="22" t="n">
        <v>6</v>
      </c>
      <c r="I10" s="22" t="n">
        <v>6.4</v>
      </c>
      <c r="J10" s="22" t="n">
        <v>6.7</v>
      </c>
      <c r="K10" s="22" t="n">
        <v>7.1</v>
      </c>
      <c r="L10" s="22" t="n">
        <v>7.5</v>
      </c>
      <c r="M10" s="22" t="n">
        <v>8</v>
      </c>
      <c r="N10" s="22" t="n">
        <v>8.5</v>
      </c>
      <c r="O10" s="23" t="s">
        <v>75</v>
      </c>
    </row>
    <row r="11" customFormat="false" ht="15" hidden="false" customHeight="true" outlineLevel="0" collapsed="false">
      <c r="A11" s="20" t="s">
        <v>76</v>
      </c>
      <c r="B11" s="20" t="s">
        <v>5</v>
      </c>
      <c r="C11" s="21" t="n">
        <v>2</v>
      </c>
      <c r="D11" s="21" t="n">
        <v>2.1</v>
      </c>
      <c r="E11" s="22" t="n">
        <v>2.2</v>
      </c>
      <c r="F11" s="22" t="n">
        <v>2.4</v>
      </c>
      <c r="G11" s="22" t="n">
        <v>2.5</v>
      </c>
      <c r="H11" s="22" t="n">
        <v>2.7</v>
      </c>
      <c r="I11" s="22" t="n">
        <v>2.8</v>
      </c>
      <c r="J11" s="22" t="n">
        <v>3</v>
      </c>
      <c r="K11" s="22" t="n">
        <v>3.1</v>
      </c>
      <c r="L11" s="22" t="n">
        <v>3.3</v>
      </c>
      <c r="M11" s="22" t="n">
        <v>3.5</v>
      </c>
      <c r="N11" s="22" t="n">
        <v>3.7</v>
      </c>
      <c r="O11" s="23" t="s">
        <v>73</v>
      </c>
    </row>
    <row r="13" customFormat="false" ht="15" hidden="false" customHeight="true" outlineLevel="0" collapsed="false">
      <c r="A13" s="18" t="s">
        <v>77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customFormat="false" ht="15" hidden="false" customHeight="true" outlineLevel="0" collapsed="false">
      <c r="A14" s="19" t="s">
        <v>78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customFormat="false" ht="15" hidden="false" customHeight="true" outlineLevel="0" collapsed="false">
      <c r="A15" s="20" t="s">
        <v>79</v>
      </c>
      <c r="B15" s="20" t="s">
        <v>5</v>
      </c>
      <c r="C15" s="24" t="n">
        <f aca="false">C16+C17+C18+C19</f>
        <v>339.2</v>
      </c>
      <c r="D15" s="24" t="n">
        <f aca="false">D16+D17+D18+D19</f>
        <v>348.4</v>
      </c>
      <c r="E15" s="22" t="n">
        <v>145</v>
      </c>
      <c r="F15" s="22" t="n">
        <v>156</v>
      </c>
      <c r="G15" s="22" t="n">
        <v>168</v>
      </c>
      <c r="H15" s="22" t="n">
        <v>180</v>
      </c>
      <c r="I15" s="22" t="n">
        <v>193</v>
      </c>
      <c r="J15" s="22" t="n">
        <v>207</v>
      </c>
      <c r="K15" s="22" t="n">
        <v>222</v>
      </c>
      <c r="L15" s="22" t="n">
        <v>238</v>
      </c>
      <c r="M15" s="22" t="n">
        <v>256</v>
      </c>
      <c r="N15" s="22" t="n">
        <v>275</v>
      </c>
      <c r="O15" s="23" t="s">
        <v>80</v>
      </c>
    </row>
    <row r="16" customFormat="false" ht="15" hidden="false" customHeight="true" outlineLevel="0" collapsed="false">
      <c r="A16" s="20" t="s">
        <v>81</v>
      </c>
      <c r="B16" s="20" t="s">
        <v>5</v>
      </c>
      <c r="C16" s="22" t="n">
        <v>147.7</v>
      </c>
      <c r="D16" s="22" t="n">
        <v>151.2</v>
      </c>
      <c r="E16" s="22" t="n">
        <v>37</v>
      </c>
      <c r="F16" s="22" t="n">
        <v>40</v>
      </c>
      <c r="G16" s="22" t="n">
        <v>43</v>
      </c>
      <c r="H16" s="22" t="n">
        <v>46</v>
      </c>
      <c r="I16" s="22" t="n">
        <v>49</v>
      </c>
      <c r="J16" s="22" t="n">
        <v>53</v>
      </c>
      <c r="K16" s="22" t="n">
        <v>57</v>
      </c>
      <c r="L16" s="22" t="n">
        <v>61</v>
      </c>
      <c r="M16" s="22" t="n">
        <v>65</v>
      </c>
      <c r="N16" s="22" t="n">
        <v>70</v>
      </c>
      <c r="O16" s="23" t="s">
        <v>82</v>
      </c>
    </row>
    <row r="17" customFormat="false" ht="15" hidden="false" customHeight="true" outlineLevel="0" collapsed="false">
      <c r="A17" s="20" t="s">
        <v>83</v>
      </c>
      <c r="B17" s="20" t="s">
        <v>5</v>
      </c>
      <c r="C17" s="21" t="n">
        <v>108.1</v>
      </c>
      <c r="D17" s="22" t="n">
        <v>111.2</v>
      </c>
      <c r="E17" s="22" t="n">
        <v>58</v>
      </c>
      <c r="F17" s="22" t="n">
        <v>61</v>
      </c>
      <c r="G17" s="22" t="n">
        <v>64</v>
      </c>
      <c r="H17" s="22" t="n">
        <v>68</v>
      </c>
      <c r="I17" s="22" t="n">
        <v>72</v>
      </c>
      <c r="J17" s="22" t="n">
        <v>76</v>
      </c>
      <c r="K17" s="22" t="n">
        <v>80</v>
      </c>
      <c r="L17" s="22" t="n">
        <v>84</v>
      </c>
      <c r="M17" s="22" t="n">
        <v>89</v>
      </c>
      <c r="N17" s="22" t="n">
        <v>94</v>
      </c>
      <c r="O17" s="23" t="s">
        <v>84</v>
      </c>
    </row>
    <row r="18" customFormat="false" ht="15" hidden="false" customHeight="true" outlineLevel="0" collapsed="false">
      <c r="A18" s="20" t="s">
        <v>85</v>
      </c>
      <c r="B18" s="20" t="s">
        <v>5</v>
      </c>
      <c r="C18" s="21" t="n">
        <v>64.6</v>
      </c>
      <c r="D18" s="22" t="n">
        <v>66.3</v>
      </c>
      <c r="E18" s="22" t="n">
        <v>67</v>
      </c>
      <c r="F18" s="22" t="n">
        <v>70</v>
      </c>
      <c r="G18" s="22" t="n">
        <v>73</v>
      </c>
      <c r="H18" s="22" t="n">
        <v>77</v>
      </c>
      <c r="I18" s="22" t="n">
        <v>81</v>
      </c>
      <c r="J18" s="22" t="n">
        <v>85</v>
      </c>
      <c r="K18" s="22" t="n">
        <v>89</v>
      </c>
      <c r="L18" s="22" t="n">
        <v>94</v>
      </c>
      <c r="M18" s="22" t="n">
        <v>99</v>
      </c>
      <c r="N18" s="22" t="n">
        <v>104</v>
      </c>
      <c r="O18" s="23" t="s">
        <v>86</v>
      </c>
    </row>
    <row r="19" customFormat="false" ht="15" hidden="false" customHeight="true" outlineLevel="0" collapsed="false">
      <c r="A19" s="20" t="s">
        <v>87</v>
      </c>
      <c r="B19" s="20" t="s">
        <v>5</v>
      </c>
      <c r="C19" s="21" t="n">
        <v>18.8</v>
      </c>
      <c r="D19" s="22" t="n">
        <v>19.7</v>
      </c>
      <c r="E19" s="22" t="n">
        <v>14</v>
      </c>
      <c r="F19" s="22" t="n">
        <v>16</v>
      </c>
      <c r="G19" s="22" t="n">
        <v>19</v>
      </c>
      <c r="H19" s="22" t="n">
        <v>22</v>
      </c>
      <c r="I19" s="22" t="n">
        <v>25</v>
      </c>
      <c r="J19" s="22" t="n">
        <v>29</v>
      </c>
      <c r="K19" s="22" t="n">
        <v>33</v>
      </c>
      <c r="L19" s="22" t="n">
        <v>37</v>
      </c>
      <c r="M19" s="22" t="n">
        <v>42</v>
      </c>
      <c r="N19" s="22" t="n">
        <v>47</v>
      </c>
      <c r="O19" s="23" t="s">
        <v>88</v>
      </c>
    </row>
    <row r="20" customFormat="false" ht="15" hidden="false" customHeight="true" outlineLevel="0" collapsed="false">
      <c r="A20" s="25" t="s">
        <v>89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customFormat="false" ht="15" hidden="false" customHeight="true" outlineLevel="0" collapsed="false">
      <c r="A21" s="18" t="s">
        <v>90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customFormat="false" ht="15" hidden="false" customHeight="true" outlineLevel="0" collapsed="false">
      <c r="A22" s="19" t="s">
        <v>91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customFormat="false" ht="15" hidden="false" customHeight="true" outlineLevel="0" collapsed="false">
      <c r="A23" s="20" t="s">
        <v>92</v>
      </c>
      <c r="B23" s="20" t="s">
        <v>8</v>
      </c>
      <c r="C23" s="26" t="n">
        <v>213.3</v>
      </c>
      <c r="D23" s="26" t="n">
        <v>374.5</v>
      </c>
      <c r="O23" s="23" t="s">
        <v>93</v>
      </c>
    </row>
    <row r="24" customFormat="false" ht="15" hidden="false" customHeight="true" outlineLevel="0" collapsed="false">
      <c r="A24" s="20" t="s">
        <v>94</v>
      </c>
      <c r="B24" s="20" t="s">
        <v>8</v>
      </c>
      <c r="C24" s="26" t="n">
        <v>180</v>
      </c>
      <c r="D24" s="26" t="n">
        <v>390</v>
      </c>
      <c r="O24" s="23" t="s">
        <v>95</v>
      </c>
    </row>
    <row r="25" customFormat="false" ht="15" hidden="false" customHeight="true" outlineLevel="0" collapsed="false">
      <c r="A25" s="20" t="s">
        <v>96</v>
      </c>
      <c r="B25" s="20" t="s">
        <v>8</v>
      </c>
      <c r="D25" s="26" t="n">
        <v>450</v>
      </c>
      <c r="O25" s="23" t="s">
        <v>97</v>
      </c>
    </row>
    <row r="26" customFormat="false" ht="15" hidden="false" customHeight="true" outlineLevel="0" collapsed="false">
      <c r="A26" s="20" t="s">
        <v>98</v>
      </c>
      <c r="B26" s="20" t="s">
        <v>99</v>
      </c>
      <c r="C26" s="27" t="n">
        <v>0.37</v>
      </c>
      <c r="D26" s="27" t="n">
        <v>0.26</v>
      </c>
      <c r="O26" s="23" t="s">
        <v>100</v>
      </c>
    </row>
    <row r="27" customFormat="false" ht="15" hidden="false" customHeight="true" outlineLevel="0" collapsed="false">
      <c r="A27" s="20" t="s">
        <v>101</v>
      </c>
      <c r="B27" s="20" t="s">
        <v>99</v>
      </c>
      <c r="C27" s="27" t="n">
        <v>0.63</v>
      </c>
      <c r="D27" s="27" t="n">
        <v>0.74</v>
      </c>
      <c r="O27" s="23" t="s">
        <v>102</v>
      </c>
    </row>
    <row r="29" customFormat="false" ht="15" hidden="false" customHeight="true" outlineLevel="0" collapsed="false">
      <c r="A29" s="19" t="s">
        <v>103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customFormat="false" ht="15" hidden="false" customHeight="true" outlineLevel="0" collapsed="false">
      <c r="A30" s="4" t="s">
        <v>104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customFormat="false" ht="15" hidden="false" customHeight="true" outlineLevel="0" collapsed="false">
      <c r="A31" s="20" t="s">
        <v>105</v>
      </c>
      <c r="B31" s="20" t="s">
        <v>8</v>
      </c>
      <c r="C31" s="28" t="n">
        <f aca="false">C84*C26</f>
        <v>41.81</v>
      </c>
      <c r="D31" s="28" t="n">
        <f aca="false">D84*D26</f>
        <v>58.76</v>
      </c>
      <c r="O31" s="23" t="s">
        <v>106</v>
      </c>
    </row>
    <row r="32" customFormat="false" ht="15" hidden="false" customHeight="true" outlineLevel="0" collapsed="false">
      <c r="A32" s="20" t="s">
        <v>107</v>
      </c>
      <c r="B32" s="20" t="s">
        <v>8</v>
      </c>
      <c r="C32" s="28" t="n">
        <f aca="false">C87*C26</f>
        <v>2.035</v>
      </c>
      <c r="D32" s="28" t="n">
        <f aca="false">D87*D26</f>
        <v>2.86</v>
      </c>
      <c r="O32" s="23" t="s">
        <v>106</v>
      </c>
    </row>
    <row r="33" customFormat="false" ht="15" hidden="false" customHeight="true" outlineLevel="0" collapsed="false">
      <c r="A33" s="20" t="s">
        <v>108</v>
      </c>
      <c r="B33" s="20" t="s">
        <v>8</v>
      </c>
      <c r="C33" s="28" t="n">
        <f aca="false">C86*C26</f>
        <v>14.06</v>
      </c>
      <c r="D33" s="28" t="n">
        <f aca="false">D86*D26</f>
        <v>19.76</v>
      </c>
      <c r="O33" s="23" t="s">
        <v>106</v>
      </c>
    </row>
    <row r="34" customFormat="false" ht="15" hidden="false" customHeight="true" outlineLevel="0" collapsed="false">
      <c r="A34" s="20" t="s">
        <v>109</v>
      </c>
      <c r="B34" s="20" t="s">
        <v>8</v>
      </c>
      <c r="C34" s="28" t="n">
        <f aca="false">C85*C26</f>
        <v>14.06</v>
      </c>
      <c r="D34" s="28" t="n">
        <f aca="false">D85*D26</f>
        <v>20.02</v>
      </c>
      <c r="O34" s="23" t="s">
        <v>106</v>
      </c>
    </row>
    <row r="35" customFormat="false" ht="15" hidden="false" customHeight="true" outlineLevel="0" collapsed="false">
      <c r="A35" s="29" t="s">
        <v>110</v>
      </c>
      <c r="B35" s="1" t="s">
        <v>8</v>
      </c>
      <c r="C35" s="30" t="n">
        <f aca="false">SUM(C31:C34)</f>
        <v>71.965</v>
      </c>
      <c r="D35" s="30" t="n">
        <f aca="false">SUM(D31:D34)</f>
        <v>101.4</v>
      </c>
      <c r="O35" s="23" t="s">
        <v>111</v>
      </c>
    </row>
    <row r="37" customFormat="false" ht="15" hidden="false" customHeight="true" outlineLevel="0" collapsed="false">
      <c r="A37" s="19" t="s">
        <v>112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customFormat="false" ht="15" hidden="false" customHeight="true" outlineLevel="0" collapsed="false">
      <c r="A38" s="4" t="s">
        <v>113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customFormat="false" ht="15" hidden="false" customHeight="true" outlineLevel="0" collapsed="false">
      <c r="A39" s="20" t="s">
        <v>105</v>
      </c>
      <c r="B39" s="20" t="s">
        <v>8</v>
      </c>
      <c r="C39" s="28" t="n">
        <f aca="false">C84*C27</f>
        <v>71.19</v>
      </c>
      <c r="D39" s="28" t="n">
        <f aca="false">D84*D27</f>
        <v>167.24</v>
      </c>
      <c r="O39" s="23" t="s">
        <v>114</v>
      </c>
    </row>
    <row r="40" customFormat="false" ht="15" hidden="false" customHeight="true" outlineLevel="0" collapsed="false">
      <c r="A40" s="20" t="s">
        <v>107</v>
      </c>
      <c r="B40" s="20" t="s">
        <v>8</v>
      </c>
      <c r="C40" s="28" t="n">
        <f aca="false">C87*C27</f>
        <v>3.465</v>
      </c>
      <c r="D40" s="28" t="n">
        <f aca="false">D87*D27</f>
        <v>8.14</v>
      </c>
      <c r="O40" s="23" t="s">
        <v>114</v>
      </c>
    </row>
    <row r="41" customFormat="false" ht="15" hidden="false" customHeight="true" outlineLevel="0" collapsed="false">
      <c r="A41" s="20" t="s">
        <v>108</v>
      </c>
      <c r="B41" s="20" t="s">
        <v>8</v>
      </c>
      <c r="C41" s="28" t="n">
        <f aca="false">C86*C27</f>
        <v>23.94</v>
      </c>
      <c r="D41" s="28" t="n">
        <f aca="false">D86*D27</f>
        <v>56.24</v>
      </c>
      <c r="O41" s="23" t="s">
        <v>114</v>
      </c>
    </row>
    <row r="42" customFormat="false" ht="15" hidden="false" customHeight="true" outlineLevel="0" collapsed="false">
      <c r="A42" s="20" t="s">
        <v>109</v>
      </c>
      <c r="B42" s="20" t="s">
        <v>8</v>
      </c>
      <c r="C42" s="28" t="n">
        <f aca="false">C85*C27</f>
        <v>23.94</v>
      </c>
      <c r="D42" s="28" t="n">
        <f aca="false">D85*D27</f>
        <v>56.98</v>
      </c>
      <c r="O42" s="23" t="s">
        <v>114</v>
      </c>
    </row>
    <row r="43" customFormat="false" ht="15" hidden="false" customHeight="true" outlineLevel="0" collapsed="false">
      <c r="A43" s="29" t="s">
        <v>115</v>
      </c>
      <c r="B43" s="1" t="s">
        <v>8</v>
      </c>
      <c r="C43" s="30" t="n">
        <f aca="false">SUM(C39:C42)</f>
        <v>122.535</v>
      </c>
      <c r="D43" s="30" t="n">
        <f aca="false">SUM(D39:D42)</f>
        <v>288.6</v>
      </c>
    </row>
    <row r="45" customFormat="false" ht="15" hidden="false" customHeight="true" outlineLevel="0" collapsed="false">
      <c r="A45" s="3" t="s">
        <v>116</v>
      </c>
      <c r="B45" s="1" t="s">
        <v>8</v>
      </c>
      <c r="C45" s="31" t="n">
        <f aca="false">C35+C43</f>
        <v>194.5</v>
      </c>
      <c r="D45" s="31" t="n">
        <f aca="false">D35+D43</f>
        <v>390</v>
      </c>
      <c r="O45" s="23" t="s">
        <v>117</v>
      </c>
    </row>
    <row r="47" customFormat="false" ht="15" hidden="false" customHeight="true" outlineLevel="0" collapsed="false">
      <c r="A47" s="18" t="s">
        <v>118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customFormat="false" ht="15" hidden="false" customHeight="true" outlineLevel="0" collapsed="false">
      <c r="A48" s="19" t="s">
        <v>119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customFormat="false" ht="15" hidden="false" customHeight="true" outlineLevel="0" collapsed="false">
      <c r="A49" s="20" t="s">
        <v>120</v>
      </c>
      <c r="B49" s="1" t="s">
        <v>99</v>
      </c>
      <c r="C49" s="32" t="n">
        <f aca="false">C31/(C8*1000)</f>
        <v>0.00132730158730159</v>
      </c>
      <c r="D49" s="32" t="n">
        <f aca="false">D31/(D8*1000)</f>
        <v>0.00168850574712644</v>
      </c>
      <c r="O49" s="23" t="s">
        <v>121</v>
      </c>
    </row>
    <row r="50" customFormat="false" ht="15" hidden="false" customHeight="true" outlineLevel="0" collapsed="false">
      <c r="A50" s="20" t="s">
        <v>122</v>
      </c>
      <c r="B50" s="1" t="s">
        <v>99</v>
      </c>
      <c r="C50" s="32" t="n">
        <f aca="false">C32/(C9*1000)</f>
        <v>0.00107105263157895</v>
      </c>
      <c r="D50" s="32" t="n">
        <f aca="false">D32/(D9*1000)</f>
        <v>0.00136190476190476</v>
      </c>
    </row>
    <row r="51" customFormat="false" ht="15" hidden="false" customHeight="true" outlineLevel="0" collapsed="false">
      <c r="A51" s="20" t="s">
        <v>123</v>
      </c>
      <c r="B51" s="1" t="s">
        <v>99</v>
      </c>
      <c r="C51" s="32" t="n">
        <f aca="false">C33/(C10*1000)</f>
        <v>0.00312444444444444</v>
      </c>
      <c r="D51" s="32" t="n">
        <f aca="false">D33/(D10*1000)</f>
        <v>0.00403265306122449</v>
      </c>
    </row>
    <row r="52" customFormat="false" ht="15" hidden="false" customHeight="true" outlineLevel="0" collapsed="false">
      <c r="A52" s="20" t="s">
        <v>124</v>
      </c>
      <c r="B52" s="1" t="s">
        <v>99</v>
      </c>
      <c r="C52" s="32" t="n">
        <f aca="false">C34/(C11*1000)</f>
        <v>0.00703</v>
      </c>
      <c r="D52" s="32" t="n">
        <f aca="false">D34/(D11*1000)</f>
        <v>0.00953333333333333</v>
      </c>
    </row>
    <row r="54" customFormat="false" ht="15" hidden="false" customHeight="true" outlineLevel="0" collapsed="false">
      <c r="A54" s="19" t="s">
        <v>125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customFormat="false" ht="15" hidden="false" customHeight="true" outlineLevel="0" collapsed="false">
      <c r="A55" s="20" t="s">
        <v>120</v>
      </c>
      <c r="B55" s="1" t="s">
        <v>99</v>
      </c>
      <c r="C55" s="32" t="n">
        <f aca="false">C39/(C16*1000)</f>
        <v>0.000481990521327014</v>
      </c>
      <c r="D55" s="32" t="n">
        <f aca="false">D39/(D16*1000)</f>
        <v>0.00110608465608466</v>
      </c>
      <c r="O55" s="23" t="s">
        <v>121</v>
      </c>
    </row>
    <row r="56" customFormat="false" ht="15" hidden="false" customHeight="true" outlineLevel="0" collapsed="false">
      <c r="A56" s="20" t="s">
        <v>122</v>
      </c>
      <c r="B56" s="1" t="s">
        <v>99</v>
      </c>
      <c r="C56" s="32" t="n">
        <f aca="false">C40/(C17*1000)</f>
        <v>3.20536540240518E-005</v>
      </c>
      <c r="D56" s="32" t="n">
        <f aca="false">D40/(D17*1000)</f>
        <v>7.32014388489209E-005</v>
      </c>
    </row>
    <row r="57" customFormat="false" ht="15" hidden="false" customHeight="true" outlineLevel="0" collapsed="false">
      <c r="A57" s="20" t="s">
        <v>123</v>
      </c>
      <c r="B57" s="1" t="s">
        <v>99</v>
      </c>
      <c r="C57" s="32" t="n">
        <f aca="false">C41/(C18*1000)</f>
        <v>0.000370588235294118</v>
      </c>
      <c r="D57" s="32" t="n">
        <f aca="false">D41/(D18*1000)</f>
        <v>0.000848265460030166</v>
      </c>
    </row>
    <row r="58" customFormat="false" ht="15" hidden="false" customHeight="true" outlineLevel="0" collapsed="false">
      <c r="A58" s="20" t="s">
        <v>124</v>
      </c>
      <c r="B58" s="1" t="s">
        <v>99</v>
      </c>
      <c r="C58" s="32" t="n">
        <f aca="false">C42/(C19*1000)</f>
        <v>0.00127340425531915</v>
      </c>
      <c r="D58" s="32" t="n">
        <f aca="false">D42/(D19*1000)</f>
        <v>0.00289238578680203</v>
      </c>
    </row>
    <row r="60" customFormat="false" ht="15" hidden="false" customHeight="true" outlineLevel="0" collapsed="false">
      <c r="A60" s="18" t="s">
        <v>126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customFormat="false" ht="15" hidden="false" customHeight="true" outlineLevel="0" collapsed="false">
      <c r="A61" s="33" t="s">
        <v>127</v>
      </c>
    </row>
    <row r="62" customFormat="false" ht="15" hidden="false" customHeight="true" outlineLevel="0" collapsed="false">
      <c r="A62" s="33" t="s">
        <v>128</v>
      </c>
    </row>
    <row r="64" customFormat="false" ht="15" hidden="false" customHeight="true" outlineLevel="0" collapsed="false">
      <c r="A64" s="18" t="s">
        <v>129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 customFormat="false" ht="15" hidden="false" customHeight="true" outlineLevel="0" collapsed="false">
      <c r="A65" s="34" t="s">
        <v>130</v>
      </c>
      <c r="C65" s="17" t="s">
        <v>131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customFormat="false" ht="15" hidden="false" customHeight="true" outlineLevel="0" collapsed="false">
      <c r="A66" s="34" t="s">
        <v>132</v>
      </c>
      <c r="C66" s="17" t="s">
        <v>133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customFormat="false" ht="15" hidden="false" customHeight="true" outlineLevel="0" collapsed="false">
      <c r="A67" s="34" t="s">
        <v>134</v>
      </c>
      <c r="C67" s="17" t="s">
        <v>135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customFormat="false" ht="15" hidden="false" customHeight="true" outlineLevel="0" collapsed="false">
      <c r="A68" s="34" t="s">
        <v>136</v>
      </c>
      <c r="C68" s="17" t="s">
        <v>137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customFormat="false" ht="15" hidden="false" customHeight="true" outlineLevel="0" collapsed="false">
      <c r="A69" s="34" t="s">
        <v>138</v>
      </c>
      <c r="C69" s="17" t="s">
        <v>139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customFormat="false" ht="15" hidden="false" customHeight="true" outlineLevel="0" collapsed="false">
      <c r="A70" s="34" t="s">
        <v>140</v>
      </c>
      <c r="C70" s="17" t="s">
        <v>141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customFormat="false" ht="15" hidden="false" customHeight="true" outlineLevel="0" collapsed="false">
      <c r="A71" s="34" t="s">
        <v>142</v>
      </c>
      <c r="C71" s="17" t="s">
        <v>143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 customFormat="false" ht="15" hidden="false" customHeight="true" outlineLevel="0" collapsed="false">
      <c r="A72" s="34" t="s">
        <v>144</v>
      </c>
      <c r="C72" s="17" t="s">
        <v>145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customFormat="false" ht="15" hidden="false" customHeight="true" outlineLevel="0" collapsed="false">
      <c r="A73" s="34" t="s">
        <v>146</v>
      </c>
      <c r="C73" s="17" t="s">
        <v>147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customFormat="false" ht="15" hidden="false" customHeight="true" outlineLevel="0" collapsed="false">
      <c r="A74" s="34" t="s">
        <v>148</v>
      </c>
      <c r="C74" s="17" t="s">
        <v>149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customFormat="false" ht="15" hidden="false" customHeight="true" outlineLevel="0" collapsed="false">
      <c r="A75" s="34" t="s">
        <v>150</v>
      </c>
      <c r="C75" s="17" t="s">
        <v>151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customFormat="false" ht="15" hidden="false" customHeight="true" outlineLevel="0" collapsed="false">
      <c r="A76" s="34" t="s">
        <v>152</v>
      </c>
      <c r="C76" s="17" t="s">
        <v>153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8" customFormat="false" ht="15" hidden="false" customHeight="true" outlineLevel="0" collapsed="false">
      <c r="A78" s="18" t="s">
        <v>154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customFormat="false" ht="15" hidden="false" customHeight="true" outlineLevel="0" collapsed="false">
      <c r="A79" s="35" t="s">
        <v>155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</row>
    <row r="80" customFormat="false" ht="15" hidden="false" customHeight="true" outlineLevel="0" collapsed="false">
      <c r="A80" s="35" t="s">
        <v>156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</row>
    <row r="81" customFormat="false" ht="15" hidden="false" customHeight="true" outlineLevel="0" collapsed="false">
      <c r="A81" s="36" t="s">
        <v>157</v>
      </c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</row>
    <row r="82" customFormat="false" ht="15" hidden="false" customHeight="true" outlineLevel="0" collapsed="false">
      <c r="A82" s="37" t="s">
        <v>1</v>
      </c>
      <c r="B82" s="37" t="s">
        <v>2</v>
      </c>
      <c r="C82" s="37" t="s">
        <v>158</v>
      </c>
      <c r="D82" s="37" t="s">
        <v>159</v>
      </c>
      <c r="O82" s="37" t="s">
        <v>160</v>
      </c>
    </row>
    <row r="83" customFormat="false" ht="15" hidden="false" customHeight="true" outlineLevel="0" collapsed="false">
      <c r="A83" s="19" t="s">
        <v>161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</row>
    <row r="84" customFormat="false" ht="15" hidden="false" customHeight="true" outlineLevel="0" collapsed="false">
      <c r="A84" s="1" t="s">
        <v>162</v>
      </c>
      <c r="B84" s="1" t="s">
        <v>8</v>
      </c>
      <c r="C84" s="38" t="n">
        <v>113</v>
      </c>
      <c r="D84" s="26" t="n">
        <v>226</v>
      </c>
      <c r="O84" s="23" t="s">
        <v>163</v>
      </c>
    </row>
    <row r="85" customFormat="false" ht="15" hidden="false" customHeight="true" outlineLevel="0" collapsed="false">
      <c r="A85" s="1" t="s">
        <v>164</v>
      </c>
      <c r="B85" s="1" t="s">
        <v>8</v>
      </c>
      <c r="C85" s="38" t="n">
        <v>38</v>
      </c>
      <c r="D85" s="26" t="n">
        <v>77</v>
      </c>
      <c r="O85" s="23" t="s">
        <v>165</v>
      </c>
    </row>
    <row r="86" customFormat="false" ht="15" hidden="false" customHeight="true" outlineLevel="0" collapsed="false">
      <c r="A86" s="1" t="s">
        <v>166</v>
      </c>
      <c r="B86" s="1" t="s">
        <v>8</v>
      </c>
      <c r="C86" s="38" t="n">
        <v>38</v>
      </c>
      <c r="D86" s="26" t="n">
        <v>76</v>
      </c>
      <c r="O86" s="23" t="s">
        <v>167</v>
      </c>
    </row>
    <row r="87" customFormat="false" ht="15" hidden="false" customHeight="true" outlineLevel="0" collapsed="false">
      <c r="A87" s="1" t="s">
        <v>168</v>
      </c>
      <c r="B87" s="1" t="s">
        <v>8</v>
      </c>
      <c r="C87" s="38" t="n">
        <v>5.5</v>
      </c>
      <c r="D87" s="26" t="n">
        <v>11</v>
      </c>
      <c r="O87" s="23" t="s">
        <v>169</v>
      </c>
    </row>
    <row r="88" customFormat="false" ht="15" hidden="false" customHeight="true" outlineLevel="0" collapsed="false">
      <c r="A88" s="1" t="s">
        <v>170</v>
      </c>
      <c r="B88" s="1" t="s">
        <v>8</v>
      </c>
      <c r="C88" s="38" t="n">
        <v>195</v>
      </c>
      <c r="D88" s="26" t="n">
        <v>390</v>
      </c>
      <c r="O88" s="23" t="s">
        <v>171</v>
      </c>
    </row>
    <row r="89" customFormat="false" ht="15" hidden="false" customHeight="true" outlineLevel="0" collapsed="false">
      <c r="A89" s="19" t="s">
        <v>172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</row>
    <row r="90" customFormat="false" ht="15" hidden="false" customHeight="true" outlineLevel="0" collapsed="false">
      <c r="A90" s="1" t="s">
        <v>173</v>
      </c>
      <c r="B90" s="1" t="s">
        <v>99</v>
      </c>
      <c r="C90" s="39" t="n">
        <v>0.0001</v>
      </c>
      <c r="D90" s="40" t="n">
        <v>0.0001</v>
      </c>
      <c r="O90" s="23" t="s">
        <v>174</v>
      </c>
    </row>
    <row r="91" customFormat="false" ht="15" hidden="false" customHeight="true" outlineLevel="0" collapsed="false">
      <c r="A91" s="1" t="s">
        <v>175</v>
      </c>
      <c r="B91" s="1" t="s">
        <v>99</v>
      </c>
      <c r="C91" s="39" t="n">
        <v>0.0037</v>
      </c>
      <c r="D91" s="40" t="n">
        <v>0.0037</v>
      </c>
      <c r="O91" s="23" t="s">
        <v>176</v>
      </c>
    </row>
    <row r="92" customFormat="false" ht="15" hidden="false" customHeight="true" outlineLevel="0" collapsed="false">
      <c r="A92" s="1" t="s">
        <v>177</v>
      </c>
      <c r="B92" s="1" t="s">
        <v>99</v>
      </c>
      <c r="C92" s="39" t="n">
        <v>0.0011</v>
      </c>
      <c r="D92" s="40" t="n">
        <v>0.0011</v>
      </c>
      <c r="O92" s="23" t="s">
        <v>178</v>
      </c>
    </row>
    <row r="93" customFormat="false" ht="15" hidden="false" customHeight="true" outlineLevel="0" collapsed="false">
      <c r="A93" s="1" t="s">
        <v>179</v>
      </c>
      <c r="B93" s="1" t="s">
        <v>99</v>
      </c>
      <c r="C93" s="39" t="n">
        <v>0.0001</v>
      </c>
      <c r="D93" s="40" t="n">
        <v>0.0001</v>
      </c>
      <c r="O93" s="23" t="s">
        <v>180</v>
      </c>
    </row>
    <row r="94" customFormat="false" ht="15" hidden="false" customHeight="true" outlineLevel="0" collapsed="false">
      <c r="A94" s="1" t="s">
        <v>181</v>
      </c>
      <c r="B94" s="1" t="s">
        <v>99</v>
      </c>
      <c r="C94" s="39" t="n">
        <v>0.0002</v>
      </c>
      <c r="D94" s="40" t="n">
        <v>0.0002</v>
      </c>
      <c r="O94" s="23" t="s">
        <v>182</v>
      </c>
    </row>
    <row r="95" customFormat="false" ht="15" hidden="false" customHeight="true" outlineLevel="0" collapsed="false">
      <c r="A95" s="19" t="s">
        <v>183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</row>
    <row r="96" customFormat="false" ht="15" hidden="false" customHeight="true" outlineLevel="0" collapsed="false">
      <c r="A96" s="1" t="s">
        <v>184</v>
      </c>
      <c r="B96" s="1" t="s">
        <v>5</v>
      </c>
      <c r="D96" s="26" t="n">
        <v>2260</v>
      </c>
      <c r="O96" s="23" t="s">
        <v>185</v>
      </c>
    </row>
    <row r="97" customFormat="false" ht="15" hidden="false" customHeight="true" outlineLevel="0" collapsed="false">
      <c r="A97" s="1" t="s">
        <v>186</v>
      </c>
      <c r="B97" s="1" t="s">
        <v>5</v>
      </c>
      <c r="D97" s="26" t="n">
        <v>20.8</v>
      </c>
      <c r="O97" s="23" t="s">
        <v>187</v>
      </c>
    </row>
    <row r="98" customFormat="false" ht="15" hidden="false" customHeight="true" outlineLevel="0" collapsed="false">
      <c r="A98" s="1" t="s">
        <v>188</v>
      </c>
      <c r="B98" s="1" t="s">
        <v>5</v>
      </c>
      <c r="D98" s="26" t="n">
        <v>69.1</v>
      </c>
      <c r="O98" s="23" t="s">
        <v>189</v>
      </c>
    </row>
    <row r="99" customFormat="false" ht="15" hidden="false" customHeight="true" outlineLevel="0" collapsed="false">
      <c r="A99" s="1" t="s">
        <v>190</v>
      </c>
      <c r="B99" s="1" t="s">
        <v>5</v>
      </c>
      <c r="D99" s="26" t="n">
        <v>110</v>
      </c>
      <c r="O99" s="23" t="s">
        <v>191</v>
      </c>
    </row>
    <row r="100" customFormat="false" ht="15" hidden="false" customHeight="true" outlineLevel="0" collapsed="false">
      <c r="A100" s="1" t="s">
        <v>192</v>
      </c>
      <c r="B100" s="1" t="s">
        <v>5</v>
      </c>
      <c r="C100" s="38" t="n">
        <v>147.7</v>
      </c>
      <c r="D100" s="26" t="n">
        <v>151.2</v>
      </c>
      <c r="O100" s="23" t="s">
        <v>193</v>
      </c>
    </row>
    <row r="101" customFormat="false" ht="15" hidden="false" customHeight="true" outlineLevel="0" collapsed="false">
      <c r="A101" s="1" t="s">
        <v>194</v>
      </c>
      <c r="B101" s="1" t="s">
        <v>5</v>
      </c>
      <c r="C101" s="38" t="n">
        <v>108.1</v>
      </c>
      <c r="D101" s="26" t="n">
        <v>111.2</v>
      </c>
      <c r="O101" s="23" t="s">
        <v>195</v>
      </c>
    </row>
    <row r="102" customFormat="false" ht="15" hidden="false" customHeight="true" outlineLevel="0" collapsed="false">
      <c r="A102" s="1" t="s">
        <v>196</v>
      </c>
      <c r="B102" s="1" t="s">
        <v>5</v>
      </c>
      <c r="C102" s="38" t="n">
        <v>64.6</v>
      </c>
      <c r="D102" s="26" t="n">
        <v>66.3</v>
      </c>
      <c r="O102" s="23" t="s">
        <v>197</v>
      </c>
    </row>
    <row r="103" customFormat="false" ht="15" hidden="false" customHeight="true" outlineLevel="0" collapsed="false">
      <c r="A103" s="1" t="s">
        <v>198</v>
      </c>
      <c r="B103" s="1" t="s">
        <v>5</v>
      </c>
      <c r="C103" s="38" t="n">
        <v>18.8</v>
      </c>
      <c r="D103" s="26" t="n">
        <v>19.7</v>
      </c>
      <c r="O103" s="23" t="s">
        <v>199</v>
      </c>
    </row>
  </sheetData>
  <mergeCells count="16">
    <mergeCell ref="A20:O20"/>
    <mergeCell ref="C65:O65"/>
    <mergeCell ref="C66:O66"/>
    <mergeCell ref="C67:O67"/>
    <mergeCell ref="C68:O68"/>
    <mergeCell ref="C69:O69"/>
    <mergeCell ref="C70:O70"/>
    <mergeCell ref="C71:O71"/>
    <mergeCell ref="C72:O72"/>
    <mergeCell ref="C73:O73"/>
    <mergeCell ref="C74:O74"/>
    <mergeCell ref="C75:O75"/>
    <mergeCell ref="C76:O76"/>
    <mergeCell ref="A79:O79"/>
    <mergeCell ref="A80:O80"/>
    <mergeCell ref="A81:O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4" t="s">
        <v>62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</row>
    <row r="5" customFormat="false" ht="15" hidden="false" customHeight="true" outlineLevel="0" collapsed="false">
      <c r="A5" s="4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4" t="s">
        <v>62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</row>
    <row r="5" customFormat="false" ht="15" hidden="false" customHeight="true" outlineLevel="0" collapsed="false">
      <c r="A5" s="4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9"/>
    <col collapsed="false" customWidth="true" hidden="false" outlineLevel="0" max="13" min="3" style="0" width="13"/>
    <col collapsed="false" customWidth="true" hidden="false" outlineLevel="0" max="14" min="14" style="0" width="70"/>
  </cols>
  <sheetData>
    <row r="1" customFormat="false" ht="15" hidden="false" customHeight="false" outlineLevel="0" collapsed="false">
      <c r="A1" s="42" t="s">
        <v>203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customFormat="false" ht="15" hidden="false" customHeight="false" outlineLevel="0" collapsed="false">
      <c r="A2" s="43" t="s">
        <v>204</v>
      </c>
    </row>
    <row r="3" customFormat="false" ht="15" hidden="false" customHeight="false" outlineLevel="0" collapsed="false">
      <c r="A3" s="4" t="s">
        <v>62</v>
      </c>
      <c r="B3" s="4" t="s">
        <v>2</v>
      </c>
      <c r="C3" s="5" t="n">
        <v>2025</v>
      </c>
      <c r="D3" s="5" t="n">
        <v>2026</v>
      </c>
      <c r="E3" s="5" t="n">
        <v>2027</v>
      </c>
      <c r="F3" s="5" t="n">
        <v>2028</v>
      </c>
      <c r="G3" s="5" t="n">
        <v>2029</v>
      </c>
      <c r="H3" s="5" t="n">
        <v>2030</v>
      </c>
      <c r="I3" s="5" t="n">
        <v>2031</v>
      </c>
      <c r="J3" s="5" t="n">
        <v>2032</v>
      </c>
      <c r="K3" s="5" t="n">
        <v>2033</v>
      </c>
      <c r="L3" s="5" t="n">
        <v>2034</v>
      </c>
      <c r="M3" s="5" t="n">
        <v>2035</v>
      </c>
      <c r="N3" s="4" t="s">
        <v>205</v>
      </c>
    </row>
    <row r="4" customFormat="false" ht="15" hidden="false" customHeight="false" outlineLevel="0" collapsed="false">
      <c r="A4" s="42" t="s">
        <v>206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customFormat="false" ht="15" hidden="false" customHeight="false" outlineLevel="0" collapsed="false">
      <c r="A5" s="43" t="s">
        <v>207</v>
      </c>
    </row>
    <row r="6" customFormat="false" ht="15" hidden="false" customHeight="false" outlineLevel="0" collapsed="false">
      <c r="A6" s="44" t="s">
        <v>208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</row>
    <row r="7" customFormat="false" ht="15" hidden="false" customHeight="false" outlineLevel="0" collapsed="false">
      <c r="A7" s="0" t="s">
        <v>209</v>
      </c>
      <c r="B7" s="0" t="s">
        <v>8</v>
      </c>
      <c r="C7" s="45" t="n">
        <v>7480</v>
      </c>
      <c r="D7" s="45" t="n">
        <v>8228</v>
      </c>
      <c r="E7" s="45" t="n">
        <v>9051</v>
      </c>
      <c r="F7" s="45" t="n">
        <v>9956</v>
      </c>
      <c r="G7" s="45" t="n">
        <v>10952</v>
      </c>
      <c r="H7" s="45" t="n">
        <v>12047</v>
      </c>
      <c r="I7" s="45" t="n">
        <v>13252</v>
      </c>
      <c r="J7" s="45" t="n">
        <v>14577</v>
      </c>
      <c r="K7" s="45" t="n">
        <v>16035</v>
      </c>
      <c r="L7" s="45" t="n">
        <v>17638</v>
      </c>
      <c r="M7" s="45" t="n">
        <v>19402</v>
      </c>
      <c r="N7" s="46" t="s">
        <v>210</v>
      </c>
    </row>
    <row r="8" customFormat="false" ht="15" hidden="false" customHeight="false" outlineLevel="0" collapsed="false">
      <c r="A8" s="43" t="s">
        <v>211</v>
      </c>
      <c r="B8" s="43" t="s">
        <v>8</v>
      </c>
      <c r="C8" s="47" t="n">
        <v>4500</v>
      </c>
      <c r="D8" s="47" t="n">
        <v>4950</v>
      </c>
      <c r="E8" s="47" t="n">
        <v>5445</v>
      </c>
      <c r="F8" s="47" t="n">
        <v>5990</v>
      </c>
      <c r="G8" s="47" t="n">
        <v>6589</v>
      </c>
      <c r="H8" s="47" t="n">
        <v>7248</v>
      </c>
      <c r="I8" s="47" t="n">
        <v>7972</v>
      </c>
      <c r="J8" s="47" t="n">
        <v>8770</v>
      </c>
      <c r="K8" s="47" t="n">
        <v>9647</v>
      </c>
      <c r="L8" s="47" t="n">
        <v>10611</v>
      </c>
      <c r="M8" s="47" t="n">
        <v>11673</v>
      </c>
      <c r="N8" s="46" t="s">
        <v>212</v>
      </c>
    </row>
    <row r="9" customFormat="false" ht="15" hidden="false" customHeight="false" outlineLevel="0" collapsed="false">
      <c r="A9" s="43" t="s">
        <v>213</v>
      </c>
      <c r="B9" s="43" t="s">
        <v>8</v>
      </c>
      <c r="C9" s="47" t="n">
        <v>2980</v>
      </c>
      <c r="D9" s="47" t="n">
        <v>3278</v>
      </c>
      <c r="E9" s="47" t="n">
        <v>3606</v>
      </c>
      <c r="F9" s="47" t="n">
        <v>3966</v>
      </c>
      <c r="G9" s="47" t="n">
        <v>4363</v>
      </c>
      <c r="H9" s="47" t="n">
        <v>4799</v>
      </c>
      <c r="I9" s="47" t="n">
        <v>5280</v>
      </c>
      <c r="J9" s="47" t="n">
        <v>5807</v>
      </c>
      <c r="K9" s="47" t="n">
        <v>6388</v>
      </c>
      <c r="L9" s="47" t="n">
        <v>7027</v>
      </c>
      <c r="M9" s="47" t="n">
        <v>7729</v>
      </c>
      <c r="N9" s="46" t="s">
        <v>214</v>
      </c>
    </row>
    <row r="10" customFormat="false" ht="15" hidden="false" customHeight="false" outlineLevel="0" collapsed="false">
      <c r="A10" s="43" t="s">
        <v>215</v>
      </c>
      <c r="B10" s="43" t="s">
        <v>99</v>
      </c>
      <c r="C10" s="48" t="n">
        <v>0.1</v>
      </c>
      <c r="D10" s="48" t="n">
        <f aca="false">(D7/C7)-1</f>
        <v>0.1</v>
      </c>
      <c r="E10" s="48" t="n">
        <f aca="false">(E7/D7)-1</f>
        <v>0.100024307243558</v>
      </c>
      <c r="F10" s="48" t="n">
        <f aca="false">(F7/E7)-1</f>
        <v>0.0999889514970722</v>
      </c>
      <c r="G10" s="48" t="n">
        <f aca="false">(G7/F7)-1</f>
        <v>0.100040176777823</v>
      </c>
      <c r="H10" s="48" t="n">
        <f aca="false">(H7/G7)-1</f>
        <v>0.0999817384952519</v>
      </c>
      <c r="I10" s="48" t="n">
        <f aca="false">(I7/H7)-1</f>
        <v>0.100024902465344</v>
      </c>
      <c r="J10" s="48" t="n">
        <f aca="false">(J7/I7)-1</f>
        <v>0.0999849079384243</v>
      </c>
      <c r="K10" s="48" t="n">
        <f aca="false">(K7/J7)-1</f>
        <v>0.100020580366331</v>
      </c>
      <c r="L10" s="48" t="n">
        <f aca="false">(L7/K7)-1</f>
        <v>0.0999688182101652</v>
      </c>
      <c r="M10" s="48" t="n">
        <f aca="false">(M7/L7)-1</f>
        <v>0.100011339154099</v>
      </c>
    </row>
    <row r="12" customFormat="false" ht="15" hidden="false" customHeight="false" outlineLevel="0" collapsed="false">
      <c r="A12" s="44" t="s">
        <v>216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</row>
    <row r="13" customFormat="false" ht="15" hidden="false" customHeight="false" outlineLevel="0" collapsed="false">
      <c r="A13" s="0" t="s">
        <v>217</v>
      </c>
      <c r="B13" s="0" t="s">
        <v>99</v>
      </c>
      <c r="C13" s="49" t="n">
        <v>0.003</v>
      </c>
      <c r="D13" s="49" t="n">
        <v>0.01</v>
      </c>
      <c r="E13" s="49" t="n">
        <v>0.028</v>
      </c>
      <c r="F13" s="49" t="n">
        <v>0.065</v>
      </c>
      <c r="G13" s="49" t="n">
        <v>0.11</v>
      </c>
      <c r="H13" s="49" t="n">
        <v>0.165</v>
      </c>
      <c r="I13" s="49" t="n">
        <v>0.22</v>
      </c>
      <c r="J13" s="49" t="n">
        <v>0.27</v>
      </c>
      <c r="K13" s="49" t="n">
        <v>0.31</v>
      </c>
      <c r="L13" s="49" t="n">
        <v>0.345</v>
      </c>
      <c r="M13" s="49" t="n">
        <v>0.37</v>
      </c>
      <c r="N13" s="46" t="s">
        <v>218</v>
      </c>
    </row>
    <row r="14" customFormat="false" ht="15" hidden="false" customHeight="false" outlineLevel="0" collapsed="false">
      <c r="A14" s="50" t="s">
        <v>219</v>
      </c>
      <c r="B14" s="51" t="s">
        <v>8</v>
      </c>
      <c r="C14" s="52" t="n">
        <f aca="false">C7*C13</f>
        <v>22.44</v>
      </c>
      <c r="D14" s="52" t="n">
        <f aca="false">D7*D13</f>
        <v>82.28</v>
      </c>
      <c r="E14" s="52" t="n">
        <f aca="false">E7*E13</f>
        <v>253.428</v>
      </c>
      <c r="F14" s="52" t="n">
        <f aca="false">F7*F13</f>
        <v>647.14</v>
      </c>
      <c r="G14" s="52" t="n">
        <f aca="false">G7*G13</f>
        <v>1204.72</v>
      </c>
      <c r="H14" s="52" t="n">
        <f aca="false">H7*H13</f>
        <v>1987.755</v>
      </c>
      <c r="I14" s="52" t="n">
        <f aca="false">I7*I13</f>
        <v>2915.44</v>
      </c>
      <c r="J14" s="52" t="n">
        <f aca="false">J7*J13</f>
        <v>3935.79</v>
      </c>
      <c r="K14" s="52" t="n">
        <f aca="false">K7*K13</f>
        <v>4970.85</v>
      </c>
      <c r="L14" s="52" t="n">
        <f aca="false">L7*L13</f>
        <v>6085.11</v>
      </c>
      <c r="M14" s="52" t="n">
        <f aca="false">M7*M13</f>
        <v>7178.74</v>
      </c>
    </row>
    <row r="15" customFormat="false" ht="15" hidden="false" customHeight="false" outlineLevel="0" collapsed="false">
      <c r="A15" s="43" t="s">
        <v>220</v>
      </c>
      <c r="B15" s="43" t="s">
        <v>8</v>
      </c>
      <c r="H15" s="53" t="n">
        <v>3000</v>
      </c>
      <c r="I15" s="53" t="n">
        <v>5000</v>
      </c>
      <c r="N15" s="46" t="s">
        <v>221</v>
      </c>
    </row>
    <row r="17" customFormat="false" ht="15" hidden="false" customHeight="false" outlineLevel="0" collapsed="false">
      <c r="A17" s="44" t="s">
        <v>222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customFormat="false" ht="15" hidden="false" customHeight="false" outlineLevel="0" collapsed="false">
      <c r="A18" s="0" t="s">
        <v>223</v>
      </c>
      <c r="B18" s="0" t="s">
        <v>99</v>
      </c>
      <c r="C18" s="49" t="n">
        <v>0.02</v>
      </c>
      <c r="D18" s="49" t="n">
        <v>0.04</v>
      </c>
      <c r="E18" s="49" t="n">
        <v>0.07</v>
      </c>
      <c r="F18" s="49" t="n">
        <v>0.11</v>
      </c>
      <c r="G18" s="49" t="n">
        <v>0.16</v>
      </c>
      <c r="H18" s="49" t="n">
        <v>0.22</v>
      </c>
      <c r="I18" s="49" t="n">
        <v>0.27</v>
      </c>
      <c r="J18" s="49" t="n">
        <v>0.31</v>
      </c>
      <c r="K18" s="49" t="n">
        <v>0.35</v>
      </c>
      <c r="L18" s="49" t="n">
        <v>0.38</v>
      </c>
      <c r="M18" s="49" t="n">
        <v>0.4</v>
      </c>
      <c r="N18" s="46" t="s">
        <v>224</v>
      </c>
    </row>
    <row r="19" customFormat="false" ht="15" hidden="false" customHeight="false" outlineLevel="0" collapsed="false">
      <c r="A19" s="54" t="s">
        <v>225</v>
      </c>
      <c r="B19" s="55" t="s">
        <v>8</v>
      </c>
      <c r="C19" s="56" t="n">
        <f aca="false">C14*C18</f>
        <v>0.4488</v>
      </c>
      <c r="D19" s="56" t="n">
        <f aca="false">D14*D18</f>
        <v>3.2912</v>
      </c>
      <c r="E19" s="56" t="n">
        <f aca="false">E14*E18</f>
        <v>17.73996</v>
      </c>
      <c r="F19" s="56" t="n">
        <f aca="false">F14*F18</f>
        <v>71.1854</v>
      </c>
      <c r="G19" s="56" t="n">
        <f aca="false">G14*G18</f>
        <v>192.7552</v>
      </c>
      <c r="H19" s="56" t="n">
        <f aca="false">H14*H18</f>
        <v>437.3061</v>
      </c>
      <c r="I19" s="56" t="n">
        <f aca="false">I14*I18</f>
        <v>787.1688</v>
      </c>
      <c r="J19" s="56" t="n">
        <f aca="false">J14*J18</f>
        <v>1220.0949</v>
      </c>
      <c r="K19" s="56" t="n">
        <f aca="false">K14*K18</f>
        <v>1739.7975</v>
      </c>
      <c r="L19" s="56" t="n">
        <f aca="false">L14*L18</f>
        <v>2312.3418</v>
      </c>
      <c r="M19" s="56" t="n">
        <f aca="false">M14*M18</f>
        <v>2871.496</v>
      </c>
    </row>
    <row r="21" customFormat="false" ht="15" hidden="false" customHeight="false" outlineLevel="0" collapsed="false">
      <c r="A21" s="42" t="s">
        <v>226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</row>
    <row r="22" customFormat="false" ht="15" hidden="false" customHeight="false" outlineLevel="0" collapsed="false">
      <c r="A22" s="43" t="s">
        <v>227</v>
      </c>
    </row>
    <row r="23" customFormat="false" ht="15" hidden="false" customHeight="false" outlineLevel="0" collapsed="false">
      <c r="A23" s="44" t="s">
        <v>228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customFormat="false" ht="15" hidden="false" customHeight="false" outlineLevel="0" collapsed="false">
      <c r="A24" s="0" t="s">
        <v>229</v>
      </c>
      <c r="B24" s="0" t="s">
        <v>8</v>
      </c>
      <c r="C24" s="45" t="n">
        <v>48000</v>
      </c>
      <c r="D24" s="45" t="n">
        <v>50880</v>
      </c>
      <c r="E24" s="45" t="n">
        <v>53933</v>
      </c>
      <c r="F24" s="45" t="n">
        <v>57169</v>
      </c>
      <c r="G24" s="45" t="n">
        <v>60599</v>
      </c>
      <c r="H24" s="45" t="n">
        <v>64235</v>
      </c>
      <c r="I24" s="45" t="n">
        <v>68089</v>
      </c>
      <c r="J24" s="45" t="n">
        <v>72174</v>
      </c>
      <c r="K24" s="45" t="n">
        <v>76504</v>
      </c>
      <c r="L24" s="45" t="n">
        <v>81094</v>
      </c>
      <c r="M24" s="45" t="n">
        <v>85960</v>
      </c>
      <c r="N24" s="46" t="s">
        <v>230</v>
      </c>
    </row>
    <row r="26" customFormat="false" ht="15" hidden="false" customHeight="false" outlineLevel="0" collapsed="false">
      <c r="A26" s="44" t="s">
        <v>231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</row>
    <row r="27" customFormat="false" ht="15" hidden="false" customHeight="false" outlineLevel="0" collapsed="false">
      <c r="A27" s="0" t="s">
        <v>217</v>
      </c>
      <c r="B27" s="0" t="s">
        <v>99</v>
      </c>
      <c r="C27" s="49" t="n">
        <v>0.005</v>
      </c>
      <c r="D27" s="49" t="n">
        <v>0.02</v>
      </c>
      <c r="E27" s="49" t="n">
        <v>0.055</v>
      </c>
      <c r="F27" s="49" t="n">
        <v>0.11</v>
      </c>
      <c r="G27" s="49" t="n">
        <v>0.185</v>
      </c>
      <c r="H27" s="49" t="n">
        <v>0.27</v>
      </c>
      <c r="I27" s="49" t="n">
        <v>0.34</v>
      </c>
      <c r="J27" s="49" t="n">
        <v>0.4</v>
      </c>
      <c r="K27" s="49" t="n">
        <v>0.45</v>
      </c>
      <c r="L27" s="49" t="n">
        <v>0.48</v>
      </c>
      <c r="M27" s="49" t="n">
        <v>0.5</v>
      </c>
      <c r="N27" s="46" t="s">
        <v>232</v>
      </c>
    </row>
    <row r="28" customFormat="false" ht="15" hidden="false" customHeight="false" outlineLevel="0" collapsed="false">
      <c r="A28" s="50" t="s">
        <v>233</v>
      </c>
      <c r="B28" s="51" t="s">
        <v>8</v>
      </c>
      <c r="C28" s="52" t="n">
        <f aca="false">C24*C27</f>
        <v>240</v>
      </c>
      <c r="D28" s="52" t="n">
        <f aca="false">D24*D27</f>
        <v>1017.6</v>
      </c>
      <c r="E28" s="52" t="n">
        <f aca="false">E24*E27</f>
        <v>2966.315</v>
      </c>
      <c r="F28" s="52" t="n">
        <f aca="false">F24*F27</f>
        <v>6288.59</v>
      </c>
      <c r="G28" s="52" t="n">
        <f aca="false">G24*G27</f>
        <v>11210.815</v>
      </c>
      <c r="H28" s="52" t="n">
        <f aca="false">H24*H27</f>
        <v>17343.45</v>
      </c>
      <c r="I28" s="52" t="n">
        <f aca="false">I24*I27</f>
        <v>23150.26</v>
      </c>
      <c r="J28" s="52" t="n">
        <f aca="false">J24*J27</f>
        <v>28869.6</v>
      </c>
      <c r="K28" s="52" t="n">
        <f aca="false">K24*K27</f>
        <v>34426.8</v>
      </c>
      <c r="L28" s="52" t="n">
        <f aca="false">L24*L27</f>
        <v>38925.12</v>
      </c>
      <c r="M28" s="52" t="n">
        <f aca="false">M24*M27</f>
        <v>42980</v>
      </c>
    </row>
    <row r="30" customFormat="false" ht="15" hidden="false" customHeight="false" outlineLevel="0" collapsed="false">
      <c r="A30" s="44" t="s">
        <v>234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</row>
    <row r="31" customFormat="false" ht="15" hidden="false" customHeight="false" outlineLevel="0" collapsed="false">
      <c r="A31" s="0" t="s">
        <v>223</v>
      </c>
      <c r="B31" s="0" t="s">
        <v>99</v>
      </c>
      <c r="C31" s="49" t="n">
        <v>0.2</v>
      </c>
      <c r="D31" s="49" t="n">
        <v>0.28</v>
      </c>
      <c r="E31" s="49" t="n">
        <v>0.36</v>
      </c>
      <c r="F31" s="49" t="n">
        <v>0.44</v>
      </c>
      <c r="G31" s="49" t="n">
        <v>0.52</v>
      </c>
      <c r="H31" s="49" t="n">
        <v>0.58</v>
      </c>
      <c r="I31" s="49" t="n">
        <v>0.63</v>
      </c>
      <c r="J31" s="49" t="n">
        <v>0.67</v>
      </c>
      <c r="K31" s="49" t="n">
        <v>0.7</v>
      </c>
      <c r="L31" s="49" t="n">
        <v>0.72</v>
      </c>
      <c r="M31" s="49" t="n">
        <v>0.74</v>
      </c>
      <c r="N31" s="46" t="s">
        <v>235</v>
      </c>
    </row>
    <row r="32" customFormat="false" ht="15" hidden="false" customHeight="false" outlineLevel="0" collapsed="false">
      <c r="A32" s="54" t="s">
        <v>236</v>
      </c>
      <c r="B32" s="55" t="s">
        <v>8</v>
      </c>
      <c r="C32" s="56" t="n">
        <f aca="false">C28*C31</f>
        <v>48</v>
      </c>
      <c r="D32" s="56" t="n">
        <f aca="false">D28*D31</f>
        <v>284.928</v>
      </c>
      <c r="E32" s="56" t="n">
        <f aca="false">E28*E31</f>
        <v>1067.8734</v>
      </c>
      <c r="F32" s="56" t="n">
        <f aca="false">F28*F31</f>
        <v>2766.9796</v>
      </c>
      <c r="G32" s="56" t="n">
        <f aca="false">G28*G31</f>
        <v>5829.6238</v>
      </c>
      <c r="H32" s="56" t="n">
        <f aca="false">H28*H31</f>
        <v>10059.201</v>
      </c>
      <c r="I32" s="56" t="n">
        <f aca="false">I28*I31</f>
        <v>14584.6638</v>
      </c>
      <c r="J32" s="56" t="n">
        <f aca="false">J28*J31</f>
        <v>19342.632</v>
      </c>
      <c r="K32" s="56" t="n">
        <f aca="false">K28*K31</f>
        <v>24098.76</v>
      </c>
      <c r="L32" s="56" t="n">
        <f aca="false">L28*L31</f>
        <v>28026.0864</v>
      </c>
      <c r="M32" s="56" t="n">
        <f aca="false">M28*M31</f>
        <v>31805.2</v>
      </c>
    </row>
    <row r="34" customFormat="false" ht="15" hidden="false" customHeight="false" outlineLevel="0" collapsed="false">
      <c r="A34" s="42" t="s">
        <v>237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</row>
    <row r="35" customFormat="false" ht="15" hidden="false" customHeight="false" outlineLevel="0" collapsed="false">
      <c r="A35" s="43" t="s">
        <v>238</v>
      </c>
    </row>
    <row r="36" customFormat="false" ht="15" hidden="false" customHeight="false" outlineLevel="0" collapsed="false">
      <c r="A36" s="44" t="s">
        <v>239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</row>
    <row r="37" customFormat="false" ht="15" hidden="false" customHeight="false" outlineLevel="0" collapsed="false">
      <c r="A37" s="0" t="s">
        <v>240</v>
      </c>
      <c r="B37" s="0" t="s">
        <v>8</v>
      </c>
      <c r="C37" s="45" t="n">
        <v>20</v>
      </c>
      <c r="D37" s="45" t="n">
        <v>38</v>
      </c>
      <c r="E37" s="45" t="n">
        <v>72</v>
      </c>
      <c r="F37" s="45" t="n">
        <v>130</v>
      </c>
      <c r="G37" s="45" t="n">
        <v>220</v>
      </c>
      <c r="H37" s="45" t="n">
        <v>350</v>
      </c>
      <c r="I37" s="45" t="n">
        <v>520</v>
      </c>
      <c r="J37" s="45" t="n">
        <v>730</v>
      </c>
      <c r="K37" s="45" t="n">
        <v>980</v>
      </c>
      <c r="L37" s="45" t="n">
        <v>1250</v>
      </c>
      <c r="M37" s="45" t="n">
        <v>1550</v>
      </c>
      <c r="N37" s="46" t="s">
        <v>241</v>
      </c>
    </row>
    <row r="38" customFormat="false" ht="15" hidden="false" customHeight="false" outlineLevel="0" collapsed="false">
      <c r="A38" s="0" t="s">
        <v>242</v>
      </c>
      <c r="B38" s="0" t="s">
        <v>8</v>
      </c>
      <c r="C38" s="45" t="n">
        <v>15</v>
      </c>
      <c r="D38" s="45" t="n">
        <v>20</v>
      </c>
      <c r="E38" s="45" t="n">
        <v>28</v>
      </c>
      <c r="F38" s="45" t="n">
        <v>38</v>
      </c>
      <c r="G38" s="45" t="n">
        <v>52</v>
      </c>
      <c r="H38" s="45" t="n">
        <v>69</v>
      </c>
      <c r="I38" s="45" t="n">
        <v>89</v>
      </c>
      <c r="J38" s="45" t="n">
        <v>112</v>
      </c>
      <c r="K38" s="45" t="n">
        <v>138</v>
      </c>
      <c r="L38" s="45" t="n">
        <v>166</v>
      </c>
      <c r="M38" s="45" t="n">
        <v>196</v>
      </c>
      <c r="N38" s="46" t="s">
        <v>243</v>
      </c>
    </row>
    <row r="39" customFormat="false" ht="15" hidden="false" customHeight="false" outlineLevel="0" collapsed="false">
      <c r="A39" s="0" t="s">
        <v>244</v>
      </c>
      <c r="B39" s="0" t="s">
        <v>8</v>
      </c>
      <c r="C39" s="45" t="n">
        <v>0.6</v>
      </c>
      <c r="D39" s="45" t="n">
        <v>2</v>
      </c>
      <c r="E39" s="45" t="n">
        <v>6</v>
      </c>
      <c r="F39" s="45" t="n">
        <v>15</v>
      </c>
      <c r="G39" s="45" t="n">
        <v>35</v>
      </c>
      <c r="H39" s="45" t="n">
        <v>75</v>
      </c>
      <c r="I39" s="45" t="n">
        <v>150</v>
      </c>
      <c r="J39" s="45" t="n">
        <v>280</v>
      </c>
      <c r="K39" s="45" t="n">
        <v>450</v>
      </c>
      <c r="L39" s="45" t="n">
        <v>650</v>
      </c>
      <c r="M39" s="45" t="n">
        <v>900</v>
      </c>
      <c r="N39" s="46" t="s">
        <v>245</v>
      </c>
    </row>
    <row r="40" customFormat="false" ht="15" hidden="false" customHeight="false" outlineLevel="0" collapsed="false">
      <c r="A40" s="50" t="s">
        <v>246</v>
      </c>
      <c r="B40" s="0" t="s">
        <v>8</v>
      </c>
      <c r="C40" s="57" t="n">
        <f aca="false">SUM(C37:C39)</f>
        <v>35.6</v>
      </c>
      <c r="D40" s="57" t="n">
        <f aca="false">SUM(D37:D39)</f>
        <v>60</v>
      </c>
      <c r="E40" s="57" t="n">
        <f aca="false">SUM(E37:E39)</f>
        <v>106</v>
      </c>
      <c r="F40" s="57" t="n">
        <f aca="false">SUM(F37:F39)</f>
        <v>183</v>
      </c>
      <c r="G40" s="57" t="n">
        <f aca="false">SUM(G37:G39)</f>
        <v>307</v>
      </c>
      <c r="H40" s="57" t="n">
        <f aca="false">SUM(H37:H39)</f>
        <v>494</v>
      </c>
      <c r="I40" s="57" t="n">
        <f aca="false">SUM(I37:I39)</f>
        <v>759</v>
      </c>
      <c r="J40" s="57" t="n">
        <f aca="false">SUM(J37:J39)</f>
        <v>1122</v>
      </c>
      <c r="K40" s="57" t="n">
        <f aca="false">SUM(K37:K39)</f>
        <v>1568</v>
      </c>
      <c r="L40" s="57" t="n">
        <f aca="false">SUM(L37:L39)</f>
        <v>2066</v>
      </c>
      <c r="M40" s="57" t="n">
        <f aca="false">SUM(M37:M39)</f>
        <v>2646</v>
      </c>
    </row>
    <row r="42" customFormat="false" ht="15" hidden="false" customHeight="false" outlineLevel="0" collapsed="false">
      <c r="A42" s="44" t="s">
        <v>247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</row>
    <row r="43" customFormat="false" ht="15" hidden="false" customHeight="false" outlineLevel="0" collapsed="false">
      <c r="A43" s="0" t="s">
        <v>248</v>
      </c>
      <c r="B43" s="0" t="s">
        <v>99</v>
      </c>
      <c r="C43" s="49" t="n">
        <v>0.017</v>
      </c>
      <c r="D43" s="49" t="n">
        <v>0.025</v>
      </c>
      <c r="E43" s="49" t="n">
        <v>0.04</v>
      </c>
      <c r="F43" s="49" t="n">
        <v>0.06</v>
      </c>
      <c r="G43" s="49" t="n">
        <v>0.085</v>
      </c>
      <c r="H43" s="49" t="n">
        <v>0.115</v>
      </c>
      <c r="I43" s="49" t="n">
        <v>0.15</v>
      </c>
      <c r="J43" s="49" t="n">
        <v>0.19</v>
      </c>
      <c r="K43" s="49" t="n">
        <v>0.23</v>
      </c>
      <c r="L43" s="49" t="n">
        <v>0.265</v>
      </c>
      <c r="M43" s="49" t="n">
        <v>0.3</v>
      </c>
      <c r="N43" s="46" t="s">
        <v>249</v>
      </c>
    </row>
    <row r="44" customFormat="false" ht="15" hidden="false" customHeight="false" outlineLevel="0" collapsed="false">
      <c r="A44" s="54" t="s">
        <v>250</v>
      </c>
      <c r="B44" s="55" t="s">
        <v>8</v>
      </c>
      <c r="C44" s="56" t="n">
        <f aca="false">C40*C43</f>
        <v>0.6052</v>
      </c>
      <c r="D44" s="56" t="n">
        <f aca="false">D40*D43</f>
        <v>1.5</v>
      </c>
      <c r="E44" s="56" t="n">
        <f aca="false">E40*E43</f>
        <v>4.24</v>
      </c>
      <c r="F44" s="56" t="n">
        <f aca="false">F40*F43</f>
        <v>10.98</v>
      </c>
      <c r="G44" s="56" t="n">
        <f aca="false">G40*G43</f>
        <v>26.095</v>
      </c>
      <c r="H44" s="56" t="n">
        <f aca="false">H40*H43</f>
        <v>56.81</v>
      </c>
      <c r="I44" s="56" t="n">
        <f aca="false">I40*I43</f>
        <v>113.85</v>
      </c>
      <c r="J44" s="56" t="n">
        <f aca="false">J40*J43</f>
        <v>213.18</v>
      </c>
      <c r="K44" s="56" t="n">
        <f aca="false">K40*K43</f>
        <v>360.64</v>
      </c>
      <c r="L44" s="56" t="n">
        <f aca="false">L40*L43</f>
        <v>547.49</v>
      </c>
      <c r="M44" s="56" t="n">
        <f aca="false">M40*M43</f>
        <v>793.8</v>
      </c>
    </row>
    <row r="46" customFormat="false" ht="15" hidden="false" customHeight="false" outlineLevel="0" collapsed="false">
      <c r="A46" s="42" t="s">
        <v>251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</row>
    <row r="47" customFormat="false" ht="15" hidden="false" customHeight="false" outlineLevel="0" collapsed="false">
      <c r="A47" s="51" t="s">
        <v>252</v>
      </c>
      <c r="B47" s="51" t="s">
        <v>8</v>
      </c>
      <c r="C47" s="58" t="n">
        <f aca="false">C19</f>
        <v>0.4488</v>
      </c>
      <c r="D47" s="58" t="n">
        <f aca="false">D19</f>
        <v>3.2912</v>
      </c>
      <c r="E47" s="58" t="n">
        <f aca="false">E19</f>
        <v>17.73996</v>
      </c>
      <c r="F47" s="58" t="n">
        <f aca="false">F19</f>
        <v>71.1854</v>
      </c>
      <c r="G47" s="58" t="n">
        <f aca="false">G19</f>
        <v>192.7552</v>
      </c>
      <c r="H47" s="58" t="n">
        <f aca="false">H19</f>
        <v>437.3061</v>
      </c>
      <c r="I47" s="58" t="n">
        <f aca="false">I19</f>
        <v>787.1688</v>
      </c>
      <c r="J47" s="58" t="n">
        <f aca="false">J19</f>
        <v>1220.0949</v>
      </c>
      <c r="K47" s="58" t="n">
        <f aca="false">K19</f>
        <v>1739.7975</v>
      </c>
      <c r="L47" s="58" t="n">
        <f aca="false">L19</f>
        <v>2312.3418</v>
      </c>
      <c r="M47" s="58" t="n">
        <f aca="false">M19</f>
        <v>2871.496</v>
      </c>
    </row>
    <row r="48" customFormat="false" ht="15" hidden="false" customHeight="false" outlineLevel="0" collapsed="false">
      <c r="A48" s="51" t="s">
        <v>253</v>
      </c>
      <c r="B48" s="51" t="s">
        <v>8</v>
      </c>
      <c r="C48" s="58" t="n">
        <f aca="false">C32</f>
        <v>48</v>
      </c>
      <c r="D48" s="58" t="n">
        <f aca="false">D32</f>
        <v>284.928</v>
      </c>
      <c r="E48" s="58" t="n">
        <f aca="false">E32</f>
        <v>1067.8734</v>
      </c>
      <c r="F48" s="58" t="n">
        <f aca="false">F32</f>
        <v>2766.9796</v>
      </c>
      <c r="G48" s="58" t="n">
        <f aca="false">G32</f>
        <v>5829.6238</v>
      </c>
      <c r="H48" s="58" t="n">
        <f aca="false">H32</f>
        <v>10059.201</v>
      </c>
      <c r="I48" s="58" t="n">
        <f aca="false">I32</f>
        <v>14584.6638</v>
      </c>
      <c r="J48" s="58" t="n">
        <f aca="false">J32</f>
        <v>19342.632</v>
      </c>
      <c r="K48" s="58" t="n">
        <f aca="false">K32</f>
        <v>24098.76</v>
      </c>
      <c r="L48" s="58" t="n">
        <f aca="false">L32</f>
        <v>28026.0864</v>
      </c>
      <c r="M48" s="58" t="n">
        <f aca="false">M32</f>
        <v>31805.2</v>
      </c>
    </row>
    <row r="49" customFormat="false" ht="15" hidden="false" customHeight="false" outlineLevel="0" collapsed="false">
      <c r="A49" s="51" t="s">
        <v>254</v>
      </c>
      <c r="B49" s="51" t="s">
        <v>8</v>
      </c>
      <c r="C49" s="58" t="n">
        <f aca="false">C44</f>
        <v>0.6052</v>
      </c>
      <c r="D49" s="58" t="n">
        <f aca="false">D44</f>
        <v>1.5</v>
      </c>
      <c r="E49" s="58" t="n">
        <f aca="false">E44</f>
        <v>4.24</v>
      </c>
      <c r="F49" s="58" t="n">
        <f aca="false">F44</f>
        <v>10.98</v>
      </c>
      <c r="G49" s="58" t="n">
        <f aca="false">G44</f>
        <v>26.095</v>
      </c>
      <c r="H49" s="58" t="n">
        <f aca="false">H44</f>
        <v>56.81</v>
      </c>
      <c r="I49" s="58" t="n">
        <f aca="false">I44</f>
        <v>113.85</v>
      </c>
      <c r="J49" s="58" t="n">
        <f aca="false">J44</f>
        <v>213.18</v>
      </c>
      <c r="K49" s="58" t="n">
        <f aca="false">K44</f>
        <v>360.64</v>
      </c>
      <c r="L49" s="58" t="n">
        <f aca="false">L44</f>
        <v>547.49</v>
      </c>
      <c r="M49" s="58" t="n">
        <f aca="false">M44</f>
        <v>793.8</v>
      </c>
    </row>
    <row r="50" customFormat="false" ht="15" hidden="false" customHeight="false" outlineLevel="0" collapsed="false">
      <c r="A50" s="59" t="s">
        <v>255</v>
      </c>
      <c r="B50" s="55" t="s">
        <v>8</v>
      </c>
      <c r="C50" s="60" t="n">
        <f aca="false">SUM(C47:C49)</f>
        <v>49.054</v>
      </c>
      <c r="D50" s="60" t="n">
        <f aca="false">SUM(D47:D49)</f>
        <v>289.7192</v>
      </c>
      <c r="E50" s="60" t="n">
        <f aca="false">SUM(E47:E49)</f>
        <v>1089.85336</v>
      </c>
      <c r="F50" s="60" t="n">
        <f aca="false">SUM(F47:F49)</f>
        <v>2849.145</v>
      </c>
      <c r="G50" s="60" t="n">
        <f aca="false">SUM(G47:G49)</f>
        <v>6048.474</v>
      </c>
      <c r="H50" s="60" t="n">
        <f aca="false">SUM(H47:H49)</f>
        <v>10553.3171</v>
      </c>
      <c r="I50" s="60" t="n">
        <f aca="false">SUM(I47:I49)</f>
        <v>15485.6826</v>
      </c>
      <c r="J50" s="60" t="n">
        <f aca="false">SUM(J47:J49)</f>
        <v>20775.9069</v>
      </c>
      <c r="K50" s="60" t="n">
        <f aca="false">SUM(K47:K49)</f>
        <v>26199.1975</v>
      </c>
      <c r="L50" s="60" t="n">
        <f aca="false">SUM(L47:L49)</f>
        <v>30885.9182</v>
      </c>
      <c r="M50" s="60" t="n">
        <f aca="false">SUM(M47:M49)</f>
        <v>35470.496</v>
      </c>
    </row>
    <row r="51" customFormat="false" ht="15" hidden="false" customHeight="false" outlineLevel="0" collapsed="false">
      <c r="A51" s="43" t="s">
        <v>256</v>
      </c>
      <c r="B51" s="43" t="s">
        <v>99</v>
      </c>
      <c r="C51" s="61" t="s">
        <v>257</v>
      </c>
      <c r="D51" s="62" t="n">
        <f aca="false">(D50/C50)-1</f>
        <v>4.90612794063685</v>
      </c>
      <c r="E51" s="62" t="n">
        <f aca="false">(E50/D50)-1</f>
        <v>2.76175745342387</v>
      </c>
      <c r="F51" s="62" t="n">
        <f aca="false">(F50/E50)-1</f>
        <v>1.61424619546982</v>
      </c>
      <c r="G51" s="62" t="n">
        <f aca="false">(G50/F50)-1</f>
        <v>1.12290845148281</v>
      </c>
      <c r="H51" s="62" t="n">
        <f aca="false">(H50/G50)-1</f>
        <v>0.744790024723591</v>
      </c>
      <c r="I51" s="62" t="n">
        <f aca="false">(I50/H50)-1</f>
        <v>0.467375845268594</v>
      </c>
      <c r="J51" s="62" t="n">
        <f aca="false">(J50/I50)-1</f>
        <v>0.341620349367099</v>
      </c>
      <c r="K51" s="62" t="n">
        <f aca="false">(K50/J50)-1</f>
        <v>0.261037490498189</v>
      </c>
      <c r="L51" s="62" t="n">
        <f aca="false">(L50/K50)-1</f>
        <v>0.178887948762553</v>
      </c>
      <c r="M51" s="62" t="n">
        <f aca="false">(M50/L50)-1</f>
        <v>0.148435859031706</v>
      </c>
    </row>
    <row r="52" customFormat="false" ht="15" hidden="false" customHeight="false" outlineLevel="0" collapsed="false">
      <c r="A52" s="43" t="s">
        <v>258</v>
      </c>
      <c r="B52" s="43" t="s">
        <v>99</v>
      </c>
      <c r="C52" s="62" t="n">
        <f aca="false">IF(C50=0,0,C19/C50)</f>
        <v>0.00914910099074489</v>
      </c>
      <c r="D52" s="62" t="n">
        <f aca="false">IF(D50=0,0,D19/D50)</f>
        <v>0.011359965097239</v>
      </c>
      <c r="E52" s="62" t="n">
        <f aca="false">IF(E50=0,0,E19/E50)</f>
        <v>0.0162773824911638</v>
      </c>
      <c r="F52" s="62" t="n">
        <f aca="false">IF(F50=0,0,F19/F50)</f>
        <v>0.0249848287819679</v>
      </c>
      <c r="G52" s="62" t="n">
        <f aca="false">IF(G50=0,0,G19/G50)</f>
        <v>0.0318684018481356</v>
      </c>
      <c r="H52" s="62" t="n">
        <f aca="false">IF(H50=0,0,H19/H50)</f>
        <v>0.0414377864188313</v>
      </c>
      <c r="I52" s="62" t="n">
        <f aca="false">IF(I50=0,0,I19/I50)</f>
        <v>0.0508320375880621</v>
      </c>
      <c r="J52" s="62" t="n">
        <f aca="false">IF(J50=0,0,J19/J50)</f>
        <v>0.0587264327796925</v>
      </c>
      <c r="K52" s="62" t="n">
        <f aca="false">IF(K50=0,0,K19/K50)</f>
        <v>0.0664065187492861</v>
      </c>
      <c r="L52" s="62" t="n">
        <f aca="false">IF(L50=0,0,L19/L50)</f>
        <v>0.0748671865614149</v>
      </c>
      <c r="M52" s="62" t="n">
        <f aca="false">IF(M50=0,0,M19/M50)</f>
        <v>0.0809544924322456</v>
      </c>
    </row>
    <row r="53" customFormat="false" ht="15" hidden="false" customHeight="false" outlineLevel="0" collapsed="false">
      <c r="A53" s="43" t="s">
        <v>259</v>
      </c>
      <c r="B53" s="43" t="s">
        <v>99</v>
      </c>
      <c r="C53" s="62" t="n">
        <f aca="false">IF(C50=0,0,C32/C50)</f>
        <v>0.978513474945978</v>
      </c>
      <c r="D53" s="62" t="n">
        <f aca="false">IF(D50=0,0,D32/D50)</f>
        <v>0.983462607932094</v>
      </c>
      <c r="E53" s="62" t="n">
        <f aca="false">IF(E50=0,0,E32/E50)</f>
        <v>0.979832185863977</v>
      </c>
      <c r="F53" s="62" t="n">
        <f aca="false">IF(F50=0,0,F32/F50)</f>
        <v>0.97116138350277</v>
      </c>
      <c r="G53" s="62" t="n">
        <f aca="false">IF(G50=0,0,G32/G50)</f>
        <v>0.963817286806557</v>
      </c>
      <c r="H53" s="62" t="n">
        <f aca="false">IF(H50=0,0,H32/H50)</f>
        <v>0.953179072009501</v>
      </c>
      <c r="I53" s="62" t="n">
        <f aca="false">IF(I50=0,0,I32/I50)</f>
        <v>0.941816010099548</v>
      </c>
      <c r="J53" s="62" t="n">
        <f aca="false">IF(J50=0,0,J32/J50)</f>
        <v>0.931012643303672</v>
      </c>
      <c r="K53" s="62" t="n">
        <f aca="false">IF(K50=0,0,K32/K50)</f>
        <v>0.919828174126326</v>
      </c>
      <c r="L53" s="62" t="n">
        <f aca="false">IF(L50=0,0,L32/L50)</f>
        <v>0.907406612247001</v>
      </c>
      <c r="M53" s="62" t="n">
        <f aca="false">IF(M50=0,0,M32/M50)</f>
        <v>0.896666344896897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260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4" t="s">
        <v>62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</row>
    <row r="5" customFormat="false" ht="15" hidden="false" customHeight="true" outlineLevel="0" collapsed="false">
      <c r="A5" s="4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4" t="s">
        <v>62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</row>
    <row r="5" customFormat="false" ht="15" hidden="false" customHeight="true" outlineLevel="0" collapsed="false">
      <c r="A5" s="4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262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4" t="s">
        <v>62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</row>
    <row r="5" customFormat="false" ht="15" hidden="false" customHeight="true" outlineLevel="0" collapsed="false">
      <c r="A5" s="4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2026-04-23T05:40:03Z</dcterms:created>
  <dc:creator>openpyxl</dc:creator>
  <dc:description/>
  <dc:language>en-US</dc:language>
  <cp:lastModifiedBy/>
  <dcterms:modified xsi:type="dcterms:W3CDTF">2026-04-28T03:37:11Z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