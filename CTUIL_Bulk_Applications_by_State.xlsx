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1201067fc29930/Desktop/Codex folder/India Power/"/>
    </mc:Choice>
  </mc:AlternateContent>
  <xr:revisionPtr revIDLastSave="0" documentId="11_3CB87B017D1714E8E218201ED1AD5549B8DB9B1F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y_State" sheetId="1" r:id="rId1"/>
    <sheet name="State_x_Company" sheetId="2" r:id="rId2"/>
    <sheet name="Data" sheetId="3" r:id="rId3"/>
    <sheet name="State_x_Company_UnderProc" sheetId="4" r:id="rId4"/>
    <sheet name="State_x_Company_Approved" sheetId="5" r:id="rId5"/>
  </sheets>
  <definedNames>
    <definedName name="_xlnm._FilterDatabase" localSheetId="2" hidden="1">Data!$A$1:$I$164</definedName>
  </definedNames>
  <calcPr calcId="191029"/>
</workbook>
</file>

<file path=xl/calcChain.xml><?xml version="1.0" encoding="utf-8"?>
<calcChain xmlns="http://schemas.openxmlformats.org/spreadsheetml/2006/main">
  <c r="T17" i="5" l="1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U13" i="5" s="1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U12" i="5" s="1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T5" i="5"/>
  <c r="S5" i="5"/>
  <c r="S18" i="5" s="1"/>
  <c r="R5" i="5"/>
  <c r="R18" i="5" s="1"/>
  <c r="Q5" i="5"/>
  <c r="P5" i="5"/>
  <c r="P18" i="5" s="1"/>
  <c r="O5" i="5"/>
  <c r="O18" i="5" s="1"/>
  <c r="N5" i="5"/>
  <c r="M5" i="5"/>
  <c r="M18" i="5" s="1"/>
  <c r="L5" i="5"/>
  <c r="K5" i="5"/>
  <c r="K18" i="5" s="1"/>
  <c r="J5" i="5"/>
  <c r="J18" i="5" s="1"/>
  <c r="I5" i="5"/>
  <c r="H5" i="5"/>
  <c r="H18" i="5" s="1"/>
  <c r="G5" i="5"/>
  <c r="G18" i="5" s="1"/>
  <c r="F5" i="5"/>
  <c r="E5" i="5"/>
  <c r="E18" i="5" s="1"/>
  <c r="D5" i="5"/>
  <c r="C5" i="5"/>
  <c r="C18" i="5" s="1"/>
  <c r="B5" i="5"/>
  <c r="B18" i="5" s="1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U17" i="4" s="1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U10" i="4" s="1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U9" i="4" s="1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T5" i="4"/>
  <c r="T18" i="4" s="1"/>
  <c r="S5" i="4"/>
  <c r="R5" i="4"/>
  <c r="R18" i="4" s="1"/>
  <c r="Q5" i="4"/>
  <c r="Q18" i="4" s="1"/>
  <c r="P5" i="4"/>
  <c r="O5" i="4"/>
  <c r="N5" i="4"/>
  <c r="N18" i="4" s="1"/>
  <c r="M5" i="4"/>
  <c r="L5" i="4"/>
  <c r="L18" i="4" s="1"/>
  <c r="K5" i="4"/>
  <c r="J5" i="4"/>
  <c r="J18" i="4" s="1"/>
  <c r="I5" i="4"/>
  <c r="I18" i="4" s="1"/>
  <c r="H5" i="4"/>
  <c r="G5" i="4"/>
  <c r="F5" i="4"/>
  <c r="F18" i="4" s="1"/>
  <c r="E5" i="4"/>
  <c r="D5" i="4"/>
  <c r="D18" i="4" s="1"/>
  <c r="C5" i="4"/>
  <c r="B5" i="4"/>
  <c r="B18" i="4" s="1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U15" i="2" s="1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U14" i="2" s="1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U7" i="2" s="1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U6" i="2" s="1"/>
  <c r="T5" i="2"/>
  <c r="S5" i="2"/>
  <c r="S18" i="2" s="1"/>
  <c r="R5" i="2"/>
  <c r="Q5" i="2"/>
  <c r="Q18" i="2" s="1"/>
  <c r="P5" i="2"/>
  <c r="P18" i="2" s="1"/>
  <c r="O5" i="2"/>
  <c r="N5" i="2"/>
  <c r="N18" i="2" s="1"/>
  <c r="M5" i="2"/>
  <c r="M18" i="2" s="1"/>
  <c r="L5" i="2"/>
  <c r="K5" i="2"/>
  <c r="K18" i="2" s="1"/>
  <c r="J5" i="2"/>
  <c r="I5" i="2"/>
  <c r="I18" i="2" s="1"/>
  <c r="H5" i="2"/>
  <c r="H18" i="2" s="1"/>
  <c r="G5" i="2"/>
  <c r="F5" i="2"/>
  <c r="F18" i="2" s="1"/>
  <c r="E5" i="2"/>
  <c r="E18" i="2" s="1"/>
  <c r="D5" i="2"/>
  <c r="C5" i="2"/>
  <c r="C18" i="2" s="1"/>
  <c r="B5" i="2"/>
  <c r="D19" i="1"/>
  <c r="C17" i="1"/>
  <c r="B17" i="1"/>
  <c r="C16" i="1"/>
  <c r="B16" i="1"/>
  <c r="D16" i="1" s="1"/>
  <c r="C15" i="1"/>
  <c r="B15" i="1"/>
  <c r="C14" i="1"/>
  <c r="B14" i="1"/>
  <c r="D14" i="1" s="1"/>
  <c r="C13" i="1"/>
  <c r="B13" i="1"/>
  <c r="C12" i="1"/>
  <c r="B12" i="1"/>
  <c r="C11" i="1"/>
  <c r="B11" i="1"/>
  <c r="D11" i="1" s="1"/>
  <c r="C10" i="1"/>
  <c r="B10" i="1"/>
  <c r="C9" i="1"/>
  <c r="B9" i="1"/>
  <c r="D9" i="1" s="1"/>
  <c r="C8" i="1"/>
  <c r="B8" i="1"/>
  <c r="D8" i="1" s="1"/>
  <c r="C7" i="1"/>
  <c r="B7" i="1"/>
  <c r="C6" i="1"/>
  <c r="B6" i="1"/>
  <c r="C5" i="1"/>
  <c r="B5" i="1"/>
  <c r="C18" i="1" l="1"/>
  <c r="D10" i="1"/>
  <c r="D17" i="1"/>
  <c r="U12" i="2"/>
  <c r="H18" i="4"/>
  <c r="P18" i="4"/>
  <c r="U7" i="4"/>
  <c r="U15" i="4"/>
  <c r="I18" i="5"/>
  <c r="Q18" i="5"/>
  <c r="U10" i="5"/>
  <c r="D7" i="1"/>
  <c r="U10" i="2"/>
  <c r="G18" i="4"/>
  <c r="O18" i="4"/>
  <c r="U13" i="4"/>
  <c r="U8" i="5"/>
  <c r="U16" i="5"/>
  <c r="B18" i="2"/>
  <c r="J18" i="2"/>
  <c r="R18" i="2"/>
  <c r="G18" i="2"/>
  <c r="O18" i="2"/>
  <c r="U13" i="2"/>
  <c r="C18" i="4"/>
  <c r="K18" i="4"/>
  <c r="S18" i="4"/>
  <c r="U8" i="4"/>
  <c r="U16" i="4"/>
  <c r="D18" i="5"/>
  <c r="L18" i="5"/>
  <c r="T18" i="5"/>
  <c r="U11" i="5"/>
  <c r="D15" i="1"/>
  <c r="U8" i="2"/>
  <c r="U16" i="2"/>
  <c r="U11" i="4"/>
  <c r="U6" i="5"/>
  <c r="U14" i="5"/>
  <c r="D5" i="1"/>
  <c r="D12" i="1"/>
  <c r="D18" i="2"/>
  <c r="L18" i="2"/>
  <c r="T18" i="2"/>
  <c r="U11" i="2"/>
  <c r="E18" i="4"/>
  <c r="M18" i="4"/>
  <c r="U6" i="4"/>
  <c r="U14" i="4"/>
  <c r="F18" i="5"/>
  <c r="N18" i="5"/>
  <c r="U9" i="5"/>
  <c r="U17" i="5"/>
  <c r="B18" i="1"/>
  <c r="D13" i="1"/>
  <c r="U9" i="2"/>
  <c r="U17" i="2"/>
  <c r="U12" i="4"/>
  <c r="U7" i="5"/>
  <c r="U15" i="5"/>
  <c r="U5" i="2"/>
  <c r="U5" i="4"/>
  <c r="U5" i="5"/>
  <c r="U18" i="5" s="1"/>
  <c r="D6" i="1"/>
  <c r="D18" i="1" s="1"/>
  <c r="U18" i="4" l="1"/>
  <c r="U18" i="2"/>
</calcChain>
</file>

<file path=xl/sharedStrings.xml><?xml version="1.0" encoding="utf-8"?>
<sst xmlns="http://schemas.openxmlformats.org/spreadsheetml/2006/main" count="1446" uniqueCount="360">
  <si>
    <t>Bulk power applications to ISTS by state (GW)</t>
  </si>
  <si>
    <t>State = location of the ISTS substation each application connects to. Values in GW (MW / 1,000). Source: CTUIL GNA register, 19-Oct-2026.</t>
  </si>
  <si>
    <t>State</t>
  </si>
  <si>
    <t>Under process</t>
  </si>
  <si>
    <t>Approved</t>
  </si>
  <si>
    <t>Total</t>
  </si>
  <si>
    <t>Gujarat</t>
  </si>
  <si>
    <t>Odisha</t>
  </si>
  <si>
    <t>Andhra Pradesh</t>
  </si>
  <si>
    <t>Telangana</t>
  </si>
  <si>
    <t>Maharashtra</t>
  </si>
  <si>
    <t>Rajasthan</t>
  </si>
  <si>
    <t>Chhattisgarh</t>
  </si>
  <si>
    <t>Madhya Pradesh</t>
  </si>
  <si>
    <t>Tamil Nadu</t>
  </si>
  <si>
    <t>Karnataka</t>
  </si>
  <si>
    <t>Dadra &amp; Nagar Haveli (UT)</t>
  </si>
  <si>
    <t>Haryana</t>
  </si>
  <si>
    <t>Uttar Pradesh</t>
  </si>
  <si>
    <t>Check vs CTUIL total (MW)</t>
  </si>
  <si>
    <t>Bulk power applications to ISTS - state x company group (GW, approved + under process)</t>
  </si>
  <si>
    <t>Company = group per your mapping (see Data!B). Values in GW. Blank = no application.</t>
  </si>
  <si>
    <t>Reliance</t>
  </si>
  <si>
    <t>ACME Cleantech</t>
  </si>
  <si>
    <t>Adani Group</t>
  </si>
  <si>
    <t>NTPC*</t>
  </si>
  <si>
    <t>TCS</t>
  </si>
  <si>
    <t>ArcelorMittal</t>
  </si>
  <si>
    <t>SITAC Group</t>
  </si>
  <si>
    <t>L&amp;T</t>
  </si>
  <si>
    <t>Rays Power</t>
  </si>
  <si>
    <t>Hygenco</t>
  </si>
  <si>
    <t>Hindustan Zinc</t>
  </si>
  <si>
    <t>Jindal Steel</t>
  </si>
  <si>
    <t>Jakson Group</t>
  </si>
  <si>
    <t>Railways</t>
  </si>
  <si>
    <t>Hira Group</t>
  </si>
  <si>
    <t>Qubitiq</t>
  </si>
  <si>
    <t>Bharat Aluminium</t>
  </si>
  <si>
    <t>Hindalco</t>
  </si>
  <si>
    <t>Ultratech</t>
  </si>
  <si>
    <t>Applicant (as filed)</t>
  </si>
  <si>
    <t>Group</t>
  </si>
  <si>
    <t>Application no.</t>
  </si>
  <si>
    <t>Application date</t>
  </si>
  <si>
    <t>GNA quantum (MW)</t>
  </si>
  <si>
    <t>Interconnection point (as filed)</t>
  </si>
  <si>
    <t>State (derived from substation)</t>
  </si>
  <si>
    <t>Status (as on CTUIL)</t>
  </si>
  <si>
    <t>Status used</t>
  </si>
  <si>
    <t>VIZAG HYPERSCALE DATA CENTER PARK LIMITED</t>
  </si>
  <si>
    <t>2200003654</t>
  </si>
  <si>
    <t>08-05-2026</t>
  </si>
  <si>
    <t>Gajuwaka Substation</t>
  </si>
  <si>
    <t>Under Process</t>
  </si>
  <si>
    <t>2200003655</t>
  </si>
  <si>
    <t>2200003656</t>
  </si>
  <si>
    <t>2200003658</t>
  </si>
  <si>
    <t>Pendurathi Substation (Proposed)</t>
  </si>
  <si>
    <t>2200003661</t>
  </si>
  <si>
    <t>Pendurthi Substation (Proposed)</t>
  </si>
  <si>
    <t>2200003662</t>
  </si>
  <si>
    <t>09-05-2026</t>
  </si>
  <si>
    <t>2200003663</t>
  </si>
  <si>
    <t>2200003664</t>
  </si>
  <si>
    <t>VIZAG MEGA DATA CENTER PARK LIMITED</t>
  </si>
  <si>
    <t>2200003641</t>
  </si>
  <si>
    <t>07-05-2026</t>
  </si>
  <si>
    <t>Gazuwaka Substation</t>
  </si>
  <si>
    <t>2200003642</t>
  </si>
  <si>
    <t>2200003643</t>
  </si>
  <si>
    <t>2200003644</t>
  </si>
  <si>
    <t>2200003645</t>
  </si>
  <si>
    <t>Pendurthi (Proposed)</t>
  </si>
  <si>
    <t>2200003646</t>
  </si>
  <si>
    <t>2200003647</t>
  </si>
  <si>
    <t>2200003648</t>
  </si>
  <si>
    <t>2200003650</t>
  </si>
  <si>
    <t>2200003652</t>
  </si>
  <si>
    <t>2200003651</t>
  </si>
  <si>
    <t>VIZAG RAMBILLI DATA CENTER PARK LIMITED</t>
  </si>
  <si>
    <t>2200003657</t>
  </si>
  <si>
    <t>2200003659</t>
  </si>
  <si>
    <t>2200003660</t>
  </si>
  <si>
    <t>2200003665</t>
  </si>
  <si>
    <t>2200003666</t>
  </si>
  <si>
    <t>2200003667</t>
  </si>
  <si>
    <t>2200003668</t>
  </si>
  <si>
    <t>2200003669</t>
  </si>
  <si>
    <t>HIRA ELECTRO SMELTERS LIMITED</t>
  </si>
  <si>
    <t>2200004351</t>
  </si>
  <si>
    <t>21-09-2026</t>
  </si>
  <si>
    <t>Palasa, 765 kV GIS Srikakulam Substation</t>
  </si>
  <si>
    <t>NTPC GREEN ENERGY LIMITED</t>
  </si>
  <si>
    <t>2200001887</t>
  </si>
  <si>
    <t>12-04-2025</t>
  </si>
  <si>
    <t>Pudimadka,A.P</t>
  </si>
  <si>
    <t>(blank)</t>
  </si>
  <si>
    <t>2200003870</t>
  </si>
  <si>
    <t>25-06-2026</t>
  </si>
  <si>
    <t>NTPC SIMHADRI SWITCHYARD</t>
  </si>
  <si>
    <t>QUBITIQ VENTURES PRIVATE LIMITED</t>
  </si>
  <si>
    <t>2200004324</t>
  </si>
  <si>
    <t>06-10-2026</t>
  </si>
  <si>
    <t>VIJAYAWADA</t>
  </si>
  <si>
    <t>DISTINGUISHED CONSULTANCY SOLUTIONS PRIVATE LIMITED</t>
  </si>
  <si>
    <t>2200004188</t>
  </si>
  <si>
    <t>26-08-2026</t>
  </si>
  <si>
    <t>ULTRATECH CEMENT LIMITED</t>
  </si>
  <si>
    <t>2200003430</t>
  </si>
  <si>
    <t>05-03-2026</t>
  </si>
  <si>
    <t>KURNOOL -3 ( Nandipadu)</t>
  </si>
  <si>
    <t>BHARAT ALUMINIUM CO LTD</t>
  </si>
  <si>
    <t>2200002088</t>
  </si>
  <si>
    <t>31-05-2025</t>
  </si>
  <si>
    <t>765/400KV Dharamjaygarh Sub-Station</t>
  </si>
  <si>
    <t>JINDAL STEEL &amp; POWER LIMITED</t>
  </si>
  <si>
    <t>2200001016</t>
  </si>
  <si>
    <t>19-07-2024</t>
  </si>
  <si>
    <t>POWER GIRD KOTRA</t>
  </si>
  <si>
    <t>RELIANCE INDUSTRIES LIMITED</t>
  </si>
  <si>
    <t>2200003848</t>
  </si>
  <si>
    <t>15-06-2026</t>
  </si>
  <si>
    <t>PGCIL KALA S/s</t>
  </si>
  <si>
    <t>ADANI INFRA (INDIA) LIMITED</t>
  </si>
  <si>
    <t>2200003734</t>
  </si>
  <si>
    <t>20-05-2026</t>
  </si>
  <si>
    <t>VATAMAN (NEW) SUBSTATION, Gujarat</t>
  </si>
  <si>
    <t>BLUEPARROT PEDESTAL LIMITED</t>
  </si>
  <si>
    <t>2200004226</t>
  </si>
  <si>
    <t>03-09-2026</t>
  </si>
  <si>
    <t>LILO of 765kV Halvad-Vataman line, Houwever Nearest Substation is Vataman</t>
  </si>
  <si>
    <t>2200004227</t>
  </si>
  <si>
    <t>2200004228</t>
  </si>
  <si>
    <t>2200004229</t>
  </si>
  <si>
    <t>2200004230</t>
  </si>
  <si>
    <t>2200004231</t>
  </si>
  <si>
    <t>2200004232</t>
  </si>
  <si>
    <t>2200004234</t>
  </si>
  <si>
    <t>2200004235</t>
  </si>
  <si>
    <t>2200004236</t>
  </si>
  <si>
    <t>2200004237</t>
  </si>
  <si>
    <t>2200004238</t>
  </si>
  <si>
    <t>2200004240</t>
  </si>
  <si>
    <t>04-09-2026</t>
  </si>
  <si>
    <t>2200004241</t>
  </si>
  <si>
    <t>2200004243</t>
  </si>
  <si>
    <t>LILO of 765kV Halvad-Vataman line, However Nearest Substation is Vataman</t>
  </si>
  <si>
    <t>2200004244</t>
  </si>
  <si>
    <t>2200004245</t>
  </si>
  <si>
    <t>2200004246</t>
  </si>
  <si>
    <t>2200004247</t>
  </si>
  <si>
    <t>2200004248</t>
  </si>
  <si>
    <t>2200004249</t>
  </si>
  <si>
    <t>2200004250</t>
  </si>
  <si>
    <t>2200004251</t>
  </si>
  <si>
    <t>2200004252</t>
  </si>
  <si>
    <t>2200004254</t>
  </si>
  <si>
    <t>2200004233</t>
  </si>
  <si>
    <t>24-09-2026</t>
  </si>
  <si>
    <t>MUNDRA PETROCHEM LIMITED</t>
  </si>
  <si>
    <t>2200000124</t>
  </si>
  <si>
    <t>28-06-2023</t>
  </si>
  <si>
    <t>Navinal (Mundra) (Proposed)</t>
  </si>
  <si>
    <t>ARCELORMITTAL NIPPON STEEL INDIA LIMITED</t>
  </si>
  <si>
    <t>2200000362</t>
  </si>
  <si>
    <t>22-11-2023</t>
  </si>
  <si>
    <t>EPTCL 400KV Sub-Station, Hazira, Surat.</t>
  </si>
  <si>
    <t>2200000377</t>
  </si>
  <si>
    <t>05-12-2023</t>
  </si>
  <si>
    <t>EPTCL 400KV Sub-Station, Hazira, Surat</t>
  </si>
  <si>
    <t>L&amp;T GREEN ENERGY KANDLA PRIVATE LIMITED</t>
  </si>
  <si>
    <t>2200003943</t>
  </si>
  <si>
    <t>04-07-2026</t>
  </si>
  <si>
    <t>Kandla (GIS) S/s</t>
  </si>
  <si>
    <t>2200002406</t>
  </si>
  <si>
    <t>09-09-2025</t>
  </si>
  <si>
    <t>400/220 KV Jam Khambhaliya (GIS)</t>
  </si>
  <si>
    <t>2200002407</t>
  </si>
  <si>
    <t>2200002408</t>
  </si>
  <si>
    <t>2200003847</t>
  </si>
  <si>
    <t>PGCIL Vadodara S/s</t>
  </si>
  <si>
    <t>2200004129</t>
  </si>
  <si>
    <t>New S/s near RIL Jamnagar</t>
  </si>
  <si>
    <t>2200004130</t>
  </si>
  <si>
    <t>2200004131</t>
  </si>
  <si>
    <t>2200004132</t>
  </si>
  <si>
    <t>2200004124</t>
  </si>
  <si>
    <t>2200004123</t>
  </si>
  <si>
    <t>2200004122</t>
  </si>
  <si>
    <t>2200004121</t>
  </si>
  <si>
    <t>2200004120</t>
  </si>
  <si>
    <t>2200004119</t>
  </si>
  <si>
    <t>2200004219</t>
  </si>
  <si>
    <t>2200004221</t>
  </si>
  <si>
    <t>2200004222</t>
  </si>
  <si>
    <t>IMPECCABLE POWER SOLUTIONS PRIVATE LIMITED</t>
  </si>
  <si>
    <t>2200004187</t>
  </si>
  <si>
    <t>27-08-2026</t>
  </si>
  <si>
    <t>BAHADURGARH</t>
  </si>
  <si>
    <t>SITAC DC INFRA PRIVATE LIMITED</t>
  </si>
  <si>
    <t>2200004115</t>
  </si>
  <si>
    <t>12-08-2026</t>
  </si>
  <si>
    <t>Bidar</t>
  </si>
  <si>
    <t>SITAC DC PRIVATE LIMITED</t>
  </si>
  <si>
    <t>2200004189</t>
  </si>
  <si>
    <t>TUMKUR</t>
  </si>
  <si>
    <t>HINDALCO INDUSTRIES LIMITED</t>
  </si>
  <si>
    <t>2200000627</t>
  </si>
  <si>
    <t>21-03-2024</t>
  </si>
  <si>
    <t>Vindhyachal Pulling Station</t>
  </si>
  <si>
    <t>NTPC RENEWABLE ENERGY LIMITED</t>
  </si>
  <si>
    <t>2200003898</t>
  </si>
  <si>
    <t>26-06-2026</t>
  </si>
  <si>
    <t>Rajgarh(PG)</t>
  </si>
  <si>
    <t>2200003697</t>
  </si>
  <si>
    <t>15-05-2026</t>
  </si>
  <si>
    <t>LILO of 400kV Padghe-Kharghar</t>
  </si>
  <si>
    <t>2200003698</t>
  </si>
  <si>
    <t>2200003699</t>
  </si>
  <si>
    <t>2200003700</t>
  </si>
  <si>
    <t>2200003702</t>
  </si>
  <si>
    <t>2200003703</t>
  </si>
  <si>
    <t>2200003704</t>
  </si>
  <si>
    <t>2200003705</t>
  </si>
  <si>
    <t>2200003706</t>
  </si>
  <si>
    <t>2200003696</t>
  </si>
  <si>
    <t>04-06-2026</t>
  </si>
  <si>
    <t>SUPPORT PROPERTIES PRIVATE LIMITED</t>
  </si>
  <si>
    <t>2200000952</t>
  </si>
  <si>
    <t>02-07-2024</t>
  </si>
  <si>
    <t>400KV Power Grid Navi Mumbai (GIS) Substation</t>
  </si>
  <si>
    <t>2200000963</t>
  </si>
  <si>
    <t>2200000951</t>
  </si>
  <si>
    <t>2200000950</t>
  </si>
  <si>
    <t>2200000966</t>
  </si>
  <si>
    <t>2200000965</t>
  </si>
  <si>
    <t>2200000949</t>
  </si>
  <si>
    <t>2200000962</t>
  </si>
  <si>
    <t>2200000959</t>
  </si>
  <si>
    <t>2200000957</t>
  </si>
  <si>
    <t>2200000960</t>
  </si>
  <si>
    <t>2200000961</t>
  </si>
  <si>
    <t>2200000964</t>
  </si>
  <si>
    <t>2200002962</t>
  </si>
  <si>
    <t>12-01-2026</t>
  </si>
  <si>
    <t>2200002964</t>
  </si>
  <si>
    <t>2200002965</t>
  </si>
  <si>
    <t>2200002966</t>
  </si>
  <si>
    <t>fA&amp;CAO Central Railway</t>
  </si>
  <si>
    <t>2200000613</t>
  </si>
  <si>
    <t>19-03-2024</t>
  </si>
  <si>
    <t>Talegaon</t>
  </si>
  <si>
    <t>2200003846</t>
  </si>
  <si>
    <t>LILO at line -'400/220 KV Pune (Talegaon AIS) to RIL Nagothane'</t>
  </si>
  <si>
    <t>VARDHEXA DATA CENTRE PRIVATE LIMITED</t>
  </si>
  <si>
    <t>2200004328</t>
  </si>
  <si>
    <t>16-09-2026</t>
  </si>
  <si>
    <t>PUNE (TALEGAON)</t>
  </si>
  <si>
    <t>ACME CLEANTECH SOLUTIONS PRIVATE LIMITED</t>
  </si>
  <si>
    <t>2200003016</t>
  </si>
  <si>
    <t>09-01-2026</t>
  </si>
  <si>
    <t>Gopalpur</t>
  </si>
  <si>
    <t>2200003064</t>
  </si>
  <si>
    <t>23-01-2026</t>
  </si>
  <si>
    <t>Paradeep</t>
  </si>
  <si>
    <t>2200003065</t>
  </si>
  <si>
    <t>2200004149</t>
  </si>
  <si>
    <t>18-08-2026</t>
  </si>
  <si>
    <t>Gopalpur 765/400kv ISTS SS</t>
  </si>
  <si>
    <t>2200004150</t>
  </si>
  <si>
    <t>2200004153</t>
  </si>
  <si>
    <t>2200004156</t>
  </si>
  <si>
    <t>2200004376</t>
  </si>
  <si>
    <t>2200000206</t>
  </si>
  <si>
    <t>28-08-2023</t>
  </si>
  <si>
    <t>Proposed Kendrapara 765kV/400kV substation</t>
  </si>
  <si>
    <t>HHP FIVE PRIVATE LIMITED</t>
  </si>
  <si>
    <t>2200003897</t>
  </si>
  <si>
    <t>Gopalpur Odisha</t>
  </si>
  <si>
    <t>JAKSON GREEN GOPALPUR PRIVATE LIMITED</t>
  </si>
  <si>
    <t>2200003901</t>
  </si>
  <si>
    <t>Gopalpur Substation</t>
  </si>
  <si>
    <t>JIRIBAM SOLAR POWER PRIVATE LIMITED</t>
  </si>
  <si>
    <t>2200003971</t>
  </si>
  <si>
    <t>14-07-2026</t>
  </si>
  <si>
    <t>OCIOR ENERGY GOPALPUR ONE PRIVATE LIMITED</t>
  </si>
  <si>
    <t>2200003030</t>
  </si>
  <si>
    <t>16-01-2026</t>
  </si>
  <si>
    <t>HINDUSTAN ZINC LIMITED</t>
  </si>
  <si>
    <t>2200000457</t>
  </si>
  <si>
    <t>13-02-2024</t>
  </si>
  <si>
    <t>Kankroli</t>
  </si>
  <si>
    <t>2200001595</t>
  </si>
  <si>
    <t>13-02-2025</t>
  </si>
  <si>
    <t>PGCIL Chittorgarh</t>
  </si>
  <si>
    <t>ANVORA CLOUD SERVICES PRIVATE LIMITED</t>
  </si>
  <si>
    <t>2200004329</t>
  </si>
  <si>
    <t>BASSI</t>
  </si>
  <si>
    <t>Indian Railways</t>
  </si>
  <si>
    <t>2200002160</t>
  </si>
  <si>
    <t>13-06-2025</t>
  </si>
  <si>
    <t>Salem</t>
  </si>
  <si>
    <t>2200002379</t>
  </si>
  <si>
    <t>02-09-2025</t>
  </si>
  <si>
    <t>THIRUVALAM ( KLR - MDS, TOWER NO. 0464 )</t>
  </si>
  <si>
    <t>2200004114</t>
  </si>
  <si>
    <t>Tutticorin II</t>
  </si>
  <si>
    <t>CHANDENVALLE INFRA PARK LIMITED</t>
  </si>
  <si>
    <t>2200003988</t>
  </si>
  <si>
    <t>03-08-2026</t>
  </si>
  <si>
    <t>LILO of 400kV Doma-Kethireddypally (Nearest Substation is DOMA)</t>
  </si>
  <si>
    <t>2200003992</t>
  </si>
  <si>
    <t>2200003993</t>
  </si>
  <si>
    <t>2200003994</t>
  </si>
  <si>
    <t>2200003996</t>
  </si>
  <si>
    <t>GIRIDHARI BUILD ESTATE LIMITED</t>
  </si>
  <si>
    <t>2200003404</t>
  </si>
  <si>
    <t>26-02-2026</t>
  </si>
  <si>
    <t>Power Grid Maheswaran Substation</t>
  </si>
  <si>
    <t>2200003406</t>
  </si>
  <si>
    <t>Power Grid Maheswaram Substation</t>
  </si>
  <si>
    <t>2200003407</t>
  </si>
  <si>
    <t>2200003408</t>
  </si>
  <si>
    <t>2200004005</t>
  </si>
  <si>
    <t>LILO of 765kV Bidar PS- Maheshwaram TL, (From the existing LILO connectivity provided to Granthik and Giridhari )</t>
  </si>
  <si>
    <t>2200004004</t>
  </si>
  <si>
    <t>LILO of 765kV Bidar PS- Maheshwaram TL (From the existing LILO connectivity provided to Granthik and Giridhari)</t>
  </si>
  <si>
    <t>2200004003</t>
  </si>
  <si>
    <t>2200004002</t>
  </si>
  <si>
    <t>GRANTHIK REALTORS PRIVATE LIMITED</t>
  </si>
  <si>
    <t>2200003388</t>
  </si>
  <si>
    <t>23-02-2026</t>
  </si>
  <si>
    <t>2200003390</t>
  </si>
  <si>
    <t>2200003391</t>
  </si>
  <si>
    <t>MADHUVANTI BUILD ESTATE LIMITED</t>
  </si>
  <si>
    <t>2200003997</t>
  </si>
  <si>
    <t>2200003998</t>
  </si>
  <si>
    <t>2200003999</t>
  </si>
  <si>
    <t>2200004000</t>
  </si>
  <si>
    <t>2200004001</t>
  </si>
  <si>
    <t>AVRENTA DATA CENTRE PRIVATE LIMITED</t>
  </si>
  <si>
    <t>2200004325</t>
  </si>
  <si>
    <t>18-09-2026</t>
  </si>
  <si>
    <t>MAHESHWARAM</t>
  </si>
  <si>
    <t>HYPERVAULT AI DATA CENTER LIMITED</t>
  </si>
  <si>
    <t>2200003810</t>
  </si>
  <si>
    <t>24-06-2026</t>
  </si>
  <si>
    <t>Maheshwaram substation</t>
  </si>
  <si>
    <t>2200004386</t>
  </si>
  <si>
    <t>25-09-2026</t>
  </si>
  <si>
    <t>Maheshwaram Sub station</t>
  </si>
  <si>
    <t>2200001656</t>
  </si>
  <si>
    <t>06-02-2025</t>
  </si>
  <si>
    <t>NAINI</t>
  </si>
  <si>
    <t>Source: CTUIL, 'Status of Application under GNA Regulation' - tab 'Application under Regulation 20.1, 20.3 and 20.4 ...', rows where Nature of Applicant = Bulk consumer; downloaded 19-Oct-2026 from https://ctuil.in/nswsapi/gna</t>
  </si>
  <si>
    <t>Rules: 20 CLOSED applications (5,329 MW) excluded; 2 applications with blank status (2,550 MW) treated as Under Process; State derived from the interconnection substation named in the filing (Kala = PGCIL Kala, Dadra &amp; Nagar Haveli).</t>
  </si>
  <si>
    <t>Group mapping per user's research (Adani Group, SITAC Group, Rays Power, Hygenco, NTPC*, etc.); edit column B to change it - the other sheets update.</t>
  </si>
  <si>
    <t>State x company group - Under Process only (GW)</t>
  </si>
  <si>
    <t>State x company group - Approved only (GW)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</si>
</sst>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-#,##0.0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i/>
      <sz val="9"/>
      <name val="Arial"/>
    </font>
    <font>
      <b/>
      <sz val="13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3" fillId="0" borderId="0" xfId="0" applyFont="1"/>
    <xf numFmtId="0" fontId="1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5" fillId="0" borderId="0" xfId="0" applyFont="1"/>
    <xf numFmtId="164" fontId="5" fillId="0" borderId="1" xfId="0" applyNumberFormat="1" applyFont="1" applyBorder="1"/>
    <xf numFmtId="3" fontId="3" fillId="0" borderId="0" xfId="0" applyNumberFormat="1" applyFont="1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/>
    <xf numFmtId="0" fontId="1" fillId="2" borderId="1" xfId="0" applyFont="1" applyFill="1" applyBorder="1" applyAlignment="1">
      <alignment wrapText="1"/>
    </xf>
    <xf numFmtId="0" fontId="2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Bulk power applications to ISTS by state (GW)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By_State!$B$4</c:f>
              <c:strCache>
                <c:ptCount val="1"/>
                <c:pt idx="0">
                  <c:v>Under process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By_State!$A$5:$A$17</c:f>
              <c:strCache>
                <c:ptCount val="13"/>
                <c:pt idx="0">
                  <c:v>Gujarat</c:v>
                </c:pt>
                <c:pt idx="1">
                  <c:v>Odisha</c:v>
                </c:pt>
                <c:pt idx="2">
                  <c:v>Andhra Pradesh</c:v>
                </c:pt>
                <c:pt idx="3">
                  <c:v>Telangana</c:v>
                </c:pt>
                <c:pt idx="4">
                  <c:v>Maharashtra</c:v>
                </c:pt>
                <c:pt idx="5">
                  <c:v>Rajasthan</c:v>
                </c:pt>
                <c:pt idx="6">
                  <c:v>Chhattisgarh</c:v>
                </c:pt>
                <c:pt idx="7">
                  <c:v>Madhya Pradesh</c:v>
                </c:pt>
                <c:pt idx="8">
                  <c:v>Tamil Nadu</c:v>
                </c:pt>
                <c:pt idx="9">
                  <c:v>Karnataka</c:v>
                </c:pt>
                <c:pt idx="10">
                  <c:v>Dadra &amp; Nagar Haveli (UT)</c:v>
                </c:pt>
                <c:pt idx="11">
                  <c:v>Haryana</c:v>
                </c:pt>
                <c:pt idx="12">
                  <c:v>Uttar Pradesh</c:v>
                </c:pt>
              </c:strCache>
            </c:strRef>
          </c:cat>
          <c:val>
            <c:numRef>
              <c:f>By_State!$B$5:$B$17</c:f>
              <c:numCache>
                <c:formatCode>#,##0.0;\-#,##0.0;"-"</c:formatCode>
                <c:ptCount val="13"/>
                <c:pt idx="0">
                  <c:v>17.18</c:v>
                </c:pt>
                <c:pt idx="1">
                  <c:v>11.275</c:v>
                </c:pt>
                <c:pt idx="2">
                  <c:v>6.2729999999999997</c:v>
                </c:pt>
                <c:pt idx="3">
                  <c:v>4.0519999999999996</c:v>
                </c:pt>
                <c:pt idx="4">
                  <c:v>0.65</c:v>
                </c:pt>
                <c:pt idx="5">
                  <c:v>0.15</c:v>
                </c:pt>
                <c:pt idx="6">
                  <c:v>0</c:v>
                </c:pt>
                <c:pt idx="7">
                  <c:v>0.21</c:v>
                </c:pt>
                <c:pt idx="8">
                  <c:v>0.20499999999999999</c:v>
                </c:pt>
                <c:pt idx="9">
                  <c:v>0.12</c:v>
                </c:pt>
                <c:pt idx="10">
                  <c:v>0.05</c:v>
                </c:pt>
                <c:pt idx="11">
                  <c:v>0.05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A-4157-BBB6-55136DCDB668}"/>
            </c:ext>
          </c:extLst>
        </c:ser>
        <c:ser>
          <c:idx val="1"/>
          <c:order val="1"/>
          <c:tx>
            <c:strRef>
              <c:f>By_State!$C$4</c:f>
              <c:strCache>
                <c:ptCount val="1"/>
                <c:pt idx="0">
                  <c:v>Approved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By_State!$A$5:$A$17</c:f>
              <c:strCache>
                <c:ptCount val="13"/>
                <c:pt idx="0">
                  <c:v>Gujarat</c:v>
                </c:pt>
                <c:pt idx="1">
                  <c:v>Odisha</c:v>
                </c:pt>
                <c:pt idx="2">
                  <c:v>Andhra Pradesh</c:v>
                </c:pt>
                <c:pt idx="3">
                  <c:v>Telangana</c:v>
                </c:pt>
                <c:pt idx="4">
                  <c:v>Maharashtra</c:v>
                </c:pt>
                <c:pt idx="5">
                  <c:v>Rajasthan</c:v>
                </c:pt>
                <c:pt idx="6">
                  <c:v>Chhattisgarh</c:v>
                </c:pt>
                <c:pt idx="7">
                  <c:v>Madhya Pradesh</c:v>
                </c:pt>
                <c:pt idx="8">
                  <c:v>Tamil Nadu</c:v>
                </c:pt>
                <c:pt idx="9">
                  <c:v>Karnataka</c:v>
                </c:pt>
                <c:pt idx="10">
                  <c:v>Dadra &amp; Nagar Haveli (UT)</c:v>
                </c:pt>
                <c:pt idx="11">
                  <c:v>Haryana</c:v>
                </c:pt>
                <c:pt idx="12">
                  <c:v>Uttar Pradesh</c:v>
                </c:pt>
              </c:strCache>
            </c:strRef>
          </c:cat>
          <c:val>
            <c:numRef>
              <c:f>By_State!$C$5:$C$17</c:f>
              <c:numCache>
                <c:formatCode>#,##0.0;\-#,##0.0;"-"</c:formatCode>
                <c:ptCount val="13"/>
                <c:pt idx="0">
                  <c:v>1.627</c:v>
                </c:pt>
                <c:pt idx="1">
                  <c:v>0.432</c:v>
                </c:pt>
                <c:pt idx="2">
                  <c:v>0</c:v>
                </c:pt>
                <c:pt idx="3">
                  <c:v>0</c:v>
                </c:pt>
                <c:pt idx="4">
                  <c:v>1.518</c:v>
                </c:pt>
                <c:pt idx="5">
                  <c:v>0.22</c:v>
                </c:pt>
                <c:pt idx="6">
                  <c:v>0.36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A-4157-BBB6-55136DCDB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GW</a:t>
                </a:r>
              </a:p>
            </c:rich>
          </c:tx>
          <c:overlay val="1"/>
        </c:title>
        <c:numFmt formatCode="#,##0.0;\-#,##0.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cols>
    <col min="1" max="1" width="26" customWidth="1"/>
    <col min="2" max="2" width="14" customWidth="1"/>
    <col min="3" max="4" width="12" customWidth="1"/>
  </cols>
  <sheetData>
    <row r="1" spans="1:4" ht="16.5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f>SUMIFS(Data!$E$2:$E$164,Data!$G$2:$G$164,$A5,Data!$I$2:$I$164,"Under Process")/1000</f>
        <v>17.18</v>
      </c>
      <c r="C5" s="5">
        <f>SUMIFS(Data!$E$2:$E$164,Data!$G$2:$G$164,$A5,Data!$I$2:$I$164,"Approved")/1000</f>
        <v>1.627</v>
      </c>
      <c r="D5" s="5">
        <f t="shared" ref="D5:D17" si="0">B5+C5</f>
        <v>18.806999999999999</v>
      </c>
    </row>
    <row r="6" spans="1:4" x14ac:dyDescent="0.25">
      <c r="A6" s="4" t="s">
        <v>7</v>
      </c>
      <c r="B6" s="5">
        <f>SUMIFS(Data!$E$2:$E$164,Data!$G$2:$G$164,$A6,Data!$I$2:$I$164,"Under Process")/1000</f>
        <v>11.275</v>
      </c>
      <c r="C6" s="5">
        <f>SUMIFS(Data!$E$2:$E$164,Data!$G$2:$G$164,$A6,Data!$I$2:$I$164,"Approved")/1000</f>
        <v>0.432</v>
      </c>
      <c r="D6" s="5">
        <f t="shared" si="0"/>
        <v>11.707000000000001</v>
      </c>
    </row>
    <row r="7" spans="1:4" x14ac:dyDescent="0.25">
      <c r="A7" s="4" t="s">
        <v>8</v>
      </c>
      <c r="B7" s="5">
        <f>SUMIFS(Data!$E$2:$E$164,Data!$G$2:$G$164,$A7,Data!$I$2:$I$164,"Under Process")/1000</f>
        <v>6.2729999999999997</v>
      </c>
      <c r="C7" s="5">
        <f>SUMIFS(Data!$E$2:$E$164,Data!$G$2:$G$164,$A7,Data!$I$2:$I$164,"Approved")/1000</f>
        <v>0</v>
      </c>
      <c r="D7" s="5">
        <f t="shared" si="0"/>
        <v>6.2729999999999997</v>
      </c>
    </row>
    <row r="8" spans="1:4" x14ac:dyDescent="0.25">
      <c r="A8" s="4" t="s">
        <v>9</v>
      </c>
      <c r="B8" s="5">
        <f>SUMIFS(Data!$E$2:$E$164,Data!$G$2:$G$164,$A8,Data!$I$2:$I$164,"Under Process")/1000</f>
        <v>4.0519999999999996</v>
      </c>
      <c r="C8" s="5">
        <f>SUMIFS(Data!$E$2:$E$164,Data!$G$2:$G$164,$A8,Data!$I$2:$I$164,"Approved")/1000</f>
        <v>0</v>
      </c>
      <c r="D8" s="5">
        <f t="shared" si="0"/>
        <v>4.0519999999999996</v>
      </c>
    </row>
    <row r="9" spans="1:4" x14ac:dyDescent="0.25">
      <c r="A9" s="4" t="s">
        <v>10</v>
      </c>
      <c r="B9" s="5">
        <f>SUMIFS(Data!$E$2:$E$164,Data!$G$2:$G$164,$A9,Data!$I$2:$I$164,"Under Process")/1000</f>
        <v>0.65</v>
      </c>
      <c r="C9" s="5">
        <f>SUMIFS(Data!$E$2:$E$164,Data!$G$2:$G$164,$A9,Data!$I$2:$I$164,"Approved")/1000</f>
        <v>1.518</v>
      </c>
      <c r="D9" s="5">
        <f t="shared" si="0"/>
        <v>2.1680000000000001</v>
      </c>
    </row>
    <row r="10" spans="1:4" x14ac:dyDescent="0.25">
      <c r="A10" s="4" t="s">
        <v>11</v>
      </c>
      <c r="B10" s="5">
        <f>SUMIFS(Data!$E$2:$E$164,Data!$G$2:$G$164,$A10,Data!$I$2:$I$164,"Under Process")/1000</f>
        <v>0.15</v>
      </c>
      <c r="C10" s="5">
        <f>SUMIFS(Data!$E$2:$E$164,Data!$G$2:$G$164,$A10,Data!$I$2:$I$164,"Approved")/1000</f>
        <v>0.22</v>
      </c>
      <c r="D10" s="5">
        <f t="shared" si="0"/>
        <v>0.37</v>
      </c>
    </row>
    <row r="11" spans="1:4" x14ac:dyDescent="0.25">
      <c r="A11" s="4" t="s">
        <v>12</v>
      </c>
      <c r="B11" s="5">
        <f>SUMIFS(Data!$E$2:$E$164,Data!$G$2:$G$164,$A11,Data!$I$2:$I$164,"Under Process")/1000</f>
        <v>0</v>
      </c>
      <c r="C11" s="5">
        <f>SUMIFS(Data!$E$2:$E$164,Data!$G$2:$G$164,$A11,Data!$I$2:$I$164,"Approved")/1000</f>
        <v>0.36</v>
      </c>
      <c r="D11" s="5">
        <f t="shared" si="0"/>
        <v>0.36</v>
      </c>
    </row>
    <row r="12" spans="1:4" x14ac:dyDescent="0.25">
      <c r="A12" s="4" t="s">
        <v>13</v>
      </c>
      <c r="B12" s="5">
        <f>SUMIFS(Data!$E$2:$E$164,Data!$G$2:$G$164,$A12,Data!$I$2:$I$164,"Under Process")/1000</f>
        <v>0.21</v>
      </c>
      <c r="C12" s="5">
        <f>SUMIFS(Data!$E$2:$E$164,Data!$G$2:$G$164,$A12,Data!$I$2:$I$164,"Approved")/1000</f>
        <v>0</v>
      </c>
      <c r="D12" s="5">
        <f t="shared" si="0"/>
        <v>0.21</v>
      </c>
    </row>
    <row r="13" spans="1:4" x14ac:dyDescent="0.25">
      <c r="A13" s="4" t="s">
        <v>14</v>
      </c>
      <c r="B13" s="5">
        <f>SUMIFS(Data!$E$2:$E$164,Data!$G$2:$G$164,$A13,Data!$I$2:$I$164,"Under Process")/1000</f>
        <v>0.20499999999999999</v>
      </c>
      <c r="C13" s="5">
        <f>SUMIFS(Data!$E$2:$E$164,Data!$G$2:$G$164,$A13,Data!$I$2:$I$164,"Approved")/1000</f>
        <v>0</v>
      </c>
      <c r="D13" s="5">
        <f t="shared" si="0"/>
        <v>0.20499999999999999</v>
      </c>
    </row>
    <row r="14" spans="1:4" x14ac:dyDescent="0.25">
      <c r="A14" s="4" t="s">
        <v>15</v>
      </c>
      <c r="B14" s="5">
        <f>SUMIFS(Data!$E$2:$E$164,Data!$G$2:$G$164,$A14,Data!$I$2:$I$164,"Under Process")/1000</f>
        <v>0.12</v>
      </c>
      <c r="C14" s="5">
        <f>SUMIFS(Data!$E$2:$E$164,Data!$G$2:$G$164,$A14,Data!$I$2:$I$164,"Approved")/1000</f>
        <v>0</v>
      </c>
      <c r="D14" s="5">
        <f t="shared" si="0"/>
        <v>0.12</v>
      </c>
    </row>
    <row r="15" spans="1:4" x14ac:dyDescent="0.25">
      <c r="A15" s="4" t="s">
        <v>16</v>
      </c>
      <c r="B15" s="5">
        <f>SUMIFS(Data!$E$2:$E$164,Data!$G$2:$G$164,$A15,Data!$I$2:$I$164,"Under Process")/1000</f>
        <v>0.05</v>
      </c>
      <c r="C15" s="5">
        <f>SUMIFS(Data!$E$2:$E$164,Data!$G$2:$G$164,$A15,Data!$I$2:$I$164,"Approved")/1000</f>
        <v>0</v>
      </c>
      <c r="D15" s="5">
        <f t="shared" si="0"/>
        <v>0.05</v>
      </c>
    </row>
    <row r="16" spans="1:4" x14ac:dyDescent="0.25">
      <c r="A16" s="4" t="s">
        <v>17</v>
      </c>
      <c r="B16" s="5">
        <f>SUMIFS(Data!$E$2:$E$164,Data!$G$2:$G$164,$A16,Data!$I$2:$I$164,"Under Process")/1000</f>
        <v>0.05</v>
      </c>
      <c r="C16" s="5">
        <f>SUMIFS(Data!$E$2:$E$164,Data!$G$2:$G$164,$A16,Data!$I$2:$I$164,"Approved")/1000</f>
        <v>0</v>
      </c>
      <c r="D16" s="5">
        <f t="shared" si="0"/>
        <v>0.05</v>
      </c>
    </row>
    <row r="17" spans="1:4" x14ac:dyDescent="0.25">
      <c r="A17" s="4" t="s">
        <v>18</v>
      </c>
      <c r="B17" s="5">
        <f>SUMIFS(Data!$E$2:$E$164,Data!$G$2:$G$164,$A17,Data!$I$2:$I$164,"Under Process")/1000</f>
        <v>0</v>
      </c>
      <c r="C17" s="5">
        <f>SUMIFS(Data!$E$2:$E$164,Data!$G$2:$G$164,$A17,Data!$I$2:$I$164,"Approved")/1000</f>
        <v>0.05</v>
      </c>
      <c r="D17" s="5">
        <f t="shared" si="0"/>
        <v>0.05</v>
      </c>
    </row>
    <row r="18" spans="1:4" x14ac:dyDescent="0.25">
      <c r="A18" s="6" t="s">
        <v>5</v>
      </c>
      <c r="B18" s="7">
        <f>SUM(B5:B17)</f>
        <v>40.214999999999982</v>
      </c>
      <c r="C18" s="7">
        <f>SUM(C5:C17)</f>
        <v>4.2069999999999999</v>
      </c>
      <c r="D18" s="7">
        <f>SUM(D5:D17)</f>
        <v>44.421999999999983</v>
      </c>
    </row>
    <row r="19" spans="1:4" x14ac:dyDescent="0.25">
      <c r="A19" s="2" t="s">
        <v>19</v>
      </c>
      <c r="D19" s="8">
        <f>SUM(Data!$E$2:$E$164)</f>
        <v>44422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2" max="20" width="11" customWidth="1"/>
  </cols>
  <sheetData>
    <row r="1" spans="1:21" ht="16.5" x14ac:dyDescent="0.25">
      <c r="A1" s="1" t="s">
        <v>20</v>
      </c>
    </row>
    <row r="2" spans="1:21" x14ac:dyDescent="0.25">
      <c r="A2" s="2" t="s">
        <v>21</v>
      </c>
    </row>
    <row r="4" spans="1:21" ht="42" customHeight="1" x14ac:dyDescent="0.25">
      <c r="A4" s="3" t="s">
        <v>2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  <c r="K4" s="9" t="s">
        <v>31</v>
      </c>
      <c r="L4" s="9" t="s">
        <v>32</v>
      </c>
      <c r="M4" s="9" t="s">
        <v>33</v>
      </c>
      <c r="N4" s="9" t="s">
        <v>34</v>
      </c>
      <c r="O4" s="9" t="s">
        <v>35</v>
      </c>
      <c r="P4" s="9" t="s">
        <v>36</v>
      </c>
      <c r="Q4" s="9" t="s">
        <v>37</v>
      </c>
      <c r="R4" s="9" t="s">
        <v>38</v>
      </c>
      <c r="S4" s="9" t="s">
        <v>39</v>
      </c>
      <c r="T4" s="9" t="s">
        <v>40</v>
      </c>
      <c r="U4" s="3" t="s">
        <v>5</v>
      </c>
    </row>
    <row r="5" spans="1:21" x14ac:dyDescent="0.25">
      <c r="A5" s="4" t="s">
        <v>6</v>
      </c>
      <c r="B5" s="5">
        <f>SUMIFS(Data!$E$2:$E$164,Data!$G$2:$G$164,$A5,Data!$B$2:$B$164,B$4)/1000</f>
        <v>14.55</v>
      </c>
      <c r="C5" s="5">
        <f>SUMIFS(Data!$E$2:$E$164,Data!$G$2:$G$164,$A5,Data!$B$2:$B$164,C$4)/1000</f>
        <v>0</v>
      </c>
      <c r="D5" s="5">
        <f>SUMIFS(Data!$E$2:$E$164,Data!$G$2:$G$164,$A5,Data!$B$2:$B$164,D$4)/1000</f>
        <v>3.27</v>
      </c>
      <c r="E5" s="5">
        <f>SUMIFS(Data!$E$2:$E$164,Data!$G$2:$G$164,$A5,Data!$B$2:$B$164,E$4)/1000</f>
        <v>0</v>
      </c>
      <c r="F5" s="5">
        <f>SUMIFS(Data!$E$2:$E$164,Data!$G$2:$G$164,$A5,Data!$B$2:$B$164,F$4)/1000</f>
        <v>0</v>
      </c>
      <c r="G5" s="5">
        <f>SUMIFS(Data!$E$2:$E$164,Data!$G$2:$G$164,$A5,Data!$B$2:$B$164,G$4)/1000</f>
        <v>0.48699999999999999</v>
      </c>
      <c r="H5" s="5">
        <f>SUMIFS(Data!$E$2:$E$164,Data!$G$2:$G$164,$A5,Data!$B$2:$B$164,H$4)/1000</f>
        <v>0</v>
      </c>
      <c r="I5" s="5">
        <f>SUMIFS(Data!$E$2:$E$164,Data!$G$2:$G$164,$A5,Data!$B$2:$B$164,I$4)/1000</f>
        <v>0.5</v>
      </c>
      <c r="J5" s="5">
        <f>SUMIFS(Data!$E$2:$E$164,Data!$G$2:$G$164,$A5,Data!$B$2:$B$164,J$4)/1000</f>
        <v>0</v>
      </c>
      <c r="K5" s="5">
        <f>SUMIFS(Data!$E$2:$E$164,Data!$G$2:$G$164,$A5,Data!$B$2:$B$164,K$4)/1000</f>
        <v>0</v>
      </c>
      <c r="L5" s="5">
        <f>SUMIFS(Data!$E$2:$E$164,Data!$G$2:$G$164,$A5,Data!$B$2:$B$164,L$4)/1000</f>
        <v>0</v>
      </c>
      <c r="M5" s="5">
        <f>SUMIFS(Data!$E$2:$E$164,Data!$G$2:$G$164,$A5,Data!$B$2:$B$164,M$4)/1000</f>
        <v>0</v>
      </c>
      <c r="N5" s="5">
        <f>SUMIFS(Data!$E$2:$E$164,Data!$G$2:$G$164,$A5,Data!$B$2:$B$164,N$4)/1000</f>
        <v>0</v>
      </c>
      <c r="O5" s="5">
        <f>SUMIFS(Data!$E$2:$E$164,Data!$G$2:$G$164,$A5,Data!$B$2:$B$164,O$4)/1000</f>
        <v>0</v>
      </c>
      <c r="P5" s="5">
        <f>SUMIFS(Data!$E$2:$E$164,Data!$G$2:$G$164,$A5,Data!$B$2:$B$164,P$4)/1000</f>
        <v>0</v>
      </c>
      <c r="Q5" s="5">
        <f>SUMIFS(Data!$E$2:$E$164,Data!$G$2:$G$164,$A5,Data!$B$2:$B$164,Q$4)/1000</f>
        <v>0</v>
      </c>
      <c r="R5" s="5">
        <f>SUMIFS(Data!$E$2:$E$164,Data!$G$2:$G$164,$A5,Data!$B$2:$B$164,R$4)/1000</f>
        <v>0</v>
      </c>
      <c r="S5" s="5">
        <f>SUMIFS(Data!$E$2:$E$164,Data!$G$2:$G$164,$A5,Data!$B$2:$B$164,S$4)/1000</f>
        <v>0</v>
      </c>
      <c r="T5" s="5">
        <f>SUMIFS(Data!$E$2:$E$164,Data!$G$2:$G$164,$A5,Data!$B$2:$B$164,T$4)/1000</f>
        <v>0</v>
      </c>
      <c r="U5" s="7">
        <f t="shared" ref="U5:U17" si="0">SUM(B5:T5)</f>
        <v>18.806999999999999</v>
      </c>
    </row>
    <row r="6" spans="1:21" x14ac:dyDescent="0.25">
      <c r="A6" s="4" t="s">
        <v>7</v>
      </c>
      <c r="B6" s="5">
        <f>SUMIFS(Data!$E$2:$E$164,Data!$G$2:$G$164,$A6,Data!$B$2:$B$164,B$4)/1000</f>
        <v>0</v>
      </c>
      <c r="C6" s="5">
        <f>SUMIFS(Data!$E$2:$E$164,Data!$G$2:$G$164,$A6,Data!$B$2:$B$164,C$4)/1000</f>
        <v>10.1</v>
      </c>
      <c r="D6" s="5">
        <f>SUMIFS(Data!$E$2:$E$164,Data!$G$2:$G$164,$A6,Data!$B$2:$B$164,D$4)/1000</f>
        <v>0</v>
      </c>
      <c r="E6" s="5">
        <f>SUMIFS(Data!$E$2:$E$164,Data!$G$2:$G$164,$A6,Data!$B$2:$B$164,E$4)/1000</f>
        <v>0</v>
      </c>
      <c r="F6" s="5">
        <f>SUMIFS(Data!$E$2:$E$164,Data!$G$2:$G$164,$A6,Data!$B$2:$B$164,F$4)/1000</f>
        <v>0</v>
      </c>
      <c r="G6" s="5">
        <f>SUMIFS(Data!$E$2:$E$164,Data!$G$2:$G$164,$A6,Data!$B$2:$B$164,G$4)/1000</f>
        <v>0.432</v>
      </c>
      <c r="H6" s="5">
        <f>SUMIFS(Data!$E$2:$E$164,Data!$G$2:$G$164,$A6,Data!$B$2:$B$164,H$4)/1000</f>
        <v>0</v>
      </c>
      <c r="I6" s="5">
        <f>SUMIFS(Data!$E$2:$E$164,Data!$G$2:$G$164,$A6,Data!$B$2:$B$164,I$4)/1000</f>
        <v>0</v>
      </c>
      <c r="J6" s="5">
        <f>SUMIFS(Data!$E$2:$E$164,Data!$G$2:$G$164,$A6,Data!$B$2:$B$164,J$4)/1000</f>
        <v>0.5</v>
      </c>
      <c r="K6" s="5">
        <f>SUMIFS(Data!$E$2:$E$164,Data!$G$2:$G$164,$A6,Data!$B$2:$B$164,K$4)/1000</f>
        <v>0.42499999999999999</v>
      </c>
      <c r="L6" s="5">
        <f>SUMIFS(Data!$E$2:$E$164,Data!$G$2:$G$164,$A6,Data!$B$2:$B$164,L$4)/1000</f>
        <v>0</v>
      </c>
      <c r="M6" s="5">
        <f>SUMIFS(Data!$E$2:$E$164,Data!$G$2:$G$164,$A6,Data!$B$2:$B$164,M$4)/1000</f>
        <v>0</v>
      </c>
      <c r="N6" s="5">
        <f>SUMIFS(Data!$E$2:$E$164,Data!$G$2:$G$164,$A6,Data!$B$2:$B$164,N$4)/1000</f>
        <v>0.25</v>
      </c>
      <c r="O6" s="5">
        <f>SUMIFS(Data!$E$2:$E$164,Data!$G$2:$G$164,$A6,Data!$B$2:$B$164,O$4)/1000</f>
        <v>0</v>
      </c>
      <c r="P6" s="5">
        <f>SUMIFS(Data!$E$2:$E$164,Data!$G$2:$G$164,$A6,Data!$B$2:$B$164,P$4)/1000</f>
        <v>0</v>
      </c>
      <c r="Q6" s="5">
        <f>SUMIFS(Data!$E$2:$E$164,Data!$G$2:$G$164,$A6,Data!$B$2:$B$164,Q$4)/1000</f>
        <v>0</v>
      </c>
      <c r="R6" s="5">
        <f>SUMIFS(Data!$E$2:$E$164,Data!$G$2:$G$164,$A6,Data!$B$2:$B$164,R$4)/1000</f>
        <v>0</v>
      </c>
      <c r="S6" s="5">
        <f>SUMIFS(Data!$E$2:$E$164,Data!$G$2:$G$164,$A6,Data!$B$2:$B$164,S$4)/1000</f>
        <v>0</v>
      </c>
      <c r="T6" s="5">
        <f>SUMIFS(Data!$E$2:$E$164,Data!$G$2:$G$164,$A6,Data!$B$2:$B$164,T$4)/1000</f>
        <v>0</v>
      </c>
      <c r="U6" s="7">
        <f t="shared" si="0"/>
        <v>11.707000000000001</v>
      </c>
    </row>
    <row r="7" spans="1:21" x14ac:dyDescent="0.25">
      <c r="A7" s="4" t="s">
        <v>8</v>
      </c>
      <c r="B7" s="5">
        <f>SUMIFS(Data!$E$2:$E$164,Data!$G$2:$G$164,$A7,Data!$B$2:$B$164,B$4)/1000</f>
        <v>0</v>
      </c>
      <c r="C7" s="5">
        <f>SUMIFS(Data!$E$2:$E$164,Data!$G$2:$G$164,$A7,Data!$B$2:$B$164,C$4)/1000</f>
        <v>0</v>
      </c>
      <c r="D7" s="5">
        <f>SUMIFS(Data!$E$2:$E$164,Data!$G$2:$G$164,$A7,Data!$B$2:$B$164,D$4)/1000</f>
        <v>2.323</v>
      </c>
      <c r="E7" s="5">
        <f>SUMIFS(Data!$E$2:$E$164,Data!$G$2:$G$164,$A7,Data!$B$2:$B$164,E$4)/1000</f>
        <v>3.5</v>
      </c>
      <c r="F7" s="5">
        <f>SUMIFS(Data!$E$2:$E$164,Data!$G$2:$G$164,$A7,Data!$B$2:$B$164,F$4)/1000</f>
        <v>0</v>
      </c>
      <c r="G7" s="5">
        <f>SUMIFS(Data!$E$2:$E$164,Data!$G$2:$G$164,$A7,Data!$B$2:$B$164,G$4)/1000</f>
        <v>0</v>
      </c>
      <c r="H7" s="5">
        <f>SUMIFS(Data!$E$2:$E$164,Data!$G$2:$G$164,$A7,Data!$B$2:$B$164,H$4)/1000</f>
        <v>0.1</v>
      </c>
      <c r="I7" s="5">
        <f>SUMIFS(Data!$E$2:$E$164,Data!$G$2:$G$164,$A7,Data!$B$2:$B$164,I$4)/1000</f>
        <v>0</v>
      </c>
      <c r="J7" s="5">
        <f>SUMIFS(Data!$E$2:$E$164,Data!$G$2:$G$164,$A7,Data!$B$2:$B$164,J$4)/1000</f>
        <v>0</v>
      </c>
      <c r="K7" s="5">
        <f>SUMIFS(Data!$E$2:$E$164,Data!$G$2:$G$164,$A7,Data!$B$2:$B$164,K$4)/1000</f>
        <v>0</v>
      </c>
      <c r="L7" s="5">
        <f>SUMIFS(Data!$E$2:$E$164,Data!$G$2:$G$164,$A7,Data!$B$2:$B$164,L$4)/1000</f>
        <v>0</v>
      </c>
      <c r="M7" s="5">
        <f>SUMIFS(Data!$E$2:$E$164,Data!$G$2:$G$164,$A7,Data!$B$2:$B$164,M$4)/1000</f>
        <v>0</v>
      </c>
      <c r="N7" s="5">
        <f>SUMIFS(Data!$E$2:$E$164,Data!$G$2:$G$164,$A7,Data!$B$2:$B$164,N$4)/1000</f>
        <v>0</v>
      </c>
      <c r="O7" s="5">
        <f>SUMIFS(Data!$E$2:$E$164,Data!$G$2:$G$164,$A7,Data!$B$2:$B$164,O$4)/1000</f>
        <v>0</v>
      </c>
      <c r="P7" s="5">
        <f>SUMIFS(Data!$E$2:$E$164,Data!$G$2:$G$164,$A7,Data!$B$2:$B$164,P$4)/1000</f>
        <v>0.15</v>
      </c>
      <c r="Q7" s="5">
        <f>SUMIFS(Data!$E$2:$E$164,Data!$G$2:$G$164,$A7,Data!$B$2:$B$164,Q$4)/1000</f>
        <v>0.15</v>
      </c>
      <c r="R7" s="5">
        <f>SUMIFS(Data!$E$2:$E$164,Data!$G$2:$G$164,$A7,Data!$B$2:$B$164,R$4)/1000</f>
        <v>0</v>
      </c>
      <c r="S7" s="5">
        <f>SUMIFS(Data!$E$2:$E$164,Data!$G$2:$G$164,$A7,Data!$B$2:$B$164,S$4)/1000</f>
        <v>0</v>
      </c>
      <c r="T7" s="5">
        <f>SUMIFS(Data!$E$2:$E$164,Data!$G$2:$G$164,$A7,Data!$B$2:$B$164,T$4)/1000</f>
        <v>0.05</v>
      </c>
      <c r="U7" s="7">
        <f t="shared" si="0"/>
        <v>6.2730000000000006</v>
      </c>
    </row>
    <row r="8" spans="1:21" x14ac:dyDescent="0.25">
      <c r="A8" s="4" t="s">
        <v>9</v>
      </c>
      <c r="B8" s="5">
        <f>SUMIFS(Data!$E$2:$E$164,Data!$G$2:$G$164,$A8,Data!$B$2:$B$164,B$4)/1000</f>
        <v>0</v>
      </c>
      <c r="C8" s="5">
        <f>SUMIFS(Data!$E$2:$E$164,Data!$G$2:$G$164,$A8,Data!$B$2:$B$164,C$4)/1000</f>
        <v>0</v>
      </c>
      <c r="D8" s="5">
        <f>SUMIFS(Data!$E$2:$E$164,Data!$G$2:$G$164,$A8,Data!$B$2:$B$164,D$4)/1000</f>
        <v>2.4020000000000001</v>
      </c>
      <c r="E8" s="5">
        <f>SUMIFS(Data!$E$2:$E$164,Data!$G$2:$G$164,$A8,Data!$B$2:$B$164,E$4)/1000</f>
        <v>0</v>
      </c>
      <c r="F8" s="5">
        <f>SUMIFS(Data!$E$2:$E$164,Data!$G$2:$G$164,$A8,Data!$B$2:$B$164,F$4)/1000</f>
        <v>1.55</v>
      </c>
      <c r="G8" s="5">
        <f>SUMIFS(Data!$E$2:$E$164,Data!$G$2:$G$164,$A8,Data!$B$2:$B$164,G$4)/1000</f>
        <v>0</v>
      </c>
      <c r="H8" s="5">
        <f>SUMIFS(Data!$E$2:$E$164,Data!$G$2:$G$164,$A8,Data!$B$2:$B$164,H$4)/1000</f>
        <v>0.1</v>
      </c>
      <c r="I8" s="5">
        <f>SUMIFS(Data!$E$2:$E$164,Data!$G$2:$G$164,$A8,Data!$B$2:$B$164,I$4)/1000</f>
        <v>0</v>
      </c>
      <c r="J8" s="5">
        <f>SUMIFS(Data!$E$2:$E$164,Data!$G$2:$G$164,$A8,Data!$B$2:$B$164,J$4)/1000</f>
        <v>0</v>
      </c>
      <c r="K8" s="5">
        <f>SUMIFS(Data!$E$2:$E$164,Data!$G$2:$G$164,$A8,Data!$B$2:$B$164,K$4)/1000</f>
        <v>0</v>
      </c>
      <c r="L8" s="5">
        <f>SUMIFS(Data!$E$2:$E$164,Data!$G$2:$G$164,$A8,Data!$B$2:$B$164,L$4)/1000</f>
        <v>0</v>
      </c>
      <c r="M8" s="5">
        <f>SUMIFS(Data!$E$2:$E$164,Data!$G$2:$G$164,$A8,Data!$B$2:$B$164,M$4)/1000</f>
        <v>0</v>
      </c>
      <c r="N8" s="5">
        <f>SUMIFS(Data!$E$2:$E$164,Data!$G$2:$G$164,$A8,Data!$B$2:$B$164,N$4)/1000</f>
        <v>0</v>
      </c>
      <c r="O8" s="5">
        <f>SUMIFS(Data!$E$2:$E$164,Data!$G$2:$G$164,$A8,Data!$B$2:$B$164,O$4)/1000</f>
        <v>0</v>
      </c>
      <c r="P8" s="5">
        <f>SUMIFS(Data!$E$2:$E$164,Data!$G$2:$G$164,$A8,Data!$B$2:$B$164,P$4)/1000</f>
        <v>0</v>
      </c>
      <c r="Q8" s="5">
        <f>SUMIFS(Data!$E$2:$E$164,Data!$G$2:$G$164,$A8,Data!$B$2:$B$164,Q$4)/1000</f>
        <v>0</v>
      </c>
      <c r="R8" s="5">
        <f>SUMIFS(Data!$E$2:$E$164,Data!$G$2:$G$164,$A8,Data!$B$2:$B$164,R$4)/1000</f>
        <v>0</v>
      </c>
      <c r="S8" s="5">
        <f>SUMIFS(Data!$E$2:$E$164,Data!$G$2:$G$164,$A8,Data!$B$2:$B$164,S$4)/1000</f>
        <v>0</v>
      </c>
      <c r="T8" s="5">
        <f>SUMIFS(Data!$E$2:$E$164,Data!$G$2:$G$164,$A8,Data!$B$2:$B$164,T$4)/1000</f>
        <v>0</v>
      </c>
      <c r="U8" s="7">
        <f t="shared" si="0"/>
        <v>4.0519999999999996</v>
      </c>
    </row>
    <row r="9" spans="1:21" x14ac:dyDescent="0.25">
      <c r="A9" s="4" t="s">
        <v>10</v>
      </c>
      <c r="B9" s="5">
        <f>SUMIFS(Data!$E$2:$E$164,Data!$G$2:$G$164,$A9,Data!$B$2:$B$164,B$4)/1000</f>
        <v>0.05</v>
      </c>
      <c r="C9" s="5">
        <f>SUMIFS(Data!$E$2:$E$164,Data!$G$2:$G$164,$A9,Data!$B$2:$B$164,C$4)/1000</f>
        <v>0</v>
      </c>
      <c r="D9" s="5">
        <f>SUMIFS(Data!$E$2:$E$164,Data!$G$2:$G$164,$A9,Data!$B$2:$B$164,D$4)/1000</f>
        <v>1.968</v>
      </c>
      <c r="E9" s="5">
        <f>SUMIFS(Data!$E$2:$E$164,Data!$G$2:$G$164,$A9,Data!$B$2:$B$164,E$4)/1000</f>
        <v>0</v>
      </c>
      <c r="F9" s="5">
        <f>SUMIFS(Data!$E$2:$E$164,Data!$G$2:$G$164,$A9,Data!$B$2:$B$164,F$4)/1000</f>
        <v>0</v>
      </c>
      <c r="G9" s="5">
        <f>SUMIFS(Data!$E$2:$E$164,Data!$G$2:$G$164,$A9,Data!$B$2:$B$164,G$4)/1000</f>
        <v>0</v>
      </c>
      <c r="H9" s="5">
        <f>SUMIFS(Data!$E$2:$E$164,Data!$G$2:$G$164,$A9,Data!$B$2:$B$164,H$4)/1000</f>
        <v>0.1</v>
      </c>
      <c r="I9" s="5">
        <f>SUMIFS(Data!$E$2:$E$164,Data!$G$2:$G$164,$A9,Data!$B$2:$B$164,I$4)/1000</f>
        <v>0</v>
      </c>
      <c r="J9" s="5">
        <f>SUMIFS(Data!$E$2:$E$164,Data!$G$2:$G$164,$A9,Data!$B$2:$B$164,J$4)/1000</f>
        <v>0</v>
      </c>
      <c r="K9" s="5">
        <f>SUMIFS(Data!$E$2:$E$164,Data!$G$2:$G$164,$A9,Data!$B$2:$B$164,K$4)/1000</f>
        <v>0</v>
      </c>
      <c r="L9" s="5">
        <f>SUMIFS(Data!$E$2:$E$164,Data!$G$2:$G$164,$A9,Data!$B$2:$B$164,L$4)/1000</f>
        <v>0</v>
      </c>
      <c r="M9" s="5">
        <f>SUMIFS(Data!$E$2:$E$164,Data!$G$2:$G$164,$A9,Data!$B$2:$B$164,M$4)/1000</f>
        <v>0</v>
      </c>
      <c r="N9" s="5">
        <f>SUMIFS(Data!$E$2:$E$164,Data!$G$2:$G$164,$A9,Data!$B$2:$B$164,N$4)/1000</f>
        <v>0</v>
      </c>
      <c r="O9" s="5">
        <f>SUMIFS(Data!$E$2:$E$164,Data!$G$2:$G$164,$A9,Data!$B$2:$B$164,O$4)/1000</f>
        <v>0.05</v>
      </c>
      <c r="P9" s="5">
        <f>SUMIFS(Data!$E$2:$E$164,Data!$G$2:$G$164,$A9,Data!$B$2:$B$164,P$4)/1000</f>
        <v>0</v>
      </c>
      <c r="Q9" s="5">
        <f>SUMIFS(Data!$E$2:$E$164,Data!$G$2:$G$164,$A9,Data!$B$2:$B$164,Q$4)/1000</f>
        <v>0</v>
      </c>
      <c r="R9" s="5">
        <f>SUMIFS(Data!$E$2:$E$164,Data!$G$2:$G$164,$A9,Data!$B$2:$B$164,R$4)/1000</f>
        <v>0</v>
      </c>
      <c r="S9" s="5">
        <f>SUMIFS(Data!$E$2:$E$164,Data!$G$2:$G$164,$A9,Data!$B$2:$B$164,S$4)/1000</f>
        <v>0</v>
      </c>
      <c r="T9" s="5">
        <f>SUMIFS(Data!$E$2:$E$164,Data!$G$2:$G$164,$A9,Data!$B$2:$B$164,T$4)/1000</f>
        <v>0</v>
      </c>
      <c r="U9" s="7">
        <f t="shared" si="0"/>
        <v>2.1679999999999997</v>
      </c>
    </row>
    <row r="10" spans="1:21" x14ac:dyDescent="0.25">
      <c r="A10" s="4" t="s">
        <v>11</v>
      </c>
      <c r="B10" s="5">
        <f>SUMIFS(Data!$E$2:$E$164,Data!$G$2:$G$164,$A10,Data!$B$2:$B$164,B$4)/1000</f>
        <v>0</v>
      </c>
      <c r="C10" s="5">
        <f>SUMIFS(Data!$E$2:$E$164,Data!$G$2:$G$164,$A10,Data!$B$2:$B$164,C$4)/1000</f>
        <v>0</v>
      </c>
      <c r="D10" s="5">
        <f>SUMIFS(Data!$E$2:$E$164,Data!$G$2:$G$164,$A10,Data!$B$2:$B$164,D$4)/1000</f>
        <v>0</v>
      </c>
      <c r="E10" s="5">
        <f>SUMIFS(Data!$E$2:$E$164,Data!$G$2:$G$164,$A10,Data!$B$2:$B$164,E$4)/1000</f>
        <v>0</v>
      </c>
      <c r="F10" s="5">
        <f>SUMIFS(Data!$E$2:$E$164,Data!$G$2:$G$164,$A10,Data!$B$2:$B$164,F$4)/1000</f>
        <v>0</v>
      </c>
      <c r="G10" s="5">
        <f>SUMIFS(Data!$E$2:$E$164,Data!$G$2:$G$164,$A10,Data!$B$2:$B$164,G$4)/1000</f>
        <v>0</v>
      </c>
      <c r="H10" s="5">
        <f>SUMIFS(Data!$E$2:$E$164,Data!$G$2:$G$164,$A10,Data!$B$2:$B$164,H$4)/1000</f>
        <v>0.1</v>
      </c>
      <c r="I10" s="5">
        <f>SUMIFS(Data!$E$2:$E$164,Data!$G$2:$G$164,$A10,Data!$B$2:$B$164,I$4)/1000</f>
        <v>0</v>
      </c>
      <c r="J10" s="5">
        <f>SUMIFS(Data!$E$2:$E$164,Data!$G$2:$G$164,$A10,Data!$B$2:$B$164,J$4)/1000</f>
        <v>0</v>
      </c>
      <c r="K10" s="5">
        <f>SUMIFS(Data!$E$2:$E$164,Data!$G$2:$G$164,$A10,Data!$B$2:$B$164,K$4)/1000</f>
        <v>0</v>
      </c>
      <c r="L10" s="5">
        <f>SUMIFS(Data!$E$2:$E$164,Data!$G$2:$G$164,$A10,Data!$B$2:$B$164,L$4)/1000</f>
        <v>0.27</v>
      </c>
      <c r="M10" s="5">
        <f>SUMIFS(Data!$E$2:$E$164,Data!$G$2:$G$164,$A10,Data!$B$2:$B$164,M$4)/1000</f>
        <v>0</v>
      </c>
      <c r="N10" s="5">
        <f>SUMIFS(Data!$E$2:$E$164,Data!$G$2:$G$164,$A10,Data!$B$2:$B$164,N$4)/1000</f>
        <v>0</v>
      </c>
      <c r="O10" s="5">
        <f>SUMIFS(Data!$E$2:$E$164,Data!$G$2:$G$164,$A10,Data!$B$2:$B$164,O$4)/1000</f>
        <v>0</v>
      </c>
      <c r="P10" s="5">
        <f>SUMIFS(Data!$E$2:$E$164,Data!$G$2:$G$164,$A10,Data!$B$2:$B$164,P$4)/1000</f>
        <v>0</v>
      </c>
      <c r="Q10" s="5">
        <f>SUMIFS(Data!$E$2:$E$164,Data!$G$2:$G$164,$A10,Data!$B$2:$B$164,Q$4)/1000</f>
        <v>0</v>
      </c>
      <c r="R10" s="5">
        <f>SUMIFS(Data!$E$2:$E$164,Data!$G$2:$G$164,$A10,Data!$B$2:$B$164,R$4)/1000</f>
        <v>0</v>
      </c>
      <c r="S10" s="5">
        <f>SUMIFS(Data!$E$2:$E$164,Data!$G$2:$G$164,$A10,Data!$B$2:$B$164,S$4)/1000</f>
        <v>0</v>
      </c>
      <c r="T10" s="5">
        <f>SUMIFS(Data!$E$2:$E$164,Data!$G$2:$G$164,$A10,Data!$B$2:$B$164,T$4)/1000</f>
        <v>0</v>
      </c>
      <c r="U10" s="7">
        <f t="shared" si="0"/>
        <v>0.37</v>
      </c>
    </row>
    <row r="11" spans="1:21" x14ac:dyDescent="0.25">
      <c r="A11" s="4" t="s">
        <v>12</v>
      </c>
      <c r="B11" s="5">
        <f>SUMIFS(Data!$E$2:$E$164,Data!$G$2:$G$164,$A11,Data!$B$2:$B$164,B$4)/1000</f>
        <v>0</v>
      </c>
      <c r="C11" s="5">
        <f>SUMIFS(Data!$E$2:$E$164,Data!$G$2:$G$164,$A11,Data!$B$2:$B$164,C$4)/1000</f>
        <v>0</v>
      </c>
      <c r="D11" s="5">
        <f>SUMIFS(Data!$E$2:$E$164,Data!$G$2:$G$164,$A11,Data!$B$2:$B$164,D$4)/1000</f>
        <v>0</v>
      </c>
      <c r="E11" s="5">
        <f>SUMIFS(Data!$E$2:$E$164,Data!$G$2:$G$164,$A11,Data!$B$2:$B$164,E$4)/1000</f>
        <v>0</v>
      </c>
      <c r="F11" s="5">
        <f>SUMIFS(Data!$E$2:$E$164,Data!$G$2:$G$164,$A11,Data!$B$2:$B$164,F$4)/1000</f>
        <v>0</v>
      </c>
      <c r="G11" s="5">
        <f>SUMIFS(Data!$E$2:$E$164,Data!$G$2:$G$164,$A11,Data!$B$2:$B$164,G$4)/1000</f>
        <v>0</v>
      </c>
      <c r="H11" s="5">
        <f>SUMIFS(Data!$E$2:$E$164,Data!$G$2:$G$164,$A11,Data!$B$2:$B$164,H$4)/1000</f>
        <v>0</v>
      </c>
      <c r="I11" s="5">
        <f>SUMIFS(Data!$E$2:$E$164,Data!$G$2:$G$164,$A11,Data!$B$2:$B$164,I$4)/1000</f>
        <v>0</v>
      </c>
      <c r="J11" s="5">
        <f>SUMIFS(Data!$E$2:$E$164,Data!$G$2:$G$164,$A11,Data!$B$2:$B$164,J$4)/1000</f>
        <v>0</v>
      </c>
      <c r="K11" s="5">
        <f>SUMIFS(Data!$E$2:$E$164,Data!$G$2:$G$164,$A11,Data!$B$2:$B$164,K$4)/1000</f>
        <v>0</v>
      </c>
      <c r="L11" s="5">
        <f>SUMIFS(Data!$E$2:$E$164,Data!$G$2:$G$164,$A11,Data!$B$2:$B$164,L$4)/1000</f>
        <v>0</v>
      </c>
      <c r="M11" s="5">
        <f>SUMIFS(Data!$E$2:$E$164,Data!$G$2:$G$164,$A11,Data!$B$2:$B$164,M$4)/1000</f>
        <v>0.26</v>
      </c>
      <c r="N11" s="5">
        <f>SUMIFS(Data!$E$2:$E$164,Data!$G$2:$G$164,$A11,Data!$B$2:$B$164,N$4)/1000</f>
        <v>0</v>
      </c>
      <c r="O11" s="5">
        <f>SUMIFS(Data!$E$2:$E$164,Data!$G$2:$G$164,$A11,Data!$B$2:$B$164,O$4)/1000</f>
        <v>0</v>
      </c>
      <c r="P11" s="5">
        <f>SUMIFS(Data!$E$2:$E$164,Data!$G$2:$G$164,$A11,Data!$B$2:$B$164,P$4)/1000</f>
        <v>0</v>
      </c>
      <c r="Q11" s="5">
        <f>SUMIFS(Data!$E$2:$E$164,Data!$G$2:$G$164,$A11,Data!$B$2:$B$164,Q$4)/1000</f>
        <v>0</v>
      </c>
      <c r="R11" s="5">
        <f>SUMIFS(Data!$E$2:$E$164,Data!$G$2:$G$164,$A11,Data!$B$2:$B$164,R$4)/1000</f>
        <v>0.1</v>
      </c>
      <c r="S11" s="5">
        <f>SUMIFS(Data!$E$2:$E$164,Data!$G$2:$G$164,$A11,Data!$B$2:$B$164,S$4)/1000</f>
        <v>0</v>
      </c>
      <c r="T11" s="5">
        <f>SUMIFS(Data!$E$2:$E$164,Data!$G$2:$G$164,$A11,Data!$B$2:$B$164,T$4)/1000</f>
        <v>0</v>
      </c>
      <c r="U11" s="7">
        <f t="shared" si="0"/>
        <v>0.36</v>
      </c>
    </row>
    <row r="12" spans="1:21" x14ac:dyDescent="0.25">
      <c r="A12" s="4" t="s">
        <v>13</v>
      </c>
      <c r="B12" s="5">
        <f>SUMIFS(Data!$E$2:$E$164,Data!$G$2:$G$164,$A12,Data!$B$2:$B$164,B$4)/1000</f>
        <v>0</v>
      </c>
      <c r="C12" s="5">
        <f>SUMIFS(Data!$E$2:$E$164,Data!$G$2:$G$164,$A12,Data!$B$2:$B$164,C$4)/1000</f>
        <v>0</v>
      </c>
      <c r="D12" s="5">
        <f>SUMIFS(Data!$E$2:$E$164,Data!$G$2:$G$164,$A12,Data!$B$2:$B$164,D$4)/1000</f>
        <v>0</v>
      </c>
      <c r="E12" s="5">
        <f>SUMIFS(Data!$E$2:$E$164,Data!$G$2:$G$164,$A12,Data!$B$2:$B$164,E$4)/1000</f>
        <v>0.11</v>
      </c>
      <c r="F12" s="5">
        <f>SUMIFS(Data!$E$2:$E$164,Data!$G$2:$G$164,$A12,Data!$B$2:$B$164,F$4)/1000</f>
        <v>0</v>
      </c>
      <c r="G12" s="5">
        <f>SUMIFS(Data!$E$2:$E$164,Data!$G$2:$G$164,$A12,Data!$B$2:$B$164,G$4)/1000</f>
        <v>0</v>
      </c>
      <c r="H12" s="5">
        <f>SUMIFS(Data!$E$2:$E$164,Data!$G$2:$G$164,$A12,Data!$B$2:$B$164,H$4)/1000</f>
        <v>0</v>
      </c>
      <c r="I12" s="5">
        <f>SUMIFS(Data!$E$2:$E$164,Data!$G$2:$G$164,$A12,Data!$B$2:$B$164,I$4)/1000</f>
        <v>0</v>
      </c>
      <c r="J12" s="5">
        <f>SUMIFS(Data!$E$2:$E$164,Data!$G$2:$G$164,$A12,Data!$B$2:$B$164,J$4)/1000</f>
        <v>0</v>
      </c>
      <c r="K12" s="5">
        <f>SUMIFS(Data!$E$2:$E$164,Data!$G$2:$G$164,$A12,Data!$B$2:$B$164,K$4)/1000</f>
        <v>0</v>
      </c>
      <c r="L12" s="5">
        <f>SUMIFS(Data!$E$2:$E$164,Data!$G$2:$G$164,$A12,Data!$B$2:$B$164,L$4)/1000</f>
        <v>0</v>
      </c>
      <c r="M12" s="5">
        <f>SUMIFS(Data!$E$2:$E$164,Data!$G$2:$G$164,$A12,Data!$B$2:$B$164,M$4)/1000</f>
        <v>0</v>
      </c>
      <c r="N12" s="5">
        <f>SUMIFS(Data!$E$2:$E$164,Data!$G$2:$G$164,$A12,Data!$B$2:$B$164,N$4)/1000</f>
        <v>0</v>
      </c>
      <c r="O12" s="5">
        <f>SUMIFS(Data!$E$2:$E$164,Data!$G$2:$G$164,$A12,Data!$B$2:$B$164,O$4)/1000</f>
        <v>0</v>
      </c>
      <c r="P12" s="5">
        <f>SUMIFS(Data!$E$2:$E$164,Data!$G$2:$G$164,$A12,Data!$B$2:$B$164,P$4)/1000</f>
        <v>0</v>
      </c>
      <c r="Q12" s="5">
        <f>SUMIFS(Data!$E$2:$E$164,Data!$G$2:$G$164,$A12,Data!$B$2:$B$164,Q$4)/1000</f>
        <v>0</v>
      </c>
      <c r="R12" s="5">
        <f>SUMIFS(Data!$E$2:$E$164,Data!$G$2:$G$164,$A12,Data!$B$2:$B$164,R$4)/1000</f>
        <v>0</v>
      </c>
      <c r="S12" s="5">
        <f>SUMIFS(Data!$E$2:$E$164,Data!$G$2:$G$164,$A12,Data!$B$2:$B$164,S$4)/1000</f>
        <v>0.1</v>
      </c>
      <c r="T12" s="5">
        <f>SUMIFS(Data!$E$2:$E$164,Data!$G$2:$G$164,$A12,Data!$B$2:$B$164,T$4)/1000</f>
        <v>0</v>
      </c>
      <c r="U12" s="7">
        <f t="shared" si="0"/>
        <v>0.21000000000000002</v>
      </c>
    </row>
    <row r="13" spans="1:21" x14ac:dyDescent="0.25">
      <c r="A13" s="4" t="s">
        <v>14</v>
      </c>
      <c r="B13" s="5">
        <f>SUMIFS(Data!$E$2:$E$164,Data!$G$2:$G$164,$A13,Data!$B$2:$B$164,B$4)/1000</f>
        <v>0</v>
      </c>
      <c r="C13" s="5">
        <f>SUMIFS(Data!$E$2:$E$164,Data!$G$2:$G$164,$A13,Data!$B$2:$B$164,C$4)/1000</f>
        <v>0</v>
      </c>
      <c r="D13" s="5">
        <f>SUMIFS(Data!$E$2:$E$164,Data!$G$2:$G$164,$A13,Data!$B$2:$B$164,D$4)/1000</f>
        <v>0</v>
      </c>
      <c r="E13" s="5">
        <f>SUMIFS(Data!$E$2:$E$164,Data!$G$2:$G$164,$A13,Data!$B$2:$B$164,E$4)/1000</f>
        <v>0</v>
      </c>
      <c r="F13" s="5">
        <f>SUMIFS(Data!$E$2:$E$164,Data!$G$2:$G$164,$A13,Data!$B$2:$B$164,F$4)/1000</f>
        <v>0</v>
      </c>
      <c r="G13" s="5">
        <f>SUMIFS(Data!$E$2:$E$164,Data!$G$2:$G$164,$A13,Data!$B$2:$B$164,G$4)/1000</f>
        <v>0</v>
      </c>
      <c r="H13" s="5">
        <f>SUMIFS(Data!$E$2:$E$164,Data!$G$2:$G$164,$A13,Data!$B$2:$B$164,H$4)/1000</f>
        <v>7.0000000000000007E-2</v>
      </c>
      <c r="I13" s="5">
        <f>SUMIFS(Data!$E$2:$E$164,Data!$G$2:$G$164,$A13,Data!$B$2:$B$164,I$4)/1000</f>
        <v>0</v>
      </c>
      <c r="J13" s="5">
        <f>SUMIFS(Data!$E$2:$E$164,Data!$G$2:$G$164,$A13,Data!$B$2:$B$164,J$4)/1000</f>
        <v>0</v>
      </c>
      <c r="K13" s="5">
        <f>SUMIFS(Data!$E$2:$E$164,Data!$G$2:$G$164,$A13,Data!$B$2:$B$164,K$4)/1000</f>
        <v>0</v>
      </c>
      <c r="L13" s="5">
        <f>SUMIFS(Data!$E$2:$E$164,Data!$G$2:$G$164,$A13,Data!$B$2:$B$164,L$4)/1000</f>
        <v>0</v>
      </c>
      <c r="M13" s="5">
        <f>SUMIFS(Data!$E$2:$E$164,Data!$G$2:$G$164,$A13,Data!$B$2:$B$164,M$4)/1000</f>
        <v>0</v>
      </c>
      <c r="N13" s="5">
        <f>SUMIFS(Data!$E$2:$E$164,Data!$G$2:$G$164,$A13,Data!$B$2:$B$164,N$4)/1000</f>
        <v>0</v>
      </c>
      <c r="O13" s="5">
        <f>SUMIFS(Data!$E$2:$E$164,Data!$G$2:$G$164,$A13,Data!$B$2:$B$164,O$4)/1000</f>
        <v>0.13500000000000001</v>
      </c>
      <c r="P13" s="5">
        <f>SUMIFS(Data!$E$2:$E$164,Data!$G$2:$G$164,$A13,Data!$B$2:$B$164,P$4)/1000</f>
        <v>0</v>
      </c>
      <c r="Q13" s="5">
        <f>SUMIFS(Data!$E$2:$E$164,Data!$G$2:$G$164,$A13,Data!$B$2:$B$164,Q$4)/1000</f>
        <v>0</v>
      </c>
      <c r="R13" s="5">
        <f>SUMIFS(Data!$E$2:$E$164,Data!$G$2:$G$164,$A13,Data!$B$2:$B$164,R$4)/1000</f>
        <v>0</v>
      </c>
      <c r="S13" s="5">
        <f>SUMIFS(Data!$E$2:$E$164,Data!$G$2:$G$164,$A13,Data!$B$2:$B$164,S$4)/1000</f>
        <v>0</v>
      </c>
      <c r="T13" s="5">
        <f>SUMIFS(Data!$E$2:$E$164,Data!$G$2:$G$164,$A13,Data!$B$2:$B$164,T$4)/1000</f>
        <v>0</v>
      </c>
      <c r="U13" s="7">
        <f t="shared" si="0"/>
        <v>0.20500000000000002</v>
      </c>
    </row>
    <row r="14" spans="1:21" x14ac:dyDescent="0.25">
      <c r="A14" s="4" t="s">
        <v>15</v>
      </c>
      <c r="B14" s="5">
        <f>SUMIFS(Data!$E$2:$E$164,Data!$G$2:$G$164,$A14,Data!$B$2:$B$164,B$4)/1000</f>
        <v>0</v>
      </c>
      <c r="C14" s="5">
        <f>SUMIFS(Data!$E$2:$E$164,Data!$G$2:$G$164,$A14,Data!$B$2:$B$164,C$4)/1000</f>
        <v>0</v>
      </c>
      <c r="D14" s="5">
        <f>SUMIFS(Data!$E$2:$E$164,Data!$G$2:$G$164,$A14,Data!$B$2:$B$164,D$4)/1000</f>
        <v>0</v>
      </c>
      <c r="E14" s="5">
        <f>SUMIFS(Data!$E$2:$E$164,Data!$G$2:$G$164,$A14,Data!$B$2:$B$164,E$4)/1000</f>
        <v>0</v>
      </c>
      <c r="F14" s="5">
        <f>SUMIFS(Data!$E$2:$E$164,Data!$G$2:$G$164,$A14,Data!$B$2:$B$164,F$4)/1000</f>
        <v>0</v>
      </c>
      <c r="G14" s="5">
        <f>SUMIFS(Data!$E$2:$E$164,Data!$G$2:$G$164,$A14,Data!$B$2:$B$164,G$4)/1000</f>
        <v>0</v>
      </c>
      <c r="H14" s="5">
        <f>SUMIFS(Data!$E$2:$E$164,Data!$G$2:$G$164,$A14,Data!$B$2:$B$164,H$4)/1000</f>
        <v>0.12</v>
      </c>
      <c r="I14" s="5">
        <f>SUMIFS(Data!$E$2:$E$164,Data!$G$2:$G$164,$A14,Data!$B$2:$B$164,I$4)/1000</f>
        <v>0</v>
      </c>
      <c r="J14" s="5">
        <f>SUMIFS(Data!$E$2:$E$164,Data!$G$2:$G$164,$A14,Data!$B$2:$B$164,J$4)/1000</f>
        <v>0</v>
      </c>
      <c r="K14" s="5">
        <f>SUMIFS(Data!$E$2:$E$164,Data!$G$2:$G$164,$A14,Data!$B$2:$B$164,K$4)/1000</f>
        <v>0</v>
      </c>
      <c r="L14" s="5">
        <f>SUMIFS(Data!$E$2:$E$164,Data!$G$2:$G$164,$A14,Data!$B$2:$B$164,L$4)/1000</f>
        <v>0</v>
      </c>
      <c r="M14" s="5">
        <f>SUMIFS(Data!$E$2:$E$164,Data!$G$2:$G$164,$A14,Data!$B$2:$B$164,M$4)/1000</f>
        <v>0</v>
      </c>
      <c r="N14" s="5">
        <f>SUMIFS(Data!$E$2:$E$164,Data!$G$2:$G$164,$A14,Data!$B$2:$B$164,N$4)/1000</f>
        <v>0</v>
      </c>
      <c r="O14" s="5">
        <f>SUMIFS(Data!$E$2:$E$164,Data!$G$2:$G$164,$A14,Data!$B$2:$B$164,O$4)/1000</f>
        <v>0</v>
      </c>
      <c r="P14" s="5">
        <f>SUMIFS(Data!$E$2:$E$164,Data!$G$2:$G$164,$A14,Data!$B$2:$B$164,P$4)/1000</f>
        <v>0</v>
      </c>
      <c r="Q14" s="5">
        <f>SUMIFS(Data!$E$2:$E$164,Data!$G$2:$G$164,$A14,Data!$B$2:$B$164,Q$4)/1000</f>
        <v>0</v>
      </c>
      <c r="R14" s="5">
        <f>SUMIFS(Data!$E$2:$E$164,Data!$G$2:$G$164,$A14,Data!$B$2:$B$164,R$4)/1000</f>
        <v>0</v>
      </c>
      <c r="S14" s="5">
        <f>SUMIFS(Data!$E$2:$E$164,Data!$G$2:$G$164,$A14,Data!$B$2:$B$164,S$4)/1000</f>
        <v>0</v>
      </c>
      <c r="T14" s="5">
        <f>SUMIFS(Data!$E$2:$E$164,Data!$G$2:$G$164,$A14,Data!$B$2:$B$164,T$4)/1000</f>
        <v>0</v>
      </c>
      <c r="U14" s="7">
        <f t="shared" si="0"/>
        <v>0.12</v>
      </c>
    </row>
    <row r="15" spans="1:21" x14ac:dyDescent="0.25">
      <c r="A15" s="4" t="s">
        <v>16</v>
      </c>
      <c r="B15" s="5">
        <f>SUMIFS(Data!$E$2:$E$164,Data!$G$2:$G$164,$A15,Data!$B$2:$B$164,B$4)/1000</f>
        <v>0.05</v>
      </c>
      <c r="C15" s="5">
        <f>SUMIFS(Data!$E$2:$E$164,Data!$G$2:$G$164,$A15,Data!$B$2:$B$164,C$4)/1000</f>
        <v>0</v>
      </c>
      <c r="D15" s="5">
        <f>SUMIFS(Data!$E$2:$E$164,Data!$G$2:$G$164,$A15,Data!$B$2:$B$164,D$4)/1000</f>
        <v>0</v>
      </c>
      <c r="E15" s="5">
        <f>SUMIFS(Data!$E$2:$E$164,Data!$G$2:$G$164,$A15,Data!$B$2:$B$164,E$4)/1000</f>
        <v>0</v>
      </c>
      <c r="F15" s="5">
        <f>SUMIFS(Data!$E$2:$E$164,Data!$G$2:$G$164,$A15,Data!$B$2:$B$164,F$4)/1000</f>
        <v>0</v>
      </c>
      <c r="G15" s="5">
        <f>SUMIFS(Data!$E$2:$E$164,Data!$G$2:$G$164,$A15,Data!$B$2:$B$164,G$4)/1000</f>
        <v>0</v>
      </c>
      <c r="H15" s="5">
        <f>SUMIFS(Data!$E$2:$E$164,Data!$G$2:$G$164,$A15,Data!$B$2:$B$164,H$4)/1000</f>
        <v>0</v>
      </c>
      <c r="I15" s="5">
        <f>SUMIFS(Data!$E$2:$E$164,Data!$G$2:$G$164,$A15,Data!$B$2:$B$164,I$4)/1000</f>
        <v>0</v>
      </c>
      <c r="J15" s="5">
        <f>SUMIFS(Data!$E$2:$E$164,Data!$G$2:$G$164,$A15,Data!$B$2:$B$164,J$4)/1000</f>
        <v>0</v>
      </c>
      <c r="K15" s="5">
        <f>SUMIFS(Data!$E$2:$E$164,Data!$G$2:$G$164,$A15,Data!$B$2:$B$164,K$4)/1000</f>
        <v>0</v>
      </c>
      <c r="L15" s="5">
        <f>SUMIFS(Data!$E$2:$E$164,Data!$G$2:$G$164,$A15,Data!$B$2:$B$164,L$4)/1000</f>
        <v>0</v>
      </c>
      <c r="M15" s="5">
        <f>SUMIFS(Data!$E$2:$E$164,Data!$G$2:$G$164,$A15,Data!$B$2:$B$164,M$4)/1000</f>
        <v>0</v>
      </c>
      <c r="N15" s="5">
        <f>SUMIFS(Data!$E$2:$E$164,Data!$G$2:$G$164,$A15,Data!$B$2:$B$164,N$4)/1000</f>
        <v>0</v>
      </c>
      <c r="O15" s="5">
        <f>SUMIFS(Data!$E$2:$E$164,Data!$G$2:$G$164,$A15,Data!$B$2:$B$164,O$4)/1000</f>
        <v>0</v>
      </c>
      <c r="P15" s="5">
        <f>SUMIFS(Data!$E$2:$E$164,Data!$G$2:$G$164,$A15,Data!$B$2:$B$164,P$4)/1000</f>
        <v>0</v>
      </c>
      <c r="Q15" s="5">
        <f>SUMIFS(Data!$E$2:$E$164,Data!$G$2:$G$164,$A15,Data!$B$2:$B$164,Q$4)/1000</f>
        <v>0</v>
      </c>
      <c r="R15" s="5">
        <f>SUMIFS(Data!$E$2:$E$164,Data!$G$2:$G$164,$A15,Data!$B$2:$B$164,R$4)/1000</f>
        <v>0</v>
      </c>
      <c r="S15" s="5">
        <f>SUMIFS(Data!$E$2:$E$164,Data!$G$2:$G$164,$A15,Data!$B$2:$B$164,S$4)/1000</f>
        <v>0</v>
      </c>
      <c r="T15" s="5">
        <f>SUMIFS(Data!$E$2:$E$164,Data!$G$2:$G$164,$A15,Data!$B$2:$B$164,T$4)/1000</f>
        <v>0</v>
      </c>
      <c r="U15" s="7">
        <f t="shared" si="0"/>
        <v>0.05</v>
      </c>
    </row>
    <row r="16" spans="1:21" x14ac:dyDescent="0.25">
      <c r="A16" s="4" t="s">
        <v>17</v>
      </c>
      <c r="B16" s="5">
        <f>SUMIFS(Data!$E$2:$E$164,Data!$G$2:$G$164,$A16,Data!$B$2:$B$164,B$4)/1000</f>
        <v>0</v>
      </c>
      <c r="C16" s="5">
        <f>SUMIFS(Data!$E$2:$E$164,Data!$G$2:$G$164,$A16,Data!$B$2:$B$164,C$4)/1000</f>
        <v>0</v>
      </c>
      <c r="D16" s="5">
        <f>SUMIFS(Data!$E$2:$E$164,Data!$G$2:$G$164,$A16,Data!$B$2:$B$164,D$4)/1000</f>
        <v>0</v>
      </c>
      <c r="E16" s="5">
        <f>SUMIFS(Data!$E$2:$E$164,Data!$G$2:$G$164,$A16,Data!$B$2:$B$164,E$4)/1000</f>
        <v>0</v>
      </c>
      <c r="F16" s="5">
        <f>SUMIFS(Data!$E$2:$E$164,Data!$G$2:$G$164,$A16,Data!$B$2:$B$164,F$4)/1000</f>
        <v>0</v>
      </c>
      <c r="G16" s="5">
        <f>SUMIFS(Data!$E$2:$E$164,Data!$G$2:$G$164,$A16,Data!$B$2:$B$164,G$4)/1000</f>
        <v>0</v>
      </c>
      <c r="H16" s="5">
        <f>SUMIFS(Data!$E$2:$E$164,Data!$G$2:$G$164,$A16,Data!$B$2:$B$164,H$4)/1000</f>
        <v>0.05</v>
      </c>
      <c r="I16" s="5">
        <f>SUMIFS(Data!$E$2:$E$164,Data!$G$2:$G$164,$A16,Data!$B$2:$B$164,I$4)/1000</f>
        <v>0</v>
      </c>
      <c r="J16" s="5">
        <f>SUMIFS(Data!$E$2:$E$164,Data!$G$2:$G$164,$A16,Data!$B$2:$B$164,J$4)/1000</f>
        <v>0</v>
      </c>
      <c r="K16" s="5">
        <f>SUMIFS(Data!$E$2:$E$164,Data!$G$2:$G$164,$A16,Data!$B$2:$B$164,K$4)/1000</f>
        <v>0</v>
      </c>
      <c r="L16" s="5">
        <f>SUMIFS(Data!$E$2:$E$164,Data!$G$2:$G$164,$A16,Data!$B$2:$B$164,L$4)/1000</f>
        <v>0</v>
      </c>
      <c r="M16" s="5">
        <f>SUMIFS(Data!$E$2:$E$164,Data!$G$2:$G$164,$A16,Data!$B$2:$B$164,M$4)/1000</f>
        <v>0</v>
      </c>
      <c r="N16" s="5">
        <f>SUMIFS(Data!$E$2:$E$164,Data!$G$2:$G$164,$A16,Data!$B$2:$B$164,N$4)/1000</f>
        <v>0</v>
      </c>
      <c r="O16" s="5">
        <f>SUMIFS(Data!$E$2:$E$164,Data!$G$2:$G$164,$A16,Data!$B$2:$B$164,O$4)/1000</f>
        <v>0</v>
      </c>
      <c r="P16" s="5">
        <f>SUMIFS(Data!$E$2:$E$164,Data!$G$2:$G$164,$A16,Data!$B$2:$B$164,P$4)/1000</f>
        <v>0</v>
      </c>
      <c r="Q16" s="5">
        <f>SUMIFS(Data!$E$2:$E$164,Data!$G$2:$G$164,$A16,Data!$B$2:$B$164,Q$4)/1000</f>
        <v>0</v>
      </c>
      <c r="R16" s="5">
        <f>SUMIFS(Data!$E$2:$E$164,Data!$G$2:$G$164,$A16,Data!$B$2:$B$164,R$4)/1000</f>
        <v>0</v>
      </c>
      <c r="S16" s="5">
        <f>SUMIFS(Data!$E$2:$E$164,Data!$G$2:$G$164,$A16,Data!$B$2:$B$164,S$4)/1000</f>
        <v>0</v>
      </c>
      <c r="T16" s="5">
        <f>SUMIFS(Data!$E$2:$E$164,Data!$G$2:$G$164,$A16,Data!$B$2:$B$164,T$4)/1000</f>
        <v>0</v>
      </c>
      <c r="U16" s="7">
        <f t="shared" si="0"/>
        <v>0.05</v>
      </c>
    </row>
    <row r="17" spans="1:21" x14ac:dyDescent="0.25">
      <c r="A17" s="4" t="s">
        <v>18</v>
      </c>
      <c r="B17" s="5">
        <f>SUMIFS(Data!$E$2:$E$164,Data!$G$2:$G$164,$A17,Data!$B$2:$B$164,B$4)/1000</f>
        <v>0</v>
      </c>
      <c r="C17" s="5">
        <f>SUMIFS(Data!$E$2:$E$164,Data!$G$2:$G$164,$A17,Data!$B$2:$B$164,C$4)/1000</f>
        <v>0</v>
      </c>
      <c r="D17" s="5">
        <f>SUMIFS(Data!$E$2:$E$164,Data!$G$2:$G$164,$A17,Data!$B$2:$B$164,D$4)/1000</f>
        <v>0</v>
      </c>
      <c r="E17" s="5">
        <f>SUMIFS(Data!$E$2:$E$164,Data!$G$2:$G$164,$A17,Data!$B$2:$B$164,E$4)/1000</f>
        <v>0</v>
      </c>
      <c r="F17" s="5">
        <f>SUMIFS(Data!$E$2:$E$164,Data!$G$2:$G$164,$A17,Data!$B$2:$B$164,F$4)/1000</f>
        <v>0</v>
      </c>
      <c r="G17" s="5">
        <f>SUMIFS(Data!$E$2:$E$164,Data!$G$2:$G$164,$A17,Data!$B$2:$B$164,G$4)/1000</f>
        <v>0</v>
      </c>
      <c r="H17" s="5">
        <f>SUMIFS(Data!$E$2:$E$164,Data!$G$2:$G$164,$A17,Data!$B$2:$B$164,H$4)/1000</f>
        <v>0</v>
      </c>
      <c r="I17" s="5">
        <f>SUMIFS(Data!$E$2:$E$164,Data!$G$2:$G$164,$A17,Data!$B$2:$B$164,I$4)/1000</f>
        <v>0</v>
      </c>
      <c r="J17" s="5">
        <f>SUMIFS(Data!$E$2:$E$164,Data!$G$2:$G$164,$A17,Data!$B$2:$B$164,J$4)/1000</f>
        <v>0</v>
      </c>
      <c r="K17" s="5">
        <f>SUMIFS(Data!$E$2:$E$164,Data!$G$2:$G$164,$A17,Data!$B$2:$B$164,K$4)/1000</f>
        <v>0</v>
      </c>
      <c r="L17" s="5">
        <f>SUMIFS(Data!$E$2:$E$164,Data!$G$2:$G$164,$A17,Data!$B$2:$B$164,L$4)/1000</f>
        <v>0</v>
      </c>
      <c r="M17" s="5">
        <f>SUMIFS(Data!$E$2:$E$164,Data!$G$2:$G$164,$A17,Data!$B$2:$B$164,M$4)/1000</f>
        <v>0</v>
      </c>
      <c r="N17" s="5">
        <f>SUMIFS(Data!$E$2:$E$164,Data!$G$2:$G$164,$A17,Data!$B$2:$B$164,N$4)/1000</f>
        <v>0</v>
      </c>
      <c r="O17" s="5">
        <f>SUMIFS(Data!$E$2:$E$164,Data!$G$2:$G$164,$A17,Data!$B$2:$B$164,O$4)/1000</f>
        <v>0.05</v>
      </c>
      <c r="P17" s="5">
        <f>SUMIFS(Data!$E$2:$E$164,Data!$G$2:$G$164,$A17,Data!$B$2:$B$164,P$4)/1000</f>
        <v>0</v>
      </c>
      <c r="Q17" s="5">
        <f>SUMIFS(Data!$E$2:$E$164,Data!$G$2:$G$164,$A17,Data!$B$2:$B$164,Q$4)/1000</f>
        <v>0</v>
      </c>
      <c r="R17" s="5">
        <f>SUMIFS(Data!$E$2:$E$164,Data!$G$2:$G$164,$A17,Data!$B$2:$B$164,R$4)/1000</f>
        <v>0</v>
      </c>
      <c r="S17" s="5">
        <f>SUMIFS(Data!$E$2:$E$164,Data!$G$2:$G$164,$A17,Data!$B$2:$B$164,S$4)/1000</f>
        <v>0</v>
      </c>
      <c r="T17" s="5">
        <f>SUMIFS(Data!$E$2:$E$164,Data!$G$2:$G$164,$A17,Data!$B$2:$B$164,T$4)/1000</f>
        <v>0</v>
      </c>
      <c r="U17" s="7">
        <f t="shared" si="0"/>
        <v>0.05</v>
      </c>
    </row>
    <row r="18" spans="1:21" x14ac:dyDescent="0.25">
      <c r="A18" s="6" t="s">
        <v>5</v>
      </c>
      <c r="B18" s="7">
        <f t="shared" ref="B18:U18" si="1">SUM(B5:B17)</f>
        <v>14.650000000000002</v>
      </c>
      <c r="C18" s="7">
        <f t="shared" si="1"/>
        <v>10.1</v>
      </c>
      <c r="D18" s="7">
        <f t="shared" si="1"/>
        <v>9.963000000000001</v>
      </c>
      <c r="E18" s="7">
        <f t="shared" si="1"/>
        <v>3.61</v>
      </c>
      <c r="F18" s="7">
        <f t="shared" si="1"/>
        <v>1.55</v>
      </c>
      <c r="G18" s="7">
        <f t="shared" si="1"/>
        <v>0.91900000000000004</v>
      </c>
      <c r="H18" s="7">
        <f t="shared" si="1"/>
        <v>0.64000000000000012</v>
      </c>
      <c r="I18" s="7">
        <f t="shared" si="1"/>
        <v>0.5</v>
      </c>
      <c r="J18" s="7">
        <f t="shared" si="1"/>
        <v>0.5</v>
      </c>
      <c r="K18" s="7">
        <f t="shared" si="1"/>
        <v>0.42499999999999999</v>
      </c>
      <c r="L18" s="7">
        <f t="shared" si="1"/>
        <v>0.27</v>
      </c>
      <c r="M18" s="7">
        <f t="shared" si="1"/>
        <v>0.26</v>
      </c>
      <c r="N18" s="7">
        <f t="shared" si="1"/>
        <v>0.25</v>
      </c>
      <c r="O18" s="7">
        <f t="shared" si="1"/>
        <v>0.23499999999999999</v>
      </c>
      <c r="P18" s="7">
        <f t="shared" si="1"/>
        <v>0.15</v>
      </c>
      <c r="Q18" s="7">
        <f t="shared" si="1"/>
        <v>0.15</v>
      </c>
      <c r="R18" s="7">
        <f t="shared" si="1"/>
        <v>0.1</v>
      </c>
      <c r="S18" s="7">
        <f t="shared" si="1"/>
        <v>0.1</v>
      </c>
      <c r="T18" s="7">
        <f t="shared" si="1"/>
        <v>0.05</v>
      </c>
      <c r="U18" s="7">
        <f t="shared" si="1"/>
        <v>44.421999999999983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2" width="18" customWidth="1"/>
    <col min="3" max="3" width="14" customWidth="1"/>
    <col min="4" max="4" width="12" customWidth="1"/>
    <col min="5" max="5" width="11" customWidth="1"/>
    <col min="6" max="6" width="52" customWidth="1"/>
    <col min="7" max="7" width="22" customWidth="1"/>
    <col min="8" max="9" width="14" customWidth="1"/>
  </cols>
  <sheetData>
    <row r="1" spans="1:9" ht="38.25" x14ac:dyDescent="0.25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</row>
    <row r="2" spans="1:9" x14ac:dyDescent="0.25">
      <c r="A2" s="4" t="s">
        <v>50</v>
      </c>
      <c r="B2" s="4" t="s">
        <v>24</v>
      </c>
      <c r="C2" s="4" t="s">
        <v>51</v>
      </c>
      <c r="D2" s="4" t="s">
        <v>52</v>
      </c>
      <c r="E2" s="10">
        <v>216</v>
      </c>
      <c r="F2" s="4" t="s">
        <v>53</v>
      </c>
      <c r="G2" s="4" t="s">
        <v>8</v>
      </c>
      <c r="H2" s="4" t="s">
        <v>54</v>
      </c>
      <c r="I2" s="4" t="s">
        <v>54</v>
      </c>
    </row>
    <row r="3" spans="1:9" x14ac:dyDescent="0.25">
      <c r="A3" s="4" t="s">
        <v>50</v>
      </c>
      <c r="B3" s="4" t="s">
        <v>24</v>
      </c>
      <c r="C3" s="4" t="s">
        <v>55</v>
      </c>
      <c r="D3" s="4" t="s">
        <v>52</v>
      </c>
      <c r="E3" s="10">
        <v>54</v>
      </c>
      <c r="F3" s="4" t="s">
        <v>53</v>
      </c>
      <c r="G3" s="4" t="s">
        <v>8</v>
      </c>
      <c r="H3" s="4" t="s">
        <v>54</v>
      </c>
      <c r="I3" s="4" t="s">
        <v>54</v>
      </c>
    </row>
    <row r="4" spans="1:9" x14ac:dyDescent="0.25">
      <c r="A4" s="4" t="s">
        <v>50</v>
      </c>
      <c r="B4" s="4" t="s">
        <v>24</v>
      </c>
      <c r="C4" s="4" t="s">
        <v>56</v>
      </c>
      <c r="D4" s="4" t="s">
        <v>52</v>
      </c>
      <c r="E4" s="10">
        <v>54</v>
      </c>
      <c r="F4" s="4" t="s">
        <v>53</v>
      </c>
      <c r="G4" s="4" t="s">
        <v>8</v>
      </c>
      <c r="H4" s="4" t="s">
        <v>54</v>
      </c>
      <c r="I4" s="4" t="s">
        <v>54</v>
      </c>
    </row>
    <row r="5" spans="1:9" x14ac:dyDescent="0.25">
      <c r="A5" s="4" t="s">
        <v>50</v>
      </c>
      <c r="B5" s="4" t="s">
        <v>24</v>
      </c>
      <c r="C5" s="4" t="s">
        <v>57</v>
      </c>
      <c r="D5" s="4" t="s">
        <v>52</v>
      </c>
      <c r="E5" s="10">
        <v>54</v>
      </c>
      <c r="F5" s="4" t="s">
        <v>58</v>
      </c>
      <c r="G5" s="4" t="s">
        <v>8</v>
      </c>
      <c r="H5" s="4" t="s">
        <v>54</v>
      </c>
      <c r="I5" s="4" t="s">
        <v>54</v>
      </c>
    </row>
    <row r="6" spans="1:9" x14ac:dyDescent="0.25">
      <c r="A6" s="4" t="s">
        <v>50</v>
      </c>
      <c r="B6" s="4" t="s">
        <v>24</v>
      </c>
      <c r="C6" s="4" t="s">
        <v>59</v>
      </c>
      <c r="D6" s="4" t="s">
        <v>52</v>
      </c>
      <c r="E6" s="10">
        <v>54</v>
      </c>
      <c r="F6" s="4" t="s">
        <v>60</v>
      </c>
      <c r="G6" s="4" t="s">
        <v>8</v>
      </c>
      <c r="H6" s="4" t="s">
        <v>54</v>
      </c>
      <c r="I6" s="4" t="s">
        <v>54</v>
      </c>
    </row>
    <row r="7" spans="1:9" x14ac:dyDescent="0.25">
      <c r="A7" s="4" t="s">
        <v>50</v>
      </c>
      <c r="B7" s="4" t="s">
        <v>24</v>
      </c>
      <c r="C7" s="4" t="s">
        <v>61</v>
      </c>
      <c r="D7" s="4" t="s">
        <v>62</v>
      </c>
      <c r="E7" s="10">
        <v>54</v>
      </c>
      <c r="F7" s="4" t="s">
        <v>60</v>
      </c>
      <c r="G7" s="4" t="s">
        <v>8</v>
      </c>
      <c r="H7" s="4" t="s">
        <v>54</v>
      </c>
      <c r="I7" s="4" t="s">
        <v>54</v>
      </c>
    </row>
    <row r="8" spans="1:9" x14ac:dyDescent="0.25">
      <c r="A8" s="4" t="s">
        <v>50</v>
      </c>
      <c r="B8" s="4" t="s">
        <v>24</v>
      </c>
      <c r="C8" s="4" t="s">
        <v>63</v>
      </c>
      <c r="D8" s="4" t="s">
        <v>62</v>
      </c>
      <c r="E8" s="10">
        <v>54</v>
      </c>
      <c r="F8" s="4" t="s">
        <v>60</v>
      </c>
      <c r="G8" s="4" t="s">
        <v>8</v>
      </c>
      <c r="H8" s="4" t="s">
        <v>54</v>
      </c>
      <c r="I8" s="4" t="s">
        <v>54</v>
      </c>
    </row>
    <row r="9" spans="1:9" x14ac:dyDescent="0.25">
      <c r="A9" s="4" t="s">
        <v>50</v>
      </c>
      <c r="B9" s="4" t="s">
        <v>24</v>
      </c>
      <c r="C9" s="4" t="s">
        <v>64</v>
      </c>
      <c r="D9" s="4" t="s">
        <v>62</v>
      </c>
      <c r="E9" s="10">
        <v>157</v>
      </c>
      <c r="F9" s="4" t="s">
        <v>60</v>
      </c>
      <c r="G9" s="4" t="s">
        <v>8</v>
      </c>
      <c r="H9" s="4" t="s">
        <v>54</v>
      </c>
      <c r="I9" s="4" t="s">
        <v>54</v>
      </c>
    </row>
    <row r="10" spans="1:9" x14ac:dyDescent="0.25">
      <c r="A10" s="4" t="s">
        <v>65</v>
      </c>
      <c r="B10" s="4" t="s">
        <v>24</v>
      </c>
      <c r="C10" s="4" t="s">
        <v>66</v>
      </c>
      <c r="D10" s="4" t="s">
        <v>67</v>
      </c>
      <c r="E10" s="10">
        <v>270</v>
      </c>
      <c r="F10" s="4" t="s">
        <v>68</v>
      </c>
      <c r="G10" s="4" t="s">
        <v>8</v>
      </c>
      <c r="H10" s="4" t="s">
        <v>54</v>
      </c>
      <c r="I10" s="4" t="s">
        <v>54</v>
      </c>
    </row>
    <row r="11" spans="1:9" x14ac:dyDescent="0.25">
      <c r="A11" s="4" t="s">
        <v>65</v>
      </c>
      <c r="B11" s="4" t="s">
        <v>24</v>
      </c>
      <c r="C11" s="4" t="s">
        <v>69</v>
      </c>
      <c r="D11" s="4" t="s">
        <v>67</v>
      </c>
      <c r="E11" s="10">
        <v>54</v>
      </c>
      <c r="F11" s="4" t="s">
        <v>68</v>
      </c>
      <c r="G11" s="4" t="s">
        <v>8</v>
      </c>
      <c r="H11" s="4" t="s">
        <v>54</v>
      </c>
      <c r="I11" s="4" t="s">
        <v>54</v>
      </c>
    </row>
    <row r="12" spans="1:9" x14ac:dyDescent="0.25">
      <c r="A12" s="4" t="s">
        <v>65</v>
      </c>
      <c r="B12" s="4" t="s">
        <v>24</v>
      </c>
      <c r="C12" s="4" t="s">
        <v>70</v>
      </c>
      <c r="D12" s="4" t="s">
        <v>67</v>
      </c>
      <c r="E12" s="10">
        <v>54</v>
      </c>
      <c r="F12" s="4" t="s">
        <v>53</v>
      </c>
      <c r="G12" s="4" t="s">
        <v>8</v>
      </c>
      <c r="H12" s="4" t="s">
        <v>54</v>
      </c>
      <c r="I12" s="4" t="s">
        <v>54</v>
      </c>
    </row>
    <row r="13" spans="1:9" x14ac:dyDescent="0.25">
      <c r="A13" s="4" t="s">
        <v>65</v>
      </c>
      <c r="B13" s="4" t="s">
        <v>24</v>
      </c>
      <c r="C13" s="4" t="s">
        <v>71</v>
      </c>
      <c r="D13" s="4" t="s">
        <v>67</v>
      </c>
      <c r="E13" s="10">
        <v>54</v>
      </c>
      <c r="F13" s="4" t="s">
        <v>53</v>
      </c>
      <c r="G13" s="4" t="s">
        <v>8</v>
      </c>
      <c r="H13" s="4" t="s">
        <v>54</v>
      </c>
      <c r="I13" s="4" t="s">
        <v>54</v>
      </c>
    </row>
    <row r="14" spans="1:9" x14ac:dyDescent="0.25">
      <c r="A14" s="4" t="s">
        <v>65</v>
      </c>
      <c r="B14" s="4" t="s">
        <v>24</v>
      </c>
      <c r="C14" s="4" t="s">
        <v>72</v>
      </c>
      <c r="D14" s="4" t="s">
        <v>67</v>
      </c>
      <c r="E14" s="10">
        <v>54</v>
      </c>
      <c r="F14" s="4" t="s">
        <v>73</v>
      </c>
      <c r="G14" s="4" t="s">
        <v>8</v>
      </c>
      <c r="H14" s="4" t="s">
        <v>54</v>
      </c>
      <c r="I14" s="4" t="s">
        <v>54</v>
      </c>
    </row>
    <row r="15" spans="1:9" x14ac:dyDescent="0.25">
      <c r="A15" s="4" t="s">
        <v>65</v>
      </c>
      <c r="B15" s="4" t="s">
        <v>24</v>
      </c>
      <c r="C15" s="4" t="s">
        <v>74</v>
      </c>
      <c r="D15" s="4" t="s">
        <v>67</v>
      </c>
      <c r="E15" s="10">
        <v>54</v>
      </c>
      <c r="F15" s="4" t="s">
        <v>60</v>
      </c>
      <c r="G15" s="4" t="s">
        <v>8</v>
      </c>
      <c r="H15" s="4" t="s">
        <v>54</v>
      </c>
      <c r="I15" s="4" t="s">
        <v>54</v>
      </c>
    </row>
    <row r="16" spans="1:9" x14ac:dyDescent="0.25">
      <c r="A16" s="4" t="s">
        <v>65</v>
      </c>
      <c r="B16" s="4" t="s">
        <v>24</v>
      </c>
      <c r="C16" s="4" t="s">
        <v>75</v>
      </c>
      <c r="D16" s="4" t="s">
        <v>67</v>
      </c>
      <c r="E16" s="10">
        <v>54</v>
      </c>
      <c r="F16" s="4" t="s">
        <v>60</v>
      </c>
      <c r="G16" s="4" t="s">
        <v>8</v>
      </c>
      <c r="H16" s="4" t="s">
        <v>54</v>
      </c>
      <c r="I16" s="4" t="s">
        <v>54</v>
      </c>
    </row>
    <row r="17" spans="1:9" x14ac:dyDescent="0.25">
      <c r="A17" s="4" t="s">
        <v>65</v>
      </c>
      <c r="B17" s="4" t="s">
        <v>24</v>
      </c>
      <c r="C17" s="4" t="s">
        <v>76</v>
      </c>
      <c r="D17" s="4" t="s">
        <v>67</v>
      </c>
      <c r="E17" s="10">
        <v>54</v>
      </c>
      <c r="F17" s="4" t="s">
        <v>60</v>
      </c>
      <c r="G17" s="4" t="s">
        <v>8</v>
      </c>
      <c r="H17" s="4" t="s">
        <v>54</v>
      </c>
      <c r="I17" s="4" t="s">
        <v>54</v>
      </c>
    </row>
    <row r="18" spans="1:9" x14ac:dyDescent="0.25">
      <c r="A18" s="4" t="s">
        <v>65</v>
      </c>
      <c r="B18" s="4" t="s">
        <v>24</v>
      </c>
      <c r="C18" s="4" t="s">
        <v>77</v>
      </c>
      <c r="D18" s="4" t="s">
        <v>67</v>
      </c>
      <c r="E18" s="10">
        <v>54</v>
      </c>
      <c r="F18" s="4" t="s">
        <v>60</v>
      </c>
      <c r="G18" s="4" t="s">
        <v>8</v>
      </c>
      <c r="H18" s="4" t="s">
        <v>54</v>
      </c>
      <c r="I18" s="4" t="s">
        <v>54</v>
      </c>
    </row>
    <row r="19" spans="1:9" x14ac:dyDescent="0.25">
      <c r="A19" s="4" t="s">
        <v>65</v>
      </c>
      <c r="B19" s="4" t="s">
        <v>24</v>
      </c>
      <c r="C19" s="4" t="s">
        <v>78</v>
      </c>
      <c r="D19" s="4" t="s">
        <v>52</v>
      </c>
      <c r="E19" s="10">
        <v>173</v>
      </c>
      <c r="F19" s="4" t="s">
        <v>60</v>
      </c>
      <c r="G19" s="4" t="s">
        <v>8</v>
      </c>
      <c r="H19" s="4" t="s">
        <v>54</v>
      </c>
      <c r="I19" s="4" t="s">
        <v>54</v>
      </c>
    </row>
    <row r="20" spans="1:9" x14ac:dyDescent="0.25">
      <c r="A20" s="4" t="s">
        <v>65</v>
      </c>
      <c r="B20" s="4" t="s">
        <v>24</v>
      </c>
      <c r="C20" s="4" t="s">
        <v>79</v>
      </c>
      <c r="D20" s="4" t="s">
        <v>52</v>
      </c>
      <c r="E20" s="10">
        <v>54</v>
      </c>
      <c r="F20" s="4" t="s">
        <v>60</v>
      </c>
      <c r="G20" s="4" t="s">
        <v>8</v>
      </c>
      <c r="H20" s="4" t="s">
        <v>54</v>
      </c>
      <c r="I20" s="4" t="s">
        <v>54</v>
      </c>
    </row>
    <row r="21" spans="1:9" x14ac:dyDescent="0.25">
      <c r="A21" s="4" t="s">
        <v>80</v>
      </c>
      <c r="B21" s="4" t="s">
        <v>24</v>
      </c>
      <c r="C21" s="4" t="s">
        <v>81</v>
      </c>
      <c r="D21" s="4" t="s">
        <v>52</v>
      </c>
      <c r="E21" s="10">
        <v>216</v>
      </c>
      <c r="F21" s="4" t="s">
        <v>53</v>
      </c>
      <c r="G21" s="4" t="s">
        <v>8</v>
      </c>
      <c r="H21" s="4" t="s">
        <v>54</v>
      </c>
      <c r="I21" s="4" t="s">
        <v>54</v>
      </c>
    </row>
    <row r="22" spans="1:9" x14ac:dyDescent="0.25">
      <c r="A22" s="4" t="s">
        <v>80</v>
      </c>
      <c r="B22" s="4" t="s">
        <v>24</v>
      </c>
      <c r="C22" s="4" t="s">
        <v>82</v>
      </c>
      <c r="D22" s="4" t="s">
        <v>52</v>
      </c>
      <c r="E22" s="10">
        <v>54</v>
      </c>
      <c r="F22" s="4" t="s">
        <v>53</v>
      </c>
      <c r="G22" s="4" t="s">
        <v>8</v>
      </c>
      <c r="H22" s="4" t="s">
        <v>54</v>
      </c>
      <c r="I22" s="4" t="s">
        <v>54</v>
      </c>
    </row>
    <row r="23" spans="1:9" x14ac:dyDescent="0.25">
      <c r="A23" s="4" t="s">
        <v>80</v>
      </c>
      <c r="B23" s="4" t="s">
        <v>24</v>
      </c>
      <c r="C23" s="4" t="s">
        <v>83</v>
      </c>
      <c r="D23" s="4" t="s">
        <v>52</v>
      </c>
      <c r="E23" s="10">
        <v>54</v>
      </c>
      <c r="F23" s="4" t="s">
        <v>53</v>
      </c>
      <c r="G23" s="4" t="s">
        <v>8</v>
      </c>
      <c r="H23" s="4" t="s">
        <v>54</v>
      </c>
      <c r="I23" s="4" t="s">
        <v>54</v>
      </c>
    </row>
    <row r="24" spans="1:9" x14ac:dyDescent="0.25">
      <c r="A24" s="4" t="s">
        <v>80</v>
      </c>
      <c r="B24" s="4" t="s">
        <v>24</v>
      </c>
      <c r="C24" s="4" t="s">
        <v>84</v>
      </c>
      <c r="D24" s="4" t="s">
        <v>62</v>
      </c>
      <c r="E24" s="10">
        <v>54</v>
      </c>
      <c r="F24" s="4" t="s">
        <v>60</v>
      </c>
      <c r="G24" s="4" t="s">
        <v>8</v>
      </c>
      <c r="H24" s="4" t="s">
        <v>54</v>
      </c>
      <c r="I24" s="4" t="s">
        <v>54</v>
      </c>
    </row>
    <row r="25" spans="1:9" x14ac:dyDescent="0.25">
      <c r="A25" s="4" t="s">
        <v>80</v>
      </c>
      <c r="B25" s="4" t="s">
        <v>24</v>
      </c>
      <c r="C25" s="4" t="s">
        <v>85</v>
      </c>
      <c r="D25" s="4" t="s">
        <v>62</v>
      </c>
      <c r="E25" s="10">
        <v>54</v>
      </c>
      <c r="F25" s="4" t="s">
        <v>60</v>
      </c>
      <c r="G25" s="4" t="s">
        <v>8</v>
      </c>
      <c r="H25" s="4" t="s">
        <v>54</v>
      </c>
      <c r="I25" s="4" t="s">
        <v>54</v>
      </c>
    </row>
    <row r="26" spans="1:9" x14ac:dyDescent="0.25">
      <c r="A26" s="4" t="s">
        <v>80</v>
      </c>
      <c r="B26" s="4" t="s">
        <v>24</v>
      </c>
      <c r="C26" s="4" t="s">
        <v>86</v>
      </c>
      <c r="D26" s="4" t="s">
        <v>62</v>
      </c>
      <c r="E26" s="10">
        <v>54</v>
      </c>
      <c r="F26" s="4" t="s">
        <v>60</v>
      </c>
      <c r="G26" s="4" t="s">
        <v>8</v>
      </c>
      <c r="H26" s="4" t="s">
        <v>54</v>
      </c>
      <c r="I26" s="4" t="s">
        <v>54</v>
      </c>
    </row>
    <row r="27" spans="1:9" x14ac:dyDescent="0.25">
      <c r="A27" s="4" t="s">
        <v>80</v>
      </c>
      <c r="B27" s="4" t="s">
        <v>24</v>
      </c>
      <c r="C27" s="4" t="s">
        <v>87</v>
      </c>
      <c r="D27" s="4" t="s">
        <v>62</v>
      </c>
      <c r="E27" s="10">
        <v>54</v>
      </c>
      <c r="F27" s="4" t="s">
        <v>60</v>
      </c>
      <c r="G27" s="4" t="s">
        <v>8</v>
      </c>
      <c r="H27" s="4" t="s">
        <v>54</v>
      </c>
      <c r="I27" s="4" t="s">
        <v>54</v>
      </c>
    </row>
    <row r="28" spans="1:9" x14ac:dyDescent="0.25">
      <c r="A28" s="4" t="s">
        <v>80</v>
      </c>
      <c r="B28" s="4" t="s">
        <v>24</v>
      </c>
      <c r="C28" s="4" t="s">
        <v>88</v>
      </c>
      <c r="D28" s="4" t="s">
        <v>62</v>
      </c>
      <c r="E28" s="10">
        <v>157</v>
      </c>
      <c r="F28" s="4" t="s">
        <v>60</v>
      </c>
      <c r="G28" s="4" t="s">
        <v>8</v>
      </c>
      <c r="H28" s="4" t="s">
        <v>54</v>
      </c>
      <c r="I28" s="4" t="s">
        <v>54</v>
      </c>
    </row>
    <row r="29" spans="1:9" x14ac:dyDescent="0.25">
      <c r="A29" s="4" t="s">
        <v>89</v>
      </c>
      <c r="B29" s="4" t="s">
        <v>36</v>
      </c>
      <c r="C29" s="4" t="s">
        <v>90</v>
      </c>
      <c r="D29" s="4" t="s">
        <v>91</v>
      </c>
      <c r="E29" s="10">
        <v>150</v>
      </c>
      <c r="F29" s="4" t="s">
        <v>92</v>
      </c>
      <c r="G29" s="4" t="s">
        <v>8</v>
      </c>
      <c r="H29" s="4" t="s">
        <v>54</v>
      </c>
      <c r="I29" s="4" t="s">
        <v>54</v>
      </c>
    </row>
    <row r="30" spans="1:9" x14ac:dyDescent="0.25">
      <c r="A30" s="4" t="s">
        <v>93</v>
      </c>
      <c r="B30" s="4" t="s">
        <v>25</v>
      </c>
      <c r="C30" s="4" t="s">
        <v>94</v>
      </c>
      <c r="D30" s="4" t="s">
        <v>95</v>
      </c>
      <c r="E30" s="10">
        <v>2500</v>
      </c>
      <c r="F30" s="4" t="s">
        <v>96</v>
      </c>
      <c r="G30" s="4" t="s">
        <v>8</v>
      </c>
      <c r="H30" s="4" t="s">
        <v>97</v>
      </c>
      <c r="I30" s="4" t="s">
        <v>54</v>
      </c>
    </row>
    <row r="31" spans="1:9" x14ac:dyDescent="0.25">
      <c r="A31" s="4" t="s">
        <v>93</v>
      </c>
      <c r="B31" s="4" t="s">
        <v>25</v>
      </c>
      <c r="C31" s="4" t="s">
        <v>98</v>
      </c>
      <c r="D31" s="4" t="s">
        <v>99</v>
      </c>
      <c r="E31" s="10">
        <v>1000</v>
      </c>
      <c r="F31" s="4" t="s">
        <v>100</v>
      </c>
      <c r="G31" s="4" t="s">
        <v>8</v>
      </c>
      <c r="H31" s="4" t="s">
        <v>54</v>
      </c>
      <c r="I31" s="4" t="s">
        <v>54</v>
      </c>
    </row>
    <row r="32" spans="1:9" x14ac:dyDescent="0.25">
      <c r="A32" s="4" t="s">
        <v>101</v>
      </c>
      <c r="B32" s="4" t="s">
        <v>37</v>
      </c>
      <c r="C32" s="4" t="s">
        <v>102</v>
      </c>
      <c r="D32" s="4" t="s">
        <v>103</v>
      </c>
      <c r="E32" s="10">
        <v>150</v>
      </c>
      <c r="F32" s="4" t="s">
        <v>104</v>
      </c>
      <c r="G32" s="4" t="s">
        <v>8</v>
      </c>
      <c r="H32" s="4" t="s">
        <v>54</v>
      </c>
      <c r="I32" s="4" t="s">
        <v>54</v>
      </c>
    </row>
    <row r="33" spans="1:9" x14ac:dyDescent="0.25">
      <c r="A33" s="4" t="s">
        <v>105</v>
      </c>
      <c r="B33" s="4" t="s">
        <v>28</v>
      </c>
      <c r="C33" s="4" t="s">
        <v>106</v>
      </c>
      <c r="D33" s="4" t="s">
        <v>107</v>
      </c>
      <c r="E33" s="10">
        <v>100</v>
      </c>
      <c r="F33" s="4" t="s">
        <v>104</v>
      </c>
      <c r="G33" s="4" t="s">
        <v>8</v>
      </c>
      <c r="H33" s="4" t="s">
        <v>54</v>
      </c>
      <c r="I33" s="4" t="s">
        <v>54</v>
      </c>
    </row>
    <row r="34" spans="1:9" x14ac:dyDescent="0.25">
      <c r="A34" s="4" t="s">
        <v>108</v>
      </c>
      <c r="B34" s="4" t="s">
        <v>40</v>
      </c>
      <c r="C34" s="4" t="s">
        <v>109</v>
      </c>
      <c r="D34" s="4" t="s">
        <v>110</v>
      </c>
      <c r="E34" s="10">
        <v>50</v>
      </c>
      <c r="F34" s="4" t="s">
        <v>111</v>
      </c>
      <c r="G34" s="4" t="s">
        <v>8</v>
      </c>
      <c r="H34" s="4" t="s">
        <v>54</v>
      </c>
      <c r="I34" s="4" t="s">
        <v>54</v>
      </c>
    </row>
    <row r="35" spans="1:9" x14ac:dyDescent="0.25">
      <c r="A35" s="4" t="s">
        <v>112</v>
      </c>
      <c r="B35" s="4" t="s">
        <v>38</v>
      </c>
      <c r="C35" s="4" t="s">
        <v>113</v>
      </c>
      <c r="D35" s="4" t="s">
        <v>114</v>
      </c>
      <c r="E35" s="10">
        <v>100</v>
      </c>
      <c r="F35" s="4" t="s">
        <v>115</v>
      </c>
      <c r="G35" s="4" t="s">
        <v>12</v>
      </c>
      <c r="H35" s="4" t="s">
        <v>4</v>
      </c>
      <c r="I35" s="4" t="s">
        <v>4</v>
      </c>
    </row>
    <row r="36" spans="1:9" x14ac:dyDescent="0.25">
      <c r="A36" s="4" t="s">
        <v>116</v>
      </c>
      <c r="B36" s="4" t="s">
        <v>33</v>
      </c>
      <c r="C36" s="4" t="s">
        <v>117</v>
      </c>
      <c r="D36" s="4" t="s">
        <v>118</v>
      </c>
      <c r="E36" s="10">
        <v>260</v>
      </c>
      <c r="F36" s="4" t="s">
        <v>119</v>
      </c>
      <c r="G36" s="4" t="s">
        <v>12</v>
      </c>
      <c r="H36" s="4" t="s">
        <v>4</v>
      </c>
      <c r="I36" s="4" t="s">
        <v>4</v>
      </c>
    </row>
    <row r="37" spans="1:9" x14ac:dyDescent="0.25">
      <c r="A37" s="4" t="s">
        <v>120</v>
      </c>
      <c r="B37" s="4" t="s">
        <v>22</v>
      </c>
      <c r="C37" s="4" t="s">
        <v>121</v>
      </c>
      <c r="D37" s="4" t="s">
        <v>122</v>
      </c>
      <c r="E37" s="10">
        <v>50</v>
      </c>
      <c r="F37" s="4" t="s">
        <v>123</v>
      </c>
      <c r="G37" s="4" t="s">
        <v>16</v>
      </c>
      <c r="H37" s="4" t="s">
        <v>54</v>
      </c>
      <c r="I37" s="4" t="s">
        <v>54</v>
      </c>
    </row>
    <row r="38" spans="1:9" x14ac:dyDescent="0.25">
      <c r="A38" s="4" t="s">
        <v>124</v>
      </c>
      <c r="B38" s="4" t="s">
        <v>24</v>
      </c>
      <c r="C38" s="4" t="s">
        <v>125</v>
      </c>
      <c r="D38" s="4" t="s">
        <v>126</v>
      </c>
      <c r="E38" s="10">
        <v>50</v>
      </c>
      <c r="F38" s="4" t="s">
        <v>127</v>
      </c>
      <c r="G38" s="4" t="s">
        <v>6</v>
      </c>
      <c r="H38" s="4" t="s">
        <v>54</v>
      </c>
      <c r="I38" s="4" t="s">
        <v>54</v>
      </c>
    </row>
    <row r="39" spans="1:9" x14ac:dyDescent="0.25">
      <c r="A39" s="4" t="s">
        <v>128</v>
      </c>
      <c r="B39" s="4" t="s">
        <v>24</v>
      </c>
      <c r="C39" s="4" t="s">
        <v>129</v>
      </c>
      <c r="D39" s="4" t="s">
        <v>130</v>
      </c>
      <c r="E39" s="10">
        <v>80</v>
      </c>
      <c r="F39" s="4" t="s">
        <v>131</v>
      </c>
      <c r="G39" s="4" t="s">
        <v>6</v>
      </c>
      <c r="H39" s="4" t="s">
        <v>54</v>
      </c>
      <c r="I39" s="4" t="s">
        <v>54</v>
      </c>
    </row>
    <row r="40" spans="1:9" x14ac:dyDescent="0.25">
      <c r="A40" s="4" t="s">
        <v>128</v>
      </c>
      <c r="B40" s="4" t="s">
        <v>24</v>
      </c>
      <c r="C40" s="4" t="s">
        <v>132</v>
      </c>
      <c r="D40" s="4" t="s">
        <v>130</v>
      </c>
      <c r="E40" s="10">
        <v>80</v>
      </c>
      <c r="F40" s="4" t="s">
        <v>131</v>
      </c>
      <c r="G40" s="4" t="s">
        <v>6</v>
      </c>
      <c r="H40" s="4" t="s">
        <v>54</v>
      </c>
      <c r="I40" s="4" t="s">
        <v>54</v>
      </c>
    </row>
    <row r="41" spans="1:9" x14ac:dyDescent="0.25">
      <c r="A41" s="4" t="s">
        <v>128</v>
      </c>
      <c r="B41" s="4" t="s">
        <v>24</v>
      </c>
      <c r="C41" s="4" t="s">
        <v>133</v>
      </c>
      <c r="D41" s="4" t="s">
        <v>130</v>
      </c>
      <c r="E41" s="10">
        <v>80</v>
      </c>
      <c r="F41" s="4" t="s">
        <v>131</v>
      </c>
      <c r="G41" s="4" t="s">
        <v>6</v>
      </c>
      <c r="H41" s="4" t="s">
        <v>54</v>
      </c>
      <c r="I41" s="4" t="s">
        <v>54</v>
      </c>
    </row>
    <row r="42" spans="1:9" x14ac:dyDescent="0.25">
      <c r="A42" s="4" t="s">
        <v>128</v>
      </c>
      <c r="B42" s="4" t="s">
        <v>24</v>
      </c>
      <c r="C42" s="4" t="s">
        <v>134</v>
      </c>
      <c r="D42" s="4" t="s">
        <v>130</v>
      </c>
      <c r="E42" s="10">
        <v>80</v>
      </c>
      <c r="F42" s="4" t="s">
        <v>131</v>
      </c>
      <c r="G42" s="4" t="s">
        <v>6</v>
      </c>
      <c r="H42" s="4" t="s">
        <v>54</v>
      </c>
      <c r="I42" s="4" t="s">
        <v>54</v>
      </c>
    </row>
    <row r="43" spans="1:9" x14ac:dyDescent="0.25">
      <c r="A43" s="4" t="s">
        <v>128</v>
      </c>
      <c r="B43" s="4" t="s">
        <v>24</v>
      </c>
      <c r="C43" s="4" t="s">
        <v>135</v>
      </c>
      <c r="D43" s="4" t="s">
        <v>130</v>
      </c>
      <c r="E43" s="10">
        <v>80</v>
      </c>
      <c r="F43" s="4" t="s">
        <v>131</v>
      </c>
      <c r="G43" s="4" t="s">
        <v>6</v>
      </c>
      <c r="H43" s="4" t="s">
        <v>54</v>
      </c>
      <c r="I43" s="4" t="s">
        <v>54</v>
      </c>
    </row>
    <row r="44" spans="1:9" x14ac:dyDescent="0.25">
      <c r="A44" s="4" t="s">
        <v>128</v>
      </c>
      <c r="B44" s="4" t="s">
        <v>24</v>
      </c>
      <c r="C44" s="4" t="s">
        <v>136</v>
      </c>
      <c r="D44" s="4" t="s">
        <v>130</v>
      </c>
      <c r="E44" s="10">
        <v>80</v>
      </c>
      <c r="F44" s="4" t="s">
        <v>131</v>
      </c>
      <c r="G44" s="4" t="s">
        <v>6</v>
      </c>
      <c r="H44" s="4" t="s">
        <v>54</v>
      </c>
      <c r="I44" s="4" t="s">
        <v>54</v>
      </c>
    </row>
    <row r="45" spans="1:9" x14ac:dyDescent="0.25">
      <c r="A45" s="4" t="s">
        <v>128</v>
      </c>
      <c r="B45" s="4" t="s">
        <v>24</v>
      </c>
      <c r="C45" s="4" t="s">
        <v>137</v>
      </c>
      <c r="D45" s="4" t="s">
        <v>130</v>
      </c>
      <c r="E45" s="10">
        <v>80</v>
      </c>
      <c r="F45" s="4" t="s">
        <v>131</v>
      </c>
      <c r="G45" s="4" t="s">
        <v>6</v>
      </c>
      <c r="H45" s="4" t="s">
        <v>54</v>
      </c>
      <c r="I45" s="4" t="s">
        <v>54</v>
      </c>
    </row>
    <row r="46" spans="1:9" x14ac:dyDescent="0.25">
      <c r="A46" s="4" t="s">
        <v>128</v>
      </c>
      <c r="B46" s="4" t="s">
        <v>24</v>
      </c>
      <c r="C46" s="4" t="s">
        <v>138</v>
      </c>
      <c r="D46" s="4" t="s">
        <v>130</v>
      </c>
      <c r="E46" s="10">
        <v>80</v>
      </c>
      <c r="F46" s="4" t="s">
        <v>131</v>
      </c>
      <c r="G46" s="4" t="s">
        <v>6</v>
      </c>
      <c r="H46" s="4" t="s">
        <v>54</v>
      </c>
      <c r="I46" s="4" t="s">
        <v>54</v>
      </c>
    </row>
    <row r="47" spans="1:9" x14ac:dyDescent="0.25">
      <c r="A47" s="4" t="s">
        <v>128</v>
      </c>
      <c r="B47" s="4" t="s">
        <v>24</v>
      </c>
      <c r="C47" s="4" t="s">
        <v>139</v>
      </c>
      <c r="D47" s="4" t="s">
        <v>130</v>
      </c>
      <c r="E47" s="10">
        <v>80</v>
      </c>
      <c r="F47" s="4" t="s">
        <v>131</v>
      </c>
      <c r="G47" s="4" t="s">
        <v>6</v>
      </c>
      <c r="H47" s="4" t="s">
        <v>54</v>
      </c>
      <c r="I47" s="4" t="s">
        <v>54</v>
      </c>
    </row>
    <row r="48" spans="1:9" x14ac:dyDescent="0.25">
      <c r="A48" s="4" t="s">
        <v>128</v>
      </c>
      <c r="B48" s="4" t="s">
        <v>24</v>
      </c>
      <c r="C48" s="4" t="s">
        <v>140</v>
      </c>
      <c r="D48" s="4" t="s">
        <v>130</v>
      </c>
      <c r="E48" s="10">
        <v>80</v>
      </c>
      <c r="F48" s="4" t="s">
        <v>131</v>
      </c>
      <c r="G48" s="4" t="s">
        <v>6</v>
      </c>
      <c r="H48" s="4" t="s">
        <v>54</v>
      </c>
      <c r="I48" s="4" t="s">
        <v>54</v>
      </c>
    </row>
    <row r="49" spans="1:9" x14ac:dyDescent="0.25">
      <c r="A49" s="4" t="s">
        <v>128</v>
      </c>
      <c r="B49" s="4" t="s">
        <v>24</v>
      </c>
      <c r="C49" s="4" t="s">
        <v>141</v>
      </c>
      <c r="D49" s="4" t="s">
        <v>130</v>
      </c>
      <c r="E49" s="10">
        <v>80</v>
      </c>
      <c r="F49" s="4" t="s">
        <v>131</v>
      </c>
      <c r="G49" s="4" t="s">
        <v>6</v>
      </c>
      <c r="H49" s="4" t="s">
        <v>54</v>
      </c>
      <c r="I49" s="4" t="s">
        <v>54</v>
      </c>
    </row>
    <row r="50" spans="1:9" x14ac:dyDescent="0.25">
      <c r="A50" s="4" t="s">
        <v>128</v>
      </c>
      <c r="B50" s="4" t="s">
        <v>24</v>
      </c>
      <c r="C50" s="4" t="s">
        <v>142</v>
      </c>
      <c r="D50" s="4" t="s">
        <v>130</v>
      </c>
      <c r="E50" s="10">
        <v>80</v>
      </c>
      <c r="F50" s="4" t="s">
        <v>131</v>
      </c>
      <c r="G50" s="4" t="s">
        <v>6</v>
      </c>
      <c r="H50" s="4" t="s">
        <v>54</v>
      </c>
      <c r="I50" s="4" t="s">
        <v>54</v>
      </c>
    </row>
    <row r="51" spans="1:9" x14ac:dyDescent="0.25">
      <c r="A51" s="4" t="s">
        <v>128</v>
      </c>
      <c r="B51" s="4" t="s">
        <v>24</v>
      </c>
      <c r="C51" s="4" t="s">
        <v>143</v>
      </c>
      <c r="D51" s="4" t="s">
        <v>144</v>
      </c>
      <c r="E51" s="10">
        <v>80</v>
      </c>
      <c r="F51" s="4" t="s">
        <v>131</v>
      </c>
      <c r="G51" s="4" t="s">
        <v>6</v>
      </c>
      <c r="H51" s="4" t="s">
        <v>54</v>
      </c>
      <c r="I51" s="4" t="s">
        <v>54</v>
      </c>
    </row>
    <row r="52" spans="1:9" x14ac:dyDescent="0.25">
      <c r="A52" s="4" t="s">
        <v>128</v>
      </c>
      <c r="B52" s="4" t="s">
        <v>24</v>
      </c>
      <c r="C52" s="4" t="s">
        <v>145</v>
      </c>
      <c r="D52" s="4" t="s">
        <v>144</v>
      </c>
      <c r="E52" s="10">
        <v>80</v>
      </c>
      <c r="F52" s="4" t="s">
        <v>131</v>
      </c>
      <c r="G52" s="4" t="s">
        <v>6</v>
      </c>
      <c r="H52" s="4" t="s">
        <v>54</v>
      </c>
      <c r="I52" s="4" t="s">
        <v>54</v>
      </c>
    </row>
    <row r="53" spans="1:9" x14ac:dyDescent="0.25">
      <c r="A53" s="4" t="s">
        <v>128</v>
      </c>
      <c r="B53" s="4" t="s">
        <v>24</v>
      </c>
      <c r="C53" s="4" t="s">
        <v>146</v>
      </c>
      <c r="D53" s="4" t="s">
        <v>144</v>
      </c>
      <c r="E53" s="10">
        <v>80</v>
      </c>
      <c r="F53" s="4" t="s">
        <v>147</v>
      </c>
      <c r="G53" s="4" t="s">
        <v>6</v>
      </c>
      <c r="H53" s="4" t="s">
        <v>54</v>
      </c>
      <c r="I53" s="4" t="s">
        <v>54</v>
      </c>
    </row>
    <row r="54" spans="1:9" x14ac:dyDescent="0.25">
      <c r="A54" s="4" t="s">
        <v>128</v>
      </c>
      <c r="B54" s="4" t="s">
        <v>24</v>
      </c>
      <c r="C54" s="4" t="s">
        <v>148</v>
      </c>
      <c r="D54" s="4" t="s">
        <v>144</v>
      </c>
      <c r="E54" s="10">
        <v>80</v>
      </c>
      <c r="F54" s="4" t="s">
        <v>147</v>
      </c>
      <c r="G54" s="4" t="s">
        <v>6</v>
      </c>
      <c r="H54" s="4" t="s">
        <v>54</v>
      </c>
      <c r="I54" s="4" t="s">
        <v>54</v>
      </c>
    </row>
    <row r="55" spans="1:9" x14ac:dyDescent="0.25">
      <c r="A55" s="4" t="s">
        <v>128</v>
      </c>
      <c r="B55" s="4" t="s">
        <v>24</v>
      </c>
      <c r="C55" s="4" t="s">
        <v>149</v>
      </c>
      <c r="D55" s="4" t="s">
        <v>144</v>
      </c>
      <c r="E55" s="10">
        <v>80</v>
      </c>
      <c r="F55" s="4" t="s">
        <v>147</v>
      </c>
      <c r="G55" s="4" t="s">
        <v>6</v>
      </c>
      <c r="H55" s="4" t="s">
        <v>54</v>
      </c>
      <c r="I55" s="4" t="s">
        <v>54</v>
      </c>
    </row>
    <row r="56" spans="1:9" x14ac:dyDescent="0.25">
      <c r="A56" s="4" t="s">
        <v>128</v>
      </c>
      <c r="B56" s="4" t="s">
        <v>24</v>
      </c>
      <c r="C56" s="4" t="s">
        <v>150</v>
      </c>
      <c r="D56" s="4" t="s">
        <v>144</v>
      </c>
      <c r="E56" s="10">
        <v>80</v>
      </c>
      <c r="F56" s="4" t="s">
        <v>147</v>
      </c>
      <c r="G56" s="4" t="s">
        <v>6</v>
      </c>
      <c r="H56" s="4" t="s">
        <v>54</v>
      </c>
      <c r="I56" s="4" t="s">
        <v>54</v>
      </c>
    </row>
    <row r="57" spans="1:9" x14ac:dyDescent="0.25">
      <c r="A57" s="4" t="s">
        <v>128</v>
      </c>
      <c r="B57" s="4" t="s">
        <v>24</v>
      </c>
      <c r="C57" s="4" t="s">
        <v>151</v>
      </c>
      <c r="D57" s="4" t="s">
        <v>144</v>
      </c>
      <c r="E57" s="10">
        <v>80</v>
      </c>
      <c r="F57" s="4" t="s">
        <v>147</v>
      </c>
      <c r="G57" s="4" t="s">
        <v>6</v>
      </c>
      <c r="H57" s="4" t="s">
        <v>54</v>
      </c>
      <c r="I57" s="4" t="s">
        <v>54</v>
      </c>
    </row>
    <row r="58" spans="1:9" x14ac:dyDescent="0.25">
      <c r="A58" s="4" t="s">
        <v>128</v>
      </c>
      <c r="B58" s="4" t="s">
        <v>24</v>
      </c>
      <c r="C58" s="4" t="s">
        <v>152</v>
      </c>
      <c r="D58" s="4" t="s">
        <v>144</v>
      </c>
      <c r="E58" s="10">
        <v>80</v>
      </c>
      <c r="F58" s="4" t="s">
        <v>147</v>
      </c>
      <c r="G58" s="4" t="s">
        <v>6</v>
      </c>
      <c r="H58" s="4" t="s">
        <v>54</v>
      </c>
      <c r="I58" s="4" t="s">
        <v>54</v>
      </c>
    </row>
    <row r="59" spans="1:9" x14ac:dyDescent="0.25">
      <c r="A59" s="4" t="s">
        <v>128</v>
      </c>
      <c r="B59" s="4" t="s">
        <v>24</v>
      </c>
      <c r="C59" s="4" t="s">
        <v>153</v>
      </c>
      <c r="D59" s="4" t="s">
        <v>144</v>
      </c>
      <c r="E59" s="10">
        <v>80</v>
      </c>
      <c r="F59" s="4" t="s">
        <v>147</v>
      </c>
      <c r="G59" s="4" t="s">
        <v>6</v>
      </c>
      <c r="H59" s="4" t="s">
        <v>54</v>
      </c>
      <c r="I59" s="4" t="s">
        <v>54</v>
      </c>
    </row>
    <row r="60" spans="1:9" x14ac:dyDescent="0.25">
      <c r="A60" s="4" t="s">
        <v>128</v>
      </c>
      <c r="B60" s="4" t="s">
        <v>24</v>
      </c>
      <c r="C60" s="4" t="s">
        <v>154</v>
      </c>
      <c r="D60" s="4" t="s">
        <v>144</v>
      </c>
      <c r="E60" s="10">
        <v>80</v>
      </c>
      <c r="F60" s="4" t="s">
        <v>147</v>
      </c>
      <c r="G60" s="4" t="s">
        <v>6</v>
      </c>
      <c r="H60" s="4" t="s">
        <v>54</v>
      </c>
      <c r="I60" s="4" t="s">
        <v>54</v>
      </c>
    </row>
    <row r="61" spans="1:9" x14ac:dyDescent="0.25">
      <c r="A61" s="4" t="s">
        <v>128</v>
      </c>
      <c r="B61" s="4" t="s">
        <v>24</v>
      </c>
      <c r="C61" s="4" t="s">
        <v>155</v>
      </c>
      <c r="D61" s="4" t="s">
        <v>144</v>
      </c>
      <c r="E61" s="10">
        <v>80</v>
      </c>
      <c r="F61" s="4" t="s">
        <v>147</v>
      </c>
      <c r="G61" s="4" t="s">
        <v>6</v>
      </c>
      <c r="H61" s="4" t="s">
        <v>54</v>
      </c>
      <c r="I61" s="4" t="s">
        <v>54</v>
      </c>
    </row>
    <row r="62" spans="1:9" x14ac:dyDescent="0.25">
      <c r="A62" s="4" t="s">
        <v>128</v>
      </c>
      <c r="B62" s="4" t="s">
        <v>24</v>
      </c>
      <c r="C62" s="4" t="s">
        <v>156</v>
      </c>
      <c r="D62" s="4" t="s">
        <v>144</v>
      </c>
      <c r="E62" s="10">
        <v>80</v>
      </c>
      <c r="F62" s="4" t="s">
        <v>147</v>
      </c>
      <c r="G62" s="4" t="s">
        <v>6</v>
      </c>
      <c r="H62" s="4" t="s">
        <v>54</v>
      </c>
      <c r="I62" s="4" t="s">
        <v>54</v>
      </c>
    </row>
    <row r="63" spans="1:9" x14ac:dyDescent="0.25">
      <c r="A63" s="4" t="s">
        <v>128</v>
      </c>
      <c r="B63" s="4" t="s">
        <v>24</v>
      </c>
      <c r="C63" s="4" t="s">
        <v>157</v>
      </c>
      <c r="D63" s="4" t="s">
        <v>144</v>
      </c>
      <c r="E63" s="10">
        <v>80</v>
      </c>
      <c r="F63" s="4" t="s">
        <v>147</v>
      </c>
      <c r="G63" s="4" t="s">
        <v>6</v>
      </c>
      <c r="H63" s="4" t="s">
        <v>54</v>
      </c>
      <c r="I63" s="4" t="s">
        <v>54</v>
      </c>
    </row>
    <row r="64" spans="1:9" x14ac:dyDescent="0.25">
      <c r="A64" s="4" t="s">
        <v>128</v>
      </c>
      <c r="B64" s="4" t="s">
        <v>24</v>
      </c>
      <c r="C64" s="4" t="s">
        <v>158</v>
      </c>
      <c r="D64" s="4" t="s">
        <v>159</v>
      </c>
      <c r="E64" s="10">
        <v>80</v>
      </c>
      <c r="F64" s="4" t="s">
        <v>147</v>
      </c>
      <c r="G64" s="4" t="s">
        <v>6</v>
      </c>
      <c r="H64" s="4" t="s">
        <v>54</v>
      </c>
      <c r="I64" s="4" t="s">
        <v>54</v>
      </c>
    </row>
    <row r="65" spans="1:9" x14ac:dyDescent="0.25">
      <c r="A65" s="4" t="s">
        <v>160</v>
      </c>
      <c r="B65" s="4" t="s">
        <v>24</v>
      </c>
      <c r="C65" s="4" t="s">
        <v>161</v>
      </c>
      <c r="D65" s="4" t="s">
        <v>162</v>
      </c>
      <c r="E65" s="10">
        <v>1140</v>
      </c>
      <c r="F65" s="4" t="s">
        <v>163</v>
      </c>
      <c r="G65" s="4" t="s">
        <v>6</v>
      </c>
      <c r="H65" s="4" t="s">
        <v>4</v>
      </c>
      <c r="I65" s="4" t="s">
        <v>4</v>
      </c>
    </row>
    <row r="66" spans="1:9" x14ac:dyDescent="0.25">
      <c r="A66" s="4" t="s">
        <v>164</v>
      </c>
      <c r="B66" s="4" t="s">
        <v>27</v>
      </c>
      <c r="C66" s="4" t="s">
        <v>165</v>
      </c>
      <c r="D66" s="4" t="s">
        <v>166</v>
      </c>
      <c r="E66" s="10">
        <v>337</v>
      </c>
      <c r="F66" s="4" t="s">
        <v>167</v>
      </c>
      <c r="G66" s="4" t="s">
        <v>6</v>
      </c>
      <c r="H66" s="4" t="s">
        <v>4</v>
      </c>
      <c r="I66" s="4" t="s">
        <v>4</v>
      </c>
    </row>
    <row r="67" spans="1:9" x14ac:dyDescent="0.25">
      <c r="A67" s="4" t="s">
        <v>164</v>
      </c>
      <c r="B67" s="4" t="s">
        <v>27</v>
      </c>
      <c r="C67" s="4" t="s">
        <v>168</v>
      </c>
      <c r="D67" s="4" t="s">
        <v>169</v>
      </c>
      <c r="E67" s="10">
        <v>150</v>
      </c>
      <c r="F67" s="4" t="s">
        <v>170</v>
      </c>
      <c r="G67" s="4" t="s">
        <v>6</v>
      </c>
      <c r="H67" s="4" t="s">
        <v>4</v>
      </c>
      <c r="I67" s="4" t="s">
        <v>4</v>
      </c>
    </row>
    <row r="68" spans="1:9" x14ac:dyDescent="0.25">
      <c r="A68" s="4" t="s">
        <v>171</v>
      </c>
      <c r="B68" s="4" t="s">
        <v>29</v>
      </c>
      <c r="C68" s="4" t="s">
        <v>172</v>
      </c>
      <c r="D68" s="4" t="s">
        <v>173</v>
      </c>
      <c r="E68" s="10">
        <v>500</v>
      </c>
      <c r="F68" s="4" t="s">
        <v>174</v>
      </c>
      <c r="G68" s="4" t="s">
        <v>6</v>
      </c>
      <c r="H68" s="4" t="s">
        <v>54</v>
      </c>
      <c r="I68" s="4" t="s">
        <v>54</v>
      </c>
    </row>
    <row r="69" spans="1:9" x14ac:dyDescent="0.25">
      <c r="A69" s="4" t="s">
        <v>120</v>
      </c>
      <c r="B69" s="4" t="s">
        <v>22</v>
      </c>
      <c r="C69" s="4" t="s">
        <v>175</v>
      </c>
      <c r="D69" s="4" t="s">
        <v>176</v>
      </c>
      <c r="E69" s="10">
        <v>350</v>
      </c>
      <c r="F69" s="4" t="s">
        <v>177</v>
      </c>
      <c r="G69" s="4" t="s">
        <v>6</v>
      </c>
      <c r="H69" s="4" t="s">
        <v>54</v>
      </c>
      <c r="I69" s="4" t="s">
        <v>54</v>
      </c>
    </row>
    <row r="70" spans="1:9" x14ac:dyDescent="0.25">
      <c r="A70" s="4" t="s">
        <v>120</v>
      </c>
      <c r="B70" s="4" t="s">
        <v>22</v>
      </c>
      <c r="C70" s="4" t="s">
        <v>178</v>
      </c>
      <c r="D70" s="4" t="s">
        <v>176</v>
      </c>
      <c r="E70" s="10">
        <v>600</v>
      </c>
      <c r="F70" s="4" t="s">
        <v>177</v>
      </c>
      <c r="G70" s="4" t="s">
        <v>6</v>
      </c>
      <c r="H70" s="4" t="s">
        <v>54</v>
      </c>
      <c r="I70" s="4" t="s">
        <v>54</v>
      </c>
    </row>
    <row r="71" spans="1:9" x14ac:dyDescent="0.25">
      <c r="A71" s="4" t="s">
        <v>120</v>
      </c>
      <c r="B71" s="4" t="s">
        <v>22</v>
      </c>
      <c r="C71" s="4" t="s">
        <v>179</v>
      </c>
      <c r="D71" s="4" t="s">
        <v>176</v>
      </c>
      <c r="E71" s="10">
        <v>300</v>
      </c>
      <c r="F71" s="4" t="s">
        <v>177</v>
      </c>
      <c r="G71" s="4" t="s">
        <v>6</v>
      </c>
      <c r="H71" s="4" t="s">
        <v>54</v>
      </c>
      <c r="I71" s="4" t="s">
        <v>54</v>
      </c>
    </row>
    <row r="72" spans="1:9" x14ac:dyDescent="0.25">
      <c r="A72" s="4" t="s">
        <v>120</v>
      </c>
      <c r="B72" s="4" t="s">
        <v>22</v>
      </c>
      <c r="C72" s="4" t="s">
        <v>180</v>
      </c>
      <c r="D72" s="4" t="s">
        <v>122</v>
      </c>
      <c r="E72" s="10">
        <v>50</v>
      </c>
      <c r="F72" s="4" t="s">
        <v>181</v>
      </c>
      <c r="G72" s="4" t="s">
        <v>6</v>
      </c>
      <c r="H72" s="4" t="s">
        <v>54</v>
      </c>
      <c r="I72" s="4" t="s">
        <v>54</v>
      </c>
    </row>
    <row r="73" spans="1:9" x14ac:dyDescent="0.25">
      <c r="A73" s="4" t="s">
        <v>120</v>
      </c>
      <c r="B73" s="4" t="s">
        <v>22</v>
      </c>
      <c r="C73" s="4" t="s">
        <v>182</v>
      </c>
      <c r="D73" s="4" t="s">
        <v>107</v>
      </c>
      <c r="E73" s="10">
        <v>1200</v>
      </c>
      <c r="F73" s="4" t="s">
        <v>183</v>
      </c>
      <c r="G73" s="4" t="s">
        <v>6</v>
      </c>
      <c r="H73" s="4" t="s">
        <v>54</v>
      </c>
      <c r="I73" s="4" t="s">
        <v>54</v>
      </c>
    </row>
    <row r="74" spans="1:9" x14ac:dyDescent="0.25">
      <c r="A74" s="4" t="s">
        <v>120</v>
      </c>
      <c r="B74" s="4" t="s">
        <v>22</v>
      </c>
      <c r="C74" s="4" t="s">
        <v>184</v>
      </c>
      <c r="D74" s="4" t="s">
        <v>107</v>
      </c>
      <c r="E74" s="10">
        <v>1200</v>
      </c>
      <c r="F74" s="4" t="s">
        <v>183</v>
      </c>
      <c r="G74" s="4" t="s">
        <v>6</v>
      </c>
      <c r="H74" s="4" t="s">
        <v>54</v>
      </c>
      <c r="I74" s="4" t="s">
        <v>54</v>
      </c>
    </row>
    <row r="75" spans="1:9" x14ac:dyDescent="0.25">
      <c r="A75" s="4" t="s">
        <v>120</v>
      </c>
      <c r="B75" s="4" t="s">
        <v>22</v>
      </c>
      <c r="C75" s="4" t="s">
        <v>185</v>
      </c>
      <c r="D75" s="4" t="s">
        <v>107</v>
      </c>
      <c r="E75" s="10">
        <v>1200</v>
      </c>
      <c r="F75" s="4" t="s">
        <v>183</v>
      </c>
      <c r="G75" s="4" t="s">
        <v>6</v>
      </c>
      <c r="H75" s="4" t="s">
        <v>54</v>
      </c>
      <c r="I75" s="4" t="s">
        <v>54</v>
      </c>
    </row>
    <row r="76" spans="1:9" x14ac:dyDescent="0.25">
      <c r="A76" s="4" t="s">
        <v>120</v>
      </c>
      <c r="B76" s="4" t="s">
        <v>22</v>
      </c>
      <c r="C76" s="4" t="s">
        <v>186</v>
      </c>
      <c r="D76" s="4" t="s">
        <v>107</v>
      </c>
      <c r="E76" s="10">
        <v>1200</v>
      </c>
      <c r="F76" s="4" t="s">
        <v>183</v>
      </c>
      <c r="G76" s="4" t="s">
        <v>6</v>
      </c>
      <c r="H76" s="4" t="s">
        <v>54</v>
      </c>
      <c r="I76" s="4" t="s">
        <v>54</v>
      </c>
    </row>
    <row r="77" spans="1:9" x14ac:dyDescent="0.25">
      <c r="A77" s="4" t="s">
        <v>120</v>
      </c>
      <c r="B77" s="4" t="s">
        <v>22</v>
      </c>
      <c r="C77" s="4" t="s">
        <v>187</v>
      </c>
      <c r="D77" s="4" t="s">
        <v>107</v>
      </c>
      <c r="E77" s="10">
        <v>1200</v>
      </c>
      <c r="F77" s="4" t="s">
        <v>183</v>
      </c>
      <c r="G77" s="4" t="s">
        <v>6</v>
      </c>
      <c r="H77" s="4" t="s">
        <v>54</v>
      </c>
      <c r="I77" s="4" t="s">
        <v>54</v>
      </c>
    </row>
    <row r="78" spans="1:9" x14ac:dyDescent="0.25">
      <c r="A78" s="4" t="s">
        <v>120</v>
      </c>
      <c r="B78" s="4" t="s">
        <v>22</v>
      </c>
      <c r="C78" s="4" t="s">
        <v>188</v>
      </c>
      <c r="D78" s="4" t="s">
        <v>107</v>
      </c>
      <c r="E78" s="10">
        <v>1200</v>
      </c>
      <c r="F78" s="4" t="s">
        <v>183</v>
      </c>
      <c r="G78" s="4" t="s">
        <v>6</v>
      </c>
      <c r="H78" s="4" t="s">
        <v>54</v>
      </c>
      <c r="I78" s="4" t="s">
        <v>54</v>
      </c>
    </row>
    <row r="79" spans="1:9" x14ac:dyDescent="0.25">
      <c r="A79" s="4" t="s">
        <v>120</v>
      </c>
      <c r="B79" s="4" t="s">
        <v>22</v>
      </c>
      <c r="C79" s="4" t="s">
        <v>189</v>
      </c>
      <c r="D79" s="4" t="s">
        <v>107</v>
      </c>
      <c r="E79" s="10">
        <v>1200</v>
      </c>
      <c r="F79" s="4" t="s">
        <v>183</v>
      </c>
      <c r="G79" s="4" t="s">
        <v>6</v>
      </c>
      <c r="H79" s="4" t="s">
        <v>54</v>
      </c>
      <c r="I79" s="4" t="s">
        <v>54</v>
      </c>
    </row>
    <row r="80" spans="1:9" x14ac:dyDescent="0.25">
      <c r="A80" s="4" t="s">
        <v>120</v>
      </c>
      <c r="B80" s="4" t="s">
        <v>22</v>
      </c>
      <c r="C80" s="4" t="s">
        <v>190</v>
      </c>
      <c r="D80" s="4" t="s">
        <v>107</v>
      </c>
      <c r="E80" s="10">
        <v>1200</v>
      </c>
      <c r="F80" s="4" t="s">
        <v>183</v>
      </c>
      <c r="G80" s="4" t="s">
        <v>6</v>
      </c>
      <c r="H80" s="4" t="s">
        <v>54</v>
      </c>
      <c r="I80" s="4" t="s">
        <v>54</v>
      </c>
    </row>
    <row r="81" spans="1:9" x14ac:dyDescent="0.25">
      <c r="A81" s="4" t="s">
        <v>120</v>
      </c>
      <c r="B81" s="4" t="s">
        <v>22</v>
      </c>
      <c r="C81" s="4" t="s">
        <v>191</v>
      </c>
      <c r="D81" s="4" t="s">
        <v>107</v>
      </c>
      <c r="E81" s="10">
        <v>1200</v>
      </c>
      <c r="F81" s="4" t="s">
        <v>183</v>
      </c>
      <c r="G81" s="4" t="s">
        <v>6</v>
      </c>
      <c r="H81" s="4" t="s">
        <v>54</v>
      </c>
      <c r="I81" s="4" t="s">
        <v>54</v>
      </c>
    </row>
    <row r="82" spans="1:9" x14ac:dyDescent="0.25">
      <c r="A82" s="4" t="s">
        <v>120</v>
      </c>
      <c r="B82" s="4" t="s">
        <v>22</v>
      </c>
      <c r="C82" s="4" t="s">
        <v>192</v>
      </c>
      <c r="D82" s="4" t="s">
        <v>107</v>
      </c>
      <c r="E82" s="10">
        <v>1200</v>
      </c>
      <c r="F82" s="4" t="s">
        <v>183</v>
      </c>
      <c r="G82" s="4" t="s">
        <v>6</v>
      </c>
      <c r="H82" s="4" t="s">
        <v>54</v>
      </c>
      <c r="I82" s="4" t="s">
        <v>54</v>
      </c>
    </row>
    <row r="83" spans="1:9" x14ac:dyDescent="0.25">
      <c r="A83" s="4" t="s">
        <v>120</v>
      </c>
      <c r="B83" s="4" t="s">
        <v>22</v>
      </c>
      <c r="C83" s="4" t="s">
        <v>193</v>
      </c>
      <c r="D83" s="4" t="s">
        <v>130</v>
      </c>
      <c r="E83" s="10">
        <v>300</v>
      </c>
      <c r="F83" s="4" t="s">
        <v>177</v>
      </c>
      <c r="G83" s="4" t="s">
        <v>6</v>
      </c>
      <c r="H83" s="4" t="s">
        <v>54</v>
      </c>
      <c r="I83" s="4" t="s">
        <v>54</v>
      </c>
    </row>
    <row r="84" spans="1:9" x14ac:dyDescent="0.25">
      <c r="A84" s="4" t="s">
        <v>120</v>
      </c>
      <c r="B84" s="4" t="s">
        <v>22</v>
      </c>
      <c r="C84" s="4" t="s">
        <v>194</v>
      </c>
      <c r="D84" s="4" t="s">
        <v>130</v>
      </c>
      <c r="E84" s="10">
        <v>350</v>
      </c>
      <c r="F84" s="4" t="s">
        <v>177</v>
      </c>
      <c r="G84" s="4" t="s">
        <v>6</v>
      </c>
      <c r="H84" s="4" t="s">
        <v>54</v>
      </c>
      <c r="I84" s="4" t="s">
        <v>54</v>
      </c>
    </row>
    <row r="85" spans="1:9" x14ac:dyDescent="0.25">
      <c r="A85" s="4" t="s">
        <v>120</v>
      </c>
      <c r="B85" s="4" t="s">
        <v>22</v>
      </c>
      <c r="C85" s="4" t="s">
        <v>195</v>
      </c>
      <c r="D85" s="4" t="s">
        <v>130</v>
      </c>
      <c r="E85" s="10">
        <v>600</v>
      </c>
      <c r="F85" s="4" t="s">
        <v>177</v>
      </c>
      <c r="G85" s="4" t="s">
        <v>6</v>
      </c>
      <c r="H85" s="4" t="s">
        <v>54</v>
      </c>
      <c r="I85" s="4" t="s">
        <v>54</v>
      </c>
    </row>
    <row r="86" spans="1:9" x14ac:dyDescent="0.25">
      <c r="A86" s="4" t="s">
        <v>196</v>
      </c>
      <c r="B86" s="4" t="s">
        <v>28</v>
      </c>
      <c r="C86" s="4" t="s">
        <v>197</v>
      </c>
      <c r="D86" s="4" t="s">
        <v>198</v>
      </c>
      <c r="E86" s="10">
        <v>50</v>
      </c>
      <c r="F86" s="4" t="s">
        <v>199</v>
      </c>
      <c r="G86" s="4" t="s">
        <v>17</v>
      </c>
      <c r="H86" s="4" t="s">
        <v>54</v>
      </c>
      <c r="I86" s="4" t="s">
        <v>54</v>
      </c>
    </row>
    <row r="87" spans="1:9" x14ac:dyDescent="0.25">
      <c r="A87" s="4" t="s">
        <v>200</v>
      </c>
      <c r="B87" s="4" t="s">
        <v>28</v>
      </c>
      <c r="C87" s="4" t="s">
        <v>201</v>
      </c>
      <c r="D87" s="4" t="s">
        <v>202</v>
      </c>
      <c r="E87" s="10">
        <v>70</v>
      </c>
      <c r="F87" s="4" t="s">
        <v>203</v>
      </c>
      <c r="G87" s="4" t="s">
        <v>15</v>
      </c>
      <c r="H87" s="4" t="s">
        <v>54</v>
      </c>
      <c r="I87" s="4" t="s">
        <v>54</v>
      </c>
    </row>
    <row r="88" spans="1:9" x14ac:dyDescent="0.25">
      <c r="A88" s="4" t="s">
        <v>204</v>
      </c>
      <c r="B88" s="4" t="s">
        <v>28</v>
      </c>
      <c r="C88" s="4" t="s">
        <v>205</v>
      </c>
      <c r="D88" s="4" t="s">
        <v>107</v>
      </c>
      <c r="E88" s="10">
        <v>50</v>
      </c>
      <c r="F88" s="4" t="s">
        <v>206</v>
      </c>
      <c r="G88" s="4" t="s">
        <v>15</v>
      </c>
      <c r="H88" s="4" t="s">
        <v>54</v>
      </c>
      <c r="I88" s="4" t="s">
        <v>54</v>
      </c>
    </row>
    <row r="89" spans="1:9" x14ac:dyDescent="0.25">
      <c r="A89" s="4" t="s">
        <v>207</v>
      </c>
      <c r="B89" s="4" t="s">
        <v>39</v>
      </c>
      <c r="C89" s="4" t="s">
        <v>208</v>
      </c>
      <c r="D89" s="4" t="s">
        <v>209</v>
      </c>
      <c r="E89" s="10">
        <v>100</v>
      </c>
      <c r="F89" s="4" t="s">
        <v>210</v>
      </c>
      <c r="G89" s="4" t="s">
        <v>13</v>
      </c>
      <c r="H89" s="4" t="s">
        <v>54</v>
      </c>
      <c r="I89" s="4" t="s">
        <v>54</v>
      </c>
    </row>
    <row r="90" spans="1:9" x14ac:dyDescent="0.25">
      <c r="A90" s="4" t="s">
        <v>211</v>
      </c>
      <c r="B90" s="4" t="s">
        <v>25</v>
      </c>
      <c r="C90" s="4" t="s">
        <v>212</v>
      </c>
      <c r="D90" s="4" t="s">
        <v>213</v>
      </c>
      <c r="E90" s="10">
        <v>110</v>
      </c>
      <c r="F90" s="4" t="s">
        <v>214</v>
      </c>
      <c r="G90" s="4" t="s">
        <v>13</v>
      </c>
      <c r="H90" s="4" t="s">
        <v>54</v>
      </c>
      <c r="I90" s="4" t="s">
        <v>54</v>
      </c>
    </row>
    <row r="91" spans="1:9" x14ac:dyDescent="0.25">
      <c r="A91" s="4" t="s">
        <v>124</v>
      </c>
      <c r="B91" s="4" t="s">
        <v>24</v>
      </c>
      <c r="C91" s="4" t="s">
        <v>215</v>
      </c>
      <c r="D91" s="4" t="s">
        <v>216</v>
      </c>
      <c r="E91" s="10">
        <v>50</v>
      </c>
      <c r="F91" s="4" t="s">
        <v>217</v>
      </c>
      <c r="G91" s="4" t="s">
        <v>10</v>
      </c>
      <c r="H91" s="4" t="s">
        <v>54</v>
      </c>
      <c r="I91" s="4" t="s">
        <v>54</v>
      </c>
    </row>
    <row r="92" spans="1:9" x14ac:dyDescent="0.25">
      <c r="A92" s="4" t="s">
        <v>124</v>
      </c>
      <c r="B92" s="4" t="s">
        <v>24</v>
      </c>
      <c r="C92" s="4" t="s">
        <v>218</v>
      </c>
      <c r="D92" s="4" t="s">
        <v>216</v>
      </c>
      <c r="E92" s="10">
        <v>50</v>
      </c>
      <c r="F92" s="4" t="s">
        <v>217</v>
      </c>
      <c r="G92" s="4" t="s">
        <v>10</v>
      </c>
      <c r="H92" s="4" t="s">
        <v>54</v>
      </c>
      <c r="I92" s="4" t="s">
        <v>54</v>
      </c>
    </row>
    <row r="93" spans="1:9" x14ac:dyDescent="0.25">
      <c r="A93" s="4" t="s">
        <v>124</v>
      </c>
      <c r="B93" s="4" t="s">
        <v>24</v>
      </c>
      <c r="C93" s="4" t="s">
        <v>219</v>
      </c>
      <c r="D93" s="4" t="s">
        <v>216</v>
      </c>
      <c r="E93" s="10">
        <v>50</v>
      </c>
      <c r="F93" s="4" t="s">
        <v>217</v>
      </c>
      <c r="G93" s="4" t="s">
        <v>10</v>
      </c>
      <c r="H93" s="4" t="s">
        <v>54</v>
      </c>
      <c r="I93" s="4" t="s">
        <v>54</v>
      </c>
    </row>
    <row r="94" spans="1:9" x14ac:dyDescent="0.25">
      <c r="A94" s="4" t="s">
        <v>124</v>
      </c>
      <c r="B94" s="4" t="s">
        <v>24</v>
      </c>
      <c r="C94" s="4" t="s">
        <v>220</v>
      </c>
      <c r="D94" s="4" t="s">
        <v>216</v>
      </c>
      <c r="E94" s="10">
        <v>50</v>
      </c>
      <c r="F94" s="4" t="s">
        <v>217</v>
      </c>
      <c r="G94" s="4" t="s">
        <v>10</v>
      </c>
      <c r="H94" s="4" t="s">
        <v>54</v>
      </c>
      <c r="I94" s="4" t="s">
        <v>54</v>
      </c>
    </row>
    <row r="95" spans="1:9" x14ac:dyDescent="0.25">
      <c r="A95" s="4" t="s">
        <v>124</v>
      </c>
      <c r="B95" s="4" t="s">
        <v>24</v>
      </c>
      <c r="C95" s="4" t="s">
        <v>221</v>
      </c>
      <c r="D95" s="4" t="s">
        <v>216</v>
      </c>
      <c r="E95" s="10">
        <v>50</v>
      </c>
      <c r="F95" s="4" t="s">
        <v>217</v>
      </c>
      <c r="G95" s="4" t="s">
        <v>10</v>
      </c>
      <c r="H95" s="4" t="s">
        <v>54</v>
      </c>
      <c r="I95" s="4" t="s">
        <v>54</v>
      </c>
    </row>
    <row r="96" spans="1:9" x14ac:dyDescent="0.25">
      <c r="A96" s="4" t="s">
        <v>124</v>
      </c>
      <c r="B96" s="4" t="s">
        <v>24</v>
      </c>
      <c r="C96" s="4" t="s">
        <v>222</v>
      </c>
      <c r="D96" s="4" t="s">
        <v>216</v>
      </c>
      <c r="E96" s="10">
        <v>50</v>
      </c>
      <c r="F96" s="4" t="s">
        <v>217</v>
      </c>
      <c r="G96" s="4" t="s">
        <v>10</v>
      </c>
      <c r="H96" s="4" t="s">
        <v>54</v>
      </c>
      <c r="I96" s="4" t="s">
        <v>54</v>
      </c>
    </row>
    <row r="97" spans="1:9" x14ac:dyDescent="0.25">
      <c r="A97" s="4" t="s">
        <v>124</v>
      </c>
      <c r="B97" s="4" t="s">
        <v>24</v>
      </c>
      <c r="C97" s="4" t="s">
        <v>223</v>
      </c>
      <c r="D97" s="4" t="s">
        <v>216</v>
      </c>
      <c r="E97" s="10">
        <v>50</v>
      </c>
      <c r="F97" s="4" t="s">
        <v>217</v>
      </c>
      <c r="G97" s="4" t="s">
        <v>10</v>
      </c>
      <c r="H97" s="4" t="s">
        <v>54</v>
      </c>
      <c r="I97" s="4" t="s">
        <v>54</v>
      </c>
    </row>
    <row r="98" spans="1:9" x14ac:dyDescent="0.25">
      <c r="A98" s="4" t="s">
        <v>124</v>
      </c>
      <c r="B98" s="4" t="s">
        <v>24</v>
      </c>
      <c r="C98" s="4" t="s">
        <v>224</v>
      </c>
      <c r="D98" s="4" t="s">
        <v>216</v>
      </c>
      <c r="E98" s="10">
        <v>50</v>
      </c>
      <c r="F98" s="4" t="s">
        <v>217</v>
      </c>
      <c r="G98" s="4" t="s">
        <v>10</v>
      </c>
      <c r="H98" s="4" t="s">
        <v>54</v>
      </c>
      <c r="I98" s="4" t="s">
        <v>54</v>
      </c>
    </row>
    <row r="99" spans="1:9" x14ac:dyDescent="0.25">
      <c r="A99" s="4" t="s">
        <v>124</v>
      </c>
      <c r="B99" s="4" t="s">
        <v>24</v>
      </c>
      <c r="C99" s="4" t="s">
        <v>225</v>
      </c>
      <c r="D99" s="4" t="s">
        <v>216</v>
      </c>
      <c r="E99" s="10">
        <v>50</v>
      </c>
      <c r="F99" s="4" t="s">
        <v>217</v>
      </c>
      <c r="G99" s="4" t="s">
        <v>10</v>
      </c>
      <c r="H99" s="4" t="s">
        <v>54</v>
      </c>
      <c r="I99" s="4" t="s">
        <v>54</v>
      </c>
    </row>
    <row r="100" spans="1:9" x14ac:dyDescent="0.25">
      <c r="A100" s="4" t="s">
        <v>124</v>
      </c>
      <c r="B100" s="4" t="s">
        <v>24</v>
      </c>
      <c r="C100" s="4" t="s">
        <v>226</v>
      </c>
      <c r="D100" s="4" t="s">
        <v>227</v>
      </c>
      <c r="E100" s="10">
        <v>50</v>
      </c>
      <c r="F100" s="4" t="s">
        <v>217</v>
      </c>
      <c r="G100" s="4" t="s">
        <v>10</v>
      </c>
      <c r="H100" s="4" t="s">
        <v>54</v>
      </c>
      <c r="I100" s="4" t="s">
        <v>54</v>
      </c>
    </row>
    <row r="101" spans="1:9" x14ac:dyDescent="0.25">
      <c r="A101" s="4" t="s">
        <v>228</v>
      </c>
      <c r="B101" s="4" t="s">
        <v>24</v>
      </c>
      <c r="C101" s="4" t="s">
        <v>229</v>
      </c>
      <c r="D101" s="4" t="s">
        <v>230</v>
      </c>
      <c r="E101" s="10">
        <v>50</v>
      </c>
      <c r="F101" s="4" t="s">
        <v>231</v>
      </c>
      <c r="G101" s="4" t="s">
        <v>10</v>
      </c>
      <c r="H101" s="4" t="s">
        <v>4</v>
      </c>
      <c r="I101" s="4" t="s">
        <v>4</v>
      </c>
    </row>
    <row r="102" spans="1:9" x14ac:dyDescent="0.25">
      <c r="A102" s="4" t="s">
        <v>228</v>
      </c>
      <c r="B102" s="4" t="s">
        <v>24</v>
      </c>
      <c r="C102" s="4" t="s">
        <v>232</v>
      </c>
      <c r="D102" s="4" t="s">
        <v>230</v>
      </c>
      <c r="E102" s="10">
        <v>50</v>
      </c>
      <c r="F102" s="4" t="s">
        <v>231</v>
      </c>
      <c r="G102" s="4" t="s">
        <v>10</v>
      </c>
      <c r="H102" s="4" t="s">
        <v>4</v>
      </c>
      <c r="I102" s="4" t="s">
        <v>4</v>
      </c>
    </row>
    <row r="103" spans="1:9" x14ac:dyDescent="0.25">
      <c r="A103" s="4" t="s">
        <v>228</v>
      </c>
      <c r="B103" s="4" t="s">
        <v>24</v>
      </c>
      <c r="C103" s="4" t="s">
        <v>233</v>
      </c>
      <c r="D103" s="4" t="s">
        <v>230</v>
      </c>
      <c r="E103" s="10">
        <v>50</v>
      </c>
      <c r="F103" s="4" t="s">
        <v>231</v>
      </c>
      <c r="G103" s="4" t="s">
        <v>10</v>
      </c>
      <c r="H103" s="4" t="s">
        <v>4</v>
      </c>
      <c r="I103" s="4" t="s">
        <v>4</v>
      </c>
    </row>
    <row r="104" spans="1:9" x14ac:dyDescent="0.25">
      <c r="A104" s="4" t="s">
        <v>228</v>
      </c>
      <c r="B104" s="4" t="s">
        <v>24</v>
      </c>
      <c r="C104" s="4" t="s">
        <v>234</v>
      </c>
      <c r="D104" s="4" t="s">
        <v>230</v>
      </c>
      <c r="E104" s="10">
        <v>50</v>
      </c>
      <c r="F104" s="4" t="s">
        <v>231</v>
      </c>
      <c r="G104" s="4" t="s">
        <v>10</v>
      </c>
      <c r="H104" s="4" t="s">
        <v>4</v>
      </c>
      <c r="I104" s="4" t="s">
        <v>4</v>
      </c>
    </row>
    <row r="105" spans="1:9" x14ac:dyDescent="0.25">
      <c r="A105" s="4" t="s">
        <v>228</v>
      </c>
      <c r="B105" s="4" t="s">
        <v>24</v>
      </c>
      <c r="C105" s="4" t="s">
        <v>235</v>
      </c>
      <c r="D105" s="4" t="s">
        <v>230</v>
      </c>
      <c r="E105" s="10">
        <v>50</v>
      </c>
      <c r="F105" s="4" t="s">
        <v>231</v>
      </c>
      <c r="G105" s="4" t="s">
        <v>10</v>
      </c>
      <c r="H105" s="4" t="s">
        <v>4</v>
      </c>
      <c r="I105" s="4" t="s">
        <v>4</v>
      </c>
    </row>
    <row r="106" spans="1:9" x14ac:dyDescent="0.25">
      <c r="A106" s="4" t="s">
        <v>228</v>
      </c>
      <c r="B106" s="4" t="s">
        <v>24</v>
      </c>
      <c r="C106" s="4" t="s">
        <v>236</v>
      </c>
      <c r="D106" s="4" t="s">
        <v>230</v>
      </c>
      <c r="E106" s="10">
        <v>50</v>
      </c>
      <c r="F106" s="4" t="s">
        <v>231</v>
      </c>
      <c r="G106" s="4" t="s">
        <v>10</v>
      </c>
      <c r="H106" s="4" t="s">
        <v>4</v>
      </c>
      <c r="I106" s="4" t="s">
        <v>4</v>
      </c>
    </row>
    <row r="107" spans="1:9" x14ac:dyDescent="0.25">
      <c r="A107" s="4" t="s">
        <v>228</v>
      </c>
      <c r="B107" s="4" t="s">
        <v>24</v>
      </c>
      <c r="C107" s="4" t="s">
        <v>237</v>
      </c>
      <c r="D107" s="4" t="s">
        <v>230</v>
      </c>
      <c r="E107" s="10">
        <v>50</v>
      </c>
      <c r="F107" s="4" t="s">
        <v>231</v>
      </c>
      <c r="G107" s="4" t="s">
        <v>10</v>
      </c>
      <c r="H107" s="4" t="s">
        <v>4</v>
      </c>
      <c r="I107" s="4" t="s">
        <v>4</v>
      </c>
    </row>
    <row r="108" spans="1:9" x14ac:dyDescent="0.25">
      <c r="A108" s="4" t="s">
        <v>228</v>
      </c>
      <c r="B108" s="4" t="s">
        <v>24</v>
      </c>
      <c r="C108" s="4" t="s">
        <v>238</v>
      </c>
      <c r="D108" s="4" t="s">
        <v>230</v>
      </c>
      <c r="E108" s="10">
        <v>50</v>
      </c>
      <c r="F108" s="4" t="s">
        <v>231</v>
      </c>
      <c r="G108" s="4" t="s">
        <v>10</v>
      </c>
      <c r="H108" s="4" t="s">
        <v>4</v>
      </c>
      <c r="I108" s="4" t="s">
        <v>4</v>
      </c>
    </row>
    <row r="109" spans="1:9" x14ac:dyDescent="0.25">
      <c r="A109" s="4" t="s">
        <v>228</v>
      </c>
      <c r="B109" s="4" t="s">
        <v>24</v>
      </c>
      <c r="C109" s="4" t="s">
        <v>239</v>
      </c>
      <c r="D109" s="4" t="s">
        <v>230</v>
      </c>
      <c r="E109" s="10">
        <v>50</v>
      </c>
      <c r="F109" s="4" t="s">
        <v>231</v>
      </c>
      <c r="G109" s="4" t="s">
        <v>10</v>
      </c>
      <c r="H109" s="4" t="s">
        <v>4</v>
      </c>
      <c r="I109" s="4" t="s">
        <v>4</v>
      </c>
    </row>
    <row r="110" spans="1:9" x14ac:dyDescent="0.25">
      <c r="A110" s="4" t="s">
        <v>228</v>
      </c>
      <c r="B110" s="4" t="s">
        <v>24</v>
      </c>
      <c r="C110" s="4" t="s">
        <v>240</v>
      </c>
      <c r="D110" s="4" t="s">
        <v>230</v>
      </c>
      <c r="E110" s="10">
        <v>50</v>
      </c>
      <c r="F110" s="4" t="s">
        <v>231</v>
      </c>
      <c r="G110" s="4" t="s">
        <v>10</v>
      </c>
      <c r="H110" s="4" t="s">
        <v>4</v>
      </c>
      <c r="I110" s="4" t="s">
        <v>4</v>
      </c>
    </row>
    <row r="111" spans="1:9" x14ac:dyDescent="0.25">
      <c r="A111" s="4" t="s">
        <v>228</v>
      </c>
      <c r="B111" s="4" t="s">
        <v>24</v>
      </c>
      <c r="C111" s="4" t="s">
        <v>241</v>
      </c>
      <c r="D111" s="4" t="s">
        <v>230</v>
      </c>
      <c r="E111" s="10">
        <v>50</v>
      </c>
      <c r="F111" s="4" t="s">
        <v>231</v>
      </c>
      <c r="G111" s="4" t="s">
        <v>10</v>
      </c>
      <c r="H111" s="4" t="s">
        <v>4</v>
      </c>
      <c r="I111" s="4" t="s">
        <v>4</v>
      </c>
    </row>
    <row r="112" spans="1:9" x14ac:dyDescent="0.25">
      <c r="A112" s="4" t="s">
        <v>228</v>
      </c>
      <c r="B112" s="4" t="s">
        <v>24</v>
      </c>
      <c r="C112" s="4" t="s">
        <v>242</v>
      </c>
      <c r="D112" s="4" t="s">
        <v>230</v>
      </c>
      <c r="E112" s="10">
        <v>50</v>
      </c>
      <c r="F112" s="4" t="s">
        <v>231</v>
      </c>
      <c r="G112" s="4" t="s">
        <v>10</v>
      </c>
      <c r="H112" s="4" t="s">
        <v>4</v>
      </c>
      <c r="I112" s="4" t="s">
        <v>4</v>
      </c>
    </row>
    <row r="113" spans="1:9" x14ac:dyDescent="0.25">
      <c r="A113" s="4" t="s">
        <v>228</v>
      </c>
      <c r="B113" s="4" t="s">
        <v>24</v>
      </c>
      <c r="C113" s="4" t="s">
        <v>243</v>
      </c>
      <c r="D113" s="4" t="s">
        <v>230</v>
      </c>
      <c r="E113" s="10">
        <v>50</v>
      </c>
      <c r="F113" s="4" t="s">
        <v>231</v>
      </c>
      <c r="G113" s="4" t="s">
        <v>10</v>
      </c>
      <c r="H113" s="4" t="s">
        <v>4</v>
      </c>
      <c r="I113" s="4" t="s">
        <v>4</v>
      </c>
    </row>
    <row r="114" spans="1:9" x14ac:dyDescent="0.25">
      <c r="A114" s="4" t="s">
        <v>228</v>
      </c>
      <c r="B114" s="4" t="s">
        <v>24</v>
      </c>
      <c r="C114" s="4" t="s">
        <v>244</v>
      </c>
      <c r="D114" s="4" t="s">
        <v>245</v>
      </c>
      <c r="E114" s="10">
        <v>418</v>
      </c>
      <c r="F114" s="4" t="s">
        <v>231</v>
      </c>
      <c r="G114" s="4" t="s">
        <v>10</v>
      </c>
      <c r="H114" s="4" t="s">
        <v>4</v>
      </c>
      <c r="I114" s="4" t="s">
        <v>4</v>
      </c>
    </row>
    <row r="115" spans="1:9" x14ac:dyDescent="0.25">
      <c r="A115" s="4" t="s">
        <v>228</v>
      </c>
      <c r="B115" s="4" t="s">
        <v>24</v>
      </c>
      <c r="C115" s="4" t="s">
        <v>246</v>
      </c>
      <c r="D115" s="4" t="s">
        <v>245</v>
      </c>
      <c r="E115" s="10">
        <v>74</v>
      </c>
      <c r="F115" s="4" t="s">
        <v>231</v>
      </c>
      <c r="G115" s="4" t="s">
        <v>10</v>
      </c>
      <c r="H115" s="4" t="s">
        <v>4</v>
      </c>
      <c r="I115" s="4" t="s">
        <v>4</v>
      </c>
    </row>
    <row r="116" spans="1:9" x14ac:dyDescent="0.25">
      <c r="A116" s="4" t="s">
        <v>228</v>
      </c>
      <c r="B116" s="4" t="s">
        <v>24</v>
      </c>
      <c r="C116" s="4" t="s">
        <v>247</v>
      </c>
      <c r="D116" s="4" t="s">
        <v>245</v>
      </c>
      <c r="E116" s="10">
        <v>174</v>
      </c>
      <c r="F116" s="4" t="s">
        <v>231</v>
      </c>
      <c r="G116" s="4" t="s">
        <v>10</v>
      </c>
      <c r="H116" s="4" t="s">
        <v>4</v>
      </c>
      <c r="I116" s="4" t="s">
        <v>4</v>
      </c>
    </row>
    <row r="117" spans="1:9" x14ac:dyDescent="0.25">
      <c r="A117" s="4" t="s">
        <v>228</v>
      </c>
      <c r="B117" s="4" t="s">
        <v>24</v>
      </c>
      <c r="C117" s="4" t="s">
        <v>248</v>
      </c>
      <c r="D117" s="4" t="s">
        <v>245</v>
      </c>
      <c r="E117" s="10">
        <v>152</v>
      </c>
      <c r="F117" s="4" t="s">
        <v>231</v>
      </c>
      <c r="G117" s="4" t="s">
        <v>10</v>
      </c>
      <c r="H117" s="4" t="s">
        <v>4</v>
      </c>
      <c r="I117" s="4" t="s">
        <v>4</v>
      </c>
    </row>
    <row r="118" spans="1:9" x14ac:dyDescent="0.25">
      <c r="A118" s="4" t="s">
        <v>249</v>
      </c>
      <c r="B118" s="4" t="s">
        <v>35</v>
      </c>
      <c r="C118" s="4" t="s">
        <v>250</v>
      </c>
      <c r="D118" s="4" t="s">
        <v>251</v>
      </c>
      <c r="E118" s="10">
        <v>50</v>
      </c>
      <c r="F118" s="4" t="s">
        <v>252</v>
      </c>
      <c r="G118" s="4" t="s">
        <v>10</v>
      </c>
      <c r="H118" s="4" t="s">
        <v>4</v>
      </c>
      <c r="I118" s="4" t="s">
        <v>4</v>
      </c>
    </row>
    <row r="119" spans="1:9" x14ac:dyDescent="0.25">
      <c r="A119" s="4" t="s">
        <v>120</v>
      </c>
      <c r="B119" s="4" t="s">
        <v>22</v>
      </c>
      <c r="C119" s="4" t="s">
        <v>253</v>
      </c>
      <c r="D119" s="4" t="s">
        <v>122</v>
      </c>
      <c r="E119" s="10">
        <v>50</v>
      </c>
      <c r="F119" s="4" t="s">
        <v>254</v>
      </c>
      <c r="G119" s="4" t="s">
        <v>10</v>
      </c>
      <c r="H119" s="4" t="s">
        <v>54</v>
      </c>
      <c r="I119" s="4" t="s">
        <v>54</v>
      </c>
    </row>
    <row r="120" spans="1:9" x14ac:dyDescent="0.25">
      <c r="A120" s="4" t="s">
        <v>255</v>
      </c>
      <c r="B120" s="4" t="s">
        <v>28</v>
      </c>
      <c r="C120" s="4" t="s">
        <v>256</v>
      </c>
      <c r="D120" s="4" t="s">
        <v>257</v>
      </c>
      <c r="E120" s="10">
        <v>100</v>
      </c>
      <c r="F120" s="4" t="s">
        <v>258</v>
      </c>
      <c r="G120" s="4" t="s">
        <v>10</v>
      </c>
      <c r="H120" s="4" t="s">
        <v>54</v>
      </c>
      <c r="I120" s="4" t="s">
        <v>54</v>
      </c>
    </row>
    <row r="121" spans="1:9" x14ac:dyDescent="0.25">
      <c r="A121" s="4" t="s">
        <v>259</v>
      </c>
      <c r="B121" s="4" t="s">
        <v>23</v>
      </c>
      <c r="C121" s="4" t="s">
        <v>260</v>
      </c>
      <c r="D121" s="4" t="s">
        <v>261</v>
      </c>
      <c r="E121" s="10">
        <v>2000</v>
      </c>
      <c r="F121" s="4" t="s">
        <v>262</v>
      </c>
      <c r="G121" s="4" t="s">
        <v>7</v>
      </c>
      <c r="H121" s="4" t="s">
        <v>54</v>
      </c>
      <c r="I121" s="4" t="s">
        <v>54</v>
      </c>
    </row>
    <row r="122" spans="1:9" x14ac:dyDescent="0.25">
      <c r="A122" s="4" t="s">
        <v>259</v>
      </c>
      <c r="B122" s="4" t="s">
        <v>23</v>
      </c>
      <c r="C122" s="4" t="s">
        <v>263</v>
      </c>
      <c r="D122" s="4" t="s">
        <v>264</v>
      </c>
      <c r="E122" s="10">
        <v>1300</v>
      </c>
      <c r="F122" s="4" t="s">
        <v>265</v>
      </c>
      <c r="G122" s="4" t="s">
        <v>7</v>
      </c>
      <c r="H122" s="4" t="s">
        <v>54</v>
      </c>
      <c r="I122" s="4" t="s">
        <v>54</v>
      </c>
    </row>
    <row r="123" spans="1:9" x14ac:dyDescent="0.25">
      <c r="A123" s="4" t="s">
        <v>259</v>
      </c>
      <c r="B123" s="4" t="s">
        <v>23</v>
      </c>
      <c r="C123" s="4" t="s">
        <v>266</v>
      </c>
      <c r="D123" s="4" t="s">
        <v>264</v>
      </c>
      <c r="E123" s="10">
        <v>3000</v>
      </c>
      <c r="F123" s="4" t="s">
        <v>265</v>
      </c>
      <c r="G123" s="4" t="s">
        <v>7</v>
      </c>
      <c r="H123" s="4" t="s">
        <v>54</v>
      </c>
      <c r="I123" s="4" t="s">
        <v>54</v>
      </c>
    </row>
    <row r="124" spans="1:9" x14ac:dyDescent="0.25">
      <c r="A124" s="4" t="s">
        <v>259</v>
      </c>
      <c r="B124" s="4" t="s">
        <v>23</v>
      </c>
      <c r="C124" s="4" t="s">
        <v>267</v>
      </c>
      <c r="D124" s="4" t="s">
        <v>268</v>
      </c>
      <c r="E124" s="10">
        <v>800</v>
      </c>
      <c r="F124" s="4" t="s">
        <v>269</v>
      </c>
      <c r="G124" s="4" t="s">
        <v>7</v>
      </c>
      <c r="H124" s="4" t="s">
        <v>54</v>
      </c>
      <c r="I124" s="4" t="s">
        <v>54</v>
      </c>
    </row>
    <row r="125" spans="1:9" x14ac:dyDescent="0.25">
      <c r="A125" s="4" t="s">
        <v>259</v>
      </c>
      <c r="B125" s="4" t="s">
        <v>23</v>
      </c>
      <c r="C125" s="4" t="s">
        <v>270</v>
      </c>
      <c r="D125" s="4" t="s">
        <v>268</v>
      </c>
      <c r="E125" s="10">
        <v>800</v>
      </c>
      <c r="F125" s="4" t="s">
        <v>269</v>
      </c>
      <c r="G125" s="4" t="s">
        <v>7</v>
      </c>
      <c r="H125" s="4" t="s">
        <v>54</v>
      </c>
      <c r="I125" s="4" t="s">
        <v>54</v>
      </c>
    </row>
    <row r="126" spans="1:9" x14ac:dyDescent="0.25">
      <c r="A126" s="4" t="s">
        <v>259</v>
      </c>
      <c r="B126" s="4" t="s">
        <v>23</v>
      </c>
      <c r="C126" s="4" t="s">
        <v>271</v>
      </c>
      <c r="D126" s="4" t="s">
        <v>268</v>
      </c>
      <c r="E126" s="10">
        <v>1100</v>
      </c>
      <c r="F126" s="4" t="s">
        <v>269</v>
      </c>
      <c r="G126" s="4" t="s">
        <v>7</v>
      </c>
      <c r="H126" s="4" t="s">
        <v>54</v>
      </c>
      <c r="I126" s="4" t="s">
        <v>54</v>
      </c>
    </row>
    <row r="127" spans="1:9" x14ac:dyDescent="0.25">
      <c r="A127" s="4" t="s">
        <v>259</v>
      </c>
      <c r="B127" s="4" t="s">
        <v>23</v>
      </c>
      <c r="C127" s="4" t="s">
        <v>272</v>
      </c>
      <c r="D127" s="4" t="s">
        <v>268</v>
      </c>
      <c r="E127" s="10">
        <v>500</v>
      </c>
      <c r="F127" s="4" t="s">
        <v>269</v>
      </c>
      <c r="G127" s="4" t="s">
        <v>7</v>
      </c>
      <c r="H127" s="4" t="s">
        <v>54</v>
      </c>
      <c r="I127" s="4" t="s">
        <v>54</v>
      </c>
    </row>
    <row r="128" spans="1:9" x14ac:dyDescent="0.25">
      <c r="A128" s="4" t="s">
        <v>259</v>
      </c>
      <c r="B128" s="4" t="s">
        <v>23</v>
      </c>
      <c r="C128" s="4" t="s">
        <v>273</v>
      </c>
      <c r="D128" s="4" t="s">
        <v>159</v>
      </c>
      <c r="E128" s="10">
        <v>600</v>
      </c>
      <c r="F128" s="4" t="s">
        <v>262</v>
      </c>
      <c r="G128" s="4" t="s">
        <v>7</v>
      </c>
      <c r="H128" s="4" t="s">
        <v>54</v>
      </c>
      <c r="I128" s="4" t="s">
        <v>54</v>
      </c>
    </row>
    <row r="129" spans="1:9" x14ac:dyDescent="0.25">
      <c r="A129" s="4" t="s">
        <v>164</v>
      </c>
      <c r="B129" s="4" t="s">
        <v>27</v>
      </c>
      <c r="C129" s="4" t="s">
        <v>274</v>
      </c>
      <c r="D129" s="4" t="s">
        <v>275</v>
      </c>
      <c r="E129" s="10">
        <v>432</v>
      </c>
      <c r="F129" s="4" t="s">
        <v>276</v>
      </c>
      <c r="G129" s="4" t="s">
        <v>7</v>
      </c>
      <c r="H129" s="4" t="s">
        <v>4</v>
      </c>
      <c r="I129" s="4" t="s">
        <v>4</v>
      </c>
    </row>
    <row r="130" spans="1:9" x14ac:dyDescent="0.25">
      <c r="A130" s="4" t="s">
        <v>277</v>
      </c>
      <c r="B130" s="4" t="s">
        <v>31</v>
      </c>
      <c r="C130" s="4" t="s">
        <v>278</v>
      </c>
      <c r="D130" s="4" t="s">
        <v>99</v>
      </c>
      <c r="E130" s="10">
        <v>425</v>
      </c>
      <c r="F130" s="4" t="s">
        <v>279</v>
      </c>
      <c r="G130" s="4" t="s">
        <v>7</v>
      </c>
      <c r="H130" s="4" t="s">
        <v>54</v>
      </c>
      <c r="I130" s="4" t="s">
        <v>54</v>
      </c>
    </row>
    <row r="131" spans="1:9" x14ac:dyDescent="0.25">
      <c r="A131" s="4" t="s">
        <v>280</v>
      </c>
      <c r="B131" s="4" t="s">
        <v>34</v>
      </c>
      <c r="C131" s="4" t="s">
        <v>281</v>
      </c>
      <c r="D131" s="4" t="s">
        <v>213</v>
      </c>
      <c r="E131" s="10">
        <v>250</v>
      </c>
      <c r="F131" s="4" t="s">
        <v>282</v>
      </c>
      <c r="G131" s="4" t="s">
        <v>7</v>
      </c>
      <c r="H131" s="4" t="s">
        <v>54</v>
      </c>
      <c r="I131" s="4" t="s">
        <v>54</v>
      </c>
    </row>
    <row r="132" spans="1:9" x14ac:dyDescent="0.25">
      <c r="A132" s="4" t="s">
        <v>283</v>
      </c>
      <c r="B132" s="4" t="s">
        <v>30</v>
      </c>
      <c r="C132" s="4" t="s">
        <v>284</v>
      </c>
      <c r="D132" s="4" t="s">
        <v>285</v>
      </c>
      <c r="E132" s="10">
        <v>300</v>
      </c>
      <c r="F132" s="4" t="s">
        <v>265</v>
      </c>
      <c r="G132" s="4" t="s">
        <v>7</v>
      </c>
      <c r="H132" s="4" t="s">
        <v>54</v>
      </c>
      <c r="I132" s="4" t="s">
        <v>54</v>
      </c>
    </row>
    <row r="133" spans="1:9" x14ac:dyDescent="0.25">
      <c r="A133" s="4" t="s">
        <v>286</v>
      </c>
      <c r="B133" s="4" t="s">
        <v>30</v>
      </c>
      <c r="C133" s="4" t="s">
        <v>287</v>
      </c>
      <c r="D133" s="4" t="s">
        <v>288</v>
      </c>
      <c r="E133" s="10">
        <v>200</v>
      </c>
      <c r="F133" s="4" t="s">
        <v>282</v>
      </c>
      <c r="G133" s="4" t="s">
        <v>7</v>
      </c>
      <c r="H133" s="4" t="s">
        <v>54</v>
      </c>
      <c r="I133" s="4" t="s">
        <v>54</v>
      </c>
    </row>
    <row r="134" spans="1:9" x14ac:dyDescent="0.25">
      <c r="A134" s="4" t="s">
        <v>289</v>
      </c>
      <c r="B134" s="4" t="s">
        <v>32</v>
      </c>
      <c r="C134" s="4" t="s">
        <v>290</v>
      </c>
      <c r="D134" s="4" t="s">
        <v>291</v>
      </c>
      <c r="E134" s="10">
        <v>50</v>
      </c>
      <c r="F134" s="4" t="s">
        <v>292</v>
      </c>
      <c r="G134" s="4" t="s">
        <v>11</v>
      </c>
      <c r="H134" s="4" t="s">
        <v>97</v>
      </c>
      <c r="I134" s="4" t="s">
        <v>54</v>
      </c>
    </row>
    <row r="135" spans="1:9" x14ac:dyDescent="0.25">
      <c r="A135" s="4" t="s">
        <v>289</v>
      </c>
      <c r="B135" s="4" t="s">
        <v>32</v>
      </c>
      <c r="C135" s="4" t="s">
        <v>293</v>
      </c>
      <c r="D135" s="4" t="s">
        <v>294</v>
      </c>
      <c r="E135" s="10">
        <v>220</v>
      </c>
      <c r="F135" s="4" t="s">
        <v>295</v>
      </c>
      <c r="G135" s="4" t="s">
        <v>11</v>
      </c>
      <c r="H135" s="4" t="s">
        <v>4</v>
      </c>
      <c r="I135" s="4" t="s">
        <v>4</v>
      </c>
    </row>
    <row r="136" spans="1:9" x14ac:dyDescent="0.25">
      <c r="A136" s="4" t="s">
        <v>296</v>
      </c>
      <c r="B136" s="4" t="s">
        <v>28</v>
      </c>
      <c r="C136" s="4" t="s">
        <v>297</v>
      </c>
      <c r="D136" s="4" t="s">
        <v>257</v>
      </c>
      <c r="E136" s="10">
        <v>100</v>
      </c>
      <c r="F136" s="4" t="s">
        <v>298</v>
      </c>
      <c r="G136" s="4" t="s">
        <v>11</v>
      </c>
      <c r="H136" s="4" t="s">
        <v>54</v>
      </c>
      <c r="I136" s="4" t="s">
        <v>54</v>
      </c>
    </row>
    <row r="137" spans="1:9" x14ac:dyDescent="0.25">
      <c r="A137" s="4" t="s">
        <v>299</v>
      </c>
      <c r="B137" s="4" t="s">
        <v>35</v>
      </c>
      <c r="C137" s="4" t="s">
        <v>300</v>
      </c>
      <c r="D137" s="4" t="s">
        <v>301</v>
      </c>
      <c r="E137" s="10">
        <v>60</v>
      </c>
      <c r="F137" s="4" t="s">
        <v>302</v>
      </c>
      <c r="G137" s="4" t="s">
        <v>14</v>
      </c>
      <c r="H137" s="4" t="s">
        <v>54</v>
      </c>
      <c r="I137" s="4" t="s">
        <v>54</v>
      </c>
    </row>
    <row r="138" spans="1:9" x14ac:dyDescent="0.25">
      <c r="A138" s="4" t="s">
        <v>299</v>
      </c>
      <c r="B138" s="4" t="s">
        <v>35</v>
      </c>
      <c r="C138" s="4" t="s">
        <v>303</v>
      </c>
      <c r="D138" s="4" t="s">
        <v>304</v>
      </c>
      <c r="E138" s="10">
        <v>75</v>
      </c>
      <c r="F138" s="4" t="s">
        <v>305</v>
      </c>
      <c r="G138" s="4" t="s">
        <v>14</v>
      </c>
      <c r="H138" s="4" t="s">
        <v>54</v>
      </c>
      <c r="I138" s="4" t="s">
        <v>54</v>
      </c>
    </row>
    <row r="139" spans="1:9" x14ac:dyDescent="0.25">
      <c r="A139" s="4" t="s">
        <v>200</v>
      </c>
      <c r="B139" s="4" t="s">
        <v>28</v>
      </c>
      <c r="C139" s="4" t="s">
        <v>306</v>
      </c>
      <c r="D139" s="4" t="s">
        <v>202</v>
      </c>
      <c r="E139" s="10">
        <v>70</v>
      </c>
      <c r="F139" s="4" t="s">
        <v>307</v>
      </c>
      <c r="G139" s="4" t="s">
        <v>14</v>
      </c>
      <c r="H139" s="4" t="s">
        <v>54</v>
      </c>
      <c r="I139" s="4" t="s">
        <v>54</v>
      </c>
    </row>
    <row r="140" spans="1:9" x14ac:dyDescent="0.25">
      <c r="A140" s="4" t="s">
        <v>308</v>
      </c>
      <c r="B140" s="4" t="s">
        <v>24</v>
      </c>
      <c r="C140" s="4" t="s">
        <v>309</v>
      </c>
      <c r="D140" s="4" t="s">
        <v>310</v>
      </c>
      <c r="E140" s="10">
        <v>66</v>
      </c>
      <c r="F140" s="4" t="s">
        <v>311</v>
      </c>
      <c r="G140" s="4" t="s">
        <v>9</v>
      </c>
      <c r="H140" s="4" t="s">
        <v>54</v>
      </c>
      <c r="I140" s="4" t="s">
        <v>54</v>
      </c>
    </row>
    <row r="141" spans="1:9" x14ac:dyDescent="0.25">
      <c r="A141" s="4" t="s">
        <v>308</v>
      </c>
      <c r="B141" s="4" t="s">
        <v>24</v>
      </c>
      <c r="C141" s="4" t="s">
        <v>312</v>
      </c>
      <c r="D141" s="4" t="s">
        <v>310</v>
      </c>
      <c r="E141" s="10">
        <v>132</v>
      </c>
      <c r="F141" s="4" t="s">
        <v>311</v>
      </c>
      <c r="G141" s="4" t="s">
        <v>9</v>
      </c>
      <c r="H141" s="4" t="s">
        <v>54</v>
      </c>
      <c r="I141" s="4" t="s">
        <v>54</v>
      </c>
    </row>
    <row r="142" spans="1:9" x14ac:dyDescent="0.25">
      <c r="A142" s="4" t="s">
        <v>308</v>
      </c>
      <c r="B142" s="4" t="s">
        <v>24</v>
      </c>
      <c r="C142" s="4" t="s">
        <v>313</v>
      </c>
      <c r="D142" s="4" t="s">
        <v>310</v>
      </c>
      <c r="E142" s="10">
        <v>132</v>
      </c>
      <c r="F142" s="4" t="s">
        <v>311</v>
      </c>
      <c r="G142" s="4" t="s">
        <v>9</v>
      </c>
      <c r="H142" s="4" t="s">
        <v>54</v>
      </c>
      <c r="I142" s="4" t="s">
        <v>54</v>
      </c>
    </row>
    <row r="143" spans="1:9" x14ac:dyDescent="0.25">
      <c r="A143" s="4" t="s">
        <v>308</v>
      </c>
      <c r="B143" s="4" t="s">
        <v>24</v>
      </c>
      <c r="C143" s="4" t="s">
        <v>314</v>
      </c>
      <c r="D143" s="4" t="s">
        <v>310</v>
      </c>
      <c r="E143" s="10">
        <v>132</v>
      </c>
      <c r="F143" s="4" t="s">
        <v>311</v>
      </c>
      <c r="G143" s="4" t="s">
        <v>9</v>
      </c>
      <c r="H143" s="4" t="s">
        <v>54</v>
      </c>
      <c r="I143" s="4" t="s">
        <v>54</v>
      </c>
    </row>
    <row r="144" spans="1:9" x14ac:dyDescent="0.25">
      <c r="A144" s="4" t="s">
        <v>308</v>
      </c>
      <c r="B144" s="4" t="s">
        <v>24</v>
      </c>
      <c r="C144" s="4" t="s">
        <v>315</v>
      </c>
      <c r="D144" s="4" t="s">
        <v>310</v>
      </c>
      <c r="E144" s="10">
        <v>66</v>
      </c>
      <c r="F144" s="4" t="s">
        <v>311</v>
      </c>
      <c r="G144" s="4" t="s">
        <v>9</v>
      </c>
      <c r="H144" s="4" t="s">
        <v>54</v>
      </c>
      <c r="I144" s="4" t="s">
        <v>54</v>
      </c>
    </row>
    <row r="145" spans="1:9" x14ac:dyDescent="0.25">
      <c r="A145" s="4" t="s">
        <v>316</v>
      </c>
      <c r="B145" s="4" t="s">
        <v>24</v>
      </c>
      <c r="C145" s="4" t="s">
        <v>317</v>
      </c>
      <c r="D145" s="4" t="s">
        <v>318</v>
      </c>
      <c r="E145" s="10">
        <v>63</v>
      </c>
      <c r="F145" s="4" t="s">
        <v>319</v>
      </c>
      <c r="G145" s="4" t="s">
        <v>9</v>
      </c>
      <c r="H145" s="4" t="s">
        <v>54</v>
      </c>
      <c r="I145" s="4" t="s">
        <v>54</v>
      </c>
    </row>
    <row r="146" spans="1:9" x14ac:dyDescent="0.25">
      <c r="A146" s="4" t="s">
        <v>316</v>
      </c>
      <c r="B146" s="4" t="s">
        <v>24</v>
      </c>
      <c r="C146" s="4" t="s">
        <v>320</v>
      </c>
      <c r="D146" s="4" t="s">
        <v>318</v>
      </c>
      <c r="E146" s="10">
        <v>63</v>
      </c>
      <c r="F146" s="4" t="s">
        <v>321</v>
      </c>
      <c r="G146" s="4" t="s">
        <v>9</v>
      </c>
      <c r="H146" s="4" t="s">
        <v>54</v>
      </c>
      <c r="I146" s="4" t="s">
        <v>54</v>
      </c>
    </row>
    <row r="147" spans="1:9" x14ac:dyDescent="0.25">
      <c r="A147" s="4" t="s">
        <v>316</v>
      </c>
      <c r="B147" s="4" t="s">
        <v>24</v>
      </c>
      <c r="C147" s="4" t="s">
        <v>322</v>
      </c>
      <c r="D147" s="4" t="s">
        <v>318</v>
      </c>
      <c r="E147" s="10">
        <v>94</v>
      </c>
      <c r="F147" s="4" t="s">
        <v>321</v>
      </c>
      <c r="G147" s="4" t="s">
        <v>9</v>
      </c>
      <c r="H147" s="4" t="s">
        <v>54</v>
      </c>
      <c r="I147" s="4" t="s">
        <v>54</v>
      </c>
    </row>
    <row r="148" spans="1:9" x14ac:dyDescent="0.25">
      <c r="A148" s="4" t="s">
        <v>316</v>
      </c>
      <c r="B148" s="4" t="s">
        <v>24</v>
      </c>
      <c r="C148" s="4" t="s">
        <v>323</v>
      </c>
      <c r="D148" s="4" t="s">
        <v>318</v>
      </c>
      <c r="E148" s="10">
        <v>94</v>
      </c>
      <c r="F148" s="4" t="s">
        <v>321</v>
      </c>
      <c r="G148" s="4" t="s">
        <v>9</v>
      </c>
      <c r="H148" s="4" t="s">
        <v>54</v>
      </c>
      <c r="I148" s="4" t="s">
        <v>54</v>
      </c>
    </row>
    <row r="149" spans="1:9" x14ac:dyDescent="0.25">
      <c r="A149" s="4" t="s">
        <v>316</v>
      </c>
      <c r="B149" s="4" t="s">
        <v>24</v>
      </c>
      <c r="C149" s="4" t="s">
        <v>324</v>
      </c>
      <c r="D149" s="4" t="s">
        <v>310</v>
      </c>
      <c r="E149" s="10">
        <v>264</v>
      </c>
      <c r="F149" s="4" t="s">
        <v>325</v>
      </c>
      <c r="G149" s="4" t="s">
        <v>9</v>
      </c>
      <c r="H149" s="4" t="s">
        <v>54</v>
      </c>
      <c r="I149" s="4" t="s">
        <v>54</v>
      </c>
    </row>
    <row r="150" spans="1:9" x14ac:dyDescent="0.25">
      <c r="A150" s="4" t="s">
        <v>316</v>
      </c>
      <c r="B150" s="4" t="s">
        <v>24</v>
      </c>
      <c r="C150" s="4" t="s">
        <v>326</v>
      </c>
      <c r="D150" s="4" t="s">
        <v>310</v>
      </c>
      <c r="E150" s="10">
        <v>264</v>
      </c>
      <c r="F150" s="4" t="s">
        <v>327</v>
      </c>
      <c r="G150" s="4" t="s">
        <v>9</v>
      </c>
      <c r="H150" s="4" t="s">
        <v>54</v>
      </c>
      <c r="I150" s="4" t="s">
        <v>54</v>
      </c>
    </row>
    <row r="151" spans="1:9" x14ac:dyDescent="0.25">
      <c r="A151" s="4" t="s">
        <v>316</v>
      </c>
      <c r="B151" s="4" t="s">
        <v>24</v>
      </c>
      <c r="C151" s="4" t="s">
        <v>328</v>
      </c>
      <c r="D151" s="4" t="s">
        <v>310</v>
      </c>
      <c r="E151" s="10">
        <v>264</v>
      </c>
      <c r="F151" s="4" t="s">
        <v>327</v>
      </c>
      <c r="G151" s="4" t="s">
        <v>9</v>
      </c>
      <c r="H151" s="4" t="s">
        <v>54</v>
      </c>
      <c r="I151" s="4" t="s">
        <v>54</v>
      </c>
    </row>
    <row r="152" spans="1:9" x14ac:dyDescent="0.25">
      <c r="A152" s="4" t="s">
        <v>316</v>
      </c>
      <c r="B152" s="4" t="s">
        <v>24</v>
      </c>
      <c r="C152" s="4" t="s">
        <v>329</v>
      </c>
      <c r="D152" s="4" t="s">
        <v>310</v>
      </c>
      <c r="E152" s="10">
        <v>66</v>
      </c>
      <c r="F152" s="4" t="s">
        <v>327</v>
      </c>
      <c r="G152" s="4" t="s">
        <v>9</v>
      </c>
      <c r="H152" s="4" t="s">
        <v>54</v>
      </c>
      <c r="I152" s="4" t="s">
        <v>54</v>
      </c>
    </row>
    <row r="153" spans="1:9" x14ac:dyDescent="0.25">
      <c r="A153" s="4" t="s">
        <v>330</v>
      </c>
      <c r="B153" s="4" t="s">
        <v>24</v>
      </c>
      <c r="C153" s="4" t="s">
        <v>331</v>
      </c>
      <c r="D153" s="4" t="s">
        <v>332</v>
      </c>
      <c r="E153" s="10">
        <v>51</v>
      </c>
      <c r="F153" s="4" t="s">
        <v>321</v>
      </c>
      <c r="G153" s="4" t="s">
        <v>9</v>
      </c>
      <c r="H153" s="4" t="s">
        <v>54</v>
      </c>
      <c r="I153" s="4" t="s">
        <v>54</v>
      </c>
    </row>
    <row r="154" spans="1:9" x14ac:dyDescent="0.25">
      <c r="A154" s="4" t="s">
        <v>330</v>
      </c>
      <c r="B154" s="4" t="s">
        <v>24</v>
      </c>
      <c r="C154" s="4" t="s">
        <v>333</v>
      </c>
      <c r="D154" s="4" t="s">
        <v>332</v>
      </c>
      <c r="E154" s="10">
        <v>51</v>
      </c>
      <c r="F154" s="4" t="s">
        <v>321</v>
      </c>
      <c r="G154" s="4" t="s">
        <v>9</v>
      </c>
      <c r="H154" s="4" t="s">
        <v>54</v>
      </c>
      <c r="I154" s="4" t="s">
        <v>54</v>
      </c>
    </row>
    <row r="155" spans="1:9" x14ac:dyDescent="0.25">
      <c r="A155" s="4" t="s">
        <v>330</v>
      </c>
      <c r="B155" s="4" t="s">
        <v>24</v>
      </c>
      <c r="C155" s="4" t="s">
        <v>334</v>
      </c>
      <c r="D155" s="4" t="s">
        <v>332</v>
      </c>
      <c r="E155" s="10">
        <v>72</v>
      </c>
      <c r="F155" s="4" t="s">
        <v>319</v>
      </c>
      <c r="G155" s="4" t="s">
        <v>9</v>
      </c>
      <c r="H155" s="4" t="s">
        <v>54</v>
      </c>
      <c r="I155" s="4" t="s">
        <v>54</v>
      </c>
    </row>
    <row r="156" spans="1:9" x14ac:dyDescent="0.25">
      <c r="A156" s="4" t="s">
        <v>335</v>
      </c>
      <c r="B156" s="4" t="s">
        <v>24</v>
      </c>
      <c r="C156" s="4" t="s">
        <v>336</v>
      </c>
      <c r="D156" s="4" t="s">
        <v>310</v>
      </c>
      <c r="E156" s="10">
        <v>66</v>
      </c>
      <c r="F156" s="4" t="s">
        <v>311</v>
      </c>
      <c r="G156" s="4" t="s">
        <v>9</v>
      </c>
      <c r="H156" s="4" t="s">
        <v>54</v>
      </c>
      <c r="I156" s="4" t="s">
        <v>54</v>
      </c>
    </row>
    <row r="157" spans="1:9" x14ac:dyDescent="0.25">
      <c r="A157" s="4" t="s">
        <v>335</v>
      </c>
      <c r="B157" s="4" t="s">
        <v>24</v>
      </c>
      <c r="C157" s="4" t="s">
        <v>337</v>
      </c>
      <c r="D157" s="4" t="s">
        <v>310</v>
      </c>
      <c r="E157" s="10">
        <v>132</v>
      </c>
      <c r="F157" s="4" t="s">
        <v>311</v>
      </c>
      <c r="G157" s="4" t="s">
        <v>9</v>
      </c>
      <c r="H157" s="4" t="s">
        <v>54</v>
      </c>
      <c r="I157" s="4" t="s">
        <v>54</v>
      </c>
    </row>
    <row r="158" spans="1:9" x14ac:dyDescent="0.25">
      <c r="A158" s="4" t="s">
        <v>335</v>
      </c>
      <c r="B158" s="4" t="s">
        <v>24</v>
      </c>
      <c r="C158" s="4" t="s">
        <v>338</v>
      </c>
      <c r="D158" s="4" t="s">
        <v>310</v>
      </c>
      <c r="E158" s="10">
        <v>132</v>
      </c>
      <c r="F158" s="4" t="s">
        <v>311</v>
      </c>
      <c r="G158" s="4" t="s">
        <v>9</v>
      </c>
      <c r="H158" s="4" t="s">
        <v>54</v>
      </c>
      <c r="I158" s="4" t="s">
        <v>54</v>
      </c>
    </row>
    <row r="159" spans="1:9" x14ac:dyDescent="0.25">
      <c r="A159" s="4" t="s">
        <v>335</v>
      </c>
      <c r="B159" s="4" t="s">
        <v>24</v>
      </c>
      <c r="C159" s="4" t="s">
        <v>339</v>
      </c>
      <c r="D159" s="4" t="s">
        <v>310</v>
      </c>
      <c r="E159" s="10">
        <v>132</v>
      </c>
      <c r="F159" s="4" t="s">
        <v>311</v>
      </c>
      <c r="G159" s="4" t="s">
        <v>9</v>
      </c>
      <c r="H159" s="4" t="s">
        <v>54</v>
      </c>
      <c r="I159" s="4" t="s">
        <v>54</v>
      </c>
    </row>
    <row r="160" spans="1:9" x14ac:dyDescent="0.25">
      <c r="A160" s="4" t="s">
        <v>335</v>
      </c>
      <c r="B160" s="4" t="s">
        <v>24</v>
      </c>
      <c r="C160" s="4" t="s">
        <v>340</v>
      </c>
      <c r="D160" s="4" t="s">
        <v>310</v>
      </c>
      <c r="E160" s="10">
        <v>66</v>
      </c>
      <c r="F160" s="4" t="s">
        <v>311</v>
      </c>
      <c r="G160" s="4" t="s">
        <v>9</v>
      </c>
      <c r="H160" s="4" t="s">
        <v>54</v>
      </c>
      <c r="I160" s="4" t="s">
        <v>54</v>
      </c>
    </row>
    <row r="161" spans="1:9" x14ac:dyDescent="0.25">
      <c r="A161" s="4" t="s">
        <v>341</v>
      </c>
      <c r="B161" s="4" t="s">
        <v>28</v>
      </c>
      <c r="C161" s="4" t="s">
        <v>342</v>
      </c>
      <c r="D161" s="4" t="s">
        <v>343</v>
      </c>
      <c r="E161" s="10">
        <v>100</v>
      </c>
      <c r="F161" s="4" t="s">
        <v>344</v>
      </c>
      <c r="G161" s="4" t="s">
        <v>9</v>
      </c>
      <c r="H161" s="4" t="s">
        <v>54</v>
      </c>
      <c r="I161" s="4" t="s">
        <v>54</v>
      </c>
    </row>
    <row r="162" spans="1:9" x14ac:dyDescent="0.25">
      <c r="A162" s="4" t="s">
        <v>345</v>
      </c>
      <c r="B162" s="4" t="s">
        <v>26</v>
      </c>
      <c r="C162" s="4" t="s">
        <v>346</v>
      </c>
      <c r="D162" s="4" t="s">
        <v>347</v>
      </c>
      <c r="E162" s="10">
        <v>450</v>
      </c>
      <c r="F162" s="4" t="s">
        <v>348</v>
      </c>
      <c r="G162" s="4" t="s">
        <v>9</v>
      </c>
      <c r="H162" s="4" t="s">
        <v>54</v>
      </c>
      <c r="I162" s="4" t="s">
        <v>54</v>
      </c>
    </row>
    <row r="163" spans="1:9" x14ac:dyDescent="0.25">
      <c r="A163" s="4" t="s">
        <v>345</v>
      </c>
      <c r="B163" s="4" t="s">
        <v>26</v>
      </c>
      <c r="C163" s="4" t="s">
        <v>349</v>
      </c>
      <c r="D163" s="4" t="s">
        <v>350</v>
      </c>
      <c r="E163" s="10">
        <v>1100</v>
      </c>
      <c r="F163" s="4" t="s">
        <v>351</v>
      </c>
      <c r="G163" s="4" t="s">
        <v>9</v>
      </c>
      <c r="H163" s="4" t="s">
        <v>54</v>
      </c>
      <c r="I163" s="4" t="s">
        <v>54</v>
      </c>
    </row>
    <row r="164" spans="1:9" x14ac:dyDescent="0.25">
      <c r="A164" s="4" t="s">
        <v>299</v>
      </c>
      <c r="B164" s="4" t="s">
        <v>35</v>
      </c>
      <c r="C164" s="4" t="s">
        <v>352</v>
      </c>
      <c r="D164" s="4" t="s">
        <v>353</v>
      </c>
      <c r="E164" s="10">
        <v>50</v>
      </c>
      <c r="F164" s="4" t="s">
        <v>354</v>
      </c>
      <c r="G164" s="4" t="s">
        <v>18</v>
      </c>
      <c r="H164" s="4" t="s">
        <v>4</v>
      </c>
      <c r="I164" s="4" t="s">
        <v>4</v>
      </c>
    </row>
    <row r="166" spans="1:9" x14ac:dyDescent="0.25">
      <c r="A166" s="2" t="s">
        <v>355</v>
      </c>
    </row>
    <row r="167" spans="1:9" x14ac:dyDescent="0.25">
      <c r="A167" s="2" t="s">
        <v>356</v>
      </c>
    </row>
    <row r="168" spans="1:9" x14ac:dyDescent="0.25">
      <c r="A168" s="2" t="s">
        <v>357</v>
      </c>
    </row>
  </sheetData>
  <autoFilter ref="A1:I16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2" max="20" width="11" customWidth="1"/>
  </cols>
  <sheetData>
    <row r="1" spans="1:21" ht="16.5" x14ac:dyDescent="0.25">
      <c r="A1" s="1" t="s">
        <v>358</v>
      </c>
    </row>
    <row r="4" spans="1:21" ht="42" customHeight="1" x14ac:dyDescent="0.25">
      <c r="A4" s="3" t="s">
        <v>2</v>
      </c>
      <c r="B4" s="11" t="s">
        <v>22</v>
      </c>
      <c r="C4" s="11" t="s">
        <v>23</v>
      </c>
      <c r="D4" s="11" t="s">
        <v>24</v>
      </c>
      <c r="E4" s="11" t="s">
        <v>25</v>
      </c>
      <c r="F4" s="11" t="s">
        <v>26</v>
      </c>
      <c r="G4" s="11" t="s">
        <v>27</v>
      </c>
      <c r="H4" s="11" t="s">
        <v>28</v>
      </c>
      <c r="I4" s="11" t="s">
        <v>29</v>
      </c>
      <c r="J4" s="11" t="s">
        <v>30</v>
      </c>
      <c r="K4" s="11" t="s">
        <v>31</v>
      </c>
      <c r="L4" s="11" t="s">
        <v>32</v>
      </c>
      <c r="M4" s="11" t="s">
        <v>33</v>
      </c>
      <c r="N4" s="11" t="s">
        <v>34</v>
      </c>
      <c r="O4" s="11" t="s">
        <v>35</v>
      </c>
      <c r="P4" s="11" t="s">
        <v>36</v>
      </c>
      <c r="Q4" s="11" t="s">
        <v>37</v>
      </c>
      <c r="R4" s="11" t="s">
        <v>38</v>
      </c>
      <c r="S4" s="11" t="s">
        <v>39</v>
      </c>
      <c r="T4" s="11" t="s">
        <v>40</v>
      </c>
      <c r="U4" s="3" t="s">
        <v>5</v>
      </c>
    </row>
    <row r="5" spans="1:21" x14ac:dyDescent="0.25">
      <c r="A5" s="12" t="s">
        <v>6</v>
      </c>
      <c r="B5" s="5">
        <f>SUMIFS(Data!$E$2:$E$164,Data!$G$2:$G$164,$A5,Data!$B$2:$B$164,B$4,Data!$I$2:$I$164,"Under Process")/1000</f>
        <v>14.55</v>
      </c>
      <c r="C5" s="5">
        <f>SUMIFS(Data!$E$2:$E$164,Data!$G$2:$G$164,$A5,Data!$B$2:$B$164,C$4,Data!$I$2:$I$164,"Under Process")/1000</f>
        <v>0</v>
      </c>
      <c r="D5" s="5">
        <f>SUMIFS(Data!$E$2:$E$164,Data!$G$2:$G$164,$A5,Data!$B$2:$B$164,D$4,Data!$I$2:$I$164,"Under Process")/1000</f>
        <v>2.13</v>
      </c>
      <c r="E5" s="5">
        <f>SUMIFS(Data!$E$2:$E$164,Data!$G$2:$G$164,$A5,Data!$B$2:$B$164,E$4,Data!$I$2:$I$164,"Under Process")/1000</f>
        <v>0</v>
      </c>
      <c r="F5" s="5">
        <f>SUMIFS(Data!$E$2:$E$164,Data!$G$2:$G$164,$A5,Data!$B$2:$B$164,F$4,Data!$I$2:$I$164,"Under Process")/1000</f>
        <v>0</v>
      </c>
      <c r="G5" s="5">
        <f>SUMIFS(Data!$E$2:$E$164,Data!$G$2:$G$164,$A5,Data!$B$2:$B$164,G$4,Data!$I$2:$I$164,"Under Process")/1000</f>
        <v>0</v>
      </c>
      <c r="H5" s="5">
        <f>SUMIFS(Data!$E$2:$E$164,Data!$G$2:$G$164,$A5,Data!$B$2:$B$164,H$4,Data!$I$2:$I$164,"Under Process")/1000</f>
        <v>0</v>
      </c>
      <c r="I5" s="5">
        <f>SUMIFS(Data!$E$2:$E$164,Data!$G$2:$G$164,$A5,Data!$B$2:$B$164,I$4,Data!$I$2:$I$164,"Under Process")/1000</f>
        <v>0.5</v>
      </c>
      <c r="J5" s="5">
        <f>SUMIFS(Data!$E$2:$E$164,Data!$G$2:$G$164,$A5,Data!$B$2:$B$164,J$4,Data!$I$2:$I$164,"Under Process")/1000</f>
        <v>0</v>
      </c>
      <c r="K5" s="5">
        <f>SUMIFS(Data!$E$2:$E$164,Data!$G$2:$G$164,$A5,Data!$B$2:$B$164,K$4,Data!$I$2:$I$164,"Under Process")/1000</f>
        <v>0</v>
      </c>
      <c r="L5" s="5">
        <f>SUMIFS(Data!$E$2:$E$164,Data!$G$2:$G$164,$A5,Data!$B$2:$B$164,L$4,Data!$I$2:$I$164,"Under Process")/1000</f>
        <v>0</v>
      </c>
      <c r="M5" s="5">
        <f>SUMIFS(Data!$E$2:$E$164,Data!$G$2:$G$164,$A5,Data!$B$2:$B$164,M$4,Data!$I$2:$I$164,"Under Process")/1000</f>
        <v>0</v>
      </c>
      <c r="N5" s="5">
        <f>SUMIFS(Data!$E$2:$E$164,Data!$G$2:$G$164,$A5,Data!$B$2:$B$164,N$4,Data!$I$2:$I$164,"Under Process")/1000</f>
        <v>0</v>
      </c>
      <c r="O5" s="5">
        <f>SUMIFS(Data!$E$2:$E$164,Data!$G$2:$G$164,$A5,Data!$B$2:$B$164,O$4,Data!$I$2:$I$164,"Under Process")/1000</f>
        <v>0</v>
      </c>
      <c r="P5" s="5">
        <f>SUMIFS(Data!$E$2:$E$164,Data!$G$2:$G$164,$A5,Data!$B$2:$B$164,P$4,Data!$I$2:$I$164,"Under Process")/1000</f>
        <v>0</v>
      </c>
      <c r="Q5" s="5">
        <f>SUMIFS(Data!$E$2:$E$164,Data!$G$2:$G$164,$A5,Data!$B$2:$B$164,Q$4,Data!$I$2:$I$164,"Under Process")/1000</f>
        <v>0</v>
      </c>
      <c r="R5" s="5">
        <f>SUMIFS(Data!$E$2:$E$164,Data!$G$2:$G$164,$A5,Data!$B$2:$B$164,R$4,Data!$I$2:$I$164,"Under Process")/1000</f>
        <v>0</v>
      </c>
      <c r="S5" s="5">
        <f>SUMIFS(Data!$E$2:$E$164,Data!$G$2:$G$164,$A5,Data!$B$2:$B$164,S$4,Data!$I$2:$I$164,"Under Process")/1000</f>
        <v>0</v>
      </c>
      <c r="T5" s="5">
        <f>SUMIFS(Data!$E$2:$E$164,Data!$G$2:$G$164,$A5,Data!$B$2:$B$164,T$4,Data!$I$2:$I$164,"Under Process")/1000</f>
        <v>0</v>
      </c>
      <c r="U5" s="7">
        <f t="shared" ref="U5:U17" si="0">SUM(B5:T5)</f>
        <v>17.18</v>
      </c>
    </row>
    <row r="6" spans="1:21" x14ac:dyDescent="0.25">
      <c r="A6" s="12" t="s">
        <v>7</v>
      </c>
      <c r="B6" s="5">
        <f>SUMIFS(Data!$E$2:$E$164,Data!$G$2:$G$164,$A6,Data!$B$2:$B$164,B$4,Data!$I$2:$I$164,"Under Process")/1000</f>
        <v>0</v>
      </c>
      <c r="C6" s="5">
        <f>SUMIFS(Data!$E$2:$E$164,Data!$G$2:$G$164,$A6,Data!$B$2:$B$164,C$4,Data!$I$2:$I$164,"Under Process")/1000</f>
        <v>10.1</v>
      </c>
      <c r="D6" s="5">
        <f>SUMIFS(Data!$E$2:$E$164,Data!$G$2:$G$164,$A6,Data!$B$2:$B$164,D$4,Data!$I$2:$I$164,"Under Process")/1000</f>
        <v>0</v>
      </c>
      <c r="E6" s="5">
        <f>SUMIFS(Data!$E$2:$E$164,Data!$G$2:$G$164,$A6,Data!$B$2:$B$164,E$4,Data!$I$2:$I$164,"Under Process")/1000</f>
        <v>0</v>
      </c>
      <c r="F6" s="5">
        <f>SUMIFS(Data!$E$2:$E$164,Data!$G$2:$G$164,$A6,Data!$B$2:$B$164,F$4,Data!$I$2:$I$164,"Under Process")/1000</f>
        <v>0</v>
      </c>
      <c r="G6" s="5">
        <f>SUMIFS(Data!$E$2:$E$164,Data!$G$2:$G$164,$A6,Data!$B$2:$B$164,G$4,Data!$I$2:$I$164,"Under Process")/1000</f>
        <v>0</v>
      </c>
      <c r="H6" s="5">
        <f>SUMIFS(Data!$E$2:$E$164,Data!$G$2:$G$164,$A6,Data!$B$2:$B$164,H$4,Data!$I$2:$I$164,"Under Process")/1000</f>
        <v>0</v>
      </c>
      <c r="I6" s="5">
        <f>SUMIFS(Data!$E$2:$E$164,Data!$G$2:$G$164,$A6,Data!$B$2:$B$164,I$4,Data!$I$2:$I$164,"Under Process")/1000</f>
        <v>0</v>
      </c>
      <c r="J6" s="5">
        <f>SUMIFS(Data!$E$2:$E$164,Data!$G$2:$G$164,$A6,Data!$B$2:$B$164,J$4,Data!$I$2:$I$164,"Under Process")/1000</f>
        <v>0.5</v>
      </c>
      <c r="K6" s="5">
        <f>SUMIFS(Data!$E$2:$E$164,Data!$G$2:$G$164,$A6,Data!$B$2:$B$164,K$4,Data!$I$2:$I$164,"Under Process")/1000</f>
        <v>0.42499999999999999</v>
      </c>
      <c r="L6" s="5">
        <f>SUMIFS(Data!$E$2:$E$164,Data!$G$2:$G$164,$A6,Data!$B$2:$B$164,L$4,Data!$I$2:$I$164,"Under Process")/1000</f>
        <v>0</v>
      </c>
      <c r="M6" s="5">
        <f>SUMIFS(Data!$E$2:$E$164,Data!$G$2:$G$164,$A6,Data!$B$2:$B$164,M$4,Data!$I$2:$I$164,"Under Process")/1000</f>
        <v>0</v>
      </c>
      <c r="N6" s="5">
        <f>SUMIFS(Data!$E$2:$E$164,Data!$G$2:$G$164,$A6,Data!$B$2:$B$164,N$4,Data!$I$2:$I$164,"Under Process")/1000</f>
        <v>0.25</v>
      </c>
      <c r="O6" s="5">
        <f>SUMIFS(Data!$E$2:$E$164,Data!$G$2:$G$164,$A6,Data!$B$2:$B$164,O$4,Data!$I$2:$I$164,"Under Process")/1000</f>
        <v>0</v>
      </c>
      <c r="P6" s="5">
        <f>SUMIFS(Data!$E$2:$E$164,Data!$G$2:$G$164,$A6,Data!$B$2:$B$164,P$4,Data!$I$2:$I$164,"Under Process")/1000</f>
        <v>0</v>
      </c>
      <c r="Q6" s="5">
        <f>SUMIFS(Data!$E$2:$E$164,Data!$G$2:$G$164,$A6,Data!$B$2:$B$164,Q$4,Data!$I$2:$I$164,"Under Process")/1000</f>
        <v>0</v>
      </c>
      <c r="R6" s="5">
        <f>SUMIFS(Data!$E$2:$E$164,Data!$G$2:$G$164,$A6,Data!$B$2:$B$164,R$4,Data!$I$2:$I$164,"Under Process")/1000</f>
        <v>0</v>
      </c>
      <c r="S6" s="5">
        <f>SUMIFS(Data!$E$2:$E$164,Data!$G$2:$G$164,$A6,Data!$B$2:$B$164,S$4,Data!$I$2:$I$164,"Under Process")/1000</f>
        <v>0</v>
      </c>
      <c r="T6" s="5">
        <f>SUMIFS(Data!$E$2:$E$164,Data!$G$2:$G$164,$A6,Data!$B$2:$B$164,T$4,Data!$I$2:$I$164,"Under Process")/1000</f>
        <v>0</v>
      </c>
      <c r="U6" s="7">
        <f t="shared" si="0"/>
        <v>11.275</v>
      </c>
    </row>
    <row r="7" spans="1:21" x14ac:dyDescent="0.25">
      <c r="A7" s="12" t="s">
        <v>8</v>
      </c>
      <c r="B7" s="5">
        <f>SUMIFS(Data!$E$2:$E$164,Data!$G$2:$G$164,$A7,Data!$B$2:$B$164,B$4,Data!$I$2:$I$164,"Under Process")/1000</f>
        <v>0</v>
      </c>
      <c r="C7" s="5">
        <f>SUMIFS(Data!$E$2:$E$164,Data!$G$2:$G$164,$A7,Data!$B$2:$B$164,C$4,Data!$I$2:$I$164,"Under Process")/1000</f>
        <v>0</v>
      </c>
      <c r="D7" s="5">
        <f>SUMIFS(Data!$E$2:$E$164,Data!$G$2:$G$164,$A7,Data!$B$2:$B$164,D$4,Data!$I$2:$I$164,"Under Process")/1000</f>
        <v>2.323</v>
      </c>
      <c r="E7" s="5">
        <f>SUMIFS(Data!$E$2:$E$164,Data!$G$2:$G$164,$A7,Data!$B$2:$B$164,E$4,Data!$I$2:$I$164,"Under Process")/1000</f>
        <v>3.5</v>
      </c>
      <c r="F7" s="5">
        <f>SUMIFS(Data!$E$2:$E$164,Data!$G$2:$G$164,$A7,Data!$B$2:$B$164,F$4,Data!$I$2:$I$164,"Under Process")/1000</f>
        <v>0</v>
      </c>
      <c r="G7" s="5">
        <f>SUMIFS(Data!$E$2:$E$164,Data!$G$2:$G$164,$A7,Data!$B$2:$B$164,G$4,Data!$I$2:$I$164,"Under Process")/1000</f>
        <v>0</v>
      </c>
      <c r="H7" s="5">
        <f>SUMIFS(Data!$E$2:$E$164,Data!$G$2:$G$164,$A7,Data!$B$2:$B$164,H$4,Data!$I$2:$I$164,"Under Process")/1000</f>
        <v>0.1</v>
      </c>
      <c r="I7" s="5">
        <f>SUMIFS(Data!$E$2:$E$164,Data!$G$2:$G$164,$A7,Data!$B$2:$B$164,I$4,Data!$I$2:$I$164,"Under Process")/1000</f>
        <v>0</v>
      </c>
      <c r="J7" s="5">
        <f>SUMIFS(Data!$E$2:$E$164,Data!$G$2:$G$164,$A7,Data!$B$2:$B$164,J$4,Data!$I$2:$I$164,"Under Process")/1000</f>
        <v>0</v>
      </c>
      <c r="K7" s="5">
        <f>SUMIFS(Data!$E$2:$E$164,Data!$G$2:$G$164,$A7,Data!$B$2:$B$164,K$4,Data!$I$2:$I$164,"Under Process")/1000</f>
        <v>0</v>
      </c>
      <c r="L7" s="5">
        <f>SUMIFS(Data!$E$2:$E$164,Data!$G$2:$G$164,$A7,Data!$B$2:$B$164,L$4,Data!$I$2:$I$164,"Under Process")/1000</f>
        <v>0</v>
      </c>
      <c r="M7" s="5">
        <f>SUMIFS(Data!$E$2:$E$164,Data!$G$2:$G$164,$A7,Data!$B$2:$B$164,M$4,Data!$I$2:$I$164,"Under Process")/1000</f>
        <v>0</v>
      </c>
      <c r="N7" s="5">
        <f>SUMIFS(Data!$E$2:$E$164,Data!$G$2:$G$164,$A7,Data!$B$2:$B$164,N$4,Data!$I$2:$I$164,"Under Process")/1000</f>
        <v>0</v>
      </c>
      <c r="O7" s="5">
        <f>SUMIFS(Data!$E$2:$E$164,Data!$G$2:$G$164,$A7,Data!$B$2:$B$164,O$4,Data!$I$2:$I$164,"Under Process")/1000</f>
        <v>0</v>
      </c>
      <c r="P7" s="5">
        <f>SUMIFS(Data!$E$2:$E$164,Data!$G$2:$G$164,$A7,Data!$B$2:$B$164,P$4,Data!$I$2:$I$164,"Under Process")/1000</f>
        <v>0.15</v>
      </c>
      <c r="Q7" s="5">
        <f>SUMIFS(Data!$E$2:$E$164,Data!$G$2:$G$164,$A7,Data!$B$2:$B$164,Q$4,Data!$I$2:$I$164,"Under Process")/1000</f>
        <v>0.15</v>
      </c>
      <c r="R7" s="5">
        <f>SUMIFS(Data!$E$2:$E$164,Data!$G$2:$G$164,$A7,Data!$B$2:$B$164,R$4,Data!$I$2:$I$164,"Under Process")/1000</f>
        <v>0</v>
      </c>
      <c r="S7" s="5">
        <f>SUMIFS(Data!$E$2:$E$164,Data!$G$2:$G$164,$A7,Data!$B$2:$B$164,S$4,Data!$I$2:$I$164,"Under Process")/1000</f>
        <v>0</v>
      </c>
      <c r="T7" s="5">
        <f>SUMIFS(Data!$E$2:$E$164,Data!$G$2:$G$164,$A7,Data!$B$2:$B$164,T$4,Data!$I$2:$I$164,"Under Process")/1000</f>
        <v>0.05</v>
      </c>
      <c r="U7" s="7">
        <f t="shared" si="0"/>
        <v>6.2730000000000006</v>
      </c>
    </row>
    <row r="8" spans="1:21" x14ac:dyDescent="0.25">
      <c r="A8" s="12" t="s">
        <v>9</v>
      </c>
      <c r="B8" s="5">
        <f>SUMIFS(Data!$E$2:$E$164,Data!$G$2:$G$164,$A8,Data!$B$2:$B$164,B$4,Data!$I$2:$I$164,"Under Process")/1000</f>
        <v>0</v>
      </c>
      <c r="C8" s="5">
        <f>SUMIFS(Data!$E$2:$E$164,Data!$G$2:$G$164,$A8,Data!$B$2:$B$164,C$4,Data!$I$2:$I$164,"Under Process")/1000</f>
        <v>0</v>
      </c>
      <c r="D8" s="5">
        <f>SUMIFS(Data!$E$2:$E$164,Data!$G$2:$G$164,$A8,Data!$B$2:$B$164,D$4,Data!$I$2:$I$164,"Under Process")/1000</f>
        <v>2.4020000000000001</v>
      </c>
      <c r="E8" s="5">
        <f>SUMIFS(Data!$E$2:$E$164,Data!$G$2:$G$164,$A8,Data!$B$2:$B$164,E$4,Data!$I$2:$I$164,"Under Process")/1000</f>
        <v>0</v>
      </c>
      <c r="F8" s="5">
        <f>SUMIFS(Data!$E$2:$E$164,Data!$G$2:$G$164,$A8,Data!$B$2:$B$164,F$4,Data!$I$2:$I$164,"Under Process")/1000</f>
        <v>1.55</v>
      </c>
      <c r="G8" s="5">
        <f>SUMIFS(Data!$E$2:$E$164,Data!$G$2:$G$164,$A8,Data!$B$2:$B$164,G$4,Data!$I$2:$I$164,"Under Process")/1000</f>
        <v>0</v>
      </c>
      <c r="H8" s="5">
        <f>SUMIFS(Data!$E$2:$E$164,Data!$G$2:$G$164,$A8,Data!$B$2:$B$164,H$4,Data!$I$2:$I$164,"Under Process")/1000</f>
        <v>0.1</v>
      </c>
      <c r="I8" s="5">
        <f>SUMIFS(Data!$E$2:$E$164,Data!$G$2:$G$164,$A8,Data!$B$2:$B$164,I$4,Data!$I$2:$I$164,"Under Process")/1000</f>
        <v>0</v>
      </c>
      <c r="J8" s="5">
        <f>SUMIFS(Data!$E$2:$E$164,Data!$G$2:$G$164,$A8,Data!$B$2:$B$164,J$4,Data!$I$2:$I$164,"Under Process")/1000</f>
        <v>0</v>
      </c>
      <c r="K8" s="5">
        <f>SUMIFS(Data!$E$2:$E$164,Data!$G$2:$G$164,$A8,Data!$B$2:$B$164,K$4,Data!$I$2:$I$164,"Under Process")/1000</f>
        <v>0</v>
      </c>
      <c r="L8" s="5">
        <f>SUMIFS(Data!$E$2:$E$164,Data!$G$2:$G$164,$A8,Data!$B$2:$B$164,L$4,Data!$I$2:$I$164,"Under Process")/1000</f>
        <v>0</v>
      </c>
      <c r="M8" s="5">
        <f>SUMIFS(Data!$E$2:$E$164,Data!$G$2:$G$164,$A8,Data!$B$2:$B$164,M$4,Data!$I$2:$I$164,"Under Process")/1000</f>
        <v>0</v>
      </c>
      <c r="N8" s="5">
        <f>SUMIFS(Data!$E$2:$E$164,Data!$G$2:$G$164,$A8,Data!$B$2:$B$164,N$4,Data!$I$2:$I$164,"Under Process")/1000</f>
        <v>0</v>
      </c>
      <c r="O8" s="5">
        <f>SUMIFS(Data!$E$2:$E$164,Data!$G$2:$G$164,$A8,Data!$B$2:$B$164,O$4,Data!$I$2:$I$164,"Under Process")/1000</f>
        <v>0</v>
      </c>
      <c r="P8" s="5">
        <f>SUMIFS(Data!$E$2:$E$164,Data!$G$2:$G$164,$A8,Data!$B$2:$B$164,P$4,Data!$I$2:$I$164,"Under Process")/1000</f>
        <v>0</v>
      </c>
      <c r="Q8" s="5">
        <f>SUMIFS(Data!$E$2:$E$164,Data!$G$2:$G$164,$A8,Data!$B$2:$B$164,Q$4,Data!$I$2:$I$164,"Under Process")/1000</f>
        <v>0</v>
      </c>
      <c r="R8" s="5">
        <f>SUMIFS(Data!$E$2:$E$164,Data!$G$2:$G$164,$A8,Data!$B$2:$B$164,R$4,Data!$I$2:$I$164,"Under Process")/1000</f>
        <v>0</v>
      </c>
      <c r="S8" s="5">
        <f>SUMIFS(Data!$E$2:$E$164,Data!$G$2:$G$164,$A8,Data!$B$2:$B$164,S$4,Data!$I$2:$I$164,"Under Process")/1000</f>
        <v>0</v>
      </c>
      <c r="T8" s="5">
        <f>SUMIFS(Data!$E$2:$E$164,Data!$G$2:$G$164,$A8,Data!$B$2:$B$164,T$4,Data!$I$2:$I$164,"Under Process")/1000</f>
        <v>0</v>
      </c>
      <c r="U8" s="7">
        <f t="shared" si="0"/>
        <v>4.0519999999999996</v>
      </c>
    </row>
    <row r="9" spans="1:21" x14ac:dyDescent="0.25">
      <c r="A9" s="12" t="s">
        <v>10</v>
      </c>
      <c r="B9" s="5">
        <f>SUMIFS(Data!$E$2:$E$164,Data!$G$2:$G$164,$A9,Data!$B$2:$B$164,B$4,Data!$I$2:$I$164,"Under Process")/1000</f>
        <v>0.05</v>
      </c>
      <c r="C9" s="5">
        <f>SUMIFS(Data!$E$2:$E$164,Data!$G$2:$G$164,$A9,Data!$B$2:$B$164,C$4,Data!$I$2:$I$164,"Under Process")/1000</f>
        <v>0</v>
      </c>
      <c r="D9" s="5">
        <f>SUMIFS(Data!$E$2:$E$164,Data!$G$2:$G$164,$A9,Data!$B$2:$B$164,D$4,Data!$I$2:$I$164,"Under Process")/1000</f>
        <v>0.5</v>
      </c>
      <c r="E9" s="5">
        <f>SUMIFS(Data!$E$2:$E$164,Data!$G$2:$G$164,$A9,Data!$B$2:$B$164,E$4,Data!$I$2:$I$164,"Under Process")/1000</f>
        <v>0</v>
      </c>
      <c r="F9" s="5">
        <f>SUMIFS(Data!$E$2:$E$164,Data!$G$2:$G$164,$A9,Data!$B$2:$B$164,F$4,Data!$I$2:$I$164,"Under Process")/1000</f>
        <v>0</v>
      </c>
      <c r="G9" s="5">
        <f>SUMIFS(Data!$E$2:$E$164,Data!$G$2:$G$164,$A9,Data!$B$2:$B$164,G$4,Data!$I$2:$I$164,"Under Process")/1000</f>
        <v>0</v>
      </c>
      <c r="H9" s="5">
        <f>SUMIFS(Data!$E$2:$E$164,Data!$G$2:$G$164,$A9,Data!$B$2:$B$164,H$4,Data!$I$2:$I$164,"Under Process")/1000</f>
        <v>0.1</v>
      </c>
      <c r="I9" s="5">
        <f>SUMIFS(Data!$E$2:$E$164,Data!$G$2:$G$164,$A9,Data!$B$2:$B$164,I$4,Data!$I$2:$I$164,"Under Process")/1000</f>
        <v>0</v>
      </c>
      <c r="J9" s="5">
        <f>SUMIFS(Data!$E$2:$E$164,Data!$G$2:$G$164,$A9,Data!$B$2:$B$164,J$4,Data!$I$2:$I$164,"Under Process")/1000</f>
        <v>0</v>
      </c>
      <c r="K9" s="5">
        <f>SUMIFS(Data!$E$2:$E$164,Data!$G$2:$G$164,$A9,Data!$B$2:$B$164,K$4,Data!$I$2:$I$164,"Under Process")/1000</f>
        <v>0</v>
      </c>
      <c r="L9" s="5">
        <f>SUMIFS(Data!$E$2:$E$164,Data!$G$2:$G$164,$A9,Data!$B$2:$B$164,L$4,Data!$I$2:$I$164,"Under Process")/1000</f>
        <v>0</v>
      </c>
      <c r="M9" s="5">
        <f>SUMIFS(Data!$E$2:$E$164,Data!$G$2:$G$164,$A9,Data!$B$2:$B$164,M$4,Data!$I$2:$I$164,"Under Process")/1000</f>
        <v>0</v>
      </c>
      <c r="N9" s="5">
        <f>SUMIFS(Data!$E$2:$E$164,Data!$G$2:$G$164,$A9,Data!$B$2:$B$164,N$4,Data!$I$2:$I$164,"Under Process")/1000</f>
        <v>0</v>
      </c>
      <c r="O9" s="5">
        <f>SUMIFS(Data!$E$2:$E$164,Data!$G$2:$G$164,$A9,Data!$B$2:$B$164,O$4,Data!$I$2:$I$164,"Under Process")/1000</f>
        <v>0</v>
      </c>
      <c r="P9" s="5">
        <f>SUMIFS(Data!$E$2:$E$164,Data!$G$2:$G$164,$A9,Data!$B$2:$B$164,P$4,Data!$I$2:$I$164,"Under Process")/1000</f>
        <v>0</v>
      </c>
      <c r="Q9" s="5">
        <f>SUMIFS(Data!$E$2:$E$164,Data!$G$2:$G$164,$A9,Data!$B$2:$B$164,Q$4,Data!$I$2:$I$164,"Under Process")/1000</f>
        <v>0</v>
      </c>
      <c r="R9" s="5">
        <f>SUMIFS(Data!$E$2:$E$164,Data!$G$2:$G$164,$A9,Data!$B$2:$B$164,R$4,Data!$I$2:$I$164,"Under Process")/1000</f>
        <v>0</v>
      </c>
      <c r="S9" s="5">
        <f>SUMIFS(Data!$E$2:$E$164,Data!$G$2:$G$164,$A9,Data!$B$2:$B$164,S$4,Data!$I$2:$I$164,"Under Process")/1000</f>
        <v>0</v>
      </c>
      <c r="T9" s="5">
        <f>SUMIFS(Data!$E$2:$E$164,Data!$G$2:$G$164,$A9,Data!$B$2:$B$164,T$4,Data!$I$2:$I$164,"Under Process")/1000</f>
        <v>0</v>
      </c>
      <c r="U9" s="7">
        <f t="shared" si="0"/>
        <v>0.65</v>
      </c>
    </row>
    <row r="10" spans="1:21" x14ac:dyDescent="0.25">
      <c r="A10" s="12" t="s">
        <v>11</v>
      </c>
      <c r="B10" s="5">
        <f>SUMIFS(Data!$E$2:$E$164,Data!$G$2:$G$164,$A10,Data!$B$2:$B$164,B$4,Data!$I$2:$I$164,"Under Process")/1000</f>
        <v>0</v>
      </c>
      <c r="C10" s="5">
        <f>SUMIFS(Data!$E$2:$E$164,Data!$G$2:$G$164,$A10,Data!$B$2:$B$164,C$4,Data!$I$2:$I$164,"Under Process")/1000</f>
        <v>0</v>
      </c>
      <c r="D10" s="5">
        <f>SUMIFS(Data!$E$2:$E$164,Data!$G$2:$G$164,$A10,Data!$B$2:$B$164,D$4,Data!$I$2:$I$164,"Under Process")/1000</f>
        <v>0</v>
      </c>
      <c r="E10" s="5">
        <f>SUMIFS(Data!$E$2:$E$164,Data!$G$2:$G$164,$A10,Data!$B$2:$B$164,E$4,Data!$I$2:$I$164,"Under Process")/1000</f>
        <v>0</v>
      </c>
      <c r="F10" s="5">
        <f>SUMIFS(Data!$E$2:$E$164,Data!$G$2:$G$164,$A10,Data!$B$2:$B$164,F$4,Data!$I$2:$I$164,"Under Process")/1000</f>
        <v>0</v>
      </c>
      <c r="G10" s="5">
        <f>SUMIFS(Data!$E$2:$E$164,Data!$G$2:$G$164,$A10,Data!$B$2:$B$164,G$4,Data!$I$2:$I$164,"Under Process")/1000</f>
        <v>0</v>
      </c>
      <c r="H10" s="5">
        <f>SUMIFS(Data!$E$2:$E$164,Data!$G$2:$G$164,$A10,Data!$B$2:$B$164,H$4,Data!$I$2:$I$164,"Under Process")/1000</f>
        <v>0.1</v>
      </c>
      <c r="I10" s="5">
        <f>SUMIFS(Data!$E$2:$E$164,Data!$G$2:$G$164,$A10,Data!$B$2:$B$164,I$4,Data!$I$2:$I$164,"Under Process")/1000</f>
        <v>0</v>
      </c>
      <c r="J10" s="5">
        <f>SUMIFS(Data!$E$2:$E$164,Data!$G$2:$G$164,$A10,Data!$B$2:$B$164,J$4,Data!$I$2:$I$164,"Under Process")/1000</f>
        <v>0</v>
      </c>
      <c r="K10" s="5">
        <f>SUMIFS(Data!$E$2:$E$164,Data!$G$2:$G$164,$A10,Data!$B$2:$B$164,K$4,Data!$I$2:$I$164,"Under Process")/1000</f>
        <v>0</v>
      </c>
      <c r="L10" s="5">
        <f>SUMIFS(Data!$E$2:$E$164,Data!$G$2:$G$164,$A10,Data!$B$2:$B$164,L$4,Data!$I$2:$I$164,"Under Process")/1000</f>
        <v>0.05</v>
      </c>
      <c r="M10" s="5">
        <f>SUMIFS(Data!$E$2:$E$164,Data!$G$2:$G$164,$A10,Data!$B$2:$B$164,M$4,Data!$I$2:$I$164,"Under Process")/1000</f>
        <v>0</v>
      </c>
      <c r="N10" s="5">
        <f>SUMIFS(Data!$E$2:$E$164,Data!$G$2:$G$164,$A10,Data!$B$2:$B$164,N$4,Data!$I$2:$I$164,"Under Process")/1000</f>
        <v>0</v>
      </c>
      <c r="O10" s="5">
        <f>SUMIFS(Data!$E$2:$E$164,Data!$G$2:$G$164,$A10,Data!$B$2:$B$164,O$4,Data!$I$2:$I$164,"Under Process")/1000</f>
        <v>0</v>
      </c>
      <c r="P10" s="5">
        <f>SUMIFS(Data!$E$2:$E$164,Data!$G$2:$G$164,$A10,Data!$B$2:$B$164,P$4,Data!$I$2:$I$164,"Under Process")/1000</f>
        <v>0</v>
      </c>
      <c r="Q10" s="5">
        <f>SUMIFS(Data!$E$2:$E$164,Data!$G$2:$G$164,$A10,Data!$B$2:$B$164,Q$4,Data!$I$2:$I$164,"Under Process")/1000</f>
        <v>0</v>
      </c>
      <c r="R10" s="5">
        <f>SUMIFS(Data!$E$2:$E$164,Data!$G$2:$G$164,$A10,Data!$B$2:$B$164,R$4,Data!$I$2:$I$164,"Under Process")/1000</f>
        <v>0</v>
      </c>
      <c r="S10" s="5">
        <f>SUMIFS(Data!$E$2:$E$164,Data!$G$2:$G$164,$A10,Data!$B$2:$B$164,S$4,Data!$I$2:$I$164,"Under Process")/1000</f>
        <v>0</v>
      </c>
      <c r="T10" s="5">
        <f>SUMIFS(Data!$E$2:$E$164,Data!$G$2:$G$164,$A10,Data!$B$2:$B$164,T$4,Data!$I$2:$I$164,"Under Process")/1000</f>
        <v>0</v>
      </c>
      <c r="U10" s="7">
        <f t="shared" si="0"/>
        <v>0.15000000000000002</v>
      </c>
    </row>
    <row r="11" spans="1:21" x14ac:dyDescent="0.25">
      <c r="A11" s="12" t="s">
        <v>12</v>
      </c>
      <c r="B11" s="5">
        <f>SUMIFS(Data!$E$2:$E$164,Data!$G$2:$G$164,$A11,Data!$B$2:$B$164,B$4,Data!$I$2:$I$164,"Under Process")/1000</f>
        <v>0</v>
      </c>
      <c r="C11" s="5">
        <f>SUMIFS(Data!$E$2:$E$164,Data!$G$2:$G$164,$A11,Data!$B$2:$B$164,C$4,Data!$I$2:$I$164,"Under Process")/1000</f>
        <v>0</v>
      </c>
      <c r="D11" s="5">
        <f>SUMIFS(Data!$E$2:$E$164,Data!$G$2:$G$164,$A11,Data!$B$2:$B$164,D$4,Data!$I$2:$I$164,"Under Process")/1000</f>
        <v>0</v>
      </c>
      <c r="E11" s="5">
        <f>SUMIFS(Data!$E$2:$E$164,Data!$G$2:$G$164,$A11,Data!$B$2:$B$164,E$4,Data!$I$2:$I$164,"Under Process")/1000</f>
        <v>0</v>
      </c>
      <c r="F11" s="5">
        <f>SUMIFS(Data!$E$2:$E$164,Data!$G$2:$G$164,$A11,Data!$B$2:$B$164,F$4,Data!$I$2:$I$164,"Under Process")/1000</f>
        <v>0</v>
      </c>
      <c r="G11" s="5">
        <f>SUMIFS(Data!$E$2:$E$164,Data!$G$2:$G$164,$A11,Data!$B$2:$B$164,G$4,Data!$I$2:$I$164,"Under Process")/1000</f>
        <v>0</v>
      </c>
      <c r="H11" s="5">
        <f>SUMIFS(Data!$E$2:$E$164,Data!$G$2:$G$164,$A11,Data!$B$2:$B$164,H$4,Data!$I$2:$I$164,"Under Process")/1000</f>
        <v>0</v>
      </c>
      <c r="I11" s="5">
        <f>SUMIFS(Data!$E$2:$E$164,Data!$G$2:$G$164,$A11,Data!$B$2:$B$164,I$4,Data!$I$2:$I$164,"Under Process")/1000</f>
        <v>0</v>
      </c>
      <c r="J11" s="5">
        <f>SUMIFS(Data!$E$2:$E$164,Data!$G$2:$G$164,$A11,Data!$B$2:$B$164,J$4,Data!$I$2:$I$164,"Under Process")/1000</f>
        <v>0</v>
      </c>
      <c r="K11" s="5">
        <f>SUMIFS(Data!$E$2:$E$164,Data!$G$2:$G$164,$A11,Data!$B$2:$B$164,K$4,Data!$I$2:$I$164,"Under Process")/1000</f>
        <v>0</v>
      </c>
      <c r="L11" s="5">
        <f>SUMIFS(Data!$E$2:$E$164,Data!$G$2:$G$164,$A11,Data!$B$2:$B$164,L$4,Data!$I$2:$I$164,"Under Process")/1000</f>
        <v>0</v>
      </c>
      <c r="M11" s="5">
        <f>SUMIFS(Data!$E$2:$E$164,Data!$G$2:$G$164,$A11,Data!$B$2:$B$164,M$4,Data!$I$2:$I$164,"Under Process")/1000</f>
        <v>0</v>
      </c>
      <c r="N11" s="5">
        <f>SUMIFS(Data!$E$2:$E$164,Data!$G$2:$G$164,$A11,Data!$B$2:$B$164,N$4,Data!$I$2:$I$164,"Under Process")/1000</f>
        <v>0</v>
      </c>
      <c r="O11" s="5">
        <f>SUMIFS(Data!$E$2:$E$164,Data!$G$2:$G$164,$A11,Data!$B$2:$B$164,O$4,Data!$I$2:$I$164,"Under Process")/1000</f>
        <v>0</v>
      </c>
      <c r="P11" s="5">
        <f>SUMIFS(Data!$E$2:$E$164,Data!$G$2:$G$164,$A11,Data!$B$2:$B$164,P$4,Data!$I$2:$I$164,"Under Process")/1000</f>
        <v>0</v>
      </c>
      <c r="Q11" s="5">
        <f>SUMIFS(Data!$E$2:$E$164,Data!$G$2:$G$164,$A11,Data!$B$2:$B$164,Q$4,Data!$I$2:$I$164,"Under Process")/1000</f>
        <v>0</v>
      </c>
      <c r="R11" s="5">
        <f>SUMIFS(Data!$E$2:$E$164,Data!$G$2:$G$164,$A11,Data!$B$2:$B$164,R$4,Data!$I$2:$I$164,"Under Process")/1000</f>
        <v>0</v>
      </c>
      <c r="S11" s="5">
        <f>SUMIFS(Data!$E$2:$E$164,Data!$G$2:$G$164,$A11,Data!$B$2:$B$164,S$4,Data!$I$2:$I$164,"Under Process")/1000</f>
        <v>0</v>
      </c>
      <c r="T11" s="5">
        <f>SUMIFS(Data!$E$2:$E$164,Data!$G$2:$G$164,$A11,Data!$B$2:$B$164,T$4,Data!$I$2:$I$164,"Under Process")/1000</f>
        <v>0</v>
      </c>
      <c r="U11" s="7">
        <f t="shared" si="0"/>
        <v>0</v>
      </c>
    </row>
    <row r="12" spans="1:21" x14ac:dyDescent="0.25">
      <c r="A12" s="12" t="s">
        <v>13</v>
      </c>
      <c r="B12" s="5">
        <f>SUMIFS(Data!$E$2:$E$164,Data!$G$2:$G$164,$A12,Data!$B$2:$B$164,B$4,Data!$I$2:$I$164,"Under Process")/1000</f>
        <v>0</v>
      </c>
      <c r="C12" s="5">
        <f>SUMIFS(Data!$E$2:$E$164,Data!$G$2:$G$164,$A12,Data!$B$2:$B$164,C$4,Data!$I$2:$I$164,"Under Process")/1000</f>
        <v>0</v>
      </c>
      <c r="D12" s="5">
        <f>SUMIFS(Data!$E$2:$E$164,Data!$G$2:$G$164,$A12,Data!$B$2:$B$164,D$4,Data!$I$2:$I$164,"Under Process")/1000</f>
        <v>0</v>
      </c>
      <c r="E12" s="5">
        <f>SUMIFS(Data!$E$2:$E$164,Data!$G$2:$G$164,$A12,Data!$B$2:$B$164,E$4,Data!$I$2:$I$164,"Under Process")/1000</f>
        <v>0.11</v>
      </c>
      <c r="F12" s="5">
        <f>SUMIFS(Data!$E$2:$E$164,Data!$G$2:$G$164,$A12,Data!$B$2:$B$164,F$4,Data!$I$2:$I$164,"Under Process")/1000</f>
        <v>0</v>
      </c>
      <c r="G12" s="5">
        <f>SUMIFS(Data!$E$2:$E$164,Data!$G$2:$G$164,$A12,Data!$B$2:$B$164,G$4,Data!$I$2:$I$164,"Under Process")/1000</f>
        <v>0</v>
      </c>
      <c r="H12" s="5">
        <f>SUMIFS(Data!$E$2:$E$164,Data!$G$2:$G$164,$A12,Data!$B$2:$B$164,H$4,Data!$I$2:$I$164,"Under Process")/1000</f>
        <v>0</v>
      </c>
      <c r="I12" s="5">
        <f>SUMIFS(Data!$E$2:$E$164,Data!$G$2:$G$164,$A12,Data!$B$2:$B$164,I$4,Data!$I$2:$I$164,"Under Process")/1000</f>
        <v>0</v>
      </c>
      <c r="J12" s="5">
        <f>SUMIFS(Data!$E$2:$E$164,Data!$G$2:$G$164,$A12,Data!$B$2:$B$164,J$4,Data!$I$2:$I$164,"Under Process")/1000</f>
        <v>0</v>
      </c>
      <c r="K12" s="5">
        <f>SUMIFS(Data!$E$2:$E$164,Data!$G$2:$G$164,$A12,Data!$B$2:$B$164,K$4,Data!$I$2:$I$164,"Under Process")/1000</f>
        <v>0</v>
      </c>
      <c r="L12" s="5">
        <f>SUMIFS(Data!$E$2:$E$164,Data!$G$2:$G$164,$A12,Data!$B$2:$B$164,L$4,Data!$I$2:$I$164,"Under Process")/1000</f>
        <v>0</v>
      </c>
      <c r="M12" s="5">
        <f>SUMIFS(Data!$E$2:$E$164,Data!$G$2:$G$164,$A12,Data!$B$2:$B$164,M$4,Data!$I$2:$I$164,"Under Process")/1000</f>
        <v>0</v>
      </c>
      <c r="N12" s="5">
        <f>SUMIFS(Data!$E$2:$E$164,Data!$G$2:$G$164,$A12,Data!$B$2:$B$164,N$4,Data!$I$2:$I$164,"Under Process")/1000</f>
        <v>0</v>
      </c>
      <c r="O12" s="5">
        <f>SUMIFS(Data!$E$2:$E$164,Data!$G$2:$G$164,$A12,Data!$B$2:$B$164,O$4,Data!$I$2:$I$164,"Under Process")/1000</f>
        <v>0</v>
      </c>
      <c r="P12" s="5">
        <f>SUMIFS(Data!$E$2:$E$164,Data!$G$2:$G$164,$A12,Data!$B$2:$B$164,P$4,Data!$I$2:$I$164,"Under Process")/1000</f>
        <v>0</v>
      </c>
      <c r="Q12" s="5">
        <f>SUMIFS(Data!$E$2:$E$164,Data!$G$2:$G$164,$A12,Data!$B$2:$B$164,Q$4,Data!$I$2:$I$164,"Under Process")/1000</f>
        <v>0</v>
      </c>
      <c r="R12" s="5">
        <f>SUMIFS(Data!$E$2:$E$164,Data!$G$2:$G$164,$A12,Data!$B$2:$B$164,R$4,Data!$I$2:$I$164,"Under Process")/1000</f>
        <v>0</v>
      </c>
      <c r="S12" s="5">
        <f>SUMIFS(Data!$E$2:$E$164,Data!$G$2:$G$164,$A12,Data!$B$2:$B$164,S$4,Data!$I$2:$I$164,"Under Process")/1000</f>
        <v>0.1</v>
      </c>
      <c r="T12" s="5">
        <f>SUMIFS(Data!$E$2:$E$164,Data!$G$2:$G$164,$A12,Data!$B$2:$B$164,T$4,Data!$I$2:$I$164,"Under Process")/1000</f>
        <v>0</v>
      </c>
      <c r="U12" s="7">
        <f t="shared" si="0"/>
        <v>0.21000000000000002</v>
      </c>
    </row>
    <row r="13" spans="1:21" x14ac:dyDescent="0.25">
      <c r="A13" s="12" t="s">
        <v>14</v>
      </c>
      <c r="B13" s="5">
        <f>SUMIFS(Data!$E$2:$E$164,Data!$G$2:$G$164,$A13,Data!$B$2:$B$164,B$4,Data!$I$2:$I$164,"Under Process")/1000</f>
        <v>0</v>
      </c>
      <c r="C13" s="5">
        <f>SUMIFS(Data!$E$2:$E$164,Data!$G$2:$G$164,$A13,Data!$B$2:$B$164,C$4,Data!$I$2:$I$164,"Under Process")/1000</f>
        <v>0</v>
      </c>
      <c r="D13" s="5">
        <f>SUMIFS(Data!$E$2:$E$164,Data!$G$2:$G$164,$A13,Data!$B$2:$B$164,D$4,Data!$I$2:$I$164,"Under Process")/1000</f>
        <v>0</v>
      </c>
      <c r="E13" s="5">
        <f>SUMIFS(Data!$E$2:$E$164,Data!$G$2:$G$164,$A13,Data!$B$2:$B$164,E$4,Data!$I$2:$I$164,"Under Process")/1000</f>
        <v>0</v>
      </c>
      <c r="F13" s="5">
        <f>SUMIFS(Data!$E$2:$E$164,Data!$G$2:$G$164,$A13,Data!$B$2:$B$164,F$4,Data!$I$2:$I$164,"Under Process")/1000</f>
        <v>0</v>
      </c>
      <c r="G13" s="5">
        <f>SUMIFS(Data!$E$2:$E$164,Data!$G$2:$G$164,$A13,Data!$B$2:$B$164,G$4,Data!$I$2:$I$164,"Under Process")/1000</f>
        <v>0</v>
      </c>
      <c r="H13" s="5">
        <f>SUMIFS(Data!$E$2:$E$164,Data!$G$2:$G$164,$A13,Data!$B$2:$B$164,H$4,Data!$I$2:$I$164,"Under Process")/1000</f>
        <v>7.0000000000000007E-2</v>
      </c>
      <c r="I13" s="5">
        <f>SUMIFS(Data!$E$2:$E$164,Data!$G$2:$G$164,$A13,Data!$B$2:$B$164,I$4,Data!$I$2:$I$164,"Under Process")/1000</f>
        <v>0</v>
      </c>
      <c r="J13" s="5">
        <f>SUMIFS(Data!$E$2:$E$164,Data!$G$2:$G$164,$A13,Data!$B$2:$B$164,J$4,Data!$I$2:$I$164,"Under Process")/1000</f>
        <v>0</v>
      </c>
      <c r="K13" s="5">
        <f>SUMIFS(Data!$E$2:$E$164,Data!$G$2:$G$164,$A13,Data!$B$2:$B$164,K$4,Data!$I$2:$I$164,"Under Process")/1000</f>
        <v>0</v>
      </c>
      <c r="L13" s="5">
        <f>SUMIFS(Data!$E$2:$E$164,Data!$G$2:$G$164,$A13,Data!$B$2:$B$164,L$4,Data!$I$2:$I$164,"Under Process")/1000</f>
        <v>0</v>
      </c>
      <c r="M13" s="5">
        <f>SUMIFS(Data!$E$2:$E$164,Data!$G$2:$G$164,$A13,Data!$B$2:$B$164,M$4,Data!$I$2:$I$164,"Under Process")/1000</f>
        <v>0</v>
      </c>
      <c r="N13" s="5">
        <f>SUMIFS(Data!$E$2:$E$164,Data!$G$2:$G$164,$A13,Data!$B$2:$B$164,N$4,Data!$I$2:$I$164,"Under Process")/1000</f>
        <v>0</v>
      </c>
      <c r="O13" s="5">
        <f>SUMIFS(Data!$E$2:$E$164,Data!$G$2:$G$164,$A13,Data!$B$2:$B$164,O$4,Data!$I$2:$I$164,"Under Process")/1000</f>
        <v>0.13500000000000001</v>
      </c>
      <c r="P13" s="5">
        <f>SUMIFS(Data!$E$2:$E$164,Data!$G$2:$G$164,$A13,Data!$B$2:$B$164,P$4,Data!$I$2:$I$164,"Under Process")/1000</f>
        <v>0</v>
      </c>
      <c r="Q13" s="5">
        <f>SUMIFS(Data!$E$2:$E$164,Data!$G$2:$G$164,$A13,Data!$B$2:$B$164,Q$4,Data!$I$2:$I$164,"Under Process")/1000</f>
        <v>0</v>
      </c>
      <c r="R13" s="5">
        <f>SUMIFS(Data!$E$2:$E$164,Data!$G$2:$G$164,$A13,Data!$B$2:$B$164,R$4,Data!$I$2:$I$164,"Under Process")/1000</f>
        <v>0</v>
      </c>
      <c r="S13" s="5">
        <f>SUMIFS(Data!$E$2:$E$164,Data!$G$2:$G$164,$A13,Data!$B$2:$B$164,S$4,Data!$I$2:$I$164,"Under Process")/1000</f>
        <v>0</v>
      </c>
      <c r="T13" s="5">
        <f>SUMIFS(Data!$E$2:$E$164,Data!$G$2:$G$164,$A13,Data!$B$2:$B$164,T$4,Data!$I$2:$I$164,"Under Process")/1000</f>
        <v>0</v>
      </c>
      <c r="U13" s="7">
        <f t="shared" si="0"/>
        <v>0.20500000000000002</v>
      </c>
    </row>
    <row r="14" spans="1:21" x14ac:dyDescent="0.25">
      <c r="A14" s="12" t="s">
        <v>15</v>
      </c>
      <c r="B14" s="5">
        <f>SUMIFS(Data!$E$2:$E$164,Data!$G$2:$G$164,$A14,Data!$B$2:$B$164,B$4,Data!$I$2:$I$164,"Under Process")/1000</f>
        <v>0</v>
      </c>
      <c r="C14" s="5">
        <f>SUMIFS(Data!$E$2:$E$164,Data!$G$2:$G$164,$A14,Data!$B$2:$B$164,C$4,Data!$I$2:$I$164,"Under Process")/1000</f>
        <v>0</v>
      </c>
      <c r="D14" s="5">
        <f>SUMIFS(Data!$E$2:$E$164,Data!$G$2:$G$164,$A14,Data!$B$2:$B$164,D$4,Data!$I$2:$I$164,"Under Process")/1000</f>
        <v>0</v>
      </c>
      <c r="E14" s="5">
        <f>SUMIFS(Data!$E$2:$E$164,Data!$G$2:$G$164,$A14,Data!$B$2:$B$164,E$4,Data!$I$2:$I$164,"Under Process")/1000</f>
        <v>0</v>
      </c>
      <c r="F14" s="5">
        <f>SUMIFS(Data!$E$2:$E$164,Data!$G$2:$G$164,$A14,Data!$B$2:$B$164,F$4,Data!$I$2:$I$164,"Under Process")/1000</f>
        <v>0</v>
      </c>
      <c r="G14" s="5">
        <f>SUMIFS(Data!$E$2:$E$164,Data!$G$2:$G$164,$A14,Data!$B$2:$B$164,G$4,Data!$I$2:$I$164,"Under Process")/1000</f>
        <v>0</v>
      </c>
      <c r="H14" s="5">
        <f>SUMIFS(Data!$E$2:$E$164,Data!$G$2:$G$164,$A14,Data!$B$2:$B$164,H$4,Data!$I$2:$I$164,"Under Process")/1000</f>
        <v>0.12</v>
      </c>
      <c r="I14" s="5">
        <f>SUMIFS(Data!$E$2:$E$164,Data!$G$2:$G$164,$A14,Data!$B$2:$B$164,I$4,Data!$I$2:$I$164,"Under Process")/1000</f>
        <v>0</v>
      </c>
      <c r="J14" s="5">
        <f>SUMIFS(Data!$E$2:$E$164,Data!$G$2:$G$164,$A14,Data!$B$2:$B$164,J$4,Data!$I$2:$I$164,"Under Process")/1000</f>
        <v>0</v>
      </c>
      <c r="K14" s="5">
        <f>SUMIFS(Data!$E$2:$E$164,Data!$G$2:$G$164,$A14,Data!$B$2:$B$164,K$4,Data!$I$2:$I$164,"Under Process")/1000</f>
        <v>0</v>
      </c>
      <c r="L14" s="5">
        <f>SUMIFS(Data!$E$2:$E$164,Data!$G$2:$G$164,$A14,Data!$B$2:$B$164,L$4,Data!$I$2:$I$164,"Under Process")/1000</f>
        <v>0</v>
      </c>
      <c r="M14" s="5">
        <f>SUMIFS(Data!$E$2:$E$164,Data!$G$2:$G$164,$A14,Data!$B$2:$B$164,M$4,Data!$I$2:$I$164,"Under Process")/1000</f>
        <v>0</v>
      </c>
      <c r="N14" s="5">
        <f>SUMIFS(Data!$E$2:$E$164,Data!$G$2:$G$164,$A14,Data!$B$2:$B$164,N$4,Data!$I$2:$I$164,"Under Process")/1000</f>
        <v>0</v>
      </c>
      <c r="O14" s="5">
        <f>SUMIFS(Data!$E$2:$E$164,Data!$G$2:$G$164,$A14,Data!$B$2:$B$164,O$4,Data!$I$2:$I$164,"Under Process")/1000</f>
        <v>0</v>
      </c>
      <c r="P14" s="5">
        <f>SUMIFS(Data!$E$2:$E$164,Data!$G$2:$G$164,$A14,Data!$B$2:$B$164,P$4,Data!$I$2:$I$164,"Under Process")/1000</f>
        <v>0</v>
      </c>
      <c r="Q14" s="5">
        <f>SUMIFS(Data!$E$2:$E$164,Data!$G$2:$G$164,$A14,Data!$B$2:$B$164,Q$4,Data!$I$2:$I$164,"Under Process")/1000</f>
        <v>0</v>
      </c>
      <c r="R14" s="5">
        <f>SUMIFS(Data!$E$2:$E$164,Data!$G$2:$G$164,$A14,Data!$B$2:$B$164,R$4,Data!$I$2:$I$164,"Under Process")/1000</f>
        <v>0</v>
      </c>
      <c r="S14" s="5">
        <f>SUMIFS(Data!$E$2:$E$164,Data!$G$2:$G$164,$A14,Data!$B$2:$B$164,S$4,Data!$I$2:$I$164,"Under Process")/1000</f>
        <v>0</v>
      </c>
      <c r="T14" s="5">
        <f>SUMIFS(Data!$E$2:$E$164,Data!$G$2:$G$164,$A14,Data!$B$2:$B$164,T$4,Data!$I$2:$I$164,"Under Process")/1000</f>
        <v>0</v>
      </c>
      <c r="U14" s="7">
        <f t="shared" si="0"/>
        <v>0.12</v>
      </c>
    </row>
    <row r="15" spans="1:21" x14ac:dyDescent="0.25">
      <c r="A15" s="12" t="s">
        <v>16</v>
      </c>
      <c r="B15" s="5">
        <f>SUMIFS(Data!$E$2:$E$164,Data!$G$2:$G$164,$A15,Data!$B$2:$B$164,B$4,Data!$I$2:$I$164,"Under Process")/1000</f>
        <v>0.05</v>
      </c>
      <c r="C15" s="5">
        <f>SUMIFS(Data!$E$2:$E$164,Data!$G$2:$G$164,$A15,Data!$B$2:$B$164,C$4,Data!$I$2:$I$164,"Under Process")/1000</f>
        <v>0</v>
      </c>
      <c r="D15" s="5">
        <f>SUMIFS(Data!$E$2:$E$164,Data!$G$2:$G$164,$A15,Data!$B$2:$B$164,D$4,Data!$I$2:$I$164,"Under Process")/1000</f>
        <v>0</v>
      </c>
      <c r="E15" s="5">
        <f>SUMIFS(Data!$E$2:$E$164,Data!$G$2:$G$164,$A15,Data!$B$2:$B$164,E$4,Data!$I$2:$I$164,"Under Process")/1000</f>
        <v>0</v>
      </c>
      <c r="F15" s="5">
        <f>SUMIFS(Data!$E$2:$E$164,Data!$G$2:$G$164,$A15,Data!$B$2:$B$164,F$4,Data!$I$2:$I$164,"Under Process")/1000</f>
        <v>0</v>
      </c>
      <c r="G15" s="5">
        <f>SUMIFS(Data!$E$2:$E$164,Data!$G$2:$G$164,$A15,Data!$B$2:$B$164,G$4,Data!$I$2:$I$164,"Under Process")/1000</f>
        <v>0</v>
      </c>
      <c r="H15" s="5">
        <f>SUMIFS(Data!$E$2:$E$164,Data!$G$2:$G$164,$A15,Data!$B$2:$B$164,H$4,Data!$I$2:$I$164,"Under Process")/1000</f>
        <v>0</v>
      </c>
      <c r="I15" s="5">
        <f>SUMIFS(Data!$E$2:$E$164,Data!$G$2:$G$164,$A15,Data!$B$2:$B$164,I$4,Data!$I$2:$I$164,"Under Process")/1000</f>
        <v>0</v>
      </c>
      <c r="J15" s="5">
        <f>SUMIFS(Data!$E$2:$E$164,Data!$G$2:$G$164,$A15,Data!$B$2:$B$164,J$4,Data!$I$2:$I$164,"Under Process")/1000</f>
        <v>0</v>
      </c>
      <c r="K15" s="5">
        <f>SUMIFS(Data!$E$2:$E$164,Data!$G$2:$G$164,$A15,Data!$B$2:$B$164,K$4,Data!$I$2:$I$164,"Under Process")/1000</f>
        <v>0</v>
      </c>
      <c r="L15" s="5">
        <f>SUMIFS(Data!$E$2:$E$164,Data!$G$2:$G$164,$A15,Data!$B$2:$B$164,L$4,Data!$I$2:$I$164,"Under Process")/1000</f>
        <v>0</v>
      </c>
      <c r="M15" s="5">
        <f>SUMIFS(Data!$E$2:$E$164,Data!$G$2:$G$164,$A15,Data!$B$2:$B$164,M$4,Data!$I$2:$I$164,"Under Process")/1000</f>
        <v>0</v>
      </c>
      <c r="N15" s="5">
        <f>SUMIFS(Data!$E$2:$E$164,Data!$G$2:$G$164,$A15,Data!$B$2:$B$164,N$4,Data!$I$2:$I$164,"Under Process")/1000</f>
        <v>0</v>
      </c>
      <c r="O15" s="5">
        <f>SUMIFS(Data!$E$2:$E$164,Data!$G$2:$G$164,$A15,Data!$B$2:$B$164,O$4,Data!$I$2:$I$164,"Under Process")/1000</f>
        <v>0</v>
      </c>
      <c r="P15" s="5">
        <f>SUMIFS(Data!$E$2:$E$164,Data!$G$2:$G$164,$A15,Data!$B$2:$B$164,P$4,Data!$I$2:$I$164,"Under Process")/1000</f>
        <v>0</v>
      </c>
      <c r="Q15" s="5">
        <f>SUMIFS(Data!$E$2:$E$164,Data!$G$2:$G$164,$A15,Data!$B$2:$B$164,Q$4,Data!$I$2:$I$164,"Under Process")/1000</f>
        <v>0</v>
      </c>
      <c r="R15" s="5">
        <f>SUMIFS(Data!$E$2:$E$164,Data!$G$2:$G$164,$A15,Data!$B$2:$B$164,R$4,Data!$I$2:$I$164,"Under Process")/1000</f>
        <v>0</v>
      </c>
      <c r="S15" s="5">
        <f>SUMIFS(Data!$E$2:$E$164,Data!$G$2:$G$164,$A15,Data!$B$2:$B$164,S$4,Data!$I$2:$I$164,"Under Process")/1000</f>
        <v>0</v>
      </c>
      <c r="T15" s="5">
        <f>SUMIFS(Data!$E$2:$E$164,Data!$G$2:$G$164,$A15,Data!$B$2:$B$164,T$4,Data!$I$2:$I$164,"Under Process")/1000</f>
        <v>0</v>
      </c>
      <c r="U15" s="7">
        <f t="shared" si="0"/>
        <v>0.05</v>
      </c>
    </row>
    <row r="16" spans="1:21" x14ac:dyDescent="0.25">
      <c r="A16" s="12" t="s">
        <v>17</v>
      </c>
      <c r="B16" s="5">
        <f>SUMIFS(Data!$E$2:$E$164,Data!$G$2:$G$164,$A16,Data!$B$2:$B$164,B$4,Data!$I$2:$I$164,"Under Process")/1000</f>
        <v>0</v>
      </c>
      <c r="C16" s="5">
        <f>SUMIFS(Data!$E$2:$E$164,Data!$G$2:$G$164,$A16,Data!$B$2:$B$164,C$4,Data!$I$2:$I$164,"Under Process")/1000</f>
        <v>0</v>
      </c>
      <c r="D16" s="5">
        <f>SUMIFS(Data!$E$2:$E$164,Data!$G$2:$G$164,$A16,Data!$B$2:$B$164,D$4,Data!$I$2:$I$164,"Under Process")/1000</f>
        <v>0</v>
      </c>
      <c r="E16" s="5">
        <f>SUMIFS(Data!$E$2:$E$164,Data!$G$2:$G$164,$A16,Data!$B$2:$B$164,E$4,Data!$I$2:$I$164,"Under Process")/1000</f>
        <v>0</v>
      </c>
      <c r="F16" s="5">
        <f>SUMIFS(Data!$E$2:$E$164,Data!$G$2:$G$164,$A16,Data!$B$2:$B$164,F$4,Data!$I$2:$I$164,"Under Process")/1000</f>
        <v>0</v>
      </c>
      <c r="G16" s="5">
        <f>SUMIFS(Data!$E$2:$E$164,Data!$G$2:$G$164,$A16,Data!$B$2:$B$164,G$4,Data!$I$2:$I$164,"Under Process")/1000</f>
        <v>0</v>
      </c>
      <c r="H16" s="5">
        <f>SUMIFS(Data!$E$2:$E$164,Data!$G$2:$G$164,$A16,Data!$B$2:$B$164,H$4,Data!$I$2:$I$164,"Under Process")/1000</f>
        <v>0.05</v>
      </c>
      <c r="I16" s="5">
        <f>SUMIFS(Data!$E$2:$E$164,Data!$G$2:$G$164,$A16,Data!$B$2:$B$164,I$4,Data!$I$2:$I$164,"Under Process")/1000</f>
        <v>0</v>
      </c>
      <c r="J16" s="5">
        <f>SUMIFS(Data!$E$2:$E$164,Data!$G$2:$G$164,$A16,Data!$B$2:$B$164,J$4,Data!$I$2:$I$164,"Under Process")/1000</f>
        <v>0</v>
      </c>
      <c r="K16" s="5">
        <f>SUMIFS(Data!$E$2:$E$164,Data!$G$2:$G$164,$A16,Data!$B$2:$B$164,K$4,Data!$I$2:$I$164,"Under Process")/1000</f>
        <v>0</v>
      </c>
      <c r="L16" s="5">
        <f>SUMIFS(Data!$E$2:$E$164,Data!$G$2:$G$164,$A16,Data!$B$2:$B$164,L$4,Data!$I$2:$I$164,"Under Process")/1000</f>
        <v>0</v>
      </c>
      <c r="M16" s="5">
        <f>SUMIFS(Data!$E$2:$E$164,Data!$G$2:$G$164,$A16,Data!$B$2:$B$164,M$4,Data!$I$2:$I$164,"Under Process")/1000</f>
        <v>0</v>
      </c>
      <c r="N16" s="5">
        <f>SUMIFS(Data!$E$2:$E$164,Data!$G$2:$G$164,$A16,Data!$B$2:$B$164,N$4,Data!$I$2:$I$164,"Under Process")/1000</f>
        <v>0</v>
      </c>
      <c r="O16" s="5">
        <f>SUMIFS(Data!$E$2:$E$164,Data!$G$2:$G$164,$A16,Data!$B$2:$B$164,O$4,Data!$I$2:$I$164,"Under Process")/1000</f>
        <v>0</v>
      </c>
      <c r="P16" s="5">
        <f>SUMIFS(Data!$E$2:$E$164,Data!$G$2:$G$164,$A16,Data!$B$2:$B$164,P$4,Data!$I$2:$I$164,"Under Process")/1000</f>
        <v>0</v>
      </c>
      <c r="Q16" s="5">
        <f>SUMIFS(Data!$E$2:$E$164,Data!$G$2:$G$164,$A16,Data!$B$2:$B$164,Q$4,Data!$I$2:$I$164,"Under Process")/1000</f>
        <v>0</v>
      </c>
      <c r="R16" s="5">
        <f>SUMIFS(Data!$E$2:$E$164,Data!$G$2:$G$164,$A16,Data!$B$2:$B$164,R$4,Data!$I$2:$I$164,"Under Process")/1000</f>
        <v>0</v>
      </c>
      <c r="S16" s="5">
        <f>SUMIFS(Data!$E$2:$E$164,Data!$G$2:$G$164,$A16,Data!$B$2:$B$164,S$4,Data!$I$2:$I$164,"Under Process")/1000</f>
        <v>0</v>
      </c>
      <c r="T16" s="5">
        <f>SUMIFS(Data!$E$2:$E$164,Data!$G$2:$G$164,$A16,Data!$B$2:$B$164,T$4,Data!$I$2:$I$164,"Under Process")/1000</f>
        <v>0</v>
      </c>
      <c r="U16" s="7">
        <f t="shared" si="0"/>
        <v>0.05</v>
      </c>
    </row>
    <row r="17" spans="1:21" x14ac:dyDescent="0.25">
      <c r="A17" s="12" t="s">
        <v>18</v>
      </c>
      <c r="B17" s="5">
        <f>SUMIFS(Data!$E$2:$E$164,Data!$G$2:$G$164,$A17,Data!$B$2:$B$164,B$4,Data!$I$2:$I$164,"Under Process")/1000</f>
        <v>0</v>
      </c>
      <c r="C17" s="5">
        <f>SUMIFS(Data!$E$2:$E$164,Data!$G$2:$G$164,$A17,Data!$B$2:$B$164,C$4,Data!$I$2:$I$164,"Under Process")/1000</f>
        <v>0</v>
      </c>
      <c r="D17" s="5">
        <f>SUMIFS(Data!$E$2:$E$164,Data!$G$2:$G$164,$A17,Data!$B$2:$B$164,D$4,Data!$I$2:$I$164,"Under Process")/1000</f>
        <v>0</v>
      </c>
      <c r="E17" s="5">
        <f>SUMIFS(Data!$E$2:$E$164,Data!$G$2:$G$164,$A17,Data!$B$2:$B$164,E$4,Data!$I$2:$I$164,"Under Process")/1000</f>
        <v>0</v>
      </c>
      <c r="F17" s="5">
        <f>SUMIFS(Data!$E$2:$E$164,Data!$G$2:$G$164,$A17,Data!$B$2:$B$164,F$4,Data!$I$2:$I$164,"Under Process")/1000</f>
        <v>0</v>
      </c>
      <c r="G17" s="5">
        <f>SUMIFS(Data!$E$2:$E$164,Data!$G$2:$G$164,$A17,Data!$B$2:$B$164,G$4,Data!$I$2:$I$164,"Under Process")/1000</f>
        <v>0</v>
      </c>
      <c r="H17" s="5">
        <f>SUMIFS(Data!$E$2:$E$164,Data!$G$2:$G$164,$A17,Data!$B$2:$B$164,H$4,Data!$I$2:$I$164,"Under Process")/1000</f>
        <v>0</v>
      </c>
      <c r="I17" s="5">
        <f>SUMIFS(Data!$E$2:$E$164,Data!$G$2:$G$164,$A17,Data!$B$2:$B$164,I$4,Data!$I$2:$I$164,"Under Process")/1000</f>
        <v>0</v>
      </c>
      <c r="J17" s="5">
        <f>SUMIFS(Data!$E$2:$E$164,Data!$G$2:$G$164,$A17,Data!$B$2:$B$164,J$4,Data!$I$2:$I$164,"Under Process")/1000</f>
        <v>0</v>
      </c>
      <c r="K17" s="5">
        <f>SUMIFS(Data!$E$2:$E$164,Data!$G$2:$G$164,$A17,Data!$B$2:$B$164,K$4,Data!$I$2:$I$164,"Under Process")/1000</f>
        <v>0</v>
      </c>
      <c r="L17" s="5">
        <f>SUMIFS(Data!$E$2:$E$164,Data!$G$2:$G$164,$A17,Data!$B$2:$B$164,L$4,Data!$I$2:$I$164,"Under Process")/1000</f>
        <v>0</v>
      </c>
      <c r="M17" s="5">
        <f>SUMIFS(Data!$E$2:$E$164,Data!$G$2:$G$164,$A17,Data!$B$2:$B$164,M$4,Data!$I$2:$I$164,"Under Process")/1000</f>
        <v>0</v>
      </c>
      <c r="N17" s="5">
        <f>SUMIFS(Data!$E$2:$E$164,Data!$G$2:$G$164,$A17,Data!$B$2:$B$164,N$4,Data!$I$2:$I$164,"Under Process")/1000</f>
        <v>0</v>
      </c>
      <c r="O17" s="5">
        <f>SUMIFS(Data!$E$2:$E$164,Data!$G$2:$G$164,$A17,Data!$B$2:$B$164,O$4,Data!$I$2:$I$164,"Under Process")/1000</f>
        <v>0</v>
      </c>
      <c r="P17" s="5">
        <f>SUMIFS(Data!$E$2:$E$164,Data!$G$2:$G$164,$A17,Data!$B$2:$B$164,P$4,Data!$I$2:$I$164,"Under Process")/1000</f>
        <v>0</v>
      </c>
      <c r="Q17" s="5">
        <f>SUMIFS(Data!$E$2:$E$164,Data!$G$2:$G$164,$A17,Data!$B$2:$B$164,Q$4,Data!$I$2:$I$164,"Under Process")/1000</f>
        <v>0</v>
      </c>
      <c r="R17" s="5">
        <f>SUMIFS(Data!$E$2:$E$164,Data!$G$2:$G$164,$A17,Data!$B$2:$B$164,R$4,Data!$I$2:$I$164,"Under Process")/1000</f>
        <v>0</v>
      </c>
      <c r="S17" s="5">
        <f>SUMIFS(Data!$E$2:$E$164,Data!$G$2:$G$164,$A17,Data!$B$2:$B$164,S$4,Data!$I$2:$I$164,"Under Process")/1000</f>
        <v>0</v>
      </c>
      <c r="T17" s="5">
        <f>SUMIFS(Data!$E$2:$E$164,Data!$G$2:$G$164,$A17,Data!$B$2:$B$164,T$4,Data!$I$2:$I$164,"Under Process")/1000</f>
        <v>0</v>
      </c>
      <c r="U17" s="7">
        <f t="shared" si="0"/>
        <v>0</v>
      </c>
    </row>
    <row r="18" spans="1:21" x14ac:dyDescent="0.25">
      <c r="A18" s="6" t="s">
        <v>5</v>
      </c>
      <c r="B18" s="13">
        <f t="shared" ref="B18:U18" si="1">SUM(B5:B17)</f>
        <v>14.650000000000002</v>
      </c>
      <c r="C18" s="13">
        <f t="shared" si="1"/>
        <v>10.1</v>
      </c>
      <c r="D18" s="13">
        <f t="shared" si="1"/>
        <v>7.3549999999999995</v>
      </c>
      <c r="E18" s="13">
        <f t="shared" si="1"/>
        <v>3.61</v>
      </c>
      <c r="F18" s="13">
        <f t="shared" si="1"/>
        <v>1.55</v>
      </c>
      <c r="G18" s="13">
        <f t="shared" si="1"/>
        <v>0</v>
      </c>
      <c r="H18" s="13">
        <f t="shared" si="1"/>
        <v>0.64000000000000012</v>
      </c>
      <c r="I18" s="13">
        <f t="shared" si="1"/>
        <v>0.5</v>
      </c>
      <c r="J18" s="13">
        <f t="shared" si="1"/>
        <v>0.5</v>
      </c>
      <c r="K18" s="13">
        <f t="shared" si="1"/>
        <v>0.42499999999999999</v>
      </c>
      <c r="L18" s="13">
        <f t="shared" si="1"/>
        <v>0.05</v>
      </c>
      <c r="M18" s="13">
        <f t="shared" si="1"/>
        <v>0</v>
      </c>
      <c r="N18" s="13">
        <f t="shared" si="1"/>
        <v>0.25</v>
      </c>
      <c r="O18" s="13">
        <f t="shared" si="1"/>
        <v>0.13500000000000001</v>
      </c>
      <c r="P18" s="13">
        <f t="shared" si="1"/>
        <v>0.15</v>
      </c>
      <c r="Q18" s="13">
        <f t="shared" si="1"/>
        <v>0.15</v>
      </c>
      <c r="R18" s="13">
        <f t="shared" si="1"/>
        <v>0</v>
      </c>
      <c r="S18" s="13">
        <f t="shared" si="1"/>
        <v>0.1</v>
      </c>
      <c r="T18" s="13">
        <f t="shared" si="1"/>
        <v>0.05</v>
      </c>
      <c r="U18" s="13">
        <f t="shared" si="1"/>
        <v>40.214999999999989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2" max="20" width="11" customWidth="1"/>
  </cols>
  <sheetData>
    <row r="1" spans="1:21" ht="16.5" x14ac:dyDescent="0.25">
      <c r="A1" s="1" t="s">
        <v>359</v>
      </c>
    </row>
    <row r="4" spans="1:21" ht="42" customHeight="1" x14ac:dyDescent="0.25">
      <c r="A4" s="3" t="s">
        <v>2</v>
      </c>
      <c r="B4" s="11" t="s">
        <v>22</v>
      </c>
      <c r="C4" s="11" t="s">
        <v>23</v>
      </c>
      <c r="D4" s="11" t="s">
        <v>24</v>
      </c>
      <c r="E4" s="11" t="s">
        <v>25</v>
      </c>
      <c r="F4" s="11" t="s">
        <v>26</v>
      </c>
      <c r="G4" s="11" t="s">
        <v>27</v>
      </c>
      <c r="H4" s="11" t="s">
        <v>28</v>
      </c>
      <c r="I4" s="11" t="s">
        <v>29</v>
      </c>
      <c r="J4" s="11" t="s">
        <v>30</v>
      </c>
      <c r="K4" s="11" t="s">
        <v>31</v>
      </c>
      <c r="L4" s="11" t="s">
        <v>32</v>
      </c>
      <c r="M4" s="11" t="s">
        <v>33</v>
      </c>
      <c r="N4" s="11" t="s">
        <v>34</v>
      </c>
      <c r="O4" s="11" t="s">
        <v>35</v>
      </c>
      <c r="P4" s="11" t="s">
        <v>36</v>
      </c>
      <c r="Q4" s="11" t="s">
        <v>37</v>
      </c>
      <c r="R4" s="11" t="s">
        <v>38</v>
      </c>
      <c r="S4" s="11" t="s">
        <v>39</v>
      </c>
      <c r="T4" s="11" t="s">
        <v>40</v>
      </c>
      <c r="U4" s="3" t="s">
        <v>5</v>
      </c>
    </row>
    <row r="5" spans="1:21" x14ac:dyDescent="0.25">
      <c r="A5" s="12" t="s">
        <v>6</v>
      </c>
      <c r="B5" s="5">
        <f>SUMIFS(Data!$E$2:$E$164,Data!$G$2:$G$164,$A5,Data!$B$2:$B$164,B$4,Data!$I$2:$I$164,"Approved")/1000</f>
        <v>0</v>
      </c>
      <c r="C5" s="5">
        <f>SUMIFS(Data!$E$2:$E$164,Data!$G$2:$G$164,$A5,Data!$B$2:$B$164,C$4,Data!$I$2:$I$164,"Approved")/1000</f>
        <v>0</v>
      </c>
      <c r="D5" s="5">
        <f>SUMIFS(Data!$E$2:$E$164,Data!$G$2:$G$164,$A5,Data!$B$2:$B$164,D$4,Data!$I$2:$I$164,"Approved")/1000</f>
        <v>1.1399999999999999</v>
      </c>
      <c r="E5" s="5">
        <f>SUMIFS(Data!$E$2:$E$164,Data!$G$2:$G$164,$A5,Data!$B$2:$B$164,E$4,Data!$I$2:$I$164,"Approved")/1000</f>
        <v>0</v>
      </c>
      <c r="F5" s="5">
        <f>SUMIFS(Data!$E$2:$E$164,Data!$G$2:$G$164,$A5,Data!$B$2:$B$164,F$4,Data!$I$2:$I$164,"Approved")/1000</f>
        <v>0</v>
      </c>
      <c r="G5" s="5">
        <f>SUMIFS(Data!$E$2:$E$164,Data!$G$2:$G$164,$A5,Data!$B$2:$B$164,G$4,Data!$I$2:$I$164,"Approved")/1000</f>
        <v>0.48699999999999999</v>
      </c>
      <c r="H5" s="5">
        <f>SUMIFS(Data!$E$2:$E$164,Data!$G$2:$G$164,$A5,Data!$B$2:$B$164,H$4,Data!$I$2:$I$164,"Approved")/1000</f>
        <v>0</v>
      </c>
      <c r="I5" s="5">
        <f>SUMIFS(Data!$E$2:$E$164,Data!$G$2:$G$164,$A5,Data!$B$2:$B$164,I$4,Data!$I$2:$I$164,"Approved")/1000</f>
        <v>0</v>
      </c>
      <c r="J5" s="5">
        <f>SUMIFS(Data!$E$2:$E$164,Data!$G$2:$G$164,$A5,Data!$B$2:$B$164,J$4,Data!$I$2:$I$164,"Approved")/1000</f>
        <v>0</v>
      </c>
      <c r="K5" s="5">
        <f>SUMIFS(Data!$E$2:$E$164,Data!$G$2:$G$164,$A5,Data!$B$2:$B$164,K$4,Data!$I$2:$I$164,"Approved")/1000</f>
        <v>0</v>
      </c>
      <c r="L5" s="5">
        <f>SUMIFS(Data!$E$2:$E$164,Data!$G$2:$G$164,$A5,Data!$B$2:$B$164,L$4,Data!$I$2:$I$164,"Approved")/1000</f>
        <v>0</v>
      </c>
      <c r="M5" s="5">
        <f>SUMIFS(Data!$E$2:$E$164,Data!$G$2:$G$164,$A5,Data!$B$2:$B$164,M$4,Data!$I$2:$I$164,"Approved")/1000</f>
        <v>0</v>
      </c>
      <c r="N5" s="5">
        <f>SUMIFS(Data!$E$2:$E$164,Data!$G$2:$G$164,$A5,Data!$B$2:$B$164,N$4,Data!$I$2:$I$164,"Approved")/1000</f>
        <v>0</v>
      </c>
      <c r="O5" s="5">
        <f>SUMIFS(Data!$E$2:$E$164,Data!$G$2:$G$164,$A5,Data!$B$2:$B$164,O$4,Data!$I$2:$I$164,"Approved")/1000</f>
        <v>0</v>
      </c>
      <c r="P5" s="5">
        <f>SUMIFS(Data!$E$2:$E$164,Data!$G$2:$G$164,$A5,Data!$B$2:$B$164,P$4,Data!$I$2:$I$164,"Approved")/1000</f>
        <v>0</v>
      </c>
      <c r="Q5" s="5">
        <f>SUMIFS(Data!$E$2:$E$164,Data!$G$2:$G$164,$A5,Data!$B$2:$B$164,Q$4,Data!$I$2:$I$164,"Approved")/1000</f>
        <v>0</v>
      </c>
      <c r="R5" s="5">
        <f>SUMIFS(Data!$E$2:$E$164,Data!$G$2:$G$164,$A5,Data!$B$2:$B$164,R$4,Data!$I$2:$I$164,"Approved")/1000</f>
        <v>0</v>
      </c>
      <c r="S5" s="5">
        <f>SUMIFS(Data!$E$2:$E$164,Data!$G$2:$G$164,$A5,Data!$B$2:$B$164,S$4,Data!$I$2:$I$164,"Approved")/1000</f>
        <v>0</v>
      </c>
      <c r="T5" s="5">
        <f>SUMIFS(Data!$E$2:$E$164,Data!$G$2:$G$164,$A5,Data!$B$2:$B$164,T$4,Data!$I$2:$I$164,"Approved")/1000</f>
        <v>0</v>
      </c>
      <c r="U5" s="7">
        <f t="shared" ref="U5:U17" si="0">SUM(B5:T5)</f>
        <v>1.6269999999999998</v>
      </c>
    </row>
    <row r="6" spans="1:21" x14ac:dyDescent="0.25">
      <c r="A6" s="12" t="s">
        <v>7</v>
      </c>
      <c r="B6" s="5">
        <f>SUMIFS(Data!$E$2:$E$164,Data!$G$2:$G$164,$A6,Data!$B$2:$B$164,B$4,Data!$I$2:$I$164,"Approved")/1000</f>
        <v>0</v>
      </c>
      <c r="C6" s="5">
        <f>SUMIFS(Data!$E$2:$E$164,Data!$G$2:$G$164,$A6,Data!$B$2:$B$164,C$4,Data!$I$2:$I$164,"Approved")/1000</f>
        <v>0</v>
      </c>
      <c r="D6" s="5">
        <f>SUMIFS(Data!$E$2:$E$164,Data!$G$2:$G$164,$A6,Data!$B$2:$B$164,D$4,Data!$I$2:$I$164,"Approved")/1000</f>
        <v>0</v>
      </c>
      <c r="E6" s="5">
        <f>SUMIFS(Data!$E$2:$E$164,Data!$G$2:$G$164,$A6,Data!$B$2:$B$164,E$4,Data!$I$2:$I$164,"Approved")/1000</f>
        <v>0</v>
      </c>
      <c r="F6" s="5">
        <f>SUMIFS(Data!$E$2:$E$164,Data!$G$2:$G$164,$A6,Data!$B$2:$B$164,F$4,Data!$I$2:$I$164,"Approved")/1000</f>
        <v>0</v>
      </c>
      <c r="G6" s="5">
        <f>SUMIFS(Data!$E$2:$E$164,Data!$G$2:$G$164,$A6,Data!$B$2:$B$164,G$4,Data!$I$2:$I$164,"Approved")/1000</f>
        <v>0.432</v>
      </c>
      <c r="H6" s="5">
        <f>SUMIFS(Data!$E$2:$E$164,Data!$G$2:$G$164,$A6,Data!$B$2:$B$164,H$4,Data!$I$2:$I$164,"Approved")/1000</f>
        <v>0</v>
      </c>
      <c r="I6" s="5">
        <f>SUMIFS(Data!$E$2:$E$164,Data!$G$2:$G$164,$A6,Data!$B$2:$B$164,I$4,Data!$I$2:$I$164,"Approved")/1000</f>
        <v>0</v>
      </c>
      <c r="J6" s="5">
        <f>SUMIFS(Data!$E$2:$E$164,Data!$G$2:$G$164,$A6,Data!$B$2:$B$164,J$4,Data!$I$2:$I$164,"Approved")/1000</f>
        <v>0</v>
      </c>
      <c r="K6" s="5">
        <f>SUMIFS(Data!$E$2:$E$164,Data!$G$2:$G$164,$A6,Data!$B$2:$B$164,K$4,Data!$I$2:$I$164,"Approved")/1000</f>
        <v>0</v>
      </c>
      <c r="L6" s="5">
        <f>SUMIFS(Data!$E$2:$E$164,Data!$G$2:$G$164,$A6,Data!$B$2:$B$164,L$4,Data!$I$2:$I$164,"Approved")/1000</f>
        <v>0</v>
      </c>
      <c r="M6" s="5">
        <f>SUMIFS(Data!$E$2:$E$164,Data!$G$2:$G$164,$A6,Data!$B$2:$B$164,M$4,Data!$I$2:$I$164,"Approved")/1000</f>
        <v>0</v>
      </c>
      <c r="N6" s="5">
        <f>SUMIFS(Data!$E$2:$E$164,Data!$G$2:$G$164,$A6,Data!$B$2:$B$164,N$4,Data!$I$2:$I$164,"Approved")/1000</f>
        <v>0</v>
      </c>
      <c r="O6" s="5">
        <f>SUMIFS(Data!$E$2:$E$164,Data!$G$2:$G$164,$A6,Data!$B$2:$B$164,O$4,Data!$I$2:$I$164,"Approved")/1000</f>
        <v>0</v>
      </c>
      <c r="P6" s="5">
        <f>SUMIFS(Data!$E$2:$E$164,Data!$G$2:$G$164,$A6,Data!$B$2:$B$164,P$4,Data!$I$2:$I$164,"Approved")/1000</f>
        <v>0</v>
      </c>
      <c r="Q6" s="5">
        <f>SUMIFS(Data!$E$2:$E$164,Data!$G$2:$G$164,$A6,Data!$B$2:$B$164,Q$4,Data!$I$2:$I$164,"Approved")/1000</f>
        <v>0</v>
      </c>
      <c r="R6" s="5">
        <f>SUMIFS(Data!$E$2:$E$164,Data!$G$2:$G$164,$A6,Data!$B$2:$B$164,R$4,Data!$I$2:$I$164,"Approved")/1000</f>
        <v>0</v>
      </c>
      <c r="S6" s="5">
        <f>SUMIFS(Data!$E$2:$E$164,Data!$G$2:$G$164,$A6,Data!$B$2:$B$164,S$4,Data!$I$2:$I$164,"Approved")/1000</f>
        <v>0</v>
      </c>
      <c r="T6" s="5">
        <f>SUMIFS(Data!$E$2:$E$164,Data!$G$2:$G$164,$A6,Data!$B$2:$B$164,T$4,Data!$I$2:$I$164,"Approved")/1000</f>
        <v>0</v>
      </c>
      <c r="U6" s="7">
        <f t="shared" si="0"/>
        <v>0.432</v>
      </c>
    </row>
    <row r="7" spans="1:21" x14ac:dyDescent="0.25">
      <c r="A7" s="12" t="s">
        <v>8</v>
      </c>
      <c r="B7" s="5">
        <f>SUMIFS(Data!$E$2:$E$164,Data!$G$2:$G$164,$A7,Data!$B$2:$B$164,B$4,Data!$I$2:$I$164,"Approved")/1000</f>
        <v>0</v>
      </c>
      <c r="C7" s="5">
        <f>SUMIFS(Data!$E$2:$E$164,Data!$G$2:$G$164,$A7,Data!$B$2:$B$164,C$4,Data!$I$2:$I$164,"Approved")/1000</f>
        <v>0</v>
      </c>
      <c r="D7" s="5">
        <f>SUMIFS(Data!$E$2:$E$164,Data!$G$2:$G$164,$A7,Data!$B$2:$B$164,D$4,Data!$I$2:$I$164,"Approved")/1000</f>
        <v>0</v>
      </c>
      <c r="E7" s="5">
        <f>SUMIFS(Data!$E$2:$E$164,Data!$G$2:$G$164,$A7,Data!$B$2:$B$164,E$4,Data!$I$2:$I$164,"Approved")/1000</f>
        <v>0</v>
      </c>
      <c r="F7" s="5">
        <f>SUMIFS(Data!$E$2:$E$164,Data!$G$2:$G$164,$A7,Data!$B$2:$B$164,F$4,Data!$I$2:$I$164,"Approved")/1000</f>
        <v>0</v>
      </c>
      <c r="G7" s="5">
        <f>SUMIFS(Data!$E$2:$E$164,Data!$G$2:$G$164,$A7,Data!$B$2:$B$164,G$4,Data!$I$2:$I$164,"Approved")/1000</f>
        <v>0</v>
      </c>
      <c r="H7" s="5">
        <f>SUMIFS(Data!$E$2:$E$164,Data!$G$2:$G$164,$A7,Data!$B$2:$B$164,H$4,Data!$I$2:$I$164,"Approved")/1000</f>
        <v>0</v>
      </c>
      <c r="I7" s="5">
        <f>SUMIFS(Data!$E$2:$E$164,Data!$G$2:$G$164,$A7,Data!$B$2:$B$164,I$4,Data!$I$2:$I$164,"Approved")/1000</f>
        <v>0</v>
      </c>
      <c r="J7" s="5">
        <f>SUMIFS(Data!$E$2:$E$164,Data!$G$2:$G$164,$A7,Data!$B$2:$B$164,J$4,Data!$I$2:$I$164,"Approved")/1000</f>
        <v>0</v>
      </c>
      <c r="K7" s="5">
        <f>SUMIFS(Data!$E$2:$E$164,Data!$G$2:$G$164,$A7,Data!$B$2:$B$164,K$4,Data!$I$2:$I$164,"Approved")/1000</f>
        <v>0</v>
      </c>
      <c r="L7" s="5">
        <f>SUMIFS(Data!$E$2:$E$164,Data!$G$2:$G$164,$A7,Data!$B$2:$B$164,L$4,Data!$I$2:$I$164,"Approved")/1000</f>
        <v>0</v>
      </c>
      <c r="M7" s="5">
        <f>SUMIFS(Data!$E$2:$E$164,Data!$G$2:$G$164,$A7,Data!$B$2:$B$164,M$4,Data!$I$2:$I$164,"Approved")/1000</f>
        <v>0</v>
      </c>
      <c r="N7" s="5">
        <f>SUMIFS(Data!$E$2:$E$164,Data!$G$2:$G$164,$A7,Data!$B$2:$B$164,N$4,Data!$I$2:$I$164,"Approved")/1000</f>
        <v>0</v>
      </c>
      <c r="O7" s="5">
        <f>SUMIFS(Data!$E$2:$E$164,Data!$G$2:$G$164,$A7,Data!$B$2:$B$164,O$4,Data!$I$2:$I$164,"Approved")/1000</f>
        <v>0</v>
      </c>
      <c r="P7" s="5">
        <f>SUMIFS(Data!$E$2:$E$164,Data!$G$2:$G$164,$A7,Data!$B$2:$B$164,P$4,Data!$I$2:$I$164,"Approved")/1000</f>
        <v>0</v>
      </c>
      <c r="Q7" s="5">
        <f>SUMIFS(Data!$E$2:$E$164,Data!$G$2:$G$164,$A7,Data!$B$2:$B$164,Q$4,Data!$I$2:$I$164,"Approved")/1000</f>
        <v>0</v>
      </c>
      <c r="R7" s="5">
        <f>SUMIFS(Data!$E$2:$E$164,Data!$G$2:$G$164,$A7,Data!$B$2:$B$164,R$4,Data!$I$2:$I$164,"Approved")/1000</f>
        <v>0</v>
      </c>
      <c r="S7" s="5">
        <f>SUMIFS(Data!$E$2:$E$164,Data!$G$2:$G$164,$A7,Data!$B$2:$B$164,S$4,Data!$I$2:$I$164,"Approved")/1000</f>
        <v>0</v>
      </c>
      <c r="T7" s="5">
        <f>SUMIFS(Data!$E$2:$E$164,Data!$G$2:$G$164,$A7,Data!$B$2:$B$164,T$4,Data!$I$2:$I$164,"Approved")/1000</f>
        <v>0</v>
      </c>
      <c r="U7" s="7">
        <f t="shared" si="0"/>
        <v>0</v>
      </c>
    </row>
    <row r="8" spans="1:21" x14ac:dyDescent="0.25">
      <c r="A8" s="12" t="s">
        <v>9</v>
      </c>
      <c r="B8" s="5">
        <f>SUMIFS(Data!$E$2:$E$164,Data!$G$2:$G$164,$A8,Data!$B$2:$B$164,B$4,Data!$I$2:$I$164,"Approved")/1000</f>
        <v>0</v>
      </c>
      <c r="C8" s="5">
        <f>SUMIFS(Data!$E$2:$E$164,Data!$G$2:$G$164,$A8,Data!$B$2:$B$164,C$4,Data!$I$2:$I$164,"Approved")/1000</f>
        <v>0</v>
      </c>
      <c r="D8" s="5">
        <f>SUMIFS(Data!$E$2:$E$164,Data!$G$2:$G$164,$A8,Data!$B$2:$B$164,D$4,Data!$I$2:$I$164,"Approved")/1000</f>
        <v>0</v>
      </c>
      <c r="E8" s="5">
        <f>SUMIFS(Data!$E$2:$E$164,Data!$G$2:$G$164,$A8,Data!$B$2:$B$164,E$4,Data!$I$2:$I$164,"Approved")/1000</f>
        <v>0</v>
      </c>
      <c r="F8" s="5">
        <f>SUMIFS(Data!$E$2:$E$164,Data!$G$2:$G$164,$A8,Data!$B$2:$B$164,F$4,Data!$I$2:$I$164,"Approved")/1000</f>
        <v>0</v>
      </c>
      <c r="G8" s="5">
        <f>SUMIFS(Data!$E$2:$E$164,Data!$G$2:$G$164,$A8,Data!$B$2:$B$164,G$4,Data!$I$2:$I$164,"Approved")/1000</f>
        <v>0</v>
      </c>
      <c r="H8" s="5">
        <f>SUMIFS(Data!$E$2:$E$164,Data!$G$2:$G$164,$A8,Data!$B$2:$B$164,H$4,Data!$I$2:$I$164,"Approved")/1000</f>
        <v>0</v>
      </c>
      <c r="I8" s="5">
        <f>SUMIFS(Data!$E$2:$E$164,Data!$G$2:$G$164,$A8,Data!$B$2:$B$164,I$4,Data!$I$2:$I$164,"Approved")/1000</f>
        <v>0</v>
      </c>
      <c r="J8" s="5">
        <f>SUMIFS(Data!$E$2:$E$164,Data!$G$2:$G$164,$A8,Data!$B$2:$B$164,J$4,Data!$I$2:$I$164,"Approved")/1000</f>
        <v>0</v>
      </c>
      <c r="K8" s="5">
        <f>SUMIFS(Data!$E$2:$E$164,Data!$G$2:$G$164,$A8,Data!$B$2:$B$164,K$4,Data!$I$2:$I$164,"Approved")/1000</f>
        <v>0</v>
      </c>
      <c r="L8" s="5">
        <f>SUMIFS(Data!$E$2:$E$164,Data!$G$2:$G$164,$A8,Data!$B$2:$B$164,L$4,Data!$I$2:$I$164,"Approved")/1000</f>
        <v>0</v>
      </c>
      <c r="M8" s="5">
        <f>SUMIFS(Data!$E$2:$E$164,Data!$G$2:$G$164,$A8,Data!$B$2:$B$164,M$4,Data!$I$2:$I$164,"Approved")/1000</f>
        <v>0</v>
      </c>
      <c r="N8" s="5">
        <f>SUMIFS(Data!$E$2:$E$164,Data!$G$2:$G$164,$A8,Data!$B$2:$B$164,N$4,Data!$I$2:$I$164,"Approved")/1000</f>
        <v>0</v>
      </c>
      <c r="O8" s="5">
        <f>SUMIFS(Data!$E$2:$E$164,Data!$G$2:$G$164,$A8,Data!$B$2:$B$164,O$4,Data!$I$2:$I$164,"Approved")/1000</f>
        <v>0</v>
      </c>
      <c r="P8" s="5">
        <f>SUMIFS(Data!$E$2:$E$164,Data!$G$2:$G$164,$A8,Data!$B$2:$B$164,P$4,Data!$I$2:$I$164,"Approved")/1000</f>
        <v>0</v>
      </c>
      <c r="Q8" s="5">
        <f>SUMIFS(Data!$E$2:$E$164,Data!$G$2:$G$164,$A8,Data!$B$2:$B$164,Q$4,Data!$I$2:$I$164,"Approved")/1000</f>
        <v>0</v>
      </c>
      <c r="R8" s="5">
        <f>SUMIFS(Data!$E$2:$E$164,Data!$G$2:$G$164,$A8,Data!$B$2:$B$164,R$4,Data!$I$2:$I$164,"Approved")/1000</f>
        <v>0</v>
      </c>
      <c r="S8" s="5">
        <f>SUMIFS(Data!$E$2:$E$164,Data!$G$2:$G$164,$A8,Data!$B$2:$B$164,S$4,Data!$I$2:$I$164,"Approved")/1000</f>
        <v>0</v>
      </c>
      <c r="T8" s="5">
        <f>SUMIFS(Data!$E$2:$E$164,Data!$G$2:$G$164,$A8,Data!$B$2:$B$164,T$4,Data!$I$2:$I$164,"Approved")/1000</f>
        <v>0</v>
      </c>
      <c r="U8" s="7">
        <f t="shared" si="0"/>
        <v>0</v>
      </c>
    </row>
    <row r="9" spans="1:21" x14ac:dyDescent="0.25">
      <c r="A9" s="12" t="s">
        <v>10</v>
      </c>
      <c r="B9" s="5">
        <f>SUMIFS(Data!$E$2:$E$164,Data!$G$2:$G$164,$A9,Data!$B$2:$B$164,B$4,Data!$I$2:$I$164,"Approved")/1000</f>
        <v>0</v>
      </c>
      <c r="C9" s="5">
        <f>SUMIFS(Data!$E$2:$E$164,Data!$G$2:$G$164,$A9,Data!$B$2:$B$164,C$4,Data!$I$2:$I$164,"Approved")/1000</f>
        <v>0</v>
      </c>
      <c r="D9" s="5">
        <f>SUMIFS(Data!$E$2:$E$164,Data!$G$2:$G$164,$A9,Data!$B$2:$B$164,D$4,Data!$I$2:$I$164,"Approved")/1000</f>
        <v>1.468</v>
      </c>
      <c r="E9" s="5">
        <f>SUMIFS(Data!$E$2:$E$164,Data!$G$2:$G$164,$A9,Data!$B$2:$B$164,E$4,Data!$I$2:$I$164,"Approved")/1000</f>
        <v>0</v>
      </c>
      <c r="F9" s="5">
        <f>SUMIFS(Data!$E$2:$E$164,Data!$G$2:$G$164,$A9,Data!$B$2:$B$164,F$4,Data!$I$2:$I$164,"Approved")/1000</f>
        <v>0</v>
      </c>
      <c r="G9" s="5">
        <f>SUMIFS(Data!$E$2:$E$164,Data!$G$2:$G$164,$A9,Data!$B$2:$B$164,G$4,Data!$I$2:$I$164,"Approved")/1000</f>
        <v>0</v>
      </c>
      <c r="H9" s="5">
        <f>SUMIFS(Data!$E$2:$E$164,Data!$G$2:$G$164,$A9,Data!$B$2:$B$164,H$4,Data!$I$2:$I$164,"Approved")/1000</f>
        <v>0</v>
      </c>
      <c r="I9" s="5">
        <f>SUMIFS(Data!$E$2:$E$164,Data!$G$2:$G$164,$A9,Data!$B$2:$B$164,I$4,Data!$I$2:$I$164,"Approved")/1000</f>
        <v>0</v>
      </c>
      <c r="J9" s="5">
        <f>SUMIFS(Data!$E$2:$E$164,Data!$G$2:$G$164,$A9,Data!$B$2:$B$164,J$4,Data!$I$2:$I$164,"Approved")/1000</f>
        <v>0</v>
      </c>
      <c r="K9" s="5">
        <f>SUMIFS(Data!$E$2:$E$164,Data!$G$2:$G$164,$A9,Data!$B$2:$B$164,K$4,Data!$I$2:$I$164,"Approved")/1000</f>
        <v>0</v>
      </c>
      <c r="L9" s="5">
        <f>SUMIFS(Data!$E$2:$E$164,Data!$G$2:$G$164,$A9,Data!$B$2:$B$164,L$4,Data!$I$2:$I$164,"Approved")/1000</f>
        <v>0</v>
      </c>
      <c r="M9" s="5">
        <f>SUMIFS(Data!$E$2:$E$164,Data!$G$2:$G$164,$A9,Data!$B$2:$B$164,M$4,Data!$I$2:$I$164,"Approved")/1000</f>
        <v>0</v>
      </c>
      <c r="N9" s="5">
        <f>SUMIFS(Data!$E$2:$E$164,Data!$G$2:$G$164,$A9,Data!$B$2:$B$164,N$4,Data!$I$2:$I$164,"Approved")/1000</f>
        <v>0</v>
      </c>
      <c r="O9" s="5">
        <f>SUMIFS(Data!$E$2:$E$164,Data!$G$2:$G$164,$A9,Data!$B$2:$B$164,O$4,Data!$I$2:$I$164,"Approved")/1000</f>
        <v>0.05</v>
      </c>
      <c r="P9" s="5">
        <f>SUMIFS(Data!$E$2:$E$164,Data!$G$2:$G$164,$A9,Data!$B$2:$B$164,P$4,Data!$I$2:$I$164,"Approved")/1000</f>
        <v>0</v>
      </c>
      <c r="Q9" s="5">
        <f>SUMIFS(Data!$E$2:$E$164,Data!$G$2:$G$164,$A9,Data!$B$2:$B$164,Q$4,Data!$I$2:$I$164,"Approved")/1000</f>
        <v>0</v>
      </c>
      <c r="R9" s="5">
        <f>SUMIFS(Data!$E$2:$E$164,Data!$G$2:$G$164,$A9,Data!$B$2:$B$164,R$4,Data!$I$2:$I$164,"Approved")/1000</f>
        <v>0</v>
      </c>
      <c r="S9" s="5">
        <f>SUMIFS(Data!$E$2:$E$164,Data!$G$2:$G$164,$A9,Data!$B$2:$B$164,S$4,Data!$I$2:$I$164,"Approved")/1000</f>
        <v>0</v>
      </c>
      <c r="T9" s="5">
        <f>SUMIFS(Data!$E$2:$E$164,Data!$G$2:$G$164,$A9,Data!$B$2:$B$164,T$4,Data!$I$2:$I$164,"Approved")/1000</f>
        <v>0</v>
      </c>
      <c r="U9" s="7">
        <f t="shared" si="0"/>
        <v>1.518</v>
      </c>
    </row>
    <row r="10" spans="1:21" x14ac:dyDescent="0.25">
      <c r="A10" s="12" t="s">
        <v>11</v>
      </c>
      <c r="B10" s="5">
        <f>SUMIFS(Data!$E$2:$E$164,Data!$G$2:$G$164,$A10,Data!$B$2:$B$164,B$4,Data!$I$2:$I$164,"Approved")/1000</f>
        <v>0</v>
      </c>
      <c r="C10" s="5">
        <f>SUMIFS(Data!$E$2:$E$164,Data!$G$2:$G$164,$A10,Data!$B$2:$B$164,C$4,Data!$I$2:$I$164,"Approved")/1000</f>
        <v>0</v>
      </c>
      <c r="D10" s="5">
        <f>SUMIFS(Data!$E$2:$E$164,Data!$G$2:$G$164,$A10,Data!$B$2:$B$164,D$4,Data!$I$2:$I$164,"Approved")/1000</f>
        <v>0</v>
      </c>
      <c r="E10" s="5">
        <f>SUMIFS(Data!$E$2:$E$164,Data!$G$2:$G$164,$A10,Data!$B$2:$B$164,E$4,Data!$I$2:$I$164,"Approved")/1000</f>
        <v>0</v>
      </c>
      <c r="F10" s="5">
        <f>SUMIFS(Data!$E$2:$E$164,Data!$G$2:$G$164,$A10,Data!$B$2:$B$164,F$4,Data!$I$2:$I$164,"Approved")/1000</f>
        <v>0</v>
      </c>
      <c r="G10" s="5">
        <f>SUMIFS(Data!$E$2:$E$164,Data!$G$2:$G$164,$A10,Data!$B$2:$B$164,G$4,Data!$I$2:$I$164,"Approved")/1000</f>
        <v>0</v>
      </c>
      <c r="H10" s="5">
        <f>SUMIFS(Data!$E$2:$E$164,Data!$G$2:$G$164,$A10,Data!$B$2:$B$164,H$4,Data!$I$2:$I$164,"Approved")/1000</f>
        <v>0</v>
      </c>
      <c r="I10" s="5">
        <f>SUMIFS(Data!$E$2:$E$164,Data!$G$2:$G$164,$A10,Data!$B$2:$B$164,I$4,Data!$I$2:$I$164,"Approved")/1000</f>
        <v>0</v>
      </c>
      <c r="J10" s="5">
        <f>SUMIFS(Data!$E$2:$E$164,Data!$G$2:$G$164,$A10,Data!$B$2:$B$164,J$4,Data!$I$2:$I$164,"Approved")/1000</f>
        <v>0</v>
      </c>
      <c r="K10" s="5">
        <f>SUMIFS(Data!$E$2:$E$164,Data!$G$2:$G$164,$A10,Data!$B$2:$B$164,K$4,Data!$I$2:$I$164,"Approved")/1000</f>
        <v>0</v>
      </c>
      <c r="L10" s="5">
        <f>SUMIFS(Data!$E$2:$E$164,Data!$G$2:$G$164,$A10,Data!$B$2:$B$164,L$4,Data!$I$2:$I$164,"Approved")/1000</f>
        <v>0.22</v>
      </c>
      <c r="M10" s="5">
        <f>SUMIFS(Data!$E$2:$E$164,Data!$G$2:$G$164,$A10,Data!$B$2:$B$164,M$4,Data!$I$2:$I$164,"Approved")/1000</f>
        <v>0</v>
      </c>
      <c r="N10" s="5">
        <f>SUMIFS(Data!$E$2:$E$164,Data!$G$2:$G$164,$A10,Data!$B$2:$B$164,N$4,Data!$I$2:$I$164,"Approved")/1000</f>
        <v>0</v>
      </c>
      <c r="O10" s="5">
        <f>SUMIFS(Data!$E$2:$E$164,Data!$G$2:$G$164,$A10,Data!$B$2:$B$164,O$4,Data!$I$2:$I$164,"Approved")/1000</f>
        <v>0</v>
      </c>
      <c r="P10" s="5">
        <f>SUMIFS(Data!$E$2:$E$164,Data!$G$2:$G$164,$A10,Data!$B$2:$B$164,P$4,Data!$I$2:$I$164,"Approved")/1000</f>
        <v>0</v>
      </c>
      <c r="Q10" s="5">
        <f>SUMIFS(Data!$E$2:$E$164,Data!$G$2:$G$164,$A10,Data!$B$2:$B$164,Q$4,Data!$I$2:$I$164,"Approved")/1000</f>
        <v>0</v>
      </c>
      <c r="R10" s="5">
        <f>SUMIFS(Data!$E$2:$E$164,Data!$G$2:$G$164,$A10,Data!$B$2:$B$164,R$4,Data!$I$2:$I$164,"Approved")/1000</f>
        <v>0</v>
      </c>
      <c r="S10" s="5">
        <f>SUMIFS(Data!$E$2:$E$164,Data!$G$2:$G$164,$A10,Data!$B$2:$B$164,S$4,Data!$I$2:$I$164,"Approved")/1000</f>
        <v>0</v>
      </c>
      <c r="T10" s="5">
        <f>SUMIFS(Data!$E$2:$E$164,Data!$G$2:$G$164,$A10,Data!$B$2:$B$164,T$4,Data!$I$2:$I$164,"Approved")/1000</f>
        <v>0</v>
      </c>
      <c r="U10" s="7">
        <f t="shared" si="0"/>
        <v>0.22</v>
      </c>
    </row>
    <row r="11" spans="1:21" x14ac:dyDescent="0.25">
      <c r="A11" s="12" t="s">
        <v>12</v>
      </c>
      <c r="B11" s="5">
        <f>SUMIFS(Data!$E$2:$E$164,Data!$G$2:$G$164,$A11,Data!$B$2:$B$164,B$4,Data!$I$2:$I$164,"Approved")/1000</f>
        <v>0</v>
      </c>
      <c r="C11" s="5">
        <f>SUMIFS(Data!$E$2:$E$164,Data!$G$2:$G$164,$A11,Data!$B$2:$B$164,C$4,Data!$I$2:$I$164,"Approved")/1000</f>
        <v>0</v>
      </c>
      <c r="D11" s="5">
        <f>SUMIFS(Data!$E$2:$E$164,Data!$G$2:$G$164,$A11,Data!$B$2:$B$164,D$4,Data!$I$2:$I$164,"Approved")/1000</f>
        <v>0</v>
      </c>
      <c r="E11" s="5">
        <f>SUMIFS(Data!$E$2:$E$164,Data!$G$2:$G$164,$A11,Data!$B$2:$B$164,E$4,Data!$I$2:$I$164,"Approved")/1000</f>
        <v>0</v>
      </c>
      <c r="F11" s="5">
        <f>SUMIFS(Data!$E$2:$E$164,Data!$G$2:$G$164,$A11,Data!$B$2:$B$164,F$4,Data!$I$2:$I$164,"Approved")/1000</f>
        <v>0</v>
      </c>
      <c r="G11" s="5">
        <f>SUMIFS(Data!$E$2:$E$164,Data!$G$2:$G$164,$A11,Data!$B$2:$B$164,G$4,Data!$I$2:$I$164,"Approved")/1000</f>
        <v>0</v>
      </c>
      <c r="H11" s="5">
        <f>SUMIFS(Data!$E$2:$E$164,Data!$G$2:$G$164,$A11,Data!$B$2:$B$164,H$4,Data!$I$2:$I$164,"Approved")/1000</f>
        <v>0</v>
      </c>
      <c r="I11" s="5">
        <f>SUMIFS(Data!$E$2:$E$164,Data!$G$2:$G$164,$A11,Data!$B$2:$B$164,I$4,Data!$I$2:$I$164,"Approved")/1000</f>
        <v>0</v>
      </c>
      <c r="J11" s="5">
        <f>SUMIFS(Data!$E$2:$E$164,Data!$G$2:$G$164,$A11,Data!$B$2:$B$164,J$4,Data!$I$2:$I$164,"Approved")/1000</f>
        <v>0</v>
      </c>
      <c r="K11" s="5">
        <f>SUMIFS(Data!$E$2:$E$164,Data!$G$2:$G$164,$A11,Data!$B$2:$B$164,K$4,Data!$I$2:$I$164,"Approved")/1000</f>
        <v>0</v>
      </c>
      <c r="L11" s="5">
        <f>SUMIFS(Data!$E$2:$E$164,Data!$G$2:$G$164,$A11,Data!$B$2:$B$164,L$4,Data!$I$2:$I$164,"Approved")/1000</f>
        <v>0</v>
      </c>
      <c r="M11" s="5">
        <f>SUMIFS(Data!$E$2:$E$164,Data!$G$2:$G$164,$A11,Data!$B$2:$B$164,M$4,Data!$I$2:$I$164,"Approved")/1000</f>
        <v>0.26</v>
      </c>
      <c r="N11" s="5">
        <f>SUMIFS(Data!$E$2:$E$164,Data!$G$2:$G$164,$A11,Data!$B$2:$B$164,N$4,Data!$I$2:$I$164,"Approved")/1000</f>
        <v>0</v>
      </c>
      <c r="O11" s="5">
        <f>SUMIFS(Data!$E$2:$E$164,Data!$G$2:$G$164,$A11,Data!$B$2:$B$164,O$4,Data!$I$2:$I$164,"Approved")/1000</f>
        <v>0</v>
      </c>
      <c r="P11" s="5">
        <f>SUMIFS(Data!$E$2:$E$164,Data!$G$2:$G$164,$A11,Data!$B$2:$B$164,P$4,Data!$I$2:$I$164,"Approved")/1000</f>
        <v>0</v>
      </c>
      <c r="Q11" s="5">
        <f>SUMIFS(Data!$E$2:$E$164,Data!$G$2:$G$164,$A11,Data!$B$2:$B$164,Q$4,Data!$I$2:$I$164,"Approved")/1000</f>
        <v>0</v>
      </c>
      <c r="R11" s="5">
        <f>SUMIFS(Data!$E$2:$E$164,Data!$G$2:$G$164,$A11,Data!$B$2:$B$164,R$4,Data!$I$2:$I$164,"Approved")/1000</f>
        <v>0.1</v>
      </c>
      <c r="S11" s="5">
        <f>SUMIFS(Data!$E$2:$E$164,Data!$G$2:$G$164,$A11,Data!$B$2:$B$164,S$4,Data!$I$2:$I$164,"Approved")/1000</f>
        <v>0</v>
      </c>
      <c r="T11" s="5">
        <f>SUMIFS(Data!$E$2:$E$164,Data!$G$2:$G$164,$A11,Data!$B$2:$B$164,T$4,Data!$I$2:$I$164,"Approved")/1000</f>
        <v>0</v>
      </c>
      <c r="U11" s="7">
        <f t="shared" si="0"/>
        <v>0.36</v>
      </c>
    </row>
    <row r="12" spans="1:21" x14ac:dyDescent="0.25">
      <c r="A12" s="12" t="s">
        <v>13</v>
      </c>
      <c r="B12" s="5">
        <f>SUMIFS(Data!$E$2:$E$164,Data!$G$2:$G$164,$A12,Data!$B$2:$B$164,B$4,Data!$I$2:$I$164,"Approved")/1000</f>
        <v>0</v>
      </c>
      <c r="C12" s="5">
        <f>SUMIFS(Data!$E$2:$E$164,Data!$G$2:$G$164,$A12,Data!$B$2:$B$164,C$4,Data!$I$2:$I$164,"Approved")/1000</f>
        <v>0</v>
      </c>
      <c r="D12" s="5">
        <f>SUMIFS(Data!$E$2:$E$164,Data!$G$2:$G$164,$A12,Data!$B$2:$B$164,D$4,Data!$I$2:$I$164,"Approved")/1000</f>
        <v>0</v>
      </c>
      <c r="E12" s="5">
        <f>SUMIFS(Data!$E$2:$E$164,Data!$G$2:$G$164,$A12,Data!$B$2:$B$164,E$4,Data!$I$2:$I$164,"Approved")/1000</f>
        <v>0</v>
      </c>
      <c r="F12" s="5">
        <f>SUMIFS(Data!$E$2:$E$164,Data!$G$2:$G$164,$A12,Data!$B$2:$B$164,F$4,Data!$I$2:$I$164,"Approved")/1000</f>
        <v>0</v>
      </c>
      <c r="G12" s="5">
        <f>SUMIFS(Data!$E$2:$E$164,Data!$G$2:$G$164,$A12,Data!$B$2:$B$164,G$4,Data!$I$2:$I$164,"Approved")/1000</f>
        <v>0</v>
      </c>
      <c r="H12" s="5">
        <f>SUMIFS(Data!$E$2:$E$164,Data!$G$2:$G$164,$A12,Data!$B$2:$B$164,H$4,Data!$I$2:$I$164,"Approved")/1000</f>
        <v>0</v>
      </c>
      <c r="I12" s="5">
        <f>SUMIFS(Data!$E$2:$E$164,Data!$G$2:$G$164,$A12,Data!$B$2:$B$164,I$4,Data!$I$2:$I$164,"Approved")/1000</f>
        <v>0</v>
      </c>
      <c r="J12" s="5">
        <f>SUMIFS(Data!$E$2:$E$164,Data!$G$2:$G$164,$A12,Data!$B$2:$B$164,J$4,Data!$I$2:$I$164,"Approved")/1000</f>
        <v>0</v>
      </c>
      <c r="K12" s="5">
        <f>SUMIFS(Data!$E$2:$E$164,Data!$G$2:$G$164,$A12,Data!$B$2:$B$164,K$4,Data!$I$2:$I$164,"Approved")/1000</f>
        <v>0</v>
      </c>
      <c r="L12" s="5">
        <f>SUMIFS(Data!$E$2:$E$164,Data!$G$2:$G$164,$A12,Data!$B$2:$B$164,L$4,Data!$I$2:$I$164,"Approved")/1000</f>
        <v>0</v>
      </c>
      <c r="M12" s="5">
        <f>SUMIFS(Data!$E$2:$E$164,Data!$G$2:$G$164,$A12,Data!$B$2:$B$164,M$4,Data!$I$2:$I$164,"Approved")/1000</f>
        <v>0</v>
      </c>
      <c r="N12" s="5">
        <f>SUMIFS(Data!$E$2:$E$164,Data!$G$2:$G$164,$A12,Data!$B$2:$B$164,N$4,Data!$I$2:$I$164,"Approved")/1000</f>
        <v>0</v>
      </c>
      <c r="O12" s="5">
        <f>SUMIFS(Data!$E$2:$E$164,Data!$G$2:$G$164,$A12,Data!$B$2:$B$164,O$4,Data!$I$2:$I$164,"Approved")/1000</f>
        <v>0</v>
      </c>
      <c r="P12" s="5">
        <f>SUMIFS(Data!$E$2:$E$164,Data!$G$2:$G$164,$A12,Data!$B$2:$B$164,P$4,Data!$I$2:$I$164,"Approved")/1000</f>
        <v>0</v>
      </c>
      <c r="Q12" s="5">
        <f>SUMIFS(Data!$E$2:$E$164,Data!$G$2:$G$164,$A12,Data!$B$2:$B$164,Q$4,Data!$I$2:$I$164,"Approved")/1000</f>
        <v>0</v>
      </c>
      <c r="R12" s="5">
        <f>SUMIFS(Data!$E$2:$E$164,Data!$G$2:$G$164,$A12,Data!$B$2:$B$164,R$4,Data!$I$2:$I$164,"Approved")/1000</f>
        <v>0</v>
      </c>
      <c r="S12" s="5">
        <f>SUMIFS(Data!$E$2:$E$164,Data!$G$2:$G$164,$A12,Data!$B$2:$B$164,S$4,Data!$I$2:$I$164,"Approved")/1000</f>
        <v>0</v>
      </c>
      <c r="T12" s="5">
        <f>SUMIFS(Data!$E$2:$E$164,Data!$G$2:$G$164,$A12,Data!$B$2:$B$164,T$4,Data!$I$2:$I$164,"Approved")/1000</f>
        <v>0</v>
      </c>
      <c r="U12" s="7">
        <f t="shared" si="0"/>
        <v>0</v>
      </c>
    </row>
    <row r="13" spans="1:21" x14ac:dyDescent="0.25">
      <c r="A13" s="12" t="s">
        <v>14</v>
      </c>
      <c r="B13" s="5">
        <f>SUMIFS(Data!$E$2:$E$164,Data!$G$2:$G$164,$A13,Data!$B$2:$B$164,B$4,Data!$I$2:$I$164,"Approved")/1000</f>
        <v>0</v>
      </c>
      <c r="C13" s="5">
        <f>SUMIFS(Data!$E$2:$E$164,Data!$G$2:$G$164,$A13,Data!$B$2:$B$164,C$4,Data!$I$2:$I$164,"Approved")/1000</f>
        <v>0</v>
      </c>
      <c r="D13" s="5">
        <f>SUMIFS(Data!$E$2:$E$164,Data!$G$2:$G$164,$A13,Data!$B$2:$B$164,D$4,Data!$I$2:$I$164,"Approved")/1000</f>
        <v>0</v>
      </c>
      <c r="E13" s="5">
        <f>SUMIFS(Data!$E$2:$E$164,Data!$G$2:$G$164,$A13,Data!$B$2:$B$164,E$4,Data!$I$2:$I$164,"Approved")/1000</f>
        <v>0</v>
      </c>
      <c r="F13" s="5">
        <f>SUMIFS(Data!$E$2:$E$164,Data!$G$2:$G$164,$A13,Data!$B$2:$B$164,F$4,Data!$I$2:$I$164,"Approved")/1000</f>
        <v>0</v>
      </c>
      <c r="G13" s="5">
        <f>SUMIFS(Data!$E$2:$E$164,Data!$G$2:$G$164,$A13,Data!$B$2:$B$164,G$4,Data!$I$2:$I$164,"Approved")/1000</f>
        <v>0</v>
      </c>
      <c r="H13" s="5">
        <f>SUMIFS(Data!$E$2:$E$164,Data!$G$2:$G$164,$A13,Data!$B$2:$B$164,H$4,Data!$I$2:$I$164,"Approved")/1000</f>
        <v>0</v>
      </c>
      <c r="I13" s="5">
        <f>SUMIFS(Data!$E$2:$E$164,Data!$G$2:$G$164,$A13,Data!$B$2:$B$164,I$4,Data!$I$2:$I$164,"Approved")/1000</f>
        <v>0</v>
      </c>
      <c r="J13" s="5">
        <f>SUMIFS(Data!$E$2:$E$164,Data!$G$2:$G$164,$A13,Data!$B$2:$B$164,J$4,Data!$I$2:$I$164,"Approved")/1000</f>
        <v>0</v>
      </c>
      <c r="K13" s="5">
        <f>SUMIFS(Data!$E$2:$E$164,Data!$G$2:$G$164,$A13,Data!$B$2:$B$164,K$4,Data!$I$2:$I$164,"Approved")/1000</f>
        <v>0</v>
      </c>
      <c r="L13" s="5">
        <f>SUMIFS(Data!$E$2:$E$164,Data!$G$2:$G$164,$A13,Data!$B$2:$B$164,L$4,Data!$I$2:$I$164,"Approved")/1000</f>
        <v>0</v>
      </c>
      <c r="M13" s="5">
        <f>SUMIFS(Data!$E$2:$E$164,Data!$G$2:$G$164,$A13,Data!$B$2:$B$164,M$4,Data!$I$2:$I$164,"Approved")/1000</f>
        <v>0</v>
      </c>
      <c r="N13" s="5">
        <f>SUMIFS(Data!$E$2:$E$164,Data!$G$2:$G$164,$A13,Data!$B$2:$B$164,N$4,Data!$I$2:$I$164,"Approved")/1000</f>
        <v>0</v>
      </c>
      <c r="O13" s="5">
        <f>SUMIFS(Data!$E$2:$E$164,Data!$G$2:$G$164,$A13,Data!$B$2:$B$164,O$4,Data!$I$2:$I$164,"Approved")/1000</f>
        <v>0</v>
      </c>
      <c r="P13" s="5">
        <f>SUMIFS(Data!$E$2:$E$164,Data!$G$2:$G$164,$A13,Data!$B$2:$B$164,P$4,Data!$I$2:$I$164,"Approved")/1000</f>
        <v>0</v>
      </c>
      <c r="Q13" s="5">
        <f>SUMIFS(Data!$E$2:$E$164,Data!$G$2:$G$164,$A13,Data!$B$2:$B$164,Q$4,Data!$I$2:$I$164,"Approved")/1000</f>
        <v>0</v>
      </c>
      <c r="R13" s="5">
        <f>SUMIFS(Data!$E$2:$E$164,Data!$G$2:$G$164,$A13,Data!$B$2:$B$164,R$4,Data!$I$2:$I$164,"Approved")/1000</f>
        <v>0</v>
      </c>
      <c r="S13" s="5">
        <f>SUMIFS(Data!$E$2:$E$164,Data!$G$2:$G$164,$A13,Data!$B$2:$B$164,S$4,Data!$I$2:$I$164,"Approved")/1000</f>
        <v>0</v>
      </c>
      <c r="T13" s="5">
        <f>SUMIFS(Data!$E$2:$E$164,Data!$G$2:$G$164,$A13,Data!$B$2:$B$164,T$4,Data!$I$2:$I$164,"Approved")/1000</f>
        <v>0</v>
      </c>
      <c r="U13" s="7">
        <f t="shared" si="0"/>
        <v>0</v>
      </c>
    </row>
    <row r="14" spans="1:21" x14ac:dyDescent="0.25">
      <c r="A14" s="12" t="s">
        <v>15</v>
      </c>
      <c r="B14" s="5">
        <f>SUMIFS(Data!$E$2:$E$164,Data!$G$2:$G$164,$A14,Data!$B$2:$B$164,B$4,Data!$I$2:$I$164,"Approved")/1000</f>
        <v>0</v>
      </c>
      <c r="C14" s="5">
        <f>SUMIFS(Data!$E$2:$E$164,Data!$G$2:$G$164,$A14,Data!$B$2:$B$164,C$4,Data!$I$2:$I$164,"Approved")/1000</f>
        <v>0</v>
      </c>
      <c r="D14" s="5">
        <f>SUMIFS(Data!$E$2:$E$164,Data!$G$2:$G$164,$A14,Data!$B$2:$B$164,D$4,Data!$I$2:$I$164,"Approved")/1000</f>
        <v>0</v>
      </c>
      <c r="E14" s="5">
        <f>SUMIFS(Data!$E$2:$E$164,Data!$G$2:$G$164,$A14,Data!$B$2:$B$164,E$4,Data!$I$2:$I$164,"Approved")/1000</f>
        <v>0</v>
      </c>
      <c r="F14" s="5">
        <f>SUMIFS(Data!$E$2:$E$164,Data!$G$2:$G$164,$A14,Data!$B$2:$B$164,F$4,Data!$I$2:$I$164,"Approved")/1000</f>
        <v>0</v>
      </c>
      <c r="G14" s="5">
        <f>SUMIFS(Data!$E$2:$E$164,Data!$G$2:$G$164,$A14,Data!$B$2:$B$164,G$4,Data!$I$2:$I$164,"Approved")/1000</f>
        <v>0</v>
      </c>
      <c r="H14" s="5">
        <f>SUMIFS(Data!$E$2:$E$164,Data!$G$2:$G$164,$A14,Data!$B$2:$B$164,H$4,Data!$I$2:$I$164,"Approved")/1000</f>
        <v>0</v>
      </c>
      <c r="I14" s="5">
        <f>SUMIFS(Data!$E$2:$E$164,Data!$G$2:$G$164,$A14,Data!$B$2:$B$164,I$4,Data!$I$2:$I$164,"Approved")/1000</f>
        <v>0</v>
      </c>
      <c r="J14" s="5">
        <f>SUMIFS(Data!$E$2:$E$164,Data!$G$2:$G$164,$A14,Data!$B$2:$B$164,J$4,Data!$I$2:$I$164,"Approved")/1000</f>
        <v>0</v>
      </c>
      <c r="K14" s="5">
        <f>SUMIFS(Data!$E$2:$E$164,Data!$G$2:$G$164,$A14,Data!$B$2:$B$164,K$4,Data!$I$2:$I$164,"Approved")/1000</f>
        <v>0</v>
      </c>
      <c r="L14" s="5">
        <f>SUMIFS(Data!$E$2:$E$164,Data!$G$2:$G$164,$A14,Data!$B$2:$B$164,L$4,Data!$I$2:$I$164,"Approved")/1000</f>
        <v>0</v>
      </c>
      <c r="M14" s="5">
        <f>SUMIFS(Data!$E$2:$E$164,Data!$G$2:$G$164,$A14,Data!$B$2:$B$164,M$4,Data!$I$2:$I$164,"Approved")/1000</f>
        <v>0</v>
      </c>
      <c r="N14" s="5">
        <f>SUMIFS(Data!$E$2:$E$164,Data!$G$2:$G$164,$A14,Data!$B$2:$B$164,N$4,Data!$I$2:$I$164,"Approved")/1000</f>
        <v>0</v>
      </c>
      <c r="O14" s="5">
        <f>SUMIFS(Data!$E$2:$E$164,Data!$G$2:$G$164,$A14,Data!$B$2:$B$164,O$4,Data!$I$2:$I$164,"Approved")/1000</f>
        <v>0</v>
      </c>
      <c r="P14" s="5">
        <f>SUMIFS(Data!$E$2:$E$164,Data!$G$2:$G$164,$A14,Data!$B$2:$B$164,P$4,Data!$I$2:$I$164,"Approved")/1000</f>
        <v>0</v>
      </c>
      <c r="Q14" s="5">
        <f>SUMIFS(Data!$E$2:$E$164,Data!$G$2:$G$164,$A14,Data!$B$2:$B$164,Q$4,Data!$I$2:$I$164,"Approved")/1000</f>
        <v>0</v>
      </c>
      <c r="R14" s="5">
        <f>SUMIFS(Data!$E$2:$E$164,Data!$G$2:$G$164,$A14,Data!$B$2:$B$164,R$4,Data!$I$2:$I$164,"Approved")/1000</f>
        <v>0</v>
      </c>
      <c r="S14" s="5">
        <f>SUMIFS(Data!$E$2:$E$164,Data!$G$2:$G$164,$A14,Data!$B$2:$B$164,S$4,Data!$I$2:$I$164,"Approved")/1000</f>
        <v>0</v>
      </c>
      <c r="T14" s="5">
        <f>SUMIFS(Data!$E$2:$E$164,Data!$G$2:$G$164,$A14,Data!$B$2:$B$164,T$4,Data!$I$2:$I$164,"Approved")/1000</f>
        <v>0</v>
      </c>
      <c r="U14" s="7">
        <f t="shared" si="0"/>
        <v>0</v>
      </c>
    </row>
    <row r="15" spans="1:21" x14ac:dyDescent="0.25">
      <c r="A15" s="12" t="s">
        <v>16</v>
      </c>
      <c r="B15" s="5">
        <f>SUMIFS(Data!$E$2:$E$164,Data!$G$2:$G$164,$A15,Data!$B$2:$B$164,B$4,Data!$I$2:$I$164,"Approved")/1000</f>
        <v>0</v>
      </c>
      <c r="C15" s="5">
        <f>SUMIFS(Data!$E$2:$E$164,Data!$G$2:$G$164,$A15,Data!$B$2:$B$164,C$4,Data!$I$2:$I$164,"Approved")/1000</f>
        <v>0</v>
      </c>
      <c r="D15" s="5">
        <f>SUMIFS(Data!$E$2:$E$164,Data!$G$2:$G$164,$A15,Data!$B$2:$B$164,D$4,Data!$I$2:$I$164,"Approved")/1000</f>
        <v>0</v>
      </c>
      <c r="E15" s="5">
        <f>SUMIFS(Data!$E$2:$E$164,Data!$G$2:$G$164,$A15,Data!$B$2:$B$164,E$4,Data!$I$2:$I$164,"Approved")/1000</f>
        <v>0</v>
      </c>
      <c r="F15" s="5">
        <f>SUMIFS(Data!$E$2:$E$164,Data!$G$2:$G$164,$A15,Data!$B$2:$B$164,F$4,Data!$I$2:$I$164,"Approved")/1000</f>
        <v>0</v>
      </c>
      <c r="G15" s="5">
        <f>SUMIFS(Data!$E$2:$E$164,Data!$G$2:$G$164,$A15,Data!$B$2:$B$164,G$4,Data!$I$2:$I$164,"Approved")/1000</f>
        <v>0</v>
      </c>
      <c r="H15" s="5">
        <f>SUMIFS(Data!$E$2:$E$164,Data!$G$2:$G$164,$A15,Data!$B$2:$B$164,H$4,Data!$I$2:$I$164,"Approved")/1000</f>
        <v>0</v>
      </c>
      <c r="I15" s="5">
        <f>SUMIFS(Data!$E$2:$E$164,Data!$G$2:$G$164,$A15,Data!$B$2:$B$164,I$4,Data!$I$2:$I$164,"Approved")/1000</f>
        <v>0</v>
      </c>
      <c r="J15" s="5">
        <f>SUMIFS(Data!$E$2:$E$164,Data!$G$2:$G$164,$A15,Data!$B$2:$B$164,J$4,Data!$I$2:$I$164,"Approved")/1000</f>
        <v>0</v>
      </c>
      <c r="K15" s="5">
        <f>SUMIFS(Data!$E$2:$E$164,Data!$G$2:$G$164,$A15,Data!$B$2:$B$164,K$4,Data!$I$2:$I$164,"Approved")/1000</f>
        <v>0</v>
      </c>
      <c r="L15" s="5">
        <f>SUMIFS(Data!$E$2:$E$164,Data!$G$2:$G$164,$A15,Data!$B$2:$B$164,L$4,Data!$I$2:$I$164,"Approved")/1000</f>
        <v>0</v>
      </c>
      <c r="M15" s="5">
        <f>SUMIFS(Data!$E$2:$E$164,Data!$G$2:$G$164,$A15,Data!$B$2:$B$164,M$4,Data!$I$2:$I$164,"Approved")/1000</f>
        <v>0</v>
      </c>
      <c r="N15" s="5">
        <f>SUMIFS(Data!$E$2:$E$164,Data!$G$2:$G$164,$A15,Data!$B$2:$B$164,N$4,Data!$I$2:$I$164,"Approved")/1000</f>
        <v>0</v>
      </c>
      <c r="O15" s="5">
        <f>SUMIFS(Data!$E$2:$E$164,Data!$G$2:$G$164,$A15,Data!$B$2:$B$164,O$4,Data!$I$2:$I$164,"Approved")/1000</f>
        <v>0</v>
      </c>
      <c r="P15" s="5">
        <f>SUMIFS(Data!$E$2:$E$164,Data!$G$2:$G$164,$A15,Data!$B$2:$B$164,P$4,Data!$I$2:$I$164,"Approved")/1000</f>
        <v>0</v>
      </c>
      <c r="Q15" s="5">
        <f>SUMIFS(Data!$E$2:$E$164,Data!$G$2:$G$164,$A15,Data!$B$2:$B$164,Q$4,Data!$I$2:$I$164,"Approved")/1000</f>
        <v>0</v>
      </c>
      <c r="R15" s="5">
        <f>SUMIFS(Data!$E$2:$E$164,Data!$G$2:$G$164,$A15,Data!$B$2:$B$164,R$4,Data!$I$2:$I$164,"Approved")/1000</f>
        <v>0</v>
      </c>
      <c r="S15" s="5">
        <f>SUMIFS(Data!$E$2:$E$164,Data!$G$2:$G$164,$A15,Data!$B$2:$B$164,S$4,Data!$I$2:$I$164,"Approved")/1000</f>
        <v>0</v>
      </c>
      <c r="T15" s="5">
        <f>SUMIFS(Data!$E$2:$E$164,Data!$G$2:$G$164,$A15,Data!$B$2:$B$164,T$4,Data!$I$2:$I$164,"Approved")/1000</f>
        <v>0</v>
      </c>
      <c r="U15" s="7">
        <f t="shared" si="0"/>
        <v>0</v>
      </c>
    </row>
    <row r="16" spans="1:21" x14ac:dyDescent="0.25">
      <c r="A16" s="12" t="s">
        <v>17</v>
      </c>
      <c r="B16" s="5">
        <f>SUMIFS(Data!$E$2:$E$164,Data!$G$2:$G$164,$A16,Data!$B$2:$B$164,B$4,Data!$I$2:$I$164,"Approved")/1000</f>
        <v>0</v>
      </c>
      <c r="C16" s="5">
        <f>SUMIFS(Data!$E$2:$E$164,Data!$G$2:$G$164,$A16,Data!$B$2:$B$164,C$4,Data!$I$2:$I$164,"Approved")/1000</f>
        <v>0</v>
      </c>
      <c r="D16" s="5">
        <f>SUMIFS(Data!$E$2:$E$164,Data!$G$2:$G$164,$A16,Data!$B$2:$B$164,D$4,Data!$I$2:$I$164,"Approved")/1000</f>
        <v>0</v>
      </c>
      <c r="E16" s="5">
        <f>SUMIFS(Data!$E$2:$E$164,Data!$G$2:$G$164,$A16,Data!$B$2:$B$164,E$4,Data!$I$2:$I$164,"Approved")/1000</f>
        <v>0</v>
      </c>
      <c r="F16" s="5">
        <f>SUMIFS(Data!$E$2:$E$164,Data!$G$2:$G$164,$A16,Data!$B$2:$B$164,F$4,Data!$I$2:$I$164,"Approved")/1000</f>
        <v>0</v>
      </c>
      <c r="G16" s="5">
        <f>SUMIFS(Data!$E$2:$E$164,Data!$G$2:$G$164,$A16,Data!$B$2:$B$164,G$4,Data!$I$2:$I$164,"Approved")/1000</f>
        <v>0</v>
      </c>
      <c r="H16" s="5">
        <f>SUMIFS(Data!$E$2:$E$164,Data!$G$2:$G$164,$A16,Data!$B$2:$B$164,H$4,Data!$I$2:$I$164,"Approved")/1000</f>
        <v>0</v>
      </c>
      <c r="I16" s="5">
        <f>SUMIFS(Data!$E$2:$E$164,Data!$G$2:$G$164,$A16,Data!$B$2:$B$164,I$4,Data!$I$2:$I$164,"Approved")/1000</f>
        <v>0</v>
      </c>
      <c r="J16" s="5">
        <f>SUMIFS(Data!$E$2:$E$164,Data!$G$2:$G$164,$A16,Data!$B$2:$B$164,J$4,Data!$I$2:$I$164,"Approved")/1000</f>
        <v>0</v>
      </c>
      <c r="K16" s="5">
        <f>SUMIFS(Data!$E$2:$E$164,Data!$G$2:$G$164,$A16,Data!$B$2:$B$164,K$4,Data!$I$2:$I$164,"Approved")/1000</f>
        <v>0</v>
      </c>
      <c r="L16" s="5">
        <f>SUMIFS(Data!$E$2:$E$164,Data!$G$2:$G$164,$A16,Data!$B$2:$B$164,L$4,Data!$I$2:$I$164,"Approved")/1000</f>
        <v>0</v>
      </c>
      <c r="M16" s="5">
        <f>SUMIFS(Data!$E$2:$E$164,Data!$G$2:$G$164,$A16,Data!$B$2:$B$164,M$4,Data!$I$2:$I$164,"Approved")/1000</f>
        <v>0</v>
      </c>
      <c r="N16" s="5">
        <f>SUMIFS(Data!$E$2:$E$164,Data!$G$2:$G$164,$A16,Data!$B$2:$B$164,N$4,Data!$I$2:$I$164,"Approved")/1000</f>
        <v>0</v>
      </c>
      <c r="O16" s="5">
        <f>SUMIFS(Data!$E$2:$E$164,Data!$G$2:$G$164,$A16,Data!$B$2:$B$164,O$4,Data!$I$2:$I$164,"Approved")/1000</f>
        <v>0</v>
      </c>
      <c r="P16" s="5">
        <f>SUMIFS(Data!$E$2:$E$164,Data!$G$2:$G$164,$A16,Data!$B$2:$B$164,P$4,Data!$I$2:$I$164,"Approved")/1000</f>
        <v>0</v>
      </c>
      <c r="Q16" s="5">
        <f>SUMIFS(Data!$E$2:$E$164,Data!$G$2:$G$164,$A16,Data!$B$2:$B$164,Q$4,Data!$I$2:$I$164,"Approved")/1000</f>
        <v>0</v>
      </c>
      <c r="R16" s="5">
        <f>SUMIFS(Data!$E$2:$E$164,Data!$G$2:$G$164,$A16,Data!$B$2:$B$164,R$4,Data!$I$2:$I$164,"Approved")/1000</f>
        <v>0</v>
      </c>
      <c r="S16" s="5">
        <f>SUMIFS(Data!$E$2:$E$164,Data!$G$2:$G$164,$A16,Data!$B$2:$B$164,S$4,Data!$I$2:$I$164,"Approved")/1000</f>
        <v>0</v>
      </c>
      <c r="T16" s="5">
        <f>SUMIFS(Data!$E$2:$E$164,Data!$G$2:$G$164,$A16,Data!$B$2:$B$164,T$4,Data!$I$2:$I$164,"Approved")/1000</f>
        <v>0</v>
      </c>
      <c r="U16" s="7">
        <f t="shared" si="0"/>
        <v>0</v>
      </c>
    </row>
    <row r="17" spans="1:21" x14ac:dyDescent="0.25">
      <c r="A17" s="12" t="s">
        <v>18</v>
      </c>
      <c r="B17" s="5">
        <f>SUMIFS(Data!$E$2:$E$164,Data!$G$2:$G$164,$A17,Data!$B$2:$B$164,B$4,Data!$I$2:$I$164,"Approved")/1000</f>
        <v>0</v>
      </c>
      <c r="C17" s="5">
        <f>SUMIFS(Data!$E$2:$E$164,Data!$G$2:$G$164,$A17,Data!$B$2:$B$164,C$4,Data!$I$2:$I$164,"Approved")/1000</f>
        <v>0</v>
      </c>
      <c r="D17" s="5">
        <f>SUMIFS(Data!$E$2:$E$164,Data!$G$2:$G$164,$A17,Data!$B$2:$B$164,D$4,Data!$I$2:$I$164,"Approved")/1000</f>
        <v>0</v>
      </c>
      <c r="E17" s="5">
        <f>SUMIFS(Data!$E$2:$E$164,Data!$G$2:$G$164,$A17,Data!$B$2:$B$164,E$4,Data!$I$2:$I$164,"Approved")/1000</f>
        <v>0</v>
      </c>
      <c r="F17" s="5">
        <f>SUMIFS(Data!$E$2:$E$164,Data!$G$2:$G$164,$A17,Data!$B$2:$B$164,F$4,Data!$I$2:$I$164,"Approved")/1000</f>
        <v>0</v>
      </c>
      <c r="G17" s="5">
        <f>SUMIFS(Data!$E$2:$E$164,Data!$G$2:$G$164,$A17,Data!$B$2:$B$164,G$4,Data!$I$2:$I$164,"Approved")/1000</f>
        <v>0</v>
      </c>
      <c r="H17" s="5">
        <f>SUMIFS(Data!$E$2:$E$164,Data!$G$2:$G$164,$A17,Data!$B$2:$B$164,H$4,Data!$I$2:$I$164,"Approved")/1000</f>
        <v>0</v>
      </c>
      <c r="I17" s="5">
        <f>SUMIFS(Data!$E$2:$E$164,Data!$G$2:$G$164,$A17,Data!$B$2:$B$164,I$4,Data!$I$2:$I$164,"Approved")/1000</f>
        <v>0</v>
      </c>
      <c r="J17" s="5">
        <f>SUMIFS(Data!$E$2:$E$164,Data!$G$2:$G$164,$A17,Data!$B$2:$B$164,J$4,Data!$I$2:$I$164,"Approved")/1000</f>
        <v>0</v>
      </c>
      <c r="K17" s="5">
        <f>SUMIFS(Data!$E$2:$E$164,Data!$G$2:$G$164,$A17,Data!$B$2:$B$164,K$4,Data!$I$2:$I$164,"Approved")/1000</f>
        <v>0</v>
      </c>
      <c r="L17" s="5">
        <f>SUMIFS(Data!$E$2:$E$164,Data!$G$2:$G$164,$A17,Data!$B$2:$B$164,L$4,Data!$I$2:$I$164,"Approved")/1000</f>
        <v>0</v>
      </c>
      <c r="M17" s="5">
        <f>SUMIFS(Data!$E$2:$E$164,Data!$G$2:$G$164,$A17,Data!$B$2:$B$164,M$4,Data!$I$2:$I$164,"Approved")/1000</f>
        <v>0</v>
      </c>
      <c r="N17" s="5">
        <f>SUMIFS(Data!$E$2:$E$164,Data!$G$2:$G$164,$A17,Data!$B$2:$B$164,N$4,Data!$I$2:$I$164,"Approved")/1000</f>
        <v>0</v>
      </c>
      <c r="O17" s="5">
        <f>SUMIFS(Data!$E$2:$E$164,Data!$G$2:$G$164,$A17,Data!$B$2:$B$164,O$4,Data!$I$2:$I$164,"Approved")/1000</f>
        <v>0.05</v>
      </c>
      <c r="P17" s="5">
        <f>SUMIFS(Data!$E$2:$E$164,Data!$G$2:$G$164,$A17,Data!$B$2:$B$164,P$4,Data!$I$2:$I$164,"Approved")/1000</f>
        <v>0</v>
      </c>
      <c r="Q17" s="5">
        <f>SUMIFS(Data!$E$2:$E$164,Data!$G$2:$G$164,$A17,Data!$B$2:$B$164,Q$4,Data!$I$2:$I$164,"Approved")/1000</f>
        <v>0</v>
      </c>
      <c r="R17" s="5">
        <f>SUMIFS(Data!$E$2:$E$164,Data!$G$2:$G$164,$A17,Data!$B$2:$B$164,R$4,Data!$I$2:$I$164,"Approved")/1000</f>
        <v>0</v>
      </c>
      <c r="S17" s="5">
        <f>SUMIFS(Data!$E$2:$E$164,Data!$G$2:$G$164,$A17,Data!$B$2:$B$164,S$4,Data!$I$2:$I$164,"Approved")/1000</f>
        <v>0</v>
      </c>
      <c r="T17" s="5">
        <f>SUMIFS(Data!$E$2:$E$164,Data!$G$2:$G$164,$A17,Data!$B$2:$B$164,T$4,Data!$I$2:$I$164,"Approved")/1000</f>
        <v>0</v>
      </c>
      <c r="U17" s="7">
        <f t="shared" si="0"/>
        <v>0.05</v>
      </c>
    </row>
    <row r="18" spans="1:21" x14ac:dyDescent="0.25">
      <c r="A18" s="6" t="s">
        <v>5</v>
      </c>
      <c r="B18" s="13">
        <f t="shared" ref="B18:U18" si="1">SUM(B5:B17)</f>
        <v>0</v>
      </c>
      <c r="C18" s="13">
        <f t="shared" si="1"/>
        <v>0</v>
      </c>
      <c r="D18" s="13">
        <f t="shared" si="1"/>
        <v>2.6079999999999997</v>
      </c>
      <c r="E18" s="13">
        <f t="shared" si="1"/>
        <v>0</v>
      </c>
      <c r="F18" s="13">
        <f t="shared" si="1"/>
        <v>0</v>
      </c>
      <c r="G18" s="13">
        <f t="shared" si="1"/>
        <v>0.91900000000000004</v>
      </c>
      <c r="H18" s="13">
        <f t="shared" si="1"/>
        <v>0</v>
      </c>
      <c r="I18" s="13">
        <f t="shared" si="1"/>
        <v>0</v>
      </c>
      <c r="J18" s="13">
        <f t="shared" si="1"/>
        <v>0</v>
      </c>
      <c r="K18" s="13">
        <f t="shared" si="1"/>
        <v>0</v>
      </c>
      <c r="L18" s="13">
        <f t="shared" si="1"/>
        <v>0.22</v>
      </c>
      <c r="M18" s="13">
        <f t="shared" si="1"/>
        <v>0.26</v>
      </c>
      <c r="N18" s="13">
        <f t="shared" si="1"/>
        <v>0</v>
      </c>
      <c r="O18" s="13">
        <f t="shared" si="1"/>
        <v>0.1</v>
      </c>
      <c r="P18" s="13">
        <f t="shared" si="1"/>
        <v>0</v>
      </c>
      <c r="Q18" s="13">
        <f t="shared" si="1"/>
        <v>0</v>
      </c>
      <c r="R18" s="13">
        <f t="shared" si="1"/>
        <v>0.1</v>
      </c>
      <c r="S18" s="13">
        <f t="shared" si="1"/>
        <v>0</v>
      </c>
      <c r="T18" s="13">
        <f t="shared" si="1"/>
        <v>0</v>
      </c>
      <c r="U18" s="13">
        <f t="shared" si="1"/>
        <v>4.2069999999999999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By_State</vt:lpstr>
      <vt:lpstr>State_x_Company</vt:lpstr>
      <vt:lpstr>Data</vt:lpstr>
      <vt:lpstr>State_x_Company_UnderProc</vt:lpstr>
      <vt:lpstr>State_x_Company_Approved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206_Harsh Misra</cp:lastModifiedBy>
  <dcterms:created xsi:type="dcterms:W3CDTF">2026-10-19T16:52:10Z</dcterms:created>
  <dcterms:modified xsi:type="dcterms:W3CDTF">2026-10-19T16:52:23Z</dcterms:modified>
</cp:coreProperties>
</file>