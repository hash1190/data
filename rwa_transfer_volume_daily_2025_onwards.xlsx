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AppData\Local\Temp\rwa_recalc\"/>
    </mc:Choice>
  </mc:AlternateContent>
  <xr:revisionPtr revIDLastSave="0" documentId="13_ncr:1_{02CD0A31-3F6A-46B3-8F8F-657AB05C16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" sheetId="1" r:id="rId1"/>
    <sheet name="Monthly" sheetId="2" r:id="rId2"/>
  </sheets>
  <calcPr calcId="191029"/>
</workbook>
</file>

<file path=xl/calcChain.xml><?xml version="1.0" encoding="utf-8"?>
<calcChain xmlns="http://schemas.openxmlformats.org/spreadsheetml/2006/main">
  <c r="O22" i="2" l="1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5" i="2" s="1"/>
  <c r="O14" i="2"/>
  <c r="N14" i="2"/>
  <c r="M14" i="2"/>
  <c r="L14" i="2"/>
  <c r="K14" i="2"/>
  <c r="J14" i="2"/>
  <c r="I14" i="2"/>
  <c r="H14" i="2"/>
  <c r="P14" i="2" s="1"/>
  <c r="G14" i="2"/>
  <c r="F14" i="2"/>
  <c r="E14" i="2"/>
  <c r="D14" i="2"/>
  <c r="C14" i="2"/>
  <c r="B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P7" i="2" s="1"/>
  <c r="O6" i="2"/>
  <c r="N6" i="2"/>
  <c r="M6" i="2"/>
  <c r="L6" i="2"/>
  <c r="K6" i="2"/>
  <c r="J6" i="2"/>
  <c r="I6" i="2"/>
  <c r="H6" i="2"/>
  <c r="P6" i="2" s="1"/>
  <c r="G6" i="2"/>
  <c r="F6" i="2"/>
  <c r="E6" i="2"/>
  <c r="D6" i="2"/>
  <c r="C6" i="2"/>
  <c r="B6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3" i="2" l="1"/>
  <c r="P11" i="2"/>
  <c r="P19" i="2"/>
  <c r="R20" i="2" s="1"/>
  <c r="P2" i="2"/>
  <c r="R3" i="2" s="1"/>
  <c r="P10" i="2"/>
  <c r="P18" i="2"/>
  <c r="Q18" i="2" s="1"/>
  <c r="P22" i="2"/>
  <c r="Q22" i="2" s="1"/>
  <c r="P9" i="2"/>
  <c r="P13" i="2"/>
  <c r="P17" i="2"/>
  <c r="Q17" i="2" s="1"/>
  <c r="P21" i="2"/>
  <c r="R21" i="2" s="1"/>
  <c r="P5" i="2"/>
  <c r="P4" i="2"/>
  <c r="R4" i="2" s="1"/>
  <c r="P8" i="2"/>
  <c r="Q8" i="2" s="1"/>
  <c r="P12" i="2"/>
  <c r="R13" i="2" s="1"/>
  <c r="P16" i="2"/>
  <c r="P20" i="2"/>
  <c r="R5" i="2"/>
  <c r="Q4" i="2"/>
  <c r="R17" i="2"/>
  <c r="Q16" i="2"/>
  <c r="Q6" i="2"/>
  <c r="R7" i="2"/>
  <c r="Q7" i="2"/>
  <c r="R8" i="2"/>
  <c r="Q14" i="2"/>
  <c r="R15" i="2"/>
  <c r="Q15" i="2"/>
  <c r="R16" i="2"/>
  <c r="Q3" i="2"/>
  <c r="Q11" i="2"/>
  <c r="R11" i="2"/>
  <c r="Q10" i="2"/>
  <c r="R9" i="2"/>
  <c r="Q20" i="2"/>
  <c r="R10" i="2"/>
  <c r="R14" i="2"/>
  <c r="R18" i="2"/>
  <c r="Q21" i="2"/>
  <c r="R6" i="2"/>
  <c r="R12" i="2" l="1"/>
  <c r="Q13" i="2"/>
  <c r="Q5" i="2"/>
  <c r="Q9" i="2"/>
  <c r="R19" i="2"/>
  <c r="R22" i="2"/>
  <c r="Q19" i="2"/>
  <c r="Q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Partial month: data through 2026-09-09 only.</t>
        </r>
      </text>
    </comment>
  </commentList>
</comments>
</file>

<file path=xl/sharedStrings.xml><?xml version="1.0" encoding="utf-8"?>
<sst xmlns="http://schemas.openxmlformats.org/spreadsheetml/2006/main" count="40" uniqueCount="24">
  <si>
    <t>Date</t>
  </si>
  <si>
    <t>US Treasury Debt</t>
  </si>
  <si>
    <t>non-US Government Debt</t>
  </si>
  <si>
    <t>Municipal Credit</t>
  </si>
  <si>
    <t>Corporate Credit</t>
  </si>
  <si>
    <t>Public Equity</t>
  </si>
  <si>
    <t>Stocks</t>
  </si>
  <si>
    <t>Private Equity</t>
  </si>
  <si>
    <t>Real Estate</t>
  </si>
  <si>
    <t>Commodities</t>
  </si>
  <si>
    <t>Diversified Credit</t>
  </si>
  <si>
    <t>Asset-Backed Credit</t>
  </si>
  <si>
    <t>Active Strategies</t>
  </si>
  <si>
    <t>Specialty Finance</t>
  </si>
  <si>
    <t>Venture Capital</t>
  </si>
  <si>
    <t>Total</t>
  </si>
  <si>
    <t>Source: rwa.xyz Overview &gt; Total RWA Value &gt; Transfer Volume (Daily Transfer Volume, USD). Asset Type = Distributed; stablecoins excluded (matches site defaults). Extracted 2026-09-11 via app.rwa.xyz API; data through 2026-09-09. Values rounded to whole dollars.</t>
  </si>
  <si>
    <t>Total column = SUM of asset-class columns.</t>
  </si>
  <si>
    <t>Month</t>
  </si>
  <si>
    <t>MoM Change ($)</t>
  </si>
  <si>
    <t>MoM Change (%)</t>
  </si>
  <si>
    <t>-</t>
  </si>
  <si>
    <t>Monthly figures = SUMIFS over the Daily sheet by calendar month; MoM change compares each month's Total to the prior month.</t>
  </si>
  <si>
    <t>2026-09 is a partial month (data through 2026-09-09) — its MoM change is not like-for-like.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</si>
</sst>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\(\$#,##0\);\-"/>
    <numFmt numFmtId="166" formatCode="mmm\ yyyy"/>
    <numFmt numFmtId="167" formatCode="0.0%;\(0.0%\);\-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i/>
      <sz val="9"/>
      <name val="Arial"/>
    </font>
    <font>
      <b/>
      <sz val="11"/>
      <color rgb="FFC00000"/>
      <name val="Arial"/>
    </font>
    <font>
      <i/>
      <sz val="9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6" fontId="2" fillId="0" borderId="0" xfId="0" applyNumberFormat="1" applyFont="1"/>
    <xf numFmtId="165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166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15" width="19" customWidth="1"/>
    <col min="16" max="16" width="2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45658</v>
      </c>
      <c r="B2" s="3">
        <v>66368606</v>
      </c>
      <c r="C2" s="3">
        <v>155885</v>
      </c>
      <c r="D2" s="3">
        <v>0</v>
      </c>
      <c r="E2" s="3">
        <v>38</v>
      </c>
      <c r="F2" s="3">
        <v>0</v>
      </c>
      <c r="G2" s="3">
        <v>3697</v>
      </c>
      <c r="H2" s="3">
        <v>0</v>
      </c>
      <c r="I2" s="3">
        <v>4706</v>
      </c>
      <c r="J2" s="3">
        <v>5984693</v>
      </c>
      <c r="K2" s="3">
        <v>0</v>
      </c>
      <c r="L2" s="3">
        <v>0</v>
      </c>
      <c r="M2" s="3">
        <v>195363703</v>
      </c>
      <c r="N2" s="3">
        <v>598</v>
      </c>
      <c r="O2" s="3">
        <v>0</v>
      </c>
      <c r="P2" s="3">
        <f t="shared" ref="P2:P65" si="0">SUM(B2:O2)</f>
        <v>267881926</v>
      </c>
    </row>
    <row r="3" spans="1:16" x14ac:dyDescent="0.25">
      <c r="A3" s="2">
        <v>45659</v>
      </c>
      <c r="B3" s="3">
        <v>101591716</v>
      </c>
      <c r="C3" s="3">
        <v>177733</v>
      </c>
      <c r="D3" s="3">
        <v>0</v>
      </c>
      <c r="E3" s="3">
        <v>575</v>
      </c>
      <c r="F3" s="3">
        <v>0</v>
      </c>
      <c r="G3" s="3">
        <v>2050</v>
      </c>
      <c r="H3" s="3">
        <v>0</v>
      </c>
      <c r="I3" s="3">
        <v>31833</v>
      </c>
      <c r="J3" s="3">
        <v>36069445</v>
      </c>
      <c r="K3" s="3">
        <v>25</v>
      </c>
      <c r="L3" s="3">
        <v>0</v>
      </c>
      <c r="M3" s="3">
        <v>257741309</v>
      </c>
      <c r="N3" s="3">
        <v>1679</v>
      </c>
      <c r="O3" s="3">
        <v>0</v>
      </c>
      <c r="P3" s="3">
        <f t="shared" si="0"/>
        <v>395616365</v>
      </c>
    </row>
    <row r="4" spans="1:16" x14ac:dyDescent="0.25">
      <c r="A4" s="2">
        <v>45660</v>
      </c>
      <c r="B4" s="3">
        <v>52567227</v>
      </c>
      <c r="C4" s="3">
        <v>51582</v>
      </c>
      <c r="D4" s="3">
        <v>0</v>
      </c>
      <c r="E4" s="3">
        <v>230</v>
      </c>
      <c r="F4" s="3">
        <v>0</v>
      </c>
      <c r="G4" s="3">
        <v>84480</v>
      </c>
      <c r="H4" s="3">
        <v>0</v>
      </c>
      <c r="I4" s="3">
        <v>188966</v>
      </c>
      <c r="J4" s="3">
        <v>11369403</v>
      </c>
      <c r="K4" s="3">
        <v>0</v>
      </c>
      <c r="L4" s="3">
        <v>0</v>
      </c>
      <c r="M4" s="3">
        <v>189725522</v>
      </c>
      <c r="N4" s="3">
        <v>2377</v>
      </c>
      <c r="O4" s="3">
        <v>0</v>
      </c>
      <c r="P4" s="3">
        <f t="shared" si="0"/>
        <v>253989787</v>
      </c>
    </row>
    <row r="5" spans="1:16" x14ac:dyDescent="0.25">
      <c r="A5" s="2">
        <v>45661</v>
      </c>
      <c r="B5" s="3">
        <v>50394515</v>
      </c>
      <c r="C5" s="3">
        <v>22700</v>
      </c>
      <c r="D5" s="3">
        <v>0</v>
      </c>
      <c r="E5" s="3">
        <v>76</v>
      </c>
      <c r="F5" s="3">
        <v>0</v>
      </c>
      <c r="G5" s="3">
        <v>3397</v>
      </c>
      <c r="H5" s="3">
        <v>0</v>
      </c>
      <c r="I5" s="3">
        <v>8048</v>
      </c>
      <c r="J5" s="3">
        <v>4005716</v>
      </c>
      <c r="K5" s="3">
        <v>0</v>
      </c>
      <c r="L5" s="3">
        <v>0</v>
      </c>
      <c r="M5" s="3">
        <v>283993031</v>
      </c>
      <c r="N5" s="3">
        <v>389</v>
      </c>
      <c r="O5" s="3">
        <v>0</v>
      </c>
      <c r="P5" s="3">
        <f t="shared" si="0"/>
        <v>338427872</v>
      </c>
    </row>
    <row r="6" spans="1:16" x14ac:dyDescent="0.25">
      <c r="A6" s="2">
        <v>45662</v>
      </c>
      <c r="B6" s="3">
        <v>46763867</v>
      </c>
      <c r="C6" s="3">
        <v>110399</v>
      </c>
      <c r="D6" s="3">
        <v>0</v>
      </c>
      <c r="E6" s="3">
        <v>3</v>
      </c>
      <c r="F6" s="3">
        <v>0</v>
      </c>
      <c r="G6" s="3">
        <v>66212</v>
      </c>
      <c r="H6" s="3">
        <v>0</v>
      </c>
      <c r="I6" s="3">
        <v>5548</v>
      </c>
      <c r="J6" s="3">
        <v>15440859</v>
      </c>
      <c r="K6" s="3">
        <v>0</v>
      </c>
      <c r="L6" s="3">
        <v>0</v>
      </c>
      <c r="M6" s="3">
        <v>616567187</v>
      </c>
      <c r="N6" s="3">
        <v>251</v>
      </c>
      <c r="O6" s="3">
        <v>0</v>
      </c>
      <c r="P6" s="3">
        <f t="shared" si="0"/>
        <v>678954326</v>
      </c>
    </row>
    <row r="7" spans="1:16" x14ac:dyDescent="0.25">
      <c r="A7" s="2">
        <v>45663</v>
      </c>
      <c r="B7" s="3">
        <v>111439257</v>
      </c>
      <c r="C7" s="3">
        <v>382251</v>
      </c>
      <c r="D7" s="3">
        <v>0</v>
      </c>
      <c r="E7" s="3">
        <v>5</v>
      </c>
      <c r="F7" s="3">
        <v>0</v>
      </c>
      <c r="G7" s="3">
        <v>38464</v>
      </c>
      <c r="H7" s="3">
        <v>0</v>
      </c>
      <c r="I7" s="3">
        <v>8515</v>
      </c>
      <c r="J7" s="3">
        <v>24862350</v>
      </c>
      <c r="K7" s="3">
        <v>25</v>
      </c>
      <c r="L7" s="3">
        <v>0</v>
      </c>
      <c r="M7" s="3">
        <v>380425385</v>
      </c>
      <c r="N7" s="3">
        <v>41517</v>
      </c>
      <c r="O7" s="3">
        <v>0</v>
      </c>
      <c r="P7" s="3">
        <f t="shared" si="0"/>
        <v>517197769</v>
      </c>
    </row>
    <row r="8" spans="1:16" x14ac:dyDescent="0.25">
      <c r="A8" s="2">
        <v>45664</v>
      </c>
      <c r="B8" s="3">
        <v>76696127</v>
      </c>
      <c r="C8" s="3">
        <v>2464274</v>
      </c>
      <c r="D8" s="3">
        <v>0</v>
      </c>
      <c r="E8" s="3">
        <v>12</v>
      </c>
      <c r="F8" s="3">
        <v>0</v>
      </c>
      <c r="G8" s="3">
        <v>19790</v>
      </c>
      <c r="H8" s="3">
        <v>0</v>
      </c>
      <c r="I8" s="3">
        <v>77529</v>
      </c>
      <c r="J8" s="3">
        <v>67288737</v>
      </c>
      <c r="K8" s="3">
        <v>162</v>
      </c>
      <c r="L8" s="3">
        <v>0</v>
      </c>
      <c r="M8" s="3">
        <v>260851319</v>
      </c>
      <c r="N8" s="3">
        <v>90150452</v>
      </c>
      <c r="O8" s="3">
        <v>0</v>
      </c>
      <c r="P8" s="3">
        <f t="shared" si="0"/>
        <v>497548402</v>
      </c>
    </row>
    <row r="9" spans="1:16" x14ac:dyDescent="0.25">
      <c r="A9" s="2">
        <v>45665</v>
      </c>
      <c r="B9" s="3">
        <v>99308162</v>
      </c>
      <c r="C9" s="3">
        <v>1274574</v>
      </c>
      <c r="D9" s="3">
        <v>0</v>
      </c>
      <c r="E9" s="3">
        <v>131</v>
      </c>
      <c r="F9" s="3">
        <v>0</v>
      </c>
      <c r="G9" s="3">
        <v>8164</v>
      </c>
      <c r="H9" s="3">
        <v>0</v>
      </c>
      <c r="I9" s="3">
        <v>352093</v>
      </c>
      <c r="J9" s="3">
        <v>10934631</v>
      </c>
      <c r="K9" s="3">
        <v>0</v>
      </c>
      <c r="L9" s="3">
        <v>0</v>
      </c>
      <c r="M9" s="3">
        <v>469556237</v>
      </c>
      <c r="N9" s="3">
        <v>247310</v>
      </c>
      <c r="O9" s="3">
        <v>0</v>
      </c>
      <c r="P9" s="3">
        <f t="shared" si="0"/>
        <v>581681302</v>
      </c>
    </row>
    <row r="10" spans="1:16" x14ac:dyDescent="0.25">
      <c r="A10" s="2">
        <v>45666</v>
      </c>
      <c r="B10" s="3">
        <v>177209547</v>
      </c>
      <c r="C10" s="3">
        <v>390504</v>
      </c>
      <c r="D10" s="3">
        <v>0</v>
      </c>
      <c r="E10" s="3">
        <v>301</v>
      </c>
      <c r="F10" s="3">
        <v>0</v>
      </c>
      <c r="G10" s="3">
        <v>41871</v>
      </c>
      <c r="H10" s="3">
        <v>0</v>
      </c>
      <c r="I10" s="3">
        <v>101977</v>
      </c>
      <c r="J10" s="3">
        <v>6829256</v>
      </c>
      <c r="K10" s="3">
        <v>0</v>
      </c>
      <c r="L10" s="3">
        <v>0</v>
      </c>
      <c r="M10" s="3">
        <v>486100094</v>
      </c>
      <c r="N10" s="3">
        <v>1508</v>
      </c>
      <c r="O10" s="3">
        <v>0</v>
      </c>
      <c r="P10" s="3">
        <f t="shared" si="0"/>
        <v>670675058</v>
      </c>
    </row>
    <row r="11" spans="1:16" x14ac:dyDescent="0.25">
      <c r="A11" s="2">
        <v>45667</v>
      </c>
      <c r="B11" s="3">
        <v>71479464</v>
      </c>
      <c r="C11" s="3">
        <v>74710</v>
      </c>
      <c r="D11" s="3">
        <v>0</v>
      </c>
      <c r="E11" s="3">
        <v>7</v>
      </c>
      <c r="F11" s="3">
        <v>0</v>
      </c>
      <c r="G11" s="3">
        <v>112420</v>
      </c>
      <c r="H11" s="3">
        <v>0</v>
      </c>
      <c r="I11" s="3">
        <v>77317</v>
      </c>
      <c r="J11" s="3">
        <v>7303186</v>
      </c>
      <c r="K11" s="3">
        <v>25</v>
      </c>
      <c r="L11" s="3">
        <v>0</v>
      </c>
      <c r="M11" s="3">
        <v>316714220</v>
      </c>
      <c r="N11" s="3">
        <v>10776</v>
      </c>
      <c r="O11" s="3">
        <v>0</v>
      </c>
      <c r="P11" s="3">
        <f t="shared" si="0"/>
        <v>395772125</v>
      </c>
    </row>
    <row r="12" spans="1:16" x14ac:dyDescent="0.25">
      <c r="A12" s="2">
        <v>45668</v>
      </c>
      <c r="B12" s="3">
        <v>56709721</v>
      </c>
      <c r="C12" s="3">
        <v>123574</v>
      </c>
      <c r="D12" s="3">
        <v>0</v>
      </c>
      <c r="E12" s="3">
        <v>130</v>
      </c>
      <c r="F12" s="3">
        <v>0</v>
      </c>
      <c r="G12" s="3">
        <v>100</v>
      </c>
      <c r="H12" s="3">
        <v>0</v>
      </c>
      <c r="I12" s="3">
        <v>913</v>
      </c>
      <c r="J12" s="3">
        <v>2117175</v>
      </c>
      <c r="K12" s="3">
        <v>0</v>
      </c>
      <c r="L12" s="3">
        <v>0</v>
      </c>
      <c r="M12" s="3">
        <v>229985925</v>
      </c>
      <c r="N12" s="3">
        <v>2660</v>
      </c>
      <c r="O12" s="3">
        <v>0</v>
      </c>
      <c r="P12" s="3">
        <f t="shared" si="0"/>
        <v>288940198</v>
      </c>
    </row>
    <row r="13" spans="1:16" x14ac:dyDescent="0.25">
      <c r="A13" s="2">
        <v>45669</v>
      </c>
      <c r="B13" s="3">
        <v>17627407</v>
      </c>
      <c r="C13" s="3">
        <v>65305</v>
      </c>
      <c r="D13" s="3">
        <v>0</v>
      </c>
      <c r="E13" s="3">
        <v>5</v>
      </c>
      <c r="F13" s="3">
        <v>0</v>
      </c>
      <c r="G13" s="3">
        <v>59534</v>
      </c>
      <c r="H13" s="3">
        <v>0</v>
      </c>
      <c r="I13" s="3">
        <v>1414</v>
      </c>
      <c r="J13" s="3">
        <v>1721457</v>
      </c>
      <c r="K13" s="3">
        <v>0</v>
      </c>
      <c r="L13" s="3">
        <v>0</v>
      </c>
      <c r="M13" s="3">
        <v>155050713</v>
      </c>
      <c r="N13" s="3">
        <v>0</v>
      </c>
      <c r="O13" s="3">
        <v>0</v>
      </c>
      <c r="P13" s="3">
        <f t="shared" si="0"/>
        <v>174525835</v>
      </c>
    </row>
    <row r="14" spans="1:16" x14ac:dyDescent="0.25">
      <c r="A14" s="2">
        <v>45670</v>
      </c>
      <c r="B14" s="3">
        <v>36845296</v>
      </c>
      <c r="C14" s="3">
        <v>2599970</v>
      </c>
      <c r="D14" s="3">
        <v>0</v>
      </c>
      <c r="E14" s="3">
        <v>13</v>
      </c>
      <c r="F14" s="3">
        <v>0</v>
      </c>
      <c r="G14" s="3">
        <v>18565</v>
      </c>
      <c r="H14" s="3">
        <v>0</v>
      </c>
      <c r="I14" s="3">
        <v>300754</v>
      </c>
      <c r="J14" s="3">
        <v>10812652</v>
      </c>
      <c r="K14" s="3">
        <v>50</v>
      </c>
      <c r="L14" s="3">
        <v>0</v>
      </c>
      <c r="M14" s="3">
        <v>282568004</v>
      </c>
      <c r="N14" s="3">
        <v>4020</v>
      </c>
      <c r="O14" s="3">
        <v>0</v>
      </c>
      <c r="P14" s="3">
        <f t="shared" si="0"/>
        <v>333149324</v>
      </c>
    </row>
    <row r="15" spans="1:16" x14ac:dyDescent="0.25">
      <c r="A15" s="2">
        <v>45671</v>
      </c>
      <c r="B15" s="3">
        <v>19750113</v>
      </c>
      <c r="C15" s="3">
        <v>513822</v>
      </c>
      <c r="D15" s="3">
        <v>0</v>
      </c>
      <c r="E15" s="3">
        <v>45</v>
      </c>
      <c r="F15" s="3">
        <v>0</v>
      </c>
      <c r="G15" s="3">
        <v>97881</v>
      </c>
      <c r="H15" s="3">
        <v>0</v>
      </c>
      <c r="I15" s="3">
        <v>17608</v>
      </c>
      <c r="J15" s="3">
        <v>8133991</v>
      </c>
      <c r="K15" s="3">
        <v>0</v>
      </c>
      <c r="L15" s="3">
        <v>0</v>
      </c>
      <c r="M15" s="3">
        <v>191673417</v>
      </c>
      <c r="N15" s="3">
        <v>7978</v>
      </c>
      <c r="O15" s="3">
        <v>0</v>
      </c>
      <c r="P15" s="3">
        <f t="shared" si="0"/>
        <v>220194855</v>
      </c>
    </row>
    <row r="16" spans="1:16" x14ac:dyDescent="0.25">
      <c r="A16" s="2">
        <v>45672</v>
      </c>
      <c r="B16" s="3">
        <v>41962938</v>
      </c>
      <c r="C16" s="3">
        <v>410592</v>
      </c>
      <c r="D16" s="3">
        <v>0</v>
      </c>
      <c r="E16" s="3">
        <v>17</v>
      </c>
      <c r="F16" s="3">
        <v>0</v>
      </c>
      <c r="G16" s="3">
        <v>114234</v>
      </c>
      <c r="H16" s="3">
        <v>0</v>
      </c>
      <c r="I16" s="3">
        <v>2539</v>
      </c>
      <c r="J16" s="3">
        <v>9578582</v>
      </c>
      <c r="K16" s="3">
        <v>0</v>
      </c>
      <c r="L16" s="3">
        <v>0</v>
      </c>
      <c r="M16" s="3">
        <v>522065911</v>
      </c>
      <c r="N16" s="3">
        <v>776</v>
      </c>
      <c r="O16" s="3">
        <v>0</v>
      </c>
      <c r="P16" s="3">
        <f t="shared" si="0"/>
        <v>574135589</v>
      </c>
    </row>
    <row r="17" spans="1:16" x14ac:dyDescent="0.25">
      <c r="A17" s="2">
        <v>45673</v>
      </c>
      <c r="B17" s="3">
        <v>15820970</v>
      </c>
      <c r="C17" s="3">
        <v>259871</v>
      </c>
      <c r="D17" s="3">
        <v>0</v>
      </c>
      <c r="E17" s="3">
        <v>12</v>
      </c>
      <c r="F17" s="3">
        <v>0</v>
      </c>
      <c r="G17" s="3">
        <v>1426</v>
      </c>
      <c r="H17" s="3">
        <v>0</v>
      </c>
      <c r="I17" s="3">
        <v>143097</v>
      </c>
      <c r="J17" s="3">
        <v>6479659</v>
      </c>
      <c r="K17" s="3">
        <v>0</v>
      </c>
      <c r="L17" s="3">
        <v>0</v>
      </c>
      <c r="M17" s="3">
        <v>438365428</v>
      </c>
      <c r="N17" s="3">
        <v>3087</v>
      </c>
      <c r="O17" s="3">
        <v>0</v>
      </c>
      <c r="P17" s="3">
        <f t="shared" si="0"/>
        <v>461073550</v>
      </c>
    </row>
    <row r="18" spans="1:16" x14ac:dyDescent="0.25">
      <c r="A18" s="2">
        <v>45674</v>
      </c>
      <c r="B18" s="3">
        <v>15962976</v>
      </c>
      <c r="C18" s="3">
        <v>312863</v>
      </c>
      <c r="D18" s="3">
        <v>0</v>
      </c>
      <c r="E18" s="3">
        <v>825102</v>
      </c>
      <c r="F18" s="3">
        <v>0</v>
      </c>
      <c r="G18" s="3">
        <v>184574</v>
      </c>
      <c r="H18" s="3">
        <v>0</v>
      </c>
      <c r="I18" s="3">
        <v>235707</v>
      </c>
      <c r="J18" s="3">
        <v>4808708</v>
      </c>
      <c r="K18" s="3">
        <v>0</v>
      </c>
      <c r="L18" s="3">
        <v>0</v>
      </c>
      <c r="M18" s="3">
        <v>470981563</v>
      </c>
      <c r="N18" s="3">
        <v>2026</v>
      </c>
      <c r="O18" s="3">
        <v>0</v>
      </c>
      <c r="P18" s="3">
        <f t="shared" si="0"/>
        <v>493313519</v>
      </c>
    </row>
    <row r="19" spans="1:16" x14ac:dyDescent="0.25">
      <c r="A19" s="2">
        <v>45675</v>
      </c>
      <c r="B19" s="3">
        <v>10141605</v>
      </c>
      <c r="C19" s="3">
        <v>14956</v>
      </c>
      <c r="D19" s="3">
        <v>0</v>
      </c>
      <c r="E19" s="3">
        <v>11</v>
      </c>
      <c r="F19" s="3">
        <v>0</v>
      </c>
      <c r="G19" s="3">
        <v>127784</v>
      </c>
      <c r="H19" s="3">
        <v>0</v>
      </c>
      <c r="I19" s="3">
        <v>14396</v>
      </c>
      <c r="J19" s="3">
        <v>3325136</v>
      </c>
      <c r="K19" s="3">
        <v>0</v>
      </c>
      <c r="L19" s="3">
        <v>0</v>
      </c>
      <c r="M19" s="3">
        <v>190815539</v>
      </c>
      <c r="N19" s="3">
        <v>0</v>
      </c>
      <c r="O19" s="3">
        <v>0</v>
      </c>
      <c r="P19" s="3">
        <f t="shared" si="0"/>
        <v>204439427</v>
      </c>
    </row>
    <row r="20" spans="1:16" x14ac:dyDescent="0.25">
      <c r="A20" s="2">
        <v>45676</v>
      </c>
      <c r="B20" s="3">
        <v>154075032</v>
      </c>
      <c r="C20" s="3">
        <v>71100</v>
      </c>
      <c r="D20" s="3">
        <v>0</v>
      </c>
      <c r="E20" s="3">
        <v>825209</v>
      </c>
      <c r="F20" s="3">
        <v>0</v>
      </c>
      <c r="G20" s="3">
        <v>424464</v>
      </c>
      <c r="H20" s="3">
        <v>0</v>
      </c>
      <c r="I20" s="3">
        <v>9111</v>
      </c>
      <c r="J20" s="3">
        <v>6261721</v>
      </c>
      <c r="K20" s="3">
        <v>0</v>
      </c>
      <c r="L20" s="3">
        <v>0</v>
      </c>
      <c r="M20" s="3">
        <v>198964589</v>
      </c>
      <c r="N20" s="3">
        <v>3919</v>
      </c>
      <c r="O20" s="3">
        <v>0</v>
      </c>
      <c r="P20" s="3">
        <f t="shared" si="0"/>
        <v>360635145</v>
      </c>
    </row>
    <row r="21" spans="1:16" x14ac:dyDescent="0.25">
      <c r="A21" s="2">
        <v>45677</v>
      </c>
      <c r="B21" s="3">
        <v>62854802</v>
      </c>
      <c r="C21" s="3">
        <v>133908</v>
      </c>
      <c r="D21" s="3">
        <v>0</v>
      </c>
      <c r="E21" s="3">
        <v>16</v>
      </c>
      <c r="F21" s="3">
        <v>0</v>
      </c>
      <c r="G21" s="3">
        <v>663</v>
      </c>
      <c r="H21" s="3">
        <v>0</v>
      </c>
      <c r="I21" s="3">
        <v>130092</v>
      </c>
      <c r="J21" s="3">
        <v>45909993</v>
      </c>
      <c r="K21" s="3">
        <v>0</v>
      </c>
      <c r="L21" s="3">
        <v>0</v>
      </c>
      <c r="M21" s="3">
        <v>133190619</v>
      </c>
      <c r="N21" s="3">
        <v>5911</v>
      </c>
      <c r="O21" s="3">
        <v>1266</v>
      </c>
      <c r="P21" s="3">
        <f t="shared" si="0"/>
        <v>242227270</v>
      </c>
    </row>
    <row r="22" spans="1:16" x14ac:dyDescent="0.25">
      <c r="A22" s="2">
        <v>45678</v>
      </c>
      <c r="B22" s="3">
        <v>21696227</v>
      </c>
      <c r="C22" s="3">
        <v>488802</v>
      </c>
      <c r="D22" s="3">
        <v>0</v>
      </c>
      <c r="E22" s="3">
        <v>5</v>
      </c>
      <c r="F22" s="3">
        <v>0</v>
      </c>
      <c r="G22" s="3">
        <v>9245</v>
      </c>
      <c r="H22" s="3">
        <v>0</v>
      </c>
      <c r="I22" s="3">
        <v>1658</v>
      </c>
      <c r="J22" s="3">
        <v>14560090</v>
      </c>
      <c r="K22" s="3">
        <v>0</v>
      </c>
      <c r="L22" s="3">
        <v>0</v>
      </c>
      <c r="M22" s="3">
        <v>171196164</v>
      </c>
      <c r="N22" s="3">
        <v>1087</v>
      </c>
      <c r="O22" s="3">
        <v>0</v>
      </c>
      <c r="P22" s="3">
        <f t="shared" si="0"/>
        <v>207953278</v>
      </c>
    </row>
    <row r="23" spans="1:16" x14ac:dyDescent="0.25">
      <c r="A23" s="2">
        <v>45679</v>
      </c>
      <c r="B23" s="3">
        <v>6230704</v>
      </c>
      <c r="C23" s="3">
        <v>928090</v>
      </c>
      <c r="D23" s="3">
        <v>0</v>
      </c>
      <c r="E23" s="3">
        <v>6</v>
      </c>
      <c r="F23" s="3">
        <v>0</v>
      </c>
      <c r="G23" s="3">
        <v>860542</v>
      </c>
      <c r="H23" s="3">
        <v>0</v>
      </c>
      <c r="I23" s="3">
        <v>32512</v>
      </c>
      <c r="J23" s="3">
        <v>18566832</v>
      </c>
      <c r="K23" s="3">
        <v>0</v>
      </c>
      <c r="L23" s="3">
        <v>0</v>
      </c>
      <c r="M23" s="3">
        <v>230614412</v>
      </c>
      <c r="N23" s="3">
        <v>1878</v>
      </c>
      <c r="O23" s="3">
        <v>0</v>
      </c>
      <c r="P23" s="3">
        <f t="shared" si="0"/>
        <v>257234976</v>
      </c>
    </row>
    <row r="24" spans="1:16" x14ac:dyDescent="0.25">
      <c r="A24" s="2">
        <v>45680</v>
      </c>
      <c r="B24" s="3">
        <v>13301751</v>
      </c>
      <c r="C24" s="3">
        <v>2767527</v>
      </c>
      <c r="D24" s="3">
        <v>0</v>
      </c>
      <c r="E24" s="3">
        <v>9</v>
      </c>
      <c r="F24" s="3">
        <v>0</v>
      </c>
      <c r="G24" s="3">
        <v>39784</v>
      </c>
      <c r="H24" s="3">
        <v>0</v>
      </c>
      <c r="I24" s="3">
        <v>300194</v>
      </c>
      <c r="J24" s="3">
        <v>38297606</v>
      </c>
      <c r="K24" s="3">
        <v>0</v>
      </c>
      <c r="L24" s="3">
        <v>0</v>
      </c>
      <c r="M24" s="3">
        <v>177417101</v>
      </c>
      <c r="N24" s="3">
        <v>15920</v>
      </c>
      <c r="O24" s="3">
        <v>0</v>
      </c>
      <c r="P24" s="3">
        <f t="shared" si="0"/>
        <v>232139892</v>
      </c>
    </row>
    <row r="25" spans="1:16" x14ac:dyDescent="0.25">
      <c r="A25" s="2">
        <v>45681</v>
      </c>
      <c r="B25" s="3">
        <v>8913623</v>
      </c>
      <c r="C25" s="3">
        <v>540065</v>
      </c>
      <c r="D25" s="3">
        <v>0</v>
      </c>
      <c r="E25" s="3">
        <v>174</v>
      </c>
      <c r="F25" s="3">
        <v>0</v>
      </c>
      <c r="G25" s="3">
        <v>49639</v>
      </c>
      <c r="H25" s="3">
        <v>0</v>
      </c>
      <c r="I25" s="3">
        <v>5172</v>
      </c>
      <c r="J25" s="3">
        <v>7222328</v>
      </c>
      <c r="K25" s="3">
        <v>0</v>
      </c>
      <c r="L25" s="3">
        <v>0</v>
      </c>
      <c r="M25" s="3">
        <v>238524304</v>
      </c>
      <c r="N25" s="3">
        <v>1738</v>
      </c>
      <c r="O25" s="3">
        <v>0</v>
      </c>
      <c r="P25" s="3">
        <f t="shared" si="0"/>
        <v>255257043</v>
      </c>
    </row>
    <row r="26" spans="1:16" x14ac:dyDescent="0.25">
      <c r="A26" s="2">
        <v>45682</v>
      </c>
      <c r="B26" s="3">
        <v>6009440</v>
      </c>
      <c r="C26" s="3">
        <v>881</v>
      </c>
      <c r="D26" s="3">
        <v>0</v>
      </c>
      <c r="E26" s="3">
        <v>4</v>
      </c>
      <c r="F26" s="3">
        <v>0</v>
      </c>
      <c r="G26" s="3">
        <v>0</v>
      </c>
      <c r="H26" s="3">
        <v>0</v>
      </c>
      <c r="I26" s="3">
        <v>1263</v>
      </c>
      <c r="J26" s="3">
        <v>3805291</v>
      </c>
      <c r="K26" s="3">
        <v>0</v>
      </c>
      <c r="L26" s="3">
        <v>0</v>
      </c>
      <c r="M26" s="3">
        <v>120079436</v>
      </c>
      <c r="N26" s="3">
        <v>18151</v>
      </c>
      <c r="O26" s="3">
        <v>0</v>
      </c>
      <c r="P26" s="3">
        <f t="shared" si="0"/>
        <v>129914466</v>
      </c>
    </row>
    <row r="27" spans="1:16" x14ac:dyDescent="0.25">
      <c r="A27" s="2">
        <v>45683</v>
      </c>
      <c r="B27" s="3">
        <v>6058794</v>
      </c>
      <c r="C27" s="3">
        <v>4816</v>
      </c>
      <c r="D27" s="3">
        <v>0</v>
      </c>
      <c r="E27" s="3">
        <v>320</v>
      </c>
      <c r="F27" s="3">
        <v>0</v>
      </c>
      <c r="G27" s="3">
        <v>1</v>
      </c>
      <c r="H27" s="3">
        <v>0</v>
      </c>
      <c r="I27" s="3">
        <v>1200</v>
      </c>
      <c r="J27" s="3">
        <v>2360404</v>
      </c>
      <c r="K27" s="3">
        <v>0</v>
      </c>
      <c r="L27" s="3">
        <v>0</v>
      </c>
      <c r="M27" s="3">
        <v>132119736</v>
      </c>
      <c r="N27" s="3">
        <v>0</v>
      </c>
      <c r="O27" s="3">
        <v>0</v>
      </c>
      <c r="P27" s="3">
        <f t="shared" si="0"/>
        <v>140545271</v>
      </c>
    </row>
    <row r="28" spans="1:16" x14ac:dyDescent="0.25">
      <c r="A28" s="2">
        <v>45684</v>
      </c>
      <c r="B28" s="3">
        <v>26047290</v>
      </c>
      <c r="C28" s="3">
        <v>914959</v>
      </c>
      <c r="D28" s="3">
        <v>0</v>
      </c>
      <c r="E28" s="3">
        <v>40</v>
      </c>
      <c r="F28" s="3">
        <v>0</v>
      </c>
      <c r="G28" s="3">
        <v>15532</v>
      </c>
      <c r="H28" s="3">
        <v>0</v>
      </c>
      <c r="I28" s="3">
        <v>98093</v>
      </c>
      <c r="J28" s="3">
        <v>16154605</v>
      </c>
      <c r="K28" s="3">
        <v>0</v>
      </c>
      <c r="L28" s="3">
        <v>0</v>
      </c>
      <c r="M28" s="3">
        <v>368272038</v>
      </c>
      <c r="N28" s="3">
        <v>94</v>
      </c>
      <c r="O28" s="3">
        <v>0</v>
      </c>
      <c r="P28" s="3">
        <f t="shared" si="0"/>
        <v>411502651</v>
      </c>
    </row>
    <row r="29" spans="1:16" x14ac:dyDescent="0.25">
      <c r="A29" s="2">
        <v>45685</v>
      </c>
      <c r="B29" s="3">
        <v>24880130</v>
      </c>
      <c r="C29" s="3">
        <v>1137560</v>
      </c>
      <c r="D29" s="3">
        <v>0</v>
      </c>
      <c r="E29" s="3">
        <v>7</v>
      </c>
      <c r="F29" s="3">
        <v>0</v>
      </c>
      <c r="G29" s="3">
        <v>2842</v>
      </c>
      <c r="H29" s="3">
        <v>0</v>
      </c>
      <c r="I29" s="3">
        <v>30151</v>
      </c>
      <c r="J29" s="3">
        <v>8172615</v>
      </c>
      <c r="K29" s="3">
        <v>0</v>
      </c>
      <c r="L29" s="3">
        <v>0</v>
      </c>
      <c r="M29" s="3">
        <v>311709726</v>
      </c>
      <c r="N29" s="3">
        <v>3820</v>
      </c>
      <c r="O29" s="3">
        <v>0</v>
      </c>
      <c r="P29" s="3">
        <f t="shared" si="0"/>
        <v>345936851</v>
      </c>
    </row>
    <row r="30" spans="1:16" x14ac:dyDescent="0.25">
      <c r="A30" s="2">
        <v>45686</v>
      </c>
      <c r="B30" s="3">
        <v>16454733</v>
      </c>
      <c r="C30" s="3">
        <v>1206782</v>
      </c>
      <c r="D30" s="3">
        <v>0</v>
      </c>
      <c r="E30" s="3">
        <v>3</v>
      </c>
      <c r="F30" s="3">
        <v>0</v>
      </c>
      <c r="G30" s="3">
        <v>4880</v>
      </c>
      <c r="H30" s="3">
        <v>0</v>
      </c>
      <c r="I30" s="3">
        <v>143696</v>
      </c>
      <c r="J30" s="3">
        <v>7382098</v>
      </c>
      <c r="K30" s="3">
        <v>1028</v>
      </c>
      <c r="L30" s="3">
        <v>0</v>
      </c>
      <c r="M30" s="3">
        <v>177308827</v>
      </c>
      <c r="N30" s="3">
        <v>2088</v>
      </c>
      <c r="O30" s="3">
        <v>530989</v>
      </c>
      <c r="P30" s="3">
        <f t="shared" si="0"/>
        <v>203035124</v>
      </c>
    </row>
    <row r="31" spans="1:16" x14ac:dyDescent="0.25">
      <c r="A31" s="2">
        <v>45687</v>
      </c>
      <c r="B31" s="3">
        <v>20786678</v>
      </c>
      <c r="C31" s="3">
        <v>1902442</v>
      </c>
      <c r="D31" s="3">
        <v>0</v>
      </c>
      <c r="E31" s="3">
        <v>5</v>
      </c>
      <c r="F31" s="3">
        <v>0</v>
      </c>
      <c r="G31" s="3">
        <v>3857</v>
      </c>
      <c r="H31" s="3">
        <v>0</v>
      </c>
      <c r="I31" s="3">
        <v>12865</v>
      </c>
      <c r="J31" s="3">
        <v>12246975</v>
      </c>
      <c r="K31" s="3">
        <v>0</v>
      </c>
      <c r="L31" s="3">
        <v>0</v>
      </c>
      <c r="M31" s="3">
        <v>591094931</v>
      </c>
      <c r="N31" s="3">
        <v>12117</v>
      </c>
      <c r="O31" s="3">
        <v>0</v>
      </c>
      <c r="P31" s="3">
        <f t="shared" si="0"/>
        <v>626059870</v>
      </c>
    </row>
    <row r="32" spans="1:16" x14ac:dyDescent="0.25">
      <c r="A32" s="2">
        <v>45688</v>
      </c>
      <c r="B32" s="3">
        <v>558371</v>
      </c>
      <c r="C32" s="3">
        <v>57106</v>
      </c>
      <c r="D32" s="3">
        <v>0</v>
      </c>
      <c r="E32" s="3">
        <v>5</v>
      </c>
      <c r="F32" s="3">
        <v>0</v>
      </c>
      <c r="G32" s="3">
        <v>380</v>
      </c>
      <c r="H32" s="3">
        <v>0</v>
      </c>
      <c r="I32" s="3">
        <v>43492</v>
      </c>
      <c r="J32" s="3">
        <v>22731262</v>
      </c>
      <c r="K32" s="3">
        <v>0</v>
      </c>
      <c r="L32" s="3">
        <v>0</v>
      </c>
      <c r="M32" s="3">
        <v>163535022</v>
      </c>
      <c r="N32" s="3">
        <v>13060</v>
      </c>
      <c r="O32" s="3">
        <v>0</v>
      </c>
      <c r="P32" s="3">
        <f t="shared" si="0"/>
        <v>186938698</v>
      </c>
    </row>
    <row r="33" spans="1:16" x14ac:dyDescent="0.25">
      <c r="A33" s="2">
        <v>45689</v>
      </c>
      <c r="B33" s="3">
        <v>2408268</v>
      </c>
      <c r="C33" s="3">
        <v>83543</v>
      </c>
      <c r="D33" s="3">
        <v>0</v>
      </c>
      <c r="E33" s="3">
        <v>5</v>
      </c>
      <c r="F33" s="3">
        <v>0</v>
      </c>
      <c r="G33" s="3">
        <v>14596</v>
      </c>
      <c r="H33" s="3">
        <v>0</v>
      </c>
      <c r="I33" s="3">
        <v>1542</v>
      </c>
      <c r="J33" s="3">
        <v>8003902</v>
      </c>
      <c r="K33" s="3">
        <v>0</v>
      </c>
      <c r="L33" s="3">
        <v>0</v>
      </c>
      <c r="M33" s="3">
        <v>158687608</v>
      </c>
      <c r="N33" s="3">
        <v>1379</v>
      </c>
      <c r="O33" s="3">
        <v>0</v>
      </c>
      <c r="P33" s="3">
        <f t="shared" si="0"/>
        <v>169200843</v>
      </c>
    </row>
    <row r="34" spans="1:16" x14ac:dyDescent="0.25">
      <c r="A34" s="2">
        <v>45690</v>
      </c>
      <c r="B34" s="3">
        <v>4281007</v>
      </c>
      <c r="C34" s="3">
        <v>49717</v>
      </c>
      <c r="D34" s="3">
        <v>0</v>
      </c>
      <c r="E34" s="3">
        <v>17</v>
      </c>
      <c r="F34" s="3">
        <v>0</v>
      </c>
      <c r="G34" s="3">
        <v>764</v>
      </c>
      <c r="H34" s="3">
        <v>0</v>
      </c>
      <c r="I34" s="3">
        <v>24939</v>
      </c>
      <c r="J34" s="3">
        <v>43295265</v>
      </c>
      <c r="K34" s="3">
        <v>0</v>
      </c>
      <c r="L34" s="3">
        <v>0</v>
      </c>
      <c r="M34" s="3">
        <v>274985601</v>
      </c>
      <c r="N34" s="3">
        <v>428</v>
      </c>
      <c r="O34" s="3">
        <v>0</v>
      </c>
      <c r="P34" s="3">
        <f t="shared" si="0"/>
        <v>322637738</v>
      </c>
    </row>
    <row r="35" spans="1:16" x14ac:dyDescent="0.25">
      <c r="A35" s="2">
        <v>45691</v>
      </c>
      <c r="B35" s="3">
        <v>37076288</v>
      </c>
      <c r="C35" s="3">
        <v>460984</v>
      </c>
      <c r="D35" s="3">
        <v>0</v>
      </c>
      <c r="E35" s="3">
        <v>168</v>
      </c>
      <c r="F35" s="3">
        <v>0</v>
      </c>
      <c r="G35" s="3">
        <v>17571</v>
      </c>
      <c r="H35" s="3">
        <v>0</v>
      </c>
      <c r="I35" s="3">
        <v>27282</v>
      </c>
      <c r="J35" s="3">
        <v>49953440</v>
      </c>
      <c r="K35" s="3">
        <v>2490</v>
      </c>
      <c r="L35" s="3">
        <v>0</v>
      </c>
      <c r="M35" s="3">
        <v>576267304</v>
      </c>
      <c r="N35" s="3">
        <v>3985</v>
      </c>
      <c r="O35" s="3">
        <v>30928</v>
      </c>
      <c r="P35" s="3">
        <f t="shared" si="0"/>
        <v>663840440</v>
      </c>
    </row>
    <row r="36" spans="1:16" x14ac:dyDescent="0.25">
      <c r="A36" s="2">
        <v>45692</v>
      </c>
      <c r="B36" s="3">
        <v>40193226</v>
      </c>
      <c r="C36" s="3">
        <v>652273</v>
      </c>
      <c r="D36" s="3">
        <v>0</v>
      </c>
      <c r="E36" s="3">
        <v>65</v>
      </c>
      <c r="F36" s="3">
        <v>0</v>
      </c>
      <c r="G36" s="3">
        <v>176070</v>
      </c>
      <c r="H36" s="3">
        <v>0</v>
      </c>
      <c r="I36" s="3">
        <v>94143</v>
      </c>
      <c r="J36" s="3">
        <v>11544463</v>
      </c>
      <c r="K36" s="3">
        <v>75</v>
      </c>
      <c r="L36" s="3">
        <v>0</v>
      </c>
      <c r="M36" s="3">
        <v>235598799</v>
      </c>
      <c r="N36" s="3">
        <v>17501</v>
      </c>
      <c r="O36" s="3">
        <v>0</v>
      </c>
      <c r="P36" s="3">
        <f t="shared" si="0"/>
        <v>288276615</v>
      </c>
    </row>
    <row r="37" spans="1:16" x14ac:dyDescent="0.25">
      <c r="A37" s="2">
        <v>45693</v>
      </c>
      <c r="B37" s="3">
        <v>21073154</v>
      </c>
      <c r="C37" s="3">
        <v>2364328</v>
      </c>
      <c r="D37" s="3">
        <v>0</v>
      </c>
      <c r="E37" s="3">
        <v>100032</v>
      </c>
      <c r="F37" s="3">
        <v>0</v>
      </c>
      <c r="G37" s="3">
        <v>14171</v>
      </c>
      <c r="H37" s="3">
        <v>0</v>
      </c>
      <c r="I37" s="3">
        <v>1522</v>
      </c>
      <c r="J37" s="3">
        <v>51088199</v>
      </c>
      <c r="K37" s="3">
        <v>0</v>
      </c>
      <c r="L37" s="3">
        <v>0</v>
      </c>
      <c r="M37" s="3">
        <v>731207184</v>
      </c>
      <c r="N37" s="3">
        <v>216</v>
      </c>
      <c r="O37" s="3">
        <v>0</v>
      </c>
      <c r="P37" s="3">
        <f t="shared" si="0"/>
        <v>805848806</v>
      </c>
    </row>
    <row r="38" spans="1:16" x14ac:dyDescent="0.25">
      <c r="A38" s="2">
        <v>45694</v>
      </c>
      <c r="B38" s="3">
        <v>5637549</v>
      </c>
      <c r="C38" s="3">
        <v>72980</v>
      </c>
      <c r="D38" s="3">
        <v>0</v>
      </c>
      <c r="E38" s="3">
        <v>1001</v>
      </c>
      <c r="F38" s="3">
        <v>0</v>
      </c>
      <c r="G38" s="3">
        <v>1399</v>
      </c>
      <c r="H38" s="3">
        <v>0</v>
      </c>
      <c r="I38" s="3">
        <v>60802</v>
      </c>
      <c r="J38" s="3">
        <v>30609888</v>
      </c>
      <c r="K38" s="3">
        <v>0</v>
      </c>
      <c r="L38" s="3">
        <v>0</v>
      </c>
      <c r="M38" s="3">
        <v>199411036</v>
      </c>
      <c r="N38" s="3">
        <v>14542</v>
      </c>
      <c r="O38" s="3">
        <v>33</v>
      </c>
      <c r="P38" s="3">
        <f t="shared" si="0"/>
        <v>235809230</v>
      </c>
    </row>
    <row r="39" spans="1:16" x14ac:dyDescent="0.25">
      <c r="A39" s="2">
        <v>45695</v>
      </c>
      <c r="B39" s="3">
        <v>15073214</v>
      </c>
      <c r="C39" s="3">
        <v>106965</v>
      </c>
      <c r="D39" s="3">
        <v>0</v>
      </c>
      <c r="E39" s="3">
        <v>440437</v>
      </c>
      <c r="F39" s="3">
        <v>0</v>
      </c>
      <c r="G39" s="3">
        <v>2674</v>
      </c>
      <c r="H39" s="3">
        <v>0</v>
      </c>
      <c r="I39" s="3">
        <v>183783</v>
      </c>
      <c r="J39" s="3">
        <v>36858560</v>
      </c>
      <c r="K39" s="3">
        <v>0</v>
      </c>
      <c r="L39" s="3">
        <v>0</v>
      </c>
      <c r="M39" s="3">
        <v>242991483</v>
      </c>
      <c r="N39" s="3">
        <v>4302</v>
      </c>
      <c r="O39" s="3">
        <v>0</v>
      </c>
      <c r="P39" s="3">
        <f t="shared" si="0"/>
        <v>295661418</v>
      </c>
    </row>
    <row r="40" spans="1:16" x14ac:dyDescent="0.25">
      <c r="A40" s="2">
        <v>45696</v>
      </c>
      <c r="B40" s="3">
        <v>12718717</v>
      </c>
      <c r="C40" s="3">
        <v>88148</v>
      </c>
      <c r="D40" s="3">
        <v>0</v>
      </c>
      <c r="E40" s="3">
        <v>5</v>
      </c>
      <c r="F40" s="3">
        <v>0</v>
      </c>
      <c r="G40" s="3">
        <v>1286</v>
      </c>
      <c r="H40" s="3">
        <v>0</v>
      </c>
      <c r="I40" s="3">
        <v>270</v>
      </c>
      <c r="J40" s="3">
        <v>4599380</v>
      </c>
      <c r="K40" s="3">
        <v>0</v>
      </c>
      <c r="L40" s="3">
        <v>0</v>
      </c>
      <c r="M40" s="3">
        <v>252964198</v>
      </c>
      <c r="N40" s="3">
        <v>5596</v>
      </c>
      <c r="O40" s="3">
        <v>841</v>
      </c>
      <c r="P40" s="3">
        <f t="shared" si="0"/>
        <v>270378441</v>
      </c>
    </row>
    <row r="41" spans="1:16" x14ac:dyDescent="0.25">
      <c r="A41" s="2">
        <v>45697</v>
      </c>
      <c r="B41" s="3">
        <v>1743720</v>
      </c>
      <c r="C41" s="3">
        <v>109321</v>
      </c>
      <c r="D41" s="3">
        <v>0</v>
      </c>
      <c r="E41" s="3">
        <v>8</v>
      </c>
      <c r="F41" s="3">
        <v>0</v>
      </c>
      <c r="G41" s="3">
        <v>5276</v>
      </c>
      <c r="H41" s="3">
        <v>0</v>
      </c>
      <c r="I41" s="3">
        <v>6623</v>
      </c>
      <c r="J41" s="3">
        <v>5180383</v>
      </c>
      <c r="K41" s="3">
        <v>0</v>
      </c>
      <c r="L41" s="3">
        <v>0</v>
      </c>
      <c r="M41" s="3">
        <v>188092730</v>
      </c>
      <c r="N41" s="3">
        <v>0</v>
      </c>
      <c r="O41" s="3">
        <v>0</v>
      </c>
      <c r="P41" s="3">
        <f t="shared" si="0"/>
        <v>195138061</v>
      </c>
    </row>
    <row r="42" spans="1:16" x14ac:dyDescent="0.25">
      <c r="A42" s="2">
        <v>45698</v>
      </c>
      <c r="B42" s="3">
        <v>16585968</v>
      </c>
      <c r="C42" s="3">
        <v>602544</v>
      </c>
      <c r="D42" s="3">
        <v>0</v>
      </c>
      <c r="E42" s="3">
        <v>180949</v>
      </c>
      <c r="F42" s="3">
        <v>0</v>
      </c>
      <c r="G42" s="3">
        <v>103492</v>
      </c>
      <c r="H42" s="3">
        <v>0</v>
      </c>
      <c r="I42" s="3">
        <v>65461</v>
      </c>
      <c r="J42" s="3">
        <v>13737143</v>
      </c>
      <c r="K42" s="3">
        <v>50</v>
      </c>
      <c r="L42" s="3">
        <v>0</v>
      </c>
      <c r="M42" s="3">
        <v>219711875</v>
      </c>
      <c r="N42" s="3">
        <v>192</v>
      </c>
      <c r="O42" s="3">
        <v>0</v>
      </c>
      <c r="P42" s="3">
        <f t="shared" si="0"/>
        <v>250987674</v>
      </c>
    </row>
    <row r="43" spans="1:16" x14ac:dyDescent="0.25">
      <c r="A43" s="2">
        <v>45699</v>
      </c>
      <c r="B43" s="3">
        <v>24489951</v>
      </c>
      <c r="C43" s="3">
        <v>216884</v>
      </c>
      <c r="D43" s="3">
        <v>0</v>
      </c>
      <c r="E43" s="3">
        <v>995</v>
      </c>
      <c r="F43" s="3">
        <v>0</v>
      </c>
      <c r="G43" s="3">
        <v>3134</v>
      </c>
      <c r="H43" s="3">
        <v>0</v>
      </c>
      <c r="I43" s="3">
        <v>94965</v>
      </c>
      <c r="J43" s="3">
        <v>29197444</v>
      </c>
      <c r="K43" s="3">
        <v>0</v>
      </c>
      <c r="L43" s="3">
        <v>0</v>
      </c>
      <c r="M43" s="3">
        <v>296376338</v>
      </c>
      <c r="N43" s="3">
        <v>1692</v>
      </c>
      <c r="O43" s="3">
        <v>16</v>
      </c>
      <c r="P43" s="3">
        <f t="shared" si="0"/>
        <v>350381419</v>
      </c>
    </row>
    <row r="44" spans="1:16" x14ac:dyDescent="0.25">
      <c r="A44" s="2">
        <v>45700</v>
      </c>
      <c r="B44" s="3">
        <v>12759341</v>
      </c>
      <c r="C44" s="3">
        <v>207199</v>
      </c>
      <c r="D44" s="3">
        <v>0</v>
      </c>
      <c r="E44" s="3">
        <v>1738</v>
      </c>
      <c r="F44" s="3">
        <v>0</v>
      </c>
      <c r="G44" s="3">
        <v>3397</v>
      </c>
      <c r="H44" s="3">
        <v>0</v>
      </c>
      <c r="I44" s="3">
        <v>5483</v>
      </c>
      <c r="J44" s="3">
        <v>17107377</v>
      </c>
      <c r="K44" s="3">
        <v>2076</v>
      </c>
      <c r="L44" s="3">
        <v>0</v>
      </c>
      <c r="M44" s="3">
        <v>109660380</v>
      </c>
      <c r="N44" s="3">
        <v>61669</v>
      </c>
      <c r="O44" s="3">
        <v>0</v>
      </c>
      <c r="P44" s="3">
        <f t="shared" si="0"/>
        <v>139808660</v>
      </c>
    </row>
    <row r="45" spans="1:16" x14ac:dyDescent="0.25">
      <c r="A45" s="2">
        <v>45701</v>
      </c>
      <c r="B45" s="3">
        <v>30329165</v>
      </c>
      <c r="C45" s="3">
        <v>2351838</v>
      </c>
      <c r="D45" s="3">
        <v>0</v>
      </c>
      <c r="E45" s="3">
        <v>355764</v>
      </c>
      <c r="F45" s="3">
        <v>0</v>
      </c>
      <c r="G45" s="3">
        <v>88157</v>
      </c>
      <c r="H45" s="3">
        <v>0</v>
      </c>
      <c r="I45" s="3">
        <v>11020</v>
      </c>
      <c r="J45" s="3">
        <v>16374524</v>
      </c>
      <c r="K45" s="3">
        <v>0</v>
      </c>
      <c r="L45" s="3">
        <v>0</v>
      </c>
      <c r="M45" s="3">
        <v>119476227</v>
      </c>
      <c r="N45" s="3">
        <v>80201</v>
      </c>
      <c r="O45" s="3">
        <v>0</v>
      </c>
      <c r="P45" s="3">
        <f t="shared" si="0"/>
        <v>169066896</v>
      </c>
    </row>
    <row r="46" spans="1:16" x14ac:dyDescent="0.25">
      <c r="A46" s="2">
        <v>45702</v>
      </c>
      <c r="B46" s="3">
        <v>13899321</v>
      </c>
      <c r="C46" s="3">
        <v>101668</v>
      </c>
      <c r="D46" s="3">
        <v>0</v>
      </c>
      <c r="E46" s="3">
        <v>1153316</v>
      </c>
      <c r="F46" s="3">
        <v>0</v>
      </c>
      <c r="G46" s="3">
        <v>2930</v>
      </c>
      <c r="H46" s="3">
        <v>0</v>
      </c>
      <c r="I46" s="3">
        <v>579</v>
      </c>
      <c r="J46" s="3">
        <v>15373995</v>
      </c>
      <c r="K46" s="3">
        <v>0</v>
      </c>
      <c r="L46" s="3">
        <v>0</v>
      </c>
      <c r="M46" s="3">
        <v>203606905</v>
      </c>
      <c r="N46" s="3">
        <v>160</v>
      </c>
      <c r="O46" s="3">
        <v>0</v>
      </c>
      <c r="P46" s="3">
        <f t="shared" si="0"/>
        <v>234138874</v>
      </c>
    </row>
    <row r="47" spans="1:16" x14ac:dyDescent="0.25">
      <c r="A47" s="2">
        <v>45703</v>
      </c>
      <c r="B47" s="3">
        <v>857908</v>
      </c>
      <c r="C47" s="3">
        <v>33637</v>
      </c>
      <c r="D47" s="3">
        <v>0</v>
      </c>
      <c r="E47" s="3">
        <v>13</v>
      </c>
      <c r="F47" s="3">
        <v>0</v>
      </c>
      <c r="G47" s="3">
        <v>3377</v>
      </c>
      <c r="H47" s="3">
        <v>0</v>
      </c>
      <c r="I47" s="3">
        <v>172</v>
      </c>
      <c r="J47" s="3">
        <v>5829868</v>
      </c>
      <c r="K47" s="3">
        <v>0</v>
      </c>
      <c r="L47" s="3">
        <v>0</v>
      </c>
      <c r="M47" s="3">
        <v>97156416</v>
      </c>
      <c r="N47" s="3">
        <v>0</v>
      </c>
      <c r="O47" s="3">
        <v>0</v>
      </c>
      <c r="P47" s="3">
        <f t="shared" si="0"/>
        <v>103881391</v>
      </c>
    </row>
    <row r="48" spans="1:16" x14ac:dyDescent="0.25">
      <c r="A48" s="2">
        <v>45704</v>
      </c>
      <c r="B48" s="3">
        <v>1360330</v>
      </c>
      <c r="C48" s="3">
        <v>125907</v>
      </c>
      <c r="D48" s="3">
        <v>0</v>
      </c>
      <c r="E48" s="3">
        <v>2</v>
      </c>
      <c r="F48" s="3">
        <v>0</v>
      </c>
      <c r="G48" s="3">
        <v>4445</v>
      </c>
      <c r="H48" s="3">
        <v>0</v>
      </c>
      <c r="I48" s="3">
        <v>1568</v>
      </c>
      <c r="J48" s="3">
        <v>5865434</v>
      </c>
      <c r="K48" s="3">
        <v>0</v>
      </c>
      <c r="L48" s="3">
        <v>0</v>
      </c>
      <c r="M48" s="3">
        <v>142776776</v>
      </c>
      <c r="N48" s="3">
        <v>0</v>
      </c>
      <c r="O48" s="3">
        <v>0</v>
      </c>
      <c r="P48" s="3">
        <f t="shared" si="0"/>
        <v>150134462</v>
      </c>
    </row>
    <row r="49" spans="1:16" x14ac:dyDescent="0.25">
      <c r="A49" s="2">
        <v>45705</v>
      </c>
      <c r="B49" s="3">
        <v>4768898</v>
      </c>
      <c r="C49" s="3">
        <v>153765</v>
      </c>
      <c r="D49" s="3">
        <v>0</v>
      </c>
      <c r="E49" s="3">
        <v>3</v>
      </c>
      <c r="F49" s="3">
        <v>0</v>
      </c>
      <c r="G49" s="3">
        <v>9091</v>
      </c>
      <c r="H49" s="3">
        <v>0</v>
      </c>
      <c r="I49" s="3">
        <v>1155</v>
      </c>
      <c r="J49" s="3">
        <v>12282808</v>
      </c>
      <c r="K49" s="3">
        <v>0</v>
      </c>
      <c r="L49" s="3">
        <v>0</v>
      </c>
      <c r="M49" s="3">
        <v>155665716</v>
      </c>
      <c r="N49" s="3">
        <v>19286</v>
      </c>
      <c r="O49" s="3">
        <v>0</v>
      </c>
      <c r="P49" s="3">
        <f t="shared" si="0"/>
        <v>172900722</v>
      </c>
    </row>
    <row r="50" spans="1:16" x14ac:dyDescent="0.25">
      <c r="A50" s="2">
        <v>45706</v>
      </c>
      <c r="B50" s="3">
        <v>21817276</v>
      </c>
      <c r="C50" s="3">
        <v>2957914</v>
      </c>
      <c r="D50" s="3">
        <v>0</v>
      </c>
      <c r="E50" s="3">
        <v>12</v>
      </c>
      <c r="F50" s="3">
        <v>0</v>
      </c>
      <c r="G50" s="3">
        <v>112401</v>
      </c>
      <c r="H50" s="3">
        <v>0</v>
      </c>
      <c r="I50" s="3">
        <v>109651</v>
      </c>
      <c r="J50" s="3">
        <v>46796535</v>
      </c>
      <c r="K50" s="3">
        <v>0</v>
      </c>
      <c r="L50" s="3">
        <v>0</v>
      </c>
      <c r="M50" s="3">
        <v>316764947</v>
      </c>
      <c r="N50" s="3">
        <v>7486</v>
      </c>
      <c r="O50" s="3">
        <v>0</v>
      </c>
      <c r="P50" s="3">
        <f t="shared" si="0"/>
        <v>388566222</v>
      </c>
    </row>
    <row r="51" spans="1:16" x14ac:dyDescent="0.25">
      <c r="A51" s="2">
        <v>45707</v>
      </c>
      <c r="B51" s="3">
        <v>12824433</v>
      </c>
      <c r="C51" s="3">
        <v>445290</v>
      </c>
      <c r="D51" s="3">
        <v>0</v>
      </c>
      <c r="E51" s="3">
        <v>38</v>
      </c>
      <c r="F51" s="3">
        <v>0</v>
      </c>
      <c r="G51" s="3">
        <v>101017</v>
      </c>
      <c r="H51" s="3">
        <v>0</v>
      </c>
      <c r="I51" s="3">
        <v>9143</v>
      </c>
      <c r="J51" s="3">
        <v>10142883</v>
      </c>
      <c r="K51" s="3">
        <v>0</v>
      </c>
      <c r="L51" s="3">
        <v>0</v>
      </c>
      <c r="M51" s="3">
        <v>220073828</v>
      </c>
      <c r="N51" s="3">
        <v>12643</v>
      </c>
      <c r="O51" s="3">
        <v>0</v>
      </c>
      <c r="P51" s="3">
        <f t="shared" si="0"/>
        <v>243609275</v>
      </c>
    </row>
    <row r="52" spans="1:16" x14ac:dyDescent="0.25">
      <c r="A52" s="2">
        <v>45708</v>
      </c>
      <c r="B52" s="3">
        <v>33960936</v>
      </c>
      <c r="C52" s="3">
        <v>365912</v>
      </c>
      <c r="D52" s="3">
        <v>0</v>
      </c>
      <c r="E52" s="3">
        <v>23</v>
      </c>
      <c r="F52" s="3">
        <v>0</v>
      </c>
      <c r="G52" s="3">
        <v>3587</v>
      </c>
      <c r="H52" s="3">
        <v>0</v>
      </c>
      <c r="I52" s="3">
        <v>106330</v>
      </c>
      <c r="J52" s="3">
        <v>11954315</v>
      </c>
      <c r="K52" s="3">
        <v>0</v>
      </c>
      <c r="L52" s="3">
        <v>0</v>
      </c>
      <c r="M52" s="3">
        <v>220814604</v>
      </c>
      <c r="N52" s="3">
        <v>1047</v>
      </c>
      <c r="O52" s="3">
        <v>0</v>
      </c>
      <c r="P52" s="3">
        <f t="shared" si="0"/>
        <v>267206754</v>
      </c>
    </row>
    <row r="53" spans="1:16" x14ac:dyDescent="0.25">
      <c r="A53" s="2">
        <v>45709</v>
      </c>
      <c r="B53" s="3">
        <v>11287230</v>
      </c>
      <c r="C53" s="3">
        <v>3742037</v>
      </c>
      <c r="D53" s="3">
        <v>0</v>
      </c>
      <c r="E53" s="3">
        <v>12</v>
      </c>
      <c r="F53" s="3">
        <v>0</v>
      </c>
      <c r="G53" s="3">
        <v>11283</v>
      </c>
      <c r="H53" s="3">
        <v>0</v>
      </c>
      <c r="I53" s="3">
        <v>61195</v>
      </c>
      <c r="J53" s="3">
        <v>12329916</v>
      </c>
      <c r="K53" s="3">
        <v>0</v>
      </c>
      <c r="L53" s="3">
        <v>0</v>
      </c>
      <c r="M53" s="3">
        <v>743367373</v>
      </c>
      <c r="N53" s="3">
        <v>3208</v>
      </c>
      <c r="O53" s="3">
        <v>0</v>
      </c>
      <c r="P53" s="3">
        <f t="shared" si="0"/>
        <v>770802254</v>
      </c>
    </row>
    <row r="54" spans="1:16" x14ac:dyDescent="0.25">
      <c r="A54" s="2">
        <v>45710</v>
      </c>
      <c r="B54" s="3">
        <v>2421449</v>
      </c>
      <c r="C54" s="3">
        <v>104046</v>
      </c>
      <c r="D54" s="3">
        <v>0</v>
      </c>
      <c r="E54" s="3">
        <v>9</v>
      </c>
      <c r="F54" s="3">
        <v>0</v>
      </c>
      <c r="G54" s="3">
        <v>38285</v>
      </c>
      <c r="H54" s="3">
        <v>0</v>
      </c>
      <c r="I54" s="3">
        <v>5947</v>
      </c>
      <c r="J54" s="3">
        <v>5801632</v>
      </c>
      <c r="K54" s="3">
        <v>0</v>
      </c>
      <c r="L54" s="3">
        <v>0</v>
      </c>
      <c r="M54" s="3">
        <v>260504861</v>
      </c>
      <c r="N54" s="3">
        <v>1340</v>
      </c>
      <c r="O54" s="3">
        <v>0</v>
      </c>
      <c r="P54" s="3">
        <f t="shared" si="0"/>
        <v>268877569</v>
      </c>
    </row>
    <row r="55" spans="1:16" x14ac:dyDescent="0.25">
      <c r="A55" s="2">
        <v>45711</v>
      </c>
      <c r="B55" s="3">
        <v>1264127</v>
      </c>
      <c r="C55" s="3">
        <v>451278</v>
      </c>
      <c r="D55" s="3">
        <v>0</v>
      </c>
      <c r="E55" s="3">
        <v>1</v>
      </c>
      <c r="F55" s="3">
        <v>0</v>
      </c>
      <c r="G55" s="3">
        <v>3646</v>
      </c>
      <c r="H55" s="3">
        <v>0</v>
      </c>
      <c r="I55" s="3">
        <v>616</v>
      </c>
      <c r="J55" s="3">
        <v>10266012</v>
      </c>
      <c r="K55" s="3">
        <v>0</v>
      </c>
      <c r="L55" s="3">
        <v>0</v>
      </c>
      <c r="M55" s="3">
        <v>88855171</v>
      </c>
      <c r="N55" s="3">
        <v>0</v>
      </c>
      <c r="O55" s="3">
        <v>0</v>
      </c>
      <c r="P55" s="3">
        <f t="shared" si="0"/>
        <v>100840851</v>
      </c>
    </row>
    <row r="56" spans="1:16" x14ac:dyDescent="0.25">
      <c r="A56" s="2">
        <v>45712</v>
      </c>
      <c r="B56" s="3">
        <v>12863929</v>
      </c>
      <c r="C56" s="3">
        <v>1572007</v>
      </c>
      <c r="D56" s="3">
        <v>0</v>
      </c>
      <c r="E56" s="3">
        <v>25</v>
      </c>
      <c r="F56" s="3">
        <v>0</v>
      </c>
      <c r="G56" s="3">
        <v>6540</v>
      </c>
      <c r="H56" s="3">
        <v>0</v>
      </c>
      <c r="I56" s="3">
        <v>9963</v>
      </c>
      <c r="J56" s="3">
        <v>21707250</v>
      </c>
      <c r="K56" s="3">
        <v>0</v>
      </c>
      <c r="L56" s="3">
        <v>0</v>
      </c>
      <c r="M56" s="3">
        <v>283857928</v>
      </c>
      <c r="N56" s="3">
        <v>9815</v>
      </c>
      <c r="O56" s="3">
        <v>1629</v>
      </c>
      <c r="P56" s="3">
        <f t="shared" si="0"/>
        <v>320029086</v>
      </c>
    </row>
    <row r="57" spans="1:16" x14ac:dyDescent="0.25">
      <c r="A57" s="2">
        <v>45713</v>
      </c>
      <c r="B57" s="3">
        <v>72087511</v>
      </c>
      <c r="C57" s="3">
        <v>2317378</v>
      </c>
      <c r="D57" s="3">
        <v>0</v>
      </c>
      <c r="E57" s="3">
        <v>10</v>
      </c>
      <c r="F57" s="3">
        <v>0</v>
      </c>
      <c r="G57" s="3">
        <v>4783</v>
      </c>
      <c r="H57" s="3">
        <v>0</v>
      </c>
      <c r="I57" s="3">
        <v>1592</v>
      </c>
      <c r="J57" s="3">
        <v>40249701</v>
      </c>
      <c r="K57" s="3">
        <v>0</v>
      </c>
      <c r="L57" s="3">
        <v>0</v>
      </c>
      <c r="M57" s="3">
        <v>478776876</v>
      </c>
      <c r="N57" s="3">
        <v>38037</v>
      </c>
      <c r="O57" s="3">
        <v>0</v>
      </c>
      <c r="P57" s="3">
        <f t="shared" si="0"/>
        <v>593475888</v>
      </c>
    </row>
    <row r="58" spans="1:16" x14ac:dyDescent="0.25">
      <c r="A58" s="2">
        <v>45714</v>
      </c>
      <c r="B58" s="3">
        <v>47226141</v>
      </c>
      <c r="C58" s="3">
        <v>702292</v>
      </c>
      <c r="D58" s="3">
        <v>0</v>
      </c>
      <c r="E58" s="3">
        <v>30</v>
      </c>
      <c r="F58" s="3">
        <v>0</v>
      </c>
      <c r="G58" s="3">
        <v>490</v>
      </c>
      <c r="H58" s="3">
        <v>0</v>
      </c>
      <c r="I58" s="3">
        <v>20044</v>
      </c>
      <c r="J58" s="3">
        <v>19758471</v>
      </c>
      <c r="K58" s="3">
        <v>0</v>
      </c>
      <c r="L58" s="3">
        <v>0</v>
      </c>
      <c r="M58" s="3">
        <v>247223823</v>
      </c>
      <c r="N58" s="3">
        <v>11645094</v>
      </c>
      <c r="O58" s="3">
        <v>0</v>
      </c>
      <c r="P58" s="3">
        <f t="shared" si="0"/>
        <v>326576385</v>
      </c>
    </row>
    <row r="59" spans="1:16" x14ac:dyDescent="0.25">
      <c r="A59" s="2">
        <v>45715</v>
      </c>
      <c r="B59" s="3">
        <v>3796648</v>
      </c>
      <c r="C59" s="3">
        <v>690324</v>
      </c>
      <c r="D59" s="3">
        <v>0</v>
      </c>
      <c r="E59" s="3">
        <v>28</v>
      </c>
      <c r="F59" s="3">
        <v>0</v>
      </c>
      <c r="G59" s="3">
        <v>24280</v>
      </c>
      <c r="H59" s="3">
        <v>0</v>
      </c>
      <c r="I59" s="3">
        <v>38808</v>
      </c>
      <c r="J59" s="3">
        <v>17642799</v>
      </c>
      <c r="K59" s="3">
        <v>0</v>
      </c>
      <c r="L59" s="3">
        <v>0</v>
      </c>
      <c r="M59" s="3">
        <v>773312953</v>
      </c>
      <c r="N59" s="3">
        <v>1687</v>
      </c>
      <c r="O59" s="3">
        <v>129131</v>
      </c>
      <c r="P59" s="3">
        <f t="shared" si="0"/>
        <v>795636658</v>
      </c>
    </row>
    <row r="60" spans="1:16" x14ac:dyDescent="0.25">
      <c r="A60" s="2">
        <v>45716</v>
      </c>
      <c r="B60" s="3">
        <v>62676819</v>
      </c>
      <c r="C60" s="3">
        <v>570337</v>
      </c>
      <c r="D60" s="3">
        <v>0</v>
      </c>
      <c r="E60" s="3">
        <v>13</v>
      </c>
      <c r="F60" s="3">
        <v>0</v>
      </c>
      <c r="G60" s="3">
        <v>139044</v>
      </c>
      <c r="H60" s="3">
        <v>0</v>
      </c>
      <c r="I60" s="3">
        <v>6111</v>
      </c>
      <c r="J60" s="3">
        <v>20160743</v>
      </c>
      <c r="K60" s="3">
        <v>0</v>
      </c>
      <c r="L60" s="3">
        <v>0</v>
      </c>
      <c r="M60" s="3">
        <v>308674400</v>
      </c>
      <c r="N60" s="3">
        <v>138320248</v>
      </c>
      <c r="O60" s="3">
        <v>0</v>
      </c>
      <c r="P60" s="3">
        <f t="shared" si="0"/>
        <v>530547715</v>
      </c>
    </row>
    <row r="61" spans="1:16" x14ac:dyDescent="0.25">
      <c r="A61" s="2">
        <v>45717</v>
      </c>
      <c r="B61" s="3">
        <v>34951194</v>
      </c>
      <c r="C61" s="3">
        <v>59190</v>
      </c>
      <c r="D61" s="3">
        <v>0</v>
      </c>
      <c r="E61" s="3">
        <v>4</v>
      </c>
      <c r="F61" s="3">
        <v>0</v>
      </c>
      <c r="G61" s="3">
        <v>14224</v>
      </c>
      <c r="H61" s="3">
        <v>0</v>
      </c>
      <c r="I61" s="3">
        <v>10209</v>
      </c>
      <c r="J61" s="3">
        <v>10679858</v>
      </c>
      <c r="K61" s="3">
        <v>0</v>
      </c>
      <c r="L61" s="3">
        <v>0</v>
      </c>
      <c r="M61" s="3">
        <v>180114144</v>
      </c>
      <c r="N61" s="3">
        <v>981</v>
      </c>
      <c r="O61" s="3">
        <v>0</v>
      </c>
      <c r="P61" s="3">
        <f t="shared" si="0"/>
        <v>225829804</v>
      </c>
    </row>
    <row r="62" spans="1:16" x14ac:dyDescent="0.25">
      <c r="A62" s="2">
        <v>45718</v>
      </c>
      <c r="B62" s="3">
        <v>18522774</v>
      </c>
      <c r="C62" s="3">
        <v>21538</v>
      </c>
      <c r="D62" s="3">
        <v>0</v>
      </c>
      <c r="E62" s="3">
        <v>112</v>
      </c>
      <c r="F62" s="3">
        <v>0</v>
      </c>
      <c r="G62" s="3">
        <v>0</v>
      </c>
      <c r="H62" s="3">
        <v>0</v>
      </c>
      <c r="I62" s="3">
        <v>2939</v>
      </c>
      <c r="J62" s="3">
        <v>22913089</v>
      </c>
      <c r="K62" s="3">
        <v>0</v>
      </c>
      <c r="L62" s="3">
        <v>3552742</v>
      </c>
      <c r="M62" s="3">
        <v>247673623</v>
      </c>
      <c r="N62" s="3">
        <v>5539</v>
      </c>
      <c r="O62" s="3">
        <v>0</v>
      </c>
      <c r="P62" s="3">
        <f t="shared" si="0"/>
        <v>292692356</v>
      </c>
    </row>
    <row r="63" spans="1:16" x14ac:dyDescent="0.25">
      <c r="A63" s="2">
        <v>45719</v>
      </c>
      <c r="B63" s="3">
        <v>23526961</v>
      </c>
      <c r="C63" s="3">
        <v>472735</v>
      </c>
      <c r="D63" s="3">
        <v>0</v>
      </c>
      <c r="E63" s="3">
        <v>4096389</v>
      </c>
      <c r="F63" s="3">
        <v>0</v>
      </c>
      <c r="G63" s="3">
        <v>17838</v>
      </c>
      <c r="H63" s="3">
        <v>0</v>
      </c>
      <c r="I63" s="3">
        <v>8369</v>
      </c>
      <c r="J63" s="3">
        <v>16529466</v>
      </c>
      <c r="K63" s="3">
        <v>425</v>
      </c>
      <c r="L63" s="3">
        <v>1805071</v>
      </c>
      <c r="M63" s="3">
        <v>196930686</v>
      </c>
      <c r="N63" s="3">
        <v>3186</v>
      </c>
      <c r="O63" s="3">
        <v>81450</v>
      </c>
      <c r="P63" s="3">
        <f t="shared" si="0"/>
        <v>243472576</v>
      </c>
    </row>
    <row r="64" spans="1:16" x14ac:dyDescent="0.25">
      <c r="A64" s="2">
        <v>45720</v>
      </c>
      <c r="B64" s="3">
        <v>14417468</v>
      </c>
      <c r="C64" s="3">
        <v>331433</v>
      </c>
      <c r="D64" s="3">
        <v>0</v>
      </c>
      <c r="E64" s="3">
        <v>15</v>
      </c>
      <c r="F64" s="3">
        <v>0</v>
      </c>
      <c r="G64" s="3">
        <v>237562</v>
      </c>
      <c r="H64" s="3">
        <v>0</v>
      </c>
      <c r="I64" s="3">
        <v>37785</v>
      </c>
      <c r="J64" s="3">
        <v>17432297</v>
      </c>
      <c r="K64" s="3">
        <v>50</v>
      </c>
      <c r="L64" s="3">
        <v>12911666</v>
      </c>
      <c r="M64" s="3">
        <v>188656528</v>
      </c>
      <c r="N64" s="3">
        <v>1058</v>
      </c>
      <c r="O64" s="3">
        <v>16290</v>
      </c>
      <c r="P64" s="3">
        <f t="shared" si="0"/>
        <v>234042152</v>
      </c>
    </row>
    <row r="65" spans="1:16" x14ac:dyDescent="0.25">
      <c r="A65" s="2">
        <v>45721</v>
      </c>
      <c r="B65" s="3">
        <v>67504350</v>
      </c>
      <c r="C65" s="3">
        <v>445934</v>
      </c>
      <c r="D65" s="3">
        <v>0</v>
      </c>
      <c r="E65" s="3">
        <v>12</v>
      </c>
      <c r="F65" s="3">
        <v>0</v>
      </c>
      <c r="G65" s="3">
        <v>68210</v>
      </c>
      <c r="H65" s="3">
        <v>0</v>
      </c>
      <c r="I65" s="3">
        <v>2507</v>
      </c>
      <c r="J65" s="3">
        <v>16627226</v>
      </c>
      <c r="K65" s="3">
        <v>104</v>
      </c>
      <c r="L65" s="3">
        <v>3852644</v>
      </c>
      <c r="M65" s="3">
        <v>168878457</v>
      </c>
      <c r="N65" s="3">
        <v>127</v>
      </c>
      <c r="O65" s="3">
        <v>16306</v>
      </c>
      <c r="P65" s="3">
        <f t="shared" si="0"/>
        <v>257395877</v>
      </c>
    </row>
    <row r="66" spans="1:16" x14ac:dyDescent="0.25">
      <c r="A66" s="2">
        <v>45722</v>
      </c>
      <c r="B66" s="3">
        <v>44127797</v>
      </c>
      <c r="C66" s="3">
        <v>570383</v>
      </c>
      <c r="D66" s="3">
        <v>0</v>
      </c>
      <c r="E66" s="3">
        <v>1</v>
      </c>
      <c r="F66" s="3">
        <v>0</v>
      </c>
      <c r="G66" s="3">
        <v>307692</v>
      </c>
      <c r="H66" s="3">
        <v>0</v>
      </c>
      <c r="I66" s="3">
        <v>73751</v>
      </c>
      <c r="J66" s="3">
        <v>14649345</v>
      </c>
      <c r="K66" s="3">
        <v>50</v>
      </c>
      <c r="L66" s="3">
        <v>9358432</v>
      </c>
      <c r="M66" s="3">
        <v>194625933</v>
      </c>
      <c r="N66" s="3">
        <v>15272</v>
      </c>
      <c r="O66" s="3">
        <v>0</v>
      </c>
      <c r="P66" s="3">
        <f t="shared" ref="P66:P129" si="1">SUM(B66:O66)</f>
        <v>263728656</v>
      </c>
    </row>
    <row r="67" spans="1:16" x14ac:dyDescent="0.25">
      <c r="A67" s="2">
        <v>45723</v>
      </c>
      <c r="B67" s="3">
        <v>22796507</v>
      </c>
      <c r="C67" s="3">
        <v>1331133</v>
      </c>
      <c r="D67" s="3">
        <v>0</v>
      </c>
      <c r="E67" s="3">
        <v>24002</v>
      </c>
      <c r="F67" s="3">
        <v>0</v>
      </c>
      <c r="G67" s="3">
        <v>645089</v>
      </c>
      <c r="H67" s="3">
        <v>0</v>
      </c>
      <c r="I67" s="3">
        <v>2712</v>
      </c>
      <c r="J67" s="3">
        <v>8961507</v>
      </c>
      <c r="K67" s="3">
        <v>76</v>
      </c>
      <c r="L67" s="3">
        <v>6827040</v>
      </c>
      <c r="M67" s="3">
        <v>199628056</v>
      </c>
      <c r="N67" s="3">
        <v>5793</v>
      </c>
      <c r="O67" s="3">
        <v>0</v>
      </c>
      <c r="P67" s="3">
        <f t="shared" si="1"/>
        <v>240221915</v>
      </c>
    </row>
    <row r="68" spans="1:16" x14ac:dyDescent="0.25">
      <c r="A68" s="2">
        <v>45724</v>
      </c>
      <c r="B68" s="3">
        <v>10978048</v>
      </c>
      <c r="C68" s="3">
        <v>275</v>
      </c>
      <c r="D68" s="3">
        <v>0</v>
      </c>
      <c r="E68" s="3">
        <v>21468</v>
      </c>
      <c r="F68" s="3">
        <v>0</v>
      </c>
      <c r="G68" s="3">
        <v>17195</v>
      </c>
      <c r="H68" s="3">
        <v>0</v>
      </c>
      <c r="I68" s="3">
        <v>1268</v>
      </c>
      <c r="J68" s="3">
        <v>3606179</v>
      </c>
      <c r="K68" s="3">
        <v>0</v>
      </c>
      <c r="L68" s="3">
        <v>2514800</v>
      </c>
      <c r="M68" s="3">
        <v>123648249</v>
      </c>
      <c r="N68" s="3">
        <v>913</v>
      </c>
      <c r="O68" s="3">
        <v>0</v>
      </c>
      <c r="P68" s="3">
        <f t="shared" si="1"/>
        <v>140788395</v>
      </c>
    </row>
    <row r="69" spans="1:16" x14ac:dyDescent="0.25">
      <c r="A69" s="2">
        <v>45725</v>
      </c>
      <c r="B69" s="3">
        <v>16772427</v>
      </c>
      <c r="C69" s="3">
        <v>446</v>
      </c>
      <c r="D69" s="3">
        <v>0</v>
      </c>
      <c r="E69" s="3">
        <v>2</v>
      </c>
      <c r="F69" s="3">
        <v>0</v>
      </c>
      <c r="G69" s="3">
        <v>3207</v>
      </c>
      <c r="H69" s="3">
        <v>0</v>
      </c>
      <c r="I69" s="3">
        <v>92198</v>
      </c>
      <c r="J69" s="3">
        <v>12427230</v>
      </c>
      <c r="K69" s="3">
        <v>0</v>
      </c>
      <c r="L69" s="3">
        <v>1730529</v>
      </c>
      <c r="M69" s="3">
        <v>192877511</v>
      </c>
      <c r="N69" s="3">
        <v>1440</v>
      </c>
      <c r="O69" s="3">
        <v>0</v>
      </c>
      <c r="P69" s="3">
        <f t="shared" si="1"/>
        <v>223904990</v>
      </c>
    </row>
    <row r="70" spans="1:16" x14ac:dyDescent="0.25">
      <c r="A70" s="2">
        <v>45726</v>
      </c>
      <c r="B70" s="3">
        <v>16689834</v>
      </c>
      <c r="C70" s="3">
        <v>201073</v>
      </c>
      <c r="D70" s="3">
        <v>0</v>
      </c>
      <c r="E70" s="3">
        <v>8</v>
      </c>
      <c r="F70" s="3">
        <v>0</v>
      </c>
      <c r="G70" s="3">
        <v>476148</v>
      </c>
      <c r="H70" s="3">
        <v>0</v>
      </c>
      <c r="I70" s="3">
        <v>37972</v>
      </c>
      <c r="J70" s="3">
        <v>26465123</v>
      </c>
      <c r="K70" s="3">
        <v>0</v>
      </c>
      <c r="L70" s="3">
        <v>7483434</v>
      </c>
      <c r="M70" s="3">
        <v>245045665</v>
      </c>
      <c r="N70" s="3">
        <v>56068</v>
      </c>
      <c r="O70" s="3">
        <v>0</v>
      </c>
      <c r="P70" s="3">
        <f t="shared" si="1"/>
        <v>296455325</v>
      </c>
    </row>
    <row r="71" spans="1:16" x14ac:dyDescent="0.25">
      <c r="A71" s="2">
        <v>45727</v>
      </c>
      <c r="B71" s="3">
        <v>85278792</v>
      </c>
      <c r="C71" s="3">
        <v>407051</v>
      </c>
      <c r="D71" s="3">
        <v>0</v>
      </c>
      <c r="E71" s="3">
        <v>865998</v>
      </c>
      <c r="F71" s="3">
        <v>0</v>
      </c>
      <c r="G71" s="3">
        <v>53326</v>
      </c>
      <c r="H71" s="3">
        <v>0</v>
      </c>
      <c r="I71" s="3">
        <v>23069</v>
      </c>
      <c r="J71" s="3">
        <v>8369864</v>
      </c>
      <c r="K71" s="3">
        <v>0</v>
      </c>
      <c r="L71" s="3">
        <v>6307159</v>
      </c>
      <c r="M71" s="3">
        <v>190521824</v>
      </c>
      <c r="N71" s="3">
        <v>1724410</v>
      </c>
      <c r="O71" s="3">
        <v>0</v>
      </c>
      <c r="P71" s="3">
        <f t="shared" si="1"/>
        <v>293551493</v>
      </c>
    </row>
    <row r="72" spans="1:16" x14ac:dyDescent="0.25">
      <c r="A72" s="2">
        <v>45728</v>
      </c>
      <c r="B72" s="3">
        <v>6547462</v>
      </c>
      <c r="C72" s="3">
        <v>1203101</v>
      </c>
      <c r="D72" s="3">
        <v>0</v>
      </c>
      <c r="E72" s="3">
        <v>1564</v>
      </c>
      <c r="F72" s="3">
        <v>0</v>
      </c>
      <c r="G72" s="3">
        <v>500321</v>
      </c>
      <c r="H72" s="3">
        <v>0</v>
      </c>
      <c r="I72" s="3">
        <v>6189</v>
      </c>
      <c r="J72" s="3">
        <v>35777484</v>
      </c>
      <c r="K72" s="3">
        <v>25</v>
      </c>
      <c r="L72" s="3">
        <v>5821135</v>
      </c>
      <c r="M72" s="3">
        <v>196798752</v>
      </c>
      <c r="N72" s="3">
        <v>545</v>
      </c>
      <c r="O72" s="3">
        <v>766835</v>
      </c>
      <c r="P72" s="3">
        <f t="shared" si="1"/>
        <v>247423413</v>
      </c>
    </row>
    <row r="73" spans="1:16" x14ac:dyDescent="0.25">
      <c r="A73" s="2">
        <v>45729</v>
      </c>
      <c r="B73" s="3">
        <v>146167605</v>
      </c>
      <c r="C73" s="3">
        <v>61049</v>
      </c>
      <c r="D73" s="3">
        <v>0</v>
      </c>
      <c r="E73" s="3">
        <v>21</v>
      </c>
      <c r="F73" s="3">
        <v>0</v>
      </c>
      <c r="G73" s="3">
        <v>88423</v>
      </c>
      <c r="H73" s="3">
        <v>0</v>
      </c>
      <c r="I73" s="3">
        <v>262043</v>
      </c>
      <c r="J73" s="3">
        <v>21466580</v>
      </c>
      <c r="K73" s="3">
        <v>0</v>
      </c>
      <c r="L73" s="3">
        <v>6866802</v>
      </c>
      <c r="M73" s="3">
        <v>130961905</v>
      </c>
      <c r="N73" s="3">
        <v>252828</v>
      </c>
      <c r="O73" s="3">
        <v>0</v>
      </c>
      <c r="P73" s="3">
        <f t="shared" si="1"/>
        <v>306127256</v>
      </c>
    </row>
    <row r="74" spans="1:16" x14ac:dyDescent="0.25">
      <c r="A74" s="2">
        <v>45730</v>
      </c>
      <c r="B74" s="3">
        <v>117911737</v>
      </c>
      <c r="C74" s="3">
        <v>251808</v>
      </c>
      <c r="D74" s="3">
        <v>0</v>
      </c>
      <c r="E74" s="3">
        <v>36272</v>
      </c>
      <c r="F74" s="3">
        <v>0</v>
      </c>
      <c r="G74" s="3">
        <v>372244</v>
      </c>
      <c r="H74" s="3">
        <v>0</v>
      </c>
      <c r="I74" s="3">
        <v>32911</v>
      </c>
      <c r="J74" s="3">
        <v>26288841</v>
      </c>
      <c r="K74" s="3">
        <v>0</v>
      </c>
      <c r="L74" s="3">
        <v>2644973</v>
      </c>
      <c r="M74" s="3">
        <v>219059206</v>
      </c>
      <c r="N74" s="3">
        <v>32434</v>
      </c>
      <c r="O74" s="3">
        <v>325800</v>
      </c>
      <c r="P74" s="3">
        <f t="shared" si="1"/>
        <v>366956226</v>
      </c>
    </row>
    <row r="75" spans="1:16" x14ac:dyDescent="0.25">
      <c r="A75" s="2">
        <v>45731</v>
      </c>
      <c r="B75" s="3">
        <v>652512</v>
      </c>
      <c r="C75" s="3">
        <v>30</v>
      </c>
      <c r="D75" s="3">
        <v>0</v>
      </c>
      <c r="E75" s="3">
        <v>3</v>
      </c>
      <c r="F75" s="3">
        <v>0</v>
      </c>
      <c r="G75" s="3">
        <v>36</v>
      </c>
      <c r="H75" s="3">
        <v>0</v>
      </c>
      <c r="I75" s="3">
        <v>84000</v>
      </c>
      <c r="J75" s="3">
        <v>9664252</v>
      </c>
      <c r="K75" s="3">
        <v>0</v>
      </c>
      <c r="L75" s="3">
        <v>2229680</v>
      </c>
      <c r="M75" s="3">
        <v>51537921</v>
      </c>
      <c r="N75" s="3">
        <v>632</v>
      </c>
      <c r="O75" s="3">
        <v>0</v>
      </c>
      <c r="P75" s="3">
        <f t="shared" si="1"/>
        <v>64169066</v>
      </c>
    </row>
    <row r="76" spans="1:16" x14ac:dyDescent="0.25">
      <c r="A76" s="2">
        <v>45732</v>
      </c>
      <c r="B76" s="3">
        <v>1142332</v>
      </c>
      <c r="C76" s="3">
        <v>1120</v>
      </c>
      <c r="D76" s="3">
        <v>0</v>
      </c>
      <c r="E76" s="3">
        <v>67</v>
      </c>
      <c r="F76" s="3">
        <v>0</v>
      </c>
      <c r="G76" s="3">
        <v>0</v>
      </c>
      <c r="H76" s="3">
        <v>0</v>
      </c>
      <c r="I76" s="3">
        <v>799</v>
      </c>
      <c r="J76" s="3">
        <v>4013386</v>
      </c>
      <c r="K76" s="3">
        <v>0</v>
      </c>
      <c r="L76" s="3">
        <v>2805541</v>
      </c>
      <c r="M76" s="3">
        <v>71821794</v>
      </c>
      <c r="N76" s="3">
        <v>0</v>
      </c>
      <c r="O76" s="3">
        <v>0</v>
      </c>
      <c r="P76" s="3">
        <f t="shared" si="1"/>
        <v>79785039</v>
      </c>
    </row>
    <row r="77" spans="1:16" x14ac:dyDescent="0.25">
      <c r="A77" s="2">
        <v>45733</v>
      </c>
      <c r="B77" s="3">
        <v>19474014</v>
      </c>
      <c r="C77" s="3">
        <v>65579</v>
      </c>
      <c r="D77" s="3">
        <v>0</v>
      </c>
      <c r="E77" s="3">
        <v>137</v>
      </c>
      <c r="F77" s="3">
        <v>0</v>
      </c>
      <c r="G77" s="3">
        <v>1145319</v>
      </c>
      <c r="H77" s="3">
        <v>0</v>
      </c>
      <c r="I77" s="3">
        <v>59995</v>
      </c>
      <c r="J77" s="3">
        <v>11122318</v>
      </c>
      <c r="K77" s="3">
        <v>0</v>
      </c>
      <c r="L77" s="3">
        <v>5044071</v>
      </c>
      <c r="M77" s="3">
        <v>104795229</v>
      </c>
      <c r="N77" s="3">
        <v>16495</v>
      </c>
      <c r="O77" s="3">
        <v>0</v>
      </c>
      <c r="P77" s="3">
        <f t="shared" si="1"/>
        <v>141723157</v>
      </c>
    </row>
    <row r="78" spans="1:16" x14ac:dyDescent="0.25">
      <c r="A78" s="2">
        <v>45734</v>
      </c>
      <c r="B78" s="3">
        <v>42570242</v>
      </c>
      <c r="C78" s="3">
        <v>676822</v>
      </c>
      <c r="D78" s="3">
        <v>0</v>
      </c>
      <c r="E78" s="3">
        <v>3</v>
      </c>
      <c r="F78" s="3">
        <v>0</v>
      </c>
      <c r="G78" s="3">
        <v>224613</v>
      </c>
      <c r="H78" s="3">
        <v>0</v>
      </c>
      <c r="I78" s="3">
        <v>482172</v>
      </c>
      <c r="J78" s="3">
        <v>40390220</v>
      </c>
      <c r="K78" s="3">
        <v>0</v>
      </c>
      <c r="L78" s="3">
        <v>1176224</v>
      </c>
      <c r="M78" s="3">
        <v>163075482</v>
      </c>
      <c r="N78" s="3">
        <v>828</v>
      </c>
      <c r="O78" s="3">
        <v>40725</v>
      </c>
      <c r="P78" s="3">
        <f t="shared" si="1"/>
        <v>248637331</v>
      </c>
    </row>
    <row r="79" spans="1:16" x14ac:dyDescent="0.25">
      <c r="A79" s="2">
        <v>45735</v>
      </c>
      <c r="B79" s="3">
        <v>128566591</v>
      </c>
      <c r="C79" s="3">
        <v>591247</v>
      </c>
      <c r="D79" s="3">
        <v>0</v>
      </c>
      <c r="E79" s="3">
        <v>67</v>
      </c>
      <c r="F79" s="3">
        <v>0</v>
      </c>
      <c r="G79" s="3">
        <v>102607</v>
      </c>
      <c r="H79" s="3">
        <v>0</v>
      </c>
      <c r="I79" s="3">
        <v>81366</v>
      </c>
      <c r="J79" s="3">
        <v>33493826</v>
      </c>
      <c r="K79" s="3">
        <v>0</v>
      </c>
      <c r="L79" s="3">
        <v>2833454</v>
      </c>
      <c r="M79" s="3">
        <v>135158440</v>
      </c>
      <c r="N79" s="3">
        <v>9362</v>
      </c>
      <c r="O79" s="3">
        <v>3</v>
      </c>
      <c r="P79" s="3">
        <f t="shared" si="1"/>
        <v>300836963</v>
      </c>
    </row>
    <row r="80" spans="1:16" x14ac:dyDescent="0.25">
      <c r="A80" s="2">
        <v>45736</v>
      </c>
      <c r="B80" s="3">
        <v>36168841</v>
      </c>
      <c r="C80" s="3">
        <v>293460</v>
      </c>
      <c r="D80" s="3">
        <v>0</v>
      </c>
      <c r="E80" s="3">
        <v>10</v>
      </c>
      <c r="F80" s="3">
        <v>0</v>
      </c>
      <c r="G80" s="3">
        <v>397770</v>
      </c>
      <c r="H80" s="3">
        <v>0</v>
      </c>
      <c r="I80" s="3">
        <v>116201</v>
      </c>
      <c r="J80" s="3">
        <v>22068540</v>
      </c>
      <c r="K80" s="3">
        <v>501</v>
      </c>
      <c r="L80" s="3">
        <v>1998276</v>
      </c>
      <c r="M80" s="3">
        <v>206550300</v>
      </c>
      <c r="N80" s="3">
        <v>4041</v>
      </c>
      <c r="O80" s="3">
        <v>628771</v>
      </c>
      <c r="P80" s="3">
        <f t="shared" si="1"/>
        <v>268226711</v>
      </c>
    </row>
    <row r="81" spans="1:16" x14ac:dyDescent="0.25">
      <c r="A81" s="2">
        <v>45737</v>
      </c>
      <c r="B81" s="3">
        <v>82367992</v>
      </c>
      <c r="C81" s="3">
        <v>436486</v>
      </c>
      <c r="D81" s="3">
        <v>0</v>
      </c>
      <c r="E81" s="3">
        <v>17</v>
      </c>
      <c r="F81" s="3">
        <v>0</v>
      </c>
      <c r="G81" s="3">
        <v>63402</v>
      </c>
      <c r="H81" s="3">
        <v>0</v>
      </c>
      <c r="I81" s="3">
        <v>975173</v>
      </c>
      <c r="J81" s="3">
        <v>44042158</v>
      </c>
      <c r="K81" s="3">
        <v>0</v>
      </c>
      <c r="L81" s="3">
        <v>9544337</v>
      </c>
      <c r="M81" s="3">
        <v>147167828</v>
      </c>
      <c r="N81" s="3">
        <v>30815</v>
      </c>
      <c r="O81" s="3">
        <v>0</v>
      </c>
      <c r="P81" s="3">
        <f t="shared" si="1"/>
        <v>284628208</v>
      </c>
    </row>
    <row r="82" spans="1:16" x14ac:dyDescent="0.25">
      <c r="A82" s="2">
        <v>45738</v>
      </c>
      <c r="B82" s="3">
        <v>6470012</v>
      </c>
      <c r="C82" s="3">
        <v>418</v>
      </c>
      <c r="D82" s="3">
        <v>0</v>
      </c>
      <c r="E82" s="3">
        <v>61</v>
      </c>
      <c r="F82" s="3">
        <v>0</v>
      </c>
      <c r="G82" s="3">
        <v>255112</v>
      </c>
      <c r="H82" s="3">
        <v>0</v>
      </c>
      <c r="I82" s="3">
        <v>157998</v>
      </c>
      <c r="J82" s="3">
        <v>6237325</v>
      </c>
      <c r="K82" s="3">
        <v>0</v>
      </c>
      <c r="L82" s="3">
        <v>334591</v>
      </c>
      <c r="M82" s="3">
        <v>61529255</v>
      </c>
      <c r="N82" s="3">
        <v>8019</v>
      </c>
      <c r="O82" s="3">
        <v>0</v>
      </c>
      <c r="P82" s="3">
        <f t="shared" si="1"/>
        <v>74992791</v>
      </c>
    </row>
    <row r="83" spans="1:16" x14ac:dyDescent="0.25">
      <c r="A83" s="2">
        <v>45739</v>
      </c>
      <c r="B83" s="3">
        <v>10123517</v>
      </c>
      <c r="C83" s="3">
        <v>2478</v>
      </c>
      <c r="D83" s="3">
        <v>0</v>
      </c>
      <c r="E83" s="3">
        <v>24</v>
      </c>
      <c r="F83" s="3">
        <v>0</v>
      </c>
      <c r="G83" s="3">
        <v>365</v>
      </c>
      <c r="H83" s="3">
        <v>0</v>
      </c>
      <c r="I83" s="3">
        <v>7371</v>
      </c>
      <c r="J83" s="3">
        <v>8561072</v>
      </c>
      <c r="K83" s="3">
        <v>25</v>
      </c>
      <c r="L83" s="3">
        <v>463260</v>
      </c>
      <c r="M83" s="3">
        <v>153787627</v>
      </c>
      <c r="N83" s="3">
        <v>0</v>
      </c>
      <c r="O83" s="3">
        <v>970566</v>
      </c>
      <c r="P83" s="3">
        <f t="shared" si="1"/>
        <v>173916305</v>
      </c>
    </row>
    <row r="84" spans="1:16" x14ac:dyDescent="0.25">
      <c r="A84" s="2">
        <v>45740</v>
      </c>
      <c r="B84" s="3">
        <v>9209655</v>
      </c>
      <c r="C84" s="3">
        <v>2630725</v>
      </c>
      <c r="D84" s="3">
        <v>0</v>
      </c>
      <c r="E84" s="3">
        <v>79</v>
      </c>
      <c r="F84" s="3">
        <v>0</v>
      </c>
      <c r="G84" s="3">
        <v>923591</v>
      </c>
      <c r="H84" s="3">
        <v>0</v>
      </c>
      <c r="I84" s="3">
        <v>5366</v>
      </c>
      <c r="J84" s="3">
        <v>40478122</v>
      </c>
      <c r="K84" s="3">
        <v>1061022</v>
      </c>
      <c r="L84" s="3">
        <v>12831550</v>
      </c>
      <c r="M84" s="3">
        <v>401868749</v>
      </c>
      <c r="N84" s="3">
        <v>3991</v>
      </c>
      <c r="O84" s="3">
        <v>0</v>
      </c>
      <c r="P84" s="3">
        <f t="shared" si="1"/>
        <v>469012850</v>
      </c>
    </row>
    <row r="85" spans="1:16" x14ac:dyDescent="0.25">
      <c r="A85" s="2">
        <v>45741</v>
      </c>
      <c r="B85" s="3">
        <v>350635762</v>
      </c>
      <c r="C85" s="3">
        <v>718609</v>
      </c>
      <c r="D85" s="3">
        <v>0</v>
      </c>
      <c r="E85" s="3">
        <v>3</v>
      </c>
      <c r="F85" s="3">
        <v>0</v>
      </c>
      <c r="G85" s="3">
        <v>649734</v>
      </c>
      <c r="H85" s="3">
        <v>0</v>
      </c>
      <c r="I85" s="3">
        <v>4192</v>
      </c>
      <c r="J85" s="3">
        <v>12774952</v>
      </c>
      <c r="K85" s="3">
        <v>75</v>
      </c>
      <c r="L85" s="3">
        <v>22394687</v>
      </c>
      <c r="M85" s="3">
        <v>397912605</v>
      </c>
      <c r="N85" s="3">
        <v>13081</v>
      </c>
      <c r="O85" s="3">
        <v>0</v>
      </c>
      <c r="P85" s="3">
        <f t="shared" si="1"/>
        <v>785103700</v>
      </c>
    </row>
    <row r="86" spans="1:16" x14ac:dyDescent="0.25">
      <c r="A86" s="2">
        <v>45742</v>
      </c>
      <c r="B86" s="3">
        <v>20724323</v>
      </c>
      <c r="C86" s="3">
        <v>1988697</v>
      </c>
      <c r="D86" s="3">
        <v>0</v>
      </c>
      <c r="E86" s="3">
        <v>29</v>
      </c>
      <c r="F86" s="3">
        <v>0</v>
      </c>
      <c r="G86" s="3">
        <v>161818</v>
      </c>
      <c r="H86" s="3">
        <v>0</v>
      </c>
      <c r="I86" s="3">
        <v>71896</v>
      </c>
      <c r="J86" s="3">
        <v>10520343</v>
      </c>
      <c r="K86" s="3">
        <v>274</v>
      </c>
      <c r="L86" s="3">
        <v>15335439</v>
      </c>
      <c r="M86" s="3">
        <v>314692447</v>
      </c>
      <c r="N86" s="3">
        <v>1191</v>
      </c>
      <c r="O86" s="3">
        <v>233762</v>
      </c>
      <c r="P86" s="3">
        <f t="shared" si="1"/>
        <v>363730219</v>
      </c>
    </row>
    <row r="87" spans="1:16" x14ac:dyDescent="0.25">
      <c r="A87" s="2">
        <v>45743</v>
      </c>
      <c r="B87" s="3">
        <v>45367484</v>
      </c>
      <c r="C87" s="3">
        <v>601694</v>
      </c>
      <c r="D87" s="3">
        <v>0</v>
      </c>
      <c r="E87" s="3">
        <v>3</v>
      </c>
      <c r="F87" s="3">
        <v>0</v>
      </c>
      <c r="G87" s="3">
        <v>19047</v>
      </c>
      <c r="H87" s="3">
        <v>0</v>
      </c>
      <c r="I87" s="3">
        <v>41391</v>
      </c>
      <c r="J87" s="3">
        <v>18170603</v>
      </c>
      <c r="K87" s="3">
        <v>0</v>
      </c>
      <c r="L87" s="3">
        <v>25897231</v>
      </c>
      <c r="M87" s="3">
        <v>1874028056</v>
      </c>
      <c r="N87" s="3">
        <v>793</v>
      </c>
      <c r="O87" s="3">
        <v>0</v>
      </c>
      <c r="P87" s="3">
        <f t="shared" si="1"/>
        <v>1964126302</v>
      </c>
    </row>
    <row r="88" spans="1:16" x14ac:dyDescent="0.25">
      <c r="A88" s="2">
        <v>45744</v>
      </c>
      <c r="B88" s="3">
        <v>204056695</v>
      </c>
      <c r="C88" s="3">
        <v>475743</v>
      </c>
      <c r="D88" s="3">
        <v>0</v>
      </c>
      <c r="E88" s="3">
        <v>70</v>
      </c>
      <c r="F88" s="3">
        <v>0</v>
      </c>
      <c r="G88" s="3">
        <v>2457625</v>
      </c>
      <c r="H88" s="3">
        <v>0</v>
      </c>
      <c r="I88" s="3">
        <v>516771</v>
      </c>
      <c r="J88" s="3">
        <v>22520592</v>
      </c>
      <c r="K88" s="3">
        <v>100</v>
      </c>
      <c r="L88" s="3">
        <v>12962788</v>
      </c>
      <c r="M88" s="3">
        <v>595354876</v>
      </c>
      <c r="N88" s="3">
        <v>990</v>
      </c>
      <c r="O88" s="3">
        <v>0</v>
      </c>
      <c r="P88" s="3">
        <f t="shared" si="1"/>
        <v>838346250</v>
      </c>
    </row>
    <row r="89" spans="1:16" x14ac:dyDescent="0.25">
      <c r="A89" s="2">
        <v>45745</v>
      </c>
      <c r="B89" s="3">
        <v>12585775</v>
      </c>
      <c r="C89" s="3">
        <v>322</v>
      </c>
      <c r="D89" s="3">
        <v>0</v>
      </c>
      <c r="E89" s="3">
        <v>4</v>
      </c>
      <c r="F89" s="3">
        <v>0</v>
      </c>
      <c r="G89" s="3">
        <v>2033869</v>
      </c>
      <c r="H89" s="3">
        <v>0</v>
      </c>
      <c r="I89" s="3">
        <v>78563</v>
      </c>
      <c r="J89" s="3">
        <v>10944376</v>
      </c>
      <c r="K89" s="3">
        <v>0</v>
      </c>
      <c r="L89" s="3">
        <v>14524946</v>
      </c>
      <c r="M89" s="3">
        <v>447500059</v>
      </c>
      <c r="N89" s="3">
        <v>420</v>
      </c>
      <c r="O89" s="3">
        <v>0</v>
      </c>
      <c r="P89" s="3">
        <f t="shared" si="1"/>
        <v>487668334</v>
      </c>
    </row>
    <row r="90" spans="1:16" x14ac:dyDescent="0.25">
      <c r="A90" s="2">
        <v>45746</v>
      </c>
      <c r="B90" s="3">
        <v>67096627</v>
      </c>
      <c r="C90" s="3">
        <v>745</v>
      </c>
      <c r="D90" s="3">
        <v>0</v>
      </c>
      <c r="E90" s="3">
        <v>5</v>
      </c>
      <c r="F90" s="3">
        <v>0</v>
      </c>
      <c r="G90" s="3">
        <v>34632</v>
      </c>
      <c r="H90" s="3">
        <v>0</v>
      </c>
      <c r="I90" s="3">
        <v>18435</v>
      </c>
      <c r="J90" s="3">
        <v>20820783</v>
      </c>
      <c r="K90" s="3">
        <v>0</v>
      </c>
      <c r="L90" s="3">
        <v>4520166</v>
      </c>
      <c r="M90" s="3">
        <v>223839918</v>
      </c>
      <c r="N90" s="3">
        <v>22</v>
      </c>
      <c r="O90" s="3">
        <v>0</v>
      </c>
      <c r="P90" s="3">
        <f t="shared" si="1"/>
        <v>316331333</v>
      </c>
    </row>
    <row r="91" spans="1:16" x14ac:dyDescent="0.25">
      <c r="A91" s="2">
        <v>45747</v>
      </c>
      <c r="B91" s="3">
        <v>111563666</v>
      </c>
      <c r="C91" s="3">
        <v>988123</v>
      </c>
      <c r="D91" s="3">
        <v>0</v>
      </c>
      <c r="E91" s="3">
        <v>18</v>
      </c>
      <c r="F91" s="3">
        <v>0</v>
      </c>
      <c r="G91" s="3">
        <v>1422216</v>
      </c>
      <c r="H91" s="3">
        <v>0</v>
      </c>
      <c r="I91" s="3">
        <v>147965</v>
      </c>
      <c r="J91" s="3">
        <v>53063074</v>
      </c>
      <c r="K91" s="3">
        <v>0</v>
      </c>
      <c r="L91" s="3">
        <v>7171606</v>
      </c>
      <c r="M91" s="3">
        <v>356352509</v>
      </c>
      <c r="N91" s="3">
        <v>4825</v>
      </c>
      <c r="O91" s="3">
        <v>0</v>
      </c>
      <c r="P91" s="3">
        <f t="shared" si="1"/>
        <v>530714002</v>
      </c>
    </row>
    <row r="92" spans="1:16" x14ac:dyDescent="0.25">
      <c r="A92" s="2">
        <v>45748</v>
      </c>
      <c r="B92" s="3">
        <v>9718321</v>
      </c>
      <c r="C92" s="3">
        <v>699970</v>
      </c>
      <c r="D92" s="3">
        <v>0</v>
      </c>
      <c r="E92" s="3">
        <v>2</v>
      </c>
      <c r="F92" s="3">
        <v>0</v>
      </c>
      <c r="G92" s="3">
        <v>1818973</v>
      </c>
      <c r="H92" s="3">
        <v>0</v>
      </c>
      <c r="I92" s="3">
        <v>486772</v>
      </c>
      <c r="J92" s="3">
        <v>53907017</v>
      </c>
      <c r="K92" s="3">
        <v>0</v>
      </c>
      <c r="L92" s="3">
        <v>2842902</v>
      </c>
      <c r="M92" s="3">
        <v>229097080</v>
      </c>
      <c r="N92" s="3">
        <v>7808</v>
      </c>
      <c r="O92" s="3">
        <v>23946</v>
      </c>
      <c r="P92" s="3">
        <f t="shared" si="1"/>
        <v>298602791</v>
      </c>
    </row>
    <row r="93" spans="1:16" x14ac:dyDescent="0.25">
      <c r="A93" s="2">
        <v>45749</v>
      </c>
      <c r="B93" s="3">
        <v>7497628</v>
      </c>
      <c r="C93" s="3">
        <v>5295432</v>
      </c>
      <c r="D93" s="3">
        <v>0</v>
      </c>
      <c r="E93" s="3">
        <v>305</v>
      </c>
      <c r="F93" s="3">
        <v>0</v>
      </c>
      <c r="G93" s="3">
        <v>1844675</v>
      </c>
      <c r="H93" s="3">
        <v>0</v>
      </c>
      <c r="I93" s="3">
        <v>131868</v>
      </c>
      <c r="J93" s="3">
        <v>38555470</v>
      </c>
      <c r="K93" s="3">
        <v>250</v>
      </c>
      <c r="L93" s="3">
        <v>12897382</v>
      </c>
      <c r="M93" s="3">
        <v>193724636</v>
      </c>
      <c r="N93" s="3">
        <v>6270</v>
      </c>
      <c r="O93" s="3">
        <v>465503</v>
      </c>
      <c r="P93" s="3">
        <f t="shared" si="1"/>
        <v>260419419</v>
      </c>
    </row>
    <row r="94" spans="1:16" x14ac:dyDescent="0.25">
      <c r="A94" s="2">
        <v>45750</v>
      </c>
      <c r="B94" s="3">
        <v>72048356</v>
      </c>
      <c r="C94" s="3">
        <v>512283</v>
      </c>
      <c r="D94" s="3">
        <v>0</v>
      </c>
      <c r="E94" s="3">
        <v>3</v>
      </c>
      <c r="F94" s="3">
        <v>0</v>
      </c>
      <c r="G94" s="3">
        <v>364191</v>
      </c>
      <c r="H94" s="3">
        <v>0</v>
      </c>
      <c r="I94" s="3">
        <v>268366</v>
      </c>
      <c r="J94" s="3">
        <v>64797958</v>
      </c>
      <c r="K94" s="3">
        <v>0</v>
      </c>
      <c r="L94" s="3">
        <v>55713920</v>
      </c>
      <c r="M94" s="3">
        <v>149062706</v>
      </c>
      <c r="N94" s="3">
        <v>13271</v>
      </c>
      <c r="O94" s="3">
        <v>0</v>
      </c>
      <c r="P94" s="3">
        <f t="shared" si="1"/>
        <v>342781054</v>
      </c>
    </row>
    <row r="95" spans="1:16" x14ac:dyDescent="0.25">
      <c r="A95" s="2">
        <v>45751</v>
      </c>
      <c r="B95" s="3">
        <v>22255239</v>
      </c>
      <c r="C95" s="3">
        <v>796756</v>
      </c>
      <c r="D95" s="3">
        <v>0</v>
      </c>
      <c r="E95" s="3">
        <v>172</v>
      </c>
      <c r="F95" s="3">
        <v>0</v>
      </c>
      <c r="G95" s="3">
        <v>434713</v>
      </c>
      <c r="H95" s="3">
        <v>0</v>
      </c>
      <c r="I95" s="3">
        <v>640039</v>
      </c>
      <c r="J95" s="3">
        <v>37905340</v>
      </c>
      <c r="K95" s="3">
        <v>0</v>
      </c>
      <c r="L95" s="3">
        <v>38300385</v>
      </c>
      <c r="M95" s="3">
        <v>286248580</v>
      </c>
      <c r="N95" s="3">
        <v>7977</v>
      </c>
      <c r="O95" s="3">
        <v>82753</v>
      </c>
      <c r="P95" s="3">
        <f t="shared" si="1"/>
        <v>386671954</v>
      </c>
    </row>
    <row r="96" spans="1:16" x14ac:dyDescent="0.25">
      <c r="A96" s="2">
        <v>45752</v>
      </c>
      <c r="B96" s="3">
        <v>8100043</v>
      </c>
      <c r="C96" s="3">
        <v>244</v>
      </c>
      <c r="D96" s="3">
        <v>0</v>
      </c>
      <c r="E96" s="3">
        <v>11</v>
      </c>
      <c r="F96" s="3">
        <v>0</v>
      </c>
      <c r="G96" s="3">
        <v>125262</v>
      </c>
      <c r="H96" s="3">
        <v>0</v>
      </c>
      <c r="I96" s="3">
        <v>42632</v>
      </c>
      <c r="J96" s="3">
        <v>6926214</v>
      </c>
      <c r="K96" s="3">
        <v>0</v>
      </c>
      <c r="L96" s="3">
        <v>7165700</v>
      </c>
      <c r="M96" s="3">
        <v>89101113</v>
      </c>
      <c r="N96" s="3">
        <v>4814</v>
      </c>
      <c r="O96" s="3">
        <v>0</v>
      </c>
      <c r="P96" s="3">
        <f t="shared" si="1"/>
        <v>111466033</v>
      </c>
    </row>
    <row r="97" spans="1:16" x14ac:dyDescent="0.25">
      <c r="A97" s="2">
        <v>45753</v>
      </c>
      <c r="B97" s="3">
        <v>38336630</v>
      </c>
      <c r="C97" s="3">
        <v>9895</v>
      </c>
      <c r="D97" s="3">
        <v>0</v>
      </c>
      <c r="E97" s="3">
        <v>90</v>
      </c>
      <c r="F97" s="3">
        <v>0</v>
      </c>
      <c r="G97" s="3">
        <v>74267</v>
      </c>
      <c r="H97" s="3">
        <v>0</v>
      </c>
      <c r="I97" s="3">
        <v>12025</v>
      </c>
      <c r="J97" s="3">
        <v>23238011</v>
      </c>
      <c r="K97" s="3">
        <v>0</v>
      </c>
      <c r="L97" s="3">
        <v>14038161</v>
      </c>
      <c r="M97" s="3">
        <v>220893433</v>
      </c>
      <c r="N97" s="3">
        <v>0</v>
      </c>
      <c r="O97" s="3">
        <v>0</v>
      </c>
      <c r="P97" s="3">
        <f t="shared" si="1"/>
        <v>296602512</v>
      </c>
    </row>
    <row r="98" spans="1:16" x14ac:dyDescent="0.25">
      <c r="A98" s="2">
        <v>45754</v>
      </c>
      <c r="B98" s="3">
        <v>72605897</v>
      </c>
      <c r="C98" s="3">
        <v>1364857</v>
      </c>
      <c r="D98" s="3">
        <v>0</v>
      </c>
      <c r="E98" s="3">
        <v>27055</v>
      </c>
      <c r="F98" s="3">
        <v>0</v>
      </c>
      <c r="G98" s="3">
        <v>1959990</v>
      </c>
      <c r="H98" s="3">
        <v>0</v>
      </c>
      <c r="I98" s="3">
        <v>19595</v>
      </c>
      <c r="J98" s="3">
        <v>62306155</v>
      </c>
      <c r="K98" s="3">
        <v>0</v>
      </c>
      <c r="L98" s="3">
        <v>37317040</v>
      </c>
      <c r="M98" s="3">
        <v>326811119</v>
      </c>
      <c r="N98" s="3">
        <v>30087768</v>
      </c>
      <c r="O98" s="3">
        <v>0</v>
      </c>
      <c r="P98" s="3">
        <f t="shared" si="1"/>
        <v>532499476</v>
      </c>
    </row>
    <row r="99" spans="1:16" x14ac:dyDescent="0.25">
      <c r="A99" s="2">
        <v>45755</v>
      </c>
      <c r="B99" s="3">
        <v>21693144</v>
      </c>
      <c r="C99" s="3">
        <v>892237</v>
      </c>
      <c r="D99" s="3">
        <v>0</v>
      </c>
      <c r="E99" s="3">
        <v>24</v>
      </c>
      <c r="F99" s="3">
        <v>0</v>
      </c>
      <c r="G99" s="3">
        <v>1264254</v>
      </c>
      <c r="H99" s="3">
        <v>0</v>
      </c>
      <c r="I99" s="3">
        <v>13448</v>
      </c>
      <c r="J99" s="3">
        <v>27136658</v>
      </c>
      <c r="K99" s="3">
        <v>0</v>
      </c>
      <c r="L99" s="3">
        <v>18517630</v>
      </c>
      <c r="M99" s="3">
        <v>175780034</v>
      </c>
      <c r="N99" s="3">
        <v>208</v>
      </c>
      <c r="O99" s="3">
        <v>0</v>
      </c>
      <c r="P99" s="3">
        <f t="shared" si="1"/>
        <v>245297637</v>
      </c>
    </row>
    <row r="100" spans="1:16" x14ac:dyDescent="0.25">
      <c r="A100" s="2">
        <v>45756</v>
      </c>
      <c r="B100" s="3">
        <v>7490491</v>
      </c>
      <c r="C100" s="3">
        <v>110646</v>
      </c>
      <c r="D100" s="3">
        <v>0</v>
      </c>
      <c r="E100" s="3">
        <v>34</v>
      </c>
      <c r="F100" s="3">
        <v>0</v>
      </c>
      <c r="G100" s="3">
        <v>1449916</v>
      </c>
      <c r="H100" s="3">
        <v>0</v>
      </c>
      <c r="I100" s="3">
        <v>151379</v>
      </c>
      <c r="J100" s="3">
        <v>58098058</v>
      </c>
      <c r="K100" s="3">
        <v>30</v>
      </c>
      <c r="L100" s="3">
        <v>5608527</v>
      </c>
      <c r="M100" s="3">
        <v>141705563</v>
      </c>
      <c r="N100" s="3">
        <v>109222</v>
      </c>
      <c r="O100" s="3">
        <v>0</v>
      </c>
      <c r="P100" s="3">
        <f t="shared" si="1"/>
        <v>214723866</v>
      </c>
    </row>
    <row r="101" spans="1:16" x14ac:dyDescent="0.25">
      <c r="A101" s="2">
        <v>45757</v>
      </c>
      <c r="B101" s="3">
        <v>69366890</v>
      </c>
      <c r="C101" s="3">
        <v>3284939</v>
      </c>
      <c r="D101" s="3">
        <v>0</v>
      </c>
      <c r="E101" s="3">
        <v>25119</v>
      </c>
      <c r="F101" s="3">
        <v>0</v>
      </c>
      <c r="G101" s="3">
        <v>531058</v>
      </c>
      <c r="H101" s="3">
        <v>0</v>
      </c>
      <c r="I101" s="3">
        <v>31689</v>
      </c>
      <c r="J101" s="3">
        <v>34756732</v>
      </c>
      <c r="K101" s="3">
        <v>0</v>
      </c>
      <c r="L101" s="3">
        <v>9130960</v>
      </c>
      <c r="M101" s="3">
        <v>163648623</v>
      </c>
      <c r="N101" s="3">
        <v>1471</v>
      </c>
      <c r="O101" s="3">
        <v>0</v>
      </c>
      <c r="P101" s="3">
        <f t="shared" si="1"/>
        <v>280777481</v>
      </c>
    </row>
    <row r="102" spans="1:16" x14ac:dyDescent="0.25">
      <c r="A102" s="2">
        <v>45758</v>
      </c>
      <c r="B102" s="3">
        <v>69057826</v>
      </c>
      <c r="C102" s="3">
        <v>2920665</v>
      </c>
      <c r="D102" s="3">
        <v>0</v>
      </c>
      <c r="E102" s="3">
        <v>5</v>
      </c>
      <c r="F102" s="3">
        <v>0</v>
      </c>
      <c r="G102" s="3">
        <v>130654</v>
      </c>
      <c r="H102" s="3">
        <v>0</v>
      </c>
      <c r="I102" s="3">
        <v>27658</v>
      </c>
      <c r="J102" s="3">
        <v>90147575</v>
      </c>
      <c r="K102" s="3">
        <v>50</v>
      </c>
      <c r="L102" s="3">
        <v>52860670</v>
      </c>
      <c r="M102" s="3">
        <v>252640367</v>
      </c>
      <c r="N102" s="3">
        <v>90</v>
      </c>
      <c r="O102" s="3">
        <v>0</v>
      </c>
      <c r="P102" s="3">
        <f t="shared" si="1"/>
        <v>467785560</v>
      </c>
    </row>
    <row r="103" spans="1:16" x14ac:dyDescent="0.25">
      <c r="A103" s="2">
        <v>45759</v>
      </c>
      <c r="B103" s="3">
        <v>8919062</v>
      </c>
      <c r="C103" s="3">
        <v>444</v>
      </c>
      <c r="D103" s="3">
        <v>0</v>
      </c>
      <c r="E103" s="3">
        <v>4915</v>
      </c>
      <c r="F103" s="3">
        <v>0</v>
      </c>
      <c r="G103" s="3">
        <v>6551</v>
      </c>
      <c r="H103" s="3">
        <v>0</v>
      </c>
      <c r="I103" s="3">
        <v>1078</v>
      </c>
      <c r="J103" s="3">
        <v>28467806</v>
      </c>
      <c r="K103" s="3">
        <v>0</v>
      </c>
      <c r="L103" s="3">
        <v>2773507</v>
      </c>
      <c r="M103" s="3">
        <v>87072310</v>
      </c>
      <c r="N103" s="3">
        <v>38</v>
      </c>
      <c r="O103" s="3">
        <v>0</v>
      </c>
      <c r="P103" s="3">
        <f t="shared" si="1"/>
        <v>127245711</v>
      </c>
    </row>
    <row r="104" spans="1:16" x14ac:dyDescent="0.25">
      <c r="A104" s="2">
        <v>45760</v>
      </c>
      <c r="B104" s="3">
        <v>2516397</v>
      </c>
      <c r="C104" s="3">
        <v>409</v>
      </c>
      <c r="D104" s="3">
        <v>0</v>
      </c>
      <c r="E104" s="3">
        <v>3</v>
      </c>
      <c r="F104" s="3">
        <v>0</v>
      </c>
      <c r="G104" s="3">
        <v>49</v>
      </c>
      <c r="H104" s="3">
        <v>0</v>
      </c>
      <c r="I104" s="3">
        <v>1548</v>
      </c>
      <c r="J104" s="3">
        <v>20749544</v>
      </c>
      <c r="K104" s="3">
        <v>0</v>
      </c>
      <c r="L104" s="3">
        <v>784037</v>
      </c>
      <c r="M104" s="3">
        <v>145402702</v>
      </c>
      <c r="N104" s="3">
        <v>79</v>
      </c>
      <c r="O104" s="3">
        <v>0</v>
      </c>
      <c r="P104" s="3">
        <f t="shared" si="1"/>
        <v>169454768</v>
      </c>
    </row>
    <row r="105" spans="1:16" x14ac:dyDescent="0.25">
      <c r="A105" s="2">
        <v>45761</v>
      </c>
      <c r="B105" s="3">
        <v>8248524</v>
      </c>
      <c r="C105" s="3">
        <v>2922634</v>
      </c>
      <c r="D105" s="3">
        <v>0</v>
      </c>
      <c r="E105" s="3">
        <v>127</v>
      </c>
      <c r="F105" s="3">
        <v>0</v>
      </c>
      <c r="G105" s="3">
        <v>35294</v>
      </c>
      <c r="H105" s="3">
        <v>0</v>
      </c>
      <c r="I105" s="3">
        <v>124611</v>
      </c>
      <c r="J105" s="3">
        <v>29360437</v>
      </c>
      <c r="K105" s="3">
        <v>25</v>
      </c>
      <c r="L105" s="3">
        <v>5286211</v>
      </c>
      <c r="M105" s="3">
        <v>215558882</v>
      </c>
      <c r="N105" s="3">
        <v>113857</v>
      </c>
      <c r="O105" s="3">
        <v>0</v>
      </c>
      <c r="P105" s="3">
        <f t="shared" si="1"/>
        <v>261650602</v>
      </c>
    </row>
    <row r="106" spans="1:16" x14ac:dyDescent="0.25">
      <c r="A106" s="2">
        <v>45762</v>
      </c>
      <c r="B106" s="3">
        <v>23156474</v>
      </c>
      <c r="C106" s="3">
        <v>309871</v>
      </c>
      <c r="D106" s="3">
        <v>0</v>
      </c>
      <c r="E106" s="3">
        <v>18873</v>
      </c>
      <c r="F106" s="3">
        <v>0</v>
      </c>
      <c r="G106" s="3">
        <v>470</v>
      </c>
      <c r="H106" s="3">
        <v>0</v>
      </c>
      <c r="I106" s="3">
        <v>87944</v>
      </c>
      <c r="J106" s="3">
        <v>23832792</v>
      </c>
      <c r="K106" s="3">
        <v>0</v>
      </c>
      <c r="L106" s="3">
        <v>22614229</v>
      </c>
      <c r="M106" s="3">
        <v>188255820</v>
      </c>
      <c r="N106" s="3">
        <v>2402</v>
      </c>
      <c r="O106" s="3">
        <v>0</v>
      </c>
      <c r="P106" s="3">
        <f t="shared" si="1"/>
        <v>258278875</v>
      </c>
    </row>
    <row r="107" spans="1:16" x14ac:dyDescent="0.25">
      <c r="A107" s="2">
        <v>45763</v>
      </c>
      <c r="B107" s="3">
        <v>7298807</v>
      </c>
      <c r="C107" s="3">
        <v>423280</v>
      </c>
      <c r="D107" s="3">
        <v>0</v>
      </c>
      <c r="E107" s="3">
        <v>102597</v>
      </c>
      <c r="F107" s="3">
        <v>0</v>
      </c>
      <c r="G107" s="3">
        <v>27266</v>
      </c>
      <c r="H107" s="3">
        <v>0</v>
      </c>
      <c r="I107" s="3">
        <v>305804</v>
      </c>
      <c r="J107" s="3">
        <v>96590163</v>
      </c>
      <c r="K107" s="3">
        <v>0</v>
      </c>
      <c r="L107" s="3">
        <v>27330426</v>
      </c>
      <c r="M107" s="3">
        <v>109781284</v>
      </c>
      <c r="N107" s="3">
        <v>7464</v>
      </c>
      <c r="O107" s="3">
        <v>0</v>
      </c>
      <c r="P107" s="3">
        <f t="shared" si="1"/>
        <v>241867091</v>
      </c>
    </row>
    <row r="108" spans="1:16" x14ac:dyDescent="0.25">
      <c r="A108" s="2">
        <v>45764</v>
      </c>
      <c r="B108" s="3">
        <v>15370967</v>
      </c>
      <c r="C108" s="3">
        <v>1463653</v>
      </c>
      <c r="D108" s="3">
        <v>0</v>
      </c>
      <c r="E108" s="3">
        <v>6290</v>
      </c>
      <c r="F108" s="3">
        <v>0</v>
      </c>
      <c r="G108" s="3">
        <v>195284</v>
      </c>
      <c r="H108" s="3">
        <v>0</v>
      </c>
      <c r="I108" s="3">
        <v>7849</v>
      </c>
      <c r="J108" s="3">
        <v>46682791</v>
      </c>
      <c r="K108" s="3">
        <v>0</v>
      </c>
      <c r="L108" s="3">
        <v>8122144</v>
      </c>
      <c r="M108" s="3">
        <v>165756526</v>
      </c>
      <c r="N108" s="3">
        <v>493</v>
      </c>
      <c r="O108" s="3">
        <v>0</v>
      </c>
      <c r="P108" s="3">
        <f t="shared" si="1"/>
        <v>237605997</v>
      </c>
    </row>
    <row r="109" spans="1:16" x14ac:dyDescent="0.25">
      <c r="A109" s="2">
        <v>45765</v>
      </c>
      <c r="B109" s="3">
        <v>50816020</v>
      </c>
      <c r="C109" s="3">
        <v>604045</v>
      </c>
      <c r="D109" s="3">
        <v>0</v>
      </c>
      <c r="E109" s="3">
        <v>94</v>
      </c>
      <c r="F109" s="3">
        <v>0</v>
      </c>
      <c r="G109" s="3">
        <v>62128</v>
      </c>
      <c r="H109" s="3">
        <v>0</v>
      </c>
      <c r="I109" s="3">
        <v>5911</v>
      </c>
      <c r="J109" s="3">
        <v>21813148</v>
      </c>
      <c r="K109" s="3">
        <v>2495</v>
      </c>
      <c r="L109" s="3">
        <v>14197205</v>
      </c>
      <c r="M109" s="3">
        <v>80345385</v>
      </c>
      <c r="N109" s="3">
        <v>0</v>
      </c>
      <c r="O109" s="3">
        <v>0</v>
      </c>
      <c r="P109" s="3">
        <f t="shared" si="1"/>
        <v>167846431</v>
      </c>
    </row>
    <row r="110" spans="1:16" x14ac:dyDescent="0.25">
      <c r="A110" s="2">
        <v>45766</v>
      </c>
      <c r="B110" s="3">
        <v>3265116</v>
      </c>
      <c r="C110" s="3">
        <v>90</v>
      </c>
      <c r="D110" s="3">
        <v>0</v>
      </c>
      <c r="E110" s="3">
        <v>12614</v>
      </c>
      <c r="F110" s="3">
        <v>0</v>
      </c>
      <c r="G110" s="3">
        <v>1781793</v>
      </c>
      <c r="H110" s="3">
        <v>0</v>
      </c>
      <c r="I110" s="3">
        <v>15570</v>
      </c>
      <c r="J110" s="3">
        <v>11628996</v>
      </c>
      <c r="K110" s="3">
        <v>0</v>
      </c>
      <c r="L110" s="3">
        <v>1214848</v>
      </c>
      <c r="M110" s="3">
        <v>45699499</v>
      </c>
      <c r="N110" s="3">
        <v>94</v>
      </c>
      <c r="O110" s="3">
        <v>0</v>
      </c>
      <c r="P110" s="3">
        <f t="shared" si="1"/>
        <v>63618620</v>
      </c>
    </row>
    <row r="111" spans="1:16" x14ac:dyDescent="0.25">
      <c r="A111" s="2">
        <v>45767</v>
      </c>
      <c r="B111" s="3">
        <v>726234</v>
      </c>
      <c r="C111" s="3">
        <v>257</v>
      </c>
      <c r="D111" s="3">
        <v>0</v>
      </c>
      <c r="E111" s="3">
        <v>328</v>
      </c>
      <c r="F111" s="3">
        <v>0</v>
      </c>
      <c r="G111" s="3">
        <v>215687</v>
      </c>
      <c r="H111" s="3">
        <v>0</v>
      </c>
      <c r="I111" s="3">
        <v>1121</v>
      </c>
      <c r="J111" s="3">
        <v>11081246</v>
      </c>
      <c r="K111" s="3">
        <v>0</v>
      </c>
      <c r="L111" s="3">
        <v>2045062</v>
      </c>
      <c r="M111" s="3">
        <v>77259923</v>
      </c>
      <c r="N111" s="3">
        <v>56</v>
      </c>
      <c r="O111" s="3">
        <v>0</v>
      </c>
      <c r="P111" s="3">
        <f t="shared" si="1"/>
        <v>91329914</v>
      </c>
    </row>
    <row r="112" spans="1:16" x14ac:dyDescent="0.25">
      <c r="A112" s="2">
        <v>45768</v>
      </c>
      <c r="B112" s="3">
        <v>39836484</v>
      </c>
      <c r="C112" s="3">
        <v>603</v>
      </c>
      <c r="D112" s="3">
        <v>0</v>
      </c>
      <c r="E112" s="3">
        <v>7</v>
      </c>
      <c r="F112" s="3">
        <v>0</v>
      </c>
      <c r="G112" s="3">
        <v>905854</v>
      </c>
      <c r="H112" s="3">
        <v>0</v>
      </c>
      <c r="I112" s="3">
        <v>592326</v>
      </c>
      <c r="J112" s="3">
        <v>70328649</v>
      </c>
      <c r="K112" s="3">
        <v>0</v>
      </c>
      <c r="L112" s="3">
        <v>7440584</v>
      </c>
      <c r="M112" s="3">
        <v>83109753</v>
      </c>
      <c r="N112" s="3">
        <v>0</v>
      </c>
      <c r="O112" s="3">
        <v>0</v>
      </c>
      <c r="P112" s="3">
        <f t="shared" si="1"/>
        <v>202214260</v>
      </c>
    </row>
    <row r="113" spans="1:16" x14ac:dyDescent="0.25">
      <c r="A113" s="2">
        <v>45769</v>
      </c>
      <c r="B113" s="3">
        <v>112776759</v>
      </c>
      <c r="C113" s="3">
        <v>2669998</v>
      </c>
      <c r="D113" s="3">
        <v>0</v>
      </c>
      <c r="E113" s="3">
        <v>465</v>
      </c>
      <c r="F113" s="3">
        <v>0</v>
      </c>
      <c r="G113" s="3">
        <v>918790</v>
      </c>
      <c r="H113" s="3">
        <v>0</v>
      </c>
      <c r="I113" s="3">
        <v>21767</v>
      </c>
      <c r="J113" s="3">
        <v>119399583</v>
      </c>
      <c r="K113" s="3">
        <v>0</v>
      </c>
      <c r="L113" s="3">
        <v>16187494</v>
      </c>
      <c r="M113" s="3">
        <v>162736186</v>
      </c>
      <c r="N113" s="3">
        <v>3572</v>
      </c>
      <c r="O113" s="3">
        <v>0</v>
      </c>
      <c r="P113" s="3">
        <f t="shared" si="1"/>
        <v>414714614</v>
      </c>
    </row>
    <row r="114" spans="1:16" x14ac:dyDescent="0.25">
      <c r="A114" s="2">
        <v>45770</v>
      </c>
      <c r="B114" s="3">
        <v>2761746</v>
      </c>
      <c r="C114" s="3">
        <v>541333</v>
      </c>
      <c r="D114" s="3">
        <v>0</v>
      </c>
      <c r="E114" s="3">
        <v>1184</v>
      </c>
      <c r="F114" s="3">
        <v>0</v>
      </c>
      <c r="G114" s="3">
        <v>1917608</v>
      </c>
      <c r="H114" s="3">
        <v>0</v>
      </c>
      <c r="I114" s="3">
        <v>14830</v>
      </c>
      <c r="J114" s="3">
        <v>137438399</v>
      </c>
      <c r="K114" s="3">
        <v>803</v>
      </c>
      <c r="L114" s="3">
        <v>3924127</v>
      </c>
      <c r="M114" s="3">
        <v>103496806</v>
      </c>
      <c r="N114" s="3">
        <v>4124</v>
      </c>
      <c r="O114" s="3">
        <v>2356</v>
      </c>
      <c r="P114" s="3">
        <f t="shared" si="1"/>
        <v>250103316</v>
      </c>
    </row>
    <row r="115" spans="1:16" x14ac:dyDescent="0.25">
      <c r="A115" s="2">
        <v>45771</v>
      </c>
      <c r="B115" s="3">
        <v>25181769</v>
      </c>
      <c r="C115" s="3">
        <v>2947878</v>
      </c>
      <c r="D115" s="3">
        <v>0</v>
      </c>
      <c r="E115" s="3">
        <v>5</v>
      </c>
      <c r="F115" s="3">
        <v>0</v>
      </c>
      <c r="G115" s="3">
        <v>1039294</v>
      </c>
      <c r="H115" s="3">
        <v>0</v>
      </c>
      <c r="I115" s="3">
        <v>342750</v>
      </c>
      <c r="J115" s="3">
        <v>45867283</v>
      </c>
      <c r="K115" s="3">
        <v>0</v>
      </c>
      <c r="L115" s="3">
        <v>40074770</v>
      </c>
      <c r="M115" s="3">
        <v>162653346</v>
      </c>
      <c r="N115" s="3">
        <v>109</v>
      </c>
      <c r="O115" s="3">
        <v>0</v>
      </c>
      <c r="P115" s="3">
        <f t="shared" si="1"/>
        <v>278107204</v>
      </c>
    </row>
    <row r="116" spans="1:16" x14ac:dyDescent="0.25">
      <c r="A116" s="2">
        <v>45772</v>
      </c>
      <c r="B116" s="3">
        <v>17386229</v>
      </c>
      <c r="C116" s="3">
        <v>1691694</v>
      </c>
      <c r="D116" s="3">
        <v>0</v>
      </c>
      <c r="E116" s="3">
        <v>9</v>
      </c>
      <c r="F116" s="3">
        <v>0</v>
      </c>
      <c r="G116" s="3">
        <v>1234183</v>
      </c>
      <c r="H116" s="3">
        <v>0</v>
      </c>
      <c r="I116" s="3">
        <v>6694</v>
      </c>
      <c r="J116" s="3">
        <v>32698700</v>
      </c>
      <c r="K116" s="3">
        <v>0</v>
      </c>
      <c r="L116" s="3">
        <v>17352031</v>
      </c>
      <c r="M116" s="3">
        <v>29245463</v>
      </c>
      <c r="N116" s="3">
        <v>201020066</v>
      </c>
      <c r="O116" s="3">
        <v>0</v>
      </c>
      <c r="P116" s="3">
        <f t="shared" si="1"/>
        <v>300635069</v>
      </c>
    </row>
    <row r="117" spans="1:16" x14ac:dyDescent="0.25">
      <c r="A117" s="2">
        <v>45773</v>
      </c>
      <c r="B117" s="3">
        <v>24357411</v>
      </c>
      <c r="C117" s="3">
        <v>687</v>
      </c>
      <c r="D117" s="3">
        <v>0</v>
      </c>
      <c r="E117" s="3">
        <v>4499</v>
      </c>
      <c r="F117" s="3">
        <v>0</v>
      </c>
      <c r="G117" s="3">
        <v>333405</v>
      </c>
      <c r="H117" s="3">
        <v>0</v>
      </c>
      <c r="I117" s="3">
        <v>1469</v>
      </c>
      <c r="J117" s="3">
        <v>26783324</v>
      </c>
      <c r="K117" s="3">
        <v>0</v>
      </c>
      <c r="L117" s="3">
        <v>4631253</v>
      </c>
      <c r="M117" s="3">
        <v>45584394</v>
      </c>
      <c r="N117" s="3">
        <v>680</v>
      </c>
      <c r="O117" s="3">
        <v>0</v>
      </c>
      <c r="P117" s="3">
        <f t="shared" si="1"/>
        <v>101697122</v>
      </c>
    </row>
    <row r="118" spans="1:16" x14ac:dyDescent="0.25">
      <c r="A118" s="2">
        <v>45774</v>
      </c>
      <c r="B118" s="3">
        <v>15908468</v>
      </c>
      <c r="C118" s="3">
        <v>62</v>
      </c>
      <c r="D118" s="3">
        <v>0</v>
      </c>
      <c r="E118" s="3">
        <v>1</v>
      </c>
      <c r="F118" s="3">
        <v>0</v>
      </c>
      <c r="G118" s="3">
        <v>404374</v>
      </c>
      <c r="H118" s="3">
        <v>0</v>
      </c>
      <c r="I118" s="3">
        <v>3143</v>
      </c>
      <c r="J118" s="3">
        <v>11439361</v>
      </c>
      <c r="K118" s="3">
        <v>1</v>
      </c>
      <c r="L118" s="3">
        <v>26612631</v>
      </c>
      <c r="M118" s="3">
        <v>50870643</v>
      </c>
      <c r="N118" s="3">
        <v>2440</v>
      </c>
      <c r="O118" s="3">
        <v>0</v>
      </c>
      <c r="P118" s="3">
        <f t="shared" si="1"/>
        <v>105241124</v>
      </c>
    </row>
    <row r="119" spans="1:16" x14ac:dyDescent="0.25">
      <c r="A119" s="2">
        <v>45775</v>
      </c>
      <c r="B119" s="3">
        <v>6765193</v>
      </c>
      <c r="C119" s="3">
        <v>4532520</v>
      </c>
      <c r="D119" s="3">
        <v>0</v>
      </c>
      <c r="E119" s="3">
        <v>12724</v>
      </c>
      <c r="F119" s="3">
        <v>0</v>
      </c>
      <c r="G119" s="3">
        <v>1093730</v>
      </c>
      <c r="H119" s="3">
        <v>0</v>
      </c>
      <c r="I119" s="3">
        <v>77357</v>
      </c>
      <c r="J119" s="3">
        <v>19628720</v>
      </c>
      <c r="K119" s="3">
        <v>10177269</v>
      </c>
      <c r="L119" s="3">
        <v>4134163</v>
      </c>
      <c r="M119" s="3">
        <v>78656104</v>
      </c>
      <c r="N119" s="3">
        <v>4350</v>
      </c>
      <c r="O119" s="3">
        <v>77019</v>
      </c>
      <c r="P119" s="3">
        <f t="shared" si="1"/>
        <v>125159149</v>
      </c>
    </row>
    <row r="120" spans="1:16" x14ac:dyDescent="0.25">
      <c r="A120" s="2">
        <v>45776</v>
      </c>
      <c r="B120" s="3">
        <v>16706268</v>
      </c>
      <c r="C120" s="3">
        <v>2720966</v>
      </c>
      <c r="D120" s="3">
        <v>0</v>
      </c>
      <c r="E120" s="3">
        <v>1</v>
      </c>
      <c r="F120" s="3">
        <v>0</v>
      </c>
      <c r="G120" s="3">
        <v>381443</v>
      </c>
      <c r="H120" s="3">
        <v>0</v>
      </c>
      <c r="I120" s="3">
        <v>35065</v>
      </c>
      <c r="J120" s="3">
        <v>20948798</v>
      </c>
      <c r="K120" s="3">
        <v>6001183</v>
      </c>
      <c r="L120" s="3">
        <v>6166595</v>
      </c>
      <c r="M120" s="3">
        <v>88396579</v>
      </c>
      <c r="N120" s="3">
        <v>24166929</v>
      </c>
      <c r="O120" s="3">
        <v>2444</v>
      </c>
      <c r="P120" s="3">
        <f t="shared" si="1"/>
        <v>165526271</v>
      </c>
    </row>
    <row r="121" spans="1:16" x14ac:dyDescent="0.25">
      <c r="A121" s="2">
        <v>45777</v>
      </c>
      <c r="B121" s="3">
        <v>23321087</v>
      </c>
      <c r="C121" s="3">
        <v>3603515</v>
      </c>
      <c r="D121" s="3">
        <v>0</v>
      </c>
      <c r="E121" s="3">
        <v>29</v>
      </c>
      <c r="F121" s="3">
        <v>0</v>
      </c>
      <c r="G121" s="3">
        <v>861714</v>
      </c>
      <c r="H121" s="3">
        <v>0</v>
      </c>
      <c r="I121" s="3">
        <v>1454402</v>
      </c>
      <c r="J121" s="3">
        <v>20881821</v>
      </c>
      <c r="K121" s="3">
        <v>0</v>
      </c>
      <c r="L121" s="3">
        <v>6424164</v>
      </c>
      <c r="M121" s="3">
        <v>103199611</v>
      </c>
      <c r="N121" s="3">
        <v>13116135</v>
      </c>
      <c r="O121" s="3">
        <v>0</v>
      </c>
      <c r="P121" s="3">
        <f t="shared" si="1"/>
        <v>172862478</v>
      </c>
    </row>
    <row r="122" spans="1:16" x14ac:dyDescent="0.25">
      <c r="A122" s="2">
        <v>45778</v>
      </c>
      <c r="B122" s="3">
        <v>38336018</v>
      </c>
      <c r="C122" s="3">
        <v>52372</v>
      </c>
      <c r="D122" s="3">
        <v>0</v>
      </c>
      <c r="E122" s="3">
        <v>502</v>
      </c>
      <c r="F122" s="3">
        <v>0</v>
      </c>
      <c r="G122" s="3">
        <v>941665</v>
      </c>
      <c r="H122" s="3">
        <v>0</v>
      </c>
      <c r="I122" s="3">
        <v>17686</v>
      </c>
      <c r="J122" s="3">
        <v>35433161</v>
      </c>
      <c r="K122" s="3">
        <v>1</v>
      </c>
      <c r="L122" s="3">
        <v>9371419</v>
      </c>
      <c r="M122" s="3">
        <v>103837095</v>
      </c>
      <c r="N122" s="3">
        <v>1158</v>
      </c>
      <c r="O122" s="3">
        <v>0</v>
      </c>
      <c r="P122" s="3">
        <f t="shared" si="1"/>
        <v>187991077</v>
      </c>
    </row>
    <row r="123" spans="1:16" x14ac:dyDescent="0.25">
      <c r="A123" s="2">
        <v>45779</v>
      </c>
      <c r="B123" s="3">
        <v>40833285</v>
      </c>
      <c r="C123" s="3">
        <v>840296</v>
      </c>
      <c r="D123" s="3">
        <v>0</v>
      </c>
      <c r="E123" s="3">
        <v>4492</v>
      </c>
      <c r="F123" s="3">
        <v>0</v>
      </c>
      <c r="G123" s="3">
        <v>1188887</v>
      </c>
      <c r="H123" s="3">
        <v>0</v>
      </c>
      <c r="I123" s="3">
        <v>4515</v>
      </c>
      <c r="J123" s="3">
        <v>64241375</v>
      </c>
      <c r="K123" s="3">
        <v>10</v>
      </c>
      <c r="L123" s="3">
        <v>28790069</v>
      </c>
      <c r="M123" s="3">
        <v>225316175</v>
      </c>
      <c r="N123" s="3">
        <v>2350</v>
      </c>
      <c r="O123" s="3">
        <v>0</v>
      </c>
      <c r="P123" s="3">
        <f t="shared" si="1"/>
        <v>361221454</v>
      </c>
    </row>
    <row r="124" spans="1:16" x14ac:dyDescent="0.25">
      <c r="A124" s="2">
        <v>45780</v>
      </c>
      <c r="B124" s="3">
        <v>49430505</v>
      </c>
      <c r="C124" s="3">
        <v>119</v>
      </c>
      <c r="D124" s="3">
        <v>0</v>
      </c>
      <c r="E124" s="3">
        <v>0</v>
      </c>
      <c r="F124" s="3">
        <v>0</v>
      </c>
      <c r="G124" s="3">
        <v>154468</v>
      </c>
      <c r="H124" s="3">
        <v>0</v>
      </c>
      <c r="I124" s="3">
        <v>6880</v>
      </c>
      <c r="J124" s="3">
        <v>14556110</v>
      </c>
      <c r="K124" s="3">
        <v>20</v>
      </c>
      <c r="L124" s="3">
        <v>1143805</v>
      </c>
      <c r="M124" s="3">
        <v>262504889</v>
      </c>
      <c r="N124" s="3">
        <v>374153</v>
      </c>
      <c r="O124" s="3">
        <v>0</v>
      </c>
      <c r="P124" s="3">
        <f t="shared" si="1"/>
        <v>328170949</v>
      </c>
    </row>
    <row r="125" spans="1:16" x14ac:dyDescent="0.25">
      <c r="A125" s="2">
        <v>45781</v>
      </c>
      <c r="B125" s="3">
        <v>253233</v>
      </c>
      <c r="C125" s="3">
        <v>47921</v>
      </c>
      <c r="D125" s="3">
        <v>0</v>
      </c>
      <c r="E125" s="3">
        <v>0</v>
      </c>
      <c r="F125" s="3">
        <v>0</v>
      </c>
      <c r="G125" s="3">
        <v>59763</v>
      </c>
      <c r="H125" s="3">
        <v>0</v>
      </c>
      <c r="I125" s="3">
        <v>9645</v>
      </c>
      <c r="J125" s="3">
        <v>11350691</v>
      </c>
      <c r="K125" s="3">
        <v>0</v>
      </c>
      <c r="L125" s="3">
        <v>4603688</v>
      </c>
      <c r="M125" s="3">
        <v>336448207</v>
      </c>
      <c r="N125" s="3">
        <v>10135</v>
      </c>
      <c r="O125" s="3">
        <v>0</v>
      </c>
      <c r="P125" s="3">
        <f t="shared" si="1"/>
        <v>352783283</v>
      </c>
    </row>
    <row r="126" spans="1:16" x14ac:dyDescent="0.25">
      <c r="A126" s="2">
        <v>45782</v>
      </c>
      <c r="B126" s="3">
        <v>54380051</v>
      </c>
      <c r="C126" s="3">
        <v>358781</v>
      </c>
      <c r="D126" s="3">
        <v>0</v>
      </c>
      <c r="E126" s="3">
        <v>5</v>
      </c>
      <c r="F126" s="3">
        <v>0</v>
      </c>
      <c r="G126" s="3">
        <v>867712</v>
      </c>
      <c r="H126" s="3">
        <v>0</v>
      </c>
      <c r="I126" s="3">
        <v>42264295</v>
      </c>
      <c r="J126" s="3">
        <v>23537210</v>
      </c>
      <c r="K126" s="3">
        <v>502648</v>
      </c>
      <c r="L126" s="3">
        <v>22631811</v>
      </c>
      <c r="M126" s="3">
        <v>331443848</v>
      </c>
      <c r="N126" s="3">
        <v>0</v>
      </c>
      <c r="O126" s="3">
        <v>0</v>
      </c>
      <c r="P126" s="3">
        <f t="shared" si="1"/>
        <v>475986361</v>
      </c>
    </row>
    <row r="127" spans="1:16" x14ac:dyDescent="0.25">
      <c r="A127" s="2">
        <v>45783</v>
      </c>
      <c r="B127" s="3">
        <v>56040374</v>
      </c>
      <c r="C127" s="3">
        <v>1462656</v>
      </c>
      <c r="D127" s="3">
        <v>0</v>
      </c>
      <c r="E127" s="3">
        <v>3</v>
      </c>
      <c r="F127" s="3">
        <v>0</v>
      </c>
      <c r="G127" s="3">
        <v>476922</v>
      </c>
      <c r="H127" s="3">
        <v>0</v>
      </c>
      <c r="I127" s="3">
        <v>84043</v>
      </c>
      <c r="J127" s="3">
        <v>41665551</v>
      </c>
      <c r="K127" s="3">
        <v>0</v>
      </c>
      <c r="L127" s="3">
        <v>75749950</v>
      </c>
      <c r="M127" s="3">
        <v>47509799</v>
      </c>
      <c r="N127" s="3">
        <v>5271</v>
      </c>
      <c r="O127" s="3">
        <v>0</v>
      </c>
      <c r="P127" s="3">
        <f t="shared" si="1"/>
        <v>222994569</v>
      </c>
    </row>
    <row r="128" spans="1:16" x14ac:dyDescent="0.25">
      <c r="A128" s="2">
        <v>45784</v>
      </c>
      <c r="B128" s="3">
        <v>28827081</v>
      </c>
      <c r="C128" s="3">
        <v>236378</v>
      </c>
      <c r="D128" s="3">
        <v>0</v>
      </c>
      <c r="E128" s="3">
        <v>12</v>
      </c>
      <c r="F128" s="3">
        <v>0</v>
      </c>
      <c r="G128" s="3">
        <v>490103</v>
      </c>
      <c r="H128" s="3">
        <v>0</v>
      </c>
      <c r="I128" s="3">
        <v>126400</v>
      </c>
      <c r="J128" s="3">
        <v>19002796</v>
      </c>
      <c r="K128" s="3">
        <v>502251</v>
      </c>
      <c r="L128" s="3">
        <v>18182487</v>
      </c>
      <c r="M128" s="3">
        <v>66515384</v>
      </c>
      <c r="N128" s="3">
        <v>8861</v>
      </c>
      <c r="O128" s="3">
        <v>0</v>
      </c>
      <c r="P128" s="3">
        <f t="shared" si="1"/>
        <v>133891753</v>
      </c>
    </row>
    <row r="129" spans="1:16" x14ac:dyDescent="0.25">
      <c r="A129" s="2">
        <v>45785</v>
      </c>
      <c r="B129" s="3">
        <v>47128576</v>
      </c>
      <c r="C129" s="3">
        <v>2081</v>
      </c>
      <c r="D129" s="3">
        <v>0</v>
      </c>
      <c r="E129" s="3">
        <v>11</v>
      </c>
      <c r="F129" s="3">
        <v>0</v>
      </c>
      <c r="G129" s="3">
        <v>554865</v>
      </c>
      <c r="H129" s="3">
        <v>0</v>
      </c>
      <c r="I129" s="3">
        <v>332932</v>
      </c>
      <c r="J129" s="3">
        <v>50012753</v>
      </c>
      <c r="K129" s="3">
        <v>0</v>
      </c>
      <c r="L129" s="3">
        <v>130075397</v>
      </c>
      <c r="M129" s="3">
        <v>276896024</v>
      </c>
      <c r="N129" s="3">
        <v>8940</v>
      </c>
      <c r="O129" s="3">
        <v>0</v>
      </c>
      <c r="P129" s="3">
        <f t="shared" si="1"/>
        <v>505011579</v>
      </c>
    </row>
    <row r="130" spans="1:16" x14ac:dyDescent="0.25">
      <c r="A130" s="2">
        <v>45786</v>
      </c>
      <c r="B130" s="3">
        <v>28433868</v>
      </c>
      <c r="C130" s="3">
        <v>2737906</v>
      </c>
      <c r="D130" s="3">
        <v>0</v>
      </c>
      <c r="E130" s="3">
        <v>2940</v>
      </c>
      <c r="F130" s="3">
        <v>0</v>
      </c>
      <c r="G130" s="3">
        <v>954660</v>
      </c>
      <c r="H130" s="3">
        <v>0</v>
      </c>
      <c r="I130" s="3">
        <v>17272222</v>
      </c>
      <c r="J130" s="3">
        <v>22973218</v>
      </c>
      <c r="K130" s="3">
        <v>603138</v>
      </c>
      <c r="L130" s="3">
        <v>20345162</v>
      </c>
      <c r="M130" s="3">
        <v>215712904</v>
      </c>
      <c r="N130" s="3">
        <v>1792</v>
      </c>
      <c r="O130" s="3">
        <v>0</v>
      </c>
      <c r="P130" s="3">
        <f t="shared" ref="P130:P193" si="2">SUM(B130:O130)</f>
        <v>309037810</v>
      </c>
    </row>
    <row r="131" spans="1:16" x14ac:dyDescent="0.25">
      <c r="A131" s="2">
        <v>45787</v>
      </c>
      <c r="B131" s="3">
        <v>50689649</v>
      </c>
      <c r="C131" s="3">
        <v>81246</v>
      </c>
      <c r="D131" s="3">
        <v>0</v>
      </c>
      <c r="E131" s="3">
        <v>45</v>
      </c>
      <c r="F131" s="3">
        <v>0</v>
      </c>
      <c r="G131" s="3">
        <v>216344</v>
      </c>
      <c r="H131" s="3">
        <v>0</v>
      </c>
      <c r="I131" s="3">
        <v>9543</v>
      </c>
      <c r="J131" s="3">
        <v>15650179</v>
      </c>
      <c r="K131" s="3">
        <v>0</v>
      </c>
      <c r="L131" s="3">
        <v>12472361</v>
      </c>
      <c r="M131" s="3">
        <v>150845388</v>
      </c>
      <c r="N131" s="3">
        <v>0</v>
      </c>
      <c r="O131" s="3">
        <v>0</v>
      </c>
      <c r="P131" s="3">
        <f t="shared" si="2"/>
        <v>229964755</v>
      </c>
    </row>
    <row r="132" spans="1:16" x14ac:dyDescent="0.25">
      <c r="A132" s="2">
        <v>45788</v>
      </c>
      <c r="B132" s="3">
        <v>609275</v>
      </c>
      <c r="C132" s="3">
        <v>301</v>
      </c>
      <c r="D132" s="3">
        <v>0</v>
      </c>
      <c r="E132" s="3">
        <v>1237</v>
      </c>
      <c r="F132" s="3">
        <v>0</v>
      </c>
      <c r="G132" s="3">
        <v>233273</v>
      </c>
      <c r="H132" s="3">
        <v>0</v>
      </c>
      <c r="I132" s="3">
        <v>10614</v>
      </c>
      <c r="J132" s="3">
        <v>18226233</v>
      </c>
      <c r="K132" s="3">
        <v>0</v>
      </c>
      <c r="L132" s="3">
        <v>7711926</v>
      </c>
      <c r="M132" s="3">
        <v>210588991</v>
      </c>
      <c r="N132" s="3">
        <v>0</v>
      </c>
      <c r="O132" s="3">
        <v>0</v>
      </c>
      <c r="P132" s="3">
        <f t="shared" si="2"/>
        <v>237381850</v>
      </c>
    </row>
    <row r="133" spans="1:16" x14ac:dyDescent="0.25">
      <c r="A133" s="2">
        <v>45789</v>
      </c>
      <c r="B133" s="3">
        <v>12873016</v>
      </c>
      <c r="C133" s="3">
        <v>5038564</v>
      </c>
      <c r="D133" s="3">
        <v>0</v>
      </c>
      <c r="E133" s="3">
        <v>9</v>
      </c>
      <c r="F133" s="3">
        <v>0</v>
      </c>
      <c r="G133" s="3">
        <v>626246</v>
      </c>
      <c r="H133" s="3">
        <v>0</v>
      </c>
      <c r="I133" s="3">
        <v>60496</v>
      </c>
      <c r="J133" s="3">
        <v>58249363</v>
      </c>
      <c r="K133" s="3">
        <v>364585</v>
      </c>
      <c r="L133" s="3">
        <v>14337647</v>
      </c>
      <c r="M133" s="3">
        <v>458196227</v>
      </c>
      <c r="N133" s="3">
        <v>12528</v>
      </c>
      <c r="O133" s="3">
        <v>0</v>
      </c>
      <c r="P133" s="3">
        <f t="shared" si="2"/>
        <v>549758681</v>
      </c>
    </row>
    <row r="134" spans="1:16" x14ac:dyDescent="0.25">
      <c r="A134" s="2">
        <v>45790</v>
      </c>
      <c r="B134" s="3">
        <v>12840928</v>
      </c>
      <c r="C134" s="3">
        <v>2976868</v>
      </c>
      <c r="D134" s="3">
        <v>0</v>
      </c>
      <c r="E134" s="3">
        <v>1515051</v>
      </c>
      <c r="F134" s="3">
        <v>0</v>
      </c>
      <c r="G134" s="3">
        <v>16023024</v>
      </c>
      <c r="H134" s="3">
        <v>0</v>
      </c>
      <c r="I134" s="3">
        <v>1139437</v>
      </c>
      <c r="J134" s="3">
        <v>22276577</v>
      </c>
      <c r="K134" s="3">
        <v>1</v>
      </c>
      <c r="L134" s="3">
        <v>20118871</v>
      </c>
      <c r="M134" s="3">
        <v>208702614</v>
      </c>
      <c r="N134" s="3">
        <v>33</v>
      </c>
      <c r="O134" s="3">
        <v>0</v>
      </c>
      <c r="P134" s="3">
        <f t="shared" si="2"/>
        <v>285593404</v>
      </c>
    </row>
    <row r="135" spans="1:16" x14ac:dyDescent="0.25">
      <c r="A135" s="2">
        <v>45791</v>
      </c>
      <c r="B135" s="3">
        <v>95965741</v>
      </c>
      <c r="C135" s="3">
        <v>1400242</v>
      </c>
      <c r="D135" s="3">
        <v>0</v>
      </c>
      <c r="E135" s="3">
        <v>100000</v>
      </c>
      <c r="F135" s="3">
        <v>0</v>
      </c>
      <c r="G135" s="3">
        <v>237819</v>
      </c>
      <c r="H135" s="3">
        <v>0</v>
      </c>
      <c r="I135" s="3">
        <v>242233</v>
      </c>
      <c r="J135" s="3">
        <v>28350314</v>
      </c>
      <c r="K135" s="3">
        <v>0</v>
      </c>
      <c r="L135" s="3">
        <v>36690656</v>
      </c>
      <c r="M135" s="3">
        <v>188546411</v>
      </c>
      <c r="N135" s="3">
        <v>5738</v>
      </c>
      <c r="O135" s="3">
        <v>0</v>
      </c>
      <c r="P135" s="3">
        <f t="shared" si="2"/>
        <v>351539154</v>
      </c>
    </row>
    <row r="136" spans="1:16" x14ac:dyDescent="0.25">
      <c r="A136" s="2">
        <v>45792</v>
      </c>
      <c r="B136" s="3">
        <v>10568770</v>
      </c>
      <c r="C136" s="3">
        <v>146826</v>
      </c>
      <c r="D136" s="3">
        <v>0</v>
      </c>
      <c r="E136" s="3">
        <v>5</v>
      </c>
      <c r="F136" s="3">
        <v>0</v>
      </c>
      <c r="G136" s="3">
        <v>341565</v>
      </c>
      <c r="H136" s="3">
        <v>0</v>
      </c>
      <c r="I136" s="3">
        <v>130782</v>
      </c>
      <c r="J136" s="3">
        <v>31854963</v>
      </c>
      <c r="K136" s="3">
        <v>10</v>
      </c>
      <c r="L136" s="3">
        <v>52191100</v>
      </c>
      <c r="M136" s="3">
        <v>132828844</v>
      </c>
      <c r="N136" s="3">
        <v>9269</v>
      </c>
      <c r="O136" s="3">
        <v>0</v>
      </c>
      <c r="P136" s="3">
        <f t="shared" si="2"/>
        <v>228072134</v>
      </c>
    </row>
    <row r="137" spans="1:16" x14ac:dyDescent="0.25">
      <c r="A137" s="2">
        <v>45793</v>
      </c>
      <c r="B137" s="3">
        <v>16494026</v>
      </c>
      <c r="C137" s="3">
        <v>915947</v>
      </c>
      <c r="D137" s="3">
        <v>0</v>
      </c>
      <c r="E137" s="3">
        <v>0</v>
      </c>
      <c r="F137" s="3">
        <v>0</v>
      </c>
      <c r="G137" s="3">
        <v>185664</v>
      </c>
      <c r="H137" s="3">
        <v>0</v>
      </c>
      <c r="I137" s="3">
        <v>52498</v>
      </c>
      <c r="J137" s="3">
        <v>25735510</v>
      </c>
      <c r="K137" s="3">
        <v>4</v>
      </c>
      <c r="L137" s="3">
        <v>15356403</v>
      </c>
      <c r="M137" s="3">
        <v>465385479</v>
      </c>
      <c r="N137" s="3">
        <v>36348320</v>
      </c>
      <c r="O137" s="3">
        <v>0</v>
      </c>
      <c r="P137" s="3">
        <f t="shared" si="2"/>
        <v>560473851</v>
      </c>
    </row>
    <row r="138" spans="1:16" x14ac:dyDescent="0.25">
      <c r="A138" s="2">
        <v>45794</v>
      </c>
      <c r="B138" s="3">
        <v>6376228</v>
      </c>
      <c r="C138" s="3">
        <v>132</v>
      </c>
      <c r="D138" s="3">
        <v>0</v>
      </c>
      <c r="E138" s="3">
        <v>1</v>
      </c>
      <c r="F138" s="3">
        <v>0</v>
      </c>
      <c r="G138" s="3">
        <v>168121</v>
      </c>
      <c r="H138" s="3">
        <v>0</v>
      </c>
      <c r="I138" s="3">
        <v>59194</v>
      </c>
      <c r="J138" s="3">
        <v>10796065</v>
      </c>
      <c r="K138" s="3">
        <v>12</v>
      </c>
      <c r="L138" s="3">
        <v>5081699</v>
      </c>
      <c r="M138" s="3">
        <v>76041949</v>
      </c>
      <c r="N138" s="3">
        <v>5654</v>
      </c>
      <c r="O138" s="3">
        <v>31</v>
      </c>
      <c r="P138" s="3">
        <f t="shared" si="2"/>
        <v>98529086</v>
      </c>
    </row>
    <row r="139" spans="1:16" x14ac:dyDescent="0.25">
      <c r="A139" s="2">
        <v>45795</v>
      </c>
      <c r="B139" s="3">
        <v>828566</v>
      </c>
      <c r="C139" s="3">
        <v>273</v>
      </c>
      <c r="D139" s="3">
        <v>0</v>
      </c>
      <c r="E139" s="3">
        <v>1</v>
      </c>
      <c r="F139" s="3">
        <v>0</v>
      </c>
      <c r="G139" s="3">
        <v>495962</v>
      </c>
      <c r="H139" s="3">
        <v>0</v>
      </c>
      <c r="I139" s="3">
        <v>17215</v>
      </c>
      <c r="J139" s="3">
        <v>15466846</v>
      </c>
      <c r="K139" s="3">
        <v>0</v>
      </c>
      <c r="L139" s="3">
        <v>4537255</v>
      </c>
      <c r="M139" s="3">
        <v>66402259</v>
      </c>
      <c r="N139" s="3">
        <v>4867</v>
      </c>
      <c r="O139" s="3">
        <v>0</v>
      </c>
      <c r="P139" s="3">
        <f t="shared" si="2"/>
        <v>87753244</v>
      </c>
    </row>
    <row r="140" spans="1:16" x14ac:dyDescent="0.25">
      <c r="A140" s="2">
        <v>45796</v>
      </c>
      <c r="B140" s="3">
        <v>27379839</v>
      </c>
      <c r="C140" s="3">
        <v>1113198</v>
      </c>
      <c r="D140" s="3">
        <v>0</v>
      </c>
      <c r="E140" s="3">
        <v>6</v>
      </c>
      <c r="F140" s="3">
        <v>0</v>
      </c>
      <c r="G140" s="3">
        <v>1572818</v>
      </c>
      <c r="H140" s="3">
        <v>0</v>
      </c>
      <c r="I140" s="3">
        <v>68582</v>
      </c>
      <c r="J140" s="3">
        <v>24787011</v>
      </c>
      <c r="K140" s="3">
        <v>2</v>
      </c>
      <c r="L140" s="3">
        <v>33676296</v>
      </c>
      <c r="M140" s="3">
        <v>128844936</v>
      </c>
      <c r="N140" s="3">
        <v>690</v>
      </c>
      <c r="O140" s="3">
        <v>21992</v>
      </c>
      <c r="P140" s="3">
        <f t="shared" si="2"/>
        <v>217465370</v>
      </c>
    </row>
    <row r="141" spans="1:16" x14ac:dyDescent="0.25">
      <c r="A141" s="2">
        <v>45797</v>
      </c>
      <c r="B141" s="3">
        <v>213774908</v>
      </c>
      <c r="C141" s="3">
        <v>3607784</v>
      </c>
      <c r="D141" s="3">
        <v>0</v>
      </c>
      <c r="E141" s="3">
        <v>2</v>
      </c>
      <c r="F141" s="3">
        <v>0</v>
      </c>
      <c r="G141" s="3">
        <v>490675</v>
      </c>
      <c r="H141" s="3">
        <v>0</v>
      </c>
      <c r="I141" s="3">
        <v>2391624</v>
      </c>
      <c r="J141" s="3">
        <v>25572376</v>
      </c>
      <c r="K141" s="3">
        <v>3</v>
      </c>
      <c r="L141" s="3">
        <v>39643550</v>
      </c>
      <c r="M141" s="3">
        <v>300435660</v>
      </c>
      <c r="N141" s="3">
        <v>19364</v>
      </c>
      <c r="O141" s="3">
        <v>6779</v>
      </c>
      <c r="P141" s="3">
        <f t="shared" si="2"/>
        <v>585942725</v>
      </c>
    </row>
    <row r="142" spans="1:16" x14ac:dyDescent="0.25">
      <c r="A142" s="2">
        <v>45798</v>
      </c>
      <c r="B142" s="3">
        <v>207281383</v>
      </c>
      <c r="C142" s="3">
        <v>592556</v>
      </c>
      <c r="D142" s="3">
        <v>0</v>
      </c>
      <c r="E142" s="3">
        <v>1</v>
      </c>
      <c r="F142" s="3">
        <v>0</v>
      </c>
      <c r="G142" s="3">
        <v>1418897</v>
      </c>
      <c r="H142" s="3">
        <v>0</v>
      </c>
      <c r="I142" s="3">
        <v>43989</v>
      </c>
      <c r="J142" s="3">
        <v>32808940</v>
      </c>
      <c r="K142" s="3">
        <v>0</v>
      </c>
      <c r="L142" s="3">
        <v>14951445</v>
      </c>
      <c r="M142" s="3">
        <v>240156700</v>
      </c>
      <c r="N142" s="3">
        <v>4221</v>
      </c>
      <c r="O142" s="3">
        <v>12837</v>
      </c>
      <c r="P142" s="3">
        <f t="shared" si="2"/>
        <v>497270969</v>
      </c>
    </row>
    <row r="143" spans="1:16" x14ac:dyDescent="0.25">
      <c r="A143" s="2">
        <v>45799</v>
      </c>
      <c r="B143" s="3">
        <v>6399908</v>
      </c>
      <c r="C143" s="3">
        <v>1408517</v>
      </c>
      <c r="D143" s="3">
        <v>0</v>
      </c>
      <c r="E143" s="3">
        <v>1</v>
      </c>
      <c r="F143" s="3">
        <v>0</v>
      </c>
      <c r="G143" s="3">
        <v>242676</v>
      </c>
      <c r="H143" s="3">
        <v>0</v>
      </c>
      <c r="I143" s="3">
        <v>492194</v>
      </c>
      <c r="J143" s="3">
        <v>36219120</v>
      </c>
      <c r="K143" s="3">
        <v>0</v>
      </c>
      <c r="L143" s="3">
        <v>54524702</v>
      </c>
      <c r="M143" s="3">
        <v>326909779</v>
      </c>
      <c r="N143" s="3">
        <v>3265</v>
      </c>
      <c r="O143" s="3">
        <v>0</v>
      </c>
      <c r="P143" s="3">
        <f t="shared" si="2"/>
        <v>426200162</v>
      </c>
    </row>
    <row r="144" spans="1:16" x14ac:dyDescent="0.25">
      <c r="A144" s="2">
        <v>45800</v>
      </c>
      <c r="B144" s="3">
        <v>27895394</v>
      </c>
      <c r="C144" s="3">
        <v>7321548</v>
      </c>
      <c r="D144" s="3">
        <v>0</v>
      </c>
      <c r="E144" s="3">
        <v>2</v>
      </c>
      <c r="F144" s="3">
        <v>0</v>
      </c>
      <c r="G144" s="3">
        <v>654314</v>
      </c>
      <c r="H144" s="3">
        <v>0</v>
      </c>
      <c r="I144" s="3">
        <v>655497</v>
      </c>
      <c r="J144" s="3">
        <v>22660175</v>
      </c>
      <c r="K144" s="3">
        <v>2</v>
      </c>
      <c r="L144" s="3">
        <v>53033873</v>
      </c>
      <c r="M144" s="3">
        <v>580460562</v>
      </c>
      <c r="N144" s="3">
        <v>1104</v>
      </c>
      <c r="O144" s="3">
        <v>55474</v>
      </c>
      <c r="P144" s="3">
        <f t="shared" si="2"/>
        <v>692737945</v>
      </c>
    </row>
    <row r="145" spans="1:16" x14ac:dyDescent="0.25">
      <c r="A145" s="2">
        <v>45801</v>
      </c>
      <c r="B145" s="3">
        <v>1729844</v>
      </c>
      <c r="C145" s="3">
        <v>195</v>
      </c>
      <c r="D145" s="3">
        <v>0</v>
      </c>
      <c r="E145" s="3">
        <v>1</v>
      </c>
      <c r="F145" s="3">
        <v>0</v>
      </c>
      <c r="G145" s="3">
        <v>61140</v>
      </c>
      <c r="H145" s="3">
        <v>0</v>
      </c>
      <c r="I145" s="3">
        <v>51012</v>
      </c>
      <c r="J145" s="3">
        <v>9165884</v>
      </c>
      <c r="K145" s="3">
        <v>1450</v>
      </c>
      <c r="L145" s="3">
        <v>12723951</v>
      </c>
      <c r="M145" s="3">
        <v>96600074</v>
      </c>
      <c r="N145" s="3">
        <v>0</v>
      </c>
      <c r="O145" s="3">
        <v>0</v>
      </c>
      <c r="P145" s="3">
        <f t="shared" si="2"/>
        <v>120333551</v>
      </c>
    </row>
    <row r="146" spans="1:16" x14ac:dyDescent="0.25">
      <c r="A146" s="2">
        <v>45802</v>
      </c>
      <c r="B146" s="3">
        <v>46558689</v>
      </c>
      <c r="C146" s="3">
        <v>998</v>
      </c>
      <c r="D146" s="3">
        <v>0</v>
      </c>
      <c r="E146" s="3">
        <v>19521</v>
      </c>
      <c r="F146" s="3">
        <v>0</v>
      </c>
      <c r="G146" s="3">
        <v>166648</v>
      </c>
      <c r="H146" s="3">
        <v>0</v>
      </c>
      <c r="I146" s="3">
        <v>54724</v>
      </c>
      <c r="J146" s="3">
        <v>10300649</v>
      </c>
      <c r="K146" s="3">
        <v>337</v>
      </c>
      <c r="L146" s="3">
        <v>8463355</v>
      </c>
      <c r="M146" s="3">
        <v>104188569</v>
      </c>
      <c r="N146" s="3">
        <v>0</v>
      </c>
      <c r="O146" s="3">
        <v>0</v>
      </c>
      <c r="P146" s="3">
        <f t="shared" si="2"/>
        <v>169753490</v>
      </c>
    </row>
    <row r="147" spans="1:16" x14ac:dyDescent="0.25">
      <c r="A147" s="2">
        <v>45803</v>
      </c>
      <c r="B147" s="3">
        <v>8414563</v>
      </c>
      <c r="C147" s="3">
        <v>1949614</v>
      </c>
      <c r="D147" s="3">
        <v>0</v>
      </c>
      <c r="E147" s="3">
        <v>0</v>
      </c>
      <c r="F147" s="3">
        <v>0</v>
      </c>
      <c r="G147" s="3">
        <v>200846</v>
      </c>
      <c r="H147" s="3">
        <v>0</v>
      </c>
      <c r="I147" s="3">
        <v>123090</v>
      </c>
      <c r="J147" s="3">
        <v>33320227</v>
      </c>
      <c r="K147" s="3">
        <v>942</v>
      </c>
      <c r="L147" s="3">
        <v>30784582</v>
      </c>
      <c r="M147" s="3">
        <v>147374175</v>
      </c>
      <c r="N147" s="3">
        <v>1318</v>
      </c>
      <c r="O147" s="3">
        <v>23116</v>
      </c>
      <c r="P147" s="3">
        <f t="shared" si="2"/>
        <v>222192473</v>
      </c>
    </row>
    <row r="148" spans="1:16" x14ac:dyDescent="0.25">
      <c r="A148" s="2">
        <v>45804</v>
      </c>
      <c r="B148" s="3">
        <v>7933301</v>
      </c>
      <c r="C148" s="3">
        <v>3684113</v>
      </c>
      <c r="D148" s="3">
        <v>0</v>
      </c>
      <c r="E148" s="3">
        <v>0</v>
      </c>
      <c r="F148" s="3">
        <v>0</v>
      </c>
      <c r="G148" s="3">
        <v>24811</v>
      </c>
      <c r="H148" s="3">
        <v>0</v>
      </c>
      <c r="I148" s="3">
        <v>3455851</v>
      </c>
      <c r="J148" s="3">
        <v>27564271</v>
      </c>
      <c r="K148" s="3">
        <v>8</v>
      </c>
      <c r="L148" s="3">
        <v>30585083</v>
      </c>
      <c r="M148" s="3">
        <v>143836679</v>
      </c>
      <c r="N148" s="3">
        <v>5145</v>
      </c>
      <c r="O148" s="3">
        <v>15062646</v>
      </c>
      <c r="P148" s="3">
        <f t="shared" si="2"/>
        <v>232151908</v>
      </c>
    </row>
    <row r="149" spans="1:16" x14ac:dyDescent="0.25">
      <c r="A149" s="2">
        <v>45805</v>
      </c>
      <c r="B149" s="3">
        <v>16260084</v>
      </c>
      <c r="C149" s="3">
        <v>2003525</v>
      </c>
      <c r="D149" s="3">
        <v>0</v>
      </c>
      <c r="E149" s="3">
        <v>0</v>
      </c>
      <c r="F149" s="3">
        <v>0</v>
      </c>
      <c r="G149" s="3">
        <v>371340</v>
      </c>
      <c r="H149" s="3">
        <v>0</v>
      </c>
      <c r="I149" s="3">
        <v>954823</v>
      </c>
      <c r="J149" s="3">
        <v>23634582</v>
      </c>
      <c r="K149" s="3">
        <v>15</v>
      </c>
      <c r="L149" s="3">
        <v>13354921</v>
      </c>
      <c r="M149" s="3">
        <v>811208692</v>
      </c>
      <c r="N149" s="3">
        <v>79406065</v>
      </c>
      <c r="O149" s="3">
        <v>0</v>
      </c>
      <c r="P149" s="3">
        <f t="shared" si="2"/>
        <v>947194047</v>
      </c>
    </row>
    <row r="150" spans="1:16" x14ac:dyDescent="0.25">
      <c r="A150" s="2">
        <v>45806</v>
      </c>
      <c r="B150" s="3">
        <v>22815245</v>
      </c>
      <c r="C150" s="3">
        <v>499</v>
      </c>
      <c r="D150" s="3">
        <v>0</v>
      </c>
      <c r="E150" s="3">
        <v>0</v>
      </c>
      <c r="F150" s="3">
        <v>0</v>
      </c>
      <c r="G150" s="3">
        <v>222950</v>
      </c>
      <c r="H150" s="3">
        <v>0</v>
      </c>
      <c r="I150" s="3">
        <v>1770714</v>
      </c>
      <c r="J150" s="3">
        <v>75463843</v>
      </c>
      <c r="K150" s="3">
        <v>3</v>
      </c>
      <c r="L150" s="3">
        <v>36632872</v>
      </c>
      <c r="M150" s="3">
        <v>1100319317</v>
      </c>
      <c r="N150" s="3">
        <v>267015</v>
      </c>
      <c r="O150" s="3">
        <v>2764</v>
      </c>
      <c r="P150" s="3">
        <f t="shared" si="2"/>
        <v>1237495222</v>
      </c>
    </row>
    <row r="151" spans="1:16" x14ac:dyDescent="0.25">
      <c r="A151" s="2">
        <v>45807</v>
      </c>
      <c r="B151" s="3">
        <v>47604775</v>
      </c>
      <c r="C151" s="3">
        <v>1497375</v>
      </c>
      <c r="D151" s="3">
        <v>0</v>
      </c>
      <c r="E151" s="3">
        <v>9988</v>
      </c>
      <c r="F151" s="3">
        <v>0</v>
      </c>
      <c r="G151" s="3">
        <v>270082</v>
      </c>
      <c r="H151" s="3">
        <v>0</v>
      </c>
      <c r="I151" s="3">
        <v>37153</v>
      </c>
      <c r="J151" s="3">
        <v>30124110</v>
      </c>
      <c r="K151" s="3">
        <v>49975</v>
      </c>
      <c r="L151" s="3">
        <v>36692035</v>
      </c>
      <c r="M151" s="3">
        <v>466469855</v>
      </c>
      <c r="N151" s="3">
        <v>19827</v>
      </c>
      <c r="O151" s="3">
        <v>0</v>
      </c>
      <c r="P151" s="3">
        <f t="shared" si="2"/>
        <v>582775175</v>
      </c>
    </row>
    <row r="152" spans="1:16" x14ac:dyDescent="0.25">
      <c r="A152" s="2">
        <v>45808</v>
      </c>
      <c r="B152" s="3">
        <v>4264694</v>
      </c>
      <c r="C152" s="3">
        <v>7630</v>
      </c>
      <c r="D152" s="3">
        <v>0</v>
      </c>
      <c r="E152" s="3">
        <v>5</v>
      </c>
      <c r="F152" s="3">
        <v>0</v>
      </c>
      <c r="G152" s="3">
        <v>55259</v>
      </c>
      <c r="H152" s="3">
        <v>0</v>
      </c>
      <c r="I152" s="3">
        <v>155873</v>
      </c>
      <c r="J152" s="3">
        <v>9877407</v>
      </c>
      <c r="K152" s="3">
        <v>0</v>
      </c>
      <c r="L152" s="3">
        <v>18141476</v>
      </c>
      <c r="M152" s="3">
        <v>712383180</v>
      </c>
      <c r="N152" s="3">
        <v>298622</v>
      </c>
      <c r="O152" s="3">
        <v>2546</v>
      </c>
      <c r="P152" s="3">
        <f t="shared" si="2"/>
        <v>745186692</v>
      </c>
    </row>
    <row r="153" spans="1:16" x14ac:dyDescent="0.25">
      <c r="A153" s="2">
        <v>45809</v>
      </c>
      <c r="B153" s="3">
        <v>764161</v>
      </c>
      <c r="C153" s="3">
        <v>5742</v>
      </c>
      <c r="D153" s="3">
        <v>0</v>
      </c>
      <c r="E153" s="3">
        <v>0</v>
      </c>
      <c r="F153" s="3">
        <v>0</v>
      </c>
      <c r="G153" s="3">
        <v>7861</v>
      </c>
      <c r="H153" s="3">
        <v>0</v>
      </c>
      <c r="I153" s="3">
        <v>11690</v>
      </c>
      <c r="J153" s="3">
        <v>14418181</v>
      </c>
      <c r="K153" s="3">
        <v>0</v>
      </c>
      <c r="L153" s="3">
        <v>23146307</v>
      </c>
      <c r="M153" s="3">
        <v>122982699</v>
      </c>
      <c r="N153" s="3">
        <v>368361</v>
      </c>
      <c r="O153" s="3">
        <v>0</v>
      </c>
      <c r="P153" s="3">
        <f t="shared" si="2"/>
        <v>161705002</v>
      </c>
    </row>
    <row r="154" spans="1:16" x14ac:dyDescent="0.25">
      <c r="A154" s="2">
        <v>45810</v>
      </c>
      <c r="B154" s="3">
        <v>20339904</v>
      </c>
      <c r="C154" s="3">
        <v>1398585</v>
      </c>
      <c r="D154" s="3">
        <v>0</v>
      </c>
      <c r="E154" s="3">
        <v>0</v>
      </c>
      <c r="F154" s="3">
        <v>0</v>
      </c>
      <c r="G154" s="3">
        <v>329051</v>
      </c>
      <c r="H154" s="3">
        <v>0</v>
      </c>
      <c r="I154" s="3">
        <v>46131</v>
      </c>
      <c r="J154" s="3">
        <v>58573219</v>
      </c>
      <c r="K154" s="3">
        <v>0</v>
      </c>
      <c r="L154" s="3">
        <v>65255514</v>
      </c>
      <c r="M154" s="3">
        <v>228914055</v>
      </c>
      <c r="N154" s="3">
        <v>249612</v>
      </c>
      <c r="O154" s="3">
        <v>0</v>
      </c>
      <c r="P154" s="3">
        <f t="shared" si="2"/>
        <v>375106071</v>
      </c>
    </row>
    <row r="155" spans="1:16" x14ac:dyDescent="0.25">
      <c r="A155" s="2">
        <v>45811</v>
      </c>
      <c r="B155" s="3">
        <v>8260003</v>
      </c>
      <c r="C155" s="3">
        <v>2595672</v>
      </c>
      <c r="D155" s="3">
        <v>0</v>
      </c>
      <c r="E155" s="3">
        <v>15159</v>
      </c>
      <c r="F155" s="3">
        <v>0</v>
      </c>
      <c r="G155" s="3">
        <v>97153</v>
      </c>
      <c r="H155" s="3">
        <v>0</v>
      </c>
      <c r="I155" s="3">
        <v>4289104</v>
      </c>
      <c r="J155" s="3">
        <v>91145096</v>
      </c>
      <c r="K155" s="3">
        <v>15</v>
      </c>
      <c r="L155" s="3">
        <v>26823157</v>
      </c>
      <c r="M155" s="3">
        <v>307294592</v>
      </c>
      <c r="N155" s="3">
        <v>141133</v>
      </c>
      <c r="O155" s="3">
        <v>4540</v>
      </c>
      <c r="P155" s="3">
        <f t="shared" si="2"/>
        <v>440665624</v>
      </c>
    </row>
    <row r="156" spans="1:16" x14ac:dyDescent="0.25">
      <c r="A156" s="2">
        <v>45812</v>
      </c>
      <c r="B156" s="3">
        <v>10447466</v>
      </c>
      <c r="C156" s="3">
        <v>767632</v>
      </c>
      <c r="D156" s="3">
        <v>0</v>
      </c>
      <c r="E156" s="3">
        <v>1</v>
      </c>
      <c r="F156" s="3">
        <v>0</v>
      </c>
      <c r="G156" s="3">
        <v>84156</v>
      </c>
      <c r="H156" s="3">
        <v>0</v>
      </c>
      <c r="I156" s="3">
        <v>774162</v>
      </c>
      <c r="J156" s="3">
        <v>24702745</v>
      </c>
      <c r="K156" s="3">
        <v>2</v>
      </c>
      <c r="L156" s="3">
        <v>117069356</v>
      </c>
      <c r="M156" s="3">
        <v>284693608</v>
      </c>
      <c r="N156" s="3">
        <v>20685</v>
      </c>
      <c r="O156" s="3">
        <v>0</v>
      </c>
      <c r="P156" s="3">
        <f t="shared" si="2"/>
        <v>438559813</v>
      </c>
    </row>
    <row r="157" spans="1:16" x14ac:dyDescent="0.25">
      <c r="A157" s="2">
        <v>45813</v>
      </c>
      <c r="B157" s="3">
        <v>28596386</v>
      </c>
      <c r="C157" s="3">
        <v>475219</v>
      </c>
      <c r="D157" s="3">
        <v>0</v>
      </c>
      <c r="E157" s="3">
        <v>11</v>
      </c>
      <c r="F157" s="3">
        <v>0</v>
      </c>
      <c r="G157" s="3">
        <v>114752</v>
      </c>
      <c r="H157" s="3">
        <v>0</v>
      </c>
      <c r="I157" s="3">
        <v>9473329</v>
      </c>
      <c r="J157" s="3">
        <v>47242331</v>
      </c>
      <c r="K157" s="3">
        <v>118873</v>
      </c>
      <c r="L157" s="3">
        <v>185590291</v>
      </c>
      <c r="M157" s="3">
        <v>218543746</v>
      </c>
      <c r="N157" s="3">
        <v>23610</v>
      </c>
      <c r="O157" s="3">
        <v>0</v>
      </c>
      <c r="P157" s="3">
        <f t="shared" si="2"/>
        <v>490178548</v>
      </c>
    </row>
    <row r="158" spans="1:16" x14ac:dyDescent="0.25">
      <c r="A158" s="2">
        <v>45814</v>
      </c>
      <c r="B158" s="3">
        <v>48086492</v>
      </c>
      <c r="C158" s="3">
        <v>2788909</v>
      </c>
      <c r="D158" s="3">
        <v>0</v>
      </c>
      <c r="E158" s="3">
        <v>35</v>
      </c>
      <c r="F158" s="3">
        <v>0</v>
      </c>
      <c r="G158" s="3">
        <v>141434</v>
      </c>
      <c r="H158" s="3">
        <v>0</v>
      </c>
      <c r="I158" s="3">
        <v>179041</v>
      </c>
      <c r="J158" s="3">
        <v>38067495</v>
      </c>
      <c r="K158" s="3">
        <v>26000</v>
      </c>
      <c r="L158" s="3">
        <v>112089379</v>
      </c>
      <c r="M158" s="3">
        <v>201211971</v>
      </c>
      <c r="N158" s="3">
        <v>39225</v>
      </c>
      <c r="O158" s="3">
        <v>3</v>
      </c>
      <c r="P158" s="3">
        <f t="shared" si="2"/>
        <v>402629984</v>
      </c>
    </row>
    <row r="159" spans="1:16" x14ac:dyDescent="0.25">
      <c r="A159" s="2">
        <v>45815</v>
      </c>
      <c r="B159" s="3">
        <v>982226</v>
      </c>
      <c r="C159" s="3">
        <v>96</v>
      </c>
      <c r="D159" s="3">
        <v>0</v>
      </c>
      <c r="E159" s="3">
        <v>35</v>
      </c>
      <c r="F159" s="3">
        <v>0</v>
      </c>
      <c r="G159" s="3">
        <v>272031</v>
      </c>
      <c r="H159" s="3">
        <v>0</v>
      </c>
      <c r="I159" s="3">
        <v>92633</v>
      </c>
      <c r="J159" s="3">
        <v>101288255</v>
      </c>
      <c r="K159" s="3">
        <v>13097</v>
      </c>
      <c r="L159" s="3">
        <v>55474672</v>
      </c>
      <c r="M159" s="3">
        <v>137289319</v>
      </c>
      <c r="N159" s="3">
        <v>221308</v>
      </c>
      <c r="O159" s="3">
        <v>0</v>
      </c>
      <c r="P159" s="3">
        <f t="shared" si="2"/>
        <v>295633672</v>
      </c>
    </row>
    <row r="160" spans="1:16" x14ac:dyDescent="0.25">
      <c r="A160" s="2">
        <v>45816</v>
      </c>
      <c r="B160" s="3">
        <v>702695</v>
      </c>
      <c r="C160" s="3">
        <v>131</v>
      </c>
      <c r="D160" s="3">
        <v>0</v>
      </c>
      <c r="E160" s="3">
        <v>7</v>
      </c>
      <c r="F160" s="3">
        <v>0</v>
      </c>
      <c r="G160" s="3">
        <v>433388</v>
      </c>
      <c r="H160" s="3">
        <v>0</v>
      </c>
      <c r="I160" s="3">
        <v>164070</v>
      </c>
      <c r="J160" s="3">
        <v>14985568</v>
      </c>
      <c r="K160" s="3">
        <v>11171</v>
      </c>
      <c r="L160" s="3">
        <v>51515155</v>
      </c>
      <c r="M160" s="3">
        <v>93257597</v>
      </c>
      <c r="N160" s="3">
        <v>40576</v>
      </c>
      <c r="O160" s="3">
        <v>0</v>
      </c>
      <c r="P160" s="3">
        <f t="shared" si="2"/>
        <v>161110358</v>
      </c>
    </row>
    <row r="161" spans="1:16" x14ac:dyDescent="0.25">
      <c r="A161" s="2">
        <v>45817</v>
      </c>
      <c r="B161" s="3">
        <v>42250206</v>
      </c>
      <c r="C161" s="3">
        <v>707</v>
      </c>
      <c r="D161" s="3">
        <v>0</v>
      </c>
      <c r="E161" s="3">
        <v>0</v>
      </c>
      <c r="F161" s="3">
        <v>0</v>
      </c>
      <c r="G161" s="3">
        <v>583707</v>
      </c>
      <c r="H161" s="3">
        <v>0</v>
      </c>
      <c r="I161" s="3">
        <v>633361</v>
      </c>
      <c r="J161" s="3">
        <v>35732746</v>
      </c>
      <c r="K161" s="3">
        <v>5475</v>
      </c>
      <c r="L161" s="3">
        <v>56055083</v>
      </c>
      <c r="M161" s="3">
        <v>253609265</v>
      </c>
      <c r="N161" s="3">
        <v>302064</v>
      </c>
      <c r="O161" s="3">
        <v>92353</v>
      </c>
      <c r="P161" s="3">
        <f t="shared" si="2"/>
        <v>389264967</v>
      </c>
    </row>
    <row r="162" spans="1:16" x14ac:dyDescent="0.25">
      <c r="A162" s="2">
        <v>45818</v>
      </c>
      <c r="B162" s="3">
        <v>17970282</v>
      </c>
      <c r="C162" s="3">
        <v>929268</v>
      </c>
      <c r="D162" s="3">
        <v>0</v>
      </c>
      <c r="E162" s="3">
        <v>9</v>
      </c>
      <c r="F162" s="3">
        <v>0</v>
      </c>
      <c r="G162" s="3">
        <v>1420019</v>
      </c>
      <c r="H162" s="3">
        <v>0</v>
      </c>
      <c r="I162" s="3">
        <v>787082</v>
      </c>
      <c r="J162" s="3">
        <v>27116827</v>
      </c>
      <c r="K162" s="3">
        <v>4860</v>
      </c>
      <c r="L162" s="3">
        <v>81058932</v>
      </c>
      <c r="M162" s="3">
        <v>161938727</v>
      </c>
      <c r="N162" s="3">
        <v>1820</v>
      </c>
      <c r="O162" s="3">
        <v>0</v>
      </c>
      <c r="P162" s="3">
        <f t="shared" si="2"/>
        <v>291227826</v>
      </c>
    </row>
    <row r="163" spans="1:16" x14ac:dyDescent="0.25">
      <c r="A163" s="2">
        <v>45819</v>
      </c>
      <c r="B163" s="3">
        <v>19752843</v>
      </c>
      <c r="C163" s="3">
        <v>420613</v>
      </c>
      <c r="D163" s="3">
        <v>0</v>
      </c>
      <c r="E163" s="3">
        <v>3</v>
      </c>
      <c r="F163" s="3">
        <v>0</v>
      </c>
      <c r="G163" s="3">
        <v>2348495</v>
      </c>
      <c r="H163" s="3">
        <v>0</v>
      </c>
      <c r="I163" s="3">
        <v>217413</v>
      </c>
      <c r="J163" s="3">
        <v>39300947</v>
      </c>
      <c r="K163" s="3">
        <v>9704</v>
      </c>
      <c r="L163" s="3">
        <v>120890671</v>
      </c>
      <c r="M163" s="3">
        <v>132733558</v>
      </c>
      <c r="N163" s="3">
        <v>690</v>
      </c>
      <c r="O163" s="3">
        <v>0</v>
      </c>
      <c r="P163" s="3">
        <f t="shared" si="2"/>
        <v>315674937</v>
      </c>
    </row>
    <row r="164" spans="1:16" x14ac:dyDescent="0.25">
      <c r="A164" s="2">
        <v>45820</v>
      </c>
      <c r="B164" s="3">
        <v>21199269</v>
      </c>
      <c r="C164" s="3">
        <v>5119793</v>
      </c>
      <c r="D164" s="3">
        <v>0</v>
      </c>
      <c r="E164" s="3">
        <v>4</v>
      </c>
      <c r="F164" s="3">
        <v>0</v>
      </c>
      <c r="G164" s="3">
        <v>1005125</v>
      </c>
      <c r="H164" s="3">
        <v>0</v>
      </c>
      <c r="I164" s="3">
        <v>1195533</v>
      </c>
      <c r="J164" s="3">
        <v>96577353</v>
      </c>
      <c r="K164" s="3">
        <v>65002</v>
      </c>
      <c r="L164" s="3">
        <v>121108951</v>
      </c>
      <c r="M164" s="3">
        <v>182963139</v>
      </c>
      <c r="N164" s="3">
        <v>62149</v>
      </c>
      <c r="O164" s="3">
        <v>0</v>
      </c>
      <c r="P164" s="3">
        <f t="shared" si="2"/>
        <v>429296318</v>
      </c>
    </row>
    <row r="165" spans="1:16" x14ac:dyDescent="0.25">
      <c r="A165" s="2">
        <v>45821</v>
      </c>
      <c r="B165" s="3">
        <v>28272316</v>
      </c>
      <c r="C165" s="3">
        <v>643541</v>
      </c>
      <c r="D165" s="3">
        <v>0</v>
      </c>
      <c r="E165" s="3">
        <v>6</v>
      </c>
      <c r="F165" s="3">
        <v>0</v>
      </c>
      <c r="G165" s="3">
        <v>489109</v>
      </c>
      <c r="H165" s="3">
        <v>0</v>
      </c>
      <c r="I165" s="3">
        <v>1419662</v>
      </c>
      <c r="J165" s="3">
        <v>115739418</v>
      </c>
      <c r="K165" s="3">
        <v>179704</v>
      </c>
      <c r="L165" s="3">
        <v>90637077</v>
      </c>
      <c r="M165" s="3">
        <v>182778332</v>
      </c>
      <c r="N165" s="3">
        <v>40123229</v>
      </c>
      <c r="O165" s="3">
        <v>16290</v>
      </c>
      <c r="P165" s="3">
        <f t="shared" si="2"/>
        <v>460298684</v>
      </c>
    </row>
    <row r="166" spans="1:16" x14ac:dyDescent="0.25">
      <c r="A166" s="2">
        <v>45822</v>
      </c>
      <c r="B166" s="3">
        <v>244697</v>
      </c>
      <c r="C166" s="3">
        <v>457</v>
      </c>
      <c r="D166" s="3">
        <v>0</v>
      </c>
      <c r="E166" s="3">
        <v>7</v>
      </c>
      <c r="F166" s="3">
        <v>0</v>
      </c>
      <c r="G166" s="3">
        <v>239229</v>
      </c>
      <c r="H166" s="3">
        <v>0</v>
      </c>
      <c r="I166" s="3">
        <v>65987</v>
      </c>
      <c r="J166" s="3">
        <v>33166730</v>
      </c>
      <c r="K166" s="3">
        <v>429865</v>
      </c>
      <c r="L166" s="3">
        <v>11075201</v>
      </c>
      <c r="M166" s="3">
        <v>104012507</v>
      </c>
      <c r="N166" s="3">
        <v>0</v>
      </c>
      <c r="O166" s="3">
        <v>0</v>
      </c>
      <c r="P166" s="3">
        <f t="shared" si="2"/>
        <v>149234680</v>
      </c>
    </row>
    <row r="167" spans="1:16" x14ac:dyDescent="0.25">
      <c r="A167" s="2">
        <v>45823</v>
      </c>
      <c r="B167" s="3">
        <v>4795728</v>
      </c>
      <c r="C167" s="3">
        <v>211</v>
      </c>
      <c r="D167" s="3">
        <v>0</v>
      </c>
      <c r="E167" s="3">
        <v>10</v>
      </c>
      <c r="F167" s="3">
        <v>0</v>
      </c>
      <c r="G167" s="3">
        <v>60602</v>
      </c>
      <c r="H167" s="3">
        <v>0</v>
      </c>
      <c r="I167" s="3">
        <v>20088</v>
      </c>
      <c r="J167" s="3">
        <v>48927619</v>
      </c>
      <c r="K167" s="3">
        <v>19584</v>
      </c>
      <c r="L167" s="3">
        <v>38624727</v>
      </c>
      <c r="M167" s="3">
        <v>81198588</v>
      </c>
      <c r="N167" s="3">
        <v>0</v>
      </c>
      <c r="O167" s="3">
        <v>0</v>
      </c>
      <c r="P167" s="3">
        <f t="shared" si="2"/>
        <v>173647157</v>
      </c>
    </row>
    <row r="168" spans="1:16" x14ac:dyDescent="0.25">
      <c r="A168" s="2">
        <v>45824</v>
      </c>
      <c r="B168" s="3">
        <v>6551362</v>
      </c>
      <c r="C168" s="3">
        <v>1772637</v>
      </c>
      <c r="D168" s="3">
        <v>0</v>
      </c>
      <c r="E168" s="3">
        <v>50</v>
      </c>
      <c r="F168" s="3">
        <v>0</v>
      </c>
      <c r="G168" s="3">
        <v>346066</v>
      </c>
      <c r="H168" s="3">
        <v>0</v>
      </c>
      <c r="I168" s="3">
        <v>332551</v>
      </c>
      <c r="J168" s="3">
        <v>122817711</v>
      </c>
      <c r="K168" s="3">
        <v>22400</v>
      </c>
      <c r="L168" s="3">
        <v>46287463</v>
      </c>
      <c r="M168" s="3">
        <v>205484265</v>
      </c>
      <c r="N168" s="3">
        <v>109730</v>
      </c>
      <c r="O168" s="3">
        <v>0</v>
      </c>
      <c r="P168" s="3">
        <f t="shared" si="2"/>
        <v>383724235</v>
      </c>
    </row>
    <row r="169" spans="1:16" x14ac:dyDescent="0.25">
      <c r="A169" s="2">
        <v>45825</v>
      </c>
      <c r="B169" s="3">
        <v>52488334</v>
      </c>
      <c r="C169" s="3">
        <v>1263924</v>
      </c>
      <c r="D169" s="3">
        <v>0</v>
      </c>
      <c r="E169" s="3">
        <v>13</v>
      </c>
      <c r="F169" s="3">
        <v>0</v>
      </c>
      <c r="G169" s="3">
        <v>318344</v>
      </c>
      <c r="H169" s="3">
        <v>0</v>
      </c>
      <c r="I169" s="3">
        <v>352528</v>
      </c>
      <c r="J169" s="3">
        <v>98078232</v>
      </c>
      <c r="K169" s="3">
        <v>16662</v>
      </c>
      <c r="L169" s="3">
        <v>48141538</v>
      </c>
      <c r="M169" s="3">
        <v>101505535</v>
      </c>
      <c r="N169" s="3">
        <v>62405</v>
      </c>
      <c r="O169" s="3">
        <v>0</v>
      </c>
      <c r="P169" s="3">
        <f t="shared" si="2"/>
        <v>302227515</v>
      </c>
    </row>
    <row r="170" spans="1:16" x14ac:dyDescent="0.25">
      <c r="A170" s="2">
        <v>45826</v>
      </c>
      <c r="B170" s="3">
        <v>51118115</v>
      </c>
      <c r="C170" s="3">
        <v>572254</v>
      </c>
      <c r="D170" s="3">
        <v>0</v>
      </c>
      <c r="E170" s="3">
        <v>16</v>
      </c>
      <c r="F170" s="3">
        <v>0</v>
      </c>
      <c r="G170" s="3">
        <v>466767</v>
      </c>
      <c r="H170" s="3">
        <v>0</v>
      </c>
      <c r="I170" s="3">
        <v>196430</v>
      </c>
      <c r="J170" s="3">
        <v>90731258</v>
      </c>
      <c r="K170" s="3">
        <v>62942</v>
      </c>
      <c r="L170" s="3">
        <v>82387067</v>
      </c>
      <c r="M170" s="3">
        <v>100689298</v>
      </c>
      <c r="N170" s="3">
        <v>78269</v>
      </c>
      <c r="O170" s="3">
        <v>36931</v>
      </c>
      <c r="P170" s="3">
        <f t="shared" si="2"/>
        <v>326339347</v>
      </c>
    </row>
    <row r="171" spans="1:16" x14ac:dyDescent="0.25">
      <c r="A171" s="2">
        <v>45827</v>
      </c>
      <c r="B171" s="3">
        <v>8988300</v>
      </c>
      <c r="C171" s="3">
        <v>59540</v>
      </c>
      <c r="D171" s="3">
        <v>0</v>
      </c>
      <c r="E171" s="3">
        <v>14</v>
      </c>
      <c r="F171" s="3">
        <v>0</v>
      </c>
      <c r="G171" s="3">
        <v>483431</v>
      </c>
      <c r="H171" s="3">
        <v>0</v>
      </c>
      <c r="I171" s="3">
        <v>13177</v>
      </c>
      <c r="J171" s="3">
        <v>25738913</v>
      </c>
      <c r="K171" s="3">
        <v>11062</v>
      </c>
      <c r="L171" s="3">
        <v>46809615</v>
      </c>
      <c r="M171" s="3">
        <v>93851627</v>
      </c>
      <c r="N171" s="3">
        <v>497683</v>
      </c>
      <c r="O171" s="3">
        <v>0</v>
      </c>
      <c r="P171" s="3">
        <f t="shared" si="2"/>
        <v>176453362</v>
      </c>
    </row>
    <row r="172" spans="1:16" x14ac:dyDescent="0.25">
      <c r="A172" s="2">
        <v>45828</v>
      </c>
      <c r="B172" s="3">
        <v>66710273</v>
      </c>
      <c r="C172" s="3">
        <v>505645</v>
      </c>
      <c r="D172" s="3">
        <v>0</v>
      </c>
      <c r="E172" s="3">
        <v>6</v>
      </c>
      <c r="F172" s="3">
        <v>0</v>
      </c>
      <c r="G172" s="3">
        <v>790232</v>
      </c>
      <c r="H172" s="3">
        <v>0</v>
      </c>
      <c r="I172" s="3">
        <v>5289</v>
      </c>
      <c r="J172" s="3">
        <v>70095872</v>
      </c>
      <c r="K172" s="3">
        <v>22629</v>
      </c>
      <c r="L172" s="3">
        <v>23038189</v>
      </c>
      <c r="M172" s="3">
        <v>88455357</v>
      </c>
      <c r="N172" s="3">
        <v>11771</v>
      </c>
      <c r="O172" s="3">
        <v>0</v>
      </c>
      <c r="P172" s="3">
        <f t="shared" si="2"/>
        <v>249635263</v>
      </c>
    </row>
    <row r="173" spans="1:16" x14ac:dyDescent="0.25">
      <c r="A173" s="2">
        <v>45829</v>
      </c>
      <c r="B173" s="3">
        <v>1183524</v>
      </c>
      <c r="C173" s="3">
        <v>345</v>
      </c>
      <c r="D173" s="3">
        <v>0</v>
      </c>
      <c r="E173" s="3">
        <v>6</v>
      </c>
      <c r="F173" s="3">
        <v>0</v>
      </c>
      <c r="G173" s="3">
        <v>183167</v>
      </c>
      <c r="H173" s="3">
        <v>0</v>
      </c>
      <c r="I173" s="3">
        <v>307036</v>
      </c>
      <c r="J173" s="3">
        <v>29503477</v>
      </c>
      <c r="K173" s="3">
        <v>10716</v>
      </c>
      <c r="L173" s="3">
        <v>25850140</v>
      </c>
      <c r="M173" s="3">
        <v>55073121</v>
      </c>
      <c r="N173" s="3">
        <v>563</v>
      </c>
      <c r="O173" s="3">
        <v>0</v>
      </c>
      <c r="P173" s="3">
        <f t="shared" si="2"/>
        <v>112112095</v>
      </c>
    </row>
    <row r="174" spans="1:16" x14ac:dyDescent="0.25">
      <c r="A174" s="2">
        <v>45830</v>
      </c>
      <c r="B174" s="3">
        <v>2319525</v>
      </c>
      <c r="C174" s="3">
        <v>270</v>
      </c>
      <c r="D174" s="3">
        <v>0</v>
      </c>
      <c r="E174" s="3">
        <v>9</v>
      </c>
      <c r="F174" s="3">
        <v>0</v>
      </c>
      <c r="G174" s="3">
        <v>775828</v>
      </c>
      <c r="H174" s="3">
        <v>0</v>
      </c>
      <c r="I174" s="3">
        <v>12218</v>
      </c>
      <c r="J174" s="3">
        <v>107926886</v>
      </c>
      <c r="K174" s="3">
        <v>23126</v>
      </c>
      <c r="L174" s="3">
        <v>56460352</v>
      </c>
      <c r="M174" s="3">
        <v>62673257</v>
      </c>
      <c r="N174" s="3">
        <v>10255</v>
      </c>
      <c r="O174" s="3">
        <v>0</v>
      </c>
      <c r="P174" s="3">
        <f t="shared" si="2"/>
        <v>230201726</v>
      </c>
    </row>
    <row r="175" spans="1:16" x14ac:dyDescent="0.25">
      <c r="A175" s="2">
        <v>45831</v>
      </c>
      <c r="B175" s="3">
        <v>25764532</v>
      </c>
      <c r="C175" s="3">
        <v>3343920</v>
      </c>
      <c r="D175" s="3">
        <v>0</v>
      </c>
      <c r="E175" s="3">
        <v>33</v>
      </c>
      <c r="F175" s="3">
        <v>0</v>
      </c>
      <c r="G175" s="3">
        <v>838467</v>
      </c>
      <c r="H175" s="3">
        <v>0</v>
      </c>
      <c r="I175" s="3">
        <v>1032844</v>
      </c>
      <c r="J175" s="3">
        <v>154164022</v>
      </c>
      <c r="K175" s="3">
        <v>1026773</v>
      </c>
      <c r="L175" s="3">
        <v>43082178</v>
      </c>
      <c r="M175" s="3">
        <v>90614073</v>
      </c>
      <c r="N175" s="3">
        <v>37728</v>
      </c>
      <c r="O175" s="3">
        <v>99369</v>
      </c>
      <c r="P175" s="3">
        <f t="shared" si="2"/>
        <v>320003939</v>
      </c>
    </row>
    <row r="176" spans="1:16" x14ac:dyDescent="0.25">
      <c r="A176" s="2">
        <v>45832</v>
      </c>
      <c r="B176" s="3">
        <v>36213934</v>
      </c>
      <c r="C176" s="3">
        <v>3370704</v>
      </c>
      <c r="D176" s="3">
        <v>0</v>
      </c>
      <c r="E176" s="3">
        <v>12</v>
      </c>
      <c r="F176" s="3">
        <v>0</v>
      </c>
      <c r="G176" s="3">
        <v>658233</v>
      </c>
      <c r="H176" s="3">
        <v>0</v>
      </c>
      <c r="I176" s="3">
        <v>1992453</v>
      </c>
      <c r="J176" s="3">
        <v>131656722</v>
      </c>
      <c r="K176" s="3">
        <v>21496</v>
      </c>
      <c r="L176" s="3">
        <v>30768355</v>
      </c>
      <c r="M176" s="3">
        <v>139063036</v>
      </c>
      <c r="N176" s="3">
        <v>118232</v>
      </c>
      <c r="O176" s="3">
        <v>53904</v>
      </c>
      <c r="P176" s="3">
        <f t="shared" si="2"/>
        <v>343917081</v>
      </c>
    </row>
    <row r="177" spans="1:16" x14ac:dyDescent="0.25">
      <c r="A177" s="2">
        <v>45833</v>
      </c>
      <c r="B177" s="3">
        <v>49382993</v>
      </c>
      <c r="C177" s="3">
        <v>2785587</v>
      </c>
      <c r="D177" s="3">
        <v>0</v>
      </c>
      <c r="E177" s="3">
        <v>100002</v>
      </c>
      <c r="F177" s="3">
        <v>0</v>
      </c>
      <c r="G177" s="3">
        <v>650571</v>
      </c>
      <c r="H177" s="3">
        <v>0</v>
      </c>
      <c r="I177" s="3">
        <v>354656</v>
      </c>
      <c r="J177" s="3">
        <v>104946884</v>
      </c>
      <c r="K177" s="3">
        <v>5993561</v>
      </c>
      <c r="L177" s="3">
        <v>48817938</v>
      </c>
      <c r="M177" s="3">
        <v>76884651</v>
      </c>
      <c r="N177" s="3">
        <v>678361</v>
      </c>
      <c r="O177" s="3">
        <v>1629</v>
      </c>
      <c r="P177" s="3">
        <f t="shared" si="2"/>
        <v>290596833</v>
      </c>
    </row>
    <row r="178" spans="1:16" x14ac:dyDescent="0.25">
      <c r="A178" s="2">
        <v>45834</v>
      </c>
      <c r="B178" s="3">
        <v>54189362</v>
      </c>
      <c r="C178" s="3">
        <v>3473923</v>
      </c>
      <c r="D178" s="3">
        <v>0</v>
      </c>
      <c r="E178" s="3">
        <v>66</v>
      </c>
      <c r="F178" s="3">
        <v>0</v>
      </c>
      <c r="G178" s="3">
        <v>650319</v>
      </c>
      <c r="H178" s="3">
        <v>0</v>
      </c>
      <c r="I178" s="3">
        <v>10058</v>
      </c>
      <c r="J178" s="3">
        <v>82255874</v>
      </c>
      <c r="K178" s="3">
        <v>1470706</v>
      </c>
      <c r="L178" s="3">
        <v>32885258</v>
      </c>
      <c r="M178" s="3">
        <v>166270561</v>
      </c>
      <c r="N178" s="3">
        <v>808481</v>
      </c>
      <c r="O178" s="3">
        <v>3258</v>
      </c>
      <c r="P178" s="3">
        <f t="shared" si="2"/>
        <v>342017866</v>
      </c>
    </row>
    <row r="179" spans="1:16" x14ac:dyDescent="0.25">
      <c r="A179" s="2">
        <v>45835</v>
      </c>
      <c r="B179" s="3">
        <v>13908431</v>
      </c>
      <c r="C179" s="3">
        <v>1189788</v>
      </c>
      <c r="D179" s="3">
        <v>0</v>
      </c>
      <c r="E179" s="3">
        <v>11</v>
      </c>
      <c r="F179" s="3">
        <v>0</v>
      </c>
      <c r="G179" s="3">
        <v>4488996</v>
      </c>
      <c r="H179" s="3">
        <v>0</v>
      </c>
      <c r="I179" s="3">
        <v>581410</v>
      </c>
      <c r="J179" s="3">
        <v>87028868</v>
      </c>
      <c r="K179" s="3">
        <v>1872434</v>
      </c>
      <c r="L179" s="3">
        <v>15010669</v>
      </c>
      <c r="M179" s="3">
        <v>116216457</v>
      </c>
      <c r="N179" s="3">
        <v>308183</v>
      </c>
      <c r="O179" s="3">
        <v>244350</v>
      </c>
      <c r="P179" s="3">
        <f t="shared" si="2"/>
        <v>240849597</v>
      </c>
    </row>
    <row r="180" spans="1:16" x14ac:dyDescent="0.25">
      <c r="A180" s="2">
        <v>45836</v>
      </c>
      <c r="B180" s="3">
        <v>3297486</v>
      </c>
      <c r="C180" s="3">
        <v>206</v>
      </c>
      <c r="D180" s="3">
        <v>0</v>
      </c>
      <c r="E180" s="3">
        <v>3</v>
      </c>
      <c r="F180" s="3">
        <v>0</v>
      </c>
      <c r="G180" s="3">
        <v>2872815</v>
      </c>
      <c r="H180" s="3">
        <v>0</v>
      </c>
      <c r="I180" s="3">
        <v>883224</v>
      </c>
      <c r="J180" s="3">
        <v>12555289</v>
      </c>
      <c r="K180" s="3">
        <v>311755</v>
      </c>
      <c r="L180" s="3">
        <v>10238329</v>
      </c>
      <c r="M180" s="3">
        <v>120548441</v>
      </c>
      <c r="N180" s="3">
        <v>46157</v>
      </c>
      <c r="O180" s="3">
        <v>0</v>
      </c>
      <c r="P180" s="3">
        <f t="shared" si="2"/>
        <v>150753705</v>
      </c>
    </row>
    <row r="181" spans="1:16" x14ac:dyDescent="0.25">
      <c r="A181" s="2">
        <v>45837</v>
      </c>
      <c r="B181" s="3">
        <v>686302</v>
      </c>
      <c r="C181" s="3">
        <v>194</v>
      </c>
      <c r="D181" s="3">
        <v>0</v>
      </c>
      <c r="E181" s="3">
        <v>42</v>
      </c>
      <c r="F181" s="3">
        <v>0</v>
      </c>
      <c r="G181" s="3">
        <v>4118</v>
      </c>
      <c r="H181" s="3">
        <v>0</v>
      </c>
      <c r="I181" s="3">
        <v>13880</v>
      </c>
      <c r="J181" s="3">
        <v>16694699</v>
      </c>
      <c r="K181" s="3">
        <v>121251</v>
      </c>
      <c r="L181" s="3">
        <v>53500439</v>
      </c>
      <c r="M181" s="3">
        <v>90163123</v>
      </c>
      <c r="N181" s="3">
        <v>27729</v>
      </c>
      <c r="O181" s="3">
        <v>0</v>
      </c>
      <c r="P181" s="3">
        <f t="shared" si="2"/>
        <v>161211777</v>
      </c>
    </row>
    <row r="182" spans="1:16" x14ac:dyDescent="0.25">
      <c r="A182" s="2">
        <v>45838</v>
      </c>
      <c r="B182" s="3">
        <v>42007579</v>
      </c>
      <c r="C182" s="3">
        <v>2058893</v>
      </c>
      <c r="D182" s="3">
        <v>0</v>
      </c>
      <c r="E182" s="3">
        <v>12</v>
      </c>
      <c r="F182" s="3">
        <v>0</v>
      </c>
      <c r="G182" s="3">
        <v>19832439</v>
      </c>
      <c r="H182" s="3">
        <v>0</v>
      </c>
      <c r="I182" s="3">
        <v>814126</v>
      </c>
      <c r="J182" s="3">
        <v>41999585</v>
      </c>
      <c r="K182" s="3">
        <v>88134</v>
      </c>
      <c r="L182" s="3">
        <v>43955914</v>
      </c>
      <c r="M182" s="3">
        <v>90930018</v>
      </c>
      <c r="N182" s="3">
        <v>353314</v>
      </c>
      <c r="O182" s="3">
        <v>0</v>
      </c>
      <c r="P182" s="3">
        <f t="shared" si="2"/>
        <v>242040014</v>
      </c>
    </row>
    <row r="183" spans="1:16" x14ac:dyDescent="0.25">
      <c r="A183" s="2">
        <v>45839</v>
      </c>
      <c r="B183" s="3">
        <v>23314916</v>
      </c>
      <c r="C183" s="3">
        <v>1193288</v>
      </c>
      <c r="D183" s="3">
        <v>0</v>
      </c>
      <c r="E183" s="3">
        <v>40</v>
      </c>
      <c r="F183" s="3">
        <v>0</v>
      </c>
      <c r="G183" s="3">
        <v>21441316</v>
      </c>
      <c r="H183" s="3">
        <v>0</v>
      </c>
      <c r="I183" s="3">
        <v>554049</v>
      </c>
      <c r="J183" s="3">
        <v>42184535</v>
      </c>
      <c r="K183" s="3">
        <v>247319</v>
      </c>
      <c r="L183" s="3">
        <v>60499492</v>
      </c>
      <c r="M183" s="3">
        <v>126677144</v>
      </c>
      <c r="N183" s="3">
        <v>62955</v>
      </c>
      <c r="O183" s="3">
        <v>111856</v>
      </c>
      <c r="P183" s="3">
        <f t="shared" si="2"/>
        <v>276286910</v>
      </c>
    </row>
    <row r="184" spans="1:16" x14ac:dyDescent="0.25">
      <c r="A184" s="2">
        <v>45840</v>
      </c>
      <c r="B184" s="3">
        <v>32195716</v>
      </c>
      <c r="C184" s="3">
        <v>439833</v>
      </c>
      <c r="D184" s="3">
        <v>0</v>
      </c>
      <c r="E184" s="3">
        <v>23</v>
      </c>
      <c r="F184" s="3">
        <v>0</v>
      </c>
      <c r="G184" s="3">
        <v>35804279</v>
      </c>
      <c r="H184" s="3">
        <v>0</v>
      </c>
      <c r="I184" s="3">
        <v>114826</v>
      </c>
      <c r="J184" s="3">
        <v>59235879</v>
      </c>
      <c r="K184" s="3">
        <v>139725</v>
      </c>
      <c r="L184" s="3">
        <v>87986647</v>
      </c>
      <c r="M184" s="3">
        <v>89107457</v>
      </c>
      <c r="N184" s="3">
        <v>36232</v>
      </c>
      <c r="O184" s="3">
        <v>375</v>
      </c>
      <c r="P184" s="3">
        <f t="shared" si="2"/>
        <v>305060992</v>
      </c>
    </row>
    <row r="185" spans="1:16" x14ac:dyDescent="0.25">
      <c r="A185" s="2">
        <v>45841</v>
      </c>
      <c r="B185" s="3">
        <v>40152340</v>
      </c>
      <c r="C185" s="3">
        <v>5235914</v>
      </c>
      <c r="D185" s="3">
        <v>0</v>
      </c>
      <c r="E185" s="3">
        <v>11</v>
      </c>
      <c r="F185" s="3">
        <v>0</v>
      </c>
      <c r="G185" s="3">
        <v>22498582</v>
      </c>
      <c r="H185" s="3">
        <v>0</v>
      </c>
      <c r="I185" s="3">
        <v>336768</v>
      </c>
      <c r="J185" s="3">
        <v>26841582</v>
      </c>
      <c r="K185" s="3">
        <v>297630</v>
      </c>
      <c r="L185" s="3">
        <v>49550982</v>
      </c>
      <c r="M185" s="3">
        <v>158868946</v>
      </c>
      <c r="N185" s="3">
        <v>36746</v>
      </c>
      <c r="O185" s="3">
        <v>63210</v>
      </c>
      <c r="P185" s="3">
        <f t="shared" si="2"/>
        <v>303882711</v>
      </c>
    </row>
    <row r="186" spans="1:16" x14ac:dyDescent="0.25">
      <c r="A186" s="2">
        <v>45842</v>
      </c>
      <c r="B186" s="3">
        <v>9064481</v>
      </c>
      <c r="C186" s="3">
        <v>1005589</v>
      </c>
      <c r="D186" s="3">
        <v>0</v>
      </c>
      <c r="E186" s="3">
        <v>83</v>
      </c>
      <c r="F186" s="3">
        <v>0</v>
      </c>
      <c r="G186" s="3">
        <v>6059226</v>
      </c>
      <c r="H186" s="3">
        <v>0</v>
      </c>
      <c r="I186" s="3">
        <v>75356</v>
      </c>
      <c r="J186" s="3">
        <v>18762724</v>
      </c>
      <c r="K186" s="3">
        <v>16934</v>
      </c>
      <c r="L186" s="3">
        <v>49125657</v>
      </c>
      <c r="M186" s="3">
        <v>66971370</v>
      </c>
      <c r="N186" s="3">
        <v>336742</v>
      </c>
      <c r="O186" s="3">
        <v>0</v>
      </c>
      <c r="P186" s="3">
        <f t="shared" si="2"/>
        <v>151418162</v>
      </c>
    </row>
    <row r="187" spans="1:16" x14ac:dyDescent="0.25">
      <c r="A187" s="2">
        <v>45843</v>
      </c>
      <c r="B187" s="3">
        <v>1783677</v>
      </c>
      <c r="C187" s="3">
        <v>89</v>
      </c>
      <c r="D187" s="3">
        <v>0</v>
      </c>
      <c r="E187" s="3">
        <v>534</v>
      </c>
      <c r="F187" s="3">
        <v>0</v>
      </c>
      <c r="G187" s="3">
        <v>2644948</v>
      </c>
      <c r="H187" s="3">
        <v>0</v>
      </c>
      <c r="I187" s="3">
        <v>227268</v>
      </c>
      <c r="J187" s="3">
        <v>6062074</v>
      </c>
      <c r="K187" s="3">
        <v>42517</v>
      </c>
      <c r="L187" s="3">
        <v>25050514</v>
      </c>
      <c r="M187" s="3">
        <v>43889602</v>
      </c>
      <c r="N187" s="3">
        <v>59769769</v>
      </c>
      <c r="O187" s="3">
        <v>0</v>
      </c>
      <c r="P187" s="3">
        <f t="shared" si="2"/>
        <v>139470992</v>
      </c>
    </row>
    <row r="188" spans="1:16" x14ac:dyDescent="0.25">
      <c r="A188" s="2">
        <v>45844</v>
      </c>
      <c r="B188" s="3">
        <v>845628</v>
      </c>
      <c r="C188" s="3">
        <v>49</v>
      </c>
      <c r="D188" s="3">
        <v>0</v>
      </c>
      <c r="E188" s="3">
        <v>37</v>
      </c>
      <c r="F188" s="3">
        <v>0</v>
      </c>
      <c r="G188" s="3">
        <v>4001006</v>
      </c>
      <c r="H188" s="3">
        <v>0</v>
      </c>
      <c r="I188" s="3">
        <v>142556</v>
      </c>
      <c r="J188" s="3">
        <v>14258387</v>
      </c>
      <c r="K188" s="3">
        <v>52158</v>
      </c>
      <c r="L188" s="3">
        <v>41014164</v>
      </c>
      <c r="M188" s="3">
        <v>41963070</v>
      </c>
      <c r="N188" s="3">
        <v>251111</v>
      </c>
      <c r="O188" s="3">
        <v>0</v>
      </c>
      <c r="P188" s="3">
        <f t="shared" si="2"/>
        <v>102528166</v>
      </c>
    </row>
    <row r="189" spans="1:16" x14ac:dyDescent="0.25">
      <c r="A189" s="2">
        <v>45845</v>
      </c>
      <c r="B189" s="3">
        <v>23071258</v>
      </c>
      <c r="C189" s="3">
        <v>575702</v>
      </c>
      <c r="D189" s="3">
        <v>0</v>
      </c>
      <c r="E189" s="3">
        <v>10</v>
      </c>
      <c r="F189" s="3">
        <v>0</v>
      </c>
      <c r="G189" s="3">
        <v>21503939</v>
      </c>
      <c r="H189" s="3">
        <v>0</v>
      </c>
      <c r="I189" s="3">
        <v>185939</v>
      </c>
      <c r="J189" s="3">
        <v>36533381</v>
      </c>
      <c r="K189" s="3">
        <v>99567</v>
      </c>
      <c r="L189" s="3">
        <v>65854418</v>
      </c>
      <c r="M189" s="3">
        <v>164611426</v>
      </c>
      <c r="N189" s="3">
        <v>1671284</v>
      </c>
      <c r="O189" s="3">
        <v>0</v>
      </c>
      <c r="P189" s="3">
        <f t="shared" si="2"/>
        <v>314106924</v>
      </c>
    </row>
    <row r="190" spans="1:16" x14ac:dyDescent="0.25">
      <c r="A190" s="2">
        <v>45846</v>
      </c>
      <c r="B190" s="3">
        <v>10434661</v>
      </c>
      <c r="C190" s="3">
        <v>1323620</v>
      </c>
      <c r="D190" s="3">
        <v>0</v>
      </c>
      <c r="E190" s="3">
        <v>9</v>
      </c>
      <c r="F190" s="3">
        <v>0</v>
      </c>
      <c r="G190" s="3">
        <v>14719938</v>
      </c>
      <c r="H190" s="3">
        <v>0</v>
      </c>
      <c r="I190" s="3">
        <v>252130</v>
      </c>
      <c r="J190" s="3">
        <v>24030581</v>
      </c>
      <c r="K190" s="3">
        <v>59778</v>
      </c>
      <c r="L190" s="3">
        <v>28204287</v>
      </c>
      <c r="M190" s="3">
        <v>52114904</v>
      </c>
      <c r="N190" s="3">
        <v>531123</v>
      </c>
      <c r="O190" s="3">
        <v>12389</v>
      </c>
      <c r="P190" s="3">
        <f t="shared" si="2"/>
        <v>131683420</v>
      </c>
    </row>
    <row r="191" spans="1:16" x14ac:dyDescent="0.25">
      <c r="A191" s="2">
        <v>45847</v>
      </c>
      <c r="B191" s="3">
        <v>17518998</v>
      </c>
      <c r="C191" s="3">
        <v>1159223</v>
      </c>
      <c r="D191" s="3">
        <v>0</v>
      </c>
      <c r="E191" s="3">
        <v>49</v>
      </c>
      <c r="F191" s="3">
        <v>0</v>
      </c>
      <c r="G191" s="3">
        <v>11321083</v>
      </c>
      <c r="H191" s="3">
        <v>0</v>
      </c>
      <c r="I191" s="3">
        <v>36497</v>
      </c>
      <c r="J191" s="3">
        <v>31264291</v>
      </c>
      <c r="K191" s="3">
        <v>59562</v>
      </c>
      <c r="L191" s="3">
        <v>37202803</v>
      </c>
      <c r="M191" s="3">
        <v>358674591</v>
      </c>
      <c r="N191" s="3">
        <v>120095562</v>
      </c>
      <c r="O191" s="3">
        <v>0</v>
      </c>
      <c r="P191" s="3">
        <f t="shared" si="2"/>
        <v>577332659</v>
      </c>
    </row>
    <row r="192" spans="1:16" x14ac:dyDescent="0.25">
      <c r="A192" s="2">
        <v>45848</v>
      </c>
      <c r="B192" s="3">
        <v>17793582</v>
      </c>
      <c r="C192" s="3">
        <v>3925269</v>
      </c>
      <c r="D192" s="3">
        <v>0</v>
      </c>
      <c r="E192" s="3">
        <v>230</v>
      </c>
      <c r="F192" s="3">
        <v>0</v>
      </c>
      <c r="G192" s="3">
        <v>14059907</v>
      </c>
      <c r="H192" s="3">
        <v>0</v>
      </c>
      <c r="I192" s="3">
        <v>102285</v>
      </c>
      <c r="J192" s="3">
        <v>157958008</v>
      </c>
      <c r="K192" s="3">
        <v>48753</v>
      </c>
      <c r="L192" s="3">
        <v>34298158</v>
      </c>
      <c r="M192" s="3">
        <v>205345927</v>
      </c>
      <c r="N192" s="3">
        <v>289464</v>
      </c>
      <c r="O192" s="3">
        <v>2476</v>
      </c>
      <c r="P192" s="3">
        <f t="shared" si="2"/>
        <v>433824059</v>
      </c>
    </row>
    <row r="193" spans="1:16" x14ac:dyDescent="0.25">
      <c r="A193" s="2">
        <v>45849</v>
      </c>
      <c r="B193" s="3">
        <v>16041668</v>
      </c>
      <c r="C193" s="3">
        <v>5171685</v>
      </c>
      <c r="D193" s="3">
        <v>0</v>
      </c>
      <c r="E193" s="3">
        <v>72</v>
      </c>
      <c r="F193" s="3">
        <v>0</v>
      </c>
      <c r="G193" s="3">
        <v>13548532</v>
      </c>
      <c r="H193" s="3">
        <v>0</v>
      </c>
      <c r="I193" s="3">
        <v>207069</v>
      </c>
      <c r="J193" s="3">
        <v>41087370</v>
      </c>
      <c r="K193" s="3">
        <v>815141</v>
      </c>
      <c r="L193" s="3">
        <v>50663224</v>
      </c>
      <c r="M193" s="3">
        <v>259483600</v>
      </c>
      <c r="N193" s="3">
        <v>142699</v>
      </c>
      <c r="O193" s="3">
        <v>470830</v>
      </c>
      <c r="P193" s="3">
        <f t="shared" si="2"/>
        <v>387631890</v>
      </c>
    </row>
    <row r="194" spans="1:16" x14ac:dyDescent="0.25">
      <c r="A194" s="2">
        <v>45850</v>
      </c>
      <c r="B194" s="3">
        <v>5029630</v>
      </c>
      <c r="C194" s="3">
        <v>8951</v>
      </c>
      <c r="D194" s="3">
        <v>0</v>
      </c>
      <c r="E194" s="3">
        <v>528</v>
      </c>
      <c r="F194" s="3">
        <v>0</v>
      </c>
      <c r="G194" s="3">
        <v>5369165</v>
      </c>
      <c r="H194" s="3">
        <v>0</v>
      </c>
      <c r="I194" s="3">
        <v>61742</v>
      </c>
      <c r="J194" s="3">
        <v>16276218</v>
      </c>
      <c r="K194" s="3">
        <v>104801</v>
      </c>
      <c r="L194" s="3">
        <v>60897763</v>
      </c>
      <c r="M194" s="3">
        <v>267315184</v>
      </c>
      <c r="N194" s="3">
        <v>101629</v>
      </c>
      <c r="O194" s="3">
        <v>0</v>
      </c>
      <c r="P194" s="3">
        <f t="shared" ref="P194:P257" si="3">SUM(B194:O194)</f>
        <v>355165611</v>
      </c>
    </row>
    <row r="195" spans="1:16" x14ac:dyDescent="0.25">
      <c r="A195" s="2">
        <v>45851</v>
      </c>
      <c r="B195" s="3">
        <v>1538996</v>
      </c>
      <c r="C195" s="3">
        <v>4390</v>
      </c>
      <c r="D195" s="3">
        <v>0</v>
      </c>
      <c r="E195" s="3">
        <v>534</v>
      </c>
      <c r="F195" s="3">
        <v>0</v>
      </c>
      <c r="G195" s="3">
        <v>2988338</v>
      </c>
      <c r="H195" s="3">
        <v>0</v>
      </c>
      <c r="I195" s="3">
        <v>2090</v>
      </c>
      <c r="J195" s="3">
        <v>24965125</v>
      </c>
      <c r="K195" s="3">
        <v>114219</v>
      </c>
      <c r="L195" s="3">
        <v>46783891</v>
      </c>
      <c r="M195" s="3">
        <v>188746329</v>
      </c>
      <c r="N195" s="3">
        <v>27945</v>
      </c>
      <c r="O195" s="3">
        <v>0</v>
      </c>
      <c r="P195" s="3">
        <f t="shared" si="3"/>
        <v>265171857</v>
      </c>
    </row>
    <row r="196" spans="1:16" x14ac:dyDescent="0.25">
      <c r="A196" s="2">
        <v>45852</v>
      </c>
      <c r="B196" s="3">
        <v>18663436</v>
      </c>
      <c r="C196" s="3">
        <v>248733</v>
      </c>
      <c r="D196" s="3">
        <v>0</v>
      </c>
      <c r="E196" s="3">
        <v>33</v>
      </c>
      <c r="F196" s="3">
        <v>0</v>
      </c>
      <c r="G196" s="3">
        <v>11237086</v>
      </c>
      <c r="H196" s="3">
        <v>0</v>
      </c>
      <c r="I196" s="3">
        <v>109960</v>
      </c>
      <c r="J196" s="3">
        <v>47375289</v>
      </c>
      <c r="K196" s="3">
        <v>13424318</v>
      </c>
      <c r="L196" s="3">
        <v>59259268</v>
      </c>
      <c r="M196" s="3">
        <v>122853463</v>
      </c>
      <c r="N196" s="3">
        <v>6000845</v>
      </c>
      <c r="O196" s="3">
        <v>39291</v>
      </c>
      <c r="P196" s="3">
        <f t="shared" si="3"/>
        <v>279211722</v>
      </c>
    </row>
    <row r="197" spans="1:16" x14ac:dyDescent="0.25">
      <c r="A197" s="2">
        <v>45853</v>
      </c>
      <c r="B197" s="3">
        <v>118270308</v>
      </c>
      <c r="C197" s="3">
        <v>956634</v>
      </c>
      <c r="D197" s="3">
        <v>0</v>
      </c>
      <c r="E197" s="3">
        <v>34</v>
      </c>
      <c r="F197" s="3">
        <v>0</v>
      </c>
      <c r="G197" s="3">
        <v>16576359</v>
      </c>
      <c r="H197" s="3">
        <v>0</v>
      </c>
      <c r="I197" s="3">
        <v>46854</v>
      </c>
      <c r="J197" s="3">
        <v>52159712</v>
      </c>
      <c r="K197" s="3">
        <v>5111976</v>
      </c>
      <c r="L197" s="3">
        <v>27077157</v>
      </c>
      <c r="M197" s="3">
        <v>90932514</v>
      </c>
      <c r="N197" s="3">
        <v>39456392</v>
      </c>
      <c r="O197" s="3">
        <v>609826</v>
      </c>
      <c r="P197" s="3">
        <f t="shared" si="3"/>
        <v>351197766</v>
      </c>
    </row>
    <row r="198" spans="1:16" x14ac:dyDescent="0.25">
      <c r="A198" s="2">
        <v>45854</v>
      </c>
      <c r="B198" s="3">
        <v>43348148</v>
      </c>
      <c r="C198" s="3">
        <v>713982</v>
      </c>
      <c r="D198" s="3">
        <v>0</v>
      </c>
      <c r="E198" s="3">
        <v>52</v>
      </c>
      <c r="F198" s="3">
        <v>0</v>
      </c>
      <c r="G198" s="3">
        <v>19552216</v>
      </c>
      <c r="H198" s="3">
        <v>0</v>
      </c>
      <c r="I198" s="3">
        <v>165626</v>
      </c>
      <c r="J198" s="3">
        <v>80299530</v>
      </c>
      <c r="K198" s="3">
        <v>12119110</v>
      </c>
      <c r="L198" s="3">
        <v>79252312</v>
      </c>
      <c r="M198" s="3">
        <v>843901531</v>
      </c>
      <c r="N198" s="3">
        <v>62573</v>
      </c>
      <c r="O198" s="3">
        <v>253461</v>
      </c>
      <c r="P198" s="3">
        <f t="shared" si="3"/>
        <v>1079668541</v>
      </c>
    </row>
    <row r="199" spans="1:16" x14ac:dyDescent="0.25">
      <c r="A199" s="2">
        <v>45855</v>
      </c>
      <c r="B199" s="3">
        <v>46631970</v>
      </c>
      <c r="C199" s="3">
        <v>2242516</v>
      </c>
      <c r="D199" s="3">
        <v>0</v>
      </c>
      <c r="E199" s="3">
        <v>197</v>
      </c>
      <c r="F199" s="3">
        <v>0</v>
      </c>
      <c r="G199" s="3">
        <v>12415820</v>
      </c>
      <c r="H199" s="3">
        <v>0</v>
      </c>
      <c r="I199" s="3">
        <v>560897</v>
      </c>
      <c r="J199" s="3">
        <v>63548225</v>
      </c>
      <c r="K199" s="3">
        <v>2161087</v>
      </c>
      <c r="L199" s="3">
        <v>86054207</v>
      </c>
      <c r="M199" s="3">
        <v>575545104</v>
      </c>
      <c r="N199" s="3">
        <v>210971</v>
      </c>
      <c r="O199" s="3">
        <v>0</v>
      </c>
      <c r="P199" s="3">
        <f t="shared" si="3"/>
        <v>789370994</v>
      </c>
    </row>
    <row r="200" spans="1:16" x14ac:dyDescent="0.25">
      <c r="A200" s="2">
        <v>45856</v>
      </c>
      <c r="B200" s="3">
        <v>213179368</v>
      </c>
      <c r="C200" s="3">
        <v>1455811</v>
      </c>
      <c r="D200" s="3">
        <v>0</v>
      </c>
      <c r="E200" s="3">
        <v>8583</v>
      </c>
      <c r="F200" s="3">
        <v>0</v>
      </c>
      <c r="G200" s="3">
        <v>19851359</v>
      </c>
      <c r="H200" s="3">
        <v>0</v>
      </c>
      <c r="I200" s="3">
        <v>333294</v>
      </c>
      <c r="J200" s="3">
        <v>66191312</v>
      </c>
      <c r="K200" s="3">
        <v>36538</v>
      </c>
      <c r="L200" s="3">
        <v>88337946</v>
      </c>
      <c r="M200" s="3">
        <v>925921946</v>
      </c>
      <c r="N200" s="3">
        <v>505214</v>
      </c>
      <c r="O200" s="3">
        <v>250773</v>
      </c>
      <c r="P200" s="3">
        <f t="shared" si="3"/>
        <v>1316072144</v>
      </c>
    </row>
    <row r="201" spans="1:16" x14ac:dyDescent="0.25">
      <c r="A201" s="2">
        <v>45857</v>
      </c>
      <c r="B201" s="3">
        <v>2076600</v>
      </c>
      <c r="C201" s="3">
        <v>1289</v>
      </c>
      <c r="D201" s="3">
        <v>0</v>
      </c>
      <c r="E201" s="3">
        <v>21</v>
      </c>
      <c r="F201" s="3">
        <v>0</v>
      </c>
      <c r="G201" s="3">
        <v>2174331</v>
      </c>
      <c r="H201" s="3">
        <v>0</v>
      </c>
      <c r="I201" s="3">
        <v>49710</v>
      </c>
      <c r="J201" s="3">
        <v>12269092</v>
      </c>
      <c r="K201" s="3">
        <v>11210</v>
      </c>
      <c r="L201" s="3">
        <v>21580532</v>
      </c>
      <c r="M201" s="3">
        <v>283749526</v>
      </c>
      <c r="N201" s="3">
        <v>688505</v>
      </c>
      <c r="O201" s="3">
        <v>0</v>
      </c>
      <c r="P201" s="3">
        <f t="shared" si="3"/>
        <v>322600816</v>
      </c>
    </row>
    <row r="202" spans="1:16" x14ac:dyDescent="0.25">
      <c r="A202" s="2">
        <v>45858</v>
      </c>
      <c r="B202" s="3">
        <v>1130609</v>
      </c>
      <c r="C202" s="3">
        <v>201</v>
      </c>
      <c r="D202" s="3">
        <v>0</v>
      </c>
      <c r="E202" s="3">
        <v>22</v>
      </c>
      <c r="F202" s="3">
        <v>0</v>
      </c>
      <c r="G202" s="3">
        <v>2570270</v>
      </c>
      <c r="H202" s="3">
        <v>0</v>
      </c>
      <c r="I202" s="3">
        <v>15786</v>
      </c>
      <c r="J202" s="3">
        <v>22888101</v>
      </c>
      <c r="K202" s="3">
        <v>31770</v>
      </c>
      <c r="L202" s="3">
        <v>34443325</v>
      </c>
      <c r="M202" s="3">
        <v>203401281</v>
      </c>
      <c r="N202" s="3">
        <v>21071619</v>
      </c>
      <c r="O202" s="3">
        <v>0</v>
      </c>
      <c r="P202" s="3">
        <f t="shared" si="3"/>
        <v>285552984</v>
      </c>
    </row>
    <row r="203" spans="1:16" x14ac:dyDescent="0.25">
      <c r="A203" s="2">
        <v>45859</v>
      </c>
      <c r="B203" s="3">
        <v>688932880</v>
      </c>
      <c r="C203" s="3">
        <v>1721860</v>
      </c>
      <c r="D203" s="3">
        <v>0</v>
      </c>
      <c r="E203" s="3">
        <v>22</v>
      </c>
      <c r="F203" s="3">
        <v>0</v>
      </c>
      <c r="G203" s="3">
        <v>14497895</v>
      </c>
      <c r="H203" s="3">
        <v>0</v>
      </c>
      <c r="I203" s="3">
        <v>497082</v>
      </c>
      <c r="J203" s="3">
        <v>27513765</v>
      </c>
      <c r="K203" s="3">
        <v>14342</v>
      </c>
      <c r="L203" s="3">
        <v>88839805</v>
      </c>
      <c r="M203" s="3">
        <v>264984562</v>
      </c>
      <c r="N203" s="3">
        <v>71189</v>
      </c>
      <c r="O203" s="3">
        <v>2358</v>
      </c>
      <c r="P203" s="3">
        <f t="shared" si="3"/>
        <v>1087075760</v>
      </c>
    </row>
    <row r="204" spans="1:16" x14ac:dyDescent="0.25">
      <c r="A204" s="2">
        <v>45860</v>
      </c>
      <c r="B204" s="3">
        <v>122827663</v>
      </c>
      <c r="C204" s="3">
        <v>3598494</v>
      </c>
      <c r="D204" s="3">
        <v>0</v>
      </c>
      <c r="E204" s="3">
        <v>33</v>
      </c>
      <c r="F204" s="3">
        <v>0</v>
      </c>
      <c r="G204" s="3">
        <v>7805552</v>
      </c>
      <c r="H204" s="3">
        <v>0</v>
      </c>
      <c r="I204" s="3">
        <v>223667</v>
      </c>
      <c r="J204" s="3">
        <v>22029080</v>
      </c>
      <c r="K204" s="3">
        <v>136931</v>
      </c>
      <c r="L204" s="3">
        <v>89863101</v>
      </c>
      <c r="M204" s="3">
        <v>755210401</v>
      </c>
      <c r="N204" s="3">
        <v>6256</v>
      </c>
      <c r="O204" s="3">
        <v>0</v>
      </c>
      <c r="P204" s="3">
        <f t="shared" si="3"/>
        <v>1001701178</v>
      </c>
    </row>
    <row r="205" spans="1:16" x14ac:dyDescent="0.25">
      <c r="A205" s="2">
        <v>45861</v>
      </c>
      <c r="B205" s="3">
        <v>39339392</v>
      </c>
      <c r="C205" s="3">
        <v>1114647</v>
      </c>
      <c r="D205" s="3">
        <v>0</v>
      </c>
      <c r="E205" s="3">
        <v>65</v>
      </c>
      <c r="F205" s="3">
        <v>0</v>
      </c>
      <c r="G205" s="3">
        <v>9392505</v>
      </c>
      <c r="H205" s="3">
        <v>0</v>
      </c>
      <c r="I205" s="3">
        <v>136669</v>
      </c>
      <c r="J205" s="3">
        <v>18141151</v>
      </c>
      <c r="K205" s="3">
        <v>3291565</v>
      </c>
      <c r="L205" s="3">
        <v>83403832</v>
      </c>
      <c r="M205" s="3">
        <v>290951222</v>
      </c>
      <c r="N205" s="3">
        <v>156006</v>
      </c>
      <c r="O205" s="3">
        <v>377280</v>
      </c>
      <c r="P205" s="3">
        <f t="shared" si="3"/>
        <v>446304334</v>
      </c>
    </row>
    <row r="206" spans="1:16" x14ac:dyDescent="0.25">
      <c r="A206" s="2">
        <v>45862</v>
      </c>
      <c r="B206" s="3">
        <v>19482451</v>
      </c>
      <c r="C206" s="3">
        <v>5866347</v>
      </c>
      <c r="D206" s="3">
        <v>0</v>
      </c>
      <c r="E206" s="3">
        <v>1802</v>
      </c>
      <c r="F206" s="3">
        <v>0</v>
      </c>
      <c r="G206" s="3">
        <v>13618676</v>
      </c>
      <c r="H206" s="3">
        <v>0</v>
      </c>
      <c r="I206" s="3">
        <v>171646</v>
      </c>
      <c r="J206" s="3">
        <v>28704633</v>
      </c>
      <c r="K206" s="3">
        <v>45880</v>
      </c>
      <c r="L206" s="3">
        <v>26530480</v>
      </c>
      <c r="M206" s="3">
        <v>217081505</v>
      </c>
      <c r="N206" s="3">
        <v>2148084</v>
      </c>
      <c r="O206" s="3">
        <v>167418</v>
      </c>
      <c r="P206" s="3">
        <f t="shared" si="3"/>
        <v>313818922</v>
      </c>
    </row>
    <row r="207" spans="1:16" x14ac:dyDescent="0.25">
      <c r="A207" s="2">
        <v>45863</v>
      </c>
      <c r="B207" s="3">
        <v>5380602</v>
      </c>
      <c r="C207" s="3">
        <v>1796187</v>
      </c>
      <c r="D207" s="3">
        <v>0</v>
      </c>
      <c r="E207" s="3">
        <v>55</v>
      </c>
      <c r="F207" s="3">
        <v>0</v>
      </c>
      <c r="G207" s="3">
        <v>12293684</v>
      </c>
      <c r="H207" s="3">
        <v>0</v>
      </c>
      <c r="I207" s="3">
        <v>147499</v>
      </c>
      <c r="J207" s="3">
        <v>25660167</v>
      </c>
      <c r="K207" s="3">
        <v>3301567</v>
      </c>
      <c r="L207" s="3">
        <v>60947557</v>
      </c>
      <c r="M207" s="3">
        <v>222781080</v>
      </c>
      <c r="N207" s="3">
        <v>205684</v>
      </c>
      <c r="O207" s="3">
        <v>637179</v>
      </c>
      <c r="P207" s="3">
        <f t="shared" si="3"/>
        <v>333151261</v>
      </c>
    </row>
    <row r="208" spans="1:16" x14ac:dyDescent="0.25">
      <c r="A208" s="2">
        <v>45864</v>
      </c>
      <c r="B208" s="3">
        <v>2440821</v>
      </c>
      <c r="C208" s="3">
        <v>78</v>
      </c>
      <c r="D208" s="3">
        <v>0</v>
      </c>
      <c r="E208" s="3">
        <v>71</v>
      </c>
      <c r="F208" s="3">
        <v>0</v>
      </c>
      <c r="G208" s="3">
        <v>1493811</v>
      </c>
      <c r="H208" s="3">
        <v>0</v>
      </c>
      <c r="I208" s="3">
        <v>33099</v>
      </c>
      <c r="J208" s="3">
        <v>20975418</v>
      </c>
      <c r="K208" s="3">
        <v>67001</v>
      </c>
      <c r="L208" s="3">
        <v>12887861</v>
      </c>
      <c r="M208" s="3">
        <v>172026660</v>
      </c>
      <c r="N208" s="3">
        <v>76670</v>
      </c>
      <c r="O208" s="3">
        <v>0</v>
      </c>
      <c r="P208" s="3">
        <f t="shared" si="3"/>
        <v>210001490</v>
      </c>
    </row>
    <row r="209" spans="1:16" x14ac:dyDescent="0.25">
      <c r="A209" s="2">
        <v>45865</v>
      </c>
      <c r="B209" s="3">
        <v>5909080</v>
      </c>
      <c r="C209" s="3">
        <v>321</v>
      </c>
      <c r="D209" s="3">
        <v>0</v>
      </c>
      <c r="E209" s="3">
        <v>354</v>
      </c>
      <c r="F209" s="3">
        <v>0</v>
      </c>
      <c r="G209" s="3">
        <v>1868759</v>
      </c>
      <c r="H209" s="3">
        <v>0</v>
      </c>
      <c r="I209" s="3">
        <v>7178</v>
      </c>
      <c r="J209" s="3">
        <v>19664666</v>
      </c>
      <c r="K209" s="3">
        <v>34398</v>
      </c>
      <c r="L209" s="3">
        <v>19532320</v>
      </c>
      <c r="M209" s="3">
        <v>1557494291</v>
      </c>
      <c r="N209" s="3">
        <v>29360</v>
      </c>
      <c r="O209" s="3">
        <v>0</v>
      </c>
      <c r="P209" s="3">
        <f t="shared" si="3"/>
        <v>1604540727</v>
      </c>
    </row>
    <row r="210" spans="1:16" x14ac:dyDescent="0.25">
      <c r="A210" s="2">
        <v>45866</v>
      </c>
      <c r="B210" s="3">
        <v>616019932</v>
      </c>
      <c r="C210" s="3">
        <v>1185563</v>
      </c>
      <c r="D210" s="3">
        <v>0</v>
      </c>
      <c r="E210" s="3">
        <v>50000775</v>
      </c>
      <c r="F210" s="3">
        <v>0</v>
      </c>
      <c r="G210" s="3">
        <v>8595399</v>
      </c>
      <c r="H210" s="3">
        <v>0</v>
      </c>
      <c r="I210" s="3">
        <v>38036</v>
      </c>
      <c r="J210" s="3">
        <v>34162772</v>
      </c>
      <c r="K210" s="3">
        <v>312796</v>
      </c>
      <c r="L210" s="3">
        <v>35070520</v>
      </c>
      <c r="M210" s="3">
        <v>382725854</v>
      </c>
      <c r="N210" s="3">
        <v>118921044</v>
      </c>
      <c r="O210" s="3">
        <v>433282</v>
      </c>
      <c r="P210" s="3">
        <f t="shared" si="3"/>
        <v>1247465973</v>
      </c>
    </row>
    <row r="211" spans="1:16" x14ac:dyDescent="0.25">
      <c r="A211" s="2">
        <v>45867</v>
      </c>
      <c r="B211" s="3">
        <v>22007117</v>
      </c>
      <c r="C211" s="3">
        <v>4706573</v>
      </c>
      <c r="D211" s="3">
        <v>0</v>
      </c>
      <c r="E211" s="3">
        <v>24</v>
      </c>
      <c r="F211" s="3">
        <v>0</v>
      </c>
      <c r="G211" s="3">
        <v>8077811</v>
      </c>
      <c r="H211" s="3">
        <v>0</v>
      </c>
      <c r="I211" s="3">
        <v>249285</v>
      </c>
      <c r="J211" s="3">
        <v>36265204</v>
      </c>
      <c r="K211" s="3">
        <v>1120208</v>
      </c>
      <c r="L211" s="3">
        <v>110602643</v>
      </c>
      <c r="M211" s="3">
        <v>482966657</v>
      </c>
      <c r="N211" s="3">
        <v>323848</v>
      </c>
      <c r="O211" s="3">
        <v>353700</v>
      </c>
      <c r="P211" s="3">
        <f t="shared" si="3"/>
        <v>666673070</v>
      </c>
    </row>
    <row r="212" spans="1:16" x14ac:dyDescent="0.25">
      <c r="A212" s="2">
        <v>45868</v>
      </c>
      <c r="B212" s="3">
        <v>24622384</v>
      </c>
      <c r="C212" s="3">
        <v>8369207</v>
      </c>
      <c r="D212" s="3">
        <v>0</v>
      </c>
      <c r="E212" s="3">
        <v>99992453</v>
      </c>
      <c r="F212" s="3">
        <v>0</v>
      </c>
      <c r="G212" s="3">
        <v>6364145</v>
      </c>
      <c r="H212" s="3">
        <v>0</v>
      </c>
      <c r="I212" s="3">
        <v>241404</v>
      </c>
      <c r="J212" s="3">
        <v>36702375</v>
      </c>
      <c r="K212" s="3">
        <v>236400</v>
      </c>
      <c r="L212" s="3">
        <v>113494819</v>
      </c>
      <c r="M212" s="3">
        <v>3614019253</v>
      </c>
      <c r="N212" s="3">
        <v>1017970</v>
      </c>
      <c r="O212" s="3">
        <v>47160</v>
      </c>
      <c r="P212" s="3">
        <f t="shared" si="3"/>
        <v>3905107570</v>
      </c>
    </row>
    <row r="213" spans="1:16" x14ac:dyDescent="0.25">
      <c r="A213" s="2">
        <v>45869</v>
      </c>
      <c r="B213" s="3">
        <v>27370856</v>
      </c>
      <c r="C213" s="3">
        <v>680865</v>
      </c>
      <c r="D213" s="3">
        <v>0</v>
      </c>
      <c r="E213" s="3">
        <v>50013729</v>
      </c>
      <c r="F213" s="3">
        <v>0</v>
      </c>
      <c r="G213" s="3">
        <v>14603914</v>
      </c>
      <c r="H213" s="3">
        <v>0</v>
      </c>
      <c r="I213" s="3">
        <v>674975</v>
      </c>
      <c r="J213" s="3">
        <v>253918321</v>
      </c>
      <c r="K213" s="3">
        <v>11206014</v>
      </c>
      <c r="L213" s="3">
        <v>41944394</v>
      </c>
      <c r="M213" s="3">
        <v>3630580236</v>
      </c>
      <c r="N213" s="3">
        <v>309280</v>
      </c>
      <c r="O213" s="3">
        <v>123795</v>
      </c>
      <c r="P213" s="3">
        <f t="shared" si="3"/>
        <v>4031426379</v>
      </c>
    </row>
    <row r="214" spans="1:16" x14ac:dyDescent="0.25">
      <c r="A214" s="2">
        <v>45870</v>
      </c>
      <c r="B214" s="3">
        <v>34059403</v>
      </c>
      <c r="C214" s="3">
        <v>1604306</v>
      </c>
      <c r="D214" s="3">
        <v>0</v>
      </c>
      <c r="E214" s="3">
        <v>70</v>
      </c>
      <c r="F214" s="3">
        <v>0</v>
      </c>
      <c r="G214" s="3">
        <v>15455111</v>
      </c>
      <c r="H214" s="3">
        <v>0</v>
      </c>
      <c r="I214" s="3">
        <v>1297473</v>
      </c>
      <c r="J214" s="3">
        <v>54555358</v>
      </c>
      <c r="K214" s="3">
        <v>16025830</v>
      </c>
      <c r="L214" s="3">
        <v>74240702</v>
      </c>
      <c r="M214" s="3">
        <v>758162922</v>
      </c>
      <c r="N214" s="3">
        <v>40361454</v>
      </c>
      <c r="O214" s="3">
        <v>0</v>
      </c>
      <c r="P214" s="3">
        <f t="shared" si="3"/>
        <v>995762629</v>
      </c>
    </row>
    <row r="215" spans="1:16" x14ac:dyDescent="0.25">
      <c r="A215" s="2">
        <v>45871</v>
      </c>
      <c r="B215" s="3">
        <v>394602</v>
      </c>
      <c r="C215" s="3">
        <v>99</v>
      </c>
      <c r="D215" s="3">
        <v>0</v>
      </c>
      <c r="E215" s="3">
        <v>143</v>
      </c>
      <c r="F215" s="3">
        <v>0</v>
      </c>
      <c r="G215" s="3">
        <v>3421210</v>
      </c>
      <c r="H215" s="3">
        <v>0</v>
      </c>
      <c r="I215" s="3">
        <v>181956</v>
      </c>
      <c r="J215" s="3">
        <v>19161683</v>
      </c>
      <c r="K215" s="3">
        <v>43185</v>
      </c>
      <c r="L215" s="3">
        <v>58107033</v>
      </c>
      <c r="M215" s="3">
        <v>434856784</v>
      </c>
      <c r="N215" s="3">
        <v>28535</v>
      </c>
      <c r="O215" s="3">
        <v>5895</v>
      </c>
      <c r="P215" s="3">
        <f t="shared" si="3"/>
        <v>516201125</v>
      </c>
    </row>
    <row r="216" spans="1:16" x14ac:dyDescent="0.25">
      <c r="A216" s="2">
        <v>45872</v>
      </c>
      <c r="B216" s="3">
        <v>3726634</v>
      </c>
      <c r="C216" s="3">
        <v>39381</v>
      </c>
      <c r="D216" s="3">
        <v>0</v>
      </c>
      <c r="E216" s="3">
        <v>27</v>
      </c>
      <c r="F216" s="3">
        <v>0</v>
      </c>
      <c r="G216" s="3">
        <v>4222984</v>
      </c>
      <c r="H216" s="3">
        <v>0</v>
      </c>
      <c r="I216" s="3">
        <v>48460</v>
      </c>
      <c r="J216" s="3">
        <v>13488986</v>
      </c>
      <c r="K216" s="3">
        <v>18255</v>
      </c>
      <c r="L216" s="3">
        <v>14879157</v>
      </c>
      <c r="M216" s="3">
        <v>1373452059</v>
      </c>
      <c r="N216" s="3">
        <v>45053</v>
      </c>
      <c r="O216" s="3">
        <v>0</v>
      </c>
      <c r="P216" s="3">
        <f t="shared" si="3"/>
        <v>1409920996</v>
      </c>
    </row>
    <row r="217" spans="1:16" x14ac:dyDescent="0.25">
      <c r="A217" s="2">
        <v>45873</v>
      </c>
      <c r="B217" s="3">
        <v>160497736</v>
      </c>
      <c r="C217" s="3">
        <v>3597251</v>
      </c>
      <c r="D217" s="3">
        <v>0</v>
      </c>
      <c r="E217" s="3">
        <v>51004479</v>
      </c>
      <c r="F217" s="3">
        <v>0</v>
      </c>
      <c r="G217" s="3">
        <v>10005447</v>
      </c>
      <c r="H217" s="3">
        <v>0</v>
      </c>
      <c r="I217" s="3">
        <v>916681</v>
      </c>
      <c r="J217" s="3">
        <v>36443234</v>
      </c>
      <c r="K217" s="3">
        <v>348320</v>
      </c>
      <c r="L217" s="3">
        <v>58725907</v>
      </c>
      <c r="M217" s="3">
        <v>482883827</v>
      </c>
      <c r="N217" s="3">
        <v>3398429</v>
      </c>
      <c r="O217" s="3">
        <v>0</v>
      </c>
      <c r="P217" s="3">
        <f t="shared" si="3"/>
        <v>807821311</v>
      </c>
    </row>
    <row r="218" spans="1:16" x14ac:dyDescent="0.25">
      <c r="A218" s="2">
        <v>45874</v>
      </c>
      <c r="B218" s="3">
        <v>60501193</v>
      </c>
      <c r="C218" s="3">
        <v>291065</v>
      </c>
      <c r="D218" s="3">
        <v>0</v>
      </c>
      <c r="E218" s="3">
        <v>4496813</v>
      </c>
      <c r="F218" s="3">
        <v>0</v>
      </c>
      <c r="G218" s="3">
        <v>6926720</v>
      </c>
      <c r="H218" s="3">
        <v>0</v>
      </c>
      <c r="I218" s="3">
        <v>13765</v>
      </c>
      <c r="J218" s="3">
        <v>18248771</v>
      </c>
      <c r="K218" s="3">
        <v>41702</v>
      </c>
      <c r="L218" s="3">
        <v>48470706</v>
      </c>
      <c r="M218" s="3">
        <v>252805872</v>
      </c>
      <c r="N218" s="3">
        <v>7649553</v>
      </c>
      <c r="O218" s="3">
        <v>149733</v>
      </c>
      <c r="P218" s="3">
        <f t="shared" si="3"/>
        <v>399595893</v>
      </c>
    </row>
    <row r="219" spans="1:16" x14ac:dyDescent="0.25">
      <c r="A219" s="2">
        <v>45875</v>
      </c>
      <c r="B219" s="3">
        <v>60480568</v>
      </c>
      <c r="C219" s="3">
        <v>816782</v>
      </c>
      <c r="D219" s="3">
        <v>0</v>
      </c>
      <c r="E219" s="3">
        <v>104401168</v>
      </c>
      <c r="F219" s="3">
        <v>0</v>
      </c>
      <c r="G219" s="3">
        <v>6251129</v>
      </c>
      <c r="H219" s="3">
        <v>0</v>
      </c>
      <c r="I219" s="3">
        <v>6643</v>
      </c>
      <c r="J219" s="3">
        <v>27996543</v>
      </c>
      <c r="K219" s="3">
        <v>47792</v>
      </c>
      <c r="L219" s="3">
        <v>144713118</v>
      </c>
      <c r="M219" s="3">
        <v>723346983</v>
      </c>
      <c r="N219" s="3">
        <v>4895868</v>
      </c>
      <c r="O219" s="3">
        <v>32187</v>
      </c>
      <c r="P219" s="3">
        <f t="shared" si="3"/>
        <v>1072988781</v>
      </c>
    </row>
    <row r="220" spans="1:16" x14ac:dyDescent="0.25">
      <c r="A220" s="2">
        <v>45876</v>
      </c>
      <c r="B220" s="3">
        <v>25266053</v>
      </c>
      <c r="C220" s="3">
        <v>2944174</v>
      </c>
      <c r="D220" s="3">
        <v>0</v>
      </c>
      <c r="E220" s="3">
        <v>11100</v>
      </c>
      <c r="F220" s="3">
        <v>0</v>
      </c>
      <c r="G220" s="3">
        <v>7037753</v>
      </c>
      <c r="H220" s="3">
        <v>0</v>
      </c>
      <c r="I220" s="3">
        <v>1012368</v>
      </c>
      <c r="J220" s="3">
        <v>25345733</v>
      </c>
      <c r="K220" s="3">
        <v>10211095</v>
      </c>
      <c r="L220" s="3">
        <v>66364453</v>
      </c>
      <c r="M220" s="3">
        <v>403933587</v>
      </c>
      <c r="N220" s="3">
        <v>18723389</v>
      </c>
      <c r="O220" s="3">
        <v>0</v>
      </c>
      <c r="P220" s="3">
        <f t="shared" si="3"/>
        <v>560849705</v>
      </c>
    </row>
    <row r="221" spans="1:16" x14ac:dyDescent="0.25">
      <c r="A221" s="2">
        <v>45877</v>
      </c>
      <c r="B221" s="3">
        <v>17097196</v>
      </c>
      <c r="C221" s="3">
        <v>3643949</v>
      </c>
      <c r="D221" s="3">
        <v>0</v>
      </c>
      <c r="E221" s="3">
        <v>100834739</v>
      </c>
      <c r="F221" s="3">
        <v>0</v>
      </c>
      <c r="G221" s="3">
        <v>7377969</v>
      </c>
      <c r="H221" s="3">
        <v>0</v>
      </c>
      <c r="I221" s="3">
        <v>156514</v>
      </c>
      <c r="J221" s="3">
        <v>30778736</v>
      </c>
      <c r="K221" s="3">
        <v>7827958</v>
      </c>
      <c r="L221" s="3">
        <v>69722413</v>
      </c>
      <c r="M221" s="3">
        <v>548558437</v>
      </c>
      <c r="N221" s="3">
        <v>4400924</v>
      </c>
      <c r="O221" s="3">
        <v>0</v>
      </c>
      <c r="P221" s="3">
        <f t="shared" si="3"/>
        <v>790398835</v>
      </c>
    </row>
    <row r="222" spans="1:16" x14ac:dyDescent="0.25">
      <c r="A222" s="2">
        <v>45878</v>
      </c>
      <c r="B222" s="3">
        <v>21996528</v>
      </c>
      <c r="C222" s="3">
        <v>187</v>
      </c>
      <c r="D222" s="3">
        <v>0</v>
      </c>
      <c r="E222" s="3">
        <v>474</v>
      </c>
      <c r="F222" s="3">
        <v>0</v>
      </c>
      <c r="G222" s="3">
        <v>2432367</v>
      </c>
      <c r="H222" s="3">
        <v>0</v>
      </c>
      <c r="I222" s="3">
        <v>3581</v>
      </c>
      <c r="J222" s="3">
        <v>21429893</v>
      </c>
      <c r="K222" s="3">
        <v>41114</v>
      </c>
      <c r="L222" s="3">
        <v>43055642</v>
      </c>
      <c r="M222" s="3">
        <v>1003151146</v>
      </c>
      <c r="N222" s="3">
        <v>6530365</v>
      </c>
      <c r="O222" s="3">
        <v>0</v>
      </c>
      <c r="P222" s="3">
        <f t="shared" si="3"/>
        <v>1098641297</v>
      </c>
    </row>
    <row r="223" spans="1:16" x14ac:dyDescent="0.25">
      <c r="A223" s="2">
        <v>45879</v>
      </c>
      <c r="B223" s="3">
        <v>12405642</v>
      </c>
      <c r="C223" s="3">
        <v>640</v>
      </c>
      <c r="D223" s="3">
        <v>0</v>
      </c>
      <c r="E223" s="3">
        <v>634</v>
      </c>
      <c r="F223" s="3">
        <v>0</v>
      </c>
      <c r="G223" s="3">
        <v>2511202</v>
      </c>
      <c r="H223" s="3">
        <v>0</v>
      </c>
      <c r="I223" s="3">
        <v>8698</v>
      </c>
      <c r="J223" s="3">
        <v>22619892</v>
      </c>
      <c r="K223" s="3">
        <v>206061</v>
      </c>
      <c r="L223" s="3">
        <v>14914970</v>
      </c>
      <c r="M223" s="3">
        <v>285166681</v>
      </c>
      <c r="N223" s="3">
        <v>1020885</v>
      </c>
      <c r="O223" s="3">
        <v>0</v>
      </c>
      <c r="P223" s="3">
        <f t="shared" si="3"/>
        <v>338855305</v>
      </c>
    </row>
    <row r="224" spans="1:16" x14ac:dyDescent="0.25">
      <c r="A224" s="2">
        <v>45880</v>
      </c>
      <c r="B224" s="3">
        <v>44071236</v>
      </c>
      <c r="C224" s="3">
        <v>655522</v>
      </c>
      <c r="D224" s="3">
        <v>0</v>
      </c>
      <c r="E224" s="3">
        <v>51317612</v>
      </c>
      <c r="F224" s="3">
        <v>0</v>
      </c>
      <c r="G224" s="3">
        <v>13513723</v>
      </c>
      <c r="H224" s="3">
        <v>0</v>
      </c>
      <c r="I224" s="3">
        <v>404149</v>
      </c>
      <c r="J224" s="3">
        <v>39118395</v>
      </c>
      <c r="K224" s="3">
        <v>31318</v>
      </c>
      <c r="L224" s="3">
        <v>87957813</v>
      </c>
      <c r="M224" s="3">
        <v>434874598</v>
      </c>
      <c r="N224" s="3">
        <v>559344</v>
      </c>
      <c r="O224" s="3">
        <v>0</v>
      </c>
      <c r="P224" s="3">
        <f t="shared" si="3"/>
        <v>672503710</v>
      </c>
    </row>
    <row r="225" spans="1:16" x14ac:dyDescent="0.25">
      <c r="A225" s="2">
        <v>45881</v>
      </c>
      <c r="B225" s="3">
        <v>29278427</v>
      </c>
      <c r="C225" s="3">
        <v>432682</v>
      </c>
      <c r="D225" s="3">
        <v>0</v>
      </c>
      <c r="E225" s="3">
        <v>50912063</v>
      </c>
      <c r="F225" s="3">
        <v>0</v>
      </c>
      <c r="G225" s="3">
        <v>12570882</v>
      </c>
      <c r="H225" s="3">
        <v>0</v>
      </c>
      <c r="I225" s="3">
        <v>1481491</v>
      </c>
      <c r="J225" s="3">
        <v>62141484</v>
      </c>
      <c r="K225" s="3">
        <v>7245</v>
      </c>
      <c r="L225" s="3">
        <v>62850431</v>
      </c>
      <c r="M225" s="3">
        <v>523166907</v>
      </c>
      <c r="N225" s="3">
        <v>39520253</v>
      </c>
      <c r="O225" s="3">
        <v>0</v>
      </c>
      <c r="P225" s="3">
        <f t="shared" si="3"/>
        <v>782361865</v>
      </c>
    </row>
    <row r="226" spans="1:16" x14ac:dyDescent="0.25">
      <c r="A226" s="2">
        <v>45882</v>
      </c>
      <c r="B226" s="3">
        <v>20918359</v>
      </c>
      <c r="C226" s="3">
        <v>782629</v>
      </c>
      <c r="D226" s="3">
        <v>0</v>
      </c>
      <c r="E226" s="3">
        <v>49905932</v>
      </c>
      <c r="F226" s="3">
        <v>0</v>
      </c>
      <c r="G226" s="3">
        <v>11214097</v>
      </c>
      <c r="H226" s="3">
        <v>0</v>
      </c>
      <c r="I226" s="3">
        <v>77195</v>
      </c>
      <c r="J226" s="3">
        <v>29177683</v>
      </c>
      <c r="K226" s="3">
        <v>79603</v>
      </c>
      <c r="L226" s="3">
        <v>98416954</v>
      </c>
      <c r="M226" s="3">
        <v>358737645</v>
      </c>
      <c r="N226" s="3">
        <v>615719</v>
      </c>
      <c r="O226" s="3">
        <v>15704</v>
      </c>
      <c r="P226" s="3">
        <f t="shared" si="3"/>
        <v>569941520</v>
      </c>
    </row>
    <row r="227" spans="1:16" x14ac:dyDescent="0.25">
      <c r="A227" s="2">
        <v>45883</v>
      </c>
      <c r="B227" s="3">
        <v>34679155</v>
      </c>
      <c r="C227" s="3">
        <v>746702</v>
      </c>
      <c r="D227" s="3">
        <v>0</v>
      </c>
      <c r="E227" s="3">
        <v>49914456</v>
      </c>
      <c r="F227" s="3">
        <v>0</v>
      </c>
      <c r="G227" s="3">
        <v>12584740</v>
      </c>
      <c r="H227" s="3">
        <v>0</v>
      </c>
      <c r="I227" s="3">
        <v>571069</v>
      </c>
      <c r="J227" s="3">
        <v>40877491</v>
      </c>
      <c r="K227" s="3">
        <v>22574</v>
      </c>
      <c r="L227" s="3">
        <v>41137497</v>
      </c>
      <c r="M227" s="3">
        <v>538828561</v>
      </c>
      <c r="N227" s="3">
        <v>2827395</v>
      </c>
      <c r="O227" s="3">
        <v>0</v>
      </c>
      <c r="P227" s="3">
        <f t="shared" si="3"/>
        <v>722189640</v>
      </c>
    </row>
    <row r="228" spans="1:16" x14ac:dyDescent="0.25">
      <c r="A228" s="2">
        <v>45884</v>
      </c>
      <c r="B228" s="3">
        <v>40522141</v>
      </c>
      <c r="C228" s="3">
        <v>1008249</v>
      </c>
      <c r="D228" s="3">
        <v>0</v>
      </c>
      <c r="E228" s="3">
        <v>26142</v>
      </c>
      <c r="F228" s="3">
        <v>0</v>
      </c>
      <c r="G228" s="3">
        <v>19029796</v>
      </c>
      <c r="H228" s="3">
        <v>0</v>
      </c>
      <c r="I228" s="3">
        <v>562546</v>
      </c>
      <c r="J228" s="3">
        <v>28238398</v>
      </c>
      <c r="K228" s="3">
        <v>14044</v>
      </c>
      <c r="L228" s="3">
        <v>35939964</v>
      </c>
      <c r="M228" s="3">
        <v>324419017</v>
      </c>
      <c r="N228" s="3">
        <v>417739</v>
      </c>
      <c r="O228" s="3">
        <v>0</v>
      </c>
      <c r="P228" s="3">
        <f t="shared" si="3"/>
        <v>450178036</v>
      </c>
    </row>
    <row r="229" spans="1:16" x14ac:dyDescent="0.25">
      <c r="A229" s="2">
        <v>45885</v>
      </c>
      <c r="B229" s="3">
        <v>13216764</v>
      </c>
      <c r="C229" s="3">
        <v>18516</v>
      </c>
      <c r="D229" s="3">
        <v>0</v>
      </c>
      <c r="E229" s="3">
        <v>26118</v>
      </c>
      <c r="F229" s="3">
        <v>0</v>
      </c>
      <c r="G229" s="3">
        <v>2026231</v>
      </c>
      <c r="H229" s="3">
        <v>0</v>
      </c>
      <c r="I229" s="3">
        <v>175427</v>
      </c>
      <c r="J229" s="3">
        <v>23700123</v>
      </c>
      <c r="K229" s="3">
        <v>2570783</v>
      </c>
      <c r="L229" s="3">
        <v>34457462</v>
      </c>
      <c r="M229" s="3">
        <v>160138083</v>
      </c>
      <c r="N229" s="3">
        <v>493636</v>
      </c>
      <c r="O229" s="3">
        <v>0</v>
      </c>
      <c r="P229" s="3">
        <f t="shared" si="3"/>
        <v>236823143</v>
      </c>
    </row>
    <row r="230" spans="1:16" x14ac:dyDescent="0.25">
      <c r="A230" s="2">
        <v>45886</v>
      </c>
      <c r="B230" s="3">
        <v>31813752</v>
      </c>
      <c r="C230" s="3">
        <v>62463</v>
      </c>
      <c r="D230" s="3">
        <v>0</v>
      </c>
      <c r="E230" s="3">
        <v>16917</v>
      </c>
      <c r="F230" s="3">
        <v>0</v>
      </c>
      <c r="G230" s="3">
        <v>3506788</v>
      </c>
      <c r="H230" s="3">
        <v>0</v>
      </c>
      <c r="I230" s="3">
        <v>38371</v>
      </c>
      <c r="J230" s="3">
        <v>7285172</v>
      </c>
      <c r="K230" s="3">
        <v>10594</v>
      </c>
      <c r="L230" s="3">
        <v>26725765</v>
      </c>
      <c r="M230" s="3">
        <v>91455004</v>
      </c>
      <c r="N230" s="3">
        <v>527660</v>
      </c>
      <c r="O230" s="3">
        <v>0</v>
      </c>
      <c r="P230" s="3">
        <f t="shared" si="3"/>
        <v>161442486</v>
      </c>
    </row>
    <row r="231" spans="1:16" x14ac:dyDescent="0.25">
      <c r="A231" s="2">
        <v>45887</v>
      </c>
      <c r="B231" s="3">
        <v>51323975</v>
      </c>
      <c r="C231" s="3">
        <v>648277</v>
      </c>
      <c r="D231" s="3">
        <v>0</v>
      </c>
      <c r="E231" s="3">
        <v>16508</v>
      </c>
      <c r="F231" s="3">
        <v>0</v>
      </c>
      <c r="G231" s="3">
        <v>17122378</v>
      </c>
      <c r="H231" s="3">
        <v>0</v>
      </c>
      <c r="I231" s="3">
        <v>151246</v>
      </c>
      <c r="J231" s="3">
        <v>22675007</v>
      </c>
      <c r="K231" s="3">
        <v>2025077</v>
      </c>
      <c r="L231" s="3">
        <v>58824036</v>
      </c>
      <c r="M231" s="3">
        <v>136125285</v>
      </c>
      <c r="N231" s="3">
        <v>1090278</v>
      </c>
      <c r="O231" s="3">
        <v>0</v>
      </c>
      <c r="P231" s="3">
        <f t="shared" si="3"/>
        <v>290002067</v>
      </c>
    </row>
    <row r="232" spans="1:16" x14ac:dyDescent="0.25">
      <c r="A232" s="2">
        <v>45888</v>
      </c>
      <c r="B232" s="3">
        <v>64831071</v>
      </c>
      <c r="C232" s="3">
        <v>5072034</v>
      </c>
      <c r="D232" s="3">
        <v>0</v>
      </c>
      <c r="E232" s="3">
        <v>49879268</v>
      </c>
      <c r="F232" s="3">
        <v>0</v>
      </c>
      <c r="G232" s="3">
        <v>8096671</v>
      </c>
      <c r="H232" s="3">
        <v>0</v>
      </c>
      <c r="I232" s="3">
        <v>310388</v>
      </c>
      <c r="J232" s="3">
        <v>26884121</v>
      </c>
      <c r="K232" s="3">
        <v>7951020</v>
      </c>
      <c r="L232" s="3">
        <v>142444945</v>
      </c>
      <c r="M232" s="3">
        <v>185515367</v>
      </c>
      <c r="N232" s="3">
        <v>1920100</v>
      </c>
      <c r="O232" s="3">
        <v>58881</v>
      </c>
      <c r="P232" s="3">
        <f t="shared" si="3"/>
        <v>492963866</v>
      </c>
    </row>
    <row r="233" spans="1:16" x14ac:dyDescent="0.25">
      <c r="A233" s="2">
        <v>45889</v>
      </c>
      <c r="B233" s="3">
        <v>107164587</v>
      </c>
      <c r="C233" s="3">
        <v>4078688</v>
      </c>
      <c r="D233" s="3">
        <v>0</v>
      </c>
      <c r="E233" s="3">
        <v>50012447</v>
      </c>
      <c r="F233" s="3">
        <v>0</v>
      </c>
      <c r="G233" s="3">
        <v>19585718</v>
      </c>
      <c r="H233" s="3">
        <v>0</v>
      </c>
      <c r="I233" s="3">
        <v>41424</v>
      </c>
      <c r="J233" s="3">
        <v>22826566</v>
      </c>
      <c r="K233" s="3">
        <v>20952</v>
      </c>
      <c r="L233" s="3">
        <v>48254240</v>
      </c>
      <c r="M233" s="3">
        <v>256042880</v>
      </c>
      <c r="N233" s="3">
        <v>4377020</v>
      </c>
      <c r="O233" s="3">
        <v>400860</v>
      </c>
      <c r="P233" s="3">
        <f t="shared" si="3"/>
        <v>512805382</v>
      </c>
    </row>
    <row r="234" spans="1:16" x14ac:dyDescent="0.25">
      <c r="A234" s="2">
        <v>45890</v>
      </c>
      <c r="B234" s="3">
        <v>27560116</v>
      </c>
      <c r="C234" s="3">
        <v>2895788</v>
      </c>
      <c r="D234" s="3">
        <v>0</v>
      </c>
      <c r="E234" s="3">
        <v>6764</v>
      </c>
      <c r="F234" s="3">
        <v>0</v>
      </c>
      <c r="G234" s="3">
        <v>11491019</v>
      </c>
      <c r="H234" s="3">
        <v>0</v>
      </c>
      <c r="I234" s="3">
        <v>129292</v>
      </c>
      <c r="J234" s="3">
        <v>13820819</v>
      </c>
      <c r="K234" s="3">
        <v>485428</v>
      </c>
      <c r="L234" s="3">
        <v>29291714</v>
      </c>
      <c r="M234" s="3">
        <v>138776911</v>
      </c>
      <c r="N234" s="3">
        <v>15238970</v>
      </c>
      <c r="O234" s="3">
        <v>157066</v>
      </c>
      <c r="P234" s="3">
        <f t="shared" si="3"/>
        <v>239853887</v>
      </c>
    </row>
    <row r="235" spans="1:16" x14ac:dyDescent="0.25">
      <c r="A235" s="2">
        <v>45891</v>
      </c>
      <c r="B235" s="3">
        <v>135599868</v>
      </c>
      <c r="C235" s="3">
        <v>4008259</v>
      </c>
      <c r="D235" s="3">
        <v>0</v>
      </c>
      <c r="E235" s="3">
        <v>14371</v>
      </c>
      <c r="F235" s="3">
        <v>0</v>
      </c>
      <c r="G235" s="3">
        <v>11086472</v>
      </c>
      <c r="H235" s="3">
        <v>0</v>
      </c>
      <c r="I235" s="3">
        <v>145015</v>
      </c>
      <c r="J235" s="3">
        <v>28190800</v>
      </c>
      <c r="K235" s="3">
        <v>230659</v>
      </c>
      <c r="L235" s="3">
        <v>27813385</v>
      </c>
      <c r="M235" s="3">
        <v>244290368</v>
      </c>
      <c r="N235" s="3">
        <v>4503632</v>
      </c>
      <c r="O235" s="3">
        <v>447643</v>
      </c>
      <c r="P235" s="3">
        <f t="shared" si="3"/>
        <v>456330472</v>
      </c>
    </row>
    <row r="236" spans="1:16" x14ac:dyDescent="0.25">
      <c r="A236" s="2">
        <v>45892</v>
      </c>
      <c r="B236" s="3">
        <v>88440690</v>
      </c>
      <c r="C236" s="3">
        <v>1474</v>
      </c>
      <c r="D236" s="3">
        <v>0</v>
      </c>
      <c r="E236" s="3">
        <v>4795</v>
      </c>
      <c r="F236" s="3">
        <v>0</v>
      </c>
      <c r="G236" s="3">
        <v>2302647</v>
      </c>
      <c r="H236" s="3">
        <v>0</v>
      </c>
      <c r="I236" s="3">
        <v>95280</v>
      </c>
      <c r="J236" s="3">
        <v>14498352</v>
      </c>
      <c r="K236" s="3">
        <v>10848</v>
      </c>
      <c r="L236" s="3">
        <v>29725890</v>
      </c>
      <c r="M236" s="3">
        <v>137611016</v>
      </c>
      <c r="N236" s="3">
        <v>1013262</v>
      </c>
      <c r="O236" s="3">
        <v>0</v>
      </c>
      <c r="P236" s="3">
        <f t="shared" si="3"/>
        <v>273704254</v>
      </c>
    </row>
    <row r="237" spans="1:16" x14ac:dyDescent="0.25">
      <c r="A237" s="2">
        <v>45893</v>
      </c>
      <c r="B237" s="3">
        <v>63473004</v>
      </c>
      <c r="C237" s="3">
        <v>982038</v>
      </c>
      <c r="D237" s="3">
        <v>0</v>
      </c>
      <c r="E237" s="3">
        <v>4265</v>
      </c>
      <c r="F237" s="3">
        <v>0</v>
      </c>
      <c r="G237" s="3">
        <v>3154715</v>
      </c>
      <c r="H237" s="3">
        <v>0</v>
      </c>
      <c r="I237" s="3">
        <v>6284</v>
      </c>
      <c r="J237" s="3">
        <v>12729364</v>
      </c>
      <c r="K237" s="3">
        <v>9739</v>
      </c>
      <c r="L237" s="3">
        <v>82713954</v>
      </c>
      <c r="M237" s="3">
        <v>174829866</v>
      </c>
      <c r="N237" s="3">
        <v>5871103</v>
      </c>
      <c r="O237" s="3">
        <v>0</v>
      </c>
      <c r="P237" s="3">
        <f t="shared" si="3"/>
        <v>343774332</v>
      </c>
    </row>
    <row r="238" spans="1:16" x14ac:dyDescent="0.25">
      <c r="A238" s="2">
        <v>45894</v>
      </c>
      <c r="B238" s="3">
        <v>130153436</v>
      </c>
      <c r="C238" s="3">
        <v>669080</v>
      </c>
      <c r="D238" s="3">
        <v>0</v>
      </c>
      <c r="E238" s="3">
        <v>4349</v>
      </c>
      <c r="F238" s="3">
        <v>0</v>
      </c>
      <c r="G238" s="3">
        <v>13648639</v>
      </c>
      <c r="H238" s="3">
        <v>0</v>
      </c>
      <c r="I238" s="3">
        <v>305817</v>
      </c>
      <c r="J238" s="3">
        <v>43996657</v>
      </c>
      <c r="K238" s="3">
        <v>15782</v>
      </c>
      <c r="L238" s="3">
        <v>43055683</v>
      </c>
      <c r="M238" s="3">
        <v>128100964</v>
      </c>
      <c r="N238" s="3">
        <v>4149550</v>
      </c>
      <c r="O238" s="3">
        <v>57347</v>
      </c>
      <c r="P238" s="3">
        <f t="shared" si="3"/>
        <v>364157304</v>
      </c>
    </row>
    <row r="239" spans="1:16" x14ac:dyDescent="0.25">
      <c r="A239" s="2">
        <v>45895</v>
      </c>
      <c r="B239" s="3">
        <v>115891670</v>
      </c>
      <c r="C239" s="3">
        <v>2484827</v>
      </c>
      <c r="D239" s="3">
        <v>0</v>
      </c>
      <c r="E239" s="3">
        <v>3805</v>
      </c>
      <c r="F239" s="3">
        <v>0</v>
      </c>
      <c r="G239" s="3">
        <v>8760495</v>
      </c>
      <c r="H239" s="3">
        <v>0</v>
      </c>
      <c r="I239" s="3">
        <v>330861</v>
      </c>
      <c r="J239" s="3">
        <v>54940814</v>
      </c>
      <c r="K239" s="3">
        <v>13093897</v>
      </c>
      <c r="L239" s="3">
        <v>140926081</v>
      </c>
      <c r="M239" s="3">
        <v>129814500</v>
      </c>
      <c r="N239" s="3">
        <v>2004824</v>
      </c>
      <c r="O239" s="3">
        <v>24</v>
      </c>
      <c r="P239" s="3">
        <f t="shared" si="3"/>
        <v>468251798</v>
      </c>
    </row>
    <row r="240" spans="1:16" x14ac:dyDescent="0.25">
      <c r="A240" s="2">
        <v>45896</v>
      </c>
      <c r="B240" s="3">
        <v>54119752</v>
      </c>
      <c r="C240" s="3">
        <v>2179113</v>
      </c>
      <c r="D240" s="3">
        <v>0</v>
      </c>
      <c r="E240" s="3">
        <v>53164325</v>
      </c>
      <c r="F240" s="3">
        <v>0</v>
      </c>
      <c r="G240" s="3">
        <v>8421279</v>
      </c>
      <c r="H240" s="3">
        <v>0</v>
      </c>
      <c r="I240" s="3">
        <v>158610</v>
      </c>
      <c r="J240" s="3">
        <v>26602794</v>
      </c>
      <c r="K240" s="3">
        <v>5078177</v>
      </c>
      <c r="L240" s="3">
        <v>195268722</v>
      </c>
      <c r="M240" s="3">
        <v>206329157</v>
      </c>
      <c r="N240" s="3">
        <v>43264869</v>
      </c>
      <c r="O240" s="3">
        <v>0</v>
      </c>
      <c r="P240" s="3">
        <f t="shared" si="3"/>
        <v>594586798</v>
      </c>
    </row>
    <row r="241" spans="1:16" x14ac:dyDescent="0.25">
      <c r="A241" s="2">
        <v>45897</v>
      </c>
      <c r="B241" s="3">
        <v>20145026</v>
      </c>
      <c r="C241" s="3">
        <v>2647076</v>
      </c>
      <c r="D241" s="3">
        <v>0</v>
      </c>
      <c r="E241" s="3">
        <v>2955</v>
      </c>
      <c r="F241" s="3">
        <v>0</v>
      </c>
      <c r="G241" s="3">
        <v>6912831</v>
      </c>
      <c r="H241" s="3">
        <v>0</v>
      </c>
      <c r="I241" s="3">
        <v>2972109</v>
      </c>
      <c r="J241" s="3">
        <v>51580505</v>
      </c>
      <c r="K241" s="3">
        <v>6020428</v>
      </c>
      <c r="L241" s="3">
        <v>511061273</v>
      </c>
      <c r="M241" s="3">
        <v>223206553</v>
      </c>
      <c r="N241" s="3">
        <v>5467734</v>
      </c>
      <c r="O241" s="3">
        <v>0</v>
      </c>
      <c r="P241" s="3">
        <f t="shared" si="3"/>
        <v>830016490</v>
      </c>
    </row>
    <row r="242" spans="1:16" x14ac:dyDescent="0.25">
      <c r="A242" s="2">
        <v>45898</v>
      </c>
      <c r="B242" s="3">
        <v>77407397</v>
      </c>
      <c r="C242" s="3">
        <v>2473917</v>
      </c>
      <c r="D242" s="3">
        <v>0</v>
      </c>
      <c r="E242" s="3">
        <v>3383</v>
      </c>
      <c r="F242" s="3">
        <v>0</v>
      </c>
      <c r="G242" s="3">
        <v>16908313</v>
      </c>
      <c r="H242" s="3">
        <v>0</v>
      </c>
      <c r="I242" s="3">
        <v>718892</v>
      </c>
      <c r="J242" s="3">
        <v>49850865</v>
      </c>
      <c r="K242" s="3">
        <v>4952982</v>
      </c>
      <c r="L242" s="3">
        <v>217374039</v>
      </c>
      <c r="M242" s="3">
        <v>119272808</v>
      </c>
      <c r="N242" s="3">
        <v>2253996</v>
      </c>
      <c r="O242" s="3">
        <v>0</v>
      </c>
      <c r="P242" s="3">
        <f t="shared" si="3"/>
        <v>491216592</v>
      </c>
    </row>
    <row r="243" spans="1:16" x14ac:dyDescent="0.25">
      <c r="A243" s="2">
        <v>45899</v>
      </c>
      <c r="B243" s="3">
        <v>10509959</v>
      </c>
      <c r="C243" s="3">
        <v>28836</v>
      </c>
      <c r="D243" s="3">
        <v>0</v>
      </c>
      <c r="E243" s="3">
        <v>29454</v>
      </c>
      <c r="F243" s="3">
        <v>0</v>
      </c>
      <c r="G243" s="3">
        <v>1411205</v>
      </c>
      <c r="H243" s="3">
        <v>0</v>
      </c>
      <c r="I243" s="3">
        <v>388383</v>
      </c>
      <c r="J243" s="3">
        <v>22611447</v>
      </c>
      <c r="K243" s="3">
        <v>36802</v>
      </c>
      <c r="L243" s="3">
        <v>53919190</v>
      </c>
      <c r="M243" s="3">
        <v>58847775</v>
      </c>
      <c r="N243" s="3">
        <v>1103027</v>
      </c>
      <c r="O243" s="3">
        <v>0</v>
      </c>
      <c r="P243" s="3">
        <f t="shared" si="3"/>
        <v>148886078</v>
      </c>
    </row>
    <row r="244" spans="1:16" x14ac:dyDescent="0.25">
      <c r="A244" s="2">
        <v>45900</v>
      </c>
      <c r="B244" s="3">
        <v>9282518</v>
      </c>
      <c r="C244" s="3">
        <v>98818</v>
      </c>
      <c r="D244" s="3">
        <v>0</v>
      </c>
      <c r="E244" s="3">
        <v>27235</v>
      </c>
      <c r="F244" s="3">
        <v>0</v>
      </c>
      <c r="G244" s="3">
        <v>1013064</v>
      </c>
      <c r="H244" s="3">
        <v>0</v>
      </c>
      <c r="I244" s="3">
        <v>80247</v>
      </c>
      <c r="J244" s="3">
        <v>42328304</v>
      </c>
      <c r="K244" s="3">
        <v>28384</v>
      </c>
      <c r="L244" s="3">
        <v>71075350</v>
      </c>
      <c r="M244" s="3">
        <v>71856769</v>
      </c>
      <c r="N244" s="3">
        <v>638857</v>
      </c>
      <c r="O244" s="3">
        <v>0</v>
      </c>
      <c r="P244" s="3">
        <f t="shared" si="3"/>
        <v>196429546</v>
      </c>
    </row>
    <row r="245" spans="1:16" x14ac:dyDescent="0.25">
      <c r="A245" s="2">
        <v>45901</v>
      </c>
      <c r="B245" s="3">
        <v>56545047</v>
      </c>
      <c r="C245" s="3">
        <v>4804041</v>
      </c>
      <c r="D245" s="3">
        <v>0</v>
      </c>
      <c r="E245" s="3">
        <v>191660</v>
      </c>
      <c r="F245" s="3">
        <v>0</v>
      </c>
      <c r="G245" s="3">
        <v>4161361</v>
      </c>
      <c r="H245" s="3">
        <v>0</v>
      </c>
      <c r="I245" s="3">
        <v>1796868</v>
      </c>
      <c r="J245" s="3">
        <v>91016106</v>
      </c>
      <c r="K245" s="3">
        <v>24002724</v>
      </c>
      <c r="L245" s="3">
        <v>64393884</v>
      </c>
      <c r="M245" s="3">
        <v>154132306</v>
      </c>
      <c r="N245" s="3">
        <v>2255095</v>
      </c>
      <c r="O245" s="3">
        <v>0</v>
      </c>
      <c r="P245" s="3">
        <f t="shared" si="3"/>
        <v>403299092</v>
      </c>
    </row>
    <row r="246" spans="1:16" x14ac:dyDescent="0.25">
      <c r="A246" s="2">
        <v>45902</v>
      </c>
      <c r="B246" s="3">
        <v>216929038</v>
      </c>
      <c r="C246" s="3">
        <v>1558133</v>
      </c>
      <c r="D246" s="3">
        <v>0</v>
      </c>
      <c r="E246" s="3">
        <v>50377332</v>
      </c>
      <c r="F246" s="3">
        <v>0</v>
      </c>
      <c r="G246" s="3">
        <v>28346635</v>
      </c>
      <c r="H246" s="3">
        <v>0</v>
      </c>
      <c r="I246" s="3">
        <v>857023</v>
      </c>
      <c r="J246" s="3">
        <v>138180274</v>
      </c>
      <c r="K246" s="3">
        <v>3319051</v>
      </c>
      <c r="L246" s="3">
        <v>33683412</v>
      </c>
      <c r="M246" s="3">
        <v>139143461</v>
      </c>
      <c r="N246" s="3">
        <v>2195592</v>
      </c>
      <c r="O246" s="3">
        <v>0</v>
      </c>
      <c r="P246" s="3">
        <f t="shared" si="3"/>
        <v>614589951</v>
      </c>
    </row>
    <row r="247" spans="1:16" x14ac:dyDescent="0.25">
      <c r="A247" s="2">
        <v>45903</v>
      </c>
      <c r="B247" s="3">
        <v>170496288</v>
      </c>
      <c r="C247" s="3">
        <v>2007972</v>
      </c>
      <c r="D247" s="3">
        <v>0</v>
      </c>
      <c r="E247" s="3">
        <v>30199</v>
      </c>
      <c r="F247" s="3">
        <v>0</v>
      </c>
      <c r="G247" s="3">
        <v>7145111</v>
      </c>
      <c r="H247" s="3">
        <v>0</v>
      </c>
      <c r="I247" s="3">
        <v>338060</v>
      </c>
      <c r="J247" s="3">
        <v>62656221</v>
      </c>
      <c r="K247" s="3">
        <v>12140795</v>
      </c>
      <c r="L247" s="3">
        <v>197787089</v>
      </c>
      <c r="M247" s="3">
        <v>242496588</v>
      </c>
      <c r="N247" s="3">
        <v>4220675</v>
      </c>
      <c r="O247" s="3">
        <v>0</v>
      </c>
      <c r="P247" s="3">
        <f t="shared" si="3"/>
        <v>699318998</v>
      </c>
    </row>
    <row r="248" spans="1:16" x14ac:dyDescent="0.25">
      <c r="A248" s="2">
        <v>45904</v>
      </c>
      <c r="B248" s="3">
        <v>72258997</v>
      </c>
      <c r="C248" s="3">
        <v>421596</v>
      </c>
      <c r="D248" s="3">
        <v>0</v>
      </c>
      <c r="E248" s="3">
        <v>51540806</v>
      </c>
      <c r="F248" s="3">
        <v>0</v>
      </c>
      <c r="G248" s="3">
        <v>8021865</v>
      </c>
      <c r="H248" s="3">
        <v>0</v>
      </c>
      <c r="I248" s="3">
        <v>132281</v>
      </c>
      <c r="J248" s="3">
        <v>77525466</v>
      </c>
      <c r="K248" s="3">
        <v>7755839</v>
      </c>
      <c r="L248" s="3">
        <v>152704704</v>
      </c>
      <c r="M248" s="3">
        <v>604701549</v>
      </c>
      <c r="N248" s="3">
        <v>10534850</v>
      </c>
      <c r="O248" s="3">
        <v>7783</v>
      </c>
      <c r="P248" s="3">
        <f t="shared" si="3"/>
        <v>985605736</v>
      </c>
    </row>
    <row r="249" spans="1:16" x14ac:dyDescent="0.25">
      <c r="A249" s="2">
        <v>45905</v>
      </c>
      <c r="B249" s="3">
        <v>95206936</v>
      </c>
      <c r="C249" s="3">
        <v>444354</v>
      </c>
      <c r="D249" s="3">
        <v>0</v>
      </c>
      <c r="E249" s="3">
        <v>233385</v>
      </c>
      <c r="F249" s="3">
        <v>0</v>
      </c>
      <c r="G249" s="3">
        <v>21665469</v>
      </c>
      <c r="H249" s="3">
        <v>1367069</v>
      </c>
      <c r="I249" s="3">
        <v>233928</v>
      </c>
      <c r="J249" s="3">
        <v>34626001</v>
      </c>
      <c r="K249" s="3">
        <v>1110107</v>
      </c>
      <c r="L249" s="3">
        <v>96126604</v>
      </c>
      <c r="M249" s="3">
        <v>308860952</v>
      </c>
      <c r="N249" s="3">
        <v>9521669</v>
      </c>
      <c r="O249" s="3">
        <v>0</v>
      </c>
      <c r="P249" s="3">
        <f t="shared" si="3"/>
        <v>569396474</v>
      </c>
    </row>
    <row r="250" spans="1:16" x14ac:dyDescent="0.25">
      <c r="A250" s="2">
        <v>45906</v>
      </c>
      <c r="B250" s="3">
        <v>21743607</v>
      </c>
      <c r="C250" s="3">
        <v>1023</v>
      </c>
      <c r="D250" s="3">
        <v>0</v>
      </c>
      <c r="E250" s="3">
        <v>76077</v>
      </c>
      <c r="F250" s="3">
        <v>0</v>
      </c>
      <c r="G250" s="3">
        <v>11324688</v>
      </c>
      <c r="H250" s="3">
        <v>0</v>
      </c>
      <c r="I250" s="3">
        <v>117458</v>
      </c>
      <c r="J250" s="3">
        <v>55920648</v>
      </c>
      <c r="K250" s="3">
        <v>51837</v>
      </c>
      <c r="L250" s="3">
        <v>62169161</v>
      </c>
      <c r="M250" s="3">
        <v>366169146</v>
      </c>
      <c r="N250" s="3">
        <v>21120665</v>
      </c>
      <c r="O250" s="3">
        <v>0</v>
      </c>
      <c r="P250" s="3">
        <f t="shared" si="3"/>
        <v>538694310</v>
      </c>
    </row>
    <row r="251" spans="1:16" x14ac:dyDescent="0.25">
      <c r="A251" s="2">
        <v>45907</v>
      </c>
      <c r="B251" s="3">
        <v>11521858</v>
      </c>
      <c r="C251" s="3">
        <v>3511</v>
      </c>
      <c r="D251" s="3">
        <v>0</v>
      </c>
      <c r="E251" s="3">
        <v>15338</v>
      </c>
      <c r="F251" s="3">
        <v>0</v>
      </c>
      <c r="G251" s="3">
        <v>3757479</v>
      </c>
      <c r="H251" s="3">
        <v>0</v>
      </c>
      <c r="I251" s="3">
        <v>78792</v>
      </c>
      <c r="J251" s="3">
        <v>42224191</v>
      </c>
      <c r="K251" s="3">
        <v>16986</v>
      </c>
      <c r="L251" s="3">
        <v>48523171</v>
      </c>
      <c r="M251" s="3">
        <v>126735242</v>
      </c>
      <c r="N251" s="3">
        <v>878079</v>
      </c>
      <c r="O251" s="3">
        <v>0</v>
      </c>
      <c r="P251" s="3">
        <f t="shared" si="3"/>
        <v>233754647</v>
      </c>
    </row>
    <row r="252" spans="1:16" x14ac:dyDescent="0.25">
      <c r="A252" s="2">
        <v>45908</v>
      </c>
      <c r="B252" s="3">
        <v>33623935</v>
      </c>
      <c r="C252" s="3">
        <v>810678</v>
      </c>
      <c r="D252" s="3">
        <v>0</v>
      </c>
      <c r="E252" s="3">
        <v>50407002</v>
      </c>
      <c r="F252" s="3">
        <v>0</v>
      </c>
      <c r="G252" s="3">
        <v>21294271</v>
      </c>
      <c r="H252" s="3">
        <v>0</v>
      </c>
      <c r="I252" s="3">
        <v>379857</v>
      </c>
      <c r="J252" s="3">
        <v>52688331</v>
      </c>
      <c r="K252" s="3">
        <v>19942</v>
      </c>
      <c r="L252" s="3">
        <v>121279651</v>
      </c>
      <c r="M252" s="3">
        <v>121402928</v>
      </c>
      <c r="N252" s="3">
        <v>3880422</v>
      </c>
      <c r="O252" s="3">
        <v>0</v>
      </c>
      <c r="P252" s="3">
        <f t="shared" si="3"/>
        <v>405787017</v>
      </c>
    </row>
    <row r="253" spans="1:16" x14ac:dyDescent="0.25">
      <c r="A253" s="2">
        <v>45909</v>
      </c>
      <c r="B253" s="3">
        <v>147447035</v>
      </c>
      <c r="C253" s="3">
        <v>4760747</v>
      </c>
      <c r="D253" s="3">
        <v>0</v>
      </c>
      <c r="E253" s="3">
        <v>50343406</v>
      </c>
      <c r="F253" s="3">
        <v>0</v>
      </c>
      <c r="G253" s="3">
        <v>11601566</v>
      </c>
      <c r="H253" s="3">
        <v>0</v>
      </c>
      <c r="I253" s="3">
        <v>328348</v>
      </c>
      <c r="J253" s="3">
        <v>78105130</v>
      </c>
      <c r="K253" s="3">
        <v>711077</v>
      </c>
      <c r="L253" s="3">
        <v>79314397</v>
      </c>
      <c r="M253" s="3">
        <v>521445589</v>
      </c>
      <c r="N253" s="3">
        <v>3215014</v>
      </c>
      <c r="O253" s="3">
        <v>1097437</v>
      </c>
      <c r="P253" s="3">
        <f t="shared" si="3"/>
        <v>898369746</v>
      </c>
    </row>
    <row r="254" spans="1:16" x14ac:dyDescent="0.25">
      <c r="A254" s="2">
        <v>45910</v>
      </c>
      <c r="B254" s="3">
        <v>163747110</v>
      </c>
      <c r="C254" s="3">
        <v>2295954</v>
      </c>
      <c r="D254" s="3">
        <v>0</v>
      </c>
      <c r="E254" s="3">
        <v>33123067</v>
      </c>
      <c r="F254" s="3">
        <v>0</v>
      </c>
      <c r="G254" s="3">
        <v>12309467</v>
      </c>
      <c r="H254" s="3">
        <v>0</v>
      </c>
      <c r="I254" s="3">
        <v>138305</v>
      </c>
      <c r="J254" s="3">
        <v>36339833</v>
      </c>
      <c r="K254" s="3">
        <v>12410</v>
      </c>
      <c r="L254" s="3">
        <v>66229486</v>
      </c>
      <c r="M254" s="3">
        <v>170582889</v>
      </c>
      <c r="N254" s="3">
        <v>44009680</v>
      </c>
      <c r="O254" s="3">
        <v>0</v>
      </c>
      <c r="P254" s="3">
        <f t="shared" si="3"/>
        <v>528788201</v>
      </c>
    </row>
    <row r="255" spans="1:16" x14ac:dyDescent="0.25">
      <c r="A255" s="2">
        <v>45911</v>
      </c>
      <c r="B255" s="3">
        <v>30368845</v>
      </c>
      <c r="C255" s="3">
        <v>3227511</v>
      </c>
      <c r="D255" s="3">
        <v>0</v>
      </c>
      <c r="E255" s="3">
        <v>16687750</v>
      </c>
      <c r="F255" s="3">
        <v>0</v>
      </c>
      <c r="G255" s="3">
        <v>14962992</v>
      </c>
      <c r="H255" s="3">
        <v>0</v>
      </c>
      <c r="I255" s="3">
        <v>84632</v>
      </c>
      <c r="J255" s="3">
        <v>34388837</v>
      </c>
      <c r="K255" s="3">
        <v>129167</v>
      </c>
      <c r="L255" s="3">
        <v>184667035</v>
      </c>
      <c r="M255" s="3">
        <v>119337289</v>
      </c>
      <c r="N255" s="3">
        <v>3627106</v>
      </c>
      <c r="O255" s="3">
        <v>0</v>
      </c>
      <c r="P255" s="3">
        <f t="shared" si="3"/>
        <v>407481164</v>
      </c>
    </row>
    <row r="256" spans="1:16" x14ac:dyDescent="0.25">
      <c r="A256" s="2">
        <v>45912</v>
      </c>
      <c r="B256" s="3">
        <v>95563316</v>
      </c>
      <c r="C256" s="3">
        <v>5234207</v>
      </c>
      <c r="D256" s="3">
        <v>0</v>
      </c>
      <c r="E256" s="3">
        <v>200600</v>
      </c>
      <c r="F256" s="3">
        <v>0</v>
      </c>
      <c r="G256" s="3">
        <v>25269677</v>
      </c>
      <c r="H256" s="3">
        <v>0</v>
      </c>
      <c r="I256" s="3">
        <v>1032045</v>
      </c>
      <c r="J256" s="3">
        <v>53721477</v>
      </c>
      <c r="K256" s="3">
        <v>2137603</v>
      </c>
      <c r="L256" s="3">
        <v>116172148</v>
      </c>
      <c r="M256" s="3">
        <v>164311805</v>
      </c>
      <c r="N256" s="3">
        <v>2397512</v>
      </c>
      <c r="O256" s="3">
        <v>1411923</v>
      </c>
      <c r="P256" s="3">
        <f t="shared" si="3"/>
        <v>467452313</v>
      </c>
    </row>
    <row r="257" spans="1:16" x14ac:dyDescent="0.25">
      <c r="A257" s="2">
        <v>45913</v>
      </c>
      <c r="B257" s="3">
        <v>56685670</v>
      </c>
      <c r="C257" s="3">
        <v>28161</v>
      </c>
      <c r="D257" s="3">
        <v>0</v>
      </c>
      <c r="E257" s="3">
        <v>18088</v>
      </c>
      <c r="F257" s="3">
        <v>0</v>
      </c>
      <c r="G257" s="3">
        <v>3357379</v>
      </c>
      <c r="H257" s="3">
        <v>0</v>
      </c>
      <c r="I257" s="3">
        <v>160398</v>
      </c>
      <c r="J257" s="3">
        <v>40106173</v>
      </c>
      <c r="K257" s="3">
        <v>23791</v>
      </c>
      <c r="L257" s="3">
        <v>86193595</v>
      </c>
      <c r="M257" s="3">
        <v>696151104</v>
      </c>
      <c r="N257" s="3">
        <v>1807031</v>
      </c>
      <c r="O257" s="3">
        <v>0</v>
      </c>
      <c r="P257" s="3">
        <f t="shared" si="3"/>
        <v>884531390</v>
      </c>
    </row>
    <row r="258" spans="1:16" x14ac:dyDescent="0.25">
      <c r="A258" s="2">
        <v>45914</v>
      </c>
      <c r="B258" s="3">
        <v>13560353</v>
      </c>
      <c r="C258" s="3">
        <v>175130</v>
      </c>
      <c r="D258" s="3">
        <v>0</v>
      </c>
      <c r="E258" s="3">
        <v>41989</v>
      </c>
      <c r="F258" s="3">
        <v>0</v>
      </c>
      <c r="G258" s="3">
        <v>4108957</v>
      </c>
      <c r="H258" s="3">
        <v>0</v>
      </c>
      <c r="I258" s="3">
        <v>44515</v>
      </c>
      <c r="J258" s="3">
        <v>22350447</v>
      </c>
      <c r="K258" s="3">
        <v>22815</v>
      </c>
      <c r="L258" s="3">
        <v>80315853</v>
      </c>
      <c r="M258" s="3">
        <v>126203215</v>
      </c>
      <c r="N258" s="3">
        <v>1921293</v>
      </c>
      <c r="O258" s="3">
        <v>0</v>
      </c>
      <c r="P258" s="3">
        <f t="shared" ref="P258:P321" si="4">SUM(B258:O258)</f>
        <v>248744567</v>
      </c>
    </row>
    <row r="259" spans="1:16" x14ac:dyDescent="0.25">
      <c r="A259" s="2">
        <v>45915</v>
      </c>
      <c r="B259" s="3">
        <v>97647746</v>
      </c>
      <c r="C259" s="3">
        <v>7282648</v>
      </c>
      <c r="D259" s="3">
        <v>0</v>
      </c>
      <c r="E259" s="3">
        <v>20062737</v>
      </c>
      <c r="F259" s="3">
        <v>0</v>
      </c>
      <c r="G259" s="3">
        <v>20730342</v>
      </c>
      <c r="H259" s="3">
        <v>0</v>
      </c>
      <c r="I259" s="3">
        <v>473385</v>
      </c>
      <c r="J259" s="3">
        <v>47252489</v>
      </c>
      <c r="K259" s="3">
        <v>446544</v>
      </c>
      <c r="L259" s="3">
        <v>96614068</v>
      </c>
      <c r="M259" s="3">
        <v>418727475</v>
      </c>
      <c r="N259" s="3">
        <v>3358273</v>
      </c>
      <c r="O259" s="3">
        <v>0</v>
      </c>
      <c r="P259" s="3">
        <f t="shared" si="4"/>
        <v>712595707</v>
      </c>
    </row>
    <row r="260" spans="1:16" x14ac:dyDescent="0.25">
      <c r="A260" s="2">
        <v>45916</v>
      </c>
      <c r="B260" s="3">
        <v>50282402</v>
      </c>
      <c r="C260" s="3">
        <v>1091972</v>
      </c>
      <c r="D260" s="3">
        <v>0</v>
      </c>
      <c r="E260" s="3">
        <v>1076228</v>
      </c>
      <c r="F260" s="3">
        <v>0</v>
      </c>
      <c r="G260" s="3">
        <v>31487589</v>
      </c>
      <c r="H260" s="3">
        <v>0</v>
      </c>
      <c r="I260" s="3">
        <v>517370</v>
      </c>
      <c r="J260" s="3">
        <v>69458348</v>
      </c>
      <c r="K260" s="3">
        <v>4397869</v>
      </c>
      <c r="L260" s="3">
        <v>81551840</v>
      </c>
      <c r="M260" s="3">
        <v>206335127</v>
      </c>
      <c r="N260" s="3">
        <v>1689684</v>
      </c>
      <c r="O260" s="3">
        <v>0</v>
      </c>
      <c r="P260" s="3">
        <f t="shared" si="4"/>
        <v>447888429</v>
      </c>
    </row>
    <row r="261" spans="1:16" x14ac:dyDescent="0.25">
      <c r="A261" s="2">
        <v>45917</v>
      </c>
      <c r="B261" s="3">
        <v>31120855</v>
      </c>
      <c r="C261" s="3">
        <v>1403963</v>
      </c>
      <c r="D261" s="3">
        <v>0</v>
      </c>
      <c r="E261" s="3">
        <v>21224</v>
      </c>
      <c r="F261" s="3">
        <v>0</v>
      </c>
      <c r="G261" s="3">
        <v>24377231</v>
      </c>
      <c r="H261" s="3">
        <v>0</v>
      </c>
      <c r="I261" s="3">
        <v>177761</v>
      </c>
      <c r="J261" s="3">
        <v>68931595</v>
      </c>
      <c r="K261" s="3">
        <v>21997054</v>
      </c>
      <c r="L261" s="3">
        <v>92447133</v>
      </c>
      <c r="M261" s="3">
        <v>341189194</v>
      </c>
      <c r="N261" s="3">
        <v>1136149</v>
      </c>
      <c r="O261" s="3">
        <v>0</v>
      </c>
      <c r="P261" s="3">
        <f t="shared" si="4"/>
        <v>582802159</v>
      </c>
    </row>
    <row r="262" spans="1:16" x14ac:dyDescent="0.25">
      <c r="A262" s="2">
        <v>45918</v>
      </c>
      <c r="B262" s="3">
        <v>256522226</v>
      </c>
      <c r="C262" s="3">
        <v>2205427</v>
      </c>
      <c r="D262" s="3">
        <v>0</v>
      </c>
      <c r="E262" s="3">
        <v>219019</v>
      </c>
      <c r="F262" s="3">
        <v>0</v>
      </c>
      <c r="G262" s="3">
        <v>38215733</v>
      </c>
      <c r="H262" s="3">
        <v>0</v>
      </c>
      <c r="I262" s="3">
        <v>228994</v>
      </c>
      <c r="J262" s="3">
        <v>50030007</v>
      </c>
      <c r="K262" s="3">
        <v>6080360</v>
      </c>
      <c r="L262" s="3">
        <v>170130957</v>
      </c>
      <c r="M262" s="3">
        <v>2740654185</v>
      </c>
      <c r="N262" s="3">
        <v>2509863</v>
      </c>
      <c r="O262" s="3">
        <v>0</v>
      </c>
      <c r="P262" s="3">
        <f t="shared" si="4"/>
        <v>3266796771</v>
      </c>
    </row>
    <row r="263" spans="1:16" x14ac:dyDescent="0.25">
      <c r="A263" s="2">
        <v>45919</v>
      </c>
      <c r="B263" s="3">
        <v>129349041</v>
      </c>
      <c r="C263" s="3">
        <v>882051</v>
      </c>
      <c r="D263" s="3">
        <v>0</v>
      </c>
      <c r="E263" s="3">
        <v>2081910</v>
      </c>
      <c r="F263" s="3">
        <v>0</v>
      </c>
      <c r="G263" s="3">
        <v>34204429</v>
      </c>
      <c r="H263" s="3">
        <v>0</v>
      </c>
      <c r="I263" s="3">
        <v>418022</v>
      </c>
      <c r="J263" s="3">
        <v>55793126</v>
      </c>
      <c r="K263" s="3">
        <v>4163342</v>
      </c>
      <c r="L263" s="3">
        <v>117191046</v>
      </c>
      <c r="M263" s="3">
        <v>532816461</v>
      </c>
      <c r="N263" s="3">
        <v>41312272</v>
      </c>
      <c r="O263" s="3">
        <v>0</v>
      </c>
      <c r="P263" s="3">
        <f t="shared" si="4"/>
        <v>918211700</v>
      </c>
    </row>
    <row r="264" spans="1:16" x14ac:dyDescent="0.25">
      <c r="A264" s="2">
        <v>45920</v>
      </c>
      <c r="B264" s="3">
        <v>70652639</v>
      </c>
      <c r="C264" s="3">
        <v>350</v>
      </c>
      <c r="D264" s="3">
        <v>0</v>
      </c>
      <c r="E264" s="3">
        <v>25913</v>
      </c>
      <c r="F264" s="3">
        <v>0</v>
      </c>
      <c r="G264" s="3">
        <v>2639108</v>
      </c>
      <c r="H264" s="3">
        <v>0</v>
      </c>
      <c r="I264" s="3">
        <v>14857</v>
      </c>
      <c r="J264" s="3">
        <v>20418632</v>
      </c>
      <c r="K264" s="3">
        <v>10930</v>
      </c>
      <c r="L264" s="3">
        <v>122507133</v>
      </c>
      <c r="M264" s="3">
        <v>315518498</v>
      </c>
      <c r="N264" s="3">
        <v>1673709</v>
      </c>
      <c r="O264" s="3">
        <v>0</v>
      </c>
      <c r="P264" s="3">
        <f t="shared" si="4"/>
        <v>533461769</v>
      </c>
    </row>
    <row r="265" spans="1:16" x14ac:dyDescent="0.25">
      <c r="A265" s="2">
        <v>45921</v>
      </c>
      <c r="B265" s="3">
        <v>44708993</v>
      </c>
      <c r="C265" s="3">
        <v>1836</v>
      </c>
      <c r="D265" s="3">
        <v>0</v>
      </c>
      <c r="E265" s="3">
        <v>10940</v>
      </c>
      <c r="F265" s="3">
        <v>0</v>
      </c>
      <c r="G265" s="3">
        <v>3840366</v>
      </c>
      <c r="H265" s="3">
        <v>0</v>
      </c>
      <c r="I265" s="3">
        <v>19688</v>
      </c>
      <c r="J265" s="3">
        <v>14284497</v>
      </c>
      <c r="K265" s="3">
        <v>11620</v>
      </c>
      <c r="L265" s="3">
        <v>76061143</v>
      </c>
      <c r="M265" s="3">
        <v>383343314</v>
      </c>
      <c r="N265" s="3">
        <v>1569720</v>
      </c>
      <c r="O265" s="3">
        <v>0</v>
      </c>
      <c r="P265" s="3">
        <f t="shared" si="4"/>
        <v>523852117</v>
      </c>
    </row>
    <row r="266" spans="1:16" x14ac:dyDescent="0.25">
      <c r="A266" s="2">
        <v>45922</v>
      </c>
      <c r="B266" s="3">
        <v>83237412</v>
      </c>
      <c r="C266" s="3">
        <v>1862405</v>
      </c>
      <c r="D266" s="3">
        <v>0</v>
      </c>
      <c r="E266" s="3">
        <v>1030309</v>
      </c>
      <c r="F266" s="3">
        <v>0</v>
      </c>
      <c r="G266" s="3">
        <v>36374133</v>
      </c>
      <c r="H266" s="3">
        <v>0</v>
      </c>
      <c r="I266" s="3">
        <v>498015</v>
      </c>
      <c r="J266" s="3">
        <v>202645954</v>
      </c>
      <c r="K266" s="3">
        <v>421772</v>
      </c>
      <c r="L266" s="3">
        <v>110158509</v>
      </c>
      <c r="M266" s="3">
        <v>1064736966</v>
      </c>
      <c r="N266" s="3">
        <v>2211458</v>
      </c>
      <c r="O266" s="3">
        <v>259</v>
      </c>
      <c r="P266" s="3">
        <f t="shared" si="4"/>
        <v>1503177192</v>
      </c>
    </row>
    <row r="267" spans="1:16" x14ac:dyDescent="0.25">
      <c r="A267" s="2">
        <v>45923</v>
      </c>
      <c r="B267" s="3">
        <v>48240783</v>
      </c>
      <c r="C267" s="3">
        <v>8718600</v>
      </c>
      <c r="D267" s="3">
        <v>0</v>
      </c>
      <c r="E267" s="3">
        <v>4801</v>
      </c>
      <c r="F267" s="3">
        <v>0</v>
      </c>
      <c r="G267" s="3">
        <v>17017951</v>
      </c>
      <c r="H267" s="3">
        <v>0</v>
      </c>
      <c r="I267" s="3">
        <v>327246</v>
      </c>
      <c r="J267" s="3">
        <v>236002218</v>
      </c>
      <c r="K267" s="3">
        <v>24686</v>
      </c>
      <c r="L267" s="3">
        <v>97738332</v>
      </c>
      <c r="M267" s="3">
        <v>1050596585</v>
      </c>
      <c r="N267" s="3">
        <v>1806155</v>
      </c>
      <c r="O267" s="3">
        <v>0</v>
      </c>
      <c r="P267" s="3">
        <f t="shared" si="4"/>
        <v>1460477357</v>
      </c>
    </row>
    <row r="268" spans="1:16" x14ac:dyDescent="0.25">
      <c r="A268" s="2">
        <v>45924</v>
      </c>
      <c r="B268" s="3">
        <v>110842949</v>
      </c>
      <c r="C268" s="3">
        <v>6600086</v>
      </c>
      <c r="D268" s="3">
        <v>0</v>
      </c>
      <c r="E268" s="3">
        <v>3535</v>
      </c>
      <c r="F268" s="3">
        <v>0</v>
      </c>
      <c r="G268" s="3">
        <v>23536352</v>
      </c>
      <c r="H268" s="3">
        <v>289855</v>
      </c>
      <c r="I268" s="3">
        <v>270298</v>
      </c>
      <c r="J268" s="3">
        <v>84745537</v>
      </c>
      <c r="K268" s="3">
        <v>20558</v>
      </c>
      <c r="L268" s="3">
        <v>105300031</v>
      </c>
      <c r="M268" s="3">
        <v>864582989</v>
      </c>
      <c r="N268" s="3">
        <v>1383617</v>
      </c>
      <c r="O268" s="3">
        <v>803913</v>
      </c>
      <c r="P268" s="3">
        <f t="shared" si="4"/>
        <v>1198379720</v>
      </c>
    </row>
    <row r="269" spans="1:16" x14ac:dyDescent="0.25">
      <c r="A269" s="2">
        <v>45925</v>
      </c>
      <c r="B269" s="3">
        <v>177845383</v>
      </c>
      <c r="C269" s="3">
        <v>2242043</v>
      </c>
      <c r="D269" s="3">
        <v>0</v>
      </c>
      <c r="E269" s="3">
        <v>12920</v>
      </c>
      <c r="F269" s="3">
        <v>0</v>
      </c>
      <c r="G269" s="3">
        <v>24147718</v>
      </c>
      <c r="H269" s="3">
        <v>0</v>
      </c>
      <c r="I269" s="3">
        <v>34447</v>
      </c>
      <c r="J269" s="3">
        <v>81953118</v>
      </c>
      <c r="K269" s="3">
        <v>4411409</v>
      </c>
      <c r="L269" s="3">
        <v>140925161</v>
      </c>
      <c r="M269" s="3">
        <v>5824699617</v>
      </c>
      <c r="N269" s="3">
        <v>2792271</v>
      </c>
      <c r="O269" s="3">
        <v>351766</v>
      </c>
      <c r="P269" s="3">
        <f t="shared" si="4"/>
        <v>6259415853</v>
      </c>
    </row>
    <row r="270" spans="1:16" x14ac:dyDescent="0.25">
      <c r="A270" s="2">
        <v>45926</v>
      </c>
      <c r="B270" s="3">
        <v>130411109</v>
      </c>
      <c r="C270" s="3">
        <v>9133167</v>
      </c>
      <c r="D270" s="3">
        <v>0</v>
      </c>
      <c r="E270" s="3">
        <v>4010032</v>
      </c>
      <c r="F270" s="3">
        <v>0</v>
      </c>
      <c r="G270" s="3">
        <v>30427633</v>
      </c>
      <c r="H270" s="3">
        <v>0</v>
      </c>
      <c r="I270" s="3">
        <v>411621</v>
      </c>
      <c r="J270" s="3">
        <v>53763981</v>
      </c>
      <c r="K270" s="3">
        <v>984374</v>
      </c>
      <c r="L270" s="3">
        <v>142596486</v>
      </c>
      <c r="M270" s="3">
        <v>2602244749</v>
      </c>
      <c r="N270" s="3">
        <v>1300439</v>
      </c>
      <c r="O270" s="3">
        <v>292651</v>
      </c>
      <c r="P270" s="3">
        <f t="shared" si="4"/>
        <v>2975576242</v>
      </c>
    </row>
    <row r="271" spans="1:16" x14ac:dyDescent="0.25">
      <c r="A271" s="2">
        <v>45927</v>
      </c>
      <c r="B271" s="3">
        <v>18344048</v>
      </c>
      <c r="C271" s="3">
        <v>36538</v>
      </c>
      <c r="D271" s="3">
        <v>0</v>
      </c>
      <c r="E271" s="3">
        <v>1780</v>
      </c>
      <c r="F271" s="3">
        <v>0</v>
      </c>
      <c r="G271" s="3">
        <v>1887334</v>
      </c>
      <c r="H271" s="3">
        <v>0</v>
      </c>
      <c r="I271" s="3">
        <v>5348</v>
      </c>
      <c r="J271" s="3">
        <v>43417333</v>
      </c>
      <c r="K271" s="3">
        <v>16463</v>
      </c>
      <c r="L271" s="3">
        <v>69655772</v>
      </c>
      <c r="M271" s="3">
        <v>931331183</v>
      </c>
      <c r="N271" s="3">
        <v>1110505</v>
      </c>
      <c r="O271" s="3">
        <v>235800</v>
      </c>
      <c r="P271" s="3">
        <f t="shared" si="4"/>
        <v>1066042104</v>
      </c>
    </row>
    <row r="272" spans="1:16" x14ac:dyDescent="0.25">
      <c r="A272" s="2">
        <v>45928</v>
      </c>
      <c r="B272" s="3">
        <v>36897682</v>
      </c>
      <c r="C272" s="3">
        <v>157775</v>
      </c>
      <c r="D272" s="3">
        <v>0</v>
      </c>
      <c r="E272" s="3">
        <v>9671</v>
      </c>
      <c r="F272" s="3">
        <v>0</v>
      </c>
      <c r="G272" s="3">
        <v>2658538</v>
      </c>
      <c r="H272" s="3">
        <v>0</v>
      </c>
      <c r="I272" s="3">
        <v>7282</v>
      </c>
      <c r="J272" s="3">
        <v>30569585</v>
      </c>
      <c r="K272" s="3">
        <v>198574</v>
      </c>
      <c r="L272" s="3">
        <v>51464961</v>
      </c>
      <c r="M272" s="3">
        <v>959099735</v>
      </c>
      <c r="N272" s="3">
        <v>1002498</v>
      </c>
      <c r="O272" s="3">
        <v>23580</v>
      </c>
      <c r="P272" s="3">
        <f t="shared" si="4"/>
        <v>1082089881</v>
      </c>
    </row>
    <row r="273" spans="1:16" x14ac:dyDescent="0.25">
      <c r="A273" s="2">
        <v>45929</v>
      </c>
      <c r="B273" s="3">
        <v>56649083</v>
      </c>
      <c r="C273" s="3">
        <v>5937478</v>
      </c>
      <c r="D273" s="3">
        <v>0</v>
      </c>
      <c r="E273" s="3">
        <v>9067</v>
      </c>
      <c r="F273" s="3">
        <v>0</v>
      </c>
      <c r="G273" s="3">
        <v>19222864</v>
      </c>
      <c r="H273" s="3">
        <v>0</v>
      </c>
      <c r="I273" s="3">
        <v>22536</v>
      </c>
      <c r="J273" s="3">
        <v>184553541</v>
      </c>
      <c r="K273" s="3">
        <v>6064288</v>
      </c>
      <c r="L273" s="3">
        <v>171026936</v>
      </c>
      <c r="M273" s="3">
        <v>742134542</v>
      </c>
      <c r="N273" s="3">
        <v>1407511</v>
      </c>
      <c r="O273" s="3">
        <v>1348</v>
      </c>
      <c r="P273" s="3">
        <f t="shared" si="4"/>
        <v>1187029194</v>
      </c>
    </row>
    <row r="274" spans="1:16" x14ac:dyDescent="0.25">
      <c r="A274" s="2">
        <v>45930</v>
      </c>
      <c r="B274" s="3">
        <v>38063169</v>
      </c>
      <c r="C274" s="3">
        <v>1876442</v>
      </c>
      <c r="D274" s="3">
        <v>0</v>
      </c>
      <c r="E274" s="3">
        <v>4100</v>
      </c>
      <c r="F274" s="3">
        <v>0</v>
      </c>
      <c r="G274" s="3">
        <v>20230800</v>
      </c>
      <c r="H274" s="3">
        <v>0</v>
      </c>
      <c r="I274" s="3">
        <v>170909</v>
      </c>
      <c r="J274" s="3">
        <v>165741122</v>
      </c>
      <c r="K274" s="3">
        <v>1146790</v>
      </c>
      <c r="L274" s="3">
        <v>116441111</v>
      </c>
      <c r="M274" s="3">
        <v>822730132</v>
      </c>
      <c r="N274" s="3">
        <v>1247225</v>
      </c>
      <c r="O274" s="3">
        <v>202443</v>
      </c>
      <c r="P274" s="3">
        <f t="shared" si="4"/>
        <v>1167854243</v>
      </c>
    </row>
    <row r="275" spans="1:16" x14ac:dyDescent="0.25">
      <c r="A275" s="2">
        <v>45931</v>
      </c>
      <c r="B275" s="3">
        <v>95714582</v>
      </c>
      <c r="C275" s="3">
        <v>1682374</v>
      </c>
      <c r="D275" s="3">
        <v>0</v>
      </c>
      <c r="E275" s="3">
        <v>2100</v>
      </c>
      <c r="F275" s="3">
        <v>0</v>
      </c>
      <c r="G275" s="3">
        <v>41377055</v>
      </c>
      <c r="H275" s="3">
        <v>0</v>
      </c>
      <c r="I275" s="3">
        <v>86345</v>
      </c>
      <c r="J275" s="3">
        <v>340192617</v>
      </c>
      <c r="K275" s="3">
        <v>116326</v>
      </c>
      <c r="L275" s="3">
        <v>93591486</v>
      </c>
      <c r="M275" s="3">
        <v>585464646</v>
      </c>
      <c r="N275" s="3">
        <v>3234785</v>
      </c>
      <c r="O275" s="3">
        <v>2523060</v>
      </c>
      <c r="P275" s="3">
        <f t="shared" si="4"/>
        <v>1163985376</v>
      </c>
    </row>
    <row r="276" spans="1:16" x14ac:dyDescent="0.25">
      <c r="A276" s="2">
        <v>45932</v>
      </c>
      <c r="B276" s="3">
        <v>105378759</v>
      </c>
      <c r="C276" s="3">
        <v>2460738</v>
      </c>
      <c r="D276" s="3">
        <v>0</v>
      </c>
      <c r="E276" s="3">
        <v>42488</v>
      </c>
      <c r="F276" s="3">
        <v>0</v>
      </c>
      <c r="G276" s="3">
        <v>31687610</v>
      </c>
      <c r="H276" s="3">
        <v>0</v>
      </c>
      <c r="I276" s="3">
        <v>154223</v>
      </c>
      <c r="J276" s="3">
        <v>119154610</v>
      </c>
      <c r="K276" s="3">
        <v>55000</v>
      </c>
      <c r="L276" s="3">
        <v>117143904</v>
      </c>
      <c r="M276" s="3">
        <v>549001088</v>
      </c>
      <c r="N276" s="3">
        <v>1886605</v>
      </c>
      <c r="O276" s="3">
        <v>1239634</v>
      </c>
      <c r="P276" s="3">
        <f t="shared" si="4"/>
        <v>928204659</v>
      </c>
    </row>
    <row r="277" spans="1:16" x14ac:dyDescent="0.25">
      <c r="A277" s="2">
        <v>45933</v>
      </c>
      <c r="B277" s="3">
        <v>155863644</v>
      </c>
      <c r="C277" s="3">
        <v>1451062</v>
      </c>
      <c r="D277" s="3">
        <v>0</v>
      </c>
      <c r="E277" s="3">
        <v>3297</v>
      </c>
      <c r="F277" s="3">
        <v>0</v>
      </c>
      <c r="G277" s="3">
        <v>35674411</v>
      </c>
      <c r="H277" s="3">
        <v>0</v>
      </c>
      <c r="I277" s="3">
        <v>142172</v>
      </c>
      <c r="J277" s="3">
        <v>80269007</v>
      </c>
      <c r="K277" s="3">
        <v>756423</v>
      </c>
      <c r="L277" s="3">
        <v>282806897</v>
      </c>
      <c r="M277" s="3">
        <v>588769819</v>
      </c>
      <c r="N277" s="3">
        <v>309858164</v>
      </c>
      <c r="O277" s="3">
        <v>113608</v>
      </c>
      <c r="P277" s="3">
        <f t="shared" si="4"/>
        <v>1455708504</v>
      </c>
    </row>
    <row r="278" spans="1:16" x14ac:dyDescent="0.25">
      <c r="A278" s="2">
        <v>45934</v>
      </c>
      <c r="B278" s="3">
        <v>6353634</v>
      </c>
      <c r="C278" s="3">
        <v>39425</v>
      </c>
      <c r="D278" s="3">
        <v>0</v>
      </c>
      <c r="E278" s="3">
        <v>17996</v>
      </c>
      <c r="F278" s="3">
        <v>0</v>
      </c>
      <c r="G278" s="3">
        <v>6456279</v>
      </c>
      <c r="H278" s="3">
        <v>0</v>
      </c>
      <c r="I278" s="3">
        <v>14252</v>
      </c>
      <c r="J278" s="3">
        <v>136307717</v>
      </c>
      <c r="K278" s="3">
        <v>6002585</v>
      </c>
      <c r="L278" s="3">
        <v>321216262</v>
      </c>
      <c r="M278" s="3">
        <v>216008908</v>
      </c>
      <c r="N278" s="3">
        <v>7105772</v>
      </c>
      <c r="O278" s="3">
        <v>846333</v>
      </c>
      <c r="P278" s="3">
        <f t="shared" si="4"/>
        <v>700369163</v>
      </c>
    </row>
    <row r="279" spans="1:16" x14ac:dyDescent="0.25">
      <c r="A279" s="2">
        <v>45935</v>
      </c>
      <c r="B279" s="3">
        <v>11743215</v>
      </c>
      <c r="C279" s="3">
        <v>69435</v>
      </c>
      <c r="D279" s="3">
        <v>0</v>
      </c>
      <c r="E279" s="3">
        <v>1969</v>
      </c>
      <c r="F279" s="3">
        <v>0</v>
      </c>
      <c r="G279" s="3">
        <v>4595091</v>
      </c>
      <c r="H279" s="3">
        <v>0</v>
      </c>
      <c r="I279" s="3">
        <v>29629</v>
      </c>
      <c r="J279" s="3">
        <v>78287807</v>
      </c>
      <c r="K279" s="3">
        <v>13562</v>
      </c>
      <c r="L279" s="3">
        <v>78252075</v>
      </c>
      <c r="M279" s="3">
        <v>260534993</v>
      </c>
      <c r="N279" s="3">
        <v>2545984</v>
      </c>
      <c r="O279" s="3">
        <v>0</v>
      </c>
      <c r="P279" s="3">
        <f t="shared" si="4"/>
        <v>436073760</v>
      </c>
    </row>
    <row r="280" spans="1:16" x14ac:dyDescent="0.25">
      <c r="A280" s="2">
        <v>45936</v>
      </c>
      <c r="B280" s="3">
        <v>80964057</v>
      </c>
      <c r="C280" s="3">
        <v>1719620</v>
      </c>
      <c r="D280" s="3">
        <v>0</v>
      </c>
      <c r="E280" s="3">
        <v>3184</v>
      </c>
      <c r="F280" s="3">
        <v>0</v>
      </c>
      <c r="G280" s="3">
        <v>30126353</v>
      </c>
      <c r="H280" s="3">
        <v>0</v>
      </c>
      <c r="I280" s="3">
        <v>86887</v>
      </c>
      <c r="J280" s="3">
        <v>135977694</v>
      </c>
      <c r="K280" s="3">
        <v>168417</v>
      </c>
      <c r="L280" s="3">
        <v>107254842</v>
      </c>
      <c r="M280" s="3">
        <v>360393149</v>
      </c>
      <c r="N280" s="3">
        <v>3858812</v>
      </c>
      <c r="O280" s="3">
        <v>599076</v>
      </c>
      <c r="P280" s="3">
        <f t="shared" si="4"/>
        <v>721152091</v>
      </c>
    </row>
    <row r="281" spans="1:16" x14ac:dyDescent="0.25">
      <c r="A281" s="2">
        <v>45937</v>
      </c>
      <c r="B281" s="3">
        <v>49920168</v>
      </c>
      <c r="C281" s="3">
        <v>1216841</v>
      </c>
      <c r="D281" s="3">
        <v>0</v>
      </c>
      <c r="E281" s="3">
        <v>40006169</v>
      </c>
      <c r="F281" s="3">
        <v>0</v>
      </c>
      <c r="G281" s="3">
        <v>18443303</v>
      </c>
      <c r="H281" s="3">
        <v>0</v>
      </c>
      <c r="I281" s="3">
        <v>86233</v>
      </c>
      <c r="J281" s="3">
        <v>139201960</v>
      </c>
      <c r="K281" s="3">
        <v>114518</v>
      </c>
      <c r="L281" s="3">
        <v>144208085</v>
      </c>
      <c r="M281" s="3">
        <v>475229713</v>
      </c>
      <c r="N281" s="3">
        <v>6964849</v>
      </c>
      <c r="O281" s="3">
        <v>3265</v>
      </c>
      <c r="P281" s="3">
        <f t="shared" si="4"/>
        <v>875395104</v>
      </c>
    </row>
    <row r="282" spans="1:16" x14ac:dyDescent="0.25">
      <c r="A282" s="2">
        <v>45938</v>
      </c>
      <c r="B282" s="3">
        <v>185949779</v>
      </c>
      <c r="C282" s="3">
        <v>4463058</v>
      </c>
      <c r="D282" s="3">
        <v>0</v>
      </c>
      <c r="E282" s="3">
        <v>40015718</v>
      </c>
      <c r="F282" s="3">
        <v>0</v>
      </c>
      <c r="G282" s="3">
        <v>25999410</v>
      </c>
      <c r="H282" s="3">
        <v>0</v>
      </c>
      <c r="I282" s="3">
        <v>196233</v>
      </c>
      <c r="J282" s="3">
        <v>405283694</v>
      </c>
      <c r="K282" s="3">
        <v>96918</v>
      </c>
      <c r="L282" s="3">
        <v>165304019</v>
      </c>
      <c r="M282" s="3">
        <v>398938932</v>
      </c>
      <c r="N282" s="3">
        <v>42091609</v>
      </c>
      <c r="O282" s="3">
        <v>0</v>
      </c>
      <c r="P282" s="3">
        <f t="shared" si="4"/>
        <v>1268339370</v>
      </c>
    </row>
    <row r="283" spans="1:16" x14ac:dyDescent="0.25">
      <c r="A283" s="2">
        <v>45939</v>
      </c>
      <c r="B283" s="3">
        <v>51409227</v>
      </c>
      <c r="C283" s="3">
        <v>3840121</v>
      </c>
      <c r="D283" s="3">
        <v>0</v>
      </c>
      <c r="E283" s="3">
        <v>22707867</v>
      </c>
      <c r="F283" s="3">
        <v>0</v>
      </c>
      <c r="G283" s="3">
        <v>21754654</v>
      </c>
      <c r="H283" s="3">
        <v>0</v>
      </c>
      <c r="I283" s="3">
        <v>329676</v>
      </c>
      <c r="J283" s="3">
        <v>275447991</v>
      </c>
      <c r="K283" s="3">
        <v>85510</v>
      </c>
      <c r="L283" s="3">
        <v>129507572</v>
      </c>
      <c r="M283" s="3">
        <v>601045230</v>
      </c>
      <c r="N283" s="3">
        <v>2512228</v>
      </c>
      <c r="O283" s="3">
        <v>343584</v>
      </c>
      <c r="P283" s="3">
        <f t="shared" si="4"/>
        <v>1108983660</v>
      </c>
    </row>
    <row r="284" spans="1:16" x14ac:dyDescent="0.25">
      <c r="A284" s="2">
        <v>45940</v>
      </c>
      <c r="B284" s="3">
        <v>1169514105</v>
      </c>
      <c r="C284" s="3">
        <v>2804506</v>
      </c>
      <c r="D284" s="3">
        <v>0</v>
      </c>
      <c r="E284" s="3">
        <v>2717291</v>
      </c>
      <c r="F284" s="3">
        <v>0</v>
      </c>
      <c r="G284" s="3">
        <v>26191162</v>
      </c>
      <c r="H284" s="3">
        <v>0</v>
      </c>
      <c r="I284" s="3">
        <v>1193580</v>
      </c>
      <c r="J284" s="3">
        <v>272472037</v>
      </c>
      <c r="K284" s="3">
        <v>6997579</v>
      </c>
      <c r="L284" s="3">
        <v>218856935</v>
      </c>
      <c r="M284" s="3">
        <v>492757576</v>
      </c>
      <c r="N284" s="3">
        <v>22084528</v>
      </c>
      <c r="O284" s="3">
        <v>314170</v>
      </c>
      <c r="P284" s="3">
        <f t="shared" si="4"/>
        <v>2215903469</v>
      </c>
    </row>
    <row r="285" spans="1:16" x14ac:dyDescent="0.25">
      <c r="A285" s="2">
        <v>45941</v>
      </c>
      <c r="B285" s="3">
        <v>74193161</v>
      </c>
      <c r="C285" s="3">
        <v>105612</v>
      </c>
      <c r="D285" s="3">
        <v>0</v>
      </c>
      <c r="E285" s="3">
        <v>4040</v>
      </c>
      <c r="F285" s="3">
        <v>0</v>
      </c>
      <c r="G285" s="3">
        <v>6159811</v>
      </c>
      <c r="H285" s="3">
        <v>0</v>
      </c>
      <c r="I285" s="3">
        <v>44553</v>
      </c>
      <c r="J285" s="3">
        <v>163382324</v>
      </c>
      <c r="K285" s="3">
        <v>1072538</v>
      </c>
      <c r="L285" s="3">
        <v>312836256</v>
      </c>
      <c r="M285" s="3">
        <v>915734435</v>
      </c>
      <c r="N285" s="3">
        <v>3461199</v>
      </c>
      <c r="O285" s="3">
        <v>427647</v>
      </c>
      <c r="P285" s="3">
        <f t="shared" si="4"/>
        <v>1477421576</v>
      </c>
    </row>
    <row r="286" spans="1:16" x14ac:dyDescent="0.25">
      <c r="A286" s="2">
        <v>45942</v>
      </c>
      <c r="B286" s="3">
        <v>77364619</v>
      </c>
      <c r="C286" s="3">
        <v>198026</v>
      </c>
      <c r="D286" s="3">
        <v>0</v>
      </c>
      <c r="E286" s="3">
        <v>1167</v>
      </c>
      <c r="F286" s="3">
        <v>0</v>
      </c>
      <c r="G286" s="3">
        <v>7456287</v>
      </c>
      <c r="H286" s="3">
        <v>0</v>
      </c>
      <c r="I286" s="3">
        <v>63527</v>
      </c>
      <c r="J286" s="3">
        <v>430850907</v>
      </c>
      <c r="K286" s="3">
        <v>26962</v>
      </c>
      <c r="L286" s="3">
        <v>104377240</v>
      </c>
      <c r="M286" s="3">
        <v>534725915</v>
      </c>
      <c r="N286" s="3">
        <v>1989246</v>
      </c>
      <c r="O286" s="3">
        <v>0</v>
      </c>
      <c r="P286" s="3">
        <f t="shared" si="4"/>
        <v>1157053896</v>
      </c>
    </row>
    <row r="287" spans="1:16" x14ac:dyDescent="0.25">
      <c r="A287" s="2">
        <v>45943</v>
      </c>
      <c r="B287" s="3">
        <v>2535360608</v>
      </c>
      <c r="C287" s="3">
        <v>5423297</v>
      </c>
      <c r="D287" s="3">
        <v>0</v>
      </c>
      <c r="E287" s="3">
        <v>1985814</v>
      </c>
      <c r="F287" s="3">
        <v>0</v>
      </c>
      <c r="G287" s="3">
        <v>44001146</v>
      </c>
      <c r="H287" s="3">
        <v>0</v>
      </c>
      <c r="I287" s="3">
        <v>782736</v>
      </c>
      <c r="J287" s="3">
        <v>397038793</v>
      </c>
      <c r="K287" s="3">
        <v>1351570</v>
      </c>
      <c r="L287" s="3">
        <v>233642138</v>
      </c>
      <c r="M287" s="3">
        <v>465350664</v>
      </c>
      <c r="N287" s="3">
        <v>1972885</v>
      </c>
      <c r="O287" s="3">
        <v>13205</v>
      </c>
      <c r="P287" s="3">
        <f t="shared" si="4"/>
        <v>3686922856</v>
      </c>
    </row>
    <row r="288" spans="1:16" x14ac:dyDescent="0.25">
      <c r="A288" s="2">
        <v>45944</v>
      </c>
      <c r="B288" s="3">
        <v>173317750</v>
      </c>
      <c r="C288" s="3">
        <v>2885084</v>
      </c>
      <c r="D288" s="3">
        <v>0</v>
      </c>
      <c r="E288" s="3">
        <v>21141926</v>
      </c>
      <c r="F288" s="3">
        <v>0</v>
      </c>
      <c r="G288" s="3">
        <v>40386196</v>
      </c>
      <c r="H288" s="3">
        <v>0</v>
      </c>
      <c r="I288" s="3">
        <v>455548</v>
      </c>
      <c r="J288" s="3">
        <v>751039023</v>
      </c>
      <c r="K288" s="3">
        <v>11445764</v>
      </c>
      <c r="L288" s="3">
        <v>140658502</v>
      </c>
      <c r="M288" s="3">
        <v>159818298</v>
      </c>
      <c r="N288" s="3">
        <v>46522161</v>
      </c>
      <c r="O288" s="3">
        <v>5471</v>
      </c>
      <c r="P288" s="3">
        <f t="shared" si="4"/>
        <v>1347675723</v>
      </c>
    </row>
    <row r="289" spans="1:16" x14ac:dyDescent="0.25">
      <c r="A289" s="2">
        <v>45945</v>
      </c>
      <c r="B289" s="3">
        <v>99349477</v>
      </c>
      <c r="C289" s="3">
        <v>3616849</v>
      </c>
      <c r="D289" s="3">
        <v>0</v>
      </c>
      <c r="E289" s="3">
        <v>26505704</v>
      </c>
      <c r="F289" s="3">
        <v>0</v>
      </c>
      <c r="G289" s="3">
        <v>24739026</v>
      </c>
      <c r="H289" s="3">
        <v>0</v>
      </c>
      <c r="I289" s="3">
        <v>302470</v>
      </c>
      <c r="J289" s="3">
        <v>446569951</v>
      </c>
      <c r="K289" s="3">
        <v>35610</v>
      </c>
      <c r="L289" s="3">
        <v>148422923</v>
      </c>
      <c r="M289" s="3">
        <v>352709467</v>
      </c>
      <c r="N289" s="3">
        <v>6500029</v>
      </c>
      <c r="O289" s="3">
        <v>16247</v>
      </c>
      <c r="P289" s="3">
        <f t="shared" si="4"/>
        <v>1108767753</v>
      </c>
    </row>
    <row r="290" spans="1:16" x14ac:dyDescent="0.25">
      <c r="A290" s="2">
        <v>45946</v>
      </c>
      <c r="B290" s="3">
        <v>81571287</v>
      </c>
      <c r="C290" s="3">
        <v>3105874</v>
      </c>
      <c r="D290" s="3">
        <v>0</v>
      </c>
      <c r="E290" s="3">
        <v>27644875</v>
      </c>
      <c r="F290" s="3">
        <v>0</v>
      </c>
      <c r="G290" s="3">
        <v>36054115</v>
      </c>
      <c r="H290" s="3">
        <v>0</v>
      </c>
      <c r="I290" s="3">
        <v>538940</v>
      </c>
      <c r="J290" s="3">
        <v>746710645</v>
      </c>
      <c r="K290" s="3">
        <v>15008650</v>
      </c>
      <c r="L290" s="3">
        <v>134703576</v>
      </c>
      <c r="M290" s="3">
        <v>763754768</v>
      </c>
      <c r="N290" s="3">
        <v>50347748</v>
      </c>
      <c r="O290" s="3">
        <v>0</v>
      </c>
      <c r="P290" s="3">
        <f t="shared" si="4"/>
        <v>1859440478</v>
      </c>
    </row>
    <row r="291" spans="1:16" x14ac:dyDescent="0.25">
      <c r="A291" s="2">
        <v>45947</v>
      </c>
      <c r="B291" s="3">
        <v>59669909</v>
      </c>
      <c r="C291" s="3">
        <v>4051882</v>
      </c>
      <c r="D291" s="3">
        <v>0</v>
      </c>
      <c r="E291" s="3">
        <v>20430018</v>
      </c>
      <c r="F291" s="3">
        <v>0</v>
      </c>
      <c r="G291" s="3">
        <v>57756853</v>
      </c>
      <c r="H291" s="3">
        <v>0</v>
      </c>
      <c r="I291" s="3">
        <v>199623</v>
      </c>
      <c r="J291" s="3">
        <v>1245074883</v>
      </c>
      <c r="K291" s="3">
        <v>15150125</v>
      </c>
      <c r="L291" s="3">
        <v>121475269</v>
      </c>
      <c r="M291" s="3">
        <v>372152117</v>
      </c>
      <c r="N291" s="3">
        <v>15996593</v>
      </c>
      <c r="O291" s="3">
        <v>117900</v>
      </c>
      <c r="P291" s="3">
        <f t="shared" si="4"/>
        <v>1912075172</v>
      </c>
    </row>
    <row r="292" spans="1:16" x14ac:dyDescent="0.25">
      <c r="A292" s="2">
        <v>45948</v>
      </c>
      <c r="B292" s="3">
        <v>4147710</v>
      </c>
      <c r="C292" s="3">
        <v>34454</v>
      </c>
      <c r="D292" s="3">
        <v>0</v>
      </c>
      <c r="E292" s="3">
        <v>5606771</v>
      </c>
      <c r="F292" s="3">
        <v>0</v>
      </c>
      <c r="G292" s="3">
        <v>4475312</v>
      </c>
      <c r="H292" s="3">
        <v>0</v>
      </c>
      <c r="I292" s="3">
        <v>34927</v>
      </c>
      <c r="J292" s="3">
        <v>159996143</v>
      </c>
      <c r="K292" s="3">
        <v>12073</v>
      </c>
      <c r="L292" s="3">
        <v>150006809</v>
      </c>
      <c r="M292" s="3">
        <v>310199156</v>
      </c>
      <c r="N292" s="3">
        <v>4064724</v>
      </c>
      <c r="O292" s="3">
        <v>0</v>
      </c>
      <c r="P292" s="3">
        <f t="shared" si="4"/>
        <v>638578079</v>
      </c>
    </row>
    <row r="293" spans="1:16" x14ac:dyDescent="0.25">
      <c r="A293" s="2">
        <v>45949</v>
      </c>
      <c r="B293" s="3">
        <v>6689224</v>
      </c>
      <c r="C293" s="3">
        <v>182782</v>
      </c>
      <c r="D293" s="3">
        <v>0</v>
      </c>
      <c r="E293" s="3">
        <v>10691</v>
      </c>
      <c r="F293" s="3">
        <v>0</v>
      </c>
      <c r="G293" s="3">
        <v>3821933</v>
      </c>
      <c r="H293" s="3">
        <v>0</v>
      </c>
      <c r="I293" s="3">
        <v>1121</v>
      </c>
      <c r="J293" s="3">
        <v>169454898</v>
      </c>
      <c r="K293" s="3">
        <v>8001351</v>
      </c>
      <c r="L293" s="3">
        <v>103181327</v>
      </c>
      <c r="M293" s="3">
        <v>254811743</v>
      </c>
      <c r="N293" s="3">
        <v>2145650</v>
      </c>
      <c r="O293" s="3">
        <v>41831</v>
      </c>
      <c r="P293" s="3">
        <f t="shared" si="4"/>
        <v>548342551</v>
      </c>
    </row>
    <row r="294" spans="1:16" x14ac:dyDescent="0.25">
      <c r="A294" s="2">
        <v>45950</v>
      </c>
      <c r="B294" s="3">
        <v>549716410</v>
      </c>
      <c r="C294" s="3">
        <v>1921115</v>
      </c>
      <c r="D294" s="3">
        <v>0</v>
      </c>
      <c r="E294" s="3">
        <v>20276024</v>
      </c>
      <c r="F294" s="3">
        <v>0</v>
      </c>
      <c r="G294" s="3">
        <v>41400192</v>
      </c>
      <c r="H294" s="3">
        <v>0</v>
      </c>
      <c r="I294" s="3">
        <v>41983</v>
      </c>
      <c r="J294" s="3">
        <v>427300136</v>
      </c>
      <c r="K294" s="3">
        <v>1160342</v>
      </c>
      <c r="L294" s="3">
        <v>141935033</v>
      </c>
      <c r="M294" s="3">
        <v>490183051</v>
      </c>
      <c r="N294" s="3">
        <v>5327883</v>
      </c>
      <c r="O294" s="3">
        <v>0</v>
      </c>
      <c r="P294" s="3">
        <f t="shared" si="4"/>
        <v>1679262169</v>
      </c>
    </row>
    <row r="295" spans="1:16" x14ac:dyDescent="0.25">
      <c r="A295" s="2">
        <v>45951</v>
      </c>
      <c r="B295" s="3">
        <v>128506701</v>
      </c>
      <c r="C295" s="3">
        <v>1043140</v>
      </c>
      <c r="D295" s="3">
        <v>0</v>
      </c>
      <c r="E295" s="3">
        <v>1445532</v>
      </c>
      <c r="F295" s="3">
        <v>0</v>
      </c>
      <c r="G295" s="3">
        <v>39813227</v>
      </c>
      <c r="H295" s="3">
        <v>0</v>
      </c>
      <c r="I295" s="3">
        <v>126919</v>
      </c>
      <c r="J295" s="3">
        <v>403382107</v>
      </c>
      <c r="K295" s="3">
        <v>7669</v>
      </c>
      <c r="L295" s="3">
        <v>166495549</v>
      </c>
      <c r="M295" s="3">
        <v>457965165</v>
      </c>
      <c r="N295" s="3">
        <v>4421580</v>
      </c>
      <c r="O295" s="3">
        <v>609661</v>
      </c>
      <c r="P295" s="3">
        <f t="shared" si="4"/>
        <v>1203817250</v>
      </c>
    </row>
    <row r="296" spans="1:16" x14ac:dyDescent="0.25">
      <c r="A296" s="2">
        <v>45952</v>
      </c>
      <c r="B296" s="3">
        <v>27170511</v>
      </c>
      <c r="C296" s="3">
        <v>4809711</v>
      </c>
      <c r="D296" s="3">
        <v>0</v>
      </c>
      <c r="E296" s="3">
        <v>11642</v>
      </c>
      <c r="F296" s="3">
        <v>0</v>
      </c>
      <c r="G296" s="3">
        <v>30503783</v>
      </c>
      <c r="H296" s="3">
        <v>0</v>
      </c>
      <c r="I296" s="3">
        <v>705735</v>
      </c>
      <c r="J296" s="3">
        <v>379572830</v>
      </c>
      <c r="K296" s="3">
        <v>53082</v>
      </c>
      <c r="L296" s="3">
        <v>262886580</v>
      </c>
      <c r="M296" s="3">
        <v>388935346</v>
      </c>
      <c r="N296" s="3">
        <v>24393056</v>
      </c>
      <c r="O296" s="3">
        <v>1141838</v>
      </c>
      <c r="P296" s="3">
        <f t="shared" si="4"/>
        <v>1120184114</v>
      </c>
    </row>
    <row r="297" spans="1:16" x14ac:dyDescent="0.25">
      <c r="A297" s="2">
        <v>45953</v>
      </c>
      <c r="B297" s="3">
        <v>1022594733</v>
      </c>
      <c r="C297" s="3">
        <v>13909619</v>
      </c>
      <c r="D297" s="3">
        <v>0</v>
      </c>
      <c r="E297" s="3">
        <v>35213</v>
      </c>
      <c r="F297" s="3">
        <v>0</v>
      </c>
      <c r="G297" s="3">
        <v>39206870</v>
      </c>
      <c r="H297" s="3">
        <v>0</v>
      </c>
      <c r="I297" s="3">
        <v>123591</v>
      </c>
      <c r="J297" s="3">
        <v>154355704</v>
      </c>
      <c r="K297" s="3">
        <v>2096729</v>
      </c>
      <c r="L297" s="3">
        <v>176857854</v>
      </c>
      <c r="M297" s="3">
        <v>471399401</v>
      </c>
      <c r="N297" s="3">
        <v>55647453</v>
      </c>
      <c r="O297" s="3">
        <v>1099724</v>
      </c>
      <c r="P297" s="3">
        <f t="shared" si="4"/>
        <v>1937326891</v>
      </c>
    </row>
    <row r="298" spans="1:16" x14ac:dyDescent="0.25">
      <c r="A298" s="2">
        <v>45954</v>
      </c>
      <c r="B298" s="3">
        <v>71117700</v>
      </c>
      <c r="C298" s="3">
        <v>8283688</v>
      </c>
      <c r="D298" s="3">
        <v>0</v>
      </c>
      <c r="E298" s="3">
        <v>18062</v>
      </c>
      <c r="F298" s="3">
        <v>0</v>
      </c>
      <c r="G298" s="3">
        <v>40601619</v>
      </c>
      <c r="H298" s="3">
        <v>0</v>
      </c>
      <c r="I298" s="3">
        <v>62874</v>
      </c>
      <c r="J298" s="3">
        <v>112571097</v>
      </c>
      <c r="K298" s="3">
        <v>103186</v>
      </c>
      <c r="L298" s="3">
        <v>111606883</v>
      </c>
      <c r="M298" s="3">
        <v>373953335</v>
      </c>
      <c r="N298" s="3">
        <v>44695681</v>
      </c>
      <c r="O298" s="3">
        <v>1552884</v>
      </c>
      <c r="P298" s="3">
        <f t="shared" si="4"/>
        <v>764567009</v>
      </c>
    </row>
    <row r="299" spans="1:16" x14ac:dyDescent="0.25">
      <c r="A299" s="2">
        <v>45955</v>
      </c>
      <c r="B299" s="3">
        <v>15586161</v>
      </c>
      <c r="C299" s="3">
        <v>30670</v>
      </c>
      <c r="D299" s="3">
        <v>0</v>
      </c>
      <c r="E299" s="3">
        <v>26975</v>
      </c>
      <c r="F299" s="3">
        <v>0</v>
      </c>
      <c r="G299" s="3">
        <v>2771282</v>
      </c>
      <c r="H299" s="3">
        <v>0</v>
      </c>
      <c r="I299" s="3">
        <v>26600</v>
      </c>
      <c r="J299" s="3">
        <v>46715558</v>
      </c>
      <c r="K299" s="3">
        <v>3378</v>
      </c>
      <c r="L299" s="3">
        <v>50878521</v>
      </c>
      <c r="M299" s="3">
        <v>184929227</v>
      </c>
      <c r="N299" s="3">
        <v>4828282</v>
      </c>
      <c r="O299" s="3">
        <v>0</v>
      </c>
      <c r="P299" s="3">
        <f t="shared" si="4"/>
        <v>305796654</v>
      </c>
    </row>
    <row r="300" spans="1:16" x14ac:dyDescent="0.25">
      <c r="A300" s="2">
        <v>45956</v>
      </c>
      <c r="B300" s="3">
        <v>11790403</v>
      </c>
      <c r="C300" s="3">
        <v>178488</v>
      </c>
      <c r="D300" s="3">
        <v>0</v>
      </c>
      <c r="E300" s="3">
        <v>8619</v>
      </c>
      <c r="F300" s="3">
        <v>0</v>
      </c>
      <c r="G300" s="3">
        <v>3099752</v>
      </c>
      <c r="H300" s="3">
        <v>0</v>
      </c>
      <c r="I300" s="3">
        <v>96869</v>
      </c>
      <c r="J300" s="3">
        <v>78818109</v>
      </c>
      <c r="K300" s="3">
        <v>10575</v>
      </c>
      <c r="L300" s="3">
        <v>133633550</v>
      </c>
      <c r="M300" s="3">
        <v>249192908</v>
      </c>
      <c r="N300" s="3">
        <v>3987161</v>
      </c>
      <c r="O300" s="3">
        <v>45840</v>
      </c>
      <c r="P300" s="3">
        <f t="shared" si="4"/>
        <v>480862274</v>
      </c>
    </row>
    <row r="301" spans="1:16" x14ac:dyDescent="0.25">
      <c r="A301" s="2">
        <v>45957</v>
      </c>
      <c r="B301" s="3">
        <v>50635079</v>
      </c>
      <c r="C301" s="3">
        <v>7247290</v>
      </c>
      <c r="D301" s="3">
        <v>0</v>
      </c>
      <c r="E301" s="3">
        <v>217555</v>
      </c>
      <c r="F301" s="3">
        <v>0</v>
      </c>
      <c r="G301" s="3">
        <v>50411870</v>
      </c>
      <c r="H301" s="3">
        <v>0</v>
      </c>
      <c r="I301" s="3">
        <v>567452</v>
      </c>
      <c r="J301" s="3">
        <v>251243503</v>
      </c>
      <c r="K301" s="3">
        <v>720630</v>
      </c>
      <c r="L301" s="3">
        <v>205876121</v>
      </c>
      <c r="M301" s="3">
        <v>496715090</v>
      </c>
      <c r="N301" s="3">
        <v>16992411</v>
      </c>
      <c r="O301" s="3">
        <v>64090</v>
      </c>
      <c r="P301" s="3">
        <f t="shared" si="4"/>
        <v>1080691091</v>
      </c>
    </row>
    <row r="302" spans="1:16" x14ac:dyDescent="0.25">
      <c r="A302" s="2">
        <v>45958</v>
      </c>
      <c r="B302" s="3">
        <v>144965211</v>
      </c>
      <c r="C302" s="3">
        <v>5662621</v>
      </c>
      <c r="D302" s="3">
        <v>0</v>
      </c>
      <c r="E302" s="3">
        <v>20700455</v>
      </c>
      <c r="F302" s="3">
        <v>0</v>
      </c>
      <c r="G302" s="3">
        <v>27955081</v>
      </c>
      <c r="H302" s="3">
        <v>0</v>
      </c>
      <c r="I302" s="3">
        <v>428824</v>
      </c>
      <c r="J302" s="3">
        <v>378420795</v>
      </c>
      <c r="K302" s="3">
        <v>7860868</v>
      </c>
      <c r="L302" s="3">
        <v>351855696</v>
      </c>
      <c r="M302" s="3">
        <v>382463510</v>
      </c>
      <c r="N302" s="3">
        <v>7843285</v>
      </c>
      <c r="O302" s="3">
        <v>102479</v>
      </c>
      <c r="P302" s="3">
        <f t="shared" si="4"/>
        <v>1328258825</v>
      </c>
    </row>
    <row r="303" spans="1:16" x14ac:dyDescent="0.25">
      <c r="A303" s="2">
        <v>45959</v>
      </c>
      <c r="B303" s="3">
        <v>44194776</v>
      </c>
      <c r="C303" s="3">
        <v>3657094</v>
      </c>
      <c r="D303" s="3">
        <v>0</v>
      </c>
      <c r="E303" s="3">
        <v>1708119</v>
      </c>
      <c r="F303" s="3">
        <v>0</v>
      </c>
      <c r="G303" s="3">
        <v>44250387</v>
      </c>
      <c r="H303" s="3">
        <v>0</v>
      </c>
      <c r="I303" s="3">
        <v>856237</v>
      </c>
      <c r="J303" s="3">
        <v>191465520</v>
      </c>
      <c r="K303" s="3">
        <v>5821988</v>
      </c>
      <c r="L303" s="3">
        <v>287060599</v>
      </c>
      <c r="M303" s="3">
        <v>264845218</v>
      </c>
      <c r="N303" s="3">
        <v>7767333</v>
      </c>
      <c r="O303" s="3">
        <v>0</v>
      </c>
      <c r="P303" s="3">
        <f t="shared" si="4"/>
        <v>851627271</v>
      </c>
    </row>
    <row r="304" spans="1:16" x14ac:dyDescent="0.25">
      <c r="A304" s="2">
        <v>45960</v>
      </c>
      <c r="B304" s="3">
        <v>33344995</v>
      </c>
      <c r="C304" s="3">
        <v>5864806</v>
      </c>
      <c r="D304" s="3">
        <v>0</v>
      </c>
      <c r="E304" s="3">
        <v>47622</v>
      </c>
      <c r="F304" s="3">
        <v>0</v>
      </c>
      <c r="G304" s="3">
        <v>55978268</v>
      </c>
      <c r="H304" s="3">
        <v>0</v>
      </c>
      <c r="I304" s="3">
        <v>243259</v>
      </c>
      <c r="J304" s="3">
        <v>171188398</v>
      </c>
      <c r="K304" s="3">
        <v>16771944</v>
      </c>
      <c r="L304" s="3">
        <v>150527724</v>
      </c>
      <c r="M304" s="3">
        <v>266180523</v>
      </c>
      <c r="N304" s="3">
        <v>13565928</v>
      </c>
      <c r="O304" s="3">
        <v>11790</v>
      </c>
      <c r="P304" s="3">
        <f t="shared" si="4"/>
        <v>713725257</v>
      </c>
    </row>
    <row r="305" spans="1:16" x14ac:dyDescent="0.25">
      <c r="A305" s="2">
        <v>45961</v>
      </c>
      <c r="B305" s="3">
        <v>176918627</v>
      </c>
      <c r="C305" s="3">
        <v>1567435</v>
      </c>
      <c r="D305" s="3">
        <v>0</v>
      </c>
      <c r="E305" s="3">
        <v>19899</v>
      </c>
      <c r="F305" s="3">
        <v>0</v>
      </c>
      <c r="G305" s="3">
        <v>46355768</v>
      </c>
      <c r="H305" s="3">
        <v>0</v>
      </c>
      <c r="I305" s="3">
        <v>98861</v>
      </c>
      <c r="J305" s="3">
        <v>557501937</v>
      </c>
      <c r="K305" s="3">
        <v>34320740</v>
      </c>
      <c r="L305" s="3">
        <v>278720546</v>
      </c>
      <c r="M305" s="3">
        <v>189934862</v>
      </c>
      <c r="N305" s="3">
        <v>43738015</v>
      </c>
      <c r="O305" s="3">
        <v>252452</v>
      </c>
      <c r="P305" s="3">
        <f t="shared" si="4"/>
        <v>1329429142</v>
      </c>
    </row>
    <row r="306" spans="1:16" x14ac:dyDescent="0.25">
      <c r="A306" s="2">
        <v>45962</v>
      </c>
      <c r="B306" s="3">
        <v>5472631</v>
      </c>
      <c r="C306" s="3">
        <v>44121</v>
      </c>
      <c r="D306" s="3">
        <v>0</v>
      </c>
      <c r="E306" s="3">
        <v>11224</v>
      </c>
      <c r="F306" s="3">
        <v>0</v>
      </c>
      <c r="G306" s="3">
        <v>3284288</v>
      </c>
      <c r="H306" s="3">
        <v>0</v>
      </c>
      <c r="I306" s="3">
        <v>325979</v>
      </c>
      <c r="J306" s="3">
        <v>65551397</v>
      </c>
      <c r="K306" s="3">
        <v>26906</v>
      </c>
      <c r="L306" s="3">
        <v>125952144</v>
      </c>
      <c r="M306" s="3">
        <v>64435326</v>
      </c>
      <c r="N306" s="3">
        <v>4265863</v>
      </c>
      <c r="O306" s="3">
        <v>0</v>
      </c>
      <c r="P306" s="3">
        <f t="shared" si="4"/>
        <v>269369879</v>
      </c>
    </row>
    <row r="307" spans="1:16" x14ac:dyDescent="0.25">
      <c r="A307" s="2">
        <v>45963</v>
      </c>
      <c r="B307" s="3">
        <v>27947275</v>
      </c>
      <c r="C307" s="3">
        <v>534227</v>
      </c>
      <c r="D307" s="3">
        <v>0</v>
      </c>
      <c r="E307" s="3">
        <v>18891</v>
      </c>
      <c r="F307" s="3">
        <v>0</v>
      </c>
      <c r="G307" s="3">
        <v>4313884</v>
      </c>
      <c r="H307" s="3">
        <v>0</v>
      </c>
      <c r="I307" s="3">
        <v>85728</v>
      </c>
      <c r="J307" s="3">
        <v>50751610</v>
      </c>
      <c r="K307" s="3">
        <v>4062</v>
      </c>
      <c r="L307" s="3">
        <v>124673927</v>
      </c>
      <c r="M307" s="3">
        <v>190202159</v>
      </c>
      <c r="N307" s="3">
        <v>6287333</v>
      </c>
      <c r="O307" s="3">
        <v>0</v>
      </c>
      <c r="P307" s="3">
        <f t="shared" si="4"/>
        <v>404819096</v>
      </c>
    </row>
    <row r="308" spans="1:16" x14ac:dyDescent="0.25">
      <c r="A308" s="2">
        <v>45964</v>
      </c>
      <c r="B308" s="3">
        <v>106263304</v>
      </c>
      <c r="C308" s="3">
        <v>6031440</v>
      </c>
      <c r="D308" s="3">
        <v>0</v>
      </c>
      <c r="E308" s="3">
        <v>1135</v>
      </c>
      <c r="F308" s="3">
        <v>0</v>
      </c>
      <c r="G308" s="3">
        <v>77315365</v>
      </c>
      <c r="H308" s="3">
        <v>0</v>
      </c>
      <c r="I308" s="3">
        <v>6440626</v>
      </c>
      <c r="J308" s="3">
        <v>91650161</v>
      </c>
      <c r="K308" s="3">
        <v>65402865</v>
      </c>
      <c r="L308" s="3">
        <v>149311615</v>
      </c>
      <c r="M308" s="3">
        <v>658677623</v>
      </c>
      <c r="N308" s="3">
        <v>10293282</v>
      </c>
      <c r="O308" s="3">
        <v>0</v>
      </c>
      <c r="P308" s="3">
        <f t="shared" si="4"/>
        <v>1171387416</v>
      </c>
    </row>
    <row r="309" spans="1:16" x14ac:dyDescent="0.25">
      <c r="A309" s="2">
        <v>45965</v>
      </c>
      <c r="B309" s="3">
        <v>147986662</v>
      </c>
      <c r="C309" s="3">
        <v>2682492</v>
      </c>
      <c r="D309" s="3">
        <v>0</v>
      </c>
      <c r="E309" s="3">
        <v>43913</v>
      </c>
      <c r="F309" s="3">
        <v>0</v>
      </c>
      <c r="G309" s="3">
        <v>44079752</v>
      </c>
      <c r="H309" s="3">
        <v>0</v>
      </c>
      <c r="I309" s="3">
        <v>176648</v>
      </c>
      <c r="J309" s="3">
        <v>224507897</v>
      </c>
      <c r="K309" s="3">
        <v>8136588</v>
      </c>
      <c r="L309" s="3">
        <v>533076805</v>
      </c>
      <c r="M309" s="3">
        <v>628585577</v>
      </c>
      <c r="N309" s="3">
        <v>20998844</v>
      </c>
      <c r="O309" s="3">
        <v>76229</v>
      </c>
      <c r="P309" s="3">
        <f t="shared" si="4"/>
        <v>1610351407</v>
      </c>
    </row>
    <row r="310" spans="1:16" x14ac:dyDescent="0.25">
      <c r="A310" s="2">
        <v>45966</v>
      </c>
      <c r="B310" s="3">
        <v>122634232</v>
      </c>
      <c r="C310" s="3">
        <v>2400772</v>
      </c>
      <c r="D310" s="3">
        <v>0</v>
      </c>
      <c r="E310" s="3">
        <v>23620</v>
      </c>
      <c r="F310" s="3">
        <v>0</v>
      </c>
      <c r="G310" s="3">
        <v>83649788</v>
      </c>
      <c r="H310" s="3">
        <v>0</v>
      </c>
      <c r="I310" s="3">
        <v>497303</v>
      </c>
      <c r="J310" s="3">
        <v>184349191</v>
      </c>
      <c r="K310" s="3">
        <v>42835676</v>
      </c>
      <c r="L310" s="3">
        <v>348311537</v>
      </c>
      <c r="M310" s="3">
        <v>1166100570</v>
      </c>
      <c r="N310" s="3">
        <v>24037592</v>
      </c>
      <c r="O310" s="3">
        <v>0</v>
      </c>
      <c r="P310" s="3">
        <f t="shared" si="4"/>
        <v>1974840281</v>
      </c>
    </row>
    <row r="311" spans="1:16" x14ac:dyDescent="0.25">
      <c r="A311" s="2">
        <v>45967</v>
      </c>
      <c r="B311" s="3">
        <v>73759443</v>
      </c>
      <c r="C311" s="3">
        <v>12623644</v>
      </c>
      <c r="D311" s="3">
        <v>0</v>
      </c>
      <c r="E311" s="3">
        <v>14736227</v>
      </c>
      <c r="F311" s="3">
        <v>0</v>
      </c>
      <c r="G311" s="3">
        <v>49036266</v>
      </c>
      <c r="H311" s="3">
        <v>0</v>
      </c>
      <c r="I311" s="3">
        <v>281691</v>
      </c>
      <c r="J311" s="3">
        <v>134253144</v>
      </c>
      <c r="K311" s="3">
        <v>3343191</v>
      </c>
      <c r="L311" s="3">
        <v>298565225</v>
      </c>
      <c r="M311" s="3">
        <v>331797225</v>
      </c>
      <c r="N311" s="3">
        <v>206408895</v>
      </c>
      <c r="O311" s="3">
        <v>0</v>
      </c>
      <c r="P311" s="3">
        <f t="shared" si="4"/>
        <v>1124804951</v>
      </c>
    </row>
    <row r="312" spans="1:16" x14ac:dyDescent="0.25">
      <c r="A312" s="2">
        <v>45968</v>
      </c>
      <c r="B312" s="3">
        <v>89042880</v>
      </c>
      <c r="C312" s="3">
        <v>4593879</v>
      </c>
      <c r="D312" s="3">
        <v>0</v>
      </c>
      <c r="E312" s="3">
        <v>9161152</v>
      </c>
      <c r="F312" s="3">
        <v>0</v>
      </c>
      <c r="G312" s="3">
        <v>44325425</v>
      </c>
      <c r="H312" s="3">
        <v>0</v>
      </c>
      <c r="I312" s="3">
        <v>310211</v>
      </c>
      <c r="J312" s="3">
        <v>121565112</v>
      </c>
      <c r="K312" s="3">
        <v>2917921</v>
      </c>
      <c r="L312" s="3">
        <v>217496218</v>
      </c>
      <c r="M312" s="3">
        <v>1017539270</v>
      </c>
      <c r="N312" s="3">
        <v>15091671</v>
      </c>
      <c r="O312" s="3">
        <v>163441</v>
      </c>
      <c r="P312" s="3">
        <f t="shared" si="4"/>
        <v>1522207180</v>
      </c>
    </row>
    <row r="313" spans="1:16" x14ac:dyDescent="0.25">
      <c r="A313" s="2">
        <v>45969</v>
      </c>
      <c r="B313" s="3">
        <v>22894794</v>
      </c>
      <c r="C313" s="3">
        <v>6456</v>
      </c>
      <c r="D313" s="3">
        <v>0</v>
      </c>
      <c r="E313" s="3">
        <v>6090</v>
      </c>
      <c r="F313" s="3">
        <v>0</v>
      </c>
      <c r="G313" s="3">
        <v>5036014</v>
      </c>
      <c r="H313" s="3">
        <v>0</v>
      </c>
      <c r="I313" s="3">
        <v>60889</v>
      </c>
      <c r="J313" s="3">
        <v>51707722</v>
      </c>
      <c r="K313" s="3">
        <v>285064</v>
      </c>
      <c r="L313" s="3">
        <v>63942745</v>
      </c>
      <c r="M313" s="3">
        <v>532976574</v>
      </c>
      <c r="N313" s="3">
        <v>11611084</v>
      </c>
      <c r="O313" s="3">
        <v>0</v>
      </c>
      <c r="P313" s="3">
        <f t="shared" si="4"/>
        <v>688527432</v>
      </c>
    </row>
    <row r="314" spans="1:16" x14ac:dyDescent="0.25">
      <c r="A314" s="2">
        <v>45970</v>
      </c>
      <c r="B314" s="3">
        <v>11150899</v>
      </c>
      <c r="C314" s="3">
        <v>6686</v>
      </c>
      <c r="D314" s="3">
        <v>0</v>
      </c>
      <c r="E314" s="3">
        <v>1421</v>
      </c>
      <c r="F314" s="3">
        <v>0</v>
      </c>
      <c r="G314" s="3">
        <v>4299191</v>
      </c>
      <c r="H314" s="3">
        <v>0</v>
      </c>
      <c r="I314" s="3">
        <v>22038</v>
      </c>
      <c r="J314" s="3">
        <v>69670813</v>
      </c>
      <c r="K314" s="3">
        <v>182422</v>
      </c>
      <c r="L314" s="3">
        <v>51976928</v>
      </c>
      <c r="M314" s="3">
        <v>275237916</v>
      </c>
      <c r="N314" s="3">
        <v>24559256</v>
      </c>
      <c r="O314" s="3">
        <v>0</v>
      </c>
      <c r="P314" s="3">
        <f t="shared" si="4"/>
        <v>437107570</v>
      </c>
    </row>
    <row r="315" spans="1:16" x14ac:dyDescent="0.25">
      <c r="A315" s="2">
        <v>45971</v>
      </c>
      <c r="B315" s="3">
        <v>325866334</v>
      </c>
      <c r="C315" s="3">
        <v>1558740</v>
      </c>
      <c r="D315" s="3">
        <v>0</v>
      </c>
      <c r="E315" s="3">
        <v>6984890</v>
      </c>
      <c r="F315" s="3">
        <v>0</v>
      </c>
      <c r="G315" s="3">
        <v>52648107</v>
      </c>
      <c r="H315" s="3">
        <v>0</v>
      </c>
      <c r="I315" s="3">
        <v>142179</v>
      </c>
      <c r="J315" s="3">
        <v>147974781</v>
      </c>
      <c r="K315" s="3">
        <v>4034298</v>
      </c>
      <c r="L315" s="3">
        <v>208829245</v>
      </c>
      <c r="M315" s="3">
        <v>430567313</v>
      </c>
      <c r="N315" s="3">
        <v>4642855</v>
      </c>
      <c r="O315" s="3">
        <v>2</v>
      </c>
      <c r="P315" s="3">
        <f t="shared" si="4"/>
        <v>1183248744</v>
      </c>
    </row>
    <row r="316" spans="1:16" x14ac:dyDescent="0.25">
      <c r="A316" s="2">
        <v>45972</v>
      </c>
      <c r="B316" s="3">
        <v>33752588</v>
      </c>
      <c r="C316" s="3">
        <v>106667</v>
      </c>
      <c r="D316" s="3">
        <v>0</v>
      </c>
      <c r="E316" s="3">
        <v>199889</v>
      </c>
      <c r="F316" s="3">
        <v>0</v>
      </c>
      <c r="G316" s="3">
        <v>54627504</v>
      </c>
      <c r="H316" s="3">
        <v>0</v>
      </c>
      <c r="I316" s="3">
        <v>40153</v>
      </c>
      <c r="J316" s="3">
        <v>154076129</v>
      </c>
      <c r="K316" s="3">
        <v>4565251</v>
      </c>
      <c r="L316" s="3">
        <v>82793383</v>
      </c>
      <c r="M316" s="3">
        <v>169456342</v>
      </c>
      <c r="N316" s="3">
        <v>6698725</v>
      </c>
      <c r="O316" s="3">
        <v>0</v>
      </c>
      <c r="P316" s="3">
        <f t="shared" si="4"/>
        <v>506316631</v>
      </c>
    </row>
    <row r="317" spans="1:16" x14ac:dyDescent="0.25">
      <c r="A317" s="2">
        <v>45973</v>
      </c>
      <c r="B317" s="3">
        <v>20753851</v>
      </c>
      <c r="C317" s="3">
        <v>1746215</v>
      </c>
      <c r="D317" s="3">
        <v>0</v>
      </c>
      <c r="E317" s="3">
        <v>1227278</v>
      </c>
      <c r="F317" s="3">
        <v>0</v>
      </c>
      <c r="G317" s="3">
        <v>47587335</v>
      </c>
      <c r="H317" s="3">
        <v>2609286</v>
      </c>
      <c r="I317" s="3">
        <v>31946</v>
      </c>
      <c r="J317" s="3">
        <v>259923823</v>
      </c>
      <c r="K317" s="3">
        <v>13010731</v>
      </c>
      <c r="L317" s="3">
        <v>97631543</v>
      </c>
      <c r="M317" s="3">
        <v>372687786</v>
      </c>
      <c r="N317" s="3">
        <v>48822060</v>
      </c>
      <c r="O317" s="3">
        <v>0</v>
      </c>
      <c r="P317" s="3">
        <f t="shared" si="4"/>
        <v>866031854</v>
      </c>
    </row>
    <row r="318" spans="1:16" x14ac:dyDescent="0.25">
      <c r="A318" s="2">
        <v>45974</v>
      </c>
      <c r="B318" s="3">
        <v>74951273</v>
      </c>
      <c r="C318" s="3">
        <v>4468054</v>
      </c>
      <c r="D318" s="3">
        <v>0</v>
      </c>
      <c r="E318" s="3">
        <v>4900</v>
      </c>
      <c r="F318" s="3">
        <v>0</v>
      </c>
      <c r="G318" s="3">
        <v>46632203</v>
      </c>
      <c r="H318" s="3">
        <v>0</v>
      </c>
      <c r="I318" s="3">
        <v>309155</v>
      </c>
      <c r="J318" s="3">
        <v>211716441</v>
      </c>
      <c r="K318" s="3">
        <v>6996530</v>
      </c>
      <c r="L318" s="3">
        <v>71341736</v>
      </c>
      <c r="M318" s="3">
        <v>192104129</v>
      </c>
      <c r="N318" s="3">
        <v>5978693</v>
      </c>
      <c r="O318" s="3">
        <v>0</v>
      </c>
      <c r="P318" s="3">
        <f t="shared" si="4"/>
        <v>614503114</v>
      </c>
    </row>
    <row r="319" spans="1:16" x14ac:dyDescent="0.25">
      <c r="A319" s="2">
        <v>45975</v>
      </c>
      <c r="B319" s="3">
        <v>22660160</v>
      </c>
      <c r="C319" s="3">
        <v>1804282</v>
      </c>
      <c r="D319" s="3">
        <v>0</v>
      </c>
      <c r="E319" s="3">
        <v>83096</v>
      </c>
      <c r="F319" s="3">
        <v>0</v>
      </c>
      <c r="G319" s="3">
        <v>47927835</v>
      </c>
      <c r="H319" s="3">
        <v>0</v>
      </c>
      <c r="I319" s="3">
        <v>138004</v>
      </c>
      <c r="J319" s="3">
        <v>232985982</v>
      </c>
      <c r="K319" s="3">
        <v>4458152</v>
      </c>
      <c r="L319" s="3">
        <v>215902829</v>
      </c>
      <c r="M319" s="3">
        <v>221222240</v>
      </c>
      <c r="N319" s="3">
        <v>7294599</v>
      </c>
      <c r="O319" s="3">
        <v>0</v>
      </c>
      <c r="P319" s="3">
        <f t="shared" si="4"/>
        <v>754477179</v>
      </c>
    </row>
    <row r="320" spans="1:16" x14ac:dyDescent="0.25">
      <c r="A320" s="2">
        <v>45976</v>
      </c>
      <c r="B320" s="3">
        <v>17920772</v>
      </c>
      <c r="C320" s="3">
        <v>115928</v>
      </c>
      <c r="D320" s="3">
        <v>0</v>
      </c>
      <c r="E320" s="3">
        <v>22665</v>
      </c>
      <c r="F320" s="3">
        <v>0</v>
      </c>
      <c r="G320" s="3">
        <v>5372324</v>
      </c>
      <c r="H320" s="3">
        <v>0</v>
      </c>
      <c r="I320" s="3">
        <v>16574</v>
      </c>
      <c r="J320" s="3">
        <v>156471996</v>
      </c>
      <c r="K320" s="3">
        <v>125774</v>
      </c>
      <c r="L320" s="3">
        <v>54445028</v>
      </c>
      <c r="M320" s="3">
        <v>393801084</v>
      </c>
      <c r="N320" s="3">
        <v>5298839</v>
      </c>
      <c r="O320" s="3">
        <v>0</v>
      </c>
      <c r="P320" s="3">
        <f t="shared" si="4"/>
        <v>633590984</v>
      </c>
    </row>
    <row r="321" spans="1:16" x14ac:dyDescent="0.25">
      <c r="A321" s="2">
        <v>45977</v>
      </c>
      <c r="B321" s="3">
        <v>14967982</v>
      </c>
      <c r="C321" s="3">
        <v>13833</v>
      </c>
      <c r="D321" s="3">
        <v>0</v>
      </c>
      <c r="E321" s="3">
        <v>4794</v>
      </c>
      <c r="F321" s="3">
        <v>0</v>
      </c>
      <c r="G321" s="3">
        <v>4563377</v>
      </c>
      <c r="H321" s="3">
        <v>0</v>
      </c>
      <c r="I321" s="3">
        <v>7668</v>
      </c>
      <c r="J321" s="3">
        <v>60324407</v>
      </c>
      <c r="K321" s="3">
        <v>18299</v>
      </c>
      <c r="L321" s="3">
        <v>84978302</v>
      </c>
      <c r="M321" s="3">
        <v>43336188</v>
      </c>
      <c r="N321" s="3">
        <v>3759716</v>
      </c>
      <c r="O321" s="3">
        <v>0</v>
      </c>
      <c r="P321" s="3">
        <f t="shared" si="4"/>
        <v>211974566</v>
      </c>
    </row>
    <row r="322" spans="1:16" x14ac:dyDescent="0.25">
      <c r="A322" s="2">
        <v>45978</v>
      </c>
      <c r="B322" s="3">
        <v>257202764</v>
      </c>
      <c r="C322" s="3">
        <v>3486226</v>
      </c>
      <c r="D322" s="3">
        <v>0</v>
      </c>
      <c r="E322" s="3">
        <v>2577</v>
      </c>
      <c r="F322" s="3">
        <v>0</v>
      </c>
      <c r="G322" s="3">
        <v>50251636</v>
      </c>
      <c r="H322" s="3">
        <v>0</v>
      </c>
      <c r="I322" s="3">
        <v>25804</v>
      </c>
      <c r="J322" s="3">
        <v>214339882</v>
      </c>
      <c r="K322" s="3">
        <v>37523</v>
      </c>
      <c r="L322" s="3">
        <v>569186119</v>
      </c>
      <c r="M322" s="3">
        <v>268669054</v>
      </c>
      <c r="N322" s="3">
        <v>7123486</v>
      </c>
      <c r="O322" s="3">
        <v>669149</v>
      </c>
      <c r="P322" s="3">
        <f t="shared" ref="P322:P385" si="5">SUM(B322:O322)</f>
        <v>1370994220</v>
      </c>
    </row>
    <row r="323" spans="1:16" x14ac:dyDescent="0.25">
      <c r="A323" s="2">
        <v>45979</v>
      </c>
      <c r="B323" s="3">
        <v>26263360</v>
      </c>
      <c r="C323" s="3">
        <v>2143134</v>
      </c>
      <c r="D323" s="3">
        <v>0</v>
      </c>
      <c r="E323" s="3">
        <v>1254</v>
      </c>
      <c r="F323" s="3">
        <v>0</v>
      </c>
      <c r="G323" s="3">
        <v>49496893</v>
      </c>
      <c r="H323" s="3">
        <v>0</v>
      </c>
      <c r="I323" s="3">
        <v>197265</v>
      </c>
      <c r="J323" s="3">
        <v>177506288</v>
      </c>
      <c r="K323" s="3">
        <v>23089712</v>
      </c>
      <c r="L323" s="3">
        <v>240012063</v>
      </c>
      <c r="M323" s="3">
        <v>320685672</v>
      </c>
      <c r="N323" s="3">
        <v>12168791</v>
      </c>
      <c r="O323" s="3">
        <v>104329</v>
      </c>
      <c r="P323" s="3">
        <f t="shared" si="5"/>
        <v>851668761</v>
      </c>
    </row>
    <row r="324" spans="1:16" x14ac:dyDescent="0.25">
      <c r="A324" s="2">
        <v>45980</v>
      </c>
      <c r="B324" s="3">
        <v>207969205</v>
      </c>
      <c r="C324" s="3">
        <v>2884584</v>
      </c>
      <c r="D324" s="3">
        <v>0</v>
      </c>
      <c r="E324" s="3">
        <v>12702</v>
      </c>
      <c r="F324" s="3">
        <v>0</v>
      </c>
      <c r="G324" s="3">
        <v>67062185</v>
      </c>
      <c r="H324" s="3">
        <v>0</v>
      </c>
      <c r="I324" s="3">
        <v>145684</v>
      </c>
      <c r="J324" s="3">
        <v>169363723</v>
      </c>
      <c r="K324" s="3">
        <v>1094751</v>
      </c>
      <c r="L324" s="3">
        <v>301097568</v>
      </c>
      <c r="M324" s="3">
        <v>190232998</v>
      </c>
      <c r="N324" s="3">
        <v>13177836</v>
      </c>
      <c r="O324" s="3">
        <v>3562</v>
      </c>
      <c r="P324" s="3">
        <f t="shared" si="5"/>
        <v>953044798</v>
      </c>
    </row>
    <row r="325" spans="1:16" x14ac:dyDescent="0.25">
      <c r="A325" s="2">
        <v>45981</v>
      </c>
      <c r="B325" s="3">
        <v>214821120</v>
      </c>
      <c r="C325" s="3">
        <v>2026497</v>
      </c>
      <c r="D325" s="3">
        <v>0</v>
      </c>
      <c r="E325" s="3">
        <v>10702</v>
      </c>
      <c r="F325" s="3">
        <v>0</v>
      </c>
      <c r="G325" s="3">
        <v>56785995</v>
      </c>
      <c r="H325" s="3">
        <v>0</v>
      </c>
      <c r="I325" s="3">
        <v>283583</v>
      </c>
      <c r="J325" s="3">
        <v>203403514</v>
      </c>
      <c r="K325" s="3">
        <v>4529530</v>
      </c>
      <c r="L325" s="3">
        <v>220784051</v>
      </c>
      <c r="M325" s="3">
        <v>262497134</v>
      </c>
      <c r="N325" s="3">
        <v>11178836</v>
      </c>
      <c r="O325" s="3">
        <v>0</v>
      </c>
      <c r="P325" s="3">
        <f t="shared" si="5"/>
        <v>976320962</v>
      </c>
    </row>
    <row r="326" spans="1:16" x14ac:dyDescent="0.25">
      <c r="A326" s="2">
        <v>45982</v>
      </c>
      <c r="B326" s="3">
        <v>97107973</v>
      </c>
      <c r="C326" s="3">
        <v>5086482</v>
      </c>
      <c r="D326" s="3">
        <v>0</v>
      </c>
      <c r="E326" s="3">
        <v>19612439</v>
      </c>
      <c r="F326" s="3">
        <v>0</v>
      </c>
      <c r="G326" s="3">
        <v>46935374</v>
      </c>
      <c r="H326" s="3">
        <v>0</v>
      </c>
      <c r="I326" s="3">
        <v>57987</v>
      </c>
      <c r="J326" s="3">
        <v>196347493</v>
      </c>
      <c r="K326" s="3">
        <v>4363145</v>
      </c>
      <c r="L326" s="3">
        <v>711032503</v>
      </c>
      <c r="M326" s="3">
        <v>301725578</v>
      </c>
      <c r="N326" s="3">
        <v>131157745</v>
      </c>
      <c r="O326" s="3">
        <v>0</v>
      </c>
      <c r="P326" s="3">
        <f t="shared" si="5"/>
        <v>1513426719</v>
      </c>
    </row>
    <row r="327" spans="1:16" x14ac:dyDescent="0.25">
      <c r="A327" s="2">
        <v>45983</v>
      </c>
      <c r="B327" s="3">
        <v>8199060</v>
      </c>
      <c r="C327" s="3">
        <v>130145</v>
      </c>
      <c r="D327" s="3">
        <v>0</v>
      </c>
      <c r="E327" s="3">
        <v>319290</v>
      </c>
      <c r="F327" s="3">
        <v>0</v>
      </c>
      <c r="G327" s="3">
        <v>5133701</v>
      </c>
      <c r="H327" s="3">
        <v>0</v>
      </c>
      <c r="I327" s="3">
        <v>9662</v>
      </c>
      <c r="J327" s="3">
        <v>71639958</v>
      </c>
      <c r="K327" s="3">
        <v>3694</v>
      </c>
      <c r="L327" s="3">
        <v>197935964</v>
      </c>
      <c r="M327" s="3">
        <v>173418339</v>
      </c>
      <c r="N327" s="3">
        <v>5573182</v>
      </c>
      <c r="O327" s="3">
        <v>0</v>
      </c>
      <c r="P327" s="3">
        <f t="shared" si="5"/>
        <v>462362995</v>
      </c>
    </row>
    <row r="328" spans="1:16" x14ac:dyDescent="0.25">
      <c r="A328" s="2">
        <v>45984</v>
      </c>
      <c r="B328" s="3">
        <v>1149977</v>
      </c>
      <c r="C328" s="3">
        <v>73530</v>
      </c>
      <c r="D328" s="3">
        <v>0</v>
      </c>
      <c r="E328" s="3">
        <v>153913</v>
      </c>
      <c r="F328" s="3">
        <v>0</v>
      </c>
      <c r="G328" s="3">
        <v>4274115</v>
      </c>
      <c r="H328" s="3">
        <v>0</v>
      </c>
      <c r="I328" s="3">
        <v>6771</v>
      </c>
      <c r="J328" s="3">
        <v>43620771</v>
      </c>
      <c r="K328" s="3">
        <v>1104</v>
      </c>
      <c r="L328" s="3">
        <v>41794528</v>
      </c>
      <c r="M328" s="3">
        <v>320478750</v>
      </c>
      <c r="N328" s="3">
        <v>6835437</v>
      </c>
      <c r="O328" s="3">
        <v>0</v>
      </c>
      <c r="P328" s="3">
        <f t="shared" si="5"/>
        <v>418388896</v>
      </c>
    </row>
    <row r="329" spans="1:16" x14ac:dyDescent="0.25">
      <c r="A329" s="2">
        <v>45985</v>
      </c>
      <c r="B329" s="3">
        <v>85314011</v>
      </c>
      <c r="C329" s="3">
        <v>6324990</v>
      </c>
      <c r="D329" s="3">
        <v>0</v>
      </c>
      <c r="E329" s="3">
        <v>1650967</v>
      </c>
      <c r="F329" s="3">
        <v>0</v>
      </c>
      <c r="G329" s="3">
        <v>43717571</v>
      </c>
      <c r="H329" s="3">
        <v>0</v>
      </c>
      <c r="I329" s="3">
        <v>331144</v>
      </c>
      <c r="J329" s="3">
        <v>244465294</v>
      </c>
      <c r="K329" s="3">
        <v>4153222</v>
      </c>
      <c r="L329" s="3">
        <v>280128769</v>
      </c>
      <c r="M329" s="3">
        <v>309335170</v>
      </c>
      <c r="N329" s="3">
        <v>49752339</v>
      </c>
      <c r="O329" s="3">
        <v>0</v>
      </c>
      <c r="P329" s="3">
        <f t="shared" si="5"/>
        <v>1025173477</v>
      </c>
    </row>
    <row r="330" spans="1:16" x14ac:dyDescent="0.25">
      <c r="A330" s="2">
        <v>45986</v>
      </c>
      <c r="B330" s="3">
        <v>886712781</v>
      </c>
      <c r="C330" s="3">
        <v>13977922</v>
      </c>
      <c r="D330" s="3">
        <v>0</v>
      </c>
      <c r="E330" s="3">
        <v>4487604</v>
      </c>
      <c r="F330" s="3">
        <v>0</v>
      </c>
      <c r="G330" s="3">
        <v>37014442</v>
      </c>
      <c r="H330" s="3">
        <v>0</v>
      </c>
      <c r="I330" s="3">
        <v>66005</v>
      </c>
      <c r="J330" s="3">
        <v>122798164</v>
      </c>
      <c r="K330" s="3">
        <v>7517</v>
      </c>
      <c r="L330" s="3">
        <v>351155302</v>
      </c>
      <c r="M330" s="3">
        <v>245469430</v>
      </c>
      <c r="N330" s="3">
        <v>7125798</v>
      </c>
      <c r="O330" s="3">
        <v>0</v>
      </c>
      <c r="P330" s="3">
        <f t="shared" si="5"/>
        <v>1668814965</v>
      </c>
    </row>
    <row r="331" spans="1:16" x14ac:dyDescent="0.25">
      <c r="A331" s="2">
        <v>45987</v>
      </c>
      <c r="B331" s="3">
        <v>68562390</v>
      </c>
      <c r="C331" s="3">
        <v>3576476</v>
      </c>
      <c r="D331" s="3">
        <v>0</v>
      </c>
      <c r="E331" s="3">
        <v>6320788</v>
      </c>
      <c r="F331" s="3">
        <v>0</v>
      </c>
      <c r="G331" s="3">
        <v>66848176</v>
      </c>
      <c r="H331" s="3">
        <v>0</v>
      </c>
      <c r="I331" s="3">
        <v>627200</v>
      </c>
      <c r="J331" s="3">
        <v>98845238</v>
      </c>
      <c r="K331" s="3">
        <v>4101269</v>
      </c>
      <c r="L331" s="3">
        <v>129614830</v>
      </c>
      <c r="M331" s="3">
        <v>498606567</v>
      </c>
      <c r="N331" s="3">
        <v>18960499</v>
      </c>
      <c r="O331" s="3">
        <v>0</v>
      </c>
      <c r="P331" s="3">
        <f t="shared" si="5"/>
        <v>896063433</v>
      </c>
    </row>
    <row r="332" spans="1:16" x14ac:dyDescent="0.25">
      <c r="A332" s="2">
        <v>45988</v>
      </c>
      <c r="B332" s="3">
        <v>139863466</v>
      </c>
      <c r="C332" s="3">
        <v>5840093</v>
      </c>
      <c r="D332" s="3">
        <v>0</v>
      </c>
      <c r="E332" s="3">
        <v>2532561</v>
      </c>
      <c r="F332" s="3">
        <v>0</v>
      </c>
      <c r="G332" s="3">
        <v>14633244</v>
      </c>
      <c r="H332" s="3">
        <v>0</v>
      </c>
      <c r="I332" s="3">
        <v>528401</v>
      </c>
      <c r="J332" s="3">
        <v>63822443</v>
      </c>
      <c r="K332" s="3">
        <v>639736</v>
      </c>
      <c r="L332" s="3">
        <v>208017088</v>
      </c>
      <c r="M332" s="3">
        <v>2900970638</v>
      </c>
      <c r="N332" s="3">
        <v>14161970</v>
      </c>
      <c r="O332" s="3">
        <v>0</v>
      </c>
      <c r="P332" s="3">
        <f t="shared" si="5"/>
        <v>3351009640</v>
      </c>
    </row>
    <row r="333" spans="1:16" x14ac:dyDescent="0.25">
      <c r="A333" s="2">
        <v>45989</v>
      </c>
      <c r="B333" s="3">
        <v>110085724</v>
      </c>
      <c r="C333" s="3">
        <v>5199318</v>
      </c>
      <c r="D333" s="3">
        <v>0</v>
      </c>
      <c r="E333" s="3">
        <v>2603054</v>
      </c>
      <c r="F333" s="3">
        <v>0</v>
      </c>
      <c r="G333" s="3">
        <v>48068822</v>
      </c>
      <c r="H333" s="3">
        <v>0</v>
      </c>
      <c r="I333" s="3">
        <v>370952</v>
      </c>
      <c r="J333" s="3">
        <v>113227710</v>
      </c>
      <c r="K333" s="3">
        <v>11179367</v>
      </c>
      <c r="L333" s="3">
        <v>144748075</v>
      </c>
      <c r="M333" s="3">
        <v>665603330</v>
      </c>
      <c r="N333" s="3">
        <v>2580744</v>
      </c>
      <c r="O333" s="3">
        <v>0</v>
      </c>
      <c r="P333" s="3">
        <f t="shared" si="5"/>
        <v>1103667096</v>
      </c>
    </row>
    <row r="334" spans="1:16" x14ac:dyDescent="0.25">
      <c r="A334" s="2">
        <v>45990</v>
      </c>
      <c r="B334" s="3">
        <v>4520795</v>
      </c>
      <c r="C334" s="3">
        <v>12590</v>
      </c>
      <c r="D334" s="3">
        <v>0</v>
      </c>
      <c r="E334" s="3">
        <v>133850</v>
      </c>
      <c r="F334" s="3">
        <v>0</v>
      </c>
      <c r="G334" s="3">
        <v>6970524</v>
      </c>
      <c r="H334" s="3">
        <v>0</v>
      </c>
      <c r="I334" s="3">
        <v>173576</v>
      </c>
      <c r="J334" s="3">
        <v>154644670</v>
      </c>
      <c r="K334" s="3">
        <v>7772</v>
      </c>
      <c r="L334" s="3">
        <v>36518020</v>
      </c>
      <c r="M334" s="3">
        <v>649558203</v>
      </c>
      <c r="N334" s="3">
        <v>23837442</v>
      </c>
      <c r="O334" s="3">
        <v>0</v>
      </c>
      <c r="P334" s="3">
        <f t="shared" si="5"/>
        <v>876377442</v>
      </c>
    </row>
    <row r="335" spans="1:16" x14ac:dyDescent="0.25">
      <c r="A335" s="2">
        <v>45991</v>
      </c>
      <c r="B335" s="3">
        <v>3182775</v>
      </c>
      <c r="C335" s="3">
        <v>237684</v>
      </c>
      <c r="D335" s="3">
        <v>0</v>
      </c>
      <c r="E335" s="3">
        <v>158096</v>
      </c>
      <c r="F335" s="3">
        <v>0</v>
      </c>
      <c r="G335" s="3">
        <v>25185183</v>
      </c>
      <c r="H335" s="3">
        <v>0</v>
      </c>
      <c r="I335" s="3">
        <v>25256</v>
      </c>
      <c r="J335" s="3">
        <v>55271994</v>
      </c>
      <c r="K335" s="3">
        <v>203518</v>
      </c>
      <c r="L335" s="3">
        <v>74802859</v>
      </c>
      <c r="M335" s="3">
        <v>271447073</v>
      </c>
      <c r="N335" s="3">
        <v>10809445</v>
      </c>
      <c r="O335" s="3">
        <v>0</v>
      </c>
      <c r="P335" s="3">
        <f t="shared" si="5"/>
        <v>441323883</v>
      </c>
    </row>
    <row r="336" spans="1:16" x14ac:dyDescent="0.25">
      <c r="A336" s="2">
        <v>45992</v>
      </c>
      <c r="B336" s="3">
        <v>46322869</v>
      </c>
      <c r="C336" s="3">
        <v>8516083</v>
      </c>
      <c r="D336" s="3">
        <v>0</v>
      </c>
      <c r="E336" s="3">
        <v>1457755</v>
      </c>
      <c r="F336" s="3">
        <v>0</v>
      </c>
      <c r="G336" s="3">
        <v>121638057</v>
      </c>
      <c r="H336" s="3">
        <v>0</v>
      </c>
      <c r="I336" s="3">
        <v>236526</v>
      </c>
      <c r="J336" s="3">
        <v>238988294</v>
      </c>
      <c r="K336" s="3">
        <v>282954</v>
      </c>
      <c r="L336" s="3">
        <v>181795016</v>
      </c>
      <c r="M336" s="3">
        <v>845671303</v>
      </c>
      <c r="N336" s="3">
        <v>5263662</v>
      </c>
      <c r="O336" s="3">
        <v>46</v>
      </c>
      <c r="P336" s="3">
        <f t="shared" si="5"/>
        <v>1450172565</v>
      </c>
    </row>
    <row r="337" spans="1:16" x14ac:dyDescent="0.25">
      <c r="A337" s="2">
        <v>45993</v>
      </c>
      <c r="B337" s="3">
        <v>14259973</v>
      </c>
      <c r="C337" s="3">
        <v>7748226</v>
      </c>
      <c r="D337" s="3">
        <v>0</v>
      </c>
      <c r="E337" s="3">
        <v>775613</v>
      </c>
      <c r="F337" s="3">
        <v>0</v>
      </c>
      <c r="G337" s="3">
        <v>88242860</v>
      </c>
      <c r="H337" s="3">
        <v>0</v>
      </c>
      <c r="I337" s="3">
        <v>752763</v>
      </c>
      <c r="J337" s="3">
        <v>166254406</v>
      </c>
      <c r="K337" s="3">
        <v>610398</v>
      </c>
      <c r="L337" s="3">
        <v>208369248</v>
      </c>
      <c r="M337" s="3">
        <v>398602188</v>
      </c>
      <c r="N337" s="3">
        <v>10277638</v>
      </c>
      <c r="O337" s="3">
        <v>46360</v>
      </c>
      <c r="P337" s="3">
        <f t="shared" si="5"/>
        <v>895939673</v>
      </c>
    </row>
    <row r="338" spans="1:16" x14ac:dyDescent="0.25">
      <c r="A338" s="2">
        <v>45994</v>
      </c>
      <c r="B338" s="3">
        <v>300470857</v>
      </c>
      <c r="C338" s="3">
        <v>1889268</v>
      </c>
      <c r="D338" s="3">
        <v>0</v>
      </c>
      <c r="E338" s="3">
        <v>683616</v>
      </c>
      <c r="F338" s="3">
        <v>0</v>
      </c>
      <c r="G338" s="3">
        <v>45333549</v>
      </c>
      <c r="H338" s="3">
        <v>0</v>
      </c>
      <c r="I338" s="3">
        <v>741729</v>
      </c>
      <c r="J338" s="3">
        <v>122365044</v>
      </c>
      <c r="K338" s="3">
        <v>1021552</v>
      </c>
      <c r="L338" s="3">
        <v>367841162</v>
      </c>
      <c r="M338" s="3">
        <v>324970453</v>
      </c>
      <c r="N338" s="3">
        <v>4238328</v>
      </c>
      <c r="O338" s="3">
        <v>628</v>
      </c>
      <c r="P338" s="3">
        <f t="shared" si="5"/>
        <v>1169556186</v>
      </c>
    </row>
    <row r="339" spans="1:16" x14ac:dyDescent="0.25">
      <c r="A339" s="2">
        <v>45995</v>
      </c>
      <c r="B339" s="3">
        <v>135223986</v>
      </c>
      <c r="C339" s="3">
        <v>2820567</v>
      </c>
      <c r="D339" s="3">
        <v>0</v>
      </c>
      <c r="E339" s="3">
        <v>1563865</v>
      </c>
      <c r="F339" s="3">
        <v>0</v>
      </c>
      <c r="G339" s="3">
        <v>68766951</v>
      </c>
      <c r="H339" s="3">
        <v>0</v>
      </c>
      <c r="I339" s="3">
        <v>589749</v>
      </c>
      <c r="J339" s="3">
        <v>88953211</v>
      </c>
      <c r="K339" s="3">
        <v>28815991</v>
      </c>
      <c r="L339" s="3">
        <v>111367870</v>
      </c>
      <c r="M339" s="3">
        <v>252134011</v>
      </c>
      <c r="N339" s="3">
        <v>9471194</v>
      </c>
      <c r="O339" s="3">
        <v>0</v>
      </c>
      <c r="P339" s="3">
        <f t="shared" si="5"/>
        <v>699707395</v>
      </c>
    </row>
    <row r="340" spans="1:16" x14ac:dyDescent="0.25">
      <c r="A340" s="2">
        <v>45996</v>
      </c>
      <c r="B340" s="3">
        <v>30513815</v>
      </c>
      <c r="C340" s="3">
        <v>2117898</v>
      </c>
      <c r="D340" s="3">
        <v>0</v>
      </c>
      <c r="E340" s="3">
        <v>1749247</v>
      </c>
      <c r="F340" s="3">
        <v>0</v>
      </c>
      <c r="G340" s="3">
        <v>93740117</v>
      </c>
      <c r="H340" s="3">
        <v>0</v>
      </c>
      <c r="I340" s="3">
        <v>172644</v>
      </c>
      <c r="J340" s="3">
        <v>91886125</v>
      </c>
      <c r="K340" s="3">
        <v>13773433</v>
      </c>
      <c r="L340" s="3">
        <v>246328086</v>
      </c>
      <c r="M340" s="3">
        <v>678939921</v>
      </c>
      <c r="N340" s="3">
        <v>2617990</v>
      </c>
      <c r="O340" s="3">
        <v>1004853</v>
      </c>
      <c r="P340" s="3">
        <f t="shared" si="5"/>
        <v>1162844129</v>
      </c>
    </row>
    <row r="341" spans="1:16" x14ac:dyDescent="0.25">
      <c r="A341" s="2">
        <v>45997</v>
      </c>
      <c r="B341" s="3">
        <v>1043926</v>
      </c>
      <c r="C341" s="3">
        <v>101911</v>
      </c>
      <c r="D341" s="3">
        <v>0</v>
      </c>
      <c r="E341" s="3">
        <v>207728</v>
      </c>
      <c r="F341" s="3">
        <v>0</v>
      </c>
      <c r="G341" s="3">
        <v>5734236</v>
      </c>
      <c r="H341" s="3">
        <v>0</v>
      </c>
      <c r="I341" s="3">
        <v>14133</v>
      </c>
      <c r="J341" s="3">
        <v>28782332</v>
      </c>
      <c r="K341" s="3">
        <v>1418</v>
      </c>
      <c r="L341" s="3">
        <v>57303850</v>
      </c>
      <c r="M341" s="3">
        <v>141027107</v>
      </c>
      <c r="N341" s="3">
        <v>1872339</v>
      </c>
      <c r="O341" s="3">
        <v>0</v>
      </c>
      <c r="P341" s="3">
        <f t="shared" si="5"/>
        <v>236088980</v>
      </c>
    </row>
    <row r="342" spans="1:16" x14ac:dyDescent="0.25">
      <c r="A342" s="2">
        <v>45998</v>
      </c>
      <c r="B342" s="3">
        <v>2144833</v>
      </c>
      <c r="C342" s="3">
        <v>13580</v>
      </c>
      <c r="D342" s="3">
        <v>0</v>
      </c>
      <c r="E342" s="3">
        <v>816930</v>
      </c>
      <c r="F342" s="3">
        <v>0</v>
      </c>
      <c r="G342" s="3">
        <v>9651933</v>
      </c>
      <c r="H342" s="3">
        <v>0</v>
      </c>
      <c r="I342" s="3">
        <v>13363</v>
      </c>
      <c r="J342" s="3">
        <v>52412661</v>
      </c>
      <c r="K342" s="3">
        <v>1027</v>
      </c>
      <c r="L342" s="3">
        <v>51386218</v>
      </c>
      <c r="M342" s="3">
        <v>136005194</v>
      </c>
      <c r="N342" s="3">
        <v>1800486</v>
      </c>
      <c r="O342" s="3">
        <v>0</v>
      </c>
      <c r="P342" s="3">
        <f t="shared" si="5"/>
        <v>254246225</v>
      </c>
    </row>
    <row r="343" spans="1:16" x14ac:dyDescent="0.25">
      <c r="A343" s="2">
        <v>45999</v>
      </c>
      <c r="B343" s="3">
        <v>20449835</v>
      </c>
      <c r="C343" s="3">
        <v>3683322</v>
      </c>
      <c r="D343" s="3">
        <v>0</v>
      </c>
      <c r="E343" s="3">
        <v>3275361</v>
      </c>
      <c r="F343" s="3">
        <v>0</v>
      </c>
      <c r="G343" s="3">
        <v>78654867</v>
      </c>
      <c r="H343" s="3">
        <v>0</v>
      </c>
      <c r="I343" s="3">
        <v>5254</v>
      </c>
      <c r="J343" s="3">
        <v>76492276</v>
      </c>
      <c r="K343" s="3">
        <v>124915620</v>
      </c>
      <c r="L343" s="3">
        <v>81166773</v>
      </c>
      <c r="M343" s="3">
        <v>249206840</v>
      </c>
      <c r="N343" s="3">
        <v>3472611</v>
      </c>
      <c r="O343" s="3">
        <v>0</v>
      </c>
      <c r="P343" s="3">
        <f t="shared" si="5"/>
        <v>641322759</v>
      </c>
    </row>
    <row r="344" spans="1:16" x14ac:dyDescent="0.25">
      <c r="A344" s="2">
        <v>46000</v>
      </c>
      <c r="B344" s="3">
        <v>339204028</v>
      </c>
      <c r="C344" s="3">
        <v>3211687</v>
      </c>
      <c r="D344" s="3">
        <v>0</v>
      </c>
      <c r="E344" s="3">
        <v>4470061</v>
      </c>
      <c r="F344" s="3">
        <v>0</v>
      </c>
      <c r="G344" s="3">
        <v>77167588</v>
      </c>
      <c r="H344" s="3">
        <v>0</v>
      </c>
      <c r="I344" s="3">
        <v>587159</v>
      </c>
      <c r="J344" s="3">
        <v>203590472</v>
      </c>
      <c r="K344" s="3">
        <v>15438216</v>
      </c>
      <c r="L344" s="3">
        <v>341879540</v>
      </c>
      <c r="M344" s="3">
        <v>466642327</v>
      </c>
      <c r="N344" s="3">
        <v>16045885</v>
      </c>
      <c r="O344" s="3">
        <v>75238</v>
      </c>
      <c r="P344" s="3">
        <f t="shared" si="5"/>
        <v>1468312201</v>
      </c>
    </row>
    <row r="345" spans="1:16" x14ac:dyDescent="0.25">
      <c r="A345" s="2">
        <v>46001</v>
      </c>
      <c r="B345" s="3">
        <v>156424091</v>
      </c>
      <c r="C345" s="3">
        <v>117867174</v>
      </c>
      <c r="D345" s="3">
        <v>0</v>
      </c>
      <c r="E345" s="3">
        <v>1910847</v>
      </c>
      <c r="F345" s="3">
        <v>0</v>
      </c>
      <c r="G345" s="3">
        <v>136683751</v>
      </c>
      <c r="H345" s="3">
        <v>0</v>
      </c>
      <c r="I345" s="3">
        <v>49685</v>
      </c>
      <c r="J345" s="3">
        <v>94092288</v>
      </c>
      <c r="K345" s="3">
        <v>465257</v>
      </c>
      <c r="L345" s="3">
        <v>127026196</v>
      </c>
      <c r="M345" s="3">
        <v>411236515</v>
      </c>
      <c r="N345" s="3">
        <v>8963413</v>
      </c>
      <c r="O345" s="3">
        <v>0</v>
      </c>
      <c r="P345" s="3">
        <f t="shared" si="5"/>
        <v>1054719217</v>
      </c>
    </row>
    <row r="346" spans="1:16" x14ac:dyDescent="0.25">
      <c r="A346" s="2">
        <v>46002</v>
      </c>
      <c r="B346" s="3">
        <v>84450290</v>
      </c>
      <c r="C346" s="3">
        <v>5946679</v>
      </c>
      <c r="D346" s="3">
        <v>0</v>
      </c>
      <c r="E346" s="3">
        <v>50323611</v>
      </c>
      <c r="F346" s="3">
        <v>0</v>
      </c>
      <c r="G346" s="3">
        <v>84899481</v>
      </c>
      <c r="H346" s="3">
        <v>0</v>
      </c>
      <c r="I346" s="3">
        <v>114478</v>
      </c>
      <c r="J346" s="3">
        <v>137418203</v>
      </c>
      <c r="K346" s="3">
        <v>551060</v>
      </c>
      <c r="L346" s="3">
        <v>211678370</v>
      </c>
      <c r="M346" s="3">
        <v>311290562</v>
      </c>
      <c r="N346" s="3">
        <v>4983360</v>
      </c>
      <c r="O346" s="3">
        <v>304886</v>
      </c>
      <c r="P346" s="3">
        <f t="shared" si="5"/>
        <v>891960980</v>
      </c>
    </row>
    <row r="347" spans="1:16" x14ac:dyDescent="0.25">
      <c r="A347" s="2">
        <v>46003</v>
      </c>
      <c r="B347" s="3">
        <v>33634734</v>
      </c>
      <c r="C347" s="3">
        <v>1496968</v>
      </c>
      <c r="D347" s="3">
        <v>0</v>
      </c>
      <c r="E347" s="3">
        <v>330179</v>
      </c>
      <c r="F347" s="3">
        <v>0</v>
      </c>
      <c r="G347" s="3">
        <v>200188443</v>
      </c>
      <c r="H347" s="3">
        <v>0</v>
      </c>
      <c r="I347" s="3">
        <v>162740</v>
      </c>
      <c r="J347" s="3">
        <v>180587671</v>
      </c>
      <c r="K347" s="3">
        <v>1592124</v>
      </c>
      <c r="L347" s="3">
        <v>69382209</v>
      </c>
      <c r="M347" s="3">
        <v>183589310</v>
      </c>
      <c r="N347" s="3">
        <v>40411398</v>
      </c>
      <c r="O347" s="3">
        <v>0</v>
      </c>
      <c r="P347" s="3">
        <f t="shared" si="5"/>
        <v>711375776</v>
      </c>
    </row>
    <row r="348" spans="1:16" x14ac:dyDescent="0.25">
      <c r="A348" s="2">
        <v>46004</v>
      </c>
      <c r="B348" s="3">
        <v>297386</v>
      </c>
      <c r="C348" s="3">
        <v>121662</v>
      </c>
      <c r="D348" s="3">
        <v>0</v>
      </c>
      <c r="E348" s="3">
        <v>366674</v>
      </c>
      <c r="F348" s="3">
        <v>0</v>
      </c>
      <c r="G348" s="3">
        <v>14911664</v>
      </c>
      <c r="H348" s="3">
        <v>0</v>
      </c>
      <c r="I348" s="3">
        <v>21942</v>
      </c>
      <c r="J348" s="3">
        <v>58103078</v>
      </c>
      <c r="K348" s="3">
        <v>2335</v>
      </c>
      <c r="L348" s="3">
        <v>162495949</v>
      </c>
      <c r="M348" s="3">
        <v>189378672</v>
      </c>
      <c r="N348" s="3">
        <v>28386487</v>
      </c>
      <c r="O348" s="3">
        <v>0</v>
      </c>
      <c r="P348" s="3">
        <f t="shared" si="5"/>
        <v>454085849</v>
      </c>
    </row>
    <row r="349" spans="1:16" x14ac:dyDescent="0.25">
      <c r="A349" s="2">
        <v>46005</v>
      </c>
      <c r="B349" s="3">
        <v>1473633</v>
      </c>
      <c r="C349" s="3">
        <v>646993</v>
      </c>
      <c r="D349" s="3">
        <v>0</v>
      </c>
      <c r="E349" s="3">
        <v>247413</v>
      </c>
      <c r="F349" s="3">
        <v>0</v>
      </c>
      <c r="G349" s="3">
        <v>5203872</v>
      </c>
      <c r="H349" s="3">
        <v>0</v>
      </c>
      <c r="I349" s="3">
        <v>40443</v>
      </c>
      <c r="J349" s="3">
        <v>61668559</v>
      </c>
      <c r="K349" s="3">
        <v>3971</v>
      </c>
      <c r="L349" s="3">
        <v>57301021</v>
      </c>
      <c r="M349" s="3">
        <v>159106835</v>
      </c>
      <c r="N349" s="3">
        <v>8377018</v>
      </c>
      <c r="O349" s="3">
        <v>0</v>
      </c>
      <c r="P349" s="3">
        <f t="shared" si="5"/>
        <v>294069758</v>
      </c>
    </row>
    <row r="350" spans="1:16" x14ac:dyDescent="0.25">
      <c r="A350" s="2">
        <v>46006</v>
      </c>
      <c r="B350" s="3">
        <v>23925665</v>
      </c>
      <c r="C350" s="3">
        <v>4474015</v>
      </c>
      <c r="D350" s="3">
        <v>0</v>
      </c>
      <c r="E350" s="3">
        <v>92471</v>
      </c>
      <c r="F350" s="3">
        <v>0</v>
      </c>
      <c r="G350" s="3">
        <v>166656916</v>
      </c>
      <c r="H350" s="3">
        <v>0</v>
      </c>
      <c r="I350" s="3">
        <v>767559</v>
      </c>
      <c r="J350" s="3">
        <v>178520553</v>
      </c>
      <c r="K350" s="3">
        <v>851952</v>
      </c>
      <c r="L350" s="3">
        <v>61879454</v>
      </c>
      <c r="M350" s="3">
        <v>214153168</v>
      </c>
      <c r="N350" s="3">
        <v>10357183</v>
      </c>
      <c r="O350" s="3">
        <v>46</v>
      </c>
      <c r="P350" s="3">
        <f t="shared" si="5"/>
        <v>661678982</v>
      </c>
    </row>
    <row r="351" spans="1:16" x14ac:dyDescent="0.25">
      <c r="A351" s="2">
        <v>46007</v>
      </c>
      <c r="B351" s="3">
        <v>192709072</v>
      </c>
      <c r="C351" s="3">
        <v>4227845</v>
      </c>
      <c r="D351" s="3">
        <v>0</v>
      </c>
      <c r="E351" s="3">
        <v>150744041</v>
      </c>
      <c r="F351" s="3">
        <v>0</v>
      </c>
      <c r="G351" s="3">
        <v>106432358</v>
      </c>
      <c r="H351" s="3">
        <v>0</v>
      </c>
      <c r="I351" s="3">
        <v>574958</v>
      </c>
      <c r="J351" s="3">
        <v>144660804</v>
      </c>
      <c r="K351" s="3">
        <v>333738</v>
      </c>
      <c r="L351" s="3">
        <v>122441243</v>
      </c>
      <c r="M351" s="3">
        <v>113327702</v>
      </c>
      <c r="N351" s="3">
        <v>19835357</v>
      </c>
      <c r="O351" s="3">
        <v>0</v>
      </c>
      <c r="P351" s="3">
        <f t="shared" si="5"/>
        <v>855287118</v>
      </c>
    </row>
    <row r="352" spans="1:16" x14ac:dyDescent="0.25">
      <c r="A352" s="2">
        <v>46008</v>
      </c>
      <c r="B352" s="3">
        <v>67779191</v>
      </c>
      <c r="C352" s="3">
        <v>6279643</v>
      </c>
      <c r="D352" s="3">
        <v>0</v>
      </c>
      <c r="E352" s="3">
        <v>814171</v>
      </c>
      <c r="F352" s="3">
        <v>0</v>
      </c>
      <c r="G352" s="3">
        <v>176763211</v>
      </c>
      <c r="H352" s="3">
        <v>0</v>
      </c>
      <c r="I352" s="3">
        <v>485112</v>
      </c>
      <c r="J352" s="3">
        <v>141795848</v>
      </c>
      <c r="K352" s="3">
        <v>217192</v>
      </c>
      <c r="L352" s="3">
        <v>193422512</v>
      </c>
      <c r="M352" s="3">
        <v>144373218</v>
      </c>
      <c r="N352" s="3">
        <v>19268575</v>
      </c>
      <c r="O352" s="3">
        <v>95860</v>
      </c>
      <c r="P352" s="3">
        <f t="shared" si="5"/>
        <v>751294533</v>
      </c>
    </row>
    <row r="353" spans="1:16" x14ac:dyDescent="0.25">
      <c r="A353" s="2">
        <v>46009</v>
      </c>
      <c r="B353" s="3">
        <v>230308252</v>
      </c>
      <c r="C353" s="3">
        <v>7881015</v>
      </c>
      <c r="D353" s="3">
        <v>0</v>
      </c>
      <c r="E353" s="3">
        <v>896095</v>
      </c>
      <c r="F353" s="3">
        <v>0</v>
      </c>
      <c r="G353" s="3">
        <v>133735244</v>
      </c>
      <c r="H353" s="3">
        <v>0</v>
      </c>
      <c r="I353" s="3">
        <v>348258</v>
      </c>
      <c r="J353" s="3">
        <v>123649172</v>
      </c>
      <c r="K353" s="3">
        <v>2247239</v>
      </c>
      <c r="L353" s="3">
        <v>231516318</v>
      </c>
      <c r="M353" s="3">
        <v>263066130</v>
      </c>
      <c r="N353" s="3">
        <v>92368562</v>
      </c>
      <c r="O353" s="3">
        <v>0</v>
      </c>
      <c r="P353" s="3">
        <f t="shared" si="5"/>
        <v>1086016285</v>
      </c>
    </row>
    <row r="354" spans="1:16" x14ac:dyDescent="0.25">
      <c r="A354" s="2">
        <v>46010</v>
      </c>
      <c r="B354" s="3">
        <v>58859651</v>
      </c>
      <c r="C354" s="3">
        <v>3006663</v>
      </c>
      <c r="D354" s="3">
        <v>0</v>
      </c>
      <c r="E354" s="3">
        <v>460065</v>
      </c>
      <c r="F354" s="3">
        <v>0</v>
      </c>
      <c r="G354" s="3">
        <v>131905869</v>
      </c>
      <c r="H354" s="3">
        <v>0</v>
      </c>
      <c r="I354" s="3">
        <v>332089</v>
      </c>
      <c r="J354" s="3">
        <v>55519877</v>
      </c>
      <c r="K354" s="3">
        <v>446771</v>
      </c>
      <c r="L354" s="3">
        <v>106618568</v>
      </c>
      <c r="M354" s="3">
        <v>149705845</v>
      </c>
      <c r="N354" s="3">
        <v>15193442</v>
      </c>
      <c r="O354" s="3">
        <v>0</v>
      </c>
      <c r="P354" s="3">
        <f t="shared" si="5"/>
        <v>522048840</v>
      </c>
    </row>
    <row r="355" spans="1:16" x14ac:dyDescent="0.25">
      <c r="A355" s="2">
        <v>46011</v>
      </c>
      <c r="B355" s="3">
        <v>1574661</v>
      </c>
      <c r="C355" s="3">
        <v>100381</v>
      </c>
      <c r="D355" s="3">
        <v>0</v>
      </c>
      <c r="E355" s="3">
        <v>1199024</v>
      </c>
      <c r="F355" s="3">
        <v>0</v>
      </c>
      <c r="G355" s="3">
        <v>25437710</v>
      </c>
      <c r="H355" s="3">
        <v>0</v>
      </c>
      <c r="I355" s="3">
        <v>151392</v>
      </c>
      <c r="J355" s="3">
        <v>23948567</v>
      </c>
      <c r="K355" s="3">
        <v>1725</v>
      </c>
      <c r="L355" s="3">
        <v>67481372</v>
      </c>
      <c r="M355" s="3">
        <v>44576473</v>
      </c>
      <c r="N355" s="3">
        <v>16137401</v>
      </c>
      <c r="O355" s="3">
        <v>0</v>
      </c>
      <c r="P355" s="3">
        <f t="shared" si="5"/>
        <v>180608706</v>
      </c>
    </row>
    <row r="356" spans="1:16" x14ac:dyDescent="0.25">
      <c r="A356" s="2">
        <v>46012</v>
      </c>
      <c r="B356" s="3">
        <v>3419391</v>
      </c>
      <c r="C356" s="3">
        <v>148435</v>
      </c>
      <c r="D356" s="3">
        <v>0</v>
      </c>
      <c r="E356" s="3">
        <v>839037</v>
      </c>
      <c r="F356" s="3">
        <v>0</v>
      </c>
      <c r="G356" s="3">
        <v>4275915</v>
      </c>
      <c r="H356" s="3">
        <v>0</v>
      </c>
      <c r="I356" s="3">
        <v>165107</v>
      </c>
      <c r="J356" s="3">
        <v>39608221</v>
      </c>
      <c r="K356" s="3">
        <v>2087</v>
      </c>
      <c r="L356" s="3">
        <v>70820298</v>
      </c>
      <c r="M356" s="3">
        <v>91609655</v>
      </c>
      <c r="N356" s="3">
        <v>6217997</v>
      </c>
      <c r="O356" s="3">
        <v>0</v>
      </c>
      <c r="P356" s="3">
        <f t="shared" si="5"/>
        <v>217106143</v>
      </c>
    </row>
    <row r="357" spans="1:16" x14ac:dyDescent="0.25">
      <c r="A357" s="2">
        <v>46013</v>
      </c>
      <c r="B357" s="3">
        <v>117523016</v>
      </c>
      <c r="C357" s="3">
        <v>14272182</v>
      </c>
      <c r="D357" s="3">
        <v>0</v>
      </c>
      <c r="E357" s="3">
        <v>794480</v>
      </c>
      <c r="F357" s="3">
        <v>0</v>
      </c>
      <c r="G357" s="3">
        <v>160732634</v>
      </c>
      <c r="H357" s="3">
        <v>0</v>
      </c>
      <c r="I357" s="3">
        <v>485593</v>
      </c>
      <c r="J357" s="3">
        <v>203429860</v>
      </c>
      <c r="K357" s="3">
        <v>1561085</v>
      </c>
      <c r="L357" s="3">
        <v>451168407</v>
      </c>
      <c r="M357" s="3">
        <v>100107752</v>
      </c>
      <c r="N357" s="3">
        <v>35069050</v>
      </c>
      <c r="O357" s="3">
        <v>0</v>
      </c>
      <c r="P357" s="3">
        <f t="shared" si="5"/>
        <v>1085144059</v>
      </c>
    </row>
    <row r="358" spans="1:16" x14ac:dyDescent="0.25">
      <c r="A358" s="2">
        <v>46014</v>
      </c>
      <c r="B358" s="3">
        <v>217199875</v>
      </c>
      <c r="C358" s="3">
        <v>3890927</v>
      </c>
      <c r="D358" s="3">
        <v>0</v>
      </c>
      <c r="E358" s="3">
        <v>476580</v>
      </c>
      <c r="F358" s="3">
        <v>0</v>
      </c>
      <c r="G358" s="3">
        <v>91644297</v>
      </c>
      <c r="H358" s="3">
        <v>0</v>
      </c>
      <c r="I358" s="3">
        <v>377541</v>
      </c>
      <c r="J358" s="3">
        <v>205980170</v>
      </c>
      <c r="K358" s="3">
        <v>2677036</v>
      </c>
      <c r="L358" s="3">
        <v>451471981</v>
      </c>
      <c r="M358" s="3">
        <v>75247139</v>
      </c>
      <c r="N358" s="3">
        <v>10268812</v>
      </c>
      <c r="O358" s="3">
        <v>0</v>
      </c>
      <c r="P358" s="3">
        <f t="shared" si="5"/>
        <v>1059234358</v>
      </c>
    </row>
    <row r="359" spans="1:16" x14ac:dyDescent="0.25">
      <c r="A359" s="2">
        <v>46015</v>
      </c>
      <c r="B359" s="3">
        <v>70278326</v>
      </c>
      <c r="C359" s="3">
        <v>2833139</v>
      </c>
      <c r="D359" s="3">
        <v>0</v>
      </c>
      <c r="E359" s="3">
        <v>1490277</v>
      </c>
      <c r="F359" s="3">
        <v>0</v>
      </c>
      <c r="G359" s="3">
        <v>152928126</v>
      </c>
      <c r="H359" s="3">
        <v>0</v>
      </c>
      <c r="I359" s="3">
        <v>71617</v>
      </c>
      <c r="J359" s="3">
        <v>221786855</v>
      </c>
      <c r="K359" s="3">
        <v>11284126</v>
      </c>
      <c r="L359" s="3">
        <v>528815508</v>
      </c>
      <c r="M359" s="3">
        <v>148138101</v>
      </c>
      <c r="N359" s="3">
        <v>20605943</v>
      </c>
      <c r="O359" s="3">
        <v>0</v>
      </c>
      <c r="P359" s="3">
        <f t="shared" si="5"/>
        <v>1158232018</v>
      </c>
    </row>
    <row r="360" spans="1:16" x14ac:dyDescent="0.25">
      <c r="A360" s="2">
        <v>46016</v>
      </c>
      <c r="B360" s="3">
        <v>910342</v>
      </c>
      <c r="C360" s="3">
        <v>71112</v>
      </c>
      <c r="D360" s="3">
        <v>0</v>
      </c>
      <c r="E360" s="3">
        <v>1344897</v>
      </c>
      <c r="F360" s="3">
        <v>0</v>
      </c>
      <c r="G360" s="3">
        <v>3847690</v>
      </c>
      <c r="H360" s="3">
        <v>0</v>
      </c>
      <c r="I360" s="3">
        <v>22172</v>
      </c>
      <c r="J360" s="3">
        <v>101493349</v>
      </c>
      <c r="K360" s="3">
        <v>320833</v>
      </c>
      <c r="L360" s="3">
        <v>157597629</v>
      </c>
      <c r="M360" s="3">
        <v>82250406</v>
      </c>
      <c r="N360" s="3">
        <v>8005916</v>
      </c>
      <c r="O360" s="3">
        <v>0</v>
      </c>
      <c r="P360" s="3">
        <f t="shared" si="5"/>
        <v>355864346</v>
      </c>
    </row>
    <row r="361" spans="1:16" x14ac:dyDescent="0.25">
      <c r="A361" s="2">
        <v>46017</v>
      </c>
      <c r="B361" s="3">
        <v>67330495</v>
      </c>
      <c r="C361" s="3">
        <v>265662</v>
      </c>
      <c r="D361" s="3">
        <v>0</v>
      </c>
      <c r="E361" s="3">
        <v>69102</v>
      </c>
      <c r="F361" s="3">
        <v>0</v>
      </c>
      <c r="G361" s="3">
        <v>108146911</v>
      </c>
      <c r="H361" s="3">
        <v>0</v>
      </c>
      <c r="I361" s="3">
        <v>184144</v>
      </c>
      <c r="J361" s="3">
        <v>204640533</v>
      </c>
      <c r="K361" s="3">
        <v>35363162</v>
      </c>
      <c r="L361" s="3">
        <v>571383421</v>
      </c>
      <c r="M361" s="3">
        <v>33674000</v>
      </c>
      <c r="N361" s="3">
        <v>14490140</v>
      </c>
      <c r="O361" s="3">
        <v>0</v>
      </c>
      <c r="P361" s="3">
        <f t="shared" si="5"/>
        <v>1035547570</v>
      </c>
    </row>
    <row r="362" spans="1:16" x14ac:dyDescent="0.25">
      <c r="A362" s="2">
        <v>46018</v>
      </c>
      <c r="B362" s="3">
        <v>356922</v>
      </c>
      <c r="C362" s="3">
        <v>149127</v>
      </c>
      <c r="D362" s="3">
        <v>0</v>
      </c>
      <c r="E362" s="3">
        <v>444320</v>
      </c>
      <c r="F362" s="3">
        <v>0</v>
      </c>
      <c r="G362" s="3">
        <v>21279620</v>
      </c>
      <c r="H362" s="3">
        <v>0</v>
      </c>
      <c r="I362" s="3">
        <v>91702</v>
      </c>
      <c r="J362" s="3">
        <v>75926488</v>
      </c>
      <c r="K362" s="3">
        <v>116274</v>
      </c>
      <c r="L362" s="3">
        <v>83886462</v>
      </c>
      <c r="M362" s="3">
        <v>62759673</v>
      </c>
      <c r="N362" s="3">
        <v>6625752</v>
      </c>
      <c r="O362" s="3">
        <v>0</v>
      </c>
      <c r="P362" s="3">
        <f t="shared" si="5"/>
        <v>251636340</v>
      </c>
    </row>
    <row r="363" spans="1:16" x14ac:dyDescent="0.25">
      <c r="A363" s="2">
        <v>46019</v>
      </c>
      <c r="B363" s="3">
        <v>3406977</v>
      </c>
      <c r="C363" s="3">
        <v>22444</v>
      </c>
      <c r="D363" s="3">
        <v>0</v>
      </c>
      <c r="E363" s="3">
        <v>163326</v>
      </c>
      <c r="F363" s="3">
        <v>0</v>
      </c>
      <c r="G363" s="3">
        <v>3457067</v>
      </c>
      <c r="H363" s="3">
        <v>0</v>
      </c>
      <c r="I363" s="3">
        <v>38520</v>
      </c>
      <c r="J363" s="3">
        <v>140893336</v>
      </c>
      <c r="K363" s="3">
        <v>5294</v>
      </c>
      <c r="L363" s="3">
        <v>69046305</v>
      </c>
      <c r="M363" s="3">
        <v>59572991</v>
      </c>
      <c r="N363" s="3">
        <v>5916362</v>
      </c>
      <c r="O363" s="3">
        <v>0</v>
      </c>
      <c r="P363" s="3">
        <f t="shared" si="5"/>
        <v>282522622</v>
      </c>
    </row>
    <row r="364" spans="1:16" x14ac:dyDescent="0.25">
      <c r="A364" s="2">
        <v>46020</v>
      </c>
      <c r="B364" s="3">
        <v>21239325</v>
      </c>
      <c r="C364" s="3">
        <v>4729158</v>
      </c>
      <c r="D364" s="3">
        <v>0</v>
      </c>
      <c r="E364" s="3">
        <v>73932</v>
      </c>
      <c r="F364" s="3">
        <v>0</v>
      </c>
      <c r="G364" s="3">
        <v>73063555</v>
      </c>
      <c r="H364" s="3">
        <v>0</v>
      </c>
      <c r="I364" s="3">
        <v>42688</v>
      </c>
      <c r="J364" s="3">
        <v>720450948</v>
      </c>
      <c r="K364" s="3">
        <v>4007978</v>
      </c>
      <c r="L364" s="3">
        <v>509912521</v>
      </c>
      <c r="M364" s="3">
        <v>185266522</v>
      </c>
      <c r="N364" s="3">
        <v>9167900</v>
      </c>
      <c r="O364" s="3">
        <v>0</v>
      </c>
      <c r="P364" s="3">
        <f t="shared" si="5"/>
        <v>1527954527</v>
      </c>
    </row>
    <row r="365" spans="1:16" x14ac:dyDescent="0.25">
      <c r="A365" s="2">
        <v>46021</v>
      </c>
      <c r="B365" s="3">
        <v>43007486</v>
      </c>
      <c r="C365" s="3">
        <v>6233453</v>
      </c>
      <c r="D365" s="3">
        <v>0</v>
      </c>
      <c r="E365" s="3">
        <v>293182</v>
      </c>
      <c r="F365" s="3">
        <v>0</v>
      </c>
      <c r="G365" s="3">
        <v>75925742</v>
      </c>
      <c r="H365" s="3">
        <v>0</v>
      </c>
      <c r="I365" s="3">
        <v>130186</v>
      </c>
      <c r="J365" s="3">
        <v>243829079</v>
      </c>
      <c r="K365" s="3">
        <v>1536862</v>
      </c>
      <c r="L365" s="3">
        <v>417853209</v>
      </c>
      <c r="M365" s="3">
        <v>126908878</v>
      </c>
      <c r="N365" s="3">
        <v>7985564</v>
      </c>
      <c r="O365" s="3">
        <v>0</v>
      </c>
      <c r="P365" s="3">
        <f t="shared" si="5"/>
        <v>923703641</v>
      </c>
    </row>
    <row r="366" spans="1:16" x14ac:dyDescent="0.25">
      <c r="A366" s="2">
        <v>46022</v>
      </c>
      <c r="B366" s="3">
        <v>18762730</v>
      </c>
      <c r="C366" s="3">
        <v>8349824</v>
      </c>
      <c r="D366" s="3">
        <v>0</v>
      </c>
      <c r="E366" s="3">
        <v>542203</v>
      </c>
      <c r="F366" s="3">
        <v>0</v>
      </c>
      <c r="G366" s="3">
        <v>104732817</v>
      </c>
      <c r="H366" s="3">
        <v>0</v>
      </c>
      <c r="I366" s="3">
        <v>476122</v>
      </c>
      <c r="J366" s="3">
        <v>290011200</v>
      </c>
      <c r="K366" s="3">
        <v>551271</v>
      </c>
      <c r="L366" s="3">
        <v>186092482</v>
      </c>
      <c r="M366" s="3">
        <v>121167868</v>
      </c>
      <c r="N366" s="3">
        <v>16804279</v>
      </c>
      <c r="O366" s="3">
        <v>0</v>
      </c>
      <c r="P366" s="3">
        <f t="shared" si="5"/>
        <v>747490796</v>
      </c>
    </row>
    <row r="367" spans="1:16" x14ac:dyDescent="0.25">
      <c r="A367" s="2">
        <v>46023</v>
      </c>
      <c r="B367" s="3">
        <v>343055</v>
      </c>
      <c r="C367" s="3">
        <v>273690</v>
      </c>
      <c r="D367" s="3">
        <v>0</v>
      </c>
      <c r="E367" s="3">
        <v>1207935</v>
      </c>
      <c r="F367" s="3">
        <v>0</v>
      </c>
      <c r="G367" s="3">
        <v>11493315</v>
      </c>
      <c r="H367" s="3">
        <v>0</v>
      </c>
      <c r="I367" s="3">
        <v>128293</v>
      </c>
      <c r="J367" s="3">
        <v>194884530</v>
      </c>
      <c r="K367" s="3">
        <v>130937</v>
      </c>
      <c r="L367" s="3">
        <v>264902063</v>
      </c>
      <c r="M367" s="3">
        <v>33672208</v>
      </c>
      <c r="N367" s="3">
        <v>5582388</v>
      </c>
      <c r="O367" s="3">
        <v>0</v>
      </c>
      <c r="P367" s="3">
        <f t="shared" si="5"/>
        <v>512618414</v>
      </c>
    </row>
    <row r="368" spans="1:16" x14ac:dyDescent="0.25">
      <c r="A368" s="2">
        <v>46024</v>
      </c>
      <c r="B368" s="3">
        <v>19627454</v>
      </c>
      <c r="C368" s="3">
        <v>4236766</v>
      </c>
      <c r="D368" s="3">
        <v>0</v>
      </c>
      <c r="E368" s="3">
        <v>35041</v>
      </c>
      <c r="F368" s="3">
        <v>0</v>
      </c>
      <c r="G368" s="3">
        <v>74757644</v>
      </c>
      <c r="H368" s="3">
        <v>0</v>
      </c>
      <c r="I368" s="3">
        <v>2081053</v>
      </c>
      <c r="J368" s="3">
        <v>402485772</v>
      </c>
      <c r="K368" s="3">
        <v>50328851</v>
      </c>
      <c r="L368" s="3">
        <v>99613331</v>
      </c>
      <c r="M368" s="3">
        <v>92731061</v>
      </c>
      <c r="N368" s="3">
        <v>7256505</v>
      </c>
      <c r="O368" s="3">
        <v>458600</v>
      </c>
      <c r="P368" s="3">
        <f t="shared" si="5"/>
        <v>753612078</v>
      </c>
    </row>
    <row r="369" spans="1:16" x14ac:dyDescent="0.25">
      <c r="A369" s="2">
        <v>46025</v>
      </c>
      <c r="B369" s="3">
        <v>252939</v>
      </c>
      <c r="C369" s="3">
        <v>378417</v>
      </c>
      <c r="D369" s="3">
        <v>0</v>
      </c>
      <c r="E369" s="3">
        <v>86792</v>
      </c>
      <c r="F369" s="3">
        <v>0</v>
      </c>
      <c r="G369" s="3">
        <v>12334625</v>
      </c>
      <c r="H369" s="3">
        <v>0</v>
      </c>
      <c r="I369" s="3">
        <v>161337</v>
      </c>
      <c r="J369" s="3">
        <v>181121775</v>
      </c>
      <c r="K369" s="3">
        <v>3337668</v>
      </c>
      <c r="L369" s="3">
        <v>146192936</v>
      </c>
      <c r="M369" s="3">
        <v>103989848</v>
      </c>
      <c r="N369" s="3">
        <v>5592394</v>
      </c>
      <c r="O369" s="3">
        <v>0</v>
      </c>
      <c r="P369" s="3">
        <f t="shared" si="5"/>
        <v>453448731</v>
      </c>
    </row>
    <row r="370" spans="1:16" x14ac:dyDescent="0.25">
      <c r="A370" s="2">
        <v>46026</v>
      </c>
      <c r="B370" s="3">
        <v>7629377</v>
      </c>
      <c r="C370" s="3">
        <v>388677</v>
      </c>
      <c r="D370" s="3">
        <v>0</v>
      </c>
      <c r="E370" s="3">
        <v>351244</v>
      </c>
      <c r="F370" s="3">
        <v>0</v>
      </c>
      <c r="G370" s="3">
        <v>6985383</v>
      </c>
      <c r="H370" s="3">
        <v>0</v>
      </c>
      <c r="I370" s="3">
        <v>83794</v>
      </c>
      <c r="J370" s="3">
        <v>270014927</v>
      </c>
      <c r="K370" s="3">
        <v>327</v>
      </c>
      <c r="L370" s="3">
        <v>33985109</v>
      </c>
      <c r="M370" s="3">
        <v>78669022</v>
      </c>
      <c r="N370" s="3">
        <v>8481713</v>
      </c>
      <c r="O370" s="3">
        <v>0</v>
      </c>
      <c r="P370" s="3">
        <f t="shared" si="5"/>
        <v>406589573</v>
      </c>
    </row>
    <row r="371" spans="1:16" x14ac:dyDescent="0.25">
      <c r="A371" s="2">
        <v>46027</v>
      </c>
      <c r="B371" s="3">
        <v>29997553</v>
      </c>
      <c r="C371" s="3">
        <v>5092607</v>
      </c>
      <c r="D371" s="3">
        <v>0</v>
      </c>
      <c r="E371" s="3">
        <v>686450</v>
      </c>
      <c r="F371" s="3">
        <v>0</v>
      </c>
      <c r="G371" s="3">
        <v>86849046</v>
      </c>
      <c r="H371" s="3">
        <v>0</v>
      </c>
      <c r="I371" s="3">
        <v>371725</v>
      </c>
      <c r="J371" s="3">
        <v>216178611</v>
      </c>
      <c r="K371" s="3">
        <v>771624</v>
      </c>
      <c r="L371" s="3">
        <v>321628196</v>
      </c>
      <c r="M371" s="3">
        <v>142409100</v>
      </c>
      <c r="N371" s="3">
        <v>20998831</v>
      </c>
      <c r="O371" s="3">
        <v>23</v>
      </c>
      <c r="P371" s="3">
        <f t="shared" si="5"/>
        <v>824983766</v>
      </c>
    </row>
    <row r="372" spans="1:16" x14ac:dyDescent="0.25">
      <c r="A372" s="2">
        <v>46028</v>
      </c>
      <c r="B372" s="3">
        <v>39847275</v>
      </c>
      <c r="C372" s="3">
        <v>5056621</v>
      </c>
      <c r="D372" s="3">
        <v>0</v>
      </c>
      <c r="E372" s="3">
        <v>151306452</v>
      </c>
      <c r="F372" s="3">
        <v>0</v>
      </c>
      <c r="G372" s="3">
        <v>67270138</v>
      </c>
      <c r="H372" s="3">
        <v>0</v>
      </c>
      <c r="I372" s="3">
        <v>18950</v>
      </c>
      <c r="J372" s="3">
        <v>242631687</v>
      </c>
      <c r="K372" s="3">
        <v>247011</v>
      </c>
      <c r="L372" s="3">
        <v>226876236</v>
      </c>
      <c r="M372" s="3">
        <v>180380358</v>
      </c>
      <c r="N372" s="3">
        <v>10237979</v>
      </c>
      <c r="O372" s="3">
        <v>0</v>
      </c>
      <c r="P372" s="3">
        <f t="shared" si="5"/>
        <v>923872707</v>
      </c>
    </row>
    <row r="373" spans="1:16" x14ac:dyDescent="0.25">
      <c r="A373" s="2">
        <v>46029</v>
      </c>
      <c r="B373" s="3">
        <v>62961153</v>
      </c>
      <c r="C373" s="3">
        <v>4853804</v>
      </c>
      <c r="D373" s="3">
        <v>0</v>
      </c>
      <c r="E373" s="3">
        <v>50242596</v>
      </c>
      <c r="F373" s="3">
        <v>0</v>
      </c>
      <c r="G373" s="3">
        <v>85895016</v>
      </c>
      <c r="H373" s="3">
        <v>0</v>
      </c>
      <c r="I373" s="3">
        <v>93207</v>
      </c>
      <c r="J373" s="3">
        <v>179608379</v>
      </c>
      <c r="K373" s="3">
        <v>5175771</v>
      </c>
      <c r="L373" s="3">
        <v>403904021</v>
      </c>
      <c r="M373" s="3">
        <v>332336713</v>
      </c>
      <c r="N373" s="3">
        <v>11150984</v>
      </c>
      <c r="O373" s="3">
        <v>0</v>
      </c>
      <c r="P373" s="3">
        <f t="shared" si="5"/>
        <v>1136221644</v>
      </c>
    </row>
    <row r="374" spans="1:16" x14ac:dyDescent="0.25">
      <c r="A374" s="2">
        <v>46030</v>
      </c>
      <c r="B374" s="3">
        <v>13561015</v>
      </c>
      <c r="C374" s="3">
        <v>2546653</v>
      </c>
      <c r="D374" s="3">
        <v>0</v>
      </c>
      <c r="E374" s="3">
        <v>152419350</v>
      </c>
      <c r="F374" s="3">
        <v>0</v>
      </c>
      <c r="G374" s="3">
        <v>86589473</v>
      </c>
      <c r="H374" s="3">
        <v>0</v>
      </c>
      <c r="I374" s="3">
        <v>140944</v>
      </c>
      <c r="J374" s="3">
        <v>180582331</v>
      </c>
      <c r="K374" s="3">
        <v>28617401</v>
      </c>
      <c r="L374" s="3">
        <v>186901599</v>
      </c>
      <c r="M374" s="3">
        <v>123031821</v>
      </c>
      <c r="N374" s="3">
        <v>11818194</v>
      </c>
      <c r="O374" s="3">
        <v>0</v>
      </c>
      <c r="P374" s="3">
        <f t="shared" si="5"/>
        <v>786208781</v>
      </c>
    </row>
    <row r="375" spans="1:16" x14ac:dyDescent="0.25">
      <c r="A375" s="2">
        <v>46031</v>
      </c>
      <c r="B375" s="3">
        <v>24071929</v>
      </c>
      <c r="C375" s="3">
        <v>1758826</v>
      </c>
      <c r="D375" s="3">
        <v>0</v>
      </c>
      <c r="E375" s="3">
        <v>150484165</v>
      </c>
      <c r="F375" s="3">
        <v>0</v>
      </c>
      <c r="G375" s="3">
        <v>69279420</v>
      </c>
      <c r="H375" s="3">
        <v>0</v>
      </c>
      <c r="I375" s="3">
        <v>386023</v>
      </c>
      <c r="J375" s="3">
        <v>91507952</v>
      </c>
      <c r="K375" s="3">
        <v>35049</v>
      </c>
      <c r="L375" s="3">
        <v>521602272</v>
      </c>
      <c r="M375" s="3">
        <v>223476456</v>
      </c>
      <c r="N375" s="3">
        <v>19172038</v>
      </c>
      <c r="O375" s="3">
        <v>0</v>
      </c>
      <c r="P375" s="3">
        <f t="shared" si="5"/>
        <v>1101774130</v>
      </c>
    </row>
    <row r="376" spans="1:16" x14ac:dyDescent="0.25">
      <c r="A376" s="2">
        <v>46032</v>
      </c>
      <c r="B376" s="3">
        <v>148137</v>
      </c>
      <c r="C376" s="3">
        <v>5432</v>
      </c>
      <c r="D376" s="3">
        <v>0</v>
      </c>
      <c r="E376" s="3">
        <v>137450</v>
      </c>
      <c r="F376" s="3">
        <v>0</v>
      </c>
      <c r="G376" s="3">
        <v>5889931</v>
      </c>
      <c r="H376" s="3">
        <v>0</v>
      </c>
      <c r="I376" s="3">
        <v>27960</v>
      </c>
      <c r="J376" s="3">
        <v>68029908</v>
      </c>
      <c r="K376" s="3">
        <v>19762</v>
      </c>
      <c r="L376" s="3">
        <v>140462381</v>
      </c>
      <c r="M376" s="3">
        <v>210307561</v>
      </c>
      <c r="N376" s="3">
        <v>21850401</v>
      </c>
      <c r="O376" s="3">
        <v>73422</v>
      </c>
      <c r="P376" s="3">
        <f t="shared" si="5"/>
        <v>446952345</v>
      </c>
    </row>
    <row r="377" spans="1:16" x14ac:dyDescent="0.25">
      <c r="A377" s="2">
        <v>46033</v>
      </c>
      <c r="B377" s="3">
        <v>335610</v>
      </c>
      <c r="C377" s="3">
        <v>10823</v>
      </c>
      <c r="D377" s="3">
        <v>0</v>
      </c>
      <c r="E377" s="3">
        <v>166278</v>
      </c>
      <c r="F377" s="3">
        <v>0</v>
      </c>
      <c r="G377" s="3">
        <v>8705542</v>
      </c>
      <c r="H377" s="3">
        <v>0</v>
      </c>
      <c r="I377" s="3">
        <v>48128</v>
      </c>
      <c r="J377" s="3">
        <v>93118215</v>
      </c>
      <c r="K377" s="3">
        <v>4218</v>
      </c>
      <c r="L377" s="3">
        <v>93306766</v>
      </c>
      <c r="M377" s="3">
        <v>52236070</v>
      </c>
      <c r="N377" s="3">
        <v>7608054</v>
      </c>
      <c r="O377" s="3">
        <v>0</v>
      </c>
      <c r="P377" s="3">
        <f t="shared" si="5"/>
        <v>255539704</v>
      </c>
    </row>
    <row r="378" spans="1:16" x14ac:dyDescent="0.25">
      <c r="A378" s="2">
        <v>46034</v>
      </c>
      <c r="B378" s="3">
        <v>27348189</v>
      </c>
      <c r="C378" s="3">
        <v>3807284</v>
      </c>
      <c r="D378" s="3">
        <v>0</v>
      </c>
      <c r="E378" s="3">
        <v>1243220</v>
      </c>
      <c r="F378" s="3">
        <v>0</v>
      </c>
      <c r="G378" s="3">
        <v>128643109</v>
      </c>
      <c r="H378" s="3">
        <v>0</v>
      </c>
      <c r="I378" s="3">
        <v>37936</v>
      </c>
      <c r="J378" s="3">
        <v>275098244</v>
      </c>
      <c r="K378" s="3">
        <v>976519</v>
      </c>
      <c r="L378" s="3">
        <v>180342248</v>
      </c>
      <c r="M378" s="3">
        <v>199409099</v>
      </c>
      <c r="N378" s="3">
        <v>8540812</v>
      </c>
      <c r="O378" s="3">
        <v>6063</v>
      </c>
      <c r="P378" s="3">
        <f t="shared" si="5"/>
        <v>825452723</v>
      </c>
    </row>
    <row r="379" spans="1:16" x14ac:dyDescent="0.25">
      <c r="A379" s="2">
        <v>46035</v>
      </c>
      <c r="B379" s="3">
        <v>136439164</v>
      </c>
      <c r="C379" s="3">
        <v>5404220</v>
      </c>
      <c r="D379" s="3">
        <v>0</v>
      </c>
      <c r="E379" s="3">
        <v>151021512</v>
      </c>
      <c r="F379" s="3">
        <v>0</v>
      </c>
      <c r="G379" s="3">
        <v>81286658</v>
      </c>
      <c r="H379" s="3">
        <v>0</v>
      </c>
      <c r="I379" s="3">
        <v>71093</v>
      </c>
      <c r="J379" s="3">
        <v>163798877</v>
      </c>
      <c r="K379" s="3">
        <v>548978</v>
      </c>
      <c r="L379" s="3">
        <v>378584387</v>
      </c>
      <c r="M379" s="3">
        <v>207722664</v>
      </c>
      <c r="N379" s="3">
        <v>15170208</v>
      </c>
      <c r="O379" s="3">
        <v>34320</v>
      </c>
      <c r="P379" s="3">
        <f t="shared" si="5"/>
        <v>1140082081</v>
      </c>
    </row>
    <row r="380" spans="1:16" x14ac:dyDescent="0.25">
      <c r="A380" s="2">
        <v>46036</v>
      </c>
      <c r="B380" s="3">
        <v>119976648</v>
      </c>
      <c r="C380" s="3">
        <v>1953492</v>
      </c>
      <c r="D380" s="3">
        <v>0</v>
      </c>
      <c r="E380" s="3">
        <v>100355177</v>
      </c>
      <c r="F380" s="3">
        <v>0</v>
      </c>
      <c r="G380" s="3">
        <v>111704397</v>
      </c>
      <c r="H380" s="3">
        <v>0</v>
      </c>
      <c r="I380" s="3">
        <v>242893</v>
      </c>
      <c r="J380" s="3">
        <v>247498973</v>
      </c>
      <c r="K380" s="3">
        <v>21095588</v>
      </c>
      <c r="L380" s="3">
        <v>490505688</v>
      </c>
      <c r="M380" s="3">
        <v>606760421</v>
      </c>
      <c r="N380" s="3">
        <v>14941793</v>
      </c>
      <c r="O380" s="3">
        <v>240240</v>
      </c>
      <c r="P380" s="3">
        <f t="shared" si="5"/>
        <v>1715275310</v>
      </c>
    </row>
    <row r="381" spans="1:16" x14ac:dyDescent="0.25">
      <c r="A381" s="2">
        <v>46037</v>
      </c>
      <c r="B381" s="3">
        <v>133446261</v>
      </c>
      <c r="C381" s="3">
        <v>2930406</v>
      </c>
      <c r="D381" s="3">
        <v>0</v>
      </c>
      <c r="E381" s="3">
        <v>50616213</v>
      </c>
      <c r="F381" s="3">
        <v>0</v>
      </c>
      <c r="G381" s="3">
        <v>69211008</v>
      </c>
      <c r="H381" s="3">
        <v>0</v>
      </c>
      <c r="I381" s="3">
        <v>97294</v>
      </c>
      <c r="J381" s="3">
        <v>252619766</v>
      </c>
      <c r="K381" s="3">
        <v>267614</v>
      </c>
      <c r="L381" s="3">
        <v>150279366</v>
      </c>
      <c r="M381" s="3">
        <v>710454538</v>
      </c>
      <c r="N381" s="3">
        <v>22876854</v>
      </c>
      <c r="O381" s="3">
        <v>0</v>
      </c>
      <c r="P381" s="3">
        <f t="shared" si="5"/>
        <v>1392799320</v>
      </c>
    </row>
    <row r="382" spans="1:16" x14ac:dyDescent="0.25">
      <c r="A382" s="2">
        <v>46038</v>
      </c>
      <c r="B382" s="3">
        <v>82882886</v>
      </c>
      <c r="C382" s="3">
        <v>6103879</v>
      </c>
      <c r="D382" s="3">
        <v>0</v>
      </c>
      <c r="E382" s="3">
        <v>101192936</v>
      </c>
      <c r="F382" s="3">
        <v>0</v>
      </c>
      <c r="G382" s="3">
        <v>52950976</v>
      </c>
      <c r="H382" s="3">
        <v>0</v>
      </c>
      <c r="I382" s="3">
        <v>5061715</v>
      </c>
      <c r="J382" s="3">
        <v>168845211</v>
      </c>
      <c r="K382" s="3">
        <v>3011378</v>
      </c>
      <c r="L382" s="3">
        <v>62698355</v>
      </c>
      <c r="M382" s="3">
        <v>591554279</v>
      </c>
      <c r="N382" s="3">
        <v>8860261</v>
      </c>
      <c r="O382" s="3">
        <v>434743</v>
      </c>
      <c r="P382" s="3">
        <f t="shared" si="5"/>
        <v>1083596619</v>
      </c>
    </row>
    <row r="383" spans="1:16" x14ac:dyDescent="0.25">
      <c r="A383" s="2">
        <v>46039</v>
      </c>
      <c r="B383" s="3">
        <v>3385254</v>
      </c>
      <c r="C383" s="3">
        <v>51754</v>
      </c>
      <c r="D383" s="3">
        <v>0</v>
      </c>
      <c r="E383" s="3">
        <v>140446</v>
      </c>
      <c r="F383" s="3">
        <v>0</v>
      </c>
      <c r="G383" s="3">
        <v>3954580</v>
      </c>
      <c r="H383" s="3">
        <v>0</v>
      </c>
      <c r="I383" s="3">
        <v>505581</v>
      </c>
      <c r="J383" s="3">
        <v>72789367</v>
      </c>
      <c r="K383" s="3">
        <v>309863</v>
      </c>
      <c r="L383" s="3">
        <v>45605775</v>
      </c>
      <c r="M383" s="3">
        <v>146546860</v>
      </c>
      <c r="N383" s="3">
        <v>8080950</v>
      </c>
      <c r="O383" s="3">
        <v>0</v>
      </c>
      <c r="P383" s="3">
        <f t="shared" si="5"/>
        <v>281370430</v>
      </c>
    </row>
    <row r="384" spans="1:16" x14ac:dyDescent="0.25">
      <c r="A384" s="2">
        <v>46040</v>
      </c>
      <c r="B384" s="3">
        <v>78771</v>
      </c>
      <c r="C384" s="3">
        <v>263947</v>
      </c>
      <c r="D384" s="3">
        <v>0</v>
      </c>
      <c r="E384" s="3">
        <v>203008</v>
      </c>
      <c r="F384" s="3">
        <v>0</v>
      </c>
      <c r="G384" s="3">
        <v>4069144</v>
      </c>
      <c r="H384" s="3">
        <v>0</v>
      </c>
      <c r="I384" s="3">
        <v>34352</v>
      </c>
      <c r="J384" s="3">
        <v>78815152</v>
      </c>
      <c r="K384" s="3">
        <v>14907</v>
      </c>
      <c r="L384" s="3">
        <v>97293497</v>
      </c>
      <c r="M384" s="3">
        <v>125998633</v>
      </c>
      <c r="N384" s="3">
        <v>6471160</v>
      </c>
      <c r="O384" s="3">
        <v>0</v>
      </c>
      <c r="P384" s="3">
        <f t="shared" si="5"/>
        <v>313242571</v>
      </c>
    </row>
    <row r="385" spans="1:16" x14ac:dyDescent="0.25">
      <c r="A385" s="2">
        <v>46041</v>
      </c>
      <c r="B385" s="3">
        <v>10059065</v>
      </c>
      <c r="C385" s="3">
        <v>1906958</v>
      </c>
      <c r="D385" s="3">
        <v>0</v>
      </c>
      <c r="E385" s="3">
        <v>1251197</v>
      </c>
      <c r="F385" s="3">
        <v>0</v>
      </c>
      <c r="G385" s="3">
        <v>14843040</v>
      </c>
      <c r="H385" s="3">
        <v>0</v>
      </c>
      <c r="I385" s="3">
        <v>28841</v>
      </c>
      <c r="J385" s="3">
        <v>550724582</v>
      </c>
      <c r="K385" s="3">
        <v>384970</v>
      </c>
      <c r="L385" s="3">
        <v>352102403</v>
      </c>
      <c r="M385" s="3">
        <v>257471274</v>
      </c>
      <c r="N385" s="3">
        <v>11366151</v>
      </c>
      <c r="O385" s="3">
        <v>0</v>
      </c>
      <c r="P385" s="3">
        <f t="shared" si="5"/>
        <v>1200138481</v>
      </c>
    </row>
    <row r="386" spans="1:16" x14ac:dyDescent="0.25">
      <c r="A386" s="2">
        <v>46042</v>
      </c>
      <c r="B386" s="3">
        <v>226143633</v>
      </c>
      <c r="C386" s="3">
        <v>11134805</v>
      </c>
      <c r="D386" s="3">
        <v>0</v>
      </c>
      <c r="E386" s="3">
        <v>620345</v>
      </c>
      <c r="F386" s="3">
        <v>0</v>
      </c>
      <c r="G386" s="3">
        <v>80789070</v>
      </c>
      <c r="H386" s="3">
        <v>19969208</v>
      </c>
      <c r="I386" s="3">
        <v>17257756</v>
      </c>
      <c r="J386" s="3">
        <v>436798531</v>
      </c>
      <c r="K386" s="3">
        <v>23121</v>
      </c>
      <c r="L386" s="3">
        <v>314221960</v>
      </c>
      <c r="M386" s="3">
        <v>356801180</v>
      </c>
      <c r="N386" s="3">
        <v>6336725</v>
      </c>
      <c r="O386" s="3">
        <v>41148</v>
      </c>
      <c r="P386" s="3">
        <f t="shared" ref="P386:P449" si="6">SUM(B386:O386)</f>
        <v>1470137482</v>
      </c>
    </row>
    <row r="387" spans="1:16" x14ac:dyDescent="0.25">
      <c r="A387" s="2">
        <v>46043</v>
      </c>
      <c r="B387" s="3">
        <v>178659686</v>
      </c>
      <c r="C387" s="3">
        <v>1568200</v>
      </c>
      <c r="D387" s="3">
        <v>0</v>
      </c>
      <c r="E387" s="3">
        <v>54920</v>
      </c>
      <c r="F387" s="3">
        <v>0</v>
      </c>
      <c r="G387" s="3">
        <v>79951542</v>
      </c>
      <c r="H387" s="3">
        <v>0</v>
      </c>
      <c r="I387" s="3">
        <v>8437</v>
      </c>
      <c r="J387" s="3">
        <v>768841861</v>
      </c>
      <c r="K387" s="3">
        <v>406959</v>
      </c>
      <c r="L387" s="3">
        <v>515008991</v>
      </c>
      <c r="M387" s="3">
        <v>216643796</v>
      </c>
      <c r="N387" s="3">
        <v>12482112</v>
      </c>
      <c r="O387" s="3">
        <v>0</v>
      </c>
      <c r="P387" s="3">
        <f t="shared" si="6"/>
        <v>1773626504</v>
      </c>
    </row>
    <row r="388" spans="1:16" x14ac:dyDescent="0.25">
      <c r="A388" s="2">
        <v>46044</v>
      </c>
      <c r="B388" s="3">
        <v>19538258</v>
      </c>
      <c r="C388" s="3">
        <v>5824064</v>
      </c>
      <c r="D388" s="3">
        <v>0</v>
      </c>
      <c r="E388" s="3">
        <v>1114098</v>
      </c>
      <c r="F388" s="3">
        <v>0</v>
      </c>
      <c r="G388" s="3">
        <v>49991599</v>
      </c>
      <c r="H388" s="3">
        <v>0</v>
      </c>
      <c r="I388" s="3">
        <v>170731</v>
      </c>
      <c r="J388" s="3">
        <v>321553327</v>
      </c>
      <c r="K388" s="3">
        <v>85851</v>
      </c>
      <c r="L388" s="3">
        <v>259967430</v>
      </c>
      <c r="M388" s="3">
        <v>215368714</v>
      </c>
      <c r="N388" s="3">
        <v>9049811</v>
      </c>
      <c r="O388" s="3">
        <v>3543</v>
      </c>
      <c r="P388" s="3">
        <f t="shared" si="6"/>
        <v>882667426</v>
      </c>
    </row>
    <row r="389" spans="1:16" x14ac:dyDescent="0.25">
      <c r="A389" s="2">
        <v>46045</v>
      </c>
      <c r="B389" s="3">
        <v>43282545</v>
      </c>
      <c r="C389" s="3">
        <v>5200338</v>
      </c>
      <c r="D389" s="3">
        <v>0</v>
      </c>
      <c r="E389" s="3">
        <v>2061602</v>
      </c>
      <c r="F389" s="3">
        <v>0</v>
      </c>
      <c r="G389" s="3">
        <v>72572946</v>
      </c>
      <c r="H389" s="3">
        <v>0</v>
      </c>
      <c r="I389" s="3">
        <v>105307</v>
      </c>
      <c r="J389" s="3">
        <v>383315145</v>
      </c>
      <c r="K389" s="3">
        <v>118652</v>
      </c>
      <c r="L389" s="3">
        <v>178281198</v>
      </c>
      <c r="M389" s="3">
        <v>187501260</v>
      </c>
      <c r="N389" s="3">
        <v>17973621</v>
      </c>
      <c r="O389" s="3">
        <v>0</v>
      </c>
      <c r="P389" s="3">
        <f t="shared" si="6"/>
        <v>890412614</v>
      </c>
    </row>
    <row r="390" spans="1:16" x14ac:dyDescent="0.25">
      <c r="A390" s="2">
        <v>46046</v>
      </c>
      <c r="B390" s="3">
        <v>22998328</v>
      </c>
      <c r="C390" s="3">
        <v>151467</v>
      </c>
      <c r="D390" s="3">
        <v>0</v>
      </c>
      <c r="E390" s="3">
        <v>907356</v>
      </c>
      <c r="F390" s="3">
        <v>0</v>
      </c>
      <c r="G390" s="3">
        <v>6216202</v>
      </c>
      <c r="H390" s="3">
        <v>0</v>
      </c>
      <c r="I390" s="3">
        <v>36645</v>
      </c>
      <c r="J390" s="3">
        <v>737050949</v>
      </c>
      <c r="K390" s="3">
        <v>100391</v>
      </c>
      <c r="L390" s="3">
        <v>157517150</v>
      </c>
      <c r="M390" s="3">
        <v>63952285</v>
      </c>
      <c r="N390" s="3">
        <v>10843583</v>
      </c>
      <c r="O390" s="3">
        <v>0</v>
      </c>
      <c r="P390" s="3">
        <f t="shared" si="6"/>
        <v>999774356</v>
      </c>
    </row>
    <row r="391" spans="1:16" x14ac:dyDescent="0.25">
      <c r="A391" s="2">
        <v>46047</v>
      </c>
      <c r="B391" s="3">
        <v>198699106</v>
      </c>
      <c r="C391" s="3">
        <v>245388</v>
      </c>
      <c r="D391" s="3">
        <v>0</v>
      </c>
      <c r="E391" s="3">
        <v>20469</v>
      </c>
      <c r="F391" s="3">
        <v>0</v>
      </c>
      <c r="G391" s="3">
        <v>12186555</v>
      </c>
      <c r="H391" s="3">
        <v>0</v>
      </c>
      <c r="I391" s="3">
        <v>204898</v>
      </c>
      <c r="J391" s="3">
        <v>538945394</v>
      </c>
      <c r="K391" s="3">
        <v>24640</v>
      </c>
      <c r="L391" s="3">
        <v>170292445</v>
      </c>
      <c r="M391" s="3">
        <v>37542118</v>
      </c>
      <c r="N391" s="3">
        <v>13768121</v>
      </c>
      <c r="O391" s="3">
        <v>0</v>
      </c>
      <c r="P391" s="3">
        <f t="shared" si="6"/>
        <v>971929134</v>
      </c>
    </row>
    <row r="392" spans="1:16" x14ac:dyDescent="0.25">
      <c r="A392" s="2">
        <v>46048</v>
      </c>
      <c r="B392" s="3">
        <v>21019278</v>
      </c>
      <c r="C392" s="3">
        <v>5703699</v>
      </c>
      <c r="D392" s="3">
        <v>0</v>
      </c>
      <c r="E392" s="3">
        <v>718622</v>
      </c>
      <c r="F392" s="3">
        <v>0</v>
      </c>
      <c r="G392" s="3">
        <v>55797320</v>
      </c>
      <c r="H392" s="3">
        <v>0</v>
      </c>
      <c r="I392" s="3">
        <v>1455797</v>
      </c>
      <c r="J392" s="3">
        <v>666205551</v>
      </c>
      <c r="K392" s="3">
        <v>458020</v>
      </c>
      <c r="L392" s="3">
        <v>303236758</v>
      </c>
      <c r="M392" s="3">
        <v>179651130</v>
      </c>
      <c r="N392" s="3">
        <v>9951995</v>
      </c>
      <c r="O392" s="3">
        <v>211732</v>
      </c>
      <c r="P392" s="3">
        <f t="shared" si="6"/>
        <v>1244409902</v>
      </c>
    </row>
    <row r="393" spans="1:16" x14ac:dyDescent="0.25">
      <c r="A393" s="2">
        <v>46049</v>
      </c>
      <c r="B393" s="3">
        <v>123397277</v>
      </c>
      <c r="C393" s="3">
        <v>17111551</v>
      </c>
      <c r="D393" s="3">
        <v>0</v>
      </c>
      <c r="E393" s="3">
        <v>120311</v>
      </c>
      <c r="F393" s="3">
        <v>0</v>
      </c>
      <c r="G393" s="3">
        <v>69237686</v>
      </c>
      <c r="H393" s="3">
        <v>0</v>
      </c>
      <c r="I393" s="3">
        <v>61696</v>
      </c>
      <c r="J393" s="3">
        <v>490503279</v>
      </c>
      <c r="K393" s="3">
        <v>203628</v>
      </c>
      <c r="L393" s="3">
        <v>313501226</v>
      </c>
      <c r="M393" s="3">
        <v>171067564</v>
      </c>
      <c r="N393" s="3">
        <v>17255320</v>
      </c>
      <c r="O393" s="3">
        <v>0</v>
      </c>
      <c r="P393" s="3">
        <f t="shared" si="6"/>
        <v>1202459538</v>
      </c>
    </row>
    <row r="394" spans="1:16" x14ac:dyDescent="0.25">
      <c r="A394" s="2">
        <v>46050</v>
      </c>
      <c r="B394" s="3">
        <v>36450751</v>
      </c>
      <c r="C394" s="3">
        <v>7245421</v>
      </c>
      <c r="D394" s="3">
        <v>0</v>
      </c>
      <c r="E394" s="3">
        <v>1460836</v>
      </c>
      <c r="F394" s="3">
        <v>0</v>
      </c>
      <c r="G394" s="3">
        <v>189552551</v>
      </c>
      <c r="H394" s="3">
        <v>0</v>
      </c>
      <c r="I394" s="3">
        <v>190428</v>
      </c>
      <c r="J394" s="3">
        <v>1278839396</v>
      </c>
      <c r="K394" s="3">
        <v>2980722</v>
      </c>
      <c r="L394" s="3">
        <v>173583473</v>
      </c>
      <c r="M394" s="3">
        <v>215030668</v>
      </c>
      <c r="N394" s="3">
        <v>23180370</v>
      </c>
      <c r="O394" s="3">
        <v>0</v>
      </c>
      <c r="P394" s="3">
        <f t="shared" si="6"/>
        <v>1928514616</v>
      </c>
    </row>
    <row r="395" spans="1:16" x14ac:dyDescent="0.25">
      <c r="A395" s="2">
        <v>46051</v>
      </c>
      <c r="B395" s="3">
        <v>171487755</v>
      </c>
      <c r="C395" s="3">
        <v>4950916</v>
      </c>
      <c r="D395" s="3">
        <v>0</v>
      </c>
      <c r="E395" s="3">
        <v>31959</v>
      </c>
      <c r="F395" s="3">
        <v>0</v>
      </c>
      <c r="G395" s="3">
        <v>126179001</v>
      </c>
      <c r="H395" s="3">
        <v>0</v>
      </c>
      <c r="I395" s="3">
        <v>265508</v>
      </c>
      <c r="J395" s="3">
        <v>1488320707</v>
      </c>
      <c r="K395" s="3">
        <v>571287</v>
      </c>
      <c r="L395" s="3">
        <v>550767534</v>
      </c>
      <c r="M395" s="3">
        <v>181033448</v>
      </c>
      <c r="N395" s="3">
        <v>42221603</v>
      </c>
      <c r="O395" s="3">
        <v>113250</v>
      </c>
      <c r="P395" s="3">
        <f t="shared" si="6"/>
        <v>2565942968</v>
      </c>
    </row>
    <row r="396" spans="1:16" x14ac:dyDescent="0.25">
      <c r="A396" s="2">
        <v>46052</v>
      </c>
      <c r="B396" s="3">
        <v>179458199</v>
      </c>
      <c r="C396" s="3">
        <v>3734674</v>
      </c>
      <c r="D396" s="3">
        <v>0</v>
      </c>
      <c r="E396" s="3">
        <v>371906</v>
      </c>
      <c r="F396" s="3">
        <v>0</v>
      </c>
      <c r="G396" s="3">
        <v>75476444</v>
      </c>
      <c r="H396" s="3">
        <v>0</v>
      </c>
      <c r="I396" s="3">
        <v>262132</v>
      </c>
      <c r="J396" s="3">
        <v>2392338631</v>
      </c>
      <c r="K396" s="3">
        <v>70786809</v>
      </c>
      <c r="L396" s="3">
        <v>502171561</v>
      </c>
      <c r="M396" s="3">
        <v>192993197</v>
      </c>
      <c r="N396" s="3">
        <v>14152512</v>
      </c>
      <c r="O396" s="3">
        <v>64896</v>
      </c>
      <c r="P396" s="3">
        <f t="shared" si="6"/>
        <v>3431810961</v>
      </c>
    </row>
    <row r="397" spans="1:16" x14ac:dyDescent="0.25">
      <c r="A397" s="2">
        <v>46053</v>
      </c>
      <c r="B397" s="3">
        <v>18094392</v>
      </c>
      <c r="C397" s="3">
        <v>176480</v>
      </c>
      <c r="D397" s="3">
        <v>0</v>
      </c>
      <c r="E397" s="3">
        <v>102539</v>
      </c>
      <c r="F397" s="3">
        <v>0</v>
      </c>
      <c r="G397" s="3">
        <v>33285637</v>
      </c>
      <c r="H397" s="3">
        <v>0</v>
      </c>
      <c r="I397" s="3">
        <v>157300</v>
      </c>
      <c r="J397" s="3">
        <v>670528840</v>
      </c>
      <c r="K397" s="3">
        <v>12822294</v>
      </c>
      <c r="L397" s="3">
        <v>235665853</v>
      </c>
      <c r="M397" s="3">
        <v>191194503</v>
      </c>
      <c r="N397" s="3">
        <v>13084744</v>
      </c>
      <c r="O397" s="3">
        <v>0</v>
      </c>
      <c r="P397" s="3">
        <f t="shared" si="6"/>
        <v>1175112582</v>
      </c>
    </row>
    <row r="398" spans="1:16" x14ac:dyDescent="0.25">
      <c r="A398" s="2">
        <v>46054</v>
      </c>
      <c r="B398" s="3">
        <v>14856294</v>
      </c>
      <c r="C398" s="3">
        <v>381262</v>
      </c>
      <c r="D398" s="3">
        <v>0</v>
      </c>
      <c r="E398" s="3">
        <v>150987</v>
      </c>
      <c r="F398" s="3">
        <v>0</v>
      </c>
      <c r="G398" s="3">
        <v>11315346</v>
      </c>
      <c r="H398" s="3">
        <v>0</v>
      </c>
      <c r="I398" s="3">
        <v>95423</v>
      </c>
      <c r="J398" s="3">
        <v>458166051</v>
      </c>
      <c r="K398" s="3">
        <v>2313</v>
      </c>
      <c r="L398" s="3">
        <v>130255424</v>
      </c>
      <c r="M398" s="3">
        <v>193767782</v>
      </c>
      <c r="N398" s="3">
        <v>8645695</v>
      </c>
      <c r="O398" s="3">
        <v>0</v>
      </c>
      <c r="P398" s="3">
        <f t="shared" si="6"/>
        <v>817636577</v>
      </c>
    </row>
    <row r="399" spans="1:16" x14ac:dyDescent="0.25">
      <c r="A399" s="2">
        <v>46055</v>
      </c>
      <c r="B399" s="3">
        <v>19966922</v>
      </c>
      <c r="C399" s="3">
        <v>5091265</v>
      </c>
      <c r="D399" s="3">
        <v>0</v>
      </c>
      <c r="E399" s="3">
        <v>541665</v>
      </c>
      <c r="F399" s="3">
        <v>0</v>
      </c>
      <c r="G399" s="3">
        <v>69754099</v>
      </c>
      <c r="H399" s="3">
        <v>0</v>
      </c>
      <c r="I399" s="3">
        <v>369848</v>
      </c>
      <c r="J399" s="3">
        <v>1063180840</v>
      </c>
      <c r="K399" s="3">
        <v>82248</v>
      </c>
      <c r="L399" s="3">
        <v>254725152</v>
      </c>
      <c r="M399" s="3">
        <v>180793715</v>
      </c>
      <c r="N399" s="3">
        <v>14801410</v>
      </c>
      <c r="O399" s="3">
        <v>0</v>
      </c>
      <c r="P399" s="3">
        <f t="shared" si="6"/>
        <v>1609307164</v>
      </c>
    </row>
    <row r="400" spans="1:16" x14ac:dyDescent="0.25">
      <c r="A400" s="2">
        <v>46056</v>
      </c>
      <c r="B400" s="3">
        <v>105089254</v>
      </c>
      <c r="C400" s="3">
        <v>3341672</v>
      </c>
      <c r="D400" s="3">
        <v>0</v>
      </c>
      <c r="E400" s="3">
        <v>1852775</v>
      </c>
      <c r="F400" s="3">
        <v>0</v>
      </c>
      <c r="G400" s="3">
        <v>75375530</v>
      </c>
      <c r="H400" s="3">
        <v>0</v>
      </c>
      <c r="I400" s="3">
        <v>1211087</v>
      </c>
      <c r="J400" s="3">
        <v>1043512737</v>
      </c>
      <c r="K400" s="3">
        <v>77596</v>
      </c>
      <c r="L400" s="3">
        <v>545175294</v>
      </c>
      <c r="M400" s="3">
        <v>143162078</v>
      </c>
      <c r="N400" s="3">
        <v>152916711</v>
      </c>
      <c r="O400" s="3">
        <v>0</v>
      </c>
      <c r="P400" s="3">
        <f t="shared" si="6"/>
        <v>2071714734</v>
      </c>
    </row>
    <row r="401" spans="1:16" x14ac:dyDescent="0.25">
      <c r="A401" s="2">
        <v>46057</v>
      </c>
      <c r="B401" s="3">
        <v>20191541</v>
      </c>
      <c r="C401" s="3">
        <v>5779064</v>
      </c>
      <c r="D401" s="3">
        <v>0</v>
      </c>
      <c r="E401" s="3">
        <v>241577</v>
      </c>
      <c r="F401" s="3">
        <v>0</v>
      </c>
      <c r="G401" s="3">
        <v>172065303</v>
      </c>
      <c r="H401" s="3">
        <v>1386557</v>
      </c>
      <c r="I401" s="3">
        <v>241394</v>
      </c>
      <c r="J401" s="3">
        <v>1260924450</v>
      </c>
      <c r="K401" s="3">
        <v>21219</v>
      </c>
      <c r="L401" s="3">
        <v>164918847</v>
      </c>
      <c r="M401" s="3">
        <v>243050378</v>
      </c>
      <c r="N401" s="3">
        <v>11047339</v>
      </c>
      <c r="O401" s="3">
        <v>112250</v>
      </c>
      <c r="P401" s="3">
        <f t="shared" si="6"/>
        <v>1879979919</v>
      </c>
    </row>
    <row r="402" spans="1:16" x14ac:dyDescent="0.25">
      <c r="A402" s="2">
        <v>46058</v>
      </c>
      <c r="B402" s="3">
        <v>52382362</v>
      </c>
      <c r="C402" s="3">
        <v>3860107</v>
      </c>
      <c r="D402" s="3">
        <v>0</v>
      </c>
      <c r="E402" s="3">
        <v>1158317</v>
      </c>
      <c r="F402" s="3">
        <v>0</v>
      </c>
      <c r="G402" s="3">
        <v>74496789</v>
      </c>
      <c r="H402" s="3">
        <v>0</v>
      </c>
      <c r="I402" s="3">
        <v>742931</v>
      </c>
      <c r="J402" s="3">
        <v>730247258</v>
      </c>
      <c r="K402" s="3">
        <v>964889</v>
      </c>
      <c r="L402" s="3">
        <v>837128097</v>
      </c>
      <c r="M402" s="3">
        <v>1734134660</v>
      </c>
      <c r="N402" s="3">
        <v>41562116</v>
      </c>
      <c r="O402" s="3">
        <v>112250</v>
      </c>
      <c r="P402" s="3">
        <f t="shared" si="6"/>
        <v>3476789776</v>
      </c>
    </row>
    <row r="403" spans="1:16" x14ac:dyDescent="0.25">
      <c r="A403" s="2">
        <v>46059</v>
      </c>
      <c r="B403" s="3">
        <v>427777780</v>
      </c>
      <c r="C403" s="3">
        <v>3535077</v>
      </c>
      <c r="D403" s="3">
        <v>0</v>
      </c>
      <c r="E403" s="3">
        <v>14966781</v>
      </c>
      <c r="F403" s="3">
        <v>0</v>
      </c>
      <c r="G403" s="3">
        <v>80669467</v>
      </c>
      <c r="H403" s="3">
        <v>0</v>
      </c>
      <c r="I403" s="3">
        <v>1340769</v>
      </c>
      <c r="J403" s="3">
        <v>566898390</v>
      </c>
      <c r="K403" s="3">
        <v>26126</v>
      </c>
      <c r="L403" s="3">
        <v>942838350</v>
      </c>
      <c r="M403" s="3">
        <v>479237149</v>
      </c>
      <c r="N403" s="3">
        <v>23008937</v>
      </c>
      <c r="O403" s="3">
        <v>109125</v>
      </c>
      <c r="P403" s="3">
        <f t="shared" si="6"/>
        <v>2540407951</v>
      </c>
    </row>
    <row r="404" spans="1:16" x14ac:dyDescent="0.25">
      <c r="A404" s="2">
        <v>46060</v>
      </c>
      <c r="B404" s="3">
        <v>7896914</v>
      </c>
      <c r="C404" s="3">
        <v>500215</v>
      </c>
      <c r="D404" s="3">
        <v>0</v>
      </c>
      <c r="E404" s="3">
        <v>73531</v>
      </c>
      <c r="F404" s="3">
        <v>0</v>
      </c>
      <c r="G404" s="3">
        <v>7430719</v>
      </c>
      <c r="H404" s="3">
        <v>0</v>
      </c>
      <c r="I404" s="3">
        <v>31599</v>
      </c>
      <c r="J404" s="3">
        <v>200682578</v>
      </c>
      <c r="K404" s="3">
        <v>163302</v>
      </c>
      <c r="L404" s="3">
        <v>256498199</v>
      </c>
      <c r="M404" s="3">
        <v>540907983</v>
      </c>
      <c r="N404" s="3">
        <v>15954076</v>
      </c>
      <c r="O404" s="3">
        <v>0</v>
      </c>
      <c r="P404" s="3">
        <f t="shared" si="6"/>
        <v>1030139116</v>
      </c>
    </row>
    <row r="405" spans="1:16" x14ac:dyDescent="0.25">
      <c r="A405" s="2">
        <v>46061</v>
      </c>
      <c r="B405" s="3">
        <v>47900562</v>
      </c>
      <c r="C405" s="3">
        <v>211292</v>
      </c>
      <c r="D405" s="3">
        <v>0</v>
      </c>
      <c r="E405" s="3">
        <v>4989</v>
      </c>
      <c r="F405" s="3">
        <v>0</v>
      </c>
      <c r="G405" s="3">
        <v>4934827</v>
      </c>
      <c r="H405" s="3">
        <v>0</v>
      </c>
      <c r="I405" s="3">
        <v>52509</v>
      </c>
      <c r="J405" s="3">
        <v>200735776</v>
      </c>
      <c r="K405" s="3">
        <v>27427</v>
      </c>
      <c r="L405" s="3">
        <v>172648192</v>
      </c>
      <c r="M405" s="3">
        <v>174010199</v>
      </c>
      <c r="N405" s="3">
        <v>18989615</v>
      </c>
      <c r="O405" s="3">
        <v>0</v>
      </c>
      <c r="P405" s="3">
        <f t="shared" si="6"/>
        <v>619515388</v>
      </c>
    </row>
    <row r="406" spans="1:16" x14ac:dyDescent="0.25">
      <c r="A406" s="2">
        <v>46062</v>
      </c>
      <c r="B406" s="3">
        <v>21501447</v>
      </c>
      <c r="C406" s="3">
        <v>4647632</v>
      </c>
      <c r="D406" s="3">
        <v>0</v>
      </c>
      <c r="E406" s="3">
        <v>102608</v>
      </c>
      <c r="F406" s="3">
        <v>0</v>
      </c>
      <c r="G406" s="3">
        <v>83594216</v>
      </c>
      <c r="H406" s="3">
        <v>0</v>
      </c>
      <c r="I406" s="3">
        <v>175770</v>
      </c>
      <c r="J406" s="3">
        <v>236952556</v>
      </c>
      <c r="K406" s="3">
        <v>3440209</v>
      </c>
      <c r="L406" s="3">
        <v>291013074</v>
      </c>
      <c r="M406" s="3">
        <v>135131578</v>
      </c>
      <c r="N406" s="3">
        <v>11246643</v>
      </c>
      <c r="O406" s="3">
        <v>175060</v>
      </c>
      <c r="P406" s="3">
        <f t="shared" si="6"/>
        <v>787980793</v>
      </c>
    </row>
    <row r="407" spans="1:16" x14ac:dyDescent="0.25">
      <c r="A407" s="2">
        <v>46063</v>
      </c>
      <c r="B407" s="3">
        <v>431338192</v>
      </c>
      <c r="C407" s="3">
        <v>7841865</v>
      </c>
      <c r="D407" s="3">
        <v>0</v>
      </c>
      <c r="E407" s="3">
        <v>8084896</v>
      </c>
      <c r="F407" s="3">
        <v>0</v>
      </c>
      <c r="G407" s="3">
        <v>75505159</v>
      </c>
      <c r="H407" s="3">
        <v>0</v>
      </c>
      <c r="I407" s="3">
        <v>109736</v>
      </c>
      <c r="J407" s="3">
        <v>523192901</v>
      </c>
      <c r="K407" s="3">
        <v>15774537</v>
      </c>
      <c r="L407" s="3">
        <v>427237557</v>
      </c>
      <c r="M407" s="3">
        <v>195075792</v>
      </c>
      <c r="N407" s="3">
        <v>9723664</v>
      </c>
      <c r="O407" s="3">
        <v>0</v>
      </c>
      <c r="P407" s="3">
        <f t="shared" si="6"/>
        <v>1693884299</v>
      </c>
    </row>
    <row r="408" spans="1:16" x14ac:dyDescent="0.25">
      <c r="A408" s="2">
        <v>46064</v>
      </c>
      <c r="B408" s="3">
        <v>143167928</v>
      </c>
      <c r="C408" s="3">
        <v>3631814</v>
      </c>
      <c r="D408" s="3">
        <v>0</v>
      </c>
      <c r="E408" s="3">
        <v>307463</v>
      </c>
      <c r="F408" s="3">
        <v>0</v>
      </c>
      <c r="G408" s="3">
        <v>75174887</v>
      </c>
      <c r="H408" s="3">
        <v>0</v>
      </c>
      <c r="I408" s="3">
        <v>142187</v>
      </c>
      <c r="J408" s="3">
        <v>494874441</v>
      </c>
      <c r="K408" s="3">
        <v>33534</v>
      </c>
      <c r="L408" s="3">
        <v>235031705</v>
      </c>
      <c r="M408" s="3">
        <v>203877885</v>
      </c>
      <c r="N408" s="3">
        <v>5346212</v>
      </c>
      <c r="O408" s="3">
        <v>0</v>
      </c>
      <c r="P408" s="3">
        <f t="shared" si="6"/>
        <v>1161588056</v>
      </c>
    </row>
    <row r="409" spans="1:16" x14ac:dyDescent="0.25">
      <c r="A409" s="2">
        <v>46065</v>
      </c>
      <c r="B409" s="3">
        <v>50963257</v>
      </c>
      <c r="C409" s="3">
        <v>6179169</v>
      </c>
      <c r="D409" s="3">
        <v>0</v>
      </c>
      <c r="E409" s="3">
        <v>171523</v>
      </c>
      <c r="F409" s="3">
        <v>0</v>
      </c>
      <c r="G409" s="3">
        <v>63533636</v>
      </c>
      <c r="H409" s="3">
        <v>0</v>
      </c>
      <c r="I409" s="3">
        <v>27859</v>
      </c>
      <c r="J409" s="3">
        <v>435504674</v>
      </c>
      <c r="K409" s="3">
        <v>13530</v>
      </c>
      <c r="L409" s="3">
        <v>446882948</v>
      </c>
      <c r="M409" s="3">
        <v>503156145</v>
      </c>
      <c r="N409" s="3">
        <v>11035535</v>
      </c>
      <c r="O409" s="3">
        <v>0</v>
      </c>
      <c r="P409" s="3">
        <f t="shared" si="6"/>
        <v>1517468276</v>
      </c>
    </row>
    <row r="410" spans="1:16" x14ac:dyDescent="0.25">
      <c r="A410" s="2">
        <v>46066</v>
      </c>
      <c r="B410" s="3">
        <v>107057788</v>
      </c>
      <c r="C410" s="3">
        <v>2598994</v>
      </c>
      <c r="D410" s="3">
        <v>0</v>
      </c>
      <c r="E410" s="3">
        <v>26685019</v>
      </c>
      <c r="F410" s="3">
        <v>0</v>
      </c>
      <c r="G410" s="3">
        <v>54053596</v>
      </c>
      <c r="H410" s="3">
        <v>0</v>
      </c>
      <c r="I410" s="3">
        <v>202596</v>
      </c>
      <c r="J410" s="3">
        <v>351626148</v>
      </c>
      <c r="K410" s="3">
        <v>2935</v>
      </c>
      <c r="L410" s="3">
        <v>141123539</v>
      </c>
      <c r="M410" s="3">
        <v>244449002</v>
      </c>
      <c r="N410" s="3">
        <v>8565259</v>
      </c>
      <c r="O410" s="3">
        <v>0</v>
      </c>
      <c r="P410" s="3">
        <f t="shared" si="6"/>
        <v>936364876</v>
      </c>
    </row>
    <row r="411" spans="1:16" x14ac:dyDescent="0.25">
      <c r="A411" s="2">
        <v>46067</v>
      </c>
      <c r="B411" s="3">
        <v>50434238</v>
      </c>
      <c r="C411" s="3">
        <v>156768</v>
      </c>
      <c r="D411" s="3">
        <v>0</v>
      </c>
      <c r="E411" s="3">
        <v>322888</v>
      </c>
      <c r="F411" s="3">
        <v>0</v>
      </c>
      <c r="G411" s="3">
        <v>5233256</v>
      </c>
      <c r="H411" s="3">
        <v>0</v>
      </c>
      <c r="I411" s="3">
        <v>22904</v>
      </c>
      <c r="J411" s="3">
        <v>191315975</v>
      </c>
      <c r="K411" s="3">
        <v>3405</v>
      </c>
      <c r="L411" s="3">
        <v>98003913</v>
      </c>
      <c r="M411" s="3">
        <v>429374087</v>
      </c>
      <c r="N411" s="3">
        <v>6651602</v>
      </c>
      <c r="O411" s="3">
        <v>0</v>
      </c>
      <c r="P411" s="3">
        <f t="shared" si="6"/>
        <v>781519036</v>
      </c>
    </row>
    <row r="412" spans="1:16" x14ac:dyDescent="0.25">
      <c r="A412" s="2">
        <v>46068</v>
      </c>
      <c r="B412" s="3">
        <v>102346</v>
      </c>
      <c r="C412" s="3">
        <v>320772</v>
      </c>
      <c r="D412" s="3">
        <v>0</v>
      </c>
      <c r="E412" s="3">
        <v>2604</v>
      </c>
      <c r="F412" s="3">
        <v>0</v>
      </c>
      <c r="G412" s="3">
        <v>3297112</v>
      </c>
      <c r="H412" s="3">
        <v>0</v>
      </c>
      <c r="I412" s="3">
        <v>5620</v>
      </c>
      <c r="J412" s="3">
        <v>199053959</v>
      </c>
      <c r="K412" s="3">
        <v>1677</v>
      </c>
      <c r="L412" s="3">
        <v>85862073</v>
      </c>
      <c r="M412" s="3">
        <v>153665751</v>
      </c>
      <c r="N412" s="3">
        <v>6134816</v>
      </c>
      <c r="O412" s="3">
        <v>0</v>
      </c>
      <c r="P412" s="3">
        <f t="shared" si="6"/>
        <v>448446730</v>
      </c>
    </row>
    <row r="413" spans="1:16" x14ac:dyDescent="0.25">
      <c r="A413" s="2">
        <v>46069</v>
      </c>
      <c r="B413" s="3">
        <v>101807620</v>
      </c>
      <c r="C413" s="3">
        <v>4706557</v>
      </c>
      <c r="D413" s="3">
        <v>25</v>
      </c>
      <c r="E413" s="3">
        <v>1097633</v>
      </c>
      <c r="F413" s="3">
        <v>0</v>
      </c>
      <c r="G413" s="3">
        <v>16780785</v>
      </c>
      <c r="H413" s="3">
        <v>0</v>
      </c>
      <c r="I413" s="3">
        <v>3447753</v>
      </c>
      <c r="J413" s="3">
        <v>231596112</v>
      </c>
      <c r="K413" s="3">
        <v>1104</v>
      </c>
      <c r="L413" s="3">
        <v>325168345</v>
      </c>
      <c r="M413" s="3">
        <v>153807286</v>
      </c>
      <c r="N413" s="3">
        <v>11943294</v>
      </c>
      <c r="O413" s="3">
        <v>0</v>
      </c>
      <c r="P413" s="3">
        <f t="shared" si="6"/>
        <v>850356514</v>
      </c>
    </row>
    <row r="414" spans="1:16" x14ac:dyDescent="0.25">
      <c r="A414" s="2">
        <v>46070</v>
      </c>
      <c r="B414" s="3">
        <v>26466554</v>
      </c>
      <c r="C414" s="3">
        <v>22907102</v>
      </c>
      <c r="D414" s="3">
        <v>0</v>
      </c>
      <c r="E414" s="3">
        <v>425994</v>
      </c>
      <c r="F414" s="3">
        <v>0</v>
      </c>
      <c r="G414" s="3">
        <v>74395526</v>
      </c>
      <c r="H414" s="3">
        <v>0</v>
      </c>
      <c r="I414" s="3">
        <v>700276</v>
      </c>
      <c r="J414" s="3">
        <v>278470698</v>
      </c>
      <c r="K414" s="3">
        <v>3841406</v>
      </c>
      <c r="L414" s="3">
        <v>237967707</v>
      </c>
      <c r="M414" s="3">
        <v>262973676</v>
      </c>
      <c r="N414" s="3">
        <v>8574850</v>
      </c>
      <c r="O414" s="3">
        <v>0</v>
      </c>
      <c r="P414" s="3">
        <f t="shared" si="6"/>
        <v>916723789</v>
      </c>
    </row>
    <row r="415" spans="1:16" x14ac:dyDescent="0.25">
      <c r="A415" s="2">
        <v>46071</v>
      </c>
      <c r="B415" s="3">
        <v>21355851</v>
      </c>
      <c r="C415" s="3">
        <v>3941233</v>
      </c>
      <c r="D415" s="3">
        <v>0</v>
      </c>
      <c r="E415" s="3">
        <v>376278</v>
      </c>
      <c r="F415" s="3">
        <v>0</v>
      </c>
      <c r="G415" s="3">
        <v>259079284</v>
      </c>
      <c r="H415" s="3">
        <v>0</v>
      </c>
      <c r="I415" s="3">
        <v>1913330</v>
      </c>
      <c r="J415" s="3">
        <v>278992215</v>
      </c>
      <c r="K415" s="3">
        <v>4077608</v>
      </c>
      <c r="L415" s="3">
        <v>136378538</v>
      </c>
      <c r="M415" s="3">
        <v>112688843</v>
      </c>
      <c r="N415" s="3">
        <v>11766179</v>
      </c>
      <c r="O415" s="3">
        <v>0</v>
      </c>
      <c r="P415" s="3">
        <f t="shared" si="6"/>
        <v>830569359</v>
      </c>
    </row>
    <row r="416" spans="1:16" x14ac:dyDescent="0.25">
      <c r="A416" s="2">
        <v>46072</v>
      </c>
      <c r="B416" s="3">
        <v>45916079</v>
      </c>
      <c r="C416" s="3">
        <v>2820080</v>
      </c>
      <c r="D416" s="3">
        <v>0</v>
      </c>
      <c r="E416" s="3">
        <v>10145140</v>
      </c>
      <c r="F416" s="3">
        <v>0</v>
      </c>
      <c r="G416" s="3">
        <v>46108817</v>
      </c>
      <c r="H416" s="3">
        <v>0</v>
      </c>
      <c r="I416" s="3">
        <v>4518114</v>
      </c>
      <c r="J416" s="3">
        <v>248018942</v>
      </c>
      <c r="K416" s="3">
        <v>2055</v>
      </c>
      <c r="L416" s="3">
        <v>165591753</v>
      </c>
      <c r="M416" s="3">
        <v>164633196</v>
      </c>
      <c r="N416" s="3">
        <v>14753706</v>
      </c>
      <c r="O416" s="3">
        <v>45720</v>
      </c>
      <c r="P416" s="3">
        <f t="shared" si="6"/>
        <v>702553602</v>
      </c>
    </row>
    <row r="417" spans="1:16" x14ac:dyDescent="0.25">
      <c r="A417" s="2">
        <v>46073</v>
      </c>
      <c r="B417" s="3">
        <v>36225193</v>
      </c>
      <c r="C417" s="3">
        <v>3329623</v>
      </c>
      <c r="D417" s="3">
        <v>0</v>
      </c>
      <c r="E417" s="3">
        <v>451800</v>
      </c>
      <c r="F417" s="3">
        <v>0</v>
      </c>
      <c r="G417" s="3">
        <v>42292492</v>
      </c>
      <c r="H417" s="3">
        <v>0</v>
      </c>
      <c r="I417" s="3">
        <v>427205</v>
      </c>
      <c r="J417" s="3">
        <v>294786147</v>
      </c>
      <c r="K417" s="3">
        <v>91385612</v>
      </c>
      <c r="L417" s="3">
        <v>268437279</v>
      </c>
      <c r="M417" s="3">
        <v>99974523</v>
      </c>
      <c r="N417" s="3">
        <v>17564572</v>
      </c>
      <c r="O417" s="3">
        <v>478506</v>
      </c>
      <c r="P417" s="3">
        <f t="shared" si="6"/>
        <v>855352952</v>
      </c>
    </row>
    <row r="418" spans="1:16" x14ac:dyDescent="0.25">
      <c r="A418" s="2">
        <v>46074</v>
      </c>
      <c r="B418" s="3">
        <v>9282964</v>
      </c>
      <c r="C418" s="3">
        <v>107066</v>
      </c>
      <c r="D418" s="3">
        <v>0</v>
      </c>
      <c r="E418" s="3">
        <v>120838</v>
      </c>
      <c r="F418" s="3">
        <v>0</v>
      </c>
      <c r="G418" s="3">
        <v>4730018</v>
      </c>
      <c r="H418" s="3">
        <v>0</v>
      </c>
      <c r="I418" s="3">
        <v>92843</v>
      </c>
      <c r="J418" s="3">
        <v>352371829</v>
      </c>
      <c r="K418" s="3">
        <v>1091</v>
      </c>
      <c r="L418" s="3">
        <v>80025760</v>
      </c>
      <c r="M418" s="3">
        <v>95941903</v>
      </c>
      <c r="N418" s="3">
        <v>5853055</v>
      </c>
      <c r="O418" s="3">
        <v>0</v>
      </c>
      <c r="P418" s="3">
        <f t="shared" si="6"/>
        <v>548527367</v>
      </c>
    </row>
    <row r="419" spans="1:16" x14ac:dyDescent="0.25">
      <c r="A419" s="2">
        <v>46075</v>
      </c>
      <c r="B419" s="3">
        <v>2052710</v>
      </c>
      <c r="C419" s="3">
        <v>2224340</v>
      </c>
      <c r="D419" s="3">
        <v>0</v>
      </c>
      <c r="E419" s="3">
        <v>268249</v>
      </c>
      <c r="F419" s="3">
        <v>0</v>
      </c>
      <c r="G419" s="3">
        <v>6211860</v>
      </c>
      <c r="H419" s="3">
        <v>0</v>
      </c>
      <c r="I419" s="3">
        <v>39609</v>
      </c>
      <c r="J419" s="3">
        <v>220955023</v>
      </c>
      <c r="K419" s="3">
        <v>33316</v>
      </c>
      <c r="L419" s="3">
        <v>136055383</v>
      </c>
      <c r="M419" s="3">
        <v>45336935</v>
      </c>
      <c r="N419" s="3">
        <v>4280031</v>
      </c>
      <c r="O419" s="3">
        <v>0</v>
      </c>
      <c r="P419" s="3">
        <f t="shared" si="6"/>
        <v>417457456</v>
      </c>
    </row>
    <row r="420" spans="1:16" x14ac:dyDescent="0.25">
      <c r="A420" s="2">
        <v>46076</v>
      </c>
      <c r="B420" s="3">
        <v>40997657</v>
      </c>
      <c r="C420" s="3">
        <v>4336107</v>
      </c>
      <c r="D420" s="3">
        <v>0</v>
      </c>
      <c r="E420" s="3">
        <v>244151</v>
      </c>
      <c r="F420" s="3">
        <v>0</v>
      </c>
      <c r="G420" s="3">
        <v>43697951</v>
      </c>
      <c r="H420" s="3">
        <v>103600</v>
      </c>
      <c r="I420" s="3">
        <v>144681</v>
      </c>
      <c r="J420" s="3">
        <v>399431094</v>
      </c>
      <c r="K420" s="3">
        <v>8181422</v>
      </c>
      <c r="L420" s="3">
        <v>264039690</v>
      </c>
      <c r="M420" s="3">
        <v>207406482</v>
      </c>
      <c r="N420" s="3">
        <v>11699328</v>
      </c>
      <c r="O420" s="3">
        <v>0</v>
      </c>
      <c r="P420" s="3">
        <f t="shared" si="6"/>
        <v>980282163</v>
      </c>
    </row>
    <row r="421" spans="1:16" x14ac:dyDescent="0.25">
      <c r="A421" s="2">
        <v>46077</v>
      </c>
      <c r="B421" s="3">
        <v>65238981</v>
      </c>
      <c r="C421" s="3">
        <v>8886370</v>
      </c>
      <c r="D421" s="3">
        <v>0</v>
      </c>
      <c r="E421" s="3">
        <v>2402</v>
      </c>
      <c r="F421" s="3">
        <v>0</v>
      </c>
      <c r="G421" s="3">
        <v>57566856</v>
      </c>
      <c r="H421" s="3">
        <v>0</v>
      </c>
      <c r="I421" s="3">
        <v>305257</v>
      </c>
      <c r="J421" s="3">
        <v>497308412</v>
      </c>
      <c r="K421" s="3">
        <v>3766228</v>
      </c>
      <c r="L421" s="3">
        <v>167872491</v>
      </c>
      <c r="M421" s="3">
        <v>316879855</v>
      </c>
      <c r="N421" s="3">
        <v>10891519</v>
      </c>
      <c r="O421" s="3">
        <v>0</v>
      </c>
      <c r="P421" s="3">
        <f t="shared" si="6"/>
        <v>1128718371</v>
      </c>
    </row>
    <row r="422" spans="1:16" x14ac:dyDescent="0.25">
      <c r="A422" s="2">
        <v>46078</v>
      </c>
      <c r="B422" s="3">
        <v>115688232</v>
      </c>
      <c r="C422" s="3">
        <v>38266775</v>
      </c>
      <c r="D422" s="3">
        <v>0</v>
      </c>
      <c r="E422" s="3">
        <v>1011908</v>
      </c>
      <c r="F422" s="3">
        <v>0</v>
      </c>
      <c r="G422" s="3">
        <v>92490193</v>
      </c>
      <c r="H422" s="3">
        <v>0</v>
      </c>
      <c r="I422" s="3">
        <v>179717</v>
      </c>
      <c r="J422" s="3">
        <v>366894833</v>
      </c>
      <c r="K422" s="3">
        <v>226811</v>
      </c>
      <c r="L422" s="3">
        <v>282588196</v>
      </c>
      <c r="M422" s="3">
        <v>81427330</v>
      </c>
      <c r="N422" s="3">
        <v>18455280</v>
      </c>
      <c r="O422" s="3">
        <v>0</v>
      </c>
      <c r="P422" s="3">
        <f t="shared" si="6"/>
        <v>997229275</v>
      </c>
    </row>
    <row r="423" spans="1:16" x14ac:dyDescent="0.25">
      <c r="A423" s="2">
        <v>46079</v>
      </c>
      <c r="B423" s="3">
        <v>53365765</v>
      </c>
      <c r="C423" s="3">
        <v>11112765</v>
      </c>
      <c r="D423" s="3">
        <v>0</v>
      </c>
      <c r="E423" s="3">
        <v>7122133</v>
      </c>
      <c r="F423" s="3">
        <v>0</v>
      </c>
      <c r="G423" s="3">
        <v>69260786</v>
      </c>
      <c r="H423" s="3">
        <v>0</v>
      </c>
      <c r="I423" s="3">
        <v>190924</v>
      </c>
      <c r="J423" s="3">
        <v>237437409</v>
      </c>
      <c r="K423" s="3">
        <v>1353159</v>
      </c>
      <c r="L423" s="3">
        <v>180156944</v>
      </c>
      <c r="M423" s="3">
        <v>285584832</v>
      </c>
      <c r="N423" s="3">
        <v>21145856</v>
      </c>
      <c r="O423" s="3">
        <v>0</v>
      </c>
      <c r="P423" s="3">
        <f t="shared" si="6"/>
        <v>866730573</v>
      </c>
    </row>
    <row r="424" spans="1:16" x14ac:dyDescent="0.25">
      <c r="A424" s="2">
        <v>46080</v>
      </c>
      <c r="B424" s="3">
        <v>119970604</v>
      </c>
      <c r="C424" s="3">
        <v>6139566</v>
      </c>
      <c r="D424" s="3">
        <v>0</v>
      </c>
      <c r="E424" s="3">
        <v>10451680</v>
      </c>
      <c r="F424" s="3">
        <v>0</v>
      </c>
      <c r="G424" s="3">
        <v>46815920</v>
      </c>
      <c r="H424" s="3">
        <v>0</v>
      </c>
      <c r="I424" s="3">
        <v>148726</v>
      </c>
      <c r="J424" s="3">
        <v>546392369</v>
      </c>
      <c r="K424" s="3">
        <v>188489</v>
      </c>
      <c r="L424" s="3">
        <v>228877930</v>
      </c>
      <c r="M424" s="3">
        <v>235919490</v>
      </c>
      <c r="N424" s="3">
        <v>207912545</v>
      </c>
      <c r="O424" s="3">
        <v>0</v>
      </c>
      <c r="P424" s="3">
        <f t="shared" si="6"/>
        <v>1402817319</v>
      </c>
    </row>
    <row r="425" spans="1:16" x14ac:dyDescent="0.25">
      <c r="A425" s="2">
        <v>46081</v>
      </c>
      <c r="B425" s="3">
        <v>2401589</v>
      </c>
      <c r="C425" s="3">
        <v>151942</v>
      </c>
      <c r="D425" s="3">
        <v>0</v>
      </c>
      <c r="E425" s="3">
        <v>42087</v>
      </c>
      <c r="F425" s="3">
        <v>0</v>
      </c>
      <c r="G425" s="3">
        <v>12925665</v>
      </c>
      <c r="H425" s="3">
        <v>0</v>
      </c>
      <c r="I425" s="3">
        <v>50954</v>
      </c>
      <c r="J425" s="3">
        <v>1800385284</v>
      </c>
      <c r="K425" s="3">
        <v>300902</v>
      </c>
      <c r="L425" s="3">
        <v>137056151</v>
      </c>
      <c r="M425" s="3">
        <v>101989608</v>
      </c>
      <c r="N425" s="3">
        <v>4782079</v>
      </c>
      <c r="O425" s="3">
        <v>0</v>
      </c>
      <c r="P425" s="3">
        <f t="shared" si="6"/>
        <v>2060086261</v>
      </c>
    </row>
    <row r="426" spans="1:16" x14ac:dyDescent="0.25">
      <c r="A426" s="2">
        <v>46082</v>
      </c>
      <c r="B426" s="3">
        <v>3524482</v>
      </c>
      <c r="C426" s="3">
        <v>281551</v>
      </c>
      <c r="D426" s="3">
        <v>0</v>
      </c>
      <c r="E426" s="3">
        <v>45783</v>
      </c>
      <c r="F426" s="3">
        <v>0</v>
      </c>
      <c r="G426" s="3">
        <v>18991551</v>
      </c>
      <c r="H426" s="3">
        <v>0</v>
      </c>
      <c r="I426" s="3">
        <v>25165</v>
      </c>
      <c r="J426" s="3">
        <v>1150538011</v>
      </c>
      <c r="K426" s="3">
        <v>54785</v>
      </c>
      <c r="L426" s="3">
        <v>113119537</v>
      </c>
      <c r="M426" s="3">
        <v>137774630</v>
      </c>
      <c r="N426" s="3">
        <v>5373147</v>
      </c>
      <c r="O426" s="3">
        <v>0</v>
      </c>
      <c r="P426" s="3">
        <f t="shared" si="6"/>
        <v>1429728642</v>
      </c>
    </row>
    <row r="427" spans="1:16" x14ac:dyDescent="0.25">
      <c r="A427" s="2">
        <v>46083</v>
      </c>
      <c r="B427" s="3">
        <v>225688259</v>
      </c>
      <c r="C427" s="3">
        <v>8045098</v>
      </c>
      <c r="D427" s="3">
        <v>0</v>
      </c>
      <c r="E427" s="3">
        <v>60778</v>
      </c>
      <c r="F427" s="3">
        <v>0</v>
      </c>
      <c r="G427" s="3">
        <v>82950845</v>
      </c>
      <c r="H427" s="3">
        <v>0</v>
      </c>
      <c r="I427" s="3">
        <v>448536</v>
      </c>
      <c r="J427" s="3">
        <v>1038672885</v>
      </c>
      <c r="K427" s="3">
        <v>114430</v>
      </c>
      <c r="L427" s="3">
        <v>166377190</v>
      </c>
      <c r="M427" s="3">
        <v>271351544</v>
      </c>
      <c r="N427" s="3">
        <v>15858983</v>
      </c>
      <c r="O427" s="3">
        <v>0</v>
      </c>
      <c r="P427" s="3">
        <f t="shared" si="6"/>
        <v>1809568548</v>
      </c>
    </row>
    <row r="428" spans="1:16" x14ac:dyDescent="0.25">
      <c r="A428" s="2">
        <v>46084</v>
      </c>
      <c r="B428" s="3">
        <v>125493043</v>
      </c>
      <c r="C428" s="3">
        <v>10144926</v>
      </c>
      <c r="D428" s="3">
        <v>0</v>
      </c>
      <c r="E428" s="3">
        <v>18856910</v>
      </c>
      <c r="F428" s="3">
        <v>0</v>
      </c>
      <c r="G428" s="3">
        <v>86868101</v>
      </c>
      <c r="H428" s="3">
        <v>0</v>
      </c>
      <c r="I428" s="3">
        <v>114874</v>
      </c>
      <c r="J428" s="3">
        <v>964342367</v>
      </c>
      <c r="K428" s="3">
        <v>18752695</v>
      </c>
      <c r="L428" s="3">
        <v>434656911</v>
      </c>
      <c r="M428" s="3">
        <v>441118353</v>
      </c>
      <c r="N428" s="3">
        <v>68761761</v>
      </c>
      <c r="O428" s="3">
        <v>0</v>
      </c>
      <c r="P428" s="3">
        <f t="shared" si="6"/>
        <v>2169109941</v>
      </c>
    </row>
    <row r="429" spans="1:16" x14ac:dyDescent="0.25">
      <c r="A429" s="2">
        <v>46085</v>
      </c>
      <c r="B429" s="3">
        <v>25085830</v>
      </c>
      <c r="C429" s="3">
        <v>3737259</v>
      </c>
      <c r="D429" s="3">
        <v>0</v>
      </c>
      <c r="E429" s="3">
        <v>7396149</v>
      </c>
      <c r="F429" s="3">
        <v>0</v>
      </c>
      <c r="G429" s="3">
        <v>163897761</v>
      </c>
      <c r="H429" s="3">
        <v>0</v>
      </c>
      <c r="I429" s="3">
        <v>188875</v>
      </c>
      <c r="J429" s="3">
        <v>343088338</v>
      </c>
      <c r="K429" s="3">
        <v>3236021</v>
      </c>
      <c r="L429" s="3">
        <v>521899915</v>
      </c>
      <c r="M429" s="3">
        <v>311718008</v>
      </c>
      <c r="N429" s="3">
        <v>12348137</v>
      </c>
      <c r="O429" s="3">
        <v>104878</v>
      </c>
      <c r="P429" s="3">
        <f t="shared" si="6"/>
        <v>1392701171</v>
      </c>
    </row>
    <row r="430" spans="1:16" x14ac:dyDescent="0.25">
      <c r="A430" s="2">
        <v>46086</v>
      </c>
      <c r="B430" s="3">
        <v>31893951</v>
      </c>
      <c r="C430" s="3">
        <v>5279792</v>
      </c>
      <c r="D430" s="3">
        <v>0</v>
      </c>
      <c r="E430" s="3">
        <v>855458</v>
      </c>
      <c r="F430" s="3">
        <v>0</v>
      </c>
      <c r="G430" s="3">
        <v>89264740</v>
      </c>
      <c r="H430" s="3">
        <v>0</v>
      </c>
      <c r="I430" s="3">
        <v>75181</v>
      </c>
      <c r="J430" s="3">
        <v>530805813</v>
      </c>
      <c r="K430" s="3">
        <v>771084</v>
      </c>
      <c r="L430" s="3">
        <v>378632523</v>
      </c>
      <c r="M430" s="3">
        <v>72366920</v>
      </c>
      <c r="N430" s="3">
        <v>11001057</v>
      </c>
      <c r="O430" s="3">
        <v>0</v>
      </c>
      <c r="P430" s="3">
        <f t="shared" si="6"/>
        <v>1120946519</v>
      </c>
    </row>
    <row r="431" spans="1:16" x14ac:dyDescent="0.25">
      <c r="A431" s="2">
        <v>46087</v>
      </c>
      <c r="B431" s="3">
        <v>101241762</v>
      </c>
      <c r="C431" s="3">
        <v>7987768</v>
      </c>
      <c r="D431" s="3">
        <v>0</v>
      </c>
      <c r="E431" s="3">
        <v>3752694</v>
      </c>
      <c r="F431" s="3">
        <v>0</v>
      </c>
      <c r="G431" s="3">
        <v>97094844</v>
      </c>
      <c r="H431" s="3">
        <v>0</v>
      </c>
      <c r="I431" s="3">
        <v>181386</v>
      </c>
      <c r="J431" s="3">
        <v>478087305</v>
      </c>
      <c r="K431" s="3">
        <v>4057403</v>
      </c>
      <c r="L431" s="3">
        <v>171996116</v>
      </c>
      <c r="M431" s="3">
        <v>180706773</v>
      </c>
      <c r="N431" s="3">
        <v>11710976</v>
      </c>
      <c r="O431" s="3">
        <v>150810</v>
      </c>
      <c r="P431" s="3">
        <f t="shared" si="6"/>
        <v>1056967837</v>
      </c>
    </row>
    <row r="432" spans="1:16" x14ac:dyDescent="0.25">
      <c r="A432" s="2">
        <v>46088</v>
      </c>
      <c r="B432" s="3">
        <v>892633</v>
      </c>
      <c r="C432" s="3">
        <v>310339</v>
      </c>
      <c r="D432" s="3">
        <v>0</v>
      </c>
      <c r="E432" s="3">
        <v>2627684</v>
      </c>
      <c r="F432" s="3">
        <v>0</v>
      </c>
      <c r="G432" s="3">
        <v>10106351</v>
      </c>
      <c r="H432" s="3">
        <v>25796</v>
      </c>
      <c r="I432" s="3">
        <v>13203</v>
      </c>
      <c r="J432" s="3">
        <v>133990838</v>
      </c>
      <c r="K432" s="3">
        <v>1199573</v>
      </c>
      <c r="L432" s="3">
        <v>98132404</v>
      </c>
      <c r="M432" s="3">
        <v>91886522</v>
      </c>
      <c r="N432" s="3">
        <v>10318593</v>
      </c>
      <c r="O432" s="3">
        <v>0</v>
      </c>
      <c r="P432" s="3">
        <f t="shared" si="6"/>
        <v>349503936</v>
      </c>
    </row>
    <row r="433" spans="1:16" x14ac:dyDescent="0.25">
      <c r="A433" s="2">
        <v>46089</v>
      </c>
      <c r="B433" s="3">
        <v>4385573</v>
      </c>
      <c r="C433" s="3">
        <v>328532</v>
      </c>
      <c r="D433" s="3">
        <v>0</v>
      </c>
      <c r="E433" s="3">
        <v>59823</v>
      </c>
      <c r="F433" s="3">
        <v>0</v>
      </c>
      <c r="G433" s="3">
        <v>10870329</v>
      </c>
      <c r="H433" s="3">
        <v>0</v>
      </c>
      <c r="I433" s="3">
        <v>8382</v>
      </c>
      <c r="J433" s="3">
        <v>454428524</v>
      </c>
      <c r="K433" s="3">
        <v>1090</v>
      </c>
      <c r="L433" s="3">
        <v>98568875</v>
      </c>
      <c r="M433" s="3">
        <v>28284112</v>
      </c>
      <c r="N433" s="3">
        <v>21068988</v>
      </c>
      <c r="O433" s="3">
        <v>0</v>
      </c>
      <c r="P433" s="3">
        <f t="shared" si="6"/>
        <v>618004228</v>
      </c>
    </row>
    <row r="434" spans="1:16" x14ac:dyDescent="0.25">
      <c r="A434" s="2">
        <v>46090</v>
      </c>
      <c r="B434" s="3">
        <v>57573648</v>
      </c>
      <c r="C434" s="3">
        <v>10241553</v>
      </c>
      <c r="D434" s="3">
        <v>0</v>
      </c>
      <c r="E434" s="3">
        <v>329686342</v>
      </c>
      <c r="F434" s="3">
        <v>0</v>
      </c>
      <c r="G434" s="3">
        <v>166566578</v>
      </c>
      <c r="H434" s="3">
        <v>0</v>
      </c>
      <c r="I434" s="3">
        <v>56649</v>
      </c>
      <c r="J434" s="3">
        <v>341837606</v>
      </c>
      <c r="K434" s="3">
        <v>96700</v>
      </c>
      <c r="L434" s="3">
        <v>146302424</v>
      </c>
      <c r="M434" s="3">
        <v>101166822</v>
      </c>
      <c r="N434" s="3">
        <v>7197043</v>
      </c>
      <c r="O434" s="3">
        <v>0</v>
      </c>
      <c r="P434" s="3">
        <f t="shared" si="6"/>
        <v>1160725365</v>
      </c>
    </row>
    <row r="435" spans="1:16" x14ac:dyDescent="0.25">
      <c r="A435" s="2">
        <v>46091</v>
      </c>
      <c r="B435" s="3">
        <v>43848012</v>
      </c>
      <c r="C435" s="3">
        <v>8895427</v>
      </c>
      <c r="D435" s="3">
        <v>4690</v>
      </c>
      <c r="E435" s="3">
        <v>3792777</v>
      </c>
      <c r="F435" s="3">
        <v>0</v>
      </c>
      <c r="G435" s="3">
        <v>237911613</v>
      </c>
      <c r="H435" s="3">
        <v>0</v>
      </c>
      <c r="I435" s="3">
        <v>219584</v>
      </c>
      <c r="J435" s="3">
        <v>341749536</v>
      </c>
      <c r="K435" s="3">
        <v>85919</v>
      </c>
      <c r="L435" s="3">
        <v>456912134</v>
      </c>
      <c r="M435" s="3">
        <v>261222132</v>
      </c>
      <c r="N435" s="3">
        <v>6017409</v>
      </c>
      <c r="O435" s="3">
        <v>0</v>
      </c>
      <c r="P435" s="3">
        <f t="shared" si="6"/>
        <v>1360659233</v>
      </c>
    </row>
    <row r="436" spans="1:16" x14ac:dyDescent="0.25">
      <c r="A436" s="2">
        <v>46092</v>
      </c>
      <c r="B436" s="3">
        <v>170511333</v>
      </c>
      <c r="C436" s="3">
        <v>6827017</v>
      </c>
      <c r="D436" s="3">
        <v>0</v>
      </c>
      <c r="E436" s="3">
        <v>658176324</v>
      </c>
      <c r="F436" s="3">
        <v>0</v>
      </c>
      <c r="G436" s="3">
        <v>184062855</v>
      </c>
      <c r="H436" s="3">
        <v>0</v>
      </c>
      <c r="I436" s="3">
        <v>206972</v>
      </c>
      <c r="J436" s="3">
        <v>196216044</v>
      </c>
      <c r="K436" s="3">
        <v>4868</v>
      </c>
      <c r="L436" s="3">
        <v>427063257</v>
      </c>
      <c r="M436" s="3">
        <v>71359888</v>
      </c>
      <c r="N436" s="3">
        <v>6659163</v>
      </c>
      <c r="O436" s="3">
        <v>7776</v>
      </c>
      <c r="P436" s="3">
        <f t="shared" si="6"/>
        <v>1721095497</v>
      </c>
    </row>
    <row r="437" spans="1:16" x14ac:dyDescent="0.25">
      <c r="A437" s="2">
        <v>46093</v>
      </c>
      <c r="B437" s="3">
        <v>324878990</v>
      </c>
      <c r="C437" s="3">
        <v>9482081</v>
      </c>
      <c r="D437" s="3">
        <v>0</v>
      </c>
      <c r="E437" s="3">
        <v>88810</v>
      </c>
      <c r="F437" s="3">
        <v>0</v>
      </c>
      <c r="G437" s="3">
        <v>123983715</v>
      </c>
      <c r="H437" s="3">
        <v>0</v>
      </c>
      <c r="I437" s="3">
        <v>24238</v>
      </c>
      <c r="J437" s="3">
        <v>336627813</v>
      </c>
      <c r="K437" s="3">
        <v>303771</v>
      </c>
      <c r="L437" s="3">
        <v>425931626</v>
      </c>
      <c r="M437" s="3">
        <v>264885654</v>
      </c>
      <c r="N437" s="3">
        <v>17713277</v>
      </c>
      <c r="O437" s="3">
        <v>0</v>
      </c>
      <c r="P437" s="3">
        <f t="shared" si="6"/>
        <v>1503919975</v>
      </c>
    </row>
    <row r="438" spans="1:16" x14ac:dyDescent="0.25">
      <c r="A438" s="2">
        <v>46094</v>
      </c>
      <c r="B438" s="3">
        <v>210616725</v>
      </c>
      <c r="C438" s="3">
        <v>6447791</v>
      </c>
      <c r="D438" s="3">
        <v>0</v>
      </c>
      <c r="E438" s="3">
        <v>477801</v>
      </c>
      <c r="F438" s="3">
        <v>0</v>
      </c>
      <c r="G438" s="3">
        <v>120405597</v>
      </c>
      <c r="H438" s="3">
        <v>0</v>
      </c>
      <c r="I438" s="3">
        <v>99091</v>
      </c>
      <c r="J438" s="3">
        <v>378761517</v>
      </c>
      <c r="K438" s="3">
        <v>588470</v>
      </c>
      <c r="L438" s="3">
        <v>213287332</v>
      </c>
      <c r="M438" s="3">
        <v>136790722</v>
      </c>
      <c r="N438" s="3">
        <v>64657792</v>
      </c>
      <c r="O438" s="3">
        <v>0</v>
      </c>
      <c r="P438" s="3">
        <f t="shared" si="6"/>
        <v>1132132838</v>
      </c>
    </row>
    <row r="439" spans="1:16" x14ac:dyDescent="0.25">
      <c r="A439" s="2">
        <v>46095</v>
      </c>
      <c r="B439" s="3">
        <v>6004475</v>
      </c>
      <c r="C439" s="3">
        <v>154929</v>
      </c>
      <c r="D439" s="3">
        <v>0</v>
      </c>
      <c r="E439" s="3">
        <v>102864</v>
      </c>
      <c r="F439" s="3">
        <v>0</v>
      </c>
      <c r="G439" s="3">
        <v>6242679</v>
      </c>
      <c r="H439" s="3">
        <v>0</v>
      </c>
      <c r="I439" s="3">
        <v>11874</v>
      </c>
      <c r="J439" s="3">
        <v>132258687</v>
      </c>
      <c r="K439" s="3">
        <v>977</v>
      </c>
      <c r="L439" s="3">
        <v>90788740</v>
      </c>
      <c r="M439" s="3">
        <v>43403279</v>
      </c>
      <c r="N439" s="3">
        <v>89428115</v>
      </c>
      <c r="O439" s="3">
        <v>0</v>
      </c>
      <c r="P439" s="3">
        <f t="shared" si="6"/>
        <v>368396619</v>
      </c>
    </row>
    <row r="440" spans="1:16" x14ac:dyDescent="0.25">
      <c r="A440" s="2">
        <v>46096</v>
      </c>
      <c r="B440" s="3">
        <v>1267627</v>
      </c>
      <c r="C440" s="3">
        <v>137192</v>
      </c>
      <c r="D440" s="3">
        <v>0</v>
      </c>
      <c r="E440" s="3">
        <v>18324</v>
      </c>
      <c r="F440" s="3">
        <v>0</v>
      </c>
      <c r="G440" s="3">
        <v>7561414</v>
      </c>
      <c r="H440" s="3">
        <v>0</v>
      </c>
      <c r="I440" s="3">
        <v>47343</v>
      </c>
      <c r="J440" s="3">
        <v>161383769</v>
      </c>
      <c r="K440" s="3">
        <v>1781</v>
      </c>
      <c r="L440" s="3">
        <v>114527242</v>
      </c>
      <c r="M440" s="3">
        <v>159711891</v>
      </c>
      <c r="N440" s="3">
        <v>39222821</v>
      </c>
      <c r="O440" s="3">
        <v>0</v>
      </c>
      <c r="P440" s="3">
        <f t="shared" si="6"/>
        <v>483879404</v>
      </c>
    </row>
    <row r="441" spans="1:16" x14ac:dyDescent="0.25">
      <c r="A441" s="2">
        <v>46097</v>
      </c>
      <c r="B441" s="3">
        <v>42488215</v>
      </c>
      <c r="C441" s="3">
        <v>12067989</v>
      </c>
      <c r="D441" s="3">
        <v>0</v>
      </c>
      <c r="E441" s="3">
        <v>330159</v>
      </c>
      <c r="F441" s="3">
        <v>0</v>
      </c>
      <c r="G441" s="3">
        <v>110771563</v>
      </c>
      <c r="H441" s="3">
        <v>0</v>
      </c>
      <c r="I441" s="3">
        <v>43446</v>
      </c>
      <c r="J441" s="3">
        <v>260858006</v>
      </c>
      <c r="K441" s="3">
        <v>4141318</v>
      </c>
      <c r="L441" s="3">
        <v>245577205</v>
      </c>
      <c r="M441" s="3">
        <v>75890260</v>
      </c>
      <c r="N441" s="3">
        <v>21762341</v>
      </c>
      <c r="O441" s="3">
        <v>0</v>
      </c>
      <c r="P441" s="3">
        <f t="shared" si="6"/>
        <v>773930502</v>
      </c>
    </row>
    <row r="442" spans="1:16" x14ac:dyDescent="0.25">
      <c r="A442" s="2">
        <v>46098</v>
      </c>
      <c r="B442" s="3">
        <v>205109383</v>
      </c>
      <c r="C442" s="3">
        <v>5517925</v>
      </c>
      <c r="D442" s="3">
        <v>0</v>
      </c>
      <c r="E442" s="3">
        <v>36316</v>
      </c>
      <c r="F442" s="3">
        <v>0</v>
      </c>
      <c r="G442" s="3">
        <v>94923591</v>
      </c>
      <c r="H442" s="3">
        <v>0</v>
      </c>
      <c r="I442" s="3">
        <v>133333</v>
      </c>
      <c r="J442" s="3">
        <v>239667976</v>
      </c>
      <c r="K442" s="3">
        <v>1068401</v>
      </c>
      <c r="L442" s="3">
        <v>536306951</v>
      </c>
      <c r="M442" s="3">
        <v>61661651</v>
      </c>
      <c r="N442" s="3">
        <v>73176808</v>
      </c>
      <c r="O442" s="3">
        <v>0</v>
      </c>
      <c r="P442" s="3">
        <f t="shared" si="6"/>
        <v>1217602335</v>
      </c>
    </row>
    <row r="443" spans="1:16" x14ac:dyDescent="0.25">
      <c r="A443" s="2">
        <v>46099</v>
      </c>
      <c r="B443" s="3">
        <v>130213981</v>
      </c>
      <c r="C443" s="3">
        <v>7248977</v>
      </c>
      <c r="D443" s="3">
        <v>0</v>
      </c>
      <c r="E443" s="3">
        <v>1042592</v>
      </c>
      <c r="F443" s="3">
        <v>0</v>
      </c>
      <c r="G443" s="3">
        <v>96661639</v>
      </c>
      <c r="H443" s="3">
        <v>25682</v>
      </c>
      <c r="I443" s="3">
        <v>373682</v>
      </c>
      <c r="J443" s="3">
        <v>363617176</v>
      </c>
      <c r="K443" s="3">
        <v>7974992</v>
      </c>
      <c r="L443" s="3">
        <v>398562377</v>
      </c>
      <c r="M443" s="3">
        <v>80420495</v>
      </c>
      <c r="N443" s="3">
        <v>23439773</v>
      </c>
      <c r="O443" s="3">
        <v>0</v>
      </c>
      <c r="P443" s="3">
        <f t="shared" si="6"/>
        <v>1109581366</v>
      </c>
    </row>
    <row r="444" spans="1:16" x14ac:dyDescent="0.25">
      <c r="A444" s="2">
        <v>46100</v>
      </c>
      <c r="B444" s="3">
        <v>194137688</v>
      </c>
      <c r="C444" s="3">
        <v>14774366</v>
      </c>
      <c r="D444" s="3">
        <v>0</v>
      </c>
      <c r="E444" s="3">
        <v>4047544</v>
      </c>
      <c r="F444" s="3">
        <v>0</v>
      </c>
      <c r="G444" s="3">
        <v>103749522</v>
      </c>
      <c r="H444" s="3">
        <v>2539074</v>
      </c>
      <c r="I444" s="3">
        <v>31163</v>
      </c>
      <c r="J444" s="3">
        <v>586789831</v>
      </c>
      <c r="K444" s="3">
        <v>9981</v>
      </c>
      <c r="L444" s="3">
        <v>336121205</v>
      </c>
      <c r="M444" s="3">
        <v>142335314</v>
      </c>
      <c r="N444" s="3">
        <v>41431957</v>
      </c>
      <c r="O444" s="3">
        <v>15748</v>
      </c>
      <c r="P444" s="3">
        <f t="shared" si="6"/>
        <v>1425983393</v>
      </c>
    </row>
    <row r="445" spans="1:16" x14ac:dyDescent="0.25">
      <c r="A445" s="2">
        <v>46101</v>
      </c>
      <c r="B445" s="3">
        <v>208726973</v>
      </c>
      <c r="C445" s="3">
        <v>42141204</v>
      </c>
      <c r="D445" s="3">
        <v>0</v>
      </c>
      <c r="E445" s="3">
        <v>1936608</v>
      </c>
      <c r="F445" s="3">
        <v>0</v>
      </c>
      <c r="G445" s="3">
        <v>145428195</v>
      </c>
      <c r="H445" s="3">
        <v>107008</v>
      </c>
      <c r="I445" s="3">
        <v>221421</v>
      </c>
      <c r="J445" s="3">
        <v>600656994</v>
      </c>
      <c r="K445" s="3">
        <v>30236736</v>
      </c>
      <c r="L445" s="3">
        <v>375302679</v>
      </c>
      <c r="M445" s="3">
        <v>276425216</v>
      </c>
      <c r="N445" s="3">
        <v>469901219</v>
      </c>
      <c r="O445" s="3">
        <v>1441</v>
      </c>
      <c r="P445" s="3">
        <f t="shared" si="6"/>
        <v>2151085694</v>
      </c>
    </row>
    <row r="446" spans="1:16" x14ac:dyDescent="0.25">
      <c r="A446" s="2">
        <v>46102</v>
      </c>
      <c r="B446" s="3">
        <v>6620779</v>
      </c>
      <c r="C446" s="3">
        <v>263555</v>
      </c>
      <c r="D446" s="3">
        <v>0</v>
      </c>
      <c r="E446" s="3">
        <v>862</v>
      </c>
      <c r="F446" s="3">
        <v>0</v>
      </c>
      <c r="G446" s="3">
        <v>13284139</v>
      </c>
      <c r="H446" s="3">
        <v>0</v>
      </c>
      <c r="I446" s="3">
        <v>726581</v>
      </c>
      <c r="J446" s="3">
        <v>261577310</v>
      </c>
      <c r="K446" s="3">
        <v>1067</v>
      </c>
      <c r="L446" s="3">
        <v>101497663</v>
      </c>
      <c r="M446" s="3">
        <v>109917073</v>
      </c>
      <c r="N446" s="3">
        <v>6338687</v>
      </c>
      <c r="O446" s="3">
        <v>0</v>
      </c>
      <c r="P446" s="3">
        <f t="shared" si="6"/>
        <v>500227716</v>
      </c>
    </row>
    <row r="447" spans="1:16" x14ac:dyDescent="0.25">
      <c r="A447" s="2">
        <v>46103</v>
      </c>
      <c r="B447" s="3">
        <v>19257282</v>
      </c>
      <c r="C447" s="3">
        <v>358818</v>
      </c>
      <c r="D447" s="3">
        <v>0</v>
      </c>
      <c r="E447" s="3">
        <v>6469</v>
      </c>
      <c r="F447" s="3">
        <v>0</v>
      </c>
      <c r="G447" s="3">
        <v>14533857</v>
      </c>
      <c r="H447" s="3">
        <v>0</v>
      </c>
      <c r="I447" s="3">
        <v>61099</v>
      </c>
      <c r="J447" s="3">
        <v>281413139</v>
      </c>
      <c r="K447" s="3">
        <v>11765161</v>
      </c>
      <c r="L447" s="3">
        <v>695516832</v>
      </c>
      <c r="M447" s="3">
        <v>375744477</v>
      </c>
      <c r="N447" s="3">
        <v>130904285</v>
      </c>
      <c r="O447" s="3">
        <v>0</v>
      </c>
      <c r="P447" s="3">
        <f t="shared" si="6"/>
        <v>1529561419</v>
      </c>
    </row>
    <row r="448" spans="1:16" x14ac:dyDescent="0.25">
      <c r="A448" s="2">
        <v>46104</v>
      </c>
      <c r="B448" s="3">
        <v>99437512</v>
      </c>
      <c r="C448" s="3">
        <v>29806378</v>
      </c>
      <c r="D448" s="3">
        <v>0</v>
      </c>
      <c r="E448" s="3">
        <v>47120652</v>
      </c>
      <c r="F448" s="3">
        <v>0</v>
      </c>
      <c r="G448" s="3">
        <v>211168043</v>
      </c>
      <c r="H448" s="3">
        <v>0</v>
      </c>
      <c r="I448" s="3">
        <v>465575</v>
      </c>
      <c r="J448" s="3">
        <v>893482615</v>
      </c>
      <c r="K448" s="3">
        <v>825352</v>
      </c>
      <c r="L448" s="3">
        <v>390125879</v>
      </c>
      <c r="M448" s="3">
        <v>154847468</v>
      </c>
      <c r="N448" s="3">
        <v>29783535</v>
      </c>
      <c r="O448" s="3">
        <v>0</v>
      </c>
      <c r="P448" s="3">
        <f t="shared" si="6"/>
        <v>1857063009</v>
      </c>
    </row>
    <row r="449" spans="1:16" x14ac:dyDescent="0.25">
      <c r="A449" s="2">
        <v>46105</v>
      </c>
      <c r="B449" s="3">
        <v>158877454</v>
      </c>
      <c r="C449" s="3">
        <v>17034173</v>
      </c>
      <c r="D449" s="3">
        <v>0</v>
      </c>
      <c r="E449" s="3">
        <v>50347549</v>
      </c>
      <c r="F449" s="3">
        <v>0</v>
      </c>
      <c r="G449" s="3">
        <v>150278040</v>
      </c>
      <c r="H449" s="3">
        <v>0</v>
      </c>
      <c r="I449" s="3">
        <v>142759</v>
      </c>
      <c r="J449" s="3">
        <v>531509050</v>
      </c>
      <c r="K449" s="3">
        <v>521081</v>
      </c>
      <c r="L449" s="3">
        <v>425440045</v>
      </c>
      <c r="M449" s="3">
        <v>84811162</v>
      </c>
      <c r="N449" s="3">
        <v>16333569</v>
      </c>
      <c r="O449" s="3">
        <v>58370</v>
      </c>
      <c r="P449" s="3">
        <f t="shared" si="6"/>
        <v>1435353252</v>
      </c>
    </row>
    <row r="450" spans="1:16" x14ac:dyDescent="0.25">
      <c r="A450" s="2">
        <v>46106</v>
      </c>
      <c r="B450" s="3">
        <v>132399095</v>
      </c>
      <c r="C450" s="3">
        <v>17237689</v>
      </c>
      <c r="D450" s="3">
        <v>2309</v>
      </c>
      <c r="E450" s="3">
        <v>1730040</v>
      </c>
      <c r="F450" s="3">
        <v>0</v>
      </c>
      <c r="G450" s="3">
        <v>157197594</v>
      </c>
      <c r="H450" s="3">
        <v>130121</v>
      </c>
      <c r="I450" s="3">
        <v>662049</v>
      </c>
      <c r="J450" s="3">
        <v>287035550</v>
      </c>
      <c r="K450" s="3">
        <v>4123584</v>
      </c>
      <c r="L450" s="3">
        <v>83553485</v>
      </c>
      <c r="M450" s="3">
        <v>145134726</v>
      </c>
      <c r="N450" s="3">
        <v>19185831</v>
      </c>
      <c r="O450" s="3">
        <v>0</v>
      </c>
      <c r="P450" s="3">
        <f t="shared" ref="P450:P513" si="7">SUM(B450:O450)</f>
        <v>848392073</v>
      </c>
    </row>
    <row r="451" spans="1:16" x14ac:dyDescent="0.25">
      <c r="A451" s="2">
        <v>46107</v>
      </c>
      <c r="B451" s="3">
        <v>379720994</v>
      </c>
      <c r="C451" s="3">
        <v>13045348</v>
      </c>
      <c r="D451" s="3">
        <v>0</v>
      </c>
      <c r="E451" s="3">
        <v>689688</v>
      </c>
      <c r="F451" s="3">
        <v>0</v>
      </c>
      <c r="G451" s="3">
        <v>100263418</v>
      </c>
      <c r="H451" s="3">
        <v>0</v>
      </c>
      <c r="I451" s="3">
        <v>44724</v>
      </c>
      <c r="J451" s="3">
        <v>399520772</v>
      </c>
      <c r="K451" s="3">
        <v>11688</v>
      </c>
      <c r="L451" s="3">
        <v>239617710</v>
      </c>
      <c r="M451" s="3">
        <v>193007505</v>
      </c>
      <c r="N451" s="3">
        <v>16249993</v>
      </c>
      <c r="O451" s="3">
        <v>0</v>
      </c>
      <c r="P451" s="3">
        <f t="shared" si="7"/>
        <v>1342171840</v>
      </c>
    </row>
    <row r="452" spans="1:16" x14ac:dyDescent="0.25">
      <c r="A452" s="2">
        <v>46108</v>
      </c>
      <c r="B452" s="3">
        <v>151738139</v>
      </c>
      <c r="C452" s="3">
        <v>21798495</v>
      </c>
      <c r="D452" s="3">
        <v>0</v>
      </c>
      <c r="E452" s="3">
        <v>451978</v>
      </c>
      <c r="F452" s="3">
        <v>0</v>
      </c>
      <c r="G452" s="3">
        <v>90883394</v>
      </c>
      <c r="H452" s="3">
        <v>205454</v>
      </c>
      <c r="I452" s="3">
        <v>1883120</v>
      </c>
      <c r="J452" s="3">
        <v>266129652</v>
      </c>
      <c r="K452" s="3">
        <v>929</v>
      </c>
      <c r="L452" s="3">
        <v>242247619</v>
      </c>
      <c r="M452" s="3">
        <v>137490472</v>
      </c>
      <c r="N452" s="3">
        <v>31591724</v>
      </c>
      <c r="O452" s="3">
        <v>3594</v>
      </c>
      <c r="P452" s="3">
        <f t="shared" si="7"/>
        <v>944424570</v>
      </c>
    </row>
    <row r="453" spans="1:16" x14ac:dyDescent="0.25">
      <c r="A453" s="2">
        <v>46109</v>
      </c>
      <c r="B453" s="3">
        <v>4793078</v>
      </c>
      <c r="C453" s="3">
        <v>86118</v>
      </c>
      <c r="D453" s="3">
        <v>0</v>
      </c>
      <c r="E453" s="3">
        <v>372547</v>
      </c>
      <c r="F453" s="3">
        <v>0</v>
      </c>
      <c r="G453" s="3">
        <v>14962294</v>
      </c>
      <c r="H453" s="3">
        <v>0</v>
      </c>
      <c r="I453" s="3">
        <v>36709</v>
      </c>
      <c r="J453" s="3">
        <v>139558126</v>
      </c>
      <c r="K453" s="3">
        <v>4131</v>
      </c>
      <c r="L453" s="3">
        <v>189527093</v>
      </c>
      <c r="M453" s="3">
        <v>53397439</v>
      </c>
      <c r="N453" s="3">
        <v>22137000</v>
      </c>
      <c r="O453" s="3">
        <v>0</v>
      </c>
      <c r="P453" s="3">
        <f t="shared" si="7"/>
        <v>424874535</v>
      </c>
    </row>
    <row r="454" spans="1:16" x14ac:dyDescent="0.25">
      <c r="A454" s="2">
        <v>46110</v>
      </c>
      <c r="B454" s="3">
        <v>1427164</v>
      </c>
      <c r="C454" s="3">
        <v>239522</v>
      </c>
      <c r="D454" s="3">
        <v>0</v>
      </c>
      <c r="E454" s="3">
        <v>255514</v>
      </c>
      <c r="F454" s="3">
        <v>0</v>
      </c>
      <c r="G454" s="3">
        <v>20342008</v>
      </c>
      <c r="H454" s="3">
        <v>0</v>
      </c>
      <c r="I454" s="3">
        <v>19333</v>
      </c>
      <c r="J454" s="3">
        <v>189776814</v>
      </c>
      <c r="K454" s="3">
        <v>654159</v>
      </c>
      <c r="L454" s="3">
        <v>115688528</v>
      </c>
      <c r="M454" s="3">
        <v>63613481</v>
      </c>
      <c r="N454" s="3">
        <v>26813421</v>
      </c>
      <c r="O454" s="3">
        <v>0</v>
      </c>
      <c r="P454" s="3">
        <f t="shared" si="7"/>
        <v>418829944</v>
      </c>
    </row>
    <row r="455" spans="1:16" x14ac:dyDescent="0.25">
      <c r="A455" s="2">
        <v>46111</v>
      </c>
      <c r="B455" s="3">
        <v>317672462</v>
      </c>
      <c r="C455" s="3">
        <v>19324160</v>
      </c>
      <c r="D455" s="3">
        <v>0</v>
      </c>
      <c r="E455" s="3">
        <v>5315148</v>
      </c>
      <c r="F455" s="3">
        <v>0</v>
      </c>
      <c r="G455" s="3">
        <v>111823401</v>
      </c>
      <c r="H455" s="3">
        <v>0</v>
      </c>
      <c r="I455" s="3">
        <v>569395</v>
      </c>
      <c r="J455" s="3">
        <v>510401751</v>
      </c>
      <c r="K455" s="3">
        <v>132595</v>
      </c>
      <c r="L455" s="3">
        <v>123336456</v>
      </c>
      <c r="M455" s="3">
        <v>150632054</v>
      </c>
      <c r="N455" s="3">
        <v>22160582</v>
      </c>
      <c r="O455" s="3">
        <v>46020</v>
      </c>
      <c r="P455" s="3">
        <f t="shared" si="7"/>
        <v>1261414024</v>
      </c>
    </row>
    <row r="456" spans="1:16" x14ac:dyDescent="0.25">
      <c r="A456" s="2">
        <v>46112</v>
      </c>
      <c r="B456" s="3">
        <v>247568382</v>
      </c>
      <c r="C456" s="3">
        <v>14351119</v>
      </c>
      <c r="D456" s="3">
        <v>0</v>
      </c>
      <c r="E456" s="3">
        <v>3582</v>
      </c>
      <c r="F456" s="3">
        <v>0</v>
      </c>
      <c r="G456" s="3">
        <v>119031149</v>
      </c>
      <c r="H456" s="3">
        <v>0</v>
      </c>
      <c r="I456" s="3">
        <v>844570</v>
      </c>
      <c r="J456" s="3">
        <v>295254762</v>
      </c>
      <c r="K456" s="3">
        <v>1015752</v>
      </c>
      <c r="L456" s="3">
        <v>151112042</v>
      </c>
      <c r="M456" s="3">
        <v>191664119</v>
      </c>
      <c r="N456" s="3">
        <v>20195759</v>
      </c>
      <c r="O456" s="3">
        <v>0</v>
      </c>
      <c r="P456" s="3">
        <f t="shared" si="7"/>
        <v>1041041236</v>
      </c>
    </row>
    <row r="457" spans="1:16" x14ac:dyDescent="0.25">
      <c r="A457" s="2">
        <v>46113</v>
      </c>
      <c r="B457" s="3">
        <v>165608284</v>
      </c>
      <c r="C457" s="3">
        <v>22432218</v>
      </c>
      <c r="D457" s="3">
        <v>0</v>
      </c>
      <c r="E457" s="3">
        <v>1178341</v>
      </c>
      <c r="F457" s="3">
        <v>0</v>
      </c>
      <c r="G457" s="3">
        <v>108504057</v>
      </c>
      <c r="H457" s="3">
        <v>0</v>
      </c>
      <c r="I457" s="3">
        <v>399743</v>
      </c>
      <c r="J457" s="3">
        <v>245790043</v>
      </c>
      <c r="K457" s="3">
        <v>5799372</v>
      </c>
      <c r="L457" s="3">
        <v>832548318</v>
      </c>
      <c r="M457" s="3">
        <v>180678118</v>
      </c>
      <c r="N457" s="3">
        <v>28933281</v>
      </c>
      <c r="O457" s="3">
        <v>0</v>
      </c>
      <c r="P457" s="3">
        <f t="shared" si="7"/>
        <v>1591871775</v>
      </c>
    </row>
    <row r="458" spans="1:16" x14ac:dyDescent="0.25">
      <c r="A458" s="2">
        <v>46114</v>
      </c>
      <c r="B458" s="3">
        <v>138546733</v>
      </c>
      <c r="C458" s="3">
        <v>7694366</v>
      </c>
      <c r="D458" s="3">
        <v>0</v>
      </c>
      <c r="E458" s="3">
        <v>216669</v>
      </c>
      <c r="F458" s="3">
        <v>0</v>
      </c>
      <c r="G458" s="3">
        <v>139835947</v>
      </c>
      <c r="H458" s="3">
        <v>0</v>
      </c>
      <c r="I458" s="3">
        <v>36556</v>
      </c>
      <c r="J458" s="3">
        <v>346428737</v>
      </c>
      <c r="K458" s="3">
        <v>28083685</v>
      </c>
      <c r="L458" s="3">
        <v>550796490</v>
      </c>
      <c r="M458" s="3">
        <v>269872251</v>
      </c>
      <c r="N458" s="3">
        <v>48406513</v>
      </c>
      <c r="O458" s="3">
        <v>46020</v>
      </c>
      <c r="P458" s="3">
        <f t="shared" si="7"/>
        <v>1529963967</v>
      </c>
    </row>
    <row r="459" spans="1:16" x14ac:dyDescent="0.25">
      <c r="A459" s="2">
        <v>46115</v>
      </c>
      <c r="B459" s="3">
        <v>40995980</v>
      </c>
      <c r="C459" s="3">
        <v>2643508</v>
      </c>
      <c r="D459" s="3">
        <v>0</v>
      </c>
      <c r="E459" s="3">
        <v>647679</v>
      </c>
      <c r="F459" s="3">
        <v>0</v>
      </c>
      <c r="G459" s="3">
        <v>33229541</v>
      </c>
      <c r="H459" s="3">
        <v>18182</v>
      </c>
      <c r="I459" s="3">
        <v>133944</v>
      </c>
      <c r="J459" s="3">
        <v>134312774</v>
      </c>
      <c r="K459" s="3">
        <v>69276</v>
      </c>
      <c r="L459" s="3">
        <v>132046717</v>
      </c>
      <c r="M459" s="3">
        <v>219490639</v>
      </c>
      <c r="N459" s="3">
        <v>15236660</v>
      </c>
      <c r="O459" s="3">
        <v>0</v>
      </c>
      <c r="P459" s="3">
        <f t="shared" si="7"/>
        <v>578824900</v>
      </c>
    </row>
    <row r="460" spans="1:16" x14ac:dyDescent="0.25">
      <c r="A460" s="2">
        <v>46116</v>
      </c>
      <c r="B460" s="3">
        <v>28150310</v>
      </c>
      <c r="C460" s="3">
        <v>131941</v>
      </c>
      <c r="D460" s="3">
        <v>0</v>
      </c>
      <c r="E460" s="3">
        <v>122040</v>
      </c>
      <c r="F460" s="3">
        <v>0</v>
      </c>
      <c r="G460" s="3">
        <v>252815844</v>
      </c>
      <c r="H460" s="3">
        <v>0</v>
      </c>
      <c r="I460" s="3">
        <v>4048</v>
      </c>
      <c r="J460" s="3">
        <v>93296502</v>
      </c>
      <c r="K460" s="3">
        <v>7559</v>
      </c>
      <c r="L460" s="3">
        <v>50678889</v>
      </c>
      <c r="M460" s="3">
        <v>52347679</v>
      </c>
      <c r="N460" s="3">
        <v>14315178</v>
      </c>
      <c r="O460" s="3">
        <v>0</v>
      </c>
      <c r="P460" s="3">
        <f t="shared" si="7"/>
        <v>491869990</v>
      </c>
    </row>
    <row r="461" spans="1:16" x14ac:dyDescent="0.25">
      <c r="A461" s="2">
        <v>46117</v>
      </c>
      <c r="B461" s="3">
        <v>92809</v>
      </c>
      <c r="C461" s="3">
        <v>6653</v>
      </c>
      <c r="D461" s="3">
        <v>0</v>
      </c>
      <c r="E461" s="3">
        <v>384628</v>
      </c>
      <c r="F461" s="3">
        <v>0</v>
      </c>
      <c r="G461" s="3">
        <v>13407057</v>
      </c>
      <c r="H461" s="3">
        <v>0</v>
      </c>
      <c r="I461" s="3">
        <v>8575</v>
      </c>
      <c r="J461" s="3">
        <v>106483219</v>
      </c>
      <c r="K461" s="3">
        <v>258</v>
      </c>
      <c r="L461" s="3">
        <v>78816182</v>
      </c>
      <c r="M461" s="3">
        <v>90152316</v>
      </c>
      <c r="N461" s="3">
        <v>9552672</v>
      </c>
      <c r="O461" s="3">
        <v>0</v>
      </c>
      <c r="P461" s="3">
        <f t="shared" si="7"/>
        <v>298904369</v>
      </c>
    </row>
    <row r="462" spans="1:16" x14ac:dyDescent="0.25">
      <c r="A462" s="2">
        <v>46118</v>
      </c>
      <c r="B462" s="3">
        <v>45520140</v>
      </c>
      <c r="C462" s="3">
        <v>215375</v>
      </c>
      <c r="D462" s="3">
        <v>0</v>
      </c>
      <c r="E462" s="3">
        <v>1219333</v>
      </c>
      <c r="F462" s="3">
        <v>0</v>
      </c>
      <c r="G462" s="3">
        <v>58198008</v>
      </c>
      <c r="H462" s="3">
        <v>18234</v>
      </c>
      <c r="I462" s="3">
        <v>216598</v>
      </c>
      <c r="J462" s="3">
        <v>230427250</v>
      </c>
      <c r="K462" s="3">
        <v>723447</v>
      </c>
      <c r="L462" s="3">
        <v>542258396</v>
      </c>
      <c r="M462" s="3">
        <v>215095201</v>
      </c>
      <c r="N462" s="3">
        <v>10812941</v>
      </c>
      <c r="O462" s="3">
        <v>166951</v>
      </c>
      <c r="P462" s="3">
        <f t="shared" si="7"/>
        <v>1104871874</v>
      </c>
    </row>
    <row r="463" spans="1:16" x14ac:dyDescent="0.25">
      <c r="A463" s="2">
        <v>46119</v>
      </c>
      <c r="B463" s="3">
        <v>159658224</v>
      </c>
      <c r="C463" s="3">
        <v>33616756</v>
      </c>
      <c r="D463" s="3">
        <v>0</v>
      </c>
      <c r="E463" s="3">
        <v>208653</v>
      </c>
      <c r="F463" s="3">
        <v>0</v>
      </c>
      <c r="G463" s="3">
        <v>96350269</v>
      </c>
      <c r="H463" s="3">
        <v>0</v>
      </c>
      <c r="I463" s="3">
        <v>346984</v>
      </c>
      <c r="J463" s="3">
        <v>210587880</v>
      </c>
      <c r="K463" s="3">
        <v>730975</v>
      </c>
      <c r="L463" s="3">
        <v>422253790</v>
      </c>
      <c r="M463" s="3">
        <v>220932797</v>
      </c>
      <c r="N463" s="3">
        <v>12814630</v>
      </c>
      <c r="O463" s="3">
        <v>1216829</v>
      </c>
      <c r="P463" s="3">
        <f t="shared" si="7"/>
        <v>1158717787</v>
      </c>
    </row>
    <row r="464" spans="1:16" x14ac:dyDescent="0.25">
      <c r="A464" s="2">
        <v>46120</v>
      </c>
      <c r="B464" s="3">
        <v>154379384</v>
      </c>
      <c r="C464" s="3">
        <v>5249593</v>
      </c>
      <c r="D464" s="3">
        <v>0</v>
      </c>
      <c r="E464" s="3">
        <v>1627682</v>
      </c>
      <c r="F464" s="3">
        <v>0</v>
      </c>
      <c r="G464" s="3">
        <v>97191871</v>
      </c>
      <c r="H464" s="3">
        <v>0</v>
      </c>
      <c r="I464" s="3">
        <v>335174</v>
      </c>
      <c r="J464" s="3">
        <v>271558757</v>
      </c>
      <c r="K464" s="3">
        <v>2473740</v>
      </c>
      <c r="L464" s="3">
        <v>147653223</v>
      </c>
      <c r="M464" s="3">
        <v>153854897</v>
      </c>
      <c r="N464" s="3">
        <v>13683953</v>
      </c>
      <c r="O464" s="3">
        <v>890818</v>
      </c>
      <c r="P464" s="3">
        <f t="shared" si="7"/>
        <v>848899092</v>
      </c>
    </row>
    <row r="465" spans="1:16" x14ac:dyDescent="0.25">
      <c r="A465" s="2">
        <v>46121</v>
      </c>
      <c r="B465" s="3">
        <v>114666381</v>
      </c>
      <c r="C465" s="3">
        <v>12088043</v>
      </c>
      <c r="D465" s="3">
        <v>0</v>
      </c>
      <c r="E465" s="3">
        <v>952073</v>
      </c>
      <c r="F465" s="3">
        <v>0</v>
      </c>
      <c r="G465" s="3">
        <v>107571282</v>
      </c>
      <c r="H465" s="3">
        <v>0</v>
      </c>
      <c r="I465" s="3">
        <v>572344</v>
      </c>
      <c r="J465" s="3">
        <v>310095277</v>
      </c>
      <c r="K465" s="3">
        <v>2607850</v>
      </c>
      <c r="L465" s="3">
        <v>152841763</v>
      </c>
      <c r="M465" s="3">
        <v>415547369</v>
      </c>
      <c r="N465" s="3">
        <v>38777947</v>
      </c>
      <c r="O465" s="3">
        <v>930272</v>
      </c>
      <c r="P465" s="3">
        <f t="shared" si="7"/>
        <v>1156650601</v>
      </c>
    </row>
    <row r="466" spans="1:16" x14ac:dyDescent="0.25">
      <c r="A466" s="2">
        <v>46122</v>
      </c>
      <c r="B466" s="3">
        <v>115239463</v>
      </c>
      <c r="C466" s="3">
        <v>11087644</v>
      </c>
      <c r="D466" s="3">
        <v>0</v>
      </c>
      <c r="E466" s="3">
        <v>1730259</v>
      </c>
      <c r="F466" s="3">
        <v>0</v>
      </c>
      <c r="G466" s="3">
        <v>78884233</v>
      </c>
      <c r="H466" s="3">
        <v>0</v>
      </c>
      <c r="I466" s="3">
        <v>975447</v>
      </c>
      <c r="J466" s="3">
        <v>306038057</v>
      </c>
      <c r="K466" s="3">
        <v>8369253</v>
      </c>
      <c r="L466" s="3">
        <v>155044852</v>
      </c>
      <c r="M466" s="3">
        <v>430526465</v>
      </c>
      <c r="N466" s="3">
        <v>19000720</v>
      </c>
      <c r="O466" s="3">
        <v>45102</v>
      </c>
      <c r="P466" s="3">
        <f t="shared" si="7"/>
        <v>1126941495</v>
      </c>
    </row>
    <row r="467" spans="1:16" x14ac:dyDescent="0.25">
      <c r="A467" s="2">
        <v>46123</v>
      </c>
      <c r="B467" s="3">
        <v>89744041</v>
      </c>
      <c r="C467" s="3">
        <v>164538</v>
      </c>
      <c r="D467" s="3">
        <v>0</v>
      </c>
      <c r="E467" s="3">
        <v>256531</v>
      </c>
      <c r="F467" s="3">
        <v>0</v>
      </c>
      <c r="G467" s="3">
        <v>8810867</v>
      </c>
      <c r="H467" s="3">
        <v>0</v>
      </c>
      <c r="I467" s="3">
        <v>339364</v>
      </c>
      <c r="J467" s="3">
        <v>84819945</v>
      </c>
      <c r="K467" s="3">
        <v>19355534</v>
      </c>
      <c r="L467" s="3">
        <v>160440220</v>
      </c>
      <c r="M467" s="3">
        <v>170161162</v>
      </c>
      <c r="N467" s="3">
        <v>18575104</v>
      </c>
      <c r="O467" s="3">
        <v>0</v>
      </c>
      <c r="P467" s="3">
        <f t="shared" si="7"/>
        <v>552667306</v>
      </c>
    </row>
    <row r="468" spans="1:16" x14ac:dyDescent="0.25">
      <c r="A468" s="2">
        <v>46124</v>
      </c>
      <c r="B468" s="3">
        <v>3093351</v>
      </c>
      <c r="C468" s="3">
        <v>347846</v>
      </c>
      <c r="D468" s="3">
        <v>0</v>
      </c>
      <c r="E468" s="3">
        <v>993117</v>
      </c>
      <c r="F468" s="3">
        <v>0</v>
      </c>
      <c r="G468" s="3">
        <v>26893877</v>
      </c>
      <c r="H468" s="3">
        <v>0</v>
      </c>
      <c r="I468" s="3">
        <v>17614</v>
      </c>
      <c r="J468" s="3">
        <v>131089194</v>
      </c>
      <c r="K468" s="3">
        <v>1298</v>
      </c>
      <c r="L468" s="3">
        <v>76850827</v>
      </c>
      <c r="M468" s="3">
        <v>92887238</v>
      </c>
      <c r="N468" s="3">
        <v>5566378</v>
      </c>
      <c r="O468" s="3">
        <v>0</v>
      </c>
      <c r="P468" s="3">
        <f t="shared" si="7"/>
        <v>337740740</v>
      </c>
    </row>
    <row r="469" spans="1:16" x14ac:dyDescent="0.25">
      <c r="A469" s="2">
        <v>46125</v>
      </c>
      <c r="B469" s="3">
        <v>116237765</v>
      </c>
      <c r="C469" s="3">
        <v>13680802</v>
      </c>
      <c r="D469" s="3">
        <v>0</v>
      </c>
      <c r="E469" s="3">
        <v>13150827</v>
      </c>
      <c r="F469" s="3">
        <v>0</v>
      </c>
      <c r="G469" s="3">
        <v>85737439</v>
      </c>
      <c r="H469" s="3">
        <v>0</v>
      </c>
      <c r="I469" s="3">
        <v>2000472</v>
      </c>
      <c r="J469" s="3">
        <v>386458492</v>
      </c>
      <c r="K469" s="3">
        <v>3679264</v>
      </c>
      <c r="L469" s="3">
        <v>826033877</v>
      </c>
      <c r="M469" s="3">
        <v>354675575</v>
      </c>
      <c r="N469" s="3">
        <v>19131794</v>
      </c>
      <c r="O469" s="3">
        <v>83</v>
      </c>
      <c r="P469" s="3">
        <f t="shared" si="7"/>
        <v>1820786390</v>
      </c>
    </row>
    <row r="470" spans="1:16" x14ac:dyDescent="0.25">
      <c r="A470" s="2">
        <v>46126</v>
      </c>
      <c r="B470" s="3">
        <v>316365415</v>
      </c>
      <c r="C470" s="3">
        <v>9368003</v>
      </c>
      <c r="D470" s="3">
        <v>0</v>
      </c>
      <c r="E470" s="3">
        <v>5844616</v>
      </c>
      <c r="F470" s="3">
        <v>0</v>
      </c>
      <c r="G470" s="3">
        <v>149505242</v>
      </c>
      <c r="H470" s="3">
        <v>0</v>
      </c>
      <c r="I470" s="3">
        <v>293956</v>
      </c>
      <c r="J470" s="3">
        <v>521842159</v>
      </c>
      <c r="K470" s="3">
        <v>622276</v>
      </c>
      <c r="L470" s="3">
        <v>178479519</v>
      </c>
      <c r="M470" s="3">
        <v>186914282</v>
      </c>
      <c r="N470" s="3">
        <v>25162047</v>
      </c>
      <c r="O470" s="3">
        <v>2215229</v>
      </c>
      <c r="P470" s="3">
        <f t="shared" si="7"/>
        <v>1396612744</v>
      </c>
    </row>
    <row r="471" spans="1:16" x14ac:dyDescent="0.25">
      <c r="A471" s="2">
        <v>46127</v>
      </c>
      <c r="B471" s="3">
        <v>324669929</v>
      </c>
      <c r="C471" s="3">
        <v>6023305</v>
      </c>
      <c r="D471" s="3">
        <v>0</v>
      </c>
      <c r="E471" s="3">
        <v>23316727</v>
      </c>
      <c r="F471" s="3">
        <v>0</v>
      </c>
      <c r="G471" s="3">
        <v>141431199</v>
      </c>
      <c r="H471" s="3">
        <v>0</v>
      </c>
      <c r="I471" s="3">
        <v>449329</v>
      </c>
      <c r="J471" s="3">
        <v>184417302</v>
      </c>
      <c r="K471" s="3">
        <v>38566</v>
      </c>
      <c r="L471" s="3">
        <v>239747276</v>
      </c>
      <c r="M471" s="3">
        <v>229570396</v>
      </c>
      <c r="N471" s="3">
        <v>25294937</v>
      </c>
      <c r="O471" s="3">
        <v>0</v>
      </c>
      <c r="P471" s="3">
        <f t="shared" si="7"/>
        <v>1174958966</v>
      </c>
    </row>
    <row r="472" spans="1:16" x14ac:dyDescent="0.25">
      <c r="A472" s="2">
        <v>46128</v>
      </c>
      <c r="B472" s="3">
        <v>182053676</v>
      </c>
      <c r="C472" s="3">
        <v>2910038</v>
      </c>
      <c r="D472" s="3">
        <v>0</v>
      </c>
      <c r="E472" s="3">
        <v>20115027</v>
      </c>
      <c r="F472" s="3">
        <v>0</v>
      </c>
      <c r="G472" s="3">
        <v>83438200</v>
      </c>
      <c r="H472" s="3">
        <v>0</v>
      </c>
      <c r="I472" s="3">
        <v>963370</v>
      </c>
      <c r="J472" s="3">
        <v>208198938</v>
      </c>
      <c r="K472" s="3">
        <v>20638</v>
      </c>
      <c r="L472" s="3">
        <v>350741212</v>
      </c>
      <c r="M472" s="3">
        <v>148020441</v>
      </c>
      <c r="N472" s="3">
        <v>64417032</v>
      </c>
      <c r="O472" s="3">
        <v>101133</v>
      </c>
      <c r="P472" s="3">
        <f t="shared" si="7"/>
        <v>1060979705</v>
      </c>
    </row>
    <row r="473" spans="1:16" x14ac:dyDescent="0.25">
      <c r="A473" s="2">
        <v>46129</v>
      </c>
      <c r="B473" s="3">
        <v>225929293</v>
      </c>
      <c r="C473" s="3">
        <v>4037716</v>
      </c>
      <c r="D473" s="3">
        <v>0</v>
      </c>
      <c r="E473" s="3">
        <v>16525096</v>
      </c>
      <c r="F473" s="3">
        <v>0</v>
      </c>
      <c r="G473" s="3">
        <v>114117145</v>
      </c>
      <c r="H473" s="3">
        <v>0</v>
      </c>
      <c r="I473" s="3">
        <v>824711</v>
      </c>
      <c r="J473" s="3">
        <v>255646579</v>
      </c>
      <c r="K473" s="3">
        <v>271547</v>
      </c>
      <c r="L473" s="3">
        <v>1008023566</v>
      </c>
      <c r="M473" s="3">
        <v>134380154</v>
      </c>
      <c r="N473" s="3">
        <v>52352920</v>
      </c>
      <c r="O473" s="3">
        <v>0</v>
      </c>
      <c r="P473" s="3">
        <f t="shared" si="7"/>
        <v>1812108727</v>
      </c>
    </row>
    <row r="474" spans="1:16" x14ac:dyDescent="0.25">
      <c r="A474" s="2">
        <v>46130</v>
      </c>
      <c r="B474" s="3">
        <v>10485337</v>
      </c>
      <c r="C474" s="3">
        <v>49446</v>
      </c>
      <c r="D474" s="3">
        <v>0</v>
      </c>
      <c r="E474" s="3">
        <v>16170140</v>
      </c>
      <c r="F474" s="3">
        <v>0</v>
      </c>
      <c r="G474" s="3">
        <v>26485193</v>
      </c>
      <c r="H474" s="3">
        <v>0</v>
      </c>
      <c r="I474" s="3">
        <v>80791</v>
      </c>
      <c r="J474" s="3">
        <v>97703193</v>
      </c>
      <c r="K474" s="3">
        <v>334444</v>
      </c>
      <c r="L474" s="3">
        <v>1061135700</v>
      </c>
      <c r="M474" s="3">
        <v>191373952</v>
      </c>
      <c r="N474" s="3">
        <v>23879974</v>
      </c>
      <c r="O474" s="3">
        <v>0</v>
      </c>
      <c r="P474" s="3">
        <f t="shared" si="7"/>
        <v>1427698170</v>
      </c>
    </row>
    <row r="475" spans="1:16" x14ac:dyDescent="0.25">
      <c r="A475" s="2">
        <v>46131</v>
      </c>
      <c r="B475" s="3">
        <v>6959629</v>
      </c>
      <c r="C475" s="3">
        <v>154553</v>
      </c>
      <c r="D475" s="3">
        <v>0</v>
      </c>
      <c r="E475" s="3">
        <v>8784784</v>
      </c>
      <c r="F475" s="3">
        <v>0</v>
      </c>
      <c r="G475" s="3">
        <v>12640297</v>
      </c>
      <c r="H475" s="3">
        <v>0</v>
      </c>
      <c r="I475" s="3">
        <v>58503</v>
      </c>
      <c r="J475" s="3">
        <v>111371292</v>
      </c>
      <c r="K475" s="3">
        <v>478304</v>
      </c>
      <c r="L475" s="3">
        <v>1443429586</v>
      </c>
      <c r="M475" s="3">
        <v>1078970255</v>
      </c>
      <c r="N475" s="3">
        <v>76160702</v>
      </c>
      <c r="O475" s="3">
        <v>0</v>
      </c>
      <c r="P475" s="3">
        <f t="shared" si="7"/>
        <v>2739007905</v>
      </c>
    </row>
    <row r="476" spans="1:16" x14ac:dyDescent="0.25">
      <c r="A476" s="2">
        <v>46132</v>
      </c>
      <c r="B476" s="3">
        <v>166547299</v>
      </c>
      <c r="C476" s="3">
        <v>14261762</v>
      </c>
      <c r="D476" s="3">
        <v>0</v>
      </c>
      <c r="E476" s="3">
        <v>2831489</v>
      </c>
      <c r="F476" s="3">
        <v>0</v>
      </c>
      <c r="G476" s="3">
        <v>139873265</v>
      </c>
      <c r="H476" s="3">
        <v>0</v>
      </c>
      <c r="I476" s="3">
        <v>43828</v>
      </c>
      <c r="J476" s="3">
        <v>242367844</v>
      </c>
      <c r="K476" s="3">
        <v>5181</v>
      </c>
      <c r="L476" s="3">
        <v>1567395025</v>
      </c>
      <c r="M476" s="3">
        <v>1015804782</v>
      </c>
      <c r="N476" s="3">
        <v>84137086</v>
      </c>
      <c r="O476" s="3">
        <v>106</v>
      </c>
      <c r="P476" s="3">
        <f t="shared" si="7"/>
        <v>3233267667</v>
      </c>
    </row>
    <row r="477" spans="1:16" x14ac:dyDescent="0.25">
      <c r="A477" s="2">
        <v>46133</v>
      </c>
      <c r="B477" s="3">
        <v>72587162</v>
      </c>
      <c r="C477" s="3">
        <v>5290323</v>
      </c>
      <c r="D477" s="3">
        <v>0</v>
      </c>
      <c r="E477" s="3">
        <v>7749266</v>
      </c>
      <c r="F477" s="3">
        <v>0</v>
      </c>
      <c r="G477" s="3">
        <v>97388070</v>
      </c>
      <c r="H477" s="3">
        <v>359</v>
      </c>
      <c r="I477" s="3">
        <v>1696418</v>
      </c>
      <c r="J477" s="3">
        <v>149755734</v>
      </c>
      <c r="K477" s="3">
        <v>31702599</v>
      </c>
      <c r="L477" s="3">
        <v>983145217</v>
      </c>
      <c r="M477" s="3">
        <v>1369914764</v>
      </c>
      <c r="N477" s="3">
        <v>66935298</v>
      </c>
      <c r="O477" s="3">
        <v>857144</v>
      </c>
      <c r="P477" s="3">
        <f t="shared" si="7"/>
        <v>2787022354</v>
      </c>
    </row>
    <row r="478" spans="1:16" x14ac:dyDescent="0.25">
      <c r="A478" s="2">
        <v>46134</v>
      </c>
      <c r="B478" s="3">
        <v>124277571</v>
      </c>
      <c r="C478" s="3">
        <v>5113026</v>
      </c>
      <c r="D478" s="3">
        <v>0</v>
      </c>
      <c r="E478" s="3">
        <v>11239973</v>
      </c>
      <c r="F478" s="3">
        <v>0</v>
      </c>
      <c r="G478" s="3">
        <v>83003112</v>
      </c>
      <c r="H478" s="3">
        <v>170</v>
      </c>
      <c r="I478" s="3">
        <v>229410</v>
      </c>
      <c r="J478" s="3">
        <v>145998489</v>
      </c>
      <c r="K478" s="3">
        <v>2159091</v>
      </c>
      <c r="L478" s="3">
        <v>883443890</v>
      </c>
      <c r="M478" s="3">
        <v>989142905</v>
      </c>
      <c r="N478" s="3">
        <v>15220490</v>
      </c>
      <c r="O478" s="3">
        <v>107019</v>
      </c>
      <c r="P478" s="3">
        <f t="shared" si="7"/>
        <v>2259935146</v>
      </c>
    </row>
    <row r="479" spans="1:16" x14ac:dyDescent="0.25">
      <c r="A479" s="2">
        <v>46135</v>
      </c>
      <c r="B479" s="3">
        <v>437730082</v>
      </c>
      <c r="C479" s="3">
        <v>4920492</v>
      </c>
      <c r="D479" s="3">
        <v>0</v>
      </c>
      <c r="E479" s="3">
        <v>8921288</v>
      </c>
      <c r="F479" s="3">
        <v>0</v>
      </c>
      <c r="G479" s="3">
        <v>59937955</v>
      </c>
      <c r="H479" s="3">
        <v>0</v>
      </c>
      <c r="I479" s="3">
        <v>419545</v>
      </c>
      <c r="J479" s="3">
        <v>2608404077</v>
      </c>
      <c r="K479" s="3">
        <v>98919</v>
      </c>
      <c r="L479" s="3">
        <v>277448302</v>
      </c>
      <c r="M479" s="3">
        <v>646356839</v>
      </c>
      <c r="N479" s="3">
        <v>20957632</v>
      </c>
      <c r="O479" s="3">
        <v>90628</v>
      </c>
      <c r="P479" s="3">
        <f t="shared" si="7"/>
        <v>4065285759</v>
      </c>
    </row>
    <row r="480" spans="1:16" x14ac:dyDescent="0.25">
      <c r="A480" s="2">
        <v>46136</v>
      </c>
      <c r="B480" s="3">
        <v>299276588</v>
      </c>
      <c r="C480" s="3">
        <v>8081356</v>
      </c>
      <c r="D480" s="3">
        <v>0</v>
      </c>
      <c r="E480" s="3">
        <v>15340184</v>
      </c>
      <c r="F480" s="3">
        <v>0</v>
      </c>
      <c r="G480" s="3">
        <v>117929058</v>
      </c>
      <c r="H480" s="3">
        <v>131</v>
      </c>
      <c r="I480" s="3">
        <v>145512</v>
      </c>
      <c r="J480" s="3">
        <v>245024719</v>
      </c>
      <c r="K480" s="3">
        <v>1486937</v>
      </c>
      <c r="L480" s="3">
        <v>313993948</v>
      </c>
      <c r="M480" s="3">
        <v>365184621</v>
      </c>
      <c r="N480" s="3">
        <v>8980401</v>
      </c>
      <c r="O480" s="3">
        <v>0</v>
      </c>
      <c r="P480" s="3">
        <f t="shared" si="7"/>
        <v>1375443455</v>
      </c>
    </row>
    <row r="481" spans="1:16" x14ac:dyDescent="0.25">
      <c r="A481" s="2">
        <v>46137</v>
      </c>
      <c r="B481" s="3">
        <v>2651507</v>
      </c>
      <c r="C481" s="3">
        <v>262197</v>
      </c>
      <c r="D481" s="3">
        <v>0</v>
      </c>
      <c r="E481" s="3">
        <v>5567138</v>
      </c>
      <c r="F481" s="3">
        <v>0</v>
      </c>
      <c r="G481" s="3">
        <v>15835668</v>
      </c>
      <c r="H481" s="3">
        <v>9346</v>
      </c>
      <c r="I481" s="3">
        <v>388376</v>
      </c>
      <c r="J481" s="3">
        <v>95223837</v>
      </c>
      <c r="K481" s="3">
        <v>18593032</v>
      </c>
      <c r="L481" s="3">
        <v>66199944</v>
      </c>
      <c r="M481" s="3">
        <v>101891799</v>
      </c>
      <c r="N481" s="3">
        <v>4959418</v>
      </c>
      <c r="O481" s="3">
        <v>0</v>
      </c>
      <c r="P481" s="3">
        <f t="shared" si="7"/>
        <v>311582262</v>
      </c>
    </row>
    <row r="482" spans="1:16" x14ac:dyDescent="0.25">
      <c r="A482" s="2">
        <v>46138</v>
      </c>
      <c r="B482" s="3">
        <v>4284957</v>
      </c>
      <c r="C482" s="3">
        <v>251776</v>
      </c>
      <c r="D482" s="3">
        <v>0</v>
      </c>
      <c r="E482" s="3">
        <v>4753142</v>
      </c>
      <c r="F482" s="3">
        <v>0</v>
      </c>
      <c r="G482" s="3">
        <v>14968681</v>
      </c>
      <c r="H482" s="3">
        <v>9065</v>
      </c>
      <c r="I482" s="3">
        <v>1764</v>
      </c>
      <c r="J482" s="3">
        <v>90414997</v>
      </c>
      <c r="K482" s="3">
        <v>185474</v>
      </c>
      <c r="L482" s="3">
        <v>42893669</v>
      </c>
      <c r="M482" s="3">
        <v>62753640</v>
      </c>
      <c r="N482" s="3">
        <v>10999828</v>
      </c>
      <c r="O482" s="3">
        <v>0</v>
      </c>
      <c r="P482" s="3">
        <f t="shared" si="7"/>
        <v>231516993</v>
      </c>
    </row>
    <row r="483" spans="1:16" x14ac:dyDescent="0.25">
      <c r="A483" s="2">
        <v>46139</v>
      </c>
      <c r="B483" s="3">
        <v>409999079</v>
      </c>
      <c r="C483" s="3">
        <v>16680707</v>
      </c>
      <c r="D483" s="3">
        <v>0</v>
      </c>
      <c r="E483" s="3">
        <v>4652965</v>
      </c>
      <c r="F483" s="3">
        <v>0</v>
      </c>
      <c r="G483" s="3">
        <v>188657483</v>
      </c>
      <c r="H483" s="3">
        <v>1424</v>
      </c>
      <c r="I483" s="3">
        <v>417005</v>
      </c>
      <c r="J483" s="3">
        <v>197645486</v>
      </c>
      <c r="K483" s="3">
        <v>6224076</v>
      </c>
      <c r="L483" s="3">
        <v>116216983</v>
      </c>
      <c r="M483" s="3">
        <v>131171321</v>
      </c>
      <c r="N483" s="3">
        <v>6811830</v>
      </c>
      <c r="O483" s="3">
        <v>832358</v>
      </c>
      <c r="P483" s="3">
        <f t="shared" si="7"/>
        <v>1079310717</v>
      </c>
    </row>
    <row r="484" spans="1:16" x14ac:dyDescent="0.25">
      <c r="A484" s="2">
        <v>46140</v>
      </c>
      <c r="B484" s="3">
        <v>239980115</v>
      </c>
      <c r="C484" s="3">
        <v>43306123</v>
      </c>
      <c r="D484" s="3">
        <v>0</v>
      </c>
      <c r="E484" s="3">
        <v>9170439</v>
      </c>
      <c r="F484" s="3">
        <v>0</v>
      </c>
      <c r="G484" s="3">
        <v>163031578</v>
      </c>
      <c r="H484" s="3">
        <v>25900</v>
      </c>
      <c r="I484" s="3">
        <v>3027196</v>
      </c>
      <c r="J484" s="3">
        <v>315254227</v>
      </c>
      <c r="K484" s="3">
        <v>7426761</v>
      </c>
      <c r="L484" s="3">
        <v>120003575</v>
      </c>
      <c r="M484" s="3">
        <v>146170972</v>
      </c>
      <c r="N484" s="3">
        <v>14471178</v>
      </c>
      <c r="O484" s="3">
        <v>0</v>
      </c>
      <c r="P484" s="3">
        <f t="shared" si="7"/>
        <v>1061868064</v>
      </c>
    </row>
    <row r="485" spans="1:16" x14ac:dyDescent="0.25">
      <c r="A485" s="2">
        <v>46141</v>
      </c>
      <c r="B485" s="3">
        <v>160158123</v>
      </c>
      <c r="C485" s="3">
        <v>18390507</v>
      </c>
      <c r="D485" s="3">
        <v>0</v>
      </c>
      <c r="E485" s="3">
        <v>2177170</v>
      </c>
      <c r="F485" s="3">
        <v>0</v>
      </c>
      <c r="G485" s="3">
        <v>95292638</v>
      </c>
      <c r="H485" s="3">
        <v>0</v>
      </c>
      <c r="I485" s="3">
        <v>811723</v>
      </c>
      <c r="J485" s="3">
        <v>152133614</v>
      </c>
      <c r="K485" s="3">
        <v>11812756</v>
      </c>
      <c r="L485" s="3">
        <v>103846397</v>
      </c>
      <c r="M485" s="3">
        <v>100395938</v>
      </c>
      <c r="N485" s="3">
        <v>20946502</v>
      </c>
      <c r="O485" s="3">
        <v>165499</v>
      </c>
      <c r="P485" s="3">
        <f t="shared" si="7"/>
        <v>666130867</v>
      </c>
    </row>
    <row r="486" spans="1:16" x14ac:dyDescent="0.25">
      <c r="A486" s="2">
        <v>46142</v>
      </c>
      <c r="B486" s="3">
        <v>532178436</v>
      </c>
      <c r="C486" s="3">
        <v>6081257</v>
      </c>
      <c r="D486" s="3">
        <v>0</v>
      </c>
      <c r="E486" s="3">
        <v>18955196</v>
      </c>
      <c r="F486" s="3">
        <v>0</v>
      </c>
      <c r="G486" s="3">
        <v>109504657</v>
      </c>
      <c r="H486" s="3">
        <v>0</v>
      </c>
      <c r="I486" s="3">
        <v>411550</v>
      </c>
      <c r="J486" s="3">
        <v>629334441</v>
      </c>
      <c r="K486" s="3">
        <v>3629805</v>
      </c>
      <c r="L486" s="3">
        <v>117208203</v>
      </c>
      <c r="M486" s="3">
        <v>122216125</v>
      </c>
      <c r="N486" s="3">
        <v>14321286</v>
      </c>
      <c r="O486" s="3">
        <v>16497</v>
      </c>
      <c r="P486" s="3">
        <f t="shared" si="7"/>
        <v>1553857453</v>
      </c>
    </row>
    <row r="487" spans="1:16" x14ac:dyDescent="0.25">
      <c r="A487" s="2">
        <v>46143</v>
      </c>
      <c r="B487" s="3">
        <v>153906390</v>
      </c>
      <c r="C487" s="3">
        <v>710973</v>
      </c>
      <c r="D487" s="3">
        <v>0</v>
      </c>
      <c r="E487" s="3">
        <v>8600902</v>
      </c>
      <c r="F487" s="3">
        <v>0</v>
      </c>
      <c r="G487" s="3">
        <v>123713892</v>
      </c>
      <c r="H487" s="3">
        <v>0</v>
      </c>
      <c r="I487" s="3">
        <v>397566</v>
      </c>
      <c r="J487" s="3">
        <v>177623023</v>
      </c>
      <c r="K487" s="3">
        <v>5172235</v>
      </c>
      <c r="L487" s="3">
        <v>143076422</v>
      </c>
      <c r="M487" s="3">
        <v>304270949</v>
      </c>
      <c r="N487" s="3">
        <v>45565175</v>
      </c>
      <c r="O487" s="3">
        <v>0</v>
      </c>
      <c r="P487" s="3">
        <f t="shared" si="7"/>
        <v>963037527</v>
      </c>
    </row>
    <row r="488" spans="1:16" x14ac:dyDescent="0.25">
      <c r="A488" s="2">
        <v>46144</v>
      </c>
      <c r="B488" s="3">
        <v>2243536</v>
      </c>
      <c r="C488" s="3">
        <v>437024</v>
      </c>
      <c r="D488" s="3">
        <v>0</v>
      </c>
      <c r="E488" s="3">
        <v>10224079</v>
      </c>
      <c r="F488" s="3">
        <v>0</v>
      </c>
      <c r="G488" s="3">
        <v>7719350</v>
      </c>
      <c r="H488" s="3">
        <v>0</v>
      </c>
      <c r="I488" s="3">
        <v>80307</v>
      </c>
      <c r="J488" s="3">
        <v>39407035</v>
      </c>
      <c r="K488" s="3">
        <v>62212</v>
      </c>
      <c r="L488" s="3">
        <v>166348138</v>
      </c>
      <c r="M488" s="3">
        <v>61497797</v>
      </c>
      <c r="N488" s="3">
        <v>6039155</v>
      </c>
      <c r="O488" s="3">
        <v>0</v>
      </c>
      <c r="P488" s="3">
        <f t="shared" si="7"/>
        <v>294058633</v>
      </c>
    </row>
    <row r="489" spans="1:16" x14ac:dyDescent="0.25">
      <c r="A489" s="2">
        <v>46145</v>
      </c>
      <c r="B489" s="3">
        <v>2429320</v>
      </c>
      <c r="C489" s="3">
        <v>120361</v>
      </c>
      <c r="D489" s="3">
        <v>0</v>
      </c>
      <c r="E489" s="3">
        <v>7662153</v>
      </c>
      <c r="F489" s="3">
        <v>0</v>
      </c>
      <c r="G489" s="3">
        <v>5338276</v>
      </c>
      <c r="H489" s="3">
        <v>0</v>
      </c>
      <c r="I489" s="3">
        <v>34604</v>
      </c>
      <c r="J489" s="3">
        <v>52494974</v>
      </c>
      <c r="K489" s="3">
        <v>1915</v>
      </c>
      <c r="L489" s="3">
        <v>36545342</v>
      </c>
      <c r="M489" s="3">
        <v>107550091</v>
      </c>
      <c r="N489" s="3">
        <v>17046832</v>
      </c>
      <c r="O489" s="3">
        <v>0</v>
      </c>
      <c r="P489" s="3">
        <f t="shared" si="7"/>
        <v>229223868</v>
      </c>
    </row>
    <row r="490" spans="1:16" x14ac:dyDescent="0.25">
      <c r="A490" s="2">
        <v>46146</v>
      </c>
      <c r="B490" s="3">
        <v>231445238</v>
      </c>
      <c r="C490" s="3">
        <v>12443214</v>
      </c>
      <c r="D490" s="3">
        <v>0</v>
      </c>
      <c r="E490" s="3">
        <v>7353780</v>
      </c>
      <c r="F490" s="3">
        <v>0</v>
      </c>
      <c r="G490" s="3">
        <v>150295709</v>
      </c>
      <c r="H490" s="3">
        <v>0</v>
      </c>
      <c r="I490" s="3">
        <v>312870</v>
      </c>
      <c r="J490" s="3">
        <v>189334458</v>
      </c>
      <c r="K490" s="3">
        <v>42456592</v>
      </c>
      <c r="L490" s="3">
        <v>98141567</v>
      </c>
      <c r="M490" s="3">
        <v>112868627</v>
      </c>
      <c r="N490" s="3">
        <v>6832832</v>
      </c>
      <c r="O490" s="3">
        <v>0</v>
      </c>
      <c r="P490" s="3">
        <f t="shared" si="7"/>
        <v>851484887</v>
      </c>
    </row>
    <row r="491" spans="1:16" x14ac:dyDescent="0.25">
      <c r="A491" s="2">
        <v>46147</v>
      </c>
      <c r="B491" s="3">
        <v>250728116</v>
      </c>
      <c r="C491" s="3">
        <v>16905289</v>
      </c>
      <c r="D491" s="3">
        <v>0</v>
      </c>
      <c r="E491" s="3">
        <v>10792161</v>
      </c>
      <c r="F491" s="3">
        <v>0</v>
      </c>
      <c r="G491" s="3">
        <v>109776131</v>
      </c>
      <c r="H491" s="3">
        <v>45</v>
      </c>
      <c r="I491" s="3">
        <v>319861</v>
      </c>
      <c r="J491" s="3">
        <v>414458467</v>
      </c>
      <c r="K491" s="3">
        <v>4020307</v>
      </c>
      <c r="L491" s="3">
        <v>89840699</v>
      </c>
      <c r="M491" s="3">
        <v>82472209</v>
      </c>
      <c r="N491" s="3">
        <v>62226351</v>
      </c>
      <c r="O491" s="3">
        <v>0</v>
      </c>
      <c r="P491" s="3">
        <f t="shared" si="7"/>
        <v>1041539636</v>
      </c>
    </row>
    <row r="492" spans="1:16" x14ac:dyDescent="0.25">
      <c r="A492" s="2">
        <v>46148</v>
      </c>
      <c r="B492" s="3">
        <v>152475820</v>
      </c>
      <c r="C492" s="3">
        <v>7508191</v>
      </c>
      <c r="D492" s="3">
        <v>0</v>
      </c>
      <c r="E492" s="3">
        <v>16253801</v>
      </c>
      <c r="F492" s="3">
        <v>0</v>
      </c>
      <c r="G492" s="3">
        <v>192899863</v>
      </c>
      <c r="H492" s="3">
        <v>0</v>
      </c>
      <c r="I492" s="3">
        <v>176463</v>
      </c>
      <c r="J492" s="3">
        <v>812994588</v>
      </c>
      <c r="K492" s="3">
        <v>50966955</v>
      </c>
      <c r="L492" s="3">
        <v>178254783</v>
      </c>
      <c r="M492" s="3">
        <v>265368424</v>
      </c>
      <c r="N492" s="3">
        <v>39365070</v>
      </c>
      <c r="O492" s="3">
        <v>0</v>
      </c>
      <c r="P492" s="3">
        <f t="shared" si="7"/>
        <v>1716263958</v>
      </c>
    </row>
    <row r="493" spans="1:16" x14ac:dyDescent="0.25">
      <c r="A493" s="2">
        <v>46149</v>
      </c>
      <c r="B493" s="3">
        <v>77961500</v>
      </c>
      <c r="C493" s="3">
        <v>16028350</v>
      </c>
      <c r="D493" s="3">
        <v>0</v>
      </c>
      <c r="E493" s="3">
        <v>16804499</v>
      </c>
      <c r="F493" s="3">
        <v>0</v>
      </c>
      <c r="G493" s="3">
        <v>151027024</v>
      </c>
      <c r="H493" s="3">
        <v>799</v>
      </c>
      <c r="I493" s="3">
        <v>317027</v>
      </c>
      <c r="J493" s="3">
        <v>347819609</v>
      </c>
      <c r="K493" s="3">
        <v>47171027</v>
      </c>
      <c r="L493" s="3">
        <v>157922968</v>
      </c>
      <c r="M493" s="3">
        <v>270808210</v>
      </c>
      <c r="N493" s="3">
        <v>22473118</v>
      </c>
      <c r="O493" s="3">
        <v>10577</v>
      </c>
      <c r="P493" s="3">
        <f t="shared" si="7"/>
        <v>1108344708</v>
      </c>
    </row>
    <row r="494" spans="1:16" x14ac:dyDescent="0.25">
      <c r="A494" s="2">
        <v>46150</v>
      </c>
      <c r="B494" s="3">
        <v>119712251</v>
      </c>
      <c r="C494" s="3">
        <v>154544</v>
      </c>
      <c r="D494" s="3">
        <v>0</v>
      </c>
      <c r="E494" s="3">
        <v>18098331</v>
      </c>
      <c r="F494" s="3">
        <v>0</v>
      </c>
      <c r="G494" s="3">
        <v>126570912</v>
      </c>
      <c r="H494" s="3">
        <v>0</v>
      </c>
      <c r="I494" s="3">
        <v>546036</v>
      </c>
      <c r="J494" s="3">
        <v>129792833</v>
      </c>
      <c r="K494" s="3">
        <v>49184155</v>
      </c>
      <c r="L494" s="3">
        <v>116929345</v>
      </c>
      <c r="M494" s="3">
        <v>85594524</v>
      </c>
      <c r="N494" s="3">
        <v>15155769</v>
      </c>
      <c r="O494" s="3">
        <v>106</v>
      </c>
      <c r="P494" s="3">
        <f t="shared" si="7"/>
        <v>661738806</v>
      </c>
    </row>
    <row r="495" spans="1:16" x14ac:dyDescent="0.25">
      <c r="A495" s="2">
        <v>46151</v>
      </c>
      <c r="B495" s="3">
        <v>5092699</v>
      </c>
      <c r="C495" s="3">
        <v>58228</v>
      </c>
      <c r="D495" s="3">
        <v>0</v>
      </c>
      <c r="E495" s="3">
        <v>5507377</v>
      </c>
      <c r="F495" s="3">
        <v>0</v>
      </c>
      <c r="G495" s="3">
        <v>10573844</v>
      </c>
      <c r="H495" s="3">
        <v>0</v>
      </c>
      <c r="I495" s="3">
        <v>93383</v>
      </c>
      <c r="J495" s="3">
        <v>60065460</v>
      </c>
      <c r="K495" s="3">
        <v>806</v>
      </c>
      <c r="L495" s="3">
        <v>78806222</v>
      </c>
      <c r="M495" s="3">
        <v>49384226</v>
      </c>
      <c r="N495" s="3">
        <v>7152334</v>
      </c>
      <c r="O495" s="3">
        <v>0</v>
      </c>
      <c r="P495" s="3">
        <f t="shared" si="7"/>
        <v>216734579</v>
      </c>
    </row>
    <row r="496" spans="1:16" x14ac:dyDescent="0.25">
      <c r="A496" s="2">
        <v>46152</v>
      </c>
      <c r="B496" s="3">
        <v>10350668</v>
      </c>
      <c r="C496" s="3">
        <v>77164</v>
      </c>
      <c r="D496" s="3">
        <v>0</v>
      </c>
      <c r="E496" s="3">
        <v>1947334</v>
      </c>
      <c r="F496" s="3">
        <v>0</v>
      </c>
      <c r="G496" s="3">
        <v>12956324</v>
      </c>
      <c r="H496" s="3">
        <v>12542</v>
      </c>
      <c r="I496" s="3">
        <v>11768</v>
      </c>
      <c r="J496" s="3">
        <v>58249852</v>
      </c>
      <c r="K496" s="3">
        <v>196</v>
      </c>
      <c r="L496" s="3">
        <v>42623248</v>
      </c>
      <c r="M496" s="3">
        <v>47300283</v>
      </c>
      <c r="N496" s="3">
        <v>14860476</v>
      </c>
      <c r="O496" s="3">
        <v>0</v>
      </c>
      <c r="P496" s="3">
        <f t="shared" si="7"/>
        <v>188389855</v>
      </c>
    </row>
    <row r="497" spans="1:16" x14ac:dyDescent="0.25">
      <c r="A497" s="2">
        <v>46153</v>
      </c>
      <c r="B497" s="3">
        <v>254101779</v>
      </c>
      <c r="C497" s="3">
        <v>12460297</v>
      </c>
      <c r="D497" s="3">
        <v>0</v>
      </c>
      <c r="E497" s="3">
        <v>20403750</v>
      </c>
      <c r="F497" s="3">
        <v>0</v>
      </c>
      <c r="G497" s="3">
        <v>222864463</v>
      </c>
      <c r="H497" s="3">
        <v>330</v>
      </c>
      <c r="I497" s="3">
        <v>145611</v>
      </c>
      <c r="J497" s="3">
        <v>184314060</v>
      </c>
      <c r="K497" s="3">
        <v>39331865</v>
      </c>
      <c r="L497" s="3">
        <v>54319090</v>
      </c>
      <c r="M497" s="3">
        <v>215568592</v>
      </c>
      <c r="N497" s="3">
        <v>24949971</v>
      </c>
      <c r="O497" s="3">
        <v>94436</v>
      </c>
      <c r="P497" s="3">
        <f t="shared" si="7"/>
        <v>1028554244</v>
      </c>
    </row>
    <row r="498" spans="1:16" x14ac:dyDescent="0.25">
      <c r="A498" s="2">
        <v>46154</v>
      </c>
      <c r="B498" s="3">
        <v>177557757</v>
      </c>
      <c r="C498" s="3">
        <v>11154821</v>
      </c>
      <c r="D498" s="3">
        <v>0</v>
      </c>
      <c r="E498" s="3">
        <v>35795547</v>
      </c>
      <c r="F498" s="3">
        <v>0</v>
      </c>
      <c r="G498" s="3">
        <v>175804009</v>
      </c>
      <c r="H498" s="3">
        <v>0</v>
      </c>
      <c r="I498" s="3">
        <v>380440</v>
      </c>
      <c r="J498" s="3">
        <v>162433542</v>
      </c>
      <c r="K498" s="3">
        <v>45582889</v>
      </c>
      <c r="L498" s="3">
        <v>240213658</v>
      </c>
      <c r="M498" s="3">
        <v>110973237</v>
      </c>
      <c r="N498" s="3">
        <v>26683951</v>
      </c>
      <c r="O498" s="3">
        <v>0</v>
      </c>
      <c r="P498" s="3">
        <f t="shared" si="7"/>
        <v>986579851</v>
      </c>
    </row>
    <row r="499" spans="1:16" x14ac:dyDescent="0.25">
      <c r="A499" s="2">
        <v>46155</v>
      </c>
      <c r="B499" s="3">
        <v>274253413</v>
      </c>
      <c r="C499" s="3">
        <v>4718062</v>
      </c>
      <c r="D499" s="3">
        <v>0</v>
      </c>
      <c r="E499" s="3">
        <v>6999132</v>
      </c>
      <c r="F499" s="3">
        <v>0</v>
      </c>
      <c r="G499" s="3">
        <v>169018841</v>
      </c>
      <c r="H499" s="3">
        <v>0</v>
      </c>
      <c r="I499" s="3">
        <v>1004401</v>
      </c>
      <c r="J499" s="3">
        <v>137611590</v>
      </c>
      <c r="K499" s="3">
        <v>52883865</v>
      </c>
      <c r="L499" s="3">
        <v>379139929</v>
      </c>
      <c r="M499" s="3">
        <v>107303838</v>
      </c>
      <c r="N499" s="3">
        <v>25453612</v>
      </c>
      <c r="O499" s="3">
        <v>36631</v>
      </c>
      <c r="P499" s="3">
        <f t="shared" si="7"/>
        <v>1158423314</v>
      </c>
    </row>
    <row r="500" spans="1:16" x14ac:dyDescent="0.25">
      <c r="A500" s="2">
        <v>46156</v>
      </c>
      <c r="B500" s="3">
        <v>226737735</v>
      </c>
      <c r="C500" s="3">
        <v>355344</v>
      </c>
      <c r="D500" s="3">
        <v>0</v>
      </c>
      <c r="E500" s="3">
        <v>9204042</v>
      </c>
      <c r="F500" s="3">
        <v>0</v>
      </c>
      <c r="G500" s="3">
        <v>187984022</v>
      </c>
      <c r="H500" s="3">
        <v>20</v>
      </c>
      <c r="I500" s="3">
        <v>718402</v>
      </c>
      <c r="J500" s="3">
        <v>105026367</v>
      </c>
      <c r="K500" s="3">
        <v>410795</v>
      </c>
      <c r="L500" s="3">
        <v>289678170</v>
      </c>
      <c r="M500" s="3">
        <v>383191935</v>
      </c>
      <c r="N500" s="3">
        <v>27827046</v>
      </c>
      <c r="O500" s="3">
        <v>0</v>
      </c>
      <c r="P500" s="3">
        <f t="shared" si="7"/>
        <v>1231133878</v>
      </c>
    </row>
    <row r="501" spans="1:16" x14ac:dyDescent="0.25">
      <c r="A501" s="2">
        <v>46157</v>
      </c>
      <c r="B501" s="3">
        <v>151831363</v>
      </c>
      <c r="C501" s="3">
        <v>6469654</v>
      </c>
      <c r="D501" s="3">
        <v>0</v>
      </c>
      <c r="E501" s="3">
        <v>52123992</v>
      </c>
      <c r="F501" s="3">
        <v>0</v>
      </c>
      <c r="G501" s="3">
        <v>181728017</v>
      </c>
      <c r="H501" s="3">
        <v>0</v>
      </c>
      <c r="I501" s="3">
        <v>420444</v>
      </c>
      <c r="J501" s="3">
        <v>344652077</v>
      </c>
      <c r="K501" s="3">
        <v>1551482</v>
      </c>
      <c r="L501" s="3">
        <v>221494198</v>
      </c>
      <c r="M501" s="3">
        <v>101789287</v>
      </c>
      <c r="N501" s="3">
        <v>20484377</v>
      </c>
      <c r="O501" s="3">
        <v>0</v>
      </c>
      <c r="P501" s="3">
        <f t="shared" si="7"/>
        <v>1082544891</v>
      </c>
    </row>
    <row r="502" spans="1:16" x14ac:dyDescent="0.25">
      <c r="A502" s="2">
        <v>46158</v>
      </c>
      <c r="B502" s="3">
        <v>21440224</v>
      </c>
      <c r="C502" s="3">
        <v>190264</v>
      </c>
      <c r="D502" s="3">
        <v>0</v>
      </c>
      <c r="E502" s="3">
        <v>13115919</v>
      </c>
      <c r="F502" s="3">
        <v>0</v>
      </c>
      <c r="G502" s="3">
        <v>10439486</v>
      </c>
      <c r="H502" s="3">
        <v>4287</v>
      </c>
      <c r="I502" s="3">
        <v>226069</v>
      </c>
      <c r="J502" s="3">
        <v>109486144</v>
      </c>
      <c r="K502" s="3">
        <v>9178437</v>
      </c>
      <c r="L502" s="3">
        <v>146512711</v>
      </c>
      <c r="M502" s="3">
        <v>25347779</v>
      </c>
      <c r="N502" s="3">
        <v>9891518</v>
      </c>
      <c r="O502" s="3">
        <v>0</v>
      </c>
      <c r="P502" s="3">
        <f t="shared" si="7"/>
        <v>345832838</v>
      </c>
    </row>
    <row r="503" spans="1:16" x14ac:dyDescent="0.25">
      <c r="A503" s="2">
        <v>46159</v>
      </c>
      <c r="B503" s="3">
        <v>12120215</v>
      </c>
      <c r="C503" s="3">
        <v>329585</v>
      </c>
      <c r="D503" s="3">
        <v>0</v>
      </c>
      <c r="E503" s="3">
        <v>6158219</v>
      </c>
      <c r="F503" s="3">
        <v>0</v>
      </c>
      <c r="G503" s="3">
        <v>11043762</v>
      </c>
      <c r="H503" s="3">
        <v>689</v>
      </c>
      <c r="I503" s="3">
        <v>117073</v>
      </c>
      <c r="J503" s="3">
        <v>148444882</v>
      </c>
      <c r="K503" s="3">
        <v>4092</v>
      </c>
      <c r="L503" s="3">
        <v>71167094</v>
      </c>
      <c r="M503" s="3">
        <v>22709858</v>
      </c>
      <c r="N503" s="3">
        <v>6235900</v>
      </c>
      <c r="O503" s="3">
        <v>0</v>
      </c>
      <c r="P503" s="3">
        <f t="shared" si="7"/>
        <v>278331369</v>
      </c>
    </row>
    <row r="504" spans="1:16" x14ac:dyDescent="0.25">
      <c r="A504" s="2">
        <v>46160</v>
      </c>
      <c r="B504" s="3">
        <v>196477679</v>
      </c>
      <c r="C504" s="3">
        <v>15160538</v>
      </c>
      <c r="D504" s="3">
        <v>0</v>
      </c>
      <c r="E504" s="3">
        <v>19970290</v>
      </c>
      <c r="F504" s="3">
        <v>0</v>
      </c>
      <c r="G504" s="3">
        <v>175747381</v>
      </c>
      <c r="H504" s="3">
        <v>7377</v>
      </c>
      <c r="I504" s="3">
        <v>751647</v>
      </c>
      <c r="J504" s="3">
        <v>183084159</v>
      </c>
      <c r="K504" s="3">
        <v>11163</v>
      </c>
      <c r="L504" s="3">
        <v>316562167</v>
      </c>
      <c r="M504" s="3">
        <v>54802343</v>
      </c>
      <c r="N504" s="3">
        <v>10788944</v>
      </c>
      <c r="O504" s="3">
        <v>0</v>
      </c>
      <c r="P504" s="3">
        <f t="shared" si="7"/>
        <v>973363688</v>
      </c>
    </row>
    <row r="505" spans="1:16" x14ac:dyDescent="0.25">
      <c r="A505" s="2">
        <v>46161</v>
      </c>
      <c r="B505" s="3">
        <v>653899525</v>
      </c>
      <c r="C505" s="3">
        <v>11374249</v>
      </c>
      <c r="D505" s="3">
        <v>0</v>
      </c>
      <c r="E505" s="3">
        <v>17449555</v>
      </c>
      <c r="F505" s="3">
        <v>0</v>
      </c>
      <c r="G505" s="3">
        <v>146721383</v>
      </c>
      <c r="H505" s="3">
        <v>15</v>
      </c>
      <c r="I505" s="3">
        <v>753273</v>
      </c>
      <c r="J505" s="3">
        <v>275042303</v>
      </c>
      <c r="K505" s="3">
        <v>35027211</v>
      </c>
      <c r="L505" s="3">
        <v>187512012</v>
      </c>
      <c r="M505" s="3">
        <v>54634082</v>
      </c>
      <c r="N505" s="3">
        <v>21416272</v>
      </c>
      <c r="O505" s="3">
        <v>422960</v>
      </c>
      <c r="P505" s="3">
        <f t="shared" si="7"/>
        <v>1404252840</v>
      </c>
    </row>
    <row r="506" spans="1:16" x14ac:dyDescent="0.25">
      <c r="A506" s="2">
        <v>46162</v>
      </c>
      <c r="B506" s="3">
        <v>222624271</v>
      </c>
      <c r="C506" s="3">
        <v>5359990</v>
      </c>
      <c r="D506" s="3">
        <v>0</v>
      </c>
      <c r="E506" s="3">
        <v>19949206</v>
      </c>
      <c r="F506" s="3">
        <v>0</v>
      </c>
      <c r="G506" s="3">
        <v>329077942</v>
      </c>
      <c r="H506" s="3">
        <v>0</v>
      </c>
      <c r="I506" s="3">
        <v>1085837</v>
      </c>
      <c r="J506" s="3">
        <v>182068741</v>
      </c>
      <c r="K506" s="3">
        <v>13702060</v>
      </c>
      <c r="L506" s="3">
        <v>79382214</v>
      </c>
      <c r="M506" s="3">
        <v>60474660</v>
      </c>
      <c r="N506" s="3">
        <v>44784723</v>
      </c>
      <c r="O506" s="3">
        <v>0</v>
      </c>
      <c r="P506" s="3">
        <f t="shared" si="7"/>
        <v>958509644</v>
      </c>
    </row>
    <row r="507" spans="1:16" x14ac:dyDescent="0.25">
      <c r="A507" s="2">
        <v>46163</v>
      </c>
      <c r="B507" s="3">
        <v>119152715</v>
      </c>
      <c r="C507" s="3">
        <v>4782285</v>
      </c>
      <c r="D507" s="3">
        <v>0</v>
      </c>
      <c r="E507" s="3">
        <v>30265585</v>
      </c>
      <c r="F507" s="3">
        <v>0</v>
      </c>
      <c r="G507" s="3">
        <v>178186773</v>
      </c>
      <c r="H507" s="3">
        <v>4149</v>
      </c>
      <c r="I507" s="3">
        <v>453420</v>
      </c>
      <c r="J507" s="3">
        <v>144464433</v>
      </c>
      <c r="K507" s="3">
        <v>10457507</v>
      </c>
      <c r="L507" s="3">
        <v>167172144</v>
      </c>
      <c r="M507" s="3">
        <v>61408231</v>
      </c>
      <c r="N507" s="3">
        <v>59665081</v>
      </c>
      <c r="O507" s="3">
        <v>0</v>
      </c>
      <c r="P507" s="3">
        <f t="shared" si="7"/>
        <v>776012323</v>
      </c>
    </row>
    <row r="508" spans="1:16" x14ac:dyDescent="0.25">
      <c r="A508" s="2">
        <v>46164</v>
      </c>
      <c r="B508" s="3">
        <v>123183190</v>
      </c>
      <c r="C508" s="3">
        <v>8654499</v>
      </c>
      <c r="D508" s="3">
        <v>0</v>
      </c>
      <c r="E508" s="3">
        <v>5498490</v>
      </c>
      <c r="F508" s="3">
        <v>0</v>
      </c>
      <c r="G508" s="3">
        <v>222125227</v>
      </c>
      <c r="H508" s="3">
        <v>5189</v>
      </c>
      <c r="I508" s="3">
        <v>382372</v>
      </c>
      <c r="J508" s="3">
        <v>102036580</v>
      </c>
      <c r="K508" s="3">
        <v>1175</v>
      </c>
      <c r="L508" s="3">
        <v>152119144</v>
      </c>
      <c r="M508" s="3">
        <v>45281958</v>
      </c>
      <c r="N508" s="3">
        <v>36484674</v>
      </c>
      <c r="O508" s="3">
        <v>0</v>
      </c>
      <c r="P508" s="3">
        <f t="shared" si="7"/>
        <v>695772498</v>
      </c>
    </row>
    <row r="509" spans="1:16" x14ac:dyDescent="0.25">
      <c r="A509" s="2">
        <v>46165</v>
      </c>
      <c r="B509" s="3">
        <v>7079238</v>
      </c>
      <c r="C509" s="3">
        <v>199335</v>
      </c>
      <c r="D509" s="3">
        <v>0</v>
      </c>
      <c r="E509" s="3">
        <v>1765175</v>
      </c>
      <c r="F509" s="3">
        <v>0</v>
      </c>
      <c r="G509" s="3">
        <v>41943711</v>
      </c>
      <c r="H509" s="3">
        <v>48500</v>
      </c>
      <c r="I509" s="3">
        <v>178080</v>
      </c>
      <c r="J509" s="3">
        <v>179113992</v>
      </c>
      <c r="K509" s="3">
        <v>2610</v>
      </c>
      <c r="L509" s="3">
        <v>46977826</v>
      </c>
      <c r="M509" s="3">
        <v>66044844</v>
      </c>
      <c r="N509" s="3">
        <v>13389016</v>
      </c>
      <c r="O509" s="3">
        <v>0</v>
      </c>
      <c r="P509" s="3">
        <f t="shared" si="7"/>
        <v>356742327</v>
      </c>
    </row>
    <row r="510" spans="1:16" x14ac:dyDescent="0.25">
      <c r="A510" s="2">
        <v>46166</v>
      </c>
      <c r="B510" s="3">
        <v>7307601</v>
      </c>
      <c r="C510" s="3">
        <v>85662</v>
      </c>
      <c r="D510" s="3">
        <v>0</v>
      </c>
      <c r="E510" s="3">
        <v>8324932</v>
      </c>
      <c r="F510" s="3">
        <v>0</v>
      </c>
      <c r="G510" s="3">
        <v>11569123</v>
      </c>
      <c r="H510" s="3">
        <v>1466</v>
      </c>
      <c r="I510" s="3">
        <v>30724</v>
      </c>
      <c r="J510" s="3">
        <v>270740762</v>
      </c>
      <c r="K510" s="3">
        <v>553</v>
      </c>
      <c r="L510" s="3">
        <v>31930381</v>
      </c>
      <c r="M510" s="3">
        <v>37917883</v>
      </c>
      <c r="N510" s="3">
        <v>9949846</v>
      </c>
      <c r="O510" s="3">
        <v>0</v>
      </c>
      <c r="P510" s="3">
        <f t="shared" si="7"/>
        <v>377858933</v>
      </c>
    </row>
    <row r="511" spans="1:16" x14ac:dyDescent="0.25">
      <c r="A511" s="2">
        <v>46167</v>
      </c>
      <c r="B511" s="3">
        <v>59407522</v>
      </c>
      <c r="C511" s="3">
        <v>2265720</v>
      </c>
      <c r="D511" s="3">
        <v>0</v>
      </c>
      <c r="E511" s="3">
        <v>7511571</v>
      </c>
      <c r="F511" s="3">
        <v>0</v>
      </c>
      <c r="G511" s="3">
        <v>27585675</v>
      </c>
      <c r="H511" s="3">
        <v>0</v>
      </c>
      <c r="I511" s="3">
        <v>218859</v>
      </c>
      <c r="J511" s="3">
        <v>204348628</v>
      </c>
      <c r="K511" s="3">
        <v>1035583</v>
      </c>
      <c r="L511" s="3">
        <v>52372313</v>
      </c>
      <c r="M511" s="3">
        <v>25878307</v>
      </c>
      <c r="N511" s="3">
        <v>7904571</v>
      </c>
      <c r="O511" s="3">
        <v>0</v>
      </c>
      <c r="P511" s="3">
        <f t="shared" si="7"/>
        <v>388528749</v>
      </c>
    </row>
    <row r="512" spans="1:16" x14ac:dyDescent="0.25">
      <c r="A512" s="2">
        <v>46168</v>
      </c>
      <c r="B512" s="3">
        <v>199446119</v>
      </c>
      <c r="C512" s="3">
        <v>12775029</v>
      </c>
      <c r="D512" s="3">
        <v>0</v>
      </c>
      <c r="E512" s="3">
        <v>14772541</v>
      </c>
      <c r="F512" s="3">
        <v>0</v>
      </c>
      <c r="G512" s="3">
        <v>273619845</v>
      </c>
      <c r="H512" s="3">
        <v>0</v>
      </c>
      <c r="I512" s="3">
        <v>998668</v>
      </c>
      <c r="J512" s="3">
        <v>192753076</v>
      </c>
      <c r="K512" s="3">
        <v>2389834</v>
      </c>
      <c r="L512" s="3">
        <v>76143358</v>
      </c>
      <c r="M512" s="3">
        <v>60723667</v>
      </c>
      <c r="N512" s="3">
        <v>12286349</v>
      </c>
      <c r="O512" s="3">
        <v>10716</v>
      </c>
      <c r="P512" s="3">
        <f t="shared" si="7"/>
        <v>845919202</v>
      </c>
    </row>
    <row r="513" spans="1:16" x14ac:dyDescent="0.25">
      <c r="A513" s="2">
        <v>46169</v>
      </c>
      <c r="B513" s="3">
        <v>133536003</v>
      </c>
      <c r="C513" s="3">
        <v>20005589</v>
      </c>
      <c r="D513" s="3">
        <v>0</v>
      </c>
      <c r="E513" s="3">
        <v>13873976</v>
      </c>
      <c r="F513" s="3">
        <v>0</v>
      </c>
      <c r="G513" s="3">
        <v>158913217</v>
      </c>
      <c r="H513" s="3">
        <v>0</v>
      </c>
      <c r="I513" s="3">
        <v>632179</v>
      </c>
      <c r="J513" s="3">
        <v>207615906</v>
      </c>
      <c r="K513" s="3">
        <v>270344</v>
      </c>
      <c r="L513" s="3">
        <v>169717042</v>
      </c>
      <c r="M513" s="3">
        <v>68480019</v>
      </c>
      <c r="N513" s="3">
        <v>20263202</v>
      </c>
      <c r="O513" s="3">
        <v>107160</v>
      </c>
      <c r="P513" s="3">
        <f t="shared" si="7"/>
        <v>793414637</v>
      </c>
    </row>
    <row r="514" spans="1:16" x14ac:dyDescent="0.25">
      <c r="A514" s="2">
        <v>46170</v>
      </c>
      <c r="B514" s="3">
        <v>293789593</v>
      </c>
      <c r="C514" s="3">
        <v>14283152</v>
      </c>
      <c r="D514" s="3">
        <v>0</v>
      </c>
      <c r="E514" s="3">
        <v>38562521</v>
      </c>
      <c r="F514" s="3">
        <v>0</v>
      </c>
      <c r="G514" s="3">
        <v>175366294</v>
      </c>
      <c r="H514" s="3">
        <v>1029649269</v>
      </c>
      <c r="I514" s="3">
        <v>621438</v>
      </c>
      <c r="J514" s="3">
        <v>329738659</v>
      </c>
      <c r="K514" s="3">
        <v>2086</v>
      </c>
      <c r="L514" s="3">
        <v>128645000</v>
      </c>
      <c r="M514" s="3">
        <v>90034626</v>
      </c>
      <c r="N514" s="3">
        <v>68481489</v>
      </c>
      <c r="O514" s="3">
        <v>80799</v>
      </c>
      <c r="P514" s="3">
        <f t="shared" ref="P514:P577" si="8">SUM(B514:O514)</f>
        <v>2169254926</v>
      </c>
    </row>
    <row r="515" spans="1:16" x14ac:dyDescent="0.25">
      <c r="A515" s="2">
        <v>46171</v>
      </c>
      <c r="B515" s="3">
        <v>956235155</v>
      </c>
      <c r="C515" s="3">
        <v>27358354</v>
      </c>
      <c r="D515" s="3">
        <v>0</v>
      </c>
      <c r="E515" s="3">
        <v>30111579</v>
      </c>
      <c r="F515" s="3">
        <v>0</v>
      </c>
      <c r="G515" s="3">
        <v>171591980</v>
      </c>
      <c r="H515" s="3">
        <v>0</v>
      </c>
      <c r="I515" s="3">
        <v>458638</v>
      </c>
      <c r="J515" s="3">
        <v>558674161</v>
      </c>
      <c r="K515" s="3">
        <v>1220</v>
      </c>
      <c r="L515" s="3">
        <v>288336794</v>
      </c>
      <c r="M515" s="3">
        <v>114064481</v>
      </c>
      <c r="N515" s="3">
        <v>61831753</v>
      </c>
      <c r="O515" s="3">
        <v>165348</v>
      </c>
      <c r="P515" s="3">
        <f t="shared" si="8"/>
        <v>2208829463</v>
      </c>
    </row>
    <row r="516" spans="1:16" x14ac:dyDescent="0.25">
      <c r="A516" s="2">
        <v>46172</v>
      </c>
      <c r="B516" s="3">
        <v>10560783</v>
      </c>
      <c r="C516" s="3">
        <v>132407</v>
      </c>
      <c r="D516" s="3">
        <v>0</v>
      </c>
      <c r="E516" s="3">
        <v>10635429</v>
      </c>
      <c r="F516" s="3">
        <v>0</v>
      </c>
      <c r="G516" s="3">
        <v>26166479</v>
      </c>
      <c r="H516" s="3">
        <v>0</v>
      </c>
      <c r="I516" s="3">
        <v>87915</v>
      </c>
      <c r="J516" s="3">
        <v>132813735</v>
      </c>
      <c r="K516" s="3">
        <v>127</v>
      </c>
      <c r="L516" s="3">
        <v>157127703</v>
      </c>
      <c r="M516" s="3">
        <v>40924768</v>
      </c>
      <c r="N516" s="3">
        <v>21858019</v>
      </c>
      <c r="O516" s="3">
        <v>0</v>
      </c>
      <c r="P516" s="3">
        <f t="shared" si="8"/>
        <v>400307365</v>
      </c>
    </row>
    <row r="517" spans="1:16" x14ac:dyDescent="0.25">
      <c r="A517" s="2">
        <v>46173</v>
      </c>
      <c r="B517" s="3">
        <v>20614780</v>
      </c>
      <c r="C517" s="3">
        <v>320546</v>
      </c>
      <c r="D517" s="3">
        <v>0</v>
      </c>
      <c r="E517" s="3">
        <v>3417466</v>
      </c>
      <c r="F517" s="3">
        <v>0</v>
      </c>
      <c r="G517" s="3">
        <v>18588049</v>
      </c>
      <c r="H517" s="3">
        <v>0</v>
      </c>
      <c r="I517" s="3">
        <v>299505</v>
      </c>
      <c r="J517" s="3">
        <v>68720793</v>
      </c>
      <c r="K517" s="3">
        <v>12036854</v>
      </c>
      <c r="L517" s="3">
        <v>93024960</v>
      </c>
      <c r="M517" s="3">
        <v>51280176</v>
      </c>
      <c r="N517" s="3">
        <v>35422645</v>
      </c>
      <c r="O517" s="3">
        <v>0</v>
      </c>
      <c r="P517" s="3">
        <f t="shared" si="8"/>
        <v>303725774</v>
      </c>
    </row>
    <row r="518" spans="1:16" x14ac:dyDescent="0.25">
      <c r="A518" s="2">
        <v>46174</v>
      </c>
      <c r="B518" s="3">
        <v>58809088</v>
      </c>
      <c r="C518" s="3">
        <v>16332003</v>
      </c>
      <c r="D518" s="3">
        <v>0</v>
      </c>
      <c r="E518" s="3">
        <v>20571253</v>
      </c>
      <c r="F518" s="3">
        <v>0</v>
      </c>
      <c r="G518" s="3">
        <v>349489951</v>
      </c>
      <c r="H518" s="3">
        <v>0</v>
      </c>
      <c r="I518" s="3">
        <v>3252640</v>
      </c>
      <c r="J518" s="3">
        <v>196510585</v>
      </c>
      <c r="K518" s="3">
        <v>1397918</v>
      </c>
      <c r="L518" s="3">
        <v>188020090</v>
      </c>
      <c r="M518" s="3">
        <v>79117127</v>
      </c>
      <c r="N518" s="3">
        <v>33200174</v>
      </c>
      <c r="O518" s="3">
        <v>879605</v>
      </c>
      <c r="P518" s="3">
        <f t="shared" si="8"/>
        <v>947580434</v>
      </c>
    </row>
    <row r="519" spans="1:16" x14ac:dyDescent="0.25">
      <c r="A519" s="2">
        <v>46175</v>
      </c>
      <c r="B519" s="3">
        <v>107082138</v>
      </c>
      <c r="C519" s="3">
        <v>7826415</v>
      </c>
      <c r="D519" s="3">
        <v>0</v>
      </c>
      <c r="E519" s="3">
        <v>35110669</v>
      </c>
      <c r="F519" s="3">
        <v>0</v>
      </c>
      <c r="G519" s="3">
        <v>309417107</v>
      </c>
      <c r="H519" s="3">
        <v>0</v>
      </c>
      <c r="I519" s="3">
        <v>1568108</v>
      </c>
      <c r="J519" s="3">
        <v>263552495</v>
      </c>
      <c r="K519" s="3">
        <v>4018595</v>
      </c>
      <c r="L519" s="3">
        <v>257328078</v>
      </c>
      <c r="M519" s="3">
        <v>88146258</v>
      </c>
      <c r="N519" s="3">
        <v>30332650</v>
      </c>
      <c r="O519" s="3">
        <v>0</v>
      </c>
      <c r="P519" s="3">
        <f t="shared" si="8"/>
        <v>1104382513</v>
      </c>
    </row>
    <row r="520" spans="1:16" x14ac:dyDescent="0.25">
      <c r="A520" s="2">
        <v>46176</v>
      </c>
      <c r="B520" s="3">
        <v>135513807</v>
      </c>
      <c r="C520" s="3">
        <v>5228643</v>
      </c>
      <c r="D520" s="3">
        <v>0</v>
      </c>
      <c r="E520" s="3">
        <v>22427777</v>
      </c>
      <c r="F520" s="3">
        <v>0</v>
      </c>
      <c r="G520" s="3">
        <v>214861233</v>
      </c>
      <c r="H520" s="3">
        <v>0</v>
      </c>
      <c r="I520" s="3">
        <v>1003977</v>
      </c>
      <c r="J520" s="3">
        <v>222532477</v>
      </c>
      <c r="K520" s="3">
        <v>1232629</v>
      </c>
      <c r="L520" s="3">
        <v>168304415</v>
      </c>
      <c r="M520" s="3">
        <v>71581648</v>
      </c>
      <c r="N520" s="3">
        <v>31204948</v>
      </c>
      <c r="O520" s="3">
        <v>0</v>
      </c>
      <c r="P520" s="3">
        <f t="shared" si="8"/>
        <v>873891554</v>
      </c>
    </row>
    <row r="521" spans="1:16" x14ac:dyDescent="0.25">
      <c r="A521" s="2">
        <v>46177</v>
      </c>
      <c r="B521" s="3">
        <v>156361881</v>
      </c>
      <c r="C521" s="3">
        <v>4059300</v>
      </c>
      <c r="D521" s="3">
        <v>0</v>
      </c>
      <c r="E521" s="3">
        <v>12676190</v>
      </c>
      <c r="F521" s="3">
        <v>0</v>
      </c>
      <c r="G521" s="3">
        <v>137113768</v>
      </c>
      <c r="H521" s="3">
        <v>0</v>
      </c>
      <c r="I521" s="3">
        <v>270064</v>
      </c>
      <c r="J521" s="3">
        <v>325803955</v>
      </c>
      <c r="K521" s="3">
        <v>2397208</v>
      </c>
      <c r="L521" s="3">
        <v>183197378</v>
      </c>
      <c r="M521" s="3">
        <v>66084795</v>
      </c>
      <c r="N521" s="3">
        <v>33093900</v>
      </c>
      <c r="O521" s="3">
        <v>1484708</v>
      </c>
      <c r="P521" s="3">
        <f t="shared" si="8"/>
        <v>922543147</v>
      </c>
    </row>
    <row r="522" spans="1:16" x14ac:dyDescent="0.25">
      <c r="A522" s="2">
        <v>46178</v>
      </c>
      <c r="B522" s="3">
        <v>41524482</v>
      </c>
      <c r="C522" s="3">
        <v>25941157</v>
      </c>
      <c r="D522" s="3">
        <v>0</v>
      </c>
      <c r="E522" s="3">
        <v>17468084</v>
      </c>
      <c r="F522" s="3">
        <v>0</v>
      </c>
      <c r="G522" s="3">
        <v>211116537</v>
      </c>
      <c r="H522" s="3">
        <v>294</v>
      </c>
      <c r="I522" s="3">
        <v>948716</v>
      </c>
      <c r="J522" s="3">
        <v>330410038</v>
      </c>
      <c r="K522" s="3">
        <v>1258162</v>
      </c>
      <c r="L522" s="3">
        <v>215012547</v>
      </c>
      <c r="M522" s="3">
        <v>101086452</v>
      </c>
      <c r="N522" s="3">
        <v>38677494</v>
      </c>
      <c r="O522" s="3">
        <v>12312</v>
      </c>
      <c r="P522" s="3">
        <f t="shared" si="8"/>
        <v>983456275</v>
      </c>
    </row>
    <row r="523" spans="1:16" x14ac:dyDescent="0.25">
      <c r="A523" s="2">
        <v>46179</v>
      </c>
      <c r="B523" s="3">
        <v>5214395</v>
      </c>
      <c r="C523" s="3">
        <v>227041</v>
      </c>
      <c r="D523" s="3">
        <v>0</v>
      </c>
      <c r="E523" s="3">
        <v>6373239</v>
      </c>
      <c r="F523" s="3">
        <v>0</v>
      </c>
      <c r="G523" s="3">
        <v>33647195</v>
      </c>
      <c r="H523" s="3">
        <v>21600</v>
      </c>
      <c r="I523" s="3">
        <v>126407</v>
      </c>
      <c r="J523" s="3">
        <v>122107561</v>
      </c>
      <c r="K523" s="3">
        <v>199</v>
      </c>
      <c r="L523" s="3">
        <v>116514078</v>
      </c>
      <c r="M523" s="3">
        <v>46671457</v>
      </c>
      <c r="N523" s="3">
        <v>40139571</v>
      </c>
      <c r="O523" s="3">
        <v>0</v>
      </c>
      <c r="P523" s="3">
        <f t="shared" si="8"/>
        <v>371042743</v>
      </c>
    </row>
    <row r="524" spans="1:16" x14ac:dyDescent="0.25">
      <c r="A524" s="2">
        <v>46180</v>
      </c>
      <c r="B524" s="3">
        <v>10455913</v>
      </c>
      <c r="C524" s="3">
        <v>51097</v>
      </c>
      <c r="D524" s="3">
        <v>0</v>
      </c>
      <c r="E524" s="3">
        <v>7238437</v>
      </c>
      <c r="F524" s="3">
        <v>0</v>
      </c>
      <c r="G524" s="3">
        <v>17841061</v>
      </c>
      <c r="H524" s="3">
        <v>0</v>
      </c>
      <c r="I524" s="3">
        <v>79363</v>
      </c>
      <c r="J524" s="3">
        <v>117744990</v>
      </c>
      <c r="K524" s="3">
        <v>467</v>
      </c>
      <c r="L524" s="3">
        <v>75982359</v>
      </c>
      <c r="M524" s="3">
        <v>60707928</v>
      </c>
      <c r="N524" s="3">
        <v>18040315</v>
      </c>
      <c r="O524" s="3">
        <v>0</v>
      </c>
      <c r="P524" s="3">
        <f t="shared" si="8"/>
        <v>308141930</v>
      </c>
    </row>
    <row r="525" spans="1:16" x14ac:dyDescent="0.25">
      <c r="A525" s="2">
        <v>46181</v>
      </c>
      <c r="B525" s="3">
        <v>106606784</v>
      </c>
      <c r="C525" s="3">
        <v>34066753</v>
      </c>
      <c r="D525" s="3">
        <v>0</v>
      </c>
      <c r="E525" s="3">
        <v>27294172</v>
      </c>
      <c r="F525" s="3">
        <v>0</v>
      </c>
      <c r="G525" s="3">
        <v>144486023</v>
      </c>
      <c r="H525" s="3">
        <v>0</v>
      </c>
      <c r="I525" s="3">
        <v>963461</v>
      </c>
      <c r="J525" s="3">
        <v>171893509</v>
      </c>
      <c r="K525" s="3">
        <v>450</v>
      </c>
      <c r="L525" s="3">
        <v>146818738</v>
      </c>
      <c r="M525" s="3">
        <v>71988994</v>
      </c>
      <c r="N525" s="3">
        <v>18114555</v>
      </c>
      <c r="O525" s="3">
        <v>1002108</v>
      </c>
      <c r="P525" s="3">
        <f t="shared" si="8"/>
        <v>723235547</v>
      </c>
    </row>
    <row r="526" spans="1:16" x14ac:dyDescent="0.25">
      <c r="A526" s="2">
        <v>46182</v>
      </c>
      <c r="B526" s="3">
        <v>146737842</v>
      </c>
      <c r="C526" s="3">
        <v>31833449</v>
      </c>
      <c r="D526" s="3">
        <v>0</v>
      </c>
      <c r="E526" s="3">
        <v>38098300</v>
      </c>
      <c r="F526" s="3">
        <v>0</v>
      </c>
      <c r="G526" s="3">
        <v>170364564</v>
      </c>
      <c r="H526" s="3">
        <v>23629957</v>
      </c>
      <c r="I526" s="3">
        <v>1055790</v>
      </c>
      <c r="J526" s="3">
        <v>182378213</v>
      </c>
      <c r="K526" s="3">
        <v>4686517</v>
      </c>
      <c r="L526" s="3">
        <v>231807221</v>
      </c>
      <c r="M526" s="3">
        <v>94192179</v>
      </c>
      <c r="N526" s="3">
        <v>35045541</v>
      </c>
      <c r="O526" s="3">
        <v>6811213</v>
      </c>
      <c r="P526" s="3">
        <f t="shared" si="8"/>
        <v>966640786</v>
      </c>
    </row>
    <row r="527" spans="1:16" x14ac:dyDescent="0.25">
      <c r="A527" s="2">
        <v>46183</v>
      </c>
      <c r="B527" s="3">
        <v>54178851</v>
      </c>
      <c r="C527" s="3">
        <v>8711769</v>
      </c>
      <c r="D527" s="3">
        <v>0</v>
      </c>
      <c r="E527" s="3">
        <v>8583254</v>
      </c>
      <c r="F527" s="3">
        <v>0</v>
      </c>
      <c r="G527" s="3">
        <v>147103493</v>
      </c>
      <c r="H527" s="3">
        <v>0</v>
      </c>
      <c r="I527" s="3">
        <v>1604721</v>
      </c>
      <c r="J527" s="3">
        <v>287042988</v>
      </c>
      <c r="K527" s="3">
        <v>201029</v>
      </c>
      <c r="L527" s="3">
        <v>137357934</v>
      </c>
      <c r="M527" s="3">
        <v>715906156</v>
      </c>
      <c r="N527" s="3">
        <v>40298673</v>
      </c>
      <c r="O527" s="3">
        <v>0</v>
      </c>
      <c r="P527" s="3">
        <f t="shared" si="8"/>
        <v>1400988868</v>
      </c>
    </row>
    <row r="528" spans="1:16" x14ac:dyDescent="0.25">
      <c r="A528" s="2">
        <v>46184</v>
      </c>
      <c r="B528" s="3">
        <v>54919972</v>
      </c>
      <c r="C528" s="3">
        <v>10338161</v>
      </c>
      <c r="D528" s="3">
        <v>0</v>
      </c>
      <c r="E528" s="3">
        <v>20252114</v>
      </c>
      <c r="F528" s="3">
        <v>0</v>
      </c>
      <c r="G528" s="3">
        <v>172341210</v>
      </c>
      <c r="H528" s="3">
        <v>17163740</v>
      </c>
      <c r="I528" s="3">
        <v>272304</v>
      </c>
      <c r="J528" s="3">
        <v>546099050</v>
      </c>
      <c r="K528" s="3">
        <v>712206</v>
      </c>
      <c r="L528" s="3">
        <v>153319410</v>
      </c>
      <c r="M528" s="3">
        <v>106081313</v>
      </c>
      <c r="N528" s="3">
        <v>20148222</v>
      </c>
      <c r="O528" s="3">
        <v>0</v>
      </c>
      <c r="P528" s="3">
        <f t="shared" si="8"/>
        <v>1101647702</v>
      </c>
    </row>
    <row r="529" spans="1:16" x14ac:dyDescent="0.25">
      <c r="A529" s="2">
        <v>46185</v>
      </c>
      <c r="B529" s="3">
        <v>135704974</v>
      </c>
      <c r="C529" s="3">
        <v>7095205</v>
      </c>
      <c r="D529" s="3">
        <v>0</v>
      </c>
      <c r="E529" s="3">
        <v>6328071</v>
      </c>
      <c r="F529" s="3">
        <v>0</v>
      </c>
      <c r="G529" s="3">
        <v>222034164</v>
      </c>
      <c r="H529" s="3">
        <v>859508142</v>
      </c>
      <c r="I529" s="3">
        <v>2482526</v>
      </c>
      <c r="J529" s="3">
        <v>278199304</v>
      </c>
      <c r="K529" s="3">
        <v>115</v>
      </c>
      <c r="L529" s="3">
        <v>6891295629</v>
      </c>
      <c r="M529" s="3">
        <v>3984400910</v>
      </c>
      <c r="N529" s="3">
        <v>31360884</v>
      </c>
      <c r="O529" s="3">
        <v>0</v>
      </c>
      <c r="P529" s="3">
        <f t="shared" si="8"/>
        <v>12418409924</v>
      </c>
    </row>
    <row r="530" spans="1:16" x14ac:dyDescent="0.25">
      <c r="A530" s="2">
        <v>46186</v>
      </c>
      <c r="B530" s="3">
        <v>7685064</v>
      </c>
      <c r="C530" s="3">
        <v>153939</v>
      </c>
      <c r="D530" s="3">
        <v>0</v>
      </c>
      <c r="E530" s="3">
        <v>21556224</v>
      </c>
      <c r="F530" s="3">
        <v>0</v>
      </c>
      <c r="G530" s="3">
        <v>62278193</v>
      </c>
      <c r="H530" s="3">
        <v>31</v>
      </c>
      <c r="I530" s="3">
        <v>38173</v>
      </c>
      <c r="J530" s="3">
        <v>61931681</v>
      </c>
      <c r="K530" s="3">
        <v>2342</v>
      </c>
      <c r="L530" s="3">
        <v>4201819540</v>
      </c>
      <c r="M530" s="3">
        <v>2432662709</v>
      </c>
      <c r="N530" s="3">
        <v>11508737</v>
      </c>
      <c r="O530" s="3">
        <v>0</v>
      </c>
      <c r="P530" s="3">
        <f t="shared" si="8"/>
        <v>6799636633</v>
      </c>
    </row>
    <row r="531" spans="1:16" x14ac:dyDescent="0.25">
      <c r="A531" s="2">
        <v>46187</v>
      </c>
      <c r="B531" s="3">
        <v>10948988</v>
      </c>
      <c r="C531" s="3">
        <v>101473</v>
      </c>
      <c r="D531" s="3">
        <v>0</v>
      </c>
      <c r="E531" s="3">
        <v>4136789</v>
      </c>
      <c r="F531" s="3">
        <v>0</v>
      </c>
      <c r="G531" s="3">
        <v>97339775</v>
      </c>
      <c r="H531" s="3">
        <v>12060</v>
      </c>
      <c r="I531" s="3">
        <v>30305</v>
      </c>
      <c r="J531" s="3">
        <v>229286715</v>
      </c>
      <c r="K531" s="3">
        <v>1682057</v>
      </c>
      <c r="L531" s="3">
        <v>69853195</v>
      </c>
      <c r="M531" s="3">
        <v>39937223</v>
      </c>
      <c r="N531" s="3">
        <v>16137255</v>
      </c>
      <c r="O531" s="3">
        <v>0</v>
      </c>
      <c r="P531" s="3">
        <f t="shared" si="8"/>
        <v>469465835</v>
      </c>
    </row>
    <row r="532" spans="1:16" x14ac:dyDescent="0.25">
      <c r="A532" s="2">
        <v>46188</v>
      </c>
      <c r="B532" s="3">
        <v>109554283</v>
      </c>
      <c r="C532" s="3">
        <v>35531137</v>
      </c>
      <c r="D532" s="3">
        <v>0</v>
      </c>
      <c r="E532" s="3">
        <v>15087468</v>
      </c>
      <c r="F532" s="3">
        <v>0</v>
      </c>
      <c r="G532" s="3">
        <v>339906983</v>
      </c>
      <c r="H532" s="3">
        <v>23449</v>
      </c>
      <c r="I532" s="3">
        <v>456972</v>
      </c>
      <c r="J532" s="3">
        <v>114443459</v>
      </c>
      <c r="K532" s="3">
        <v>17296</v>
      </c>
      <c r="L532" s="3">
        <v>111120246</v>
      </c>
      <c r="M532" s="3">
        <v>113679235</v>
      </c>
      <c r="N532" s="3">
        <v>19859045</v>
      </c>
      <c r="O532" s="3">
        <v>107</v>
      </c>
      <c r="P532" s="3">
        <f t="shared" si="8"/>
        <v>859679680</v>
      </c>
    </row>
    <row r="533" spans="1:16" x14ac:dyDescent="0.25">
      <c r="A533" s="2">
        <v>46189</v>
      </c>
      <c r="B533" s="3">
        <v>11731171</v>
      </c>
      <c r="C533" s="3">
        <v>19848530</v>
      </c>
      <c r="D533" s="3">
        <v>0</v>
      </c>
      <c r="E533" s="3">
        <v>14239367</v>
      </c>
      <c r="F533" s="3">
        <v>0</v>
      </c>
      <c r="G533" s="3">
        <v>324628480</v>
      </c>
      <c r="H533" s="3">
        <v>82171</v>
      </c>
      <c r="I533" s="3">
        <v>563120</v>
      </c>
      <c r="J533" s="3">
        <v>160704645</v>
      </c>
      <c r="K533" s="3">
        <v>7155537</v>
      </c>
      <c r="L533" s="3">
        <v>142447085</v>
      </c>
      <c r="M533" s="3">
        <v>73039995</v>
      </c>
      <c r="N533" s="3">
        <v>34930514</v>
      </c>
      <c r="O533" s="3">
        <v>0</v>
      </c>
      <c r="P533" s="3">
        <f t="shared" si="8"/>
        <v>789370615</v>
      </c>
    </row>
    <row r="534" spans="1:16" x14ac:dyDescent="0.25">
      <c r="A534" s="2">
        <v>46190</v>
      </c>
      <c r="B534" s="3">
        <v>21962494</v>
      </c>
      <c r="C534" s="3">
        <v>12664988</v>
      </c>
      <c r="D534" s="3">
        <v>0</v>
      </c>
      <c r="E534" s="3">
        <v>70456483</v>
      </c>
      <c r="F534" s="3">
        <v>0</v>
      </c>
      <c r="G534" s="3">
        <v>259174245</v>
      </c>
      <c r="H534" s="3">
        <v>75</v>
      </c>
      <c r="I534" s="3">
        <v>374641</v>
      </c>
      <c r="J534" s="3">
        <v>189457270</v>
      </c>
      <c r="K534" s="3">
        <v>6829420</v>
      </c>
      <c r="L534" s="3">
        <v>92877642</v>
      </c>
      <c r="M534" s="3">
        <v>176229183</v>
      </c>
      <c r="N534" s="3">
        <v>36256902</v>
      </c>
      <c r="O534" s="3">
        <v>342624</v>
      </c>
      <c r="P534" s="3">
        <f t="shared" si="8"/>
        <v>866625967</v>
      </c>
    </row>
    <row r="535" spans="1:16" x14ac:dyDescent="0.25">
      <c r="A535" s="2">
        <v>46191</v>
      </c>
      <c r="B535" s="3">
        <v>50746928</v>
      </c>
      <c r="C535" s="3">
        <v>7063213</v>
      </c>
      <c r="D535" s="3">
        <v>0</v>
      </c>
      <c r="E535" s="3">
        <v>33504737</v>
      </c>
      <c r="F535" s="3">
        <v>0</v>
      </c>
      <c r="G535" s="3">
        <v>405676987</v>
      </c>
      <c r="H535" s="3">
        <v>2070</v>
      </c>
      <c r="I535" s="3">
        <v>148898</v>
      </c>
      <c r="J535" s="3">
        <v>166475704</v>
      </c>
      <c r="K535" s="3">
        <v>810878</v>
      </c>
      <c r="L535" s="3">
        <v>249617776</v>
      </c>
      <c r="M535" s="3">
        <v>109355274</v>
      </c>
      <c r="N535" s="3">
        <v>53964428</v>
      </c>
      <c r="O535" s="3">
        <v>0</v>
      </c>
      <c r="P535" s="3">
        <f t="shared" si="8"/>
        <v>1077366893</v>
      </c>
    </row>
    <row r="536" spans="1:16" x14ac:dyDescent="0.25">
      <c r="A536" s="2">
        <v>46192</v>
      </c>
      <c r="B536" s="3">
        <v>76476174</v>
      </c>
      <c r="C536" s="3">
        <v>3879557</v>
      </c>
      <c r="D536" s="3">
        <v>0</v>
      </c>
      <c r="E536" s="3">
        <v>5973907</v>
      </c>
      <c r="F536" s="3">
        <v>0</v>
      </c>
      <c r="G536" s="3">
        <v>380593480</v>
      </c>
      <c r="H536" s="3">
        <v>231</v>
      </c>
      <c r="I536" s="3">
        <v>617847</v>
      </c>
      <c r="J536" s="3">
        <v>136465372</v>
      </c>
      <c r="K536" s="3">
        <v>4851942</v>
      </c>
      <c r="L536" s="3">
        <v>130822523</v>
      </c>
      <c r="M536" s="3">
        <v>67109430</v>
      </c>
      <c r="N536" s="3">
        <v>43858532</v>
      </c>
      <c r="O536" s="3">
        <v>0</v>
      </c>
      <c r="P536" s="3">
        <f t="shared" si="8"/>
        <v>850648995</v>
      </c>
    </row>
    <row r="537" spans="1:16" x14ac:dyDescent="0.25">
      <c r="A537" s="2">
        <v>46193</v>
      </c>
      <c r="B537" s="3">
        <v>14149627</v>
      </c>
      <c r="C537" s="3">
        <v>22902</v>
      </c>
      <c r="D537" s="3">
        <v>0</v>
      </c>
      <c r="E537" s="3">
        <v>1931775</v>
      </c>
      <c r="F537" s="3">
        <v>0</v>
      </c>
      <c r="G537" s="3">
        <v>478484205</v>
      </c>
      <c r="H537" s="3">
        <v>1170</v>
      </c>
      <c r="I537" s="3">
        <v>225203</v>
      </c>
      <c r="J537" s="3">
        <v>58926734</v>
      </c>
      <c r="K537" s="3">
        <v>869012</v>
      </c>
      <c r="L537" s="3">
        <v>90692296</v>
      </c>
      <c r="M537" s="3">
        <v>30536225</v>
      </c>
      <c r="N537" s="3">
        <v>47219578</v>
      </c>
      <c r="O537" s="3">
        <v>0</v>
      </c>
      <c r="P537" s="3">
        <f t="shared" si="8"/>
        <v>723058727</v>
      </c>
    </row>
    <row r="538" spans="1:16" x14ac:dyDescent="0.25">
      <c r="A538" s="2">
        <v>46194</v>
      </c>
      <c r="B538" s="3">
        <v>13363561</v>
      </c>
      <c r="C538" s="3">
        <v>139819</v>
      </c>
      <c r="D538" s="3">
        <v>0</v>
      </c>
      <c r="E538" s="3">
        <v>504316163</v>
      </c>
      <c r="F538" s="3">
        <v>0</v>
      </c>
      <c r="G538" s="3">
        <v>459290205</v>
      </c>
      <c r="H538" s="3">
        <v>27695</v>
      </c>
      <c r="I538" s="3">
        <v>111860</v>
      </c>
      <c r="J538" s="3">
        <v>50295981</v>
      </c>
      <c r="K538" s="3">
        <v>4050506</v>
      </c>
      <c r="L538" s="3">
        <v>61594187</v>
      </c>
      <c r="M538" s="3">
        <v>50790748</v>
      </c>
      <c r="N538" s="3">
        <v>27956541</v>
      </c>
      <c r="O538" s="3">
        <v>0</v>
      </c>
      <c r="P538" s="3">
        <f t="shared" si="8"/>
        <v>1171937266</v>
      </c>
    </row>
    <row r="539" spans="1:16" x14ac:dyDescent="0.25">
      <c r="A539" s="2">
        <v>46195</v>
      </c>
      <c r="B539" s="3">
        <v>174508909</v>
      </c>
      <c r="C539" s="3">
        <v>12724198</v>
      </c>
      <c r="D539" s="3">
        <v>0</v>
      </c>
      <c r="E539" s="3">
        <v>18490565</v>
      </c>
      <c r="F539" s="3">
        <v>0</v>
      </c>
      <c r="G539" s="3">
        <v>459662289</v>
      </c>
      <c r="H539" s="3">
        <v>40</v>
      </c>
      <c r="I539" s="3">
        <v>253527</v>
      </c>
      <c r="J539" s="3">
        <v>117985558</v>
      </c>
      <c r="K539" s="3">
        <v>6782223</v>
      </c>
      <c r="L539" s="3">
        <v>105713079</v>
      </c>
      <c r="M539" s="3">
        <v>105502280</v>
      </c>
      <c r="N539" s="3">
        <v>49256908</v>
      </c>
      <c r="O539" s="3">
        <v>0</v>
      </c>
      <c r="P539" s="3">
        <f t="shared" si="8"/>
        <v>1050879576</v>
      </c>
    </row>
    <row r="540" spans="1:16" x14ac:dyDescent="0.25">
      <c r="A540" s="2">
        <v>46196</v>
      </c>
      <c r="B540" s="3">
        <v>78970155</v>
      </c>
      <c r="C540" s="3">
        <v>7659889</v>
      </c>
      <c r="D540" s="3">
        <v>0</v>
      </c>
      <c r="E540" s="3">
        <v>13215744</v>
      </c>
      <c r="F540" s="3">
        <v>0</v>
      </c>
      <c r="G540" s="3">
        <v>726845616</v>
      </c>
      <c r="H540" s="3">
        <v>176</v>
      </c>
      <c r="I540" s="3">
        <v>170315</v>
      </c>
      <c r="J540" s="3">
        <v>141846152</v>
      </c>
      <c r="K540" s="3">
        <v>13716707</v>
      </c>
      <c r="L540" s="3">
        <v>146400182</v>
      </c>
      <c r="M540" s="3">
        <v>168138498</v>
      </c>
      <c r="N540" s="3">
        <v>36034392</v>
      </c>
      <c r="O540" s="3">
        <v>0</v>
      </c>
      <c r="P540" s="3">
        <f t="shared" si="8"/>
        <v>1332997826</v>
      </c>
    </row>
    <row r="541" spans="1:16" x14ac:dyDescent="0.25">
      <c r="A541" s="2">
        <v>46197</v>
      </c>
      <c r="B541" s="3">
        <v>167497354</v>
      </c>
      <c r="C541" s="3">
        <v>15125153</v>
      </c>
      <c r="D541" s="3">
        <v>0</v>
      </c>
      <c r="E541" s="3">
        <v>12043168</v>
      </c>
      <c r="F541" s="3">
        <v>0</v>
      </c>
      <c r="G541" s="3">
        <v>1183488287</v>
      </c>
      <c r="H541" s="3">
        <v>180737</v>
      </c>
      <c r="I541" s="3">
        <v>74291</v>
      </c>
      <c r="J541" s="3">
        <v>314088531</v>
      </c>
      <c r="K541" s="3">
        <v>2307585</v>
      </c>
      <c r="L541" s="3">
        <v>128729219</v>
      </c>
      <c r="M541" s="3">
        <v>126922805</v>
      </c>
      <c r="N541" s="3">
        <v>65597561</v>
      </c>
      <c r="O541" s="3">
        <v>0</v>
      </c>
      <c r="P541" s="3">
        <f t="shared" si="8"/>
        <v>2016054691</v>
      </c>
    </row>
    <row r="542" spans="1:16" x14ac:dyDescent="0.25">
      <c r="A542" s="2">
        <v>46198</v>
      </c>
      <c r="B542" s="3">
        <v>89134549</v>
      </c>
      <c r="C542" s="3">
        <v>13952223</v>
      </c>
      <c r="D542" s="3">
        <v>0</v>
      </c>
      <c r="E542" s="3">
        <v>15127516</v>
      </c>
      <c r="F542" s="3">
        <v>0</v>
      </c>
      <c r="G542" s="3">
        <v>151543404</v>
      </c>
      <c r="H542" s="3">
        <v>21260038</v>
      </c>
      <c r="I542" s="3">
        <v>133288</v>
      </c>
      <c r="J542" s="3">
        <v>163321608</v>
      </c>
      <c r="K542" s="3">
        <v>3563392</v>
      </c>
      <c r="L542" s="3">
        <v>109252372</v>
      </c>
      <c r="M542" s="3">
        <v>233527641</v>
      </c>
      <c r="N542" s="3">
        <v>218439582</v>
      </c>
      <c r="O542" s="3">
        <v>0</v>
      </c>
      <c r="P542" s="3">
        <f t="shared" si="8"/>
        <v>1019255613</v>
      </c>
    </row>
    <row r="543" spans="1:16" x14ac:dyDescent="0.25">
      <c r="A543" s="2">
        <v>46199</v>
      </c>
      <c r="B543" s="3">
        <v>290100430</v>
      </c>
      <c r="C543" s="3">
        <v>23859736</v>
      </c>
      <c r="D543" s="3">
        <v>0</v>
      </c>
      <c r="E543" s="3">
        <v>14783265</v>
      </c>
      <c r="F543" s="3">
        <v>0</v>
      </c>
      <c r="G543" s="3">
        <v>174740646</v>
      </c>
      <c r="H543" s="3">
        <v>304383</v>
      </c>
      <c r="I543" s="3">
        <v>175688</v>
      </c>
      <c r="J543" s="3">
        <v>84759705</v>
      </c>
      <c r="K543" s="3">
        <v>38770</v>
      </c>
      <c r="L543" s="3">
        <v>185768561</v>
      </c>
      <c r="M543" s="3">
        <v>102713398</v>
      </c>
      <c r="N543" s="3">
        <v>68040081</v>
      </c>
      <c r="O543" s="3">
        <v>0</v>
      </c>
      <c r="P543" s="3">
        <f t="shared" si="8"/>
        <v>945284663</v>
      </c>
    </row>
    <row r="544" spans="1:16" x14ac:dyDescent="0.25">
      <c r="A544" s="2">
        <v>46200</v>
      </c>
      <c r="B544" s="3">
        <v>13793920</v>
      </c>
      <c r="C544" s="3">
        <v>57708</v>
      </c>
      <c r="D544" s="3">
        <v>0</v>
      </c>
      <c r="E544" s="3">
        <v>9031750</v>
      </c>
      <c r="F544" s="3">
        <v>0</v>
      </c>
      <c r="G544" s="3">
        <v>813175434</v>
      </c>
      <c r="H544" s="3">
        <v>0</v>
      </c>
      <c r="I544" s="3">
        <v>24435</v>
      </c>
      <c r="J544" s="3">
        <v>56336791</v>
      </c>
      <c r="K544" s="3">
        <v>5778033</v>
      </c>
      <c r="L544" s="3">
        <v>27942159</v>
      </c>
      <c r="M544" s="3">
        <v>45698897</v>
      </c>
      <c r="N544" s="3">
        <v>49699641</v>
      </c>
      <c r="O544" s="3">
        <v>0</v>
      </c>
      <c r="P544" s="3">
        <f t="shared" si="8"/>
        <v>1021538768</v>
      </c>
    </row>
    <row r="545" spans="1:16" x14ac:dyDescent="0.25">
      <c r="A545" s="2">
        <v>46201</v>
      </c>
      <c r="B545" s="3">
        <v>3361692</v>
      </c>
      <c r="C545" s="3">
        <v>418048</v>
      </c>
      <c r="D545" s="3">
        <v>0</v>
      </c>
      <c r="E545" s="3">
        <v>3972680</v>
      </c>
      <c r="F545" s="3">
        <v>0</v>
      </c>
      <c r="G545" s="3">
        <v>24143601</v>
      </c>
      <c r="H545" s="3">
        <v>0</v>
      </c>
      <c r="I545" s="3">
        <v>14772</v>
      </c>
      <c r="J545" s="3">
        <v>32159911</v>
      </c>
      <c r="K545" s="3">
        <v>41087</v>
      </c>
      <c r="L545" s="3">
        <v>82741150</v>
      </c>
      <c r="M545" s="3">
        <v>22959139</v>
      </c>
      <c r="N545" s="3">
        <v>12316261</v>
      </c>
      <c r="O545" s="3">
        <v>0</v>
      </c>
      <c r="P545" s="3">
        <f t="shared" si="8"/>
        <v>182128341</v>
      </c>
    </row>
    <row r="546" spans="1:16" x14ac:dyDescent="0.25">
      <c r="A546" s="2">
        <v>46202</v>
      </c>
      <c r="B546" s="3">
        <v>26142137</v>
      </c>
      <c r="C546" s="3">
        <v>19497918</v>
      </c>
      <c r="D546" s="3">
        <v>0</v>
      </c>
      <c r="E546" s="3">
        <v>40413721</v>
      </c>
      <c r="F546" s="3">
        <v>0</v>
      </c>
      <c r="G546" s="3">
        <v>396839685</v>
      </c>
      <c r="H546" s="3">
        <v>39219</v>
      </c>
      <c r="I546" s="3">
        <v>1386194</v>
      </c>
      <c r="J546" s="3">
        <v>107679981</v>
      </c>
      <c r="K546" s="3">
        <v>7330286</v>
      </c>
      <c r="L546" s="3">
        <v>104437374</v>
      </c>
      <c r="M546" s="3">
        <v>68280890</v>
      </c>
      <c r="N546" s="3">
        <v>24278732</v>
      </c>
      <c r="O546" s="3">
        <v>229986</v>
      </c>
      <c r="P546" s="3">
        <f t="shared" si="8"/>
        <v>796556123</v>
      </c>
    </row>
    <row r="547" spans="1:16" x14ac:dyDescent="0.25">
      <c r="A547" s="2">
        <v>46203</v>
      </c>
      <c r="B547" s="3">
        <v>27085269</v>
      </c>
      <c r="C547" s="3">
        <v>45606883</v>
      </c>
      <c r="D547" s="3">
        <v>0</v>
      </c>
      <c r="E547" s="3">
        <v>11128918</v>
      </c>
      <c r="F547" s="3">
        <v>0</v>
      </c>
      <c r="G547" s="3">
        <v>335616304</v>
      </c>
      <c r="H547" s="3">
        <v>16323406</v>
      </c>
      <c r="I547" s="3">
        <v>409959</v>
      </c>
      <c r="J547" s="3">
        <v>161417600</v>
      </c>
      <c r="K547" s="3">
        <v>351610</v>
      </c>
      <c r="L547" s="3">
        <v>219666583</v>
      </c>
      <c r="M547" s="3">
        <v>65338616</v>
      </c>
      <c r="N547" s="3">
        <v>51789634</v>
      </c>
      <c r="O547" s="3">
        <v>0</v>
      </c>
      <c r="P547" s="3">
        <f t="shared" si="8"/>
        <v>934734782</v>
      </c>
    </row>
    <row r="548" spans="1:16" x14ac:dyDescent="0.25">
      <c r="A548" s="2">
        <v>46204</v>
      </c>
      <c r="B548" s="3">
        <v>31496954</v>
      </c>
      <c r="C548" s="3">
        <v>14699164</v>
      </c>
      <c r="D548" s="3">
        <v>0</v>
      </c>
      <c r="E548" s="3">
        <v>16811172</v>
      </c>
      <c r="F548" s="3">
        <v>0</v>
      </c>
      <c r="G548" s="3">
        <v>178397867</v>
      </c>
      <c r="H548" s="3">
        <v>14</v>
      </c>
      <c r="I548" s="3">
        <v>178184</v>
      </c>
      <c r="J548" s="3">
        <v>157727181</v>
      </c>
      <c r="K548" s="3">
        <v>4269104</v>
      </c>
      <c r="L548" s="3">
        <v>159674934</v>
      </c>
      <c r="M548" s="3">
        <v>118092036</v>
      </c>
      <c r="N548" s="3">
        <v>52665102</v>
      </c>
      <c r="O548" s="3">
        <v>7057453</v>
      </c>
      <c r="P548" s="3">
        <f t="shared" si="8"/>
        <v>741069165</v>
      </c>
    </row>
    <row r="549" spans="1:16" x14ac:dyDescent="0.25">
      <c r="A549" s="2">
        <v>46205</v>
      </c>
      <c r="B549" s="3">
        <v>56819319</v>
      </c>
      <c r="C549" s="3">
        <v>5310512</v>
      </c>
      <c r="D549" s="3">
        <v>0</v>
      </c>
      <c r="E549" s="3">
        <v>774176</v>
      </c>
      <c r="F549" s="3">
        <v>0</v>
      </c>
      <c r="G549" s="3">
        <v>171279164</v>
      </c>
      <c r="H549" s="3">
        <v>66098</v>
      </c>
      <c r="I549" s="3">
        <v>472710</v>
      </c>
      <c r="J549" s="3">
        <v>50064015</v>
      </c>
      <c r="K549" s="3">
        <v>328</v>
      </c>
      <c r="L549" s="3">
        <v>115408392</v>
      </c>
      <c r="M549" s="3">
        <v>81446044</v>
      </c>
      <c r="N549" s="3">
        <v>26555605</v>
      </c>
      <c r="O549" s="3">
        <v>0</v>
      </c>
      <c r="P549" s="3">
        <f t="shared" si="8"/>
        <v>508196363</v>
      </c>
    </row>
    <row r="550" spans="1:16" x14ac:dyDescent="0.25">
      <c r="A550" s="2">
        <v>46206</v>
      </c>
      <c r="B550" s="3">
        <v>28404118</v>
      </c>
      <c r="C550" s="3">
        <v>7628173</v>
      </c>
      <c r="D550" s="3">
        <v>0</v>
      </c>
      <c r="E550" s="3">
        <v>4471330</v>
      </c>
      <c r="F550" s="3">
        <v>0</v>
      </c>
      <c r="G550" s="3">
        <v>38101112</v>
      </c>
      <c r="H550" s="3">
        <v>0</v>
      </c>
      <c r="I550" s="3">
        <v>41293</v>
      </c>
      <c r="J550" s="3">
        <v>100242225</v>
      </c>
      <c r="K550" s="3">
        <v>3325</v>
      </c>
      <c r="L550" s="3">
        <v>244158688</v>
      </c>
      <c r="M550" s="3">
        <v>83645894</v>
      </c>
      <c r="N550" s="3">
        <v>45913194</v>
      </c>
      <c r="O550" s="3">
        <v>0</v>
      </c>
      <c r="P550" s="3">
        <f t="shared" si="8"/>
        <v>552609352</v>
      </c>
    </row>
    <row r="551" spans="1:16" x14ac:dyDescent="0.25">
      <c r="A551" s="2">
        <v>46207</v>
      </c>
      <c r="B551" s="3">
        <v>5657027</v>
      </c>
      <c r="C551" s="3">
        <v>130172</v>
      </c>
      <c r="D551" s="3">
        <v>0</v>
      </c>
      <c r="E551" s="3">
        <v>2903189</v>
      </c>
      <c r="F551" s="3">
        <v>0</v>
      </c>
      <c r="G551" s="3">
        <v>26095069</v>
      </c>
      <c r="H551" s="3">
        <v>186</v>
      </c>
      <c r="I551" s="3">
        <v>42964</v>
      </c>
      <c r="J551" s="3">
        <v>62751384</v>
      </c>
      <c r="K551" s="3">
        <v>2219865</v>
      </c>
      <c r="L551" s="3">
        <v>69647920</v>
      </c>
      <c r="M551" s="3">
        <v>49038483</v>
      </c>
      <c r="N551" s="3">
        <v>29645034</v>
      </c>
      <c r="O551" s="3">
        <v>0</v>
      </c>
      <c r="P551" s="3">
        <f t="shared" si="8"/>
        <v>248131293</v>
      </c>
    </row>
    <row r="552" spans="1:16" x14ac:dyDescent="0.25">
      <c r="A552" s="2">
        <v>46208</v>
      </c>
      <c r="B552" s="3">
        <v>3894711</v>
      </c>
      <c r="C552" s="3">
        <v>95267</v>
      </c>
      <c r="D552" s="3">
        <v>0</v>
      </c>
      <c r="E552" s="3">
        <v>578284</v>
      </c>
      <c r="F552" s="3">
        <v>0</v>
      </c>
      <c r="G552" s="3">
        <v>15461486</v>
      </c>
      <c r="H552" s="3">
        <v>0</v>
      </c>
      <c r="I552" s="3">
        <v>17927</v>
      </c>
      <c r="J552" s="3">
        <v>71968515</v>
      </c>
      <c r="K552" s="3">
        <v>73</v>
      </c>
      <c r="L552" s="3">
        <v>41838592</v>
      </c>
      <c r="M552" s="3">
        <v>15688096</v>
      </c>
      <c r="N552" s="3">
        <v>15873977</v>
      </c>
      <c r="O552" s="3">
        <v>0</v>
      </c>
      <c r="P552" s="3">
        <f t="shared" si="8"/>
        <v>165416928</v>
      </c>
    </row>
    <row r="553" spans="1:16" x14ac:dyDescent="0.25">
      <c r="A553" s="2">
        <v>46209</v>
      </c>
      <c r="B553" s="3">
        <v>40522187</v>
      </c>
      <c r="C553" s="3">
        <v>8761883</v>
      </c>
      <c r="D553" s="3">
        <v>0</v>
      </c>
      <c r="E553" s="3">
        <v>9214621</v>
      </c>
      <c r="F553" s="3">
        <v>0</v>
      </c>
      <c r="G553" s="3">
        <v>177087271</v>
      </c>
      <c r="H553" s="3">
        <v>48424</v>
      </c>
      <c r="I553" s="3">
        <v>141967</v>
      </c>
      <c r="J553" s="3">
        <v>144514035</v>
      </c>
      <c r="K553" s="3">
        <v>37717554</v>
      </c>
      <c r="L553" s="3">
        <v>117141043</v>
      </c>
      <c r="M553" s="3">
        <v>75298120</v>
      </c>
      <c r="N553" s="3">
        <v>53737568</v>
      </c>
      <c r="O553" s="3">
        <v>0</v>
      </c>
      <c r="P553" s="3">
        <f t="shared" si="8"/>
        <v>664184673</v>
      </c>
    </row>
    <row r="554" spans="1:16" x14ac:dyDescent="0.25">
      <c r="A554" s="2">
        <v>46210</v>
      </c>
      <c r="B554" s="3">
        <v>90673103</v>
      </c>
      <c r="C554" s="3">
        <v>10198175</v>
      </c>
      <c r="D554" s="3">
        <v>0</v>
      </c>
      <c r="E554" s="3">
        <v>4611932</v>
      </c>
      <c r="F554" s="3">
        <v>0</v>
      </c>
      <c r="G554" s="3">
        <v>123973860</v>
      </c>
      <c r="H554" s="3">
        <v>59679539</v>
      </c>
      <c r="I554" s="3">
        <v>189164</v>
      </c>
      <c r="J554" s="3">
        <v>153683631</v>
      </c>
      <c r="K554" s="3">
        <v>25145023</v>
      </c>
      <c r="L554" s="3">
        <v>186231488</v>
      </c>
      <c r="M554" s="3">
        <v>77989845</v>
      </c>
      <c r="N554" s="3">
        <v>21099138</v>
      </c>
      <c r="O554" s="3">
        <v>0</v>
      </c>
      <c r="P554" s="3">
        <f t="shared" si="8"/>
        <v>753474898</v>
      </c>
    </row>
    <row r="555" spans="1:16" x14ac:dyDescent="0.25">
      <c r="A555" s="2">
        <v>46211</v>
      </c>
      <c r="B555" s="3">
        <v>50801882</v>
      </c>
      <c r="C555" s="3">
        <v>20298644</v>
      </c>
      <c r="D555" s="3">
        <v>0</v>
      </c>
      <c r="E555" s="3">
        <v>9608939</v>
      </c>
      <c r="F555" s="3">
        <v>0</v>
      </c>
      <c r="G555" s="3">
        <v>106534056</v>
      </c>
      <c r="H555" s="3">
        <v>116992</v>
      </c>
      <c r="I555" s="3">
        <v>288649</v>
      </c>
      <c r="J555" s="3">
        <v>150131088</v>
      </c>
      <c r="K555" s="3">
        <v>41899</v>
      </c>
      <c r="L555" s="3">
        <v>153691195</v>
      </c>
      <c r="M555" s="3">
        <v>104477837</v>
      </c>
      <c r="N555" s="3">
        <v>10779129</v>
      </c>
      <c r="O555" s="3">
        <v>213</v>
      </c>
      <c r="P555" s="3">
        <f t="shared" si="8"/>
        <v>606770523</v>
      </c>
    </row>
    <row r="556" spans="1:16" x14ac:dyDescent="0.25">
      <c r="A556" s="2">
        <v>46212</v>
      </c>
      <c r="B556" s="3">
        <v>123309331</v>
      </c>
      <c r="C556" s="3">
        <v>4203315</v>
      </c>
      <c r="D556" s="3">
        <v>0</v>
      </c>
      <c r="E556" s="3">
        <v>3543652</v>
      </c>
      <c r="F556" s="3">
        <v>0</v>
      </c>
      <c r="G556" s="3">
        <v>111299329</v>
      </c>
      <c r="H556" s="3">
        <v>6692</v>
      </c>
      <c r="I556" s="3">
        <v>51032</v>
      </c>
      <c r="J556" s="3">
        <v>216960949</v>
      </c>
      <c r="K556" s="3">
        <v>1123554</v>
      </c>
      <c r="L556" s="3">
        <v>130710547</v>
      </c>
      <c r="M556" s="3">
        <v>143879986</v>
      </c>
      <c r="N556" s="3">
        <v>53661173</v>
      </c>
      <c r="O556" s="3">
        <v>0</v>
      </c>
      <c r="P556" s="3">
        <f t="shared" si="8"/>
        <v>788749560</v>
      </c>
    </row>
    <row r="557" spans="1:16" x14ac:dyDescent="0.25">
      <c r="A557" s="2">
        <v>46213</v>
      </c>
      <c r="B557" s="3">
        <v>96133504</v>
      </c>
      <c r="C557" s="3">
        <v>14388715</v>
      </c>
      <c r="D557" s="3">
        <v>0</v>
      </c>
      <c r="E557" s="3">
        <v>6132232</v>
      </c>
      <c r="F557" s="3">
        <v>0</v>
      </c>
      <c r="G557" s="3">
        <v>103272098</v>
      </c>
      <c r="H557" s="3">
        <v>6774</v>
      </c>
      <c r="I557" s="3">
        <v>52706</v>
      </c>
      <c r="J557" s="3">
        <v>87215034</v>
      </c>
      <c r="K557" s="3">
        <v>5595358</v>
      </c>
      <c r="L557" s="3">
        <v>119305271</v>
      </c>
      <c r="M557" s="3">
        <v>128264967</v>
      </c>
      <c r="N557" s="3">
        <v>30502054</v>
      </c>
      <c r="O557" s="3">
        <v>0</v>
      </c>
      <c r="P557" s="3">
        <f t="shared" si="8"/>
        <v>590868713</v>
      </c>
    </row>
    <row r="558" spans="1:16" x14ac:dyDescent="0.25">
      <c r="A558" s="2">
        <v>46214</v>
      </c>
      <c r="B558" s="3">
        <v>4467548</v>
      </c>
      <c r="C558" s="3">
        <v>13179</v>
      </c>
      <c r="D558" s="3">
        <v>0</v>
      </c>
      <c r="E558" s="3">
        <v>334646</v>
      </c>
      <c r="F558" s="3">
        <v>0</v>
      </c>
      <c r="G558" s="3">
        <v>23246039</v>
      </c>
      <c r="H558" s="3">
        <v>29142</v>
      </c>
      <c r="I558" s="3">
        <v>26067</v>
      </c>
      <c r="J558" s="3">
        <v>38346576</v>
      </c>
      <c r="K558" s="3">
        <v>95524</v>
      </c>
      <c r="L558" s="3">
        <v>30372369</v>
      </c>
      <c r="M558" s="3">
        <v>23787292</v>
      </c>
      <c r="N558" s="3">
        <v>20031949</v>
      </c>
      <c r="O558" s="3">
        <v>0</v>
      </c>
      <c r="P558" s="3">
        <f t="shared" si="8"/>
        <v>140750331</v>
      </c>
    </row>
    <row r="559" spans="1:16" x14ac:dyDescent="0.25">
      <c r="A559" s="2">
        <v>46215</v>
      </c>
      <c r="B559" s="3">
        <v>138904317</v>
      </c>
      <c r="C559" s="3">
        <v>66684</v>
      </c>
      <c r="D559" s="3">
        <v>0</v>
      </c>
      <c r="E559" s="3">
        <v>1431541</v>
      </c>
      <c r="F559" s="3">
        <v>0</v>
      </c>
      <c r="G559" s="3">
        <v>20001653</v>
      </c>
      <c r="H559" s="3">
        <v>7707</v>
      </c>
      <c r="I559" s="3">
        <v>12797</v>
      </c>
      <c r="J559" s="3">
        <v>30542703</v>
      </c>
      <c r="K559" s="3">
        <v>630</v>
      </c>
      <c r="L559" s="3">
        <v>56005835</v>
      </c>
      <c r="M559" s="3">
        <v>29280753</v>
      </c>
      <c r="N559" s="3">
        <v>25711619</v>
      </c>
      <c r="O559" s="3">
        <v>0</v>
      </c>
      <c r="P559" s="3">
        <f t="shared" si="8"/>
        <v>301966239</v>
      </c>
    </row>
    <row r="560" spans="1:16" x14ac:dyDescent="0.25">
      <c r="A560" s="2">
        <v>46216</v>
      </c>
      <c r="B560" s="3">
        <v>37339336</v>
      </c>
      <c r="C560" s="3">
        <v>11618040</v>
      </c>
      <c r="D560" s="3">
        <v>0</v>
      </c>
      <c r="E560" s="3">
        <v>101515664</v>
      </c>
      <c r="F560" s="3">
        <v>0</v>
      </c>
      <c r="G560" s="3">
        <v>183707511</v>
      </c>
      <c r="H560" s="3">
        <v>92331</v>
      </c>
      <c r="I560" s="3">
        <v>260281</v>
      </c>
      <c r="J560" s="3">
        <v>118558599</v>
      </c>
      <c r="K560" s="3">
        <v>1232</v>
      </c>
      <c r="L560" s="3">
        <v>170968367</v>
      </c>
      <c r="M560" s="3">
        <v>123444184</v>
      </c>
      <c r="N560" s="3">
        <v>41213360</v>
      </c>
      <c r="O560" s="3">
        <v>425</v>
      </c>
      <c r="P560" s="3">
        <f t="shared" si="8"/>
        <v>788719330</v>
      </c>
    </row>
    <row r="561" spans="1:16" x14ac:dyDescent="0.25">
      <c r="A561" s="2">
        <v>46217</v>
      </c>
      <c r="B561" s="3">
        <v>71458708</v>
      </c>
      <c r="C561" s="3">
        <v>434662</v>
      </c>
      <c r="D561" s="3">
        <v>0</v>
      </c>
      <c r="E561" s="3">
        <v>4930576</v>
      </c>
      <c r="F561" s="3">
        <v>0</v>
      </c>
      <c r="G561" s="3">
        <v>186519099</v>
      </c>
      <c r="H561" s="3">
        <v>11881</v>
      </c>
      <c r="I561" s="3">
        <v>641840</v>
      </c>
      <c r="J561" s="3">
        <v>109081896</v>
      </c>
      <c r="K561" s="3">
        <v>4920437</v>
      </c>
      <c r="L561" s="3">
        <v>290856014</v>
      </c>
      <c r="M561" s="3">
        <v>65449589</v>
      </c>
      <c r="N561" s="3">
        <v>35347742</v>
      </c>
      <c r="O561" s="3">
        <v>0</v>
      </c>
      <c r="P561" s="3">
        <f t="shared" si="8"/>
        <v>769652444</v>
      </c>
    </row>
    <row r="562" spans="1:16" x14ac:dyDescent="0.25">
      <c r="A562" s="2">
        <v>46218</v>
      </c>
      <c r="B562" s="3">
        <v>494572275</v>
      </c>
      <c r="C562" s="3">
        <v>24305218</v>
      </c>
      <c r="D562" s="3">
        <v>0</v>
      </c>
      <c r="E562" s="3">
        <v>236807247</v>
      </c>
      <c r="F562" s="3">
        <v>0</v>
      </c>
      <c r="G562" s="3">
        <v>148998411</v>
      </c>
      <c r="H562" s="3">
        <v>34879</v>
      </c>
      <c r="I562" s="3">
        <v>268442</v>
      </c>
      <c r="J562" s="3">
        <v>51919429</v>
      </c>
      <c r="K562" s="3">
        <v>5607534</v>
      </c>
      <c r="L562" s="3">
        <v>280556458</v>
      </c>
      <c r="M562" s="3">
        <v>90724905</v>
      </c>
      <c r="N562" s="3">
        <v>18149197</v>
      </c>
      <c r="O562" s="3">
        <v>0</v>
      </c>
      <c r="P562" s="3">
        <f t="shared" si="8"/>
        <v>1351943995</v>
      </c>
    </row>
    <row r="563" spans="1:16" x14ac:dyDescent="0.25">
      <c r="A563" s="2">
        <v>46219</v>
      </c>
      <c r="B563" s="3">
        <v>18696881</v>
      </c>
      <c r="C563" s="3">
        <v>4751434</v>
      </c>
      <c r="D563" s="3">
        <v>0</v>
      </c>
      <c r="E563" s="3">
        <v>5129340</v>
      </c>
      <c r="F563" s="3">
        <v>0</v>
      </c>
      <c r="G563" s="3">
        <v>70157461</v>
      </c>
      <c r="H563" s="3">
        <v>7159</v>
      </c>
      <c r="I563" s="3">
        <v>96263</v>
      </c>
      <c r="J563" s="3">
        <v>71650924</v>
      </c>
      <c r="K563" s="3">
        <v>15562945</v>
      </c>
      <c r="L563" s="3">
        <v>159653040</v>
      </c>
      <c r="M563" s="3">
        <v>134330839</v>
      </c>
      <c r="N563" s="3">
        <v>6914740</v>
      </c>
      <c r="O563" s="3">
        <v>106</v>
      </c>
      <c r="P563" s="3">
        <f t="shared" si="8"/>
        <v>486951132</v>
      </c>
    </row>
    <row r="564" spans="1:16" x14ac:dyDescent="0.25">
      <c r="A564" s="2">
        <v>46220</v>
      </c>
      <c r="B564" s="3">
        <v>356232385</v>
      </c>
      <c r="C564" s="3">
        <v>3010743</v>
      </c>
      <c r="D564" s="3">
        <v>0</v>
      </c>
      <c r="E564" s="3">
        <v>9273877</v>
      </c>
      <c r="F564" s="3">
        <v>0</v>
      </c>
      <c r="G564" s="3">
        <v>140229469</v>
      </c>
      <c r="H564" s="3">
        <v>12259</v>
      </c>
      <c r="I564" s="3">
        <v>1848032</v>
      </c>
      <c r="J564" s="3">
        <v>179735319</v>
      </c>
      <c r="K564" s="3">
        <v>3297251</v>
      </c>
      <c r="L564" s="3">
        <v>276058399</v>
      </c>
      <c r="M564" s="3">
        <v>69160841</v>
      </c>
      <c r="N564" s="3">
        <v>36559229</v>
      </c>
      <c r="O564" s="3">
        <v>0</v>
      </c>
      <c r="P564" s="3">
        <f t="shared" si="8"/>
        <v>1075417804</v>
      </c>
    </row>
    <row r="565" spans="1:16" x14ac:dyDescent="0.25">
      <c r="A565" s="2">
        <v>46221</v>
      </c>
      <c r="B565" s="3">
        <v>5957328</v>
      </c>
      <c r="C565" s="3">
        <v>207683</v>
      </c>
      <c r="D565" s="3">
        <v>0</v>
      </c>
      <c r="E565" s="3">
        <v>961731</v>
      </c>
      <c r="F565" s="3">
        <v>0</v>
      </c>
      <c r="G565" s="3">
        <v>129560016</v>
      </c>
      <c r="H565" s="3">
        <v>71900</v>
      </c>
      <c r="I565" s="3">
        <v>35633</v>
      </c>
      <c r="J565" s="3">
        <v>27726178</v>
      </c>
      <c r="K565" s="3">
        <v>3396192</v>
      </c>
      <c r="L565" s="3">
        <v>48951479</v>
      </c>
      <c r="M565" s="3">
        <v>47319630</v>
      </c>
      <c r="N565" s="3">
        <v>12716742</v>
      </c>
      <c r="O565" s="3">
        <v>0</v>
      </c>
      <c r="P565" s="3">
        <f t="shared" si="8"/>
        <v>276904512</v>
      </c>
    </row>
    <row r="566" spans="1:16" x14ac:dyDescent="0.25">
      <c r="A566" s="2">
        <v>46222</v>
      </c>
      <c r="B566" s="3">
        <v>9550617</v>
      </c>
      <c r="C566" s="3">
        <v>134961</v>
      </c>
      <c r="D566" s="3">
        <v>0</v>
      </c>
      <c r="E566" s="3">
        <v>2836023</v>
      </c>
      <c r="F566" s="3">
        <v>0</v>
      </c>
      <c r="G566" s="3">
        <v>616020522</v>
      </c>
      <c r="H566" s="3">
        <v>5720</v>
      </c>
      <c r="I566" s="3">
        <v>315</v>
      </c>
      <c r="J566" s="3">
        <v>74289946</v>
      </c>
      <c r="K566" s="3">
        <v>2029944</v>
      </c>
      <c r="L566" s="3">
        <v>42929781</v>
      </c>
      <c r="M566" s="3">
        <v>29517958</v>
      </c>
      <c r="N566" s="3">
        <v>25061982</v>
      </c>
      <c r="O566" s="3">
        <v>0</v>
      </c>
      <c r="P566" s="3">
        <f t="shared" si="8"/>
        <v>802377769</v>
      </c>
    </row>
    <row r="567" spans="1:16" x14ac:dyDescent="0.25">
      <c r="A567" s="2">
        <v>46223</v>
      </c>
      <c r="B567" s="3">
        <v>112184996</v>
      </c>
      <c r="C567" s="3">
        <v>8038835</v>
      </c>
      <c r="D567" s="3">
        <v>0</v>
      </c>
      <c r="E567" s="3">
        <v>22098272</v>
      </c>
      <c r="F567" s="3">
        <v>0</v>
      </c>
      <c r="G567" s="3">
        <v>199045228</v>
      </c>
      <c r="H567" s="3">
        <v>11247</v>
      </c>
      <c r="I567" s="3">
        <v>57648</v>
      </c>
      <c r="J567" s="3">
        <v>101497188</v>
      </c>
      <c r="K567" s="3">
        <v>3295266</v>
      </c>
      <c r="L567" s="3">
        <v>655545102</v>
      </c>
      <c r="M567" s="3">
        <v>122624280</v>
      </c>
      <c r="N567" s="3">
        <v>15901023</v>
      </c>
      <c r="O567" s="3">
        <v>0</v>
      </c>
      <c r="P567" s="3">
        <f t="shared" si="8"/>
        <v>1240299085</v>
      </c>
    </row>
    <row r="568" spans="1:16" x14ac:dyDescent="0.25">
      <c r="A568" s="2">
        <v>46224</v>
      </c>
      <c r="B568" s="3">
        <v>89781188</v>
      </c>
      <c r="C568" s="3">
        <v>10873374</v>
      </c>
      <c r="D568" s="3">
        <v>0</v>
      </c>
      <c r="E568" s="3">
        <v>7141537</v>
      </c>
      <c r="F568" s="3">
        <v>0</v>
      </c>
      <c r="G568" s="3">
        <v>379447602</v>
      </c>
      <c r="H568" s="3">
        <v>39497</v>
      </c>
      <c r="I568" s="3">
        <v>224379</v>
      </c>
      <c r="J568" s="3">
        <v>72945076</v>
      </c>
      <c r="K568" s="3">
        <v>8701448</v>
      </c>
      <c r="L568" s="3">
        <v>166694269</v>
      </c>
      <c r="M568" s="3">
        <v>287201391</v>
      </c>
      <c r="N568" s="3">
        <v>54532150</v>
      </c>
      <c r="O568" s="3">
        <v>11</v>
      </c>
      <c r="P568" s="3">
        <f t="shared" si="8"/>
        <v>1077581922</v>
      </c>
    </row>
    <row r="569" spans="1:16" x14ac:dyDescent="0.25">
      <c r="A569" s="2">
        <v>46225</v>
      </c>
      <c r="B569" s="3">
        <v>43752558</v>
      </c>
      <c r="C569" s="3">
        <v>9662026</v>
      </c>
      <c r="D569" s="3">
        <v>0</v>
      </c>
      <c r="E569" s="3">
        <v>35286947</v>
      </c>
      <c r="F569" s="3">
        <v>0</v>
      </c>
      <c r="G569" s="3">
        <v>300756239</v>
      </c>
      <c r="H569" s="3">
        <v>2705</v>
      </c>
      <c r="I569" s="3">
        <v>146471</v>
      </c>
      <c r="J569" s="3">
        <v>172894793</v>
      </c>
      <c r="K569" s="3">
        <v>11648191</v>
      </c>
      <c r="L569" s="3">
        <v>246145695</v>
      </c>
      <c r="M569" s="3">
        <v>82032389</v>
      </c>
      <c r="N569" s="3">
        <v>73971424</v>
      </c>
      <c r="O569" s="3">
        <v>0</v>
      </c>
      <c r="P569" s="3">
        <f t="shared" si="8"/>
        <v>976299438</v>
      </c>
    </row>
    <row r="570" spans="1:16" x14ac:dyDescent="0.25">
      <c r="A570" s="2">
        <v>46226</v>
      </c>
      <c r="B570" s="3">
        <v>99289974</v>
      </c>
      <c r="C570" s="3">
        <v>35742010</v>
      </c>
      <c r="D570" s="3">
        <v>0</v>
      </c>
      <c r="E570" s="3">
        <v>38771448</v>
      </c>
      <c r="F570" s="3">
        <v>1350</v>
      </c>
      <c r="G570" s="3">
        <v>396245431</v>
      </c>
      <c r="H570" s="3">
        <v>909</v>
      </c>
      <c r="I570" s="3">
        <v>85873</v>
      </c>
      <c r="J570" s="3">
        <v>133762062</v>
      </c>
      <c r="K570" s="3">
        <v>8659448</v>
      </c>
      <c r="L570" s="3">
        <v>266508908</v>
      </c>
      <c r="M570" s="3">
        <v>127741165</v>
      </c>
      <c r="N570" s="3">
        <v>30910622</v>
      </c>
      <c r="O570" s="3">
        <v>1709342</v>
      </c>
      <c r="P570" s="3">
        <f t="shared" si="8"/>
        <v>1139428542</v>
      </c>
    </row>
    <row r="571" spans="1:16" x14ac:dyDescent="0.25">
      <c r="A571" s="2">
        <v>46227</v>
      </c>
      <c r="B571" s="3">
        <v>140228695</v>
      </c>
      <c r="C571" s="3">
        <v>11959684</v>
      </c>
      <c r="D571" s="3">
        <v>0</v>
      </c>
      <c r="E571" s="3">
        <v>3465994</v>
      </c>
      <c r="F571" s="3">
        <v>0</v>
      </c>
      <c r="G571" s="3">
        <v>350981450</v>
      </c>
      <c r="H571" s="3">
        <v>91</v>
      </c>
      <c r="I571" s="3">
        <v>16582</v>
      </c>
      <c r="J571" s="3">
        <v>111894735</v>
      </c>
      <c r="K571" s="3">
        <v>1862051</v>
      </c>
      <c r="L571" s="3">
        <v>264742529</v>
      </c>
      <c r="M571" s="3">
        <v>92772566</v>
      </c>
      <c r="N571" s="3">
        <v>25942810</v>
      </c>
      <c r="O571" s="3">
        <v>3932586</v>
      </c>
      <c r="P571" s="3">
        <f t="shared" si="8"/>
        <v>1007799773</v>
      </c>
    </row>
    <row r="572" spans="1:16" x14ac:dyDescent="0.25">
      <c r="A572" s="2">
        <v>46228</v>
      </c>
      <c r="B572" s="3">
        <v>2856967</v>
      </c>
      <c r="C572" s="3">
        <v>153610</v>
      </c>
      <c r="D572" s="3">
        <v>0</v>
      </c>
      <c r="E572" s="3">
        <v>795172</v>
      </c>
      <c r="F572" s="3">
        <v>0</v>
      </c>
      <c r="G572" s="3">
        <v>63714595</v>
      </c>
      <c r="H572" s="3">
        <v>21417</v>
      </c>
      <c r="I572" s="3">
        <v>12452</v>
      </c>
      <c r="J572" s="3">
        <v>41338740</v>
      </c>
      <c r="K572" s="3">
        <v>42636</v>
      </c>
      <c r="L572" s="3">
        <v>24925253</v>
      </c>
      <c r="M572" s="3">
        <v>69974686</v>
      </c>
      <c r="N572" s="3">
        <v>16116506</v>
      </c>
      <c r="O572" s="3">
        <v>106</v>
      </c>
      <c r="P572" s="3">
        <f t="shared" si="8"/>
        <v>219952140</v>
      </c>
    </row>
    <row r="573" spans="1:16" x14ac:dyDescent="0.25">
      <c r="A573" s="2">
        <v>46229</v>
      </c>
      <c r="B573" s="3">
        <v>1871971</v>
      </c>
      <c r="C573" s="3">
        <v>109851</v>
      </c>
      <c r="D573" s="3">
        <v>0</v>
      </c>
      <c r="E573" s="3">
        <v>1148248</v>
      </c>
      <c r="F573" s="3">
        <v>0</v>
      </c>
      <c r="G573" s="3">
        <v>38708412</v>
      </c>
      <c r="H573" s="3">
        <v>10065</v>
      </c>
      <c r="I573" s="3">
        <v>39459</v>
      </c>
      <c r="J573" s="3">
        <v>157520169</v>
      </c>
      <c r="K573" s="3">
        <v>2035533</v>
      </c>
      <c r="L573" s="3">
        <v>25543786</v>
      </c>
      <c r="M573" s="3">
        <v>61535123</v>
      </c>
      <c r="N573" s="3">
        <v>12991586</v>
      </c>
      <c r="O573" s="3">
        <v>0</v>
      </c>
      <c r="P573" s="3">
        <f t="shared" si="8"/>
        <v>301514203</v>
      </c>
    </row>
    <row r="574" spans="1:16" x14ac:dyDescent="0.25">
      <c r="A574" s="2">
        <v>46230</v>
      </c>
      <c r="B574" s="3">
        <v>31088517</v>
      </c>
      <c r="C574" s="3">
        <v>58009806</v>
      </c>
      <c r="D574" s="3">
        <v>0</v>
      </c>
      <c r="E574" s="3">
        <v>82125186</v>
      </c>
      <c r="F574" s="3">
        <v>58</v>
      </c>
      <c r="G574" s="3">
        <v>211543794</v>
      </c>
      <c r="H574" s="3">
        <v>24847</v>
      </c>
      <c r="I574" s="3">
        <v>28033</v>
      </c>
      <c r="J574" s="3">
        <v>234836618</v>
      </c>
      <c r="K574" s="3">
        <v>135585</v>
      </c>
      <c r="L574" s="3">
        <v>233983160</v>
      </c>
      <c r="M574" s="3">
        <v>135767126</v>
      </c>
      <c r="N574" s="3">
        <v>35400076</v>
      </c>
      <c r="O574" s="3">
        <v>0</v>
      </c>
      <c r="P574" s="3">
        <f t="shared" si="8"/>
        <v>1022942806</v>
      </c>
    </row>
    <row r="575" spans="1:16" x14ac:dyDescent="0.25">
      <c r="A575" s="2">
        <v>46231</v>
      </c>
      <c r="B575" s="3">
        <v>28592277</v>
      </c>
      <c r="C575" s="3">
        <v>19930436</v>
      </c>
      <c r="D575" s="3">
        <v>0</v>
      </c>
      <c r="E575" s="3">
        <v>11538566</v>
      </c>
      <c r="F575" s="3">
        <v>0</v>
      </c>
      <c r="G575" s="3">
        <v>235074798</v>
      </c>
      <c r="H575" s="3">
        <v>30625</v>
      </c>
      <c r="I575" s="3">
        <v>98868</v>
      </c>
      <c r="J575" s="3">
        <v>231038330</v>
      </c>
      <c r="K575" s="3">
        <v>1232417</v>
      </c>
      <c r="L575" s="3">
        <v>215539330</v>
      </c>
      <c r="M575" s="3">
        <v>148114373</v>
      </c>
      <c r="N575" s="3">
        <v>30133754</v>
      </c>
      <c r="O575" s="3">
        <v>1480428</v>
      </c>
      <c r="P575" s="3">
        <f t="shared" si="8"/>
        <v>922804202</v>
      </c>
    </row>
    <row r="576" spans="1:16" x14ac:dyDescent="0.25">
      <c r="A576" s="2">
        <v>46232</v>
      </c>
      <c r="B576" s="3">
        <v>18508111</v>
      </c>
      <c r="C576" s="3">
        <v>21580404</v>
      </c>
      <c r="D576" s="3">
        <v>0</v>
      </c>
      <c r="E576" s="3">
        <v>28026447</v>
      </c>
      <c r="F576" s="3">
        <v>2904</v>
      </c>
      <c r="G576" s="3">
        <v>383943635</v>
      </c>
      <c r="H576" s="3">
        <v>20214</v>
      </c>
      <c r="I576" s="3">
        <v>19381</v>
      </c>
      <c r="J576" s="3">
        <v>190232276</v>
      </c>
      <c r="K576" s="3">
        <v>9819230</v>
      </c>
      <c r="L576" s="3">
        <v>367199633</v>
      </c>
      <c r="M576" s="3">
        <v>183996067</v>
      </c>
      <c r="N576" s="3">
        <v>13029170</v>
      </c>
      <c r="O576" s="3">
        <v>0</v>
      </c>
      <c r="P576" s="3">
        <f t="shared" si="8"/>
        <v>1216377472</v>
      </c>
    </row>
    <row r="577" spans="1:16" x14ac:dyDescent="0.25">
      <c r="A577" s="2">
        <v>46233</v>
      </c>
      <c r="B577" s="3">
        <v>64577942</v>
      </c>
      <c r="C577" s="3">
        <v>10163108</v>
      </c>
      <c r="D577" s="3">
        <v>0</v>
      </c>
      <c r="E577" s="3">
        <v>64236258</v>
      </c>
      <c r="F577" s="3">
        <v>41</v>
      </c>
      <c r="G577" s="3">
        <v>258251879</v>
      </c>
      <c r="H577" s="3">
        <v>1744131</v>
      </c>
      <c r="I577" s="3">
        <v>22857</v>
      </c>
      <c r="J577" s="3">
        <v>209029130</v>
      </c>
      <c r="K577" s="3">
        <v>5885851</v>
      </c>
      <c r="L577" s="3">
        <v>305892019</v>
      </c>
      <c r="M577" s="3">
        <v>75905273</v>
      </c>
      <c r="N577" s="3">
        <v>30760477</v>
      </c>
      <c r="O577" s="3">
        <v>4952</v>
      </c>
      <c r="P577" s="3">
        <f t="shared" si="8"/>
        <v>1026473918</v>
      </c>
    </row>
    <row r="578" spans="1:16" x14ac:dyDescent="0.25">
      <c r="A578" s="2">
        <v>46234</v>
      </c>
      <c r="B578" s="3">
        <v>66229519</v>
      </c>
      <c r="C578" s="3">
        <v>28732532</v>
      </c>
      <c r="D578" s="3">
        <v>0</v>
      </c>
      <c r="E578" s="3">
        <v>30248378</v>
      </c>
      <c r="F578" s="3">
        <v>1630</v>
      </c>
      <c r="G578" s="3">
        <v>3603713991</v>
      </c>
      <c r="H578" s="3">
        <v>1200</v>
      </c>
      <c r="I578" s="3">
        <v>53412</v>
      </c>
      <c r="J578" s="3">
        <v>176039884</v>
      </c>
      <c r="K578" s="3">
        <v>6703575</v>
      </c>
      <c r="L578" s="3">
        <v>106944437</v>
      </c>
      <c r="M578" s="3">
        <v>69168232</v>
      </c>
      <c r="N578" s="3">
        <v>26270757</v>
      </c>
      <c r="O578" s="3">
        <v>21245</v>
      </c>
      <c r="P578" s="3">
        <f t="shared" ref="P578:P641" si="9">SUM(B578:O578)</f>
        <v>4114128792</v>
      </c>
    </row>
    <row r="579" spans="1:16" x14ac:dyDescent="0.25">
      <c r="A579" s="2">
        <v>46235</v>
      </c>
      <c r="B579" s="3">
        <v>3755378</v>
      </c>
      <c r="C579" s="3">
        <v>521758</v>
      </c>
      <c r="D579" s="3">
        <v>0</v>
      </c>
      <c r="E579" s="3">
        <v>6423863</v>
      </c>
      <c r="F579" s="3">
        <v>0</v>
      </c>
      <c r="G579" s="3">
        <v>2240417031</v>
      </c>
      <c r="H579" s="3">
        <v>22688</v>
      </c>
      <c r="I579" s="3">
        <v>6094</v>
      </c>
      <c r="J579" s="3">
        <v>262213642</v>
      </c>
      <c r="K579" s="3">
        <v>414</v>
      </c>
      <c r="L579" s="3">
        <v>104939509</v>
      </c>
      <c r="M579" s="3">
        <v>146233031</v>
      </c>
      <c r="N579" s="3">
        <v>15408671</v>
      </c>
      <c r="O579" s="3">
        <v>0</v>
      </c>
      <c r="P579" s="3">
        <f t="shared" si="9"/>
        <v>2779942079</v>
      </c>
    </row>
    <row r="580" spans="1:16" x14ac:dyDescent="0.25">
      <c r="A580" s="2">
        <v>46236</v>
      </c>
      <c r="B580" s="3">
        <v>9559876</v>
      </c>
      <c r="C580" s="3">
        <v>117037</v>
      </c>
      <c r="D580" s="3">
        <v>0</v>
      </c>
      <c r="E580" s="3">
        <v>3611670</v>
      </c>
      <c r="F580" s="3">
        <v>18</v>
      </c>
      <c r="G580" s="3">
        <v>2097497527</v>
      </c>
      <c r="H580" s="3">
        <v>9056</v>
      </c>
      <c r="I580" s="3">
        <v>9231</v>
      </c>
      <c r="J580" s="3">
        <v>281358463</v>
      </c>
      <c r="K580" s="3">
        <v>116071</v>
      </c>
      <c r="L580" s="3">
        <v>64931041</v>
      </c>
      <c r="M580" s="3">
        <v>20383865</v>
      </c>
      <c r="N580" s="3">
        <v>11877977</v>
      </c>
      <c r="O580" s="3">
        <v>35371</v>
      </c>
      <c r="P580" s="3">
        <f t="shared" si="9"/>
        <v>2489507203</v>
      </c>
    </row>
    <row r="581" spans="1:16" x14ac:dyDescent="0.25">
      <c r="A581" s="2">
        <v>46237</v>
      </c>
      <c r="B581" s="3">
        <v>29350536</v>
      </c>
      <c r="C581" s="3">
        <v>33116539</v>
      </c>
      <c r="D581" s="3">
        <v>0</v>
      </c>
      <c r="E581" s="3">
        <v>41004668</v>
      </c>
      <c r="F581" s="3">
        <v>1513</v>
      </c>
      <c r="G581" s="3">
        <v>2421301231</v>
      </c>
      <c r="H581" s="3">
        <v>1248</v>
      </c>
      <c r="I581" s="3">
        <v>198022</v>
      </c>
      <c r="J581" s="3">
        <v>293161924</v>
      </c>
      <c r="K581" s="3">
        <v>15849760</v>
      </c>
      <c r="L581" s="3">
        <v>88597229</v>
      </c>
      <c r="M581" s="3">
        <v>48753905</v>
      </c>
      <c r="N581" s="3">
        <v>36604461</v>
      </c>
      <c r="O581" s="3">
        <v>531</v>
      </c>
      <c r="P581" s="3">
        <f t="shared" si="9"/>
        <v>3007941567</v>
      </c>
    </row>
    <row r="582" spans="1:16" x14ac:dyDescent="0.25">
      <c r="A582" s="2">
        <v>46238</v>
      </c>
      <c r="B582" s="3">
        <v>49115825</v>
      </c>
      <c r="C582" s="3">
        <v>10813374</v>
      </c>
      <c r="D582" s="3">
        <v>0</v>
      </c>
      <c r="E582" s="3">
        <v>27668109</v>
      </c>
      <c r="F582" s="3">
        <v>1120</v>
      </c>
      <c r="G582" s="3">
        <v>2635439677</v>
      </c>
      <c r="H582" s="3">
        <v>1785</v>
      </c>
      <c r="I582" s="3">
        <v>41150</v>
      </c>
      <c r="J582" s="3">
        <v>211392693</v>
      </c>
      <c r="K582" s="3">
        <v>35187</v>
      </c>
      <c r="L582" s="3">
        <v>85328643</v>
      </c>
      <c r="M582" s="3">
        <v>54155457</v>
      </c>
      <c r="N582" s="3">
        <v>6645446</v>
      </c>
      <c r="O582" s="3">
        <v>0</v>
      </c>
      <c r="P582" s="3">
        <f t="shared" si="9"/>
        <v>3080638466</v>
      </c>
    </row>
    <row r="583" spans="1:16" x14ac:dyDescent="0.25">
      <c r="A583" s="2">
        <v>46239</v>
      </c>
      <c r="B583" s="3">
        <v>58894568</v>
      </c>
      <c r="C583" s="3">
        <v>6536213</v>
      </c>
      <c r="D583" s="3">
        <v>0</v>
      </c>
      <c r="E583" s="3">
        <v>15671594</v>
      </c>
      <c r="F583" s="3">
        <v>8</v>
      </c>
      <c r="G583" s="3">
        <v>2974072418</v>
      </c>
      <c r="H583" s="3">
        <v>13215</v>
      </c>
      <c r="I583" s="3">
        <v>137337</v>
      </c>
      <c r="J583" s="3">
        <v>412621972</v>
      </c>
      <c r="K583" s="3">
        <v>416056</v>
      </c>
      <c r="L583" s="3">
        <v>205742125</v>
      </c>
      <c r="M583" s="3">
        <v>153317625</v>
      </c>
      <c r="N583" s="3">
        <v>12881101</v>
      </c>
      <c r="O583" s="3">
        <v>319</v>
      </c>
      <c r="P583" s="3">
        <f t="shared" si="9"/>
        <v>3840304551</v>
      </c>
    </row>
    <row r="584" spans="1:16" x14ac:dyDescent="0.25">
      <c r="A584" s="2">
        <v>46240</v>
      </c>
      <c r="B584" s="3">
        <v>29265114</v>
      </c>
      <c r="C584" s="3">
        <v>7247245</v>
      </c>
      <c r="D584" s="3">
        <v>0</v>
      </c>
      <c r="E584" s="3">
        <v>12298738</v>
      </c>
      <c r="F584" s="3">
        <v>1578</v>
      </c>
      <c r="G584" s="3">
        <v>2622062563</v>
      </c>
      <c r="H584" s="3">
        <v>15460</v>
      </c>
      <c r="I584" s="3">
        <v>18730</v>
      </c>
      <c r="J584" s="3">
        <v>272362830</v>
      </c>
      <c r="K584" s="3">
        <v>1322369</v>
      </c>
      <c r="L584" s="3">
        <v>79833011</v>
      </c>
      <c r="M584" s="3">
        <v>322019857</v>
      </c>
      <c r="N584" s="3">
        <v>23438742</v>
      </c>
      <c r="O584" s="3">
        <v>0</v>
      </c>
      <c r="P584" s="3">
        <f t="shared" si="9"/>
        <v>3369886237</v>
      </c>
    </row>
    <row r="585" spans="1:16" x14ac:dyDescent="0.25">
      <c r="A585" s="2">
        <v>46241</v>
      </c>
      <c r="B585" s="3">
        <v>97871968</v>
      </c>
      <c r="C585" s="3">
        <v>3672685</v>
      </c>
      <c r="D585" s="3">
        <v>0</v>
      </c>
      <c r="E585" s="3">
        <v>14843939</v>
      </c>
      <c r="F585" s="3">
        <v>1524</v>
      </c>
      <c r="G585" s="3">
        <v>2867713742</v>
      </c>
      <c r="H585" s="3">
        <v>3961</v>
      </c>
      <c r="I585" s="3">
        <v>7432</v>
      </c>
      <c r="J585" s="3">
        <v>263933646</v>
      </c>
      <c r="K585" s="3">
        <v>847</v>
      </c>
      <c r="L585" s="3">
        <v>99112769</v>
      </c>
      <c r="M585" s="3">
        <v>35580439</v>
      </c>
      <c r="N585" s="3">
        <v>3975677</v>
      </c>
      <c r="O585" s="3">
        <v>0</v>
      </c>
      <c r="P585" s="3">
        <f t="shared" si="9"/>
        <v>3386718629</v>
      </c>
    </row>
    <row r="586" spans="1:16" x14ac:dyDescent="0.25">
      <c r="A586" s="2">
        <v>46242</v>
      </c>
      <c r="B586" s="3">
        <v>10977349</v>
      </c>
      <c r="C586" s="3">
        <v>118774</v>
      </c>
      <c r="D586" s="3">
        <v>0</v>
      </c>
      <c r="E586" s="3">
        <v>2403437</v>
      </c>
      <c r="F586" s="3">
        <v>3</v>
      </c>
      <c r="G586" s="3">
        <v>599527987</v>
      </c>
      <c r="H586" s="3">
        <v>0</v>
      </c>
      <c r="I586" s="3">
        <v>70296</v>
      </c>
      <c r="J586" s="3">
        <v>116111485</v>
      </c>
      <c r="K586" s="3">
        <v>13</v>
      </c>
      <c r="L586" s="3">
        <v>119524595</v>
      </c>
      <c r="M586" s="3">
        <v>205000931</v>
      </c>
      <c r="N586" s="3">
        <v>12075053</v>
      </c>
      <c r="O586" s="3">
        <v>0</v>
      </c>
      <c r="P586" s="3">
        <f t="shared" si="9"/>
        <v>1065809923</v>
      </c>
    </row>
    <row r="587" spans="1:16" x14ac:dyDescent="0.25">
      <c r="A587" s="2">
        <v>46243</v>
      </c>
      <c r="B587" s="3">
        <v>3122101</v>
      </c>
      <c r="C587" s="3">
        <v>31071</v>
      </c>
      <c r="D587" s="3">
        <v>0</v>
      </c>
      <c r="E587" s="3">
        <v>1402864</v>
      </c>
      <c r="F587" s="3">
        <v>1</v>
      </c>
      <c r="G587" s="3">
        <v>290462449</v>
      </c>
      <c r="H587" s="3">
        <v>0</v>
      </c>
      <c r="I587" s="3">
        <v>246505</v>
      </c>
      <c r="J587" s="3">
        <v>66942414</v>
      </c>
      <c r="K587" s="3">
        <v>44</v>
      </c>
      <c r="L587" s="3">
        <v>73539689</v>
      </c>
      <c r="M587" s="3">
        <v>35543883</v>
      </c>
      <c r="N587" s="3">
        <v>11708349</v>
      </c>
      <c r="O587" s="3">
        <v>0</v>
      </c>
      <c r="P587" s="3">
        <f t="shared" si="9"/>
        <v>482999370</v>
      </c>
    </row>
    <row r="588" spans="1:16" x14ac:dyDescent="0.25">
      <c r="A588" s="2">
        <v>46244</v>
      </c>
      <c r="B588" s="3">
        <v>16333034</v>
      </c>
      <c r="C588" s="3">
        <v>7600293</v>
      </c>
      <c r="D588" s="3">
        <v>0</v>
      </c>
      <c r="E588" s="3">
        <v>12932724</v>
      </c>
      <c r="F588" s="3">
        <v>1542</v>
      </c>
      <c r="G588" s="3">
        <v>751743298</v>
      </c>
      <c r="H588" s="3">
        <v>8657</v>
      </c>
      <c r="I588" s="3">
        <v>93748</v>
      </c>
      <c r="J588" s="3">
        <v>204089485</v>
      </c>
      <c r="K588" s="3">
        <v>25102922</v>
      </c>
      <c r="L588" s="3">
        <v>252013932</v>
      </c>
      <c r="M588" s="3">
        <v>55343783</v>
      </c>
      <c r="N588" s="3">
        <v>51446465</v>
      </c>
      <c r="O588" s="3">
        <v>11997</v>
      </c>
      <c r="P588" s="3">
        <f t="shared" si="9"/>
        <v>1376721880</v>
      </c>
    </row>
    <row r="589" spans="1:16" x14ac:dyDescent="0.25">
      <c r="A589" s="2">
        <v>46245</v>
      </c>
      <c r="B589" s="3">
        <v>25549481</v>
      </c>
      <c r="C589" s="3">
        <v>15634381</v>
      </c>
      <c r="D589" s="3">
        <v>0</v>
      </c>
      <c r="E589" s="3">
        <v>7198253</v>
      </c>
      <c r="F589" s="3">
        <v>2642</v>
      </c>
      <c r="G589" s="3">
        <v>694717442</v>
      </c>
      <c r="H589" s="3">
        <v>9938</v>
      </c>
      <c r="I589" s="3">
        <v>136305</v>
      </c>
      <c r="J589" s="3">
        <v>238064924</v>
      </c>
      <c r="K589" s="3">
        <v>776126</v>
      </c>
      <c r="L589" s="3">
        <v>111652273</v>
      </c>
      <c r="M589" s="3">
        <v>80653800</v>
      </c>
      <c r="N589" s="3">
        <v>26301147</v>
      </c>
      <c r="O589" s="3">
        <v>0</v>
      </c>
      <c r="P589" s="3">
        <f t="shared" si="9"/>
        <v>1200696712</v>
      </c>
    </row>
    <row r="590" spans="1:16" x14ac:dyDescent="0.25">
      <c r="A590" s="2">
        <v>46246</v>
      </c>
      <c r="B590" s="3">
        <v>72300839</v>
      </c>
      <c r="C590" s="3">
        <v>8338623</v>
      </c>
      <c r="D590" s="3">
        <v>0</v>
      </c>
      <c r="E590" s="3">
        <v>8464373</v>
      </c>
      <c r="F590" s="3">
        <v>0</v>
      </c>
      <c r="G590" s="3">
        <v>594524286</v>
      </c>
      <c r="H590" s="3">
        <v>4231</v>
      </c>
      <c r="I590" s="3">
        <v>212957</v>
      </c>
      <c r="J590" s="3">
        <v>152544045</v>
      </c>
      <c r="K590" s="3">
        <v>105142</v>
      </c>
      <c r="L590" s="3">
        <v>107630547</v>
      </c>
      <c r="M590" s="3">
        <v>49913512</v>
      </c>
      <c r="N590" s="3">
        <v>29640096</v>
      </c>
      <c r="O590" s="3">
        <v>0</v>
      </c>
      <c r="P590" s="3">
        <f t="shared" si="9"/>
        <v>1023678651</v>
      </c>
    </row>
    <row r="591" spans="1:16" x14ac:dyDescent="0.25">
      <c r="A591" s="2">
        <v>46247</v>
      </c>
      <c r="B591" s="3">
        <v>20485789</v>
      </c>
      <c r="C591" s="3">
        <v>2381940</v>
      </c>
      <c r="D591" s="3">
        <v>0</v>
      </c>
      <c r="E591" s="3">
        <v>6624529</v>
      </c>
      <c r="F591" s="3">
        <v>1569</v>
      </c>
      <c r="G591" s="3">
        <v>679686353</v>
      </c>
      <c r="H591" s="3">
        <v>4950</v>
      </c>
      <c r="I591" s="3">
        <v>68503</v>
      </c>
      <c r="J591" s="3">
        <v>168885459</v>
      </c>
      <c r="K591" s="3">
        <v>23412548</v>
      </c>
      <c r="L591" s="3">
        <v>122132254</v>
      </c>
      <c r="M591" s="3">
        <v>63002403</v>
      </c>
      <c r="N591" s="3">
        <v>88089634</v>
      </c>
      <c r="O591" s="3">
        <v>0</v>
      </c>
      <c r="P591" s="3">
        <f t="shared" si="9"/>
        <v>1174775931</v>
      </c>
    </row>
    <row r="592" spans="1:16" x14ac:dyDescent="0.25">
      <c r="A592" s="2">
        <v>46248</v>
      </c>
      <c r="B592" s="3">
        <v>32376485</v>
      </c>
      <c r="C592" s="3">
        <v>8658616</v>
      </c>
      <c r="D592" s="3">
        <v>0</v>
      </c>
      <c r="E592" s="3">
        <v>10319500</v>
      </c>
      <c r="F592" s="3">
        <v>1</v>
      </c>
      <c r="G592" s="3">
        <v>598247172</v>
      </c>
      <c r="H592" s="3">
        <v>3425</v>
      </c>
      <c r="I592" s="3">
        <v>56913</v>
      </c>
      <c r="J592" s="3">
        <v>179255962</v>
      </c>
      <c r="K592" s="3">
        <v>33291474</v>
      </c>
      <c r="L592" s="3">
        <v>188100914</v>
      </c>
      <c r="M592" s="3">
        <v>151055814</v>
      </c>
      <c r="N592" s="3">
        <v>39702175</v>
      </c>
      <c r="O592" s="3">
        <v>0</v>
      </c>
      <c r="P592" s="3">
        <f t="shared" si="9"/>
        <v>1241068451</v>
      </c>
    </row>
    <row r="593" spans="1:16" x14ac:dyDescent="0.25">
      <c r="A593" s="2">
        <v>46249</v>
      </c>
      <c r="B593" s="3">
        <v>2926406</v>
      </c>
      <c r="C593" s="3">
        <v>196782</v>
      </c>
      <c r="D593" s="3">
        <v>0</v>
      </c>
      <c r="E593" s="3">
        <v>4598803</v>
      </c>
      <c r="F593" s="3">
        <v>0</v>
      </c>
      <c r="G593" s="3">
        <v>414500225</v>
      </c>
      <c r="H593" s="3">
        <v>11369</v>
      </c>
      <c r="I593" s="3">
        <v>13105</v>
      </c>
      <c r="J593" s="3">
        <v>50220890</v>
      </c>
      <c r="K593" s="3">
        <v>9900</v>
      </c>
      <c r="L593" s="3">
        <v>44802936</v>
      </c>
      <c r="M593" s="3">
        <v>107882669</v>
      </c>
      <c r="N593" s="3">
        <v>27962096</v>
      </c>
      <c r="O593" s="3">
        <v>0</v>
      </c>
      <c r="P593" s="3">
        <f t="shared" si="9"/>
        <v>653125181</v>
      </c>
    </row>
    <row r="594" spans="1:16" x14ac:dyDescent="0.25">
      <c r="A594" s="2">
        <v>46250</v>
      </c>
      <c r="B594" s="3">
        <v>29098724</v>
      </c>
      <c r="C594" s="3">
        <v>163180</v>
      </c>
      <c r="D594" s="3">
        <v>0</v>
      </c>
      <c r="E594" s="3">
        <v>719984</v>
      </c>
      <c r="F594" s="3">
        <v>16</v>
      </c>
      <c r="G594" s="3">
        <v>375302973</v>
      </c>
      <c r="H594" s="3">
        <v>2985</v>
      </c>
      <c r="I594" s="3">
        <v>2561</v>
      </c>
      <c r="J594" s="3">
        <v>80582297</v>
      </c>
      <c r="K594" s="3">
        <v>8600439</v>
      </c>
      <c r="L594" s="3">
        <v>45440900</v>
      </c>
      <c r="M594" s="3">
        <v>519355734</v>
      </c>
      <c r="N594" s="3">
        <v>23697826</v>
      </c>
      <c r="O594" s="3">
        <v>0</v>
      </c>
      <c r="P594" s="3">
        <f t="shared" si="9"/>
        <v>1082967619</v>
      </c>
    </row>
    <row r="595" spans="1:16" x14ac:dyDescent="0.25">
      <c r="A595" s="2">
        <v>46251</v>
      </c>
      <c r="B595" s="3">
        <v>20919289</v>
      </c>
      <c r="C595" s="3">
        <v>9385308</v>
      </c>
      <c r="D595" s="3">
        <v>0</v>
      </c>
      <c r="E595" s="3">
        <v>7527693</v>
      </c>
      <c r="F595" s="3">
        <v>156</v>
      </c>
      <c r="G595" s="3">
        <v>685391786</v>
      </c>
      <c r="H595" s="3">
        <v>76682</v>
      </c>
      <c r="I595" s="3">
        <v>37303</v>
      </c>
      <c r="J595" s="3">
        <v>167543471</v>
      </c>
      <c r="K595" s="3">
        <v>119752</v>
      </c>
      <c r="L595" s="3">
        <v>97344498</v>
      </c>
      <c r="M595" s="3">
        <v>152992295</v>
      </c>
      <c r="N595" s="3">
        <v>11778012</v>
      </c>
      <c r="O595" s="3">
        <v>5308</v>
      </c>
      <c r="P595" s="3">
        <f t="shared" si="9"/>
        <v>1153121553</v>
      </c>
    </row>
    <row r="596" spans="1:16" x14ac:dyDescent="0.25">
      <c r="A596" s="2">
        <v>46252</v>
      </c>
      <c r="B596" s="3">
        <v>29766366</v>
      </c>
      <c r="C596" s="3">
        <v>8928018</v>
      </c>
      <c r="D596" s="3">
        <v>0</v>
      </c>
      <c r="E596" s="3">
        <v>6189627</v>
      </c>
      <c r="F596" s="3">
        <v>138</v>
      </c>
      <c r="G596" s="3">
        <v>917534253</v>
      </c>
      <c r="H596" s="3">
        <v>73546</v>
      </c>
      <c r="I596" s="3">
        <v>58358</v>
      </c>
      <c r="J596" s="3">
        <v>273382760</v>
      </c>
      <c r="K596" s="3">
        <v>355897</v>
      </c>
      <c r="L596" s="3">
        <v>74170685</v>
      </c>
      <c r="M596" s="3">
        <v>238803643</v>
      </c>
      <c r="N596" s="3">
        <v>19989475</v>
      </c>
      <c r="O596" s="3">
        <v>29406</v>
      </c>
      <c r="P596" s="3">
        <f t="shared" si="9"/>
        <v>1569282172</v>
      </c>
    </row>
    <row r="597" spans="1:16" x14ac:dyDescent="0.25">
      <c r="A597" s="2">
        <v>46253</v>
      </c>
      <c r="B597" s="3">
        <v>52917741</v>
      </c>
      <c r="C597" s="3">
        <v>5475754</v>
      </c>
      <c r="D597" s="3">
        <v>0</v>
      </c>
      <c r="E597" s="3">
        <v>28539975</v>
      </c>
      <c r="F597" s="3">
        <v>29</v>
      </c>
      <c r="G597" s="3">
        <v>963898400</v>
      </c>
      <c r="H597" s="3">
        <v>3324</v>
      </c>
      <c r="I597" s="3">
        <v>24847</v>
      </c>
      <c r="J597" s="3">
        <v>381237911</v>
      </c>
      <c r="K597" s="3">
        <v>12013259</v>
      </c>
      <c r="L597" s="3">
        <v>178955341</v>
      </c>
      <c r="M597" s="3">
        <v>171950050</v>
      </c>
      <c r="N597" s="3">
        <v>48286256</v>
      </c>
      <c r="O597" s="3">
        <v>0</v>
      </c>
      <c r="P597" s="3">
        <f t="shared" si="9"/>
        <v>1843302887</v>
      </c>
    </row>
    <row r="598" spans="1:16" x14ac:dyDescent="0.25">
      <c r="A598" s="2">
        <v>46254</v>
      </c>
      <c r="B598" s="3">
        <v>230467240</v>
      </c>
      <c r="C598" s="3">
        <v>13771744</v>
      </c>
      <c r="D598" s="3">
        <v>0</v>
      </c>
      <c r="E598" s="3">
        <v>6084538</v>
      </c>
      <c r="F598" s="3">
        <v>337</v>
      </c>
      <c r="G598" s="3">
        <v>952310739</v>
      </c>
      <c r="H598" s="3">
        <v>124811</v>
      </c>
      <c r="I598" s="3">
        <v>81296</v>
      </c>
      <c r="J598" s="3">
        <v>437662580</v>
      </c>
      <c r="K598" s="3">
        <v>11799</v>
      </c>
      <c r="L598" s="3">
        <v>151301490</v>
      </c>
      <c r="M598" s="3">
        <v>79569522</v>
      </c>
      <c r="N598" s="3">
        <v>28798588</v>
      </c>
      <c r="O598" s="3">
        <v>0</v>
      </c>
      <c r="P598" s="3">
        <f t="shared" si="9"/>
        <v>1900184684</v>
      </c>
    </row>
    <row r="599" spans="1:16" x14ac:dyDescent="0.25">
      <c r="A599" s="2">
        <v>46255</v>
      </c>
      <c r="B599" s="3">
        <v>397864229</v>
      </c>
      <c r="C599" s="3">
        <v>4022569</v>
      </c>
      <c r="D599" s="3">
        <v>0</v>
      </c>
      <c r="E599" s="3">
        <v>6297011</v>
      </c>
      <c r="F599" s="3">
        <v>73</v>
      </c>
      <c r="G599" s="3">
        <v>846520988</v>
      </c>
      <c r="H599" s="3">
        <v>2742213</v>
      </c>
      <c r="I599" s="3">
        <v>101657</v>
      </c>
      <c r="J599" s="3">
        <v>456267121</v>
      </c>
      <c r="K599" s="3">
        <v>162</v>
      </c>
      <c r="L599" s="3">
        <v>157481900</v>
      </c>
      <c r="M599" s="3">
        <v>289682400</v>
      </c>
      <c r="N599" s="3">
        <v>80744859</v>
      </c>
      <c r="O599" s="3">
        <v>0</v>
      </c>
      <c r="P599" s="3">
        <f t="shared" si="9"/>
        <v>2241725182</v>
      </c>
    </row>
    <row r="600" spans="1:16" x14ac:dyDescent="0.25">
      <c r="A600" s="2">
        <v>46256</v>
      </c>
      <c r="B600" s="3">
        <v>3600460</v>
      </c>
      <c r="C600" s="3">
        <v>133657</v>
      </c>
      <c r="D600" s="3">
        <v>0</v>
      </c>
      <c r="E600" s="3">
        <v>1449994</v>
      </c>
      <c r="F600" s="3">
        <v>2</v>
      </c>
      <c r="G600" s="3">
        <v>545440462</v>
      </c>
      <c r="H600" s="3">
        <v>1161</v>
      </c>
      <c r="I600" s="3">
        <v>49168</v>
      </c>
      <c r="J600" s="3">
        <v>177208138</v>
      </c>
      <c r="K600" s="3">
        <v>15128</v>
      </c>
      <c r="L600" s="3">
        <v>98414830</v>
      </c>
      <c r="M600" s="3">
        <v>94157826</v>
      </c>
      <c r="N600" s="3">
        <v>42683988</v>
      </c>
      <c r="O600" s="3">
        <v>0</v>
      </c>
      <c r="P600" s="3">
        <f t="shared" si="9"/>
        <v>963154814</v>
      </c>
    </row>
    <row r="601" spans="1:16" x14ac:dyDescent="0.25">
      <c r="A601" s="2">
        <v>46257</v>
      </c>
      <c r="B601" s="3">
        <v>2276779</v>
      </c>
      <c r="C601" s="3">
        <v>331740</v>
      </c>
      <c r="D601" s="3">
        <v>0</v>
      </c>
      <c r="E601" s="3">
        <v>179578</v>
      </c>
      <c r="F601" s="3">
        <v>42</v>
      </c>
      <c r="G601" s="3">
        <v>434659279</v>
      </c>
      <c r="H601" s="3">
        <v>39</v>
      </c>
      <c r="I601" s="3">
        <v>25206</v>
      </c>
      <c r="J601" s="3">
        <v>115241081</v>
      </c>
      <c r="K601" s="3">
        <v>4051562</v>
      </c>
      <c r="L601" s="3">
        <v>20685558</v>
      </c>
      <c r="M601" s="3">
        <v>50770425</v>
      </c>
      <c r="N601" s="3">
        <v>37867364</v>
      </c>
      <c r="O601" s="3">
        <v>0</v>
      </c>
      <c r="P601" s="3">
        <f t="shared" si="9"/>
        <v>666088653</v>
      </c>
    </row>
    <row r="602" spans="1:16" x14ac:dyDescent="0.25">
      <c r="A602" s="2">
        <v>46258</v>
      </c>
      <c r="B602" s="3">
        <v>133940244</v>
      </c>
      <c r="C602" s="3">
        <v>26777355</v>
      </c>
      <c r="D602" s="3">
        <v>0</v>
      </c>
      <c r="E602" s="3">
        <v>6028583</v>
      </c>
      <c r="F602" s="3">
        <v>206</v>
      </c>
      <c r="G602" s="3">
        <v>1002271939</v>
      </c>
      <c r="H602" s="3">
        <v>71</v>
      </c>
      <c r="I602" s="3">
        <v>78247</v>
      </c>
      <c r="J602" s="3">
        <v>336897883</v>
      </c>
      <c r="K602" s="3">
        <v>44989</v>
      </c>
      <c r="L602" s="3">
        <v>115079083</v>
      </c>
      <c r="M602" s="3">
        <v>198199256</v>
      </c>
      <c r="N602" s="3">
        <v>32222194</v>
      </c>
      <c r="O602" s="3">
        <v>0</v>
      </c>
      <c r="P602" s="3">
        <f t="shared" si="9"/>
        <v>1851540050</v>
      </c>
    </row>
    <row r="603" spans="1:16" x14ac:dyDescent="0.25">
      <c r="A603" s="2">
        <v>46259</v>
      </c>
      <c r="B603" s="3">
        <v>28434824</v>
      </c>
      <c r="C603" s="3">
        <v>27501815</v>
      </c>
      <c r="D603" s="3">
        <v>0</v>
      </c>
      <c r="E603" s="3">
        <v>4349617</v>
      </c>
      <c r="F603" s="3">
        <v>3229</v>
      </c>
      <c r="G603" s="3">
        <v>902092924</v>
      </c>
      <c r="H603" s="3">
        <v>54760</v>
      </c>
      <c r="I603" s="3">
        <v>59652</v>
      </c>
      <c r="J603" s="3">
        <v>218234413</v>
      </c>
      <c r="K603" s="3">
        <v>25688</v>
      </c>
      <c r="L603" s="3">
        <v>204963259</v>
      </c>
      <c r="M603" s="3">
        <v>171958117</v>
      </c>
      <c r="N603" s="3">
        <v>227618992</v>
      </c>
      <c r="O603" s="3">
        <v>0</v>
      </c>
      <c r="P603" s="3">
        <f t="shared" si="9"/>
        <v>1785297290</v>
      </c>
    </row>
    <row r="604" spans="1:16" x14ac:dyDescent="0.25">
      <c r="A604" s="2">
        <v>46260</v>
      </c>
      <c r="B604" s="3">
        <v>114138781</v>
      </c>
      <c r="C604" s="3">
        <v>12864836</v>
      </c>
      <c r="D604" s="3">
        <v>0</v>
      </c>
      <c r="E604" s="3">
        <v>4292221</v>
      </c>
      <c r="F604" s="3">
        <v>118</v>
      </c>
      <c r="G604" s="3">
        <v>855642303</v>
      </c>
      <c r="H604" s="3">
        <v>370</v>
      </c>
      <c r="I604" s="3">
        <v>301986</v>
      </c>
      <c r="J604" s="3">
        <v>161881152</v>
      </c>
      <c r="K604" s="3">
        <v>197703</v>
      </c>
      <c r="L604" s="3">
        <v>194685794</v>
      </c>
      <c r="M604" s="3">
        <v>84512940</v>
      </c>
      <c r="N604" s="3">
        <v>46258292</v>
      </c>
      <c r="O604" s="3">
        <v>0</v>
      </c>
      <c r="P604" s="3">
        <f t="shared" si="9"/>
        <v>1474776496</v>
      </c>
    </row>
    <row r="605" spans="1:16" x14ac:dyDescent="0.25">
      <c r="A605" s="2">
        <v>46261</v>
      </c>
      <c r="B605" s="3">
        <v>119071687</v>
      </c>
      <c r="C605" s="3">
        <v>16165881</v>
      </c>
      <c r="D605" s="3">
        <v>0</v>
      </c>
      <c r="E605" s="3">
        <v>30054334</v>
      </c>
      <c r="F605" s="3">
        <v>5547</v>
      </c>
      <c r="G605" s="3">
        <v>1000065115</v>
      </c>
      <c r="H605" s="3">
        <v>3564</v>
      </c>
      <c r="I605" s="3">
        <v>175708</v>
      </c>
      <c r="J605" s="3">
        <v>212166833</v>
      </c>
      <c r="K605" s="3">
        <v>43738434</v>
      </c>
      <c r="L605" s="3">
        <v>269723032</v>
      </c>
      <c r="M605" s="3">
        <v>130799791</v>
      </c>
      <c r="N605" s="3">
        <v>99125693</v>
      </c>
      <c r="O605" s="3">
        <v>0</v>
      </c>
      <c r="P605" s="3">
        <f t="shared" si="9"/>
        <v>1921095619</v>
      </c>
    </row>
    <row r="606" spans="1:16" x14ac:dyDescent="0.25">
      <c r="A606" s="2">
        <v>46262</v>
      </c>
      <c r="B606" s="3">
        <v>333819901</v>
      </c>
      <c r="C606" s="3">
        <v>31666936</v>
      </c>
      <c r="D606" s="3">
        <v>0</v>
      </c>
      <c r="E606" s="3">
        <v>16073473</v>
      </c>
      <c r="F606" s="3">
        <v>314</v>
      </c>
      <c r="G606" s="3">
        <v>1040353870</v>
      </c>
      <c r="H606" s="3">
        <v>543</v>
      </c>
      <c r="I606" s="3">
        <v>78206</v>
      </c>
      <c r="J606" s="3">
        <v>225287415</v>
      </c>
      <c r="K606" s="3">
        <v>1106644</v>
      </c>
      <c r="L606" s="3">
        <v>186631016</v>
      </c>
      <c r="M606" s="3">
        <v>179708101</v>
      </c>
      <c r="N606" s="3">
        <v>53055297</v>
      </c>
      <c r="O606" s="3">
        <v>106</v>
      </c>
      <c r="P606" s="3">
        <f t="shared" si="9"/>
        <v>2067781822</v>
      </c>
    </row>
    <row r="607" spans="1:16" x14ac:dyDescent="0.25">
      <c r="A607" s="2">
        <v>46263</v>
      </c>
      <c r="B607" s="3">
        <v>3038660</v>
      </c>
      <c r="C607" s="3">
        <v>360446</v>
      </c>
      <c r="D607" s="3">
        <v>0</v>
      </c>
      <c r="E607" s="3">
        <v>2383259</v>
      </c>
      <c r="F607" s="3">
        <v>54</v>
      </c>
      <c r="G607" s="3">
        <v>598859014</v>
      </c>
      <c r="H607" s="3">
        <v>0</v>
      </c>
      <c r="I607" s="3">
        <v>3814</v>
      </c>
      <c r="J607" s="3">
        <v>200087145</v>
      </c>
      <c r="K607" s="3">
        <v>122</v>
      </c>
      <c r="L607" s="3">
        <v>63814799</v>
      </c>
      <c r="M607" s="3">
        <v>61536753</v>
      </c>
      <c r="N607" s="3">
        <v>16586732</v>
      </c>
      <c r="O607" s="3">
        <v>60988</v>
      </c>
      <c r="P607" s="3">
        <f t="shared" si="9"/>
        <v>946731786</v>
      </c>
    </row>
    <row r="608" spans="1:16" x14ac:dyDescent="0.25">
      <c r="A608" s="2">
        <v>46264</v>
      </c>
      <c r="B608" s="3">
        <v>1983998</v>
      </c>
      <c r="C608" s="3">
        <v>485048</v>
      </c>
      <c r="D608" s="3">
        <v>0</v>
      </c>
      <c r="E608" s="3">
        <v>5697956</v>
      </c>
      <c r="F608" s="3">
        <v>51</v>
      </c>
      <c r="G608" s="3">
        <v>693830399</v>
      </c>
      <c r="H608" s="3">
        <v>3633</v>
      </c>
      <c r="I608" s="3">
        <v>8731</v>
      </c>
      <c r="J608" s="3">
        <v>238683966</v>
      </c>
      <c r="K608" s="3">
        <v>50</v>
      </c>
      <c r="L608" s="3">
        <v>110309246</v>
      </c>
      <c r="M608" s="3">
        <v>45450892</v>
      </c>
      <c r="N608" s="3">
        <v>21167866</v>
      </c>
      <c r="O608" s="3">
        <v>0</v>
      </c>
      <c r="P608" s="3">
        <f t="shared" si="9"/>
        <v>1117621836</v>
      </c>
    </row>
    <row r="609" spans="1:16" x14ac:dyDescent="0.25">
      <c r="A609" s="2">
        <v>46265</v>
      </c>
      <c r="B609" s="3">
        <v>164786211</v>
      </c>
      <c r="C609" s="3">
        <v>11258925</v>
      </c>
      <c r="D609" s="3">
        <v>0</v>
      </c>
      <c r="E609" s="3">
        <v>5631041</v>
      </c>
      <c r="F609" s="3">
        <v>61</v>
      </c>
      <c r="G609" s="3">
        <v>1406789426</v>
      </c>
      <c r="H609" s="3">
        <v>781</v>
      </c>
      <c r="I609" s="3">
        <v>276819</v>
      </c>
      <c r="J609" s="3">
        <v>342625035</v>
      </c>
      <c r="K609" s="3">
        <v>4434609</v>
      </c>
      <c r="L609" s="3">
        <v>74714522</v>
      </c>
      <c r="M609" s="3">
        <v>100231203</v>
      </c>
      <c r="N609" s="3">
        <v>24328985</v>
      </c>
      <c r="O609" s="3">
        <v>0</v>
      </c>
      <c r="P609" s="3">
        <f t="shared" si="9"/>
        <v>2135077618</v>
      </c>
    </row>
    <row r="610" spans="1:16" x14ac:dyDescent="0.25">
      <c r="A610" s="2">
        <v>46266</v>
      </c>
      <c r="B610" s="3">
        <v>249614351</v>
      </c>
      <c r="C610" s="3">
        <v>11533596</v>
      </c>
      <c r="D610" s="3">
        <v>0</v>
      </c>
      <c r="E610" s="3">
        <v>6733943</v>
      </c>
      <c r="F610" s="3">
        <v>2238</v>
      </c>
      <c r="G610" s="3">
        <v>1576370750</v>
      </c>
      <c r="H610" s="3">
        <v>9841038</v>
      </c>
      <c r="I610" s="3">
        <v>159606</v>
      </c>
      <c r="J610" s="3">
        <v>186685576</v>
      </c>
      <c r="K610" s="3">
        <v>22073046</v>
      </c>
      <c r="L610" s="3">
        <v>215909902</v>
      </c>
      <c r="M610" s="3">
        <v>80844209</v>
      </c>
      <c r="N610" s="3">
        <v>34053458</v>
      </c>
      <c r="O610" s="3">
        <v>0</v>
      </c>
      <c r="P610" s="3">
        <f t="shared" si="9"/>
        <v>2393821713</v>
      </c>
    </row>
    <row r="611" spans="1:16" x14ac:dyDescent="0.25">
      <c r="A611" s="2">
        <v>46267</v>
      </c>
      <c r="B611" s="3">
        <v>110765295</v>
      </c>
      <c r="C611" s="3">
        <v>6230877</v>
      </c>
      <c r="D611" s="3">
        <v>0</v>
      </c>
      <c r="E611" s="3">
        <v>3859442</v>
      </c>
      <c r="F611" s="3">
        <v>25324</v>
      </c>
      <c r="G611" s="3">
        <v>1781573407</v>
      </c>
      <c r="H611" s="3">
        <v>1057</v>
      </c>
      <c r="I611" s="3">
        <v>37696</v>
      </c>
      <c r="J611" s="3">
        <v>191955856</v>
      </c>
      <c r="K611" s="3">
        <v>1148216</v>
      </c>
      <c r="L611" s="3">
        <v>102855902</v>
      </c>
      <c r="M611" s="3">
        <v>93259646</v>
      </c>
      <c r="N611" s="3">
        <v>33359314</v>
      </c>
      <c r="O611" s="3">
        <v>0</v>
      </c>
      <c r="P611" s="3">
        <f t="shared" si="9"/>
        <v>2325072032</v>
      </c>
    </row>
    <row r="612" spans="1:16" x14ac:dyDescent="0.25">
      <c r="A612" s="2">
        <v>46268</v>
      </c>
      <c r="B612" s="3">
        <v>111979952</v>
      </c>
      <c r="C612" s="3">
        <v>12472212</v>
      </c>
      <c r="D612" s="3">
        <v>0</v>
      </c>
      <c r="E612" s="3">
        <v>8794073</v>
      </c>
      <c r="F612" s="3">
        <v>72379</v>
      </c>
      <c r="G612" s="3">
        <v>1903992374</v>
      </c>
      <c r="H612" s="3">
        <v>18</v>
      </c>
      <c r="I612" s="3">
        <v>11965</v>
      </c>
      <c r="J612" s="3">
        <v>260947744</v>
      </c>
      <c r="K612" s="3">
        <v>2343426</v>
      </c>
      <c r="L612" s="3">
        <v>274614981</v>
      </c>
      <c r="M612" s="3">
        <v>499267261</v>
      </c>
      <c r="N612" s="3">
        <v>95564403</v>
      </c>
      <c r="O612" s="3">
        <v>0</v>
      </c>
      <c r="P612" s="3">
        <f t="shared" si="9"/>
        <v>3170060788</v>
      </c>
    </row>
    <row r="613" spans="1:16" x14ac:dyDescent="0.25">
      <c r="A613" s="2">
        <v>46269</v>
      </c>
      <c r="B613" s="3">
        <v>304171997</v>
      </c>
      <c r="C613" s="3">
        <v>4126109</v>
      </c>
      <c r="D613" s="3">
        <v>0</v>
      </c>
      <c r="E613" s="3">
        <v>6061431</v>
      </c>
      <c r="F613" s="3">
        <v>144210</v>
      </c>
      <c r="G613" s="3">
        <v>2348807242</v>
      </c>
      <c r="H613" s="3">
        <v>12148</v>
      </c>
      <c r="I613" s="3">
        <v>102852</v>
      </c>
      <c r="J613" s="3">
        <v>369920074</v>
      </c>
      <c r="K613" s="3">
        <v>1864124</v>
      </c>
      <c r="L613" s="3">
        <v>127745768</v>
      </c>
      <c r="M613" s="3">
        <v>325381629</v>
      </c>
      <c r="N613" s="3">
        <v>60482603</v>
      </c>
      <c r="O613" s="3">
        <v>0</v>
      </c>
      <c r="P613" s="3">
        <f t="shared" si="9"/>
        <v>3548820187</v>
      </c>
    </row>
    <row r="614" spans="1:16" x14ac:dyDescent="0.25">
      <c r="A614" s="2">
        <v>46270</v>
      </c>
      <c r="B614" s="3">
        <v>33476315</v>
      </c>
      <c r="C614" s="3">
        <v>153058</v>
      </c>
      <c r="D614" s="3">
        <v>0</v>
      </c>
      <c r="E614" s="3">
        <v>36524632</v>
      </c>
      <c r="F614" s="3">
        <v>45246</v>
      </c>
      <c r="G614" s="3">
        <v>1075581327</v>
      </c>
      <c r="H614" s="3">
        <v>32483</v>
      </c>
      <c r="I614" s="3">
        <v>69241</v>
      </c>
      <c r="J614" s="3">
        <v>105802310</v>
      </c>
      <c r="K614" s="3">
        <v>9</v>
      </c>
      <c r="L614" s="3">
        <v>140842398</v>
      </c>
      <c r="M614" s="3">
        <v>105569615</v>
      </c>
      <c r="N614" s="3">
        <v>37313574</v>
      </c>
      <c r="O614" s="3">
        <v>106</v>
      </c>
      <c r="P614" s="3">
        <f t="shared" si="9"/>
        <v>1535410314</v>
      </c>
    </row>
    <row r="615" spans="1:16" x14ac:dyDescent="0.25">
      <c r="A615" s="2">
        <v>46271</v>
      </c>
      <c r="B615" s="3">
        <v>20371582</v>
      </c>
      <c r="C615" s="3">
        <v>20219</v>
      </c>
      <c r="D615" s="3">
        <v>0</v>
      </c>
      <c r="E615" s="3">
        <v>3952841</v>
      </c>
      <c r="F615" s="3">
        <v>5</v>
      </c>
      <c r="G615" s="3">
        <v>954800886</v>
      </c>
      <c r="H615" s="3">
        <v>61</v>
      </c>
      <c r="I615" s="3">
        <v>34710</v>
      </c>
      <c r="J615" s="3">
        <v>109208125</v>
      </c>
      <c r="K615" s="3">
        <v>37</v>
      </c>
      <c r="L615" s="3">
        <v>128105496</v>
      </c>
      <c r="M615" s="3">
        <v>315927656</v>
      </c>
      <c r="N615" s="3">
        <v>21551700</v>
      </c>
      <c r="O615" s="3">
        <v>0</v>
      </c>
      <c r="P615" s="3">
        <f t="shared" si="9"/>
        <v>1553973318</v>
      </c>
    </row>
    <row r="616" spans="1:16" x14ac:dyDescent="0.25">
      <c r="A616" s="2">
        <v>46272</v>
      </c>
      <c r="B616" s="3">
        <v>49984922</v>
      </c>
      <c r="C616" s="3">
        <v>4763860</v>
      </c>
      <c r="D616" s="3">
        <v>0</v>
      </c>
      <c r="E616" s="3">
        <v>5736015</v>
      </c>
      <c r="F616" s="3">
        <v>61</v>
      </c>
      <c r="G616" s="3">
        <v>1016550730</v>
      </c>
      <c r="H616" s="3">
        <v>2067</v>
      </c>
      <c r="I616" s="3">
        <v>33489</v>
      </c>
      <c r="J616" s="3">
        <v>293187323</v>
      </c>
      <c r="K616" s="3">
        <v>1163191</v>
      </c>
      <c r="L616" s="3">
        <v>127184526</v>
      </c>
      <c r="M616" s="3">
        <v>143635456</v>
      </c>
      <c r="N616" s="3">
        <v>48792782</v>
      </c>
      <c r="O616" s="3">
        <v>0</v>
      </c>
      <c r="P616" s="3">
        <f t="shared" si="9"/>
        <v>1691034422</v>
      </c>
    </row>
    <row r="617" spans="1:16" x14ac:dyDescent="0.25">
      <c r="A617" s="2">
        <v>46273</v>
      </c>
      <c r="B617" s="3">
        <v>122841499</v>
      </c>
      <c r="C617" s="3">
        <v>19716280</v>
      </c>
      <c r="D617" s="3">
        <v>0</v>
      </c>
      <c r="E617" s="3">
        <v>4664248</v>
      </c>
      <c r="F617" s="3">
        <v>23808</v>
      </c>
      <c r="G617" s="3">
        <v>1666979594</v>
      </c>
      <c r="H617" s="3">
        <v>6161</v>
      </c>
      <c r="I617" s="3">
        <v>84247</v>
      </c>
      <c r="J617" s="3">
        <v>248551665</v>
      </c>
      <c r="K617" s="3">
        <v>2119892</v>
      </c>
      <c r="L617" s="3">
        <v>95992777</v>
      </c>
      <c r="M617" s="3">
        <v>299876974</v>
      </c>
      <c r="N617" s="3">
        <v>29264569</v>
      </c>
      <c r="O617" s="3">
        <v>0</v>
      </c>
      <c r="P617" s="3">
        <f t="shared" si="9"/>
        <v>2490121714</v>
      </c>
    </row>
    <row r="618" spans="1:16" x14ac:dyDescent="0.25">
      <c r="A618" s="2">
        <v>46274</v>
      </c>
      <c r="B618" s="3">
        <v>172346542</v>
      </c>
      <c r="C618" s="3">
        <v>42610289</v>
      </c>
      <c r="D618" s="3">
        <v>0</v>
      </c>
      <c r="E618" s="3">
        <v>6631416</v>
      </c>
      <c r="F618" s="3">
        <v>9667</v>
      </c>
      <c r="G618" s="3">
        <v>1630685405</v>
      </c>
      <c r="H618" s="3">
        <v>8100</v>
      </c>
      <c r="I618" s="3">
        <v>28919</v>
      </c>
      <c r="J618" s="3">
        <v>248221119</v>
      </c>
      <c r="K618" s="3">
        <v>263</v>
      </c>
      <c r="L618" s="3">
        <v>68827002</v>
      </c>
      <c r="M618" s="3">
        <v>278150314</v>
      </c>
      <c r="N618" s="3">
        <v>36476720</v>
      </c>
      <c r="O618" s="3">
        <v>64959</v>
      </c>
      <c r="P618" s="3">
        <f t="shared" si="9"/>
        <v>2484060715</v>
      </c>
    </row>
    <row r="620" spans="1:16" x14ac:dyDescent="0.25">
      <c r="A620" s="4" t="s">
        <v>16</v>
      </c>
    </row>
    <row r="621" spans="1:16" x14ac:dyDescent="0.25">
      <c r="A621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15" width="19" customWidth="1"/>
    <col min="16" max="17" width="21" customWidth="1"/>
    <col min="18" max="18" width="19" customWidth="1"/>
  </cols>
  <sheetData>
    <row r="1" spans="1:18" ht="30" customHeight="1" x14ac:dyDescent="0.25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20</v>
      </c>
    </row>
    <row r="2" spans="1:18" x14ac:dyDescent="0.25">
      <c r="A2" s="5">
        <v>45658</v>
      </c>
      <c r="B2" s="3">
        <f>SUMIFS(Daily!$B$2:$B$618,Daily!$A$2:$A$618,"&gt;="&amp;$A2,Daily!$A$2:$A$618,"&lt;"&amp;EDATE($A2,1))</f>
        <v>1436507089</v>
      </c>
      <c r="C2" s="3">
        <f>SUMIFS(Daily!$C$2:$C$618,Daily!$A$2:$A$618,"&gt;="&amp;$A2,Daily!$A$2:$A$618,"&lt;"&amp;EDATE($A2,1))</f>
        <v>19559603</v>
      </c>
      <c r="D2" s="3">
        <f>SUMIFS(Daily!$D$2:$D$618,Daily!$A$2:$A$618,"&gt;="&amp;$A2,Daily!$A$2:$A$618,"&lt;"&amp;EDATE($A2,1))</f>
        <v>0</v>
      </c>
      <c r="E2" s="3">
        <f>SUMIFS(Daily!$E$2:$E$618,Daily!$A$2:$A$618,"&gt;="&amp;$A2,Daily!$A$2:$A$618,"&lt;"&amp;EDATE($A2,1))</f>
        <v>1652516</v>
      </c>
      <c r="F2" s="3">
        <f>SUMIFS(Daily!$F$2:$F$618,Daily!$A$2:$A$618,"&gt;="&amp;$A2,Daily!$A$2:$A$618,"&lt;"&amp;EDATE($A2,1))</f>
        <v>0</v>
      </c>
      <c r="G2" s="3">
        <f>SUMIFS(Daily!$G$2:$G$618,Daily!$A$2:$A$618,"&gt;="&amp;$A2,Daily!$A$2:$A$618,"&lt;"&amp;EDATE($A2,1))</f>
        <v>2396472</v>
      </c>
      <c r="H2" s="3">
        <f>SUMIFS(Daily!$H$2:$H$618,Daily!$A$2:$A$618,"&gt;="&amp;$A2,Daily!$A$2:$A$618,"&lt;"&amp;EDATE($A2,1))</f>
        <v>0</v>
      </c>
      <c r="I2" s="3">
        <f>SUMIFS(Daily!$I$2:$I$618,Daily!$A$2:$A$618,"&gt;="&amp;$A2,Daily!$A$2:$A$618,"&lt;"&amp;EDATE($A2,1))</f>
        <v>2382459</v>
      </c>
      <c r="J2" s="3">
        <f>SUMIFS(Daily!$J$2:$J$618,Daily!$A$2:$A$618,"&gt;="&amp;$A2,Daily!$A$2:$A$618,"&lt;"&amp;EDATE($A2,1))</f>
        <v>440737456</v>
      </c>
      <c r="K2" s="3">
        <f>SUMIFS(Daily!$K$2:$K$618,Daily!$A$2:$A$618,"&gt;="&amp;$A2,Daily!$A$2:$A$618,"&lt;"&amp;EDATE($A2,1))</f>
        <v>1315</v>
      </c>
      <c r="L2" s="3">
        <f>SUMIFS(Daily!$L$2:$L$618,Daily!$A$2:$A$618,"&gt;="&amp;$A2,Daily!$A$2:$A$618,"&lt;"&amp;EDATE($A2,1))</f>
        <v>0</v>
      </c>
      <c r="M2" s="3">
        <f>SUMIFS(Daily!$M$2:$M$618,Daily!$A$2:$A$618,"&gt;="&amp;$A2,Daily!$A$2:$A$618,"&lt;"&amp;EDATE($A2,1))</f>
        <v>8952571412</v>
      </c>
      <c r="N2" s="3">
        <f>SUMIFS(Daily!$N$2:$N$618,Daily!$A$2:$A$618,"&gt;="&amp;$A2,Daily!$A$2:$A$618,"&lt;"&amp;EDATE($A2,1))</f>
        <v>90557187</v>
      </c>
      <c r="O2" s="3">
        <f>SUMIFS(Daily!$O$2:$O$618,Daily!$A$2:$A$618,"&gt;="&amp;$A2,Daily!$A$2:$A$618,"&lt;"&amp;EDATE($A2,1))</f>
        <v>532255</v>
      </c>
      <c r="P2" s="3">
        <f t="shared" ref="P2:P22" si="0">SUM(B2:O2)</f>
        <v>10946897764</v>
      </c>
      <c r="Q2" s="6" t="s">
        <v>21</v>
      </c>
      <c r="R2" s="7" t="s">
        <v>21</v>
      </c>
    </row>
    <row r="3" spans="1:18" x14ac:dyDescent="0.25">
      <c r="A3" s="5">
        <v>45689</v>
      </c>
      <c r="B3" s="3">
        <f>SUMIFS(Daily!$B$2:$B$618,Daily!$A$2:$A$618,"&gt;="&amp;$A3,Daily!$A$2:$A$618,"&lt;"&amp;EDATE($A3,1))</f>
        <v>527482524</v>
      </c>
      <c r="C3" s="3">
        <f>SUMIFS(Daily!$C$2:$C$618,Daily!$A$2:$A$618,"&gt;="&amp;$A3,Daily!$A$2:$A$618,"&lt;"&amp;EDATE($A3,1))</f>
        <v>21700516</v>
      </c>
      <c r="D3" s="3">
        <f>SUMIFS(Daily!$D$2:$D$618,Daily!$A$2:$A$618,"&gt;="&amp;$A3,Daily!$A$2:$A$618,"&lt;"&amp;EDATE($A3,1))</f>
        <v>0</v>
      </c>
      <c r="E3" s="3">
        <f>SUMIFS(Daily!$E$2:$E$618,Daily!$A$2:$A$618,"&gt;="&amp;$A3,Daily!$A$2:$A$618,"&lt;"&amp;EDATE($A3,1))</f>
        <v>2234719</v>
      </c>
      <c r="F3" s="3">
        <f>SUMIFS(Daily!$F$2:$F$618,Daily!$A$2:$A$618,"&gt;="&amp;$A3,Daily!$A$2:$A$618,"&lt;"&amp;EDATE($A3,1))</f>
        <v>0</v>
      </c>
      <c r="G3" s="3">
        <f>SUMIFS(Daily!$G$2:$G$618,Daily!$A$2:$A$618,"&gt;="&amp;$A3,Daily!$A$2:$A$618,"&lt;"&amp;EDATE($A3,1))</f>
        <v>897186</v>
      </c>
      <c r="H3" s="3">
        <f>SUMIFS(Daily!$H$2:$H$618,Daily!$A$2:$A$618,"&gt;="&amp;$A3,Daily!$A$2:$A$618,"&lt;"&amp;EDATE($A3,1))</f>
        <v>0</v>
      </c>
      <c r="I3" s="3">
        <f>SUMIFS(Daily!$I$2:$I$618,Daily!$A$2:$A$618,"&gt;="&amp;$A3,Daily!$A$2:$A$618,"&lt;"&amp;EDATE($A3,1))</f>
        <v>950709</v>
      </c>
      <c r="J3" s="3">
        <f>SUMIFS(Daily!$J$2:$J$618,Daily!$A$2:$A$618,"&gt;="&amp;$A3,Daily!$A$2:$A$618,"&lt;"&amp;EDATE($A3,1))</f>
        <v>573712330</v>
      </c>
      <c r="K3" s="3">
        <f>SUMIFS(Daily!$K$2:$K$618,Daily!$A$2:$A$618,"&gt;="&amp;$A3,Daily!$A$2:$A$618,"&lt;"&amp;EDATE($A3,1))</f>
        <v>4691</v>
      </c>
      <c r="L3" s="3">
        <f>SUMIFS(Daily!$L$2:$L$618,Daily!$A$2:$A$618,"&gt;="&amp;$A3,Daily!$A$2:$A$618,"&lt;"&amp;EDATE($A3,1))</f>
        <v>0</v>
      </c>
      <c r="M3" s="3">
        <f>SUMIFS(Daily!$M$2:$M$618,Daily!$A$2:$A$618,"&gt;="&amp;$A3,Daily!$A$2:$A$618,"&lt;"&amp;EDATE($A3,1))</f>
        <v>8146863340</v>
      </c>
      <c r="N3" s="3">
        <f>SUMIFS(Daily!$N$2:$N$618,Daily!$A$2:$A$618,"&gt;="&amp;$A3,Daily!$A$2:$A$618,"&lt;"&amp;EDATE($A3,1))</f>
        <v>150251754</v>
      </c>
      <c r="O3" s="3">
        <f>SUMIFS(Daily!$O$2:$O$618,Daily!$A$2:$A$618,"&gt;="&amp;$A3,Daily!$A$2:$A$618,"&lt;"&amp;EDATE($A3,1))</f>
        <v>162578</v>
      </c>
      <c r="P3" s="3">
        <f t="shared" si="0"/>
        <v>9424260347</v>
      </c>
      <c r="Q3" s="3">
        <f t="shared" ref="Q3:Q22" si="1">P3-P2</f>
        <v>-1522637417</v>
      </c>
      <c r="R3" s="8">
        <f t="shared" ref="R3:R22" si="2">IF(P2=0,"-",P3/P2-1)</f>
        <v>-0.13909305173264241</v>
      </c>
    </row>
    <row r="4" spans="1:18" x14ac:dyDescent="0.25">
      <c r="A4" s="5">
        <v>45717</v>
      </c>
      <c r="B4" s="3">
        <f>SUMIFS(Daily!$B$2:$B$618,Daily!$A$2:$A$618,"&gt;="&amp;$A4,Daily!$A$2:$A$618,"&lt;"&amp;EDATE($A4,1))</f>
        <v>1774968996</v>
      </c>
      <c r="C4" s="3">
        <f>SUMIFS(Daily!$C$2:$C$618,Daily!$A$2:$A$618,"&gt;="&amp;$A4,Daily!$A$2:$A$618,"&lt;"&amp;EDATE($A4,1))</f>
        <v>14829447</v>
      </c>
      <c r="D4" s="3">
        <f>SUMIFS(Daily!$D$2:$D$618,Daily!$A$2:$A$618,"&gt;="&amp;$A4,Daily!$A$2:$A$618,"&lt;"&amp;EDATE($A4,1))</f>
        <v>0</v>
      </c>
      <c r="E4" s="3">
        <f>SUMIFS(Daily!$E$2:$E$618,Daily!$A$2:$A$618,"&gt;="&amp;$A4,Daily!$A$2:$A$618,"&lt;"&amp;EDATE($A4,1))</f>
        <v>5046468</v>
      </c>
      <c r="F4" s="3">
        <f>SUMIFS(Daily!$F$2:$F$618,Daily!$A$2:$A$618,"&gt;="&amp;$A4,Daily!$A$2:$A$618,"&lt;"&amp;EDATE($A4,1))</f>
        <v>0</v>
      </c>
      <c r="G4" s="3">
        <f>SUMIFS(Daily!$G$2:$G$618,Daily!$A$2:$A$618,"&gt;="&amp;$A4,Daily!$A$2:$A$618,"&lt;"&amp;EDATE($A4,1))</f>
        <v>12693235</v>
      </c>
      <c r="H4" s="3">
        <f>SUMIFS(Daily!$H$2:$H$618,Daily!$A$2:$A$618,"&gt;="&amp;$A4,Daily!$A$2:$A$618,"&lt;"&amp;EDATE($A4,1))</f>
        <v>0</v>
      </c>
      <c r="I4" s="3">
        <f>SUMIFS(Daily!$I$2:$I$618,Daily!$A$2:$A$618,"&gt;="&amp;$A4,Daily!$A$2:$A$618,"&lt;"&amp;EDATE($A4,1))</f>
        <v>3443576</v>
      </c>
      <c r="J4" s="3">
        <f>SUMIFS(Daily!$J$2:$J$618,Daily!$A$2:$A$618,"&gt;="&amp;$A4,Daily!$A$2:$A$618,"&lt;"&amp;EDATE($A4,1))</f>
        <v>611080031</v>
      </c>
      <c r="K4" s="3">
        <f>SUMIFS(Daily!$K$2:$K$618,Daily!$A$2:$A$618,"&gt;="&amp;$A4,Daily!$A$2:$A$618,"&lt;"&amp;EDATE($A4,1))</f>
        <v>1062727</v>
      </c>
      <c r="L4" s="3">
        <f>SUMIFS(Daily!$L$2:$L$618,Daily!$A$2:$A$618,"&gt;="&amp;$A4,Daily!$A$2:$A$618,"&lt;"&amp;EDATE($A4,1))</f>
        <v>213744274</v>
      </c>
      <c r="M4" s="3">
        <f>SUMIFS(Daily!$M$2:$M$618,Daily!$A$2:$A$618,"&gt;="&amp;$A4,Daily!$A$2:$A$618,"&lt;"&amp;EDATE($A4,1))</f>
        <v>8382393634</v>
      </c>
      <c r="N4" s="3">
        <f>SUMIFS(Daily!$N$2:$N$618,Daily!$A$2:$A$618,"&gt;="&amp;$A4,Daily!$A$2:$A$618,"&lt;"&amp;EDATE($A4,1))</f>
        <v>2196099</v>
      </c>
      <c r="O4" s="3">
        <f>SUMIFS(Daily!$O$2:$O$618,Daily!$A$2:$A$618,"&gt;="&amp;$A4,Daily!$A$2:$A$618,"&lt;"&amp;EDATE($A4,1))</f>
        <v>3080508</v>
      </c>
      <c r="P4" s="3">
        <f t="shared" si="0"/>
        <v>11024538995</v>
      </c>
      <c r="Q4" s="3">
        <f t="shared" si="1"/>
        <v>1600278648</v>
      </c>
      <c r="R4" s="8">
        <f t="shared" si="2"/>
        <v>0.16980416383651931</v>
      </c>
    </row>
    <row r="5" spans="1:18" x14ac:dyDescent="0.25">
      <c r="A5" s="5">
        <v>45748</v>
      </c>
      <c r="B5" s="3">
        <f>SUMIFS(Daily!$B$2:$B$618,Daily!$A$2:$A$618,"&gt;="&amp;$A5,Daily!$A$2:$A$618,"&lt;"&amp;EDATE($A5,1))</f>
        <v>803489480</v>
      </c>
      <c r="C5" s="3">
        <f>SUMIFS(Daily!$C$2:$C$618,Daily!$A$2:$A$618,"&gt;="&amp;$A5,Daily!$A$2:$A$618,"&lt;"&amp;EDATE($A5,1))</f>
        <v>40321863</v>
      </c>
      <c r="D5" s="3">
        <f>SUMIFS(Daily!$D$2:$D$618,Daily!$A$2:$A$618,"&gt;="&amp;$A5,Daily!$A$2:$A$618,"&lt;"&amp;EDATE($A5,1))</f>
        <v>0</v>
      </c>
      <c r="E5" s="3">
        <f>SUMIFS(Daily!$E$2:$E$618,Daily!$A$2:$A$618,"&gt;="&amp;$A5,Daily!$A$2:$A$618,"&lt;"&amp;EDATE($A5,1))</f>
        <v>217585</v>
      </c>
      <c r="F5" s="3">
        <f>SUMIFS(Daily!$F$2:$F$618,Daily!$A$2:$A$618,"&gt;="&amp;$A5,Daily!$A$2:$A$618,"&lt;"&amp;EDATE($A5,1))</f>
        <v>0</v>
      </c>
      <c r="G5" s="3">
        <f>SUMIFS(Daily!$G$2:$G$618,Daily!$A$2:$A$618,"&gt;="&amp;$A5,Daily!$A$2:$A$618,"&lt;"&amp;EDATE($A5,1))</f>
        <v>21412870</v>
      </c>
      <c r="H5" s="3">
        <f>SUMIFS(Daily!$H$2:$H$618,Daily!$A$2:$A$618,"&gt;="&amp;$A5,Daily!$A$2:$A$618,"&lt;"&amp;EDATE($A5,1))</f>
        <v>0</v>
      </c>
      <c r="I5" s="3">
        <f>SUMIFS(Daily!$I$2:$I$618,Daily!$A$2:$A$618,"&gt;="&amp;$A5,Daily!$A$2:$A$618,"&lt;"&amp;EDATE($A5,1))</f>
        <v>4926710</v>
      </c>
      <c r="J5" s="3">
        <f>SUMIFS(Daily!$J$2:$J$618,Daily!$A$2:$A$618,"&gt;="&amp;$A5,Daily!$A$2:$A$618,"&lt;"&amp;EDATE($A5,1))</f>
        <v>1293396749</v>
      </c>
      <c r="K5" s="3">
        <f>SUMIFS(Daily!$K$2:$K$618,Daily!$A$2:$A$618,"&gt;="&amp;$A5,Daily!$A$2:$A$618,"&lt;"&amp;EDATE($A5,1))</f>
        <v>16182106</v>
      </c>
      <c r="L5" s="3">
        <f>SUMIFS(Daily!$L$2:$L$618,Daily!$A$2:$A$618,"&gt;="&amp;$A5,Daily!$A$2:$A$618,"&lt;"&amp;EDATE($A5,1))</f>
        <v>471708758</v>
      </c>
      <c r="M5" s="3">
        <f>SUMIFS(Daily!$M$2:$M$618,Daily!$A$2:$A$618,"&gt;="&amp;$A5,Daily!$A$2:$A$618,"&lt;"&amp;EDATE($A5,1))</f>
        <v>4251794470</v>
      </c>
      <c r="N5" s="3">
        <f>SUMIFS(Daily!$N$2:$N$618,Daily!$A$2:$A$618,"&gt;="&amp;$A5,Daily!$A$2:$A$618,"&lt;"&amp;EDATE($A5,1))</f>
        <v>268681787</v>
      </c>
      <c r="O5" s="3">
        <f>SUMIFS(Daily!$O$2:$O$618,Daily!$A$2:$A$618,"&gt;="&amp;$A5,Daily!$A$2:$A$618,"&lt;"&amp;EDATE($A5,1))</f>
        <v>654021</v>
      </c>
      <c r="P5" s="3">
        <f t="shared" si="0"/>
        <v>7172786399</v>
      </c>
      <c r="Q5" s="3">
        <f t="shared" si="1"/>
        <v>-3851752596</v>
      </c>
      <c r="R5" s="8">
        <f t="shared" si="2"/>
        <v>-0.34937992398112061</v>
      </c>
    </row>
    <row r="6" spans="1:18" x14ac:dyDescent="0.25">
      <c r="A6" s="5">
        <v>45778</v>
      </c>
      <c r="B6" s="3">
        <f>SUMIFS(Daily!$B$2:$B$618,Daily!$A$2:$A$618,"&gt;="&amp;$A6,Daily!$A$2:$A$618,"&lt;"&amp;EDATE($A6,1))</f>
        <v>1189221817</v>
      </c>
      <c r="C6" s="3">
        <f>SUMIFS(Daily!$C$2:$C$618,Daily!$A$2:$A$618,"&gt;="&amp;$A6,Daily!$A$2:$A$618,"&lt;"&amp;EDATE($A6,1))</f>
        <v>39486461</v>
      </c>
      <c r="D6" s="3">
        <f>SUMIFS(Daily!$D$2:$D$618,Daily!$A$2:$A$618,"&gt;="&amp;$A6,Daily!$A$2:$A$618,"&lt;"&amp;EDATE($A6,1))</f>
        <v>0</v>
      </c>
      <c r="E6" s="3">
        <f>SUMIFS(Daily!$E$2:$E$618,Daily!$A$2:$A$618,"&gt;="&amp;$A6,Daily!$A$2:$A$618,"&lt;"&amp;EDATE($A6,1))</f>
        <v>1653841</v>
      </c>
      <c r="F6" s="3">
        <f>SUMIFS(Daily!$F$2:$F$618,Daily!$A$2:$A$618,"&gt;="&amp;$A6,Daily!$A$2:$A$618,"&lt;"&amp;EDATE($A6,1))</f>
        <v>0</v>
      </c>
      <c r="G6" s="3">
        <f>SUMIFS(Daily!$G$2:$G$618,Daily!$A$2:$A$618,"&gt;="&amp;$A6,Daily!$A$2:$A$618,"&lt;"&amp;EDATE($A6,1))</f>
        <v>29969519</v>
      </c>
      <c r="H6" s="3">
        <f>SUMIFS(Daily!$H$2:$H$618,Daily!$A$2:$A$618,"&gt;="&amp;$A6,Daily!$A$2:$A$618,"&lt;"&amp;EDATE($A6,1))</f>
        <v>0</v>
      </c>
      <c r="I6" s="3">
        <f>SUMIFS(Daily!$I$2:$I$618,Daily!$A$2:$A$618,"&gt;="&amp;$A6,Daily!$A$2:$A$618,"&lt;"&amp;EDATE($A6,1))</f>
        <v>72095756</v>
      </c>
      <c r="J6" s="3">
        <f>SUMIFS(Daily!$J$2:$J$618,Daily!$A$2:$A$618,"&gt;="&amp;$A6,Daily!$A$2:$A$618,"&lt;"&amp;EDATE($A6,1))</f>
        <v>870877510</v>
      </c>
      <c r="K6" s="3">
        <f>SUMIFS(Daily!$K$2:$K$618,Daily!$A$2:$A$618,"&gt;="&amp;$A6,Daily!$A$2:$A$618,"&lt;"&amp;EDATE($A6,1))</f>
        <v>2025417</v>
      </c>
      <c r="L6" s="3">
        <f>SUMIFS(Daily!$L$2:$L$618,Daily!$A$2:$A$618,"&gt;="&amp;$A6,Daily!$A$2:$A$618,"&lt;"&amp;EDATE($A6,1))</f>
        <v>862599847</v>
      </c>
      <c r="M6" s="3">
        <f>SUMIFS(Daily!$M$2:$M$618,Daily!$A$2:$A$618,"&gt;="&amp;$A6,Daily!$A$2:$A$618,"&lt;"&amp;EDATE($A6,1))</f>
        <v>8982910665</v>
      </c>
      <c r="N6" s="3">
        <f>SUMIFS(Daily!$N$2:$N$618,Daily!$A$2:$A$618,"&gt;="&amp;$A6,Daily!$A$2:$A$618,"&lt;"&amp;EDATE($A6,1))</f>
        <v>116825705</v>
      </c>
      <c r="O6" s="3">
        <f>SUMIFS(Daily!$O$2:$O$618,Daily!$A$2:$A$618,"&gt;="&amp;$A6,Daily!$A$2:$A$618,"&lt;"&amp;EDATE($A6,1))</f>
        <v>15188185</v>
      </c>
      <c r="P6" s="3">
        <f t="shared" si="0"/>
        <v>12182854723</v>
      </c>
      <c r="Q6" s="3">
        <f t="shared" si="1"/>
        <v>5010068324</v>
      </c>
      <c r="R6" s="8">
        <f t="shared" si="2"/>
        <v>0.698482855239978</v>
      </c>
    </row>
    <row r="7" spans="1:18" x14ac:dyDescent="0.25">
      <c r="A7" s="5">
        <v>45809</v>
      </c>
      <c r="B7" s="3">
        <f>SUMIFS(Daily!$B$2:$B$618,Daily!$A$2:$A$618,"&gt;="&amp;$A7,Daily!$A$2:$A$618,"&lt;"&amp;EDATE($A7,1))</f>
        <v>667474726</v>
      </c>
      <c r="C7" s="3">
        <f>SUMIFS(Daily!$C$2:$C$618,Daily!$A$2:$A$618,"&gt;="&amp;$A7,Daily!$A$2:$A$618,"&lt;"&amp;EDATE($A7,1))</f>
        <v>35544406</v>
      </c>
      <c r="D7" s="3">
        <f>SUMIFS(Daily!$D$2:$D$618,Daily!$A$2:$A$618,"&gt;="&amp;$A7,Daily!$A$2:$A$618,"&lt;"&amp;EDATE($A7,1))</f>
        <v>0</v>
      </c>
      <c r="E7" s="3">
        <f>SUMIFS(Daily!$E$2:$E$618,Daily!$A$2:$A$618,"&gt;="&amp;$A7,Daily!$A$2:$A$618,"&lt;"&amp;EDATE($A7,1))</f>
        <v>115582</v>
      </c>
      <c r="F7" s="3">
        <f>SUMIFS(Daily!$F$2:$F$618,Daily!$A$2:$A$618,"&gt;="&amp;$A7,Daily!$A$2:$A$618,"&lt;"&amp;EDATE($A7,1))</f>
        <v>0</v>
      </c>
      <c r="G7" s="3">
        <f>SUMIFS(Daily!$G$2:$G$618,Daily!$A$2:$A$618,"&gt;="&amp;$A7,Daily!$A$2:$A$618,"&lt;"&amp;EDATE($A7,1))</f>
        <v>40985905</v>
      </c>
      <c r="H7" s="3">
        <f>SUMIFS(Daily!$H$2:$H$618,Daily!$A$2:$A$618,"&gt;="&amp;$A7,Daily!$A$2:$A$618,"&lt;"&amp;EDATE($A7,1))</f>
        <v>0</v>
      </c>
      <c r="I7" s="3">
        <f>SUMIFS(Daily!$I$2:$I$618,Daily!$A$2:$A$618,"&gt;="&amp;$A7,Daily!$A$2:$A$618,"&lt;"&amp;EDATE($A7,1))</f>
        <v>26271166</v>
      </c>
      <c r="J7" s="3">
        <f>SUMIFS(Daily!$J$2:$J$618,Daily!$A$2:$A$618,"&gt;="&amp;$A7,Daily!$A$2:$A$618,"&lt;"&amp;EDATE($A7,1))</f>
        <v>1963178822</v>
      </c>
      <c r="K7" s="3">
        <f>SUMIFS(Daily!$K$2:$K$618,Daily!$A$2:$A$618,"&gt;="&amp;$A7,Daily!$A$2:$A$618,"&lt;"&amp;EDATE($A7,1))</f>
        <v>11958999</v>
      </c>
      <c r="L7" s="3">
        <f>SUMIFS(Daily!$L$2:$L$618,Daily!$A$2:$A$618,"&gt;="&amp;$A7,Daily!$A$2:$A$618,"&lt;"&amp;EDATE($A7,1))</f>
        <v>1763647917</v>
      </c>
      <c r="M7" s="3">
        <f>SUMIFS(Daily!$M$2:$M$618,Daily!$A$2:$A$618,"&gt;="&amp;$A7,Daily!$A$2:$A$618,"&lt;"&amp;EDATE($A7,1))</f>
        <v>4291844523</v>
      </c>
      <c r="N7" s="3">
        <f>SUMIFS(Daily!$N$2:$N$618,Daily!$A$2:$A$618,"&gt;="&amp;$A7,Daily!$A$2:$A$618,"&lt;"&amp;EDATE($A7,1))</f>
        <v>44743323</v>
      </c>
      <c r="O7" s="3">
        <f>SUMIFS(Daily!$O$2:$O$618,Daily!$A$2:$A$618,"&gt;="&amp;$A7,Daily!$A$2:$A$618,"&lt;"&amp;EDATE($A7,1))</f>
        <v>552627</v>
      </c>
      <c r="P7" s="3">
        <f t="shared" si="0"/>
        <v>8846317996</v>
      </c>
      <c r="Q7" s="3">
        <f t="shared" si="1"/>
        <v>-3336536727</v>
      </c>
      <c r="R7" s="8">
        <f t="shared" si="2"/>
        <v>-0.273871502440307</v>
      </c>
    </row>
    <row r="8" spans="1:18" x14ac:dyDescent="0.25">
      <c r="A8" s="5">
        <v>45839</v>
      </c>
      <c r="B8" s="3">
        <f>SUMIFS(Daily!$B$2:$B$618,Daily!$A$2:$A$618,"&gt;="&amp;$A8,Daily!$A$2:$A$618,"&lt;"&amp;EDATE($A8,1))</f>
        <v>2216419168</v>
      </c>
      <c r="C8" s="3">
        <f>SUMIFS(Daily!$C$2:$C$618,Daily!$A$2:$A$618,"&gt;="&amp;$A8,Daily!$A$2:$A$618,"&lt;"&amp;EDATE($A8,1))</f>
        <v>54702910</v>
      </c>
      <c r="D8" s="3">
        <f>SUMIFS(Daily!$D$2:$D$618,Daily!$A$2:$A$618,"&gt;="&amp;$A8,Daily!$A$2:$A$618,"&lt;"&amp;EDATE($A8,1))</f>
        <v>0</v>
      </c>
      <c r="E8" s="3">
        <f>SUMIFS(Daily!$E$2:$E$618,Daily!$A$2:$A$618,"&gt;="&amp;$A8,Daily!$A$2:$A$618,"&lt;"&amp;EDATE($A8,1))</f>
        <v>200020485</v>
      </c>
      <c r="F8" s="3">
        <f>SUMIFS(Daily!$F$2:$F$618,Daily!$A$2:$A$618,"&gt;="&amp;$A8,Daily!$A$2:$A$618,"&lt;"&amp;EDATE($A8,1))</f>
        <v>0</v>
      </c>
      <c r="G8" s="3">
        <f>SUMIFS(Daily!$G$2:$G$618,Daily!$A$2:$A$618,"&gt;="&amp;$A8,Daily!$A$2:$A$618,"&lt;"&amp;EDATE($A8,1))</f>
        <v>358949851</v>
      </c>
      <c r="H8" s="3">
        <f>SUMIFS(Daily!$H$2:$H$618,Daily!$A$2:$A$618,"&gt;="&amp;$A8,Daily!$A$2:$A$618,"&lt;"&amp;EDATE($A8,1))</f>
        <v>0</v>
      </c>
      <c r="I8" s="3">
        <f>SUMIFS(Daily!$I$2:$I$618,Daily!$A$2:$A$618,"&gt;="&amp;$A8,Daily!$A$2:$A$618,"&lt;"&amp;EDATE($A8,1))</f>
        <v>6001242</v>
      </c>
      <c r="J8" s="3">
        <f>SUMIFS(Daily!$J$2:$J$618,Daily!$A$2:$A$618,"&gt;="&amp;$A8,Daily!$A$2:$A$618,"&lt;"&amp;EDATE($A8,1))</f>
        <v>1367928968</v>
      </c>
      <c r="K8" s="3">
        <f>SUMIFS(Daily!$K$2:$K$618,Daily!$A$2:$A$618,"&gt;="&amp;$A8,Daily!$A$2:$A$618,"&lt;"&amp;EDATE($A8,1))</f>
        <v>54761215</v>
      </c>
      <c r="L8" s="3">
        <f>SUMIFS(Daily!$L$2:$L$618,Daily!$A$2:$A$618,"&gt;="&amp;$A8,Daily!$A$2:$A$618,"&lt;"&amp;EDATE($A8,1))</f>
        <v>1716254079</v>
      </c>
      <c r="M8" s="3">
        <f>SUMIFS(Daily!$M$2:$M$618,Daily!$A$2:$A$618,"&gt;="&amp;$A8,Daily!$A$2:$A$618,"&lt;"&amp;EDATE($A8,1))</f>
        <v>16660896636</v>
      </c>
      <c r="N8" s="3">
        <f>SUMIFS(Daily!$N$2:$N$618,Daily!$A$2:$A$618,"&gt;="&amp;$A8,Daily!$A$2:$A$618,"&lt;"&amp;EDATE($A8,1))</f>
        <v>374614771</v>
      </c>
      <c r="O8" s="3">
        <f>SUMIFS(Daily!$O$2:$O$618,Daily!$A$2:$A$618,"&gt;="&amp;$A8,Daily!$A$2:$A$618,"&lt;"&amp;EDATE($A8,1))</f>
        <v>3956659</v>
      </c>
      <c r="P8" s="3">
        <f t="shared" si="0"/>
        <v>23014505984</v>
      </c>
      <c r="Q8" s="3">
        <f t="shared" si="1"/>
        <v>14168187988</v>
      </c>
      <c r="R8" s="8">
        <f t="shared" si="2"/>
        <v>1.6015915315735163</v>
      </c>
    </row>
    <row r="9" spans="1:18" x14ac:dyDescent="0.25">
      <c r="A9" s="5">
        <v>45870</v>
      </c>
      <c r="B9" s="3">
        <f>SUMIFS(Daily!$B$2:$B$618,Daily!$A$2:$A$618,"&gt;="&amp;$A9,Daily!$A$2:$A$618,"&lt;"&amp;EDATE($A9,1))</f>
        <v>1566828458</v>
      </c>
      <c r="C9" s="3">
        <f>SUMIFS(Daily!$C$2:$C$618,Daily!$A$2:$A$618,"&gt;="&amp;$A9,Daily!$A$2:$A$618,"&lt;"&amp;EDATE($A9,1))</f>
        <v>44912822</v>
      </c>
      <c r="D9" s="3">
        <f>SUMIFS(Daily!$D$2:$D$618,Daily!$A$2:$A$618,"&gt;="&amp;$A9,Daily!$A$2:$A$618,"&lt;"&amp;EDATE($A9,1))</f>
        <v>0</v>
      </c>
      <c r="E9" s="3">
        <f>SUMIFS(Daily!$E$2:$E$618,Daily!$A$2:$A$618,"&gt;="&amp;$A9,Daily!$A$2:$A$618,"&lt;"&amp;EDATE($A9,1))</f>
        <v>616042811</v>
      </c>
      <c r="F9" s="3">
        <f>SUMIFS(Daily!$F$2:$F$618,Daily!$A$2:$A$618,"&gt;="&amp;$A9,Daily!$A$2:$A$618,"&lt;"&amp;EDATE($A9,1))</f>
        <v>0</v>
      </c>
      <c r="G9" s="3">
        <f>SUMIFS(Daily!$G$2:$G$618,Daily!$A$2:$A$618,"&gt;="&amp;$A9,Daily!$A$2:$A$618,"&lt;"&amp;EDATE($A9,1))</f>
        <v>270003595</v>
      </c>
      <c r="H9" s="3">
        <f>SUMIFS(Daily!$H$2:$H$618,Daily!$A$2:$A$618,"&gt;="&amp;$A9,Daily!$A$2:$A$618,"&lt;"&amp;EDATE($A9,1))</f>
        <v>0</v>
      </c>
      <c r="I9" s="3">
        <f>SUMIFS(Daily!$I$2:$I$618,Daily!$A$2:$A$618,"&gt;="&amp;$A9,Daily!$A$2:$A$618,"&lt;"&amp;EDATE($A9,1))</f>
        <v>12790235</v>
      </c>
      <c r="J9" s="3">
        <f>SUMIFS(Daily!$J$2:$J$618,Daily!$A$2:$A$618,"&gt;="&amp;$A9,Daily!$A$2:$A$618,"&lt;"&amp;EDATE($A9,1))</f>
        <v>934143990</v>
      </c>
      <c r="K9" s="3">
        <f>SUMIFS(Daily!$K$2:$K$618,Daily!$A$2:$A$618,"&gt;="&amp;$A9,Daily!$A$2:$A$618,"&lt;"&amp;EDATE($A9,1))</f>
        <v>77507648</v>
      </c>
      <c r="L9" s="3">
        <f>SUMIFS(Daily!$L$2:$L$618,Daily!$A$2:$A$618,"&gt;="&amp;$A9,Daily!$A$2:$A$618,"&lt;"&amp;EDATE($A9,1))</f>
        <v>2632428489</v>
      </c>
      <c r="M9" s="3">
        <f>SUMIFS(Daily!$M$2:$M$618,Daily!$A$2:$A$618,"&gt;="&amp;$A9,Daily!$A$2:$A$618,"&lt;"&amp;EDATE($A9,1))</f>
        <v>10908558332</v>
      </c>
      <c r="N9" s="3">
        <f>SUMIFS(Daily!$N$2:$N$618,Daily!$A$2:$A$618,"&gt;="&amp;$A9,Daily!$A$2:$A$618,"&lt;"&amp;EDATE($A9,1))</f>
        <v>224913423</v>
      </c>
      <c r="O9" s="3">
        <f>SUMIFS(Daily!$O$2:$O$618,Daily!$A$2:$A$618,"&gt;="&amp;$A9,Daily!$A$2:$A$618,"&lt;"&amp;EDATE($A9,1))</f>
        <v>1325340</v>
      </c>
      <c r="P9" s="3">
        <f t="shared" si="0"/>
        <v>17289455143</v>
      </c>
      <c r="Q9" s="3">
        <f t="shared" si="1"/>
        <v>-5725050841</v>
      </c>
      <c r="R9" s="8">
        <f t="shared" si="2"/>
        <v>-0.24875836331138867</v>
      </c>
    </row>
    <row r="10" spans="1:18" x14ac:dyDescent="0.25">
      <c r="A10" s="5">
        <v>45901</v>
      </c>
      <c r="B10" s="3">
        <f>SUMIFS(Daily!$B$2:$B$618,Daily!$A$2:$A$618,"&gt;="&amp;$A10,Daily!$A$2:$A$618,"&lt;"&amp;EDATE($A10,1))</f>
        <v>2566513555</v>
      </c>
      <c r="C10" s="3">
        <f>SUMIFS(Daily!$C$2:$C$618,Daily!$A$2:$A$618,"&gt;="&amp;$A10,Daily!$A$2:$A$618,"&lt;"&amp;EDATE($A10,1))</f>
        <v>75205799</v>
      </c>
      <c r="D10" s="3">
        <f>SUMIFS(Daily!$D$2:$D$618,Daily!$A$2:$A$618,"&gt;="&amp;$A10,Daily!$A$2:$A$618,"&lt;"&amp;EDATE($A10,1))</f>
        <v>0</v>
      </c>
      <c r="E10" s="3">
        <f>SUMIFS(Daily!$E$2:$E$618,Daily!$A$2:$A$618,"&gt;="&amp;$A10,Daily!$A$2:$A$618,"&lt;"&amp;EDATE($A10,1))</f>
        <v>281870885</v>
      </c>
      <c r="F10" s="3">
        <f>SUMIFS(Daily!$F$2:$F$618,Daily!$A$2:$A$618,"&gt;="&amp;$A10,Daily!$A$2:$A$618,"&lt;"&amp;EDATE($A10,1))</f>
        <v>0</v>
      </c>
      <c r="G10" s="3">
        <f>SUMIFS(Daily!$G$2:$G$618,Daily!$A$2:$A$618,"&gt;="&amp;$A10,Daily!$A$2:$A$618,"&lt;"&amp;EDATE($A10,1))</f>
        <v>508325038</v>
      </c>
      <c r="H10" s="3">
        <f>SUMIFS(Daily!$H$2:$H$618,Daily!$A$2:$A$618,"&gt;="&amp;$A10,Daily!$A$2:$A$618,"&lt;"&amp;EDATE($A10,1))</f>
        <v>1656924</v>
      </c>
      <c r="I10" s="3">
        <f>SUMIFS(Daily!$I$2:$I$618,Daily!$A$2:$A$618,"&gt;="&amp;$A10,Daily!$A$2:$A$618,"&lt;"&amp;EDATE($A10,1))</f>
        <v>9320289</v>
      </c>
      <c r="J10" s="3">
        <f>SUMIFS(Daily!$J$2:$J$618,Daily!$A$2:$A$618,"&gt;="&amp;$A10,Daily!$A$2:$A$618,"&lt;"&amp;EDATE($A10,1))</f>
        <v>2229410218</v>
      </c>
      <c r="K10" s="3">
        <f>SUMIFS(Daily!$K$2:$K$618,Daily!$A$2:$A$618,"&gt;="&amp;$A10,Daily!$A$2:$A$618,"&lt;"&amp;EDATE($A10,1))</f>
        <v>101850777</v>
      </c>
      <c r="L10" s="3">
        <f>SUMIFS(Daily!$L$2:$L$618,Daily!$A$2:$A$618,"&gt;="&amp;$A10,Daily!$A$2:$A$618,"&lt;"&amp;EDATE($A10,1))</f>
        <v>3151370809</v>
      </c>
      <c r="M10" s="3">
        <f>SUMIFS(Daily!$M$2:$M$618,Daily!$A$2:$A$618,"&gt;="&amp;$A10,Daily!$A$2:$A$618,"&lt;"&amp;EDATE($A10,1))</f>
        <v>23662414815</v>
      </c>
      <c r="N10" s="3">
        <f>SUMIFS(Daily!$N$2:$N$618,Daily!$A$2:$A$618,"&gt;="&amp;$A10,Daily!$A$2:$A$618,"&lt;"&amp;EDATE($A10,1))</f>
        <v>179096032</v>
      </c>
      <c r="O10" s="3">
        <f>SUMIFS(Daily!$O$2:$O$618,Daily!$A$2:$A$618,"&gt;="&amp;$A10,Daily!$A$2:$A$618,"&lt;"&amp;EDATE($A10,1))</f>
        <v>4428903</v>
      </c>
      <c r="P10" s="3">
        <f t="shared" si="0"/>
        <v>32771464044</v>
      </c>
      <c r="Q10" s="3">
        <f t="shared" si="1"/>
        <v>15482008901</v>
      </c>
      <c r="R10" s="8">
        <f t="shared" si="2"/>
        <v>0.89545961818630349</v>
      </c>
    </row>
    <row r="11" spans="1:18" x14ac:dyDescent="0.25">
      <c r="A11" s="5">
        <v>45931</v>
      </c>
      <c r="B11" s="3">
        <f>SUMIFS(Daily!$B$2:$B$618,Daily!$A$2:$A$618,"&gt;="&amp;$A11,Daily!$A$2:$A$618,"&lt;"&amp;EDATE($A11,1))</f>
        <v>7301016222</v>
      </c>
      <c r="C11" s="3">
        <f>SUMIFS(Daily!$C$2:$C$618,Daily!$A$2:$A$618,"&gt;="&amp;$A11,Daily!$A$2:$A$618,"&lt;"&amp;EDATE($A11,1))</f>
        <v>93526717</v>
      </c>
      <c r="D11" s="3">
        <f>SUMIFS(Daily!$D$2:$D$618,Daily!$A$2:$A$618,"&gt;="&amp;$A11,Daily!$A$2:$A$618,"&lt;"&amp;EDATE($A11,1))</f>
        <v>0</v>
      </c>
      <c r="E11" s="3">
        <f>SUMIFS(Daily!$E$2:$E$618,Daily!$A$2:$A$618,"&gt;="&amp;$A11,Daily!$A$2:$A$618,"&lt;"&amp;EDATE($A11,1))</f>
        <v>253364802</v>
      </c>
      <c r="F11" s="3">
        <f>SUMIFS(Daily!$F$2:$F$618,Daily!$A$2:$A$618,"&gt;="&amp;$A11,Daily!$A$2:$A$618,"&lt;"&amp;EDATE($A11,1))</f>
        <v>0</v>
      </c>
      <c r="G11" s="3">
        <f>SUMIFS(Daily!$G$2:$G$618,Daily!$A$2:$A$618,"&gt;="&amp;$A11,Daily!$A$2:$A$618,"&lt;"&amp;EDATE($A11,1))</f>
        <v>889504106</v>
      </c>
      <c r="H11" s="3">
        <f>SUMIFS(Daily!$H$2:$H$618,Daily!$A$2:$A$618,"&gt;="&amp;$A11,Daily!$A$2:$A$618,"&lt;"&amp;EDATE($A11,1))</f>
        <v>0</v>
      </c>
      <c r="I11" s="3">
        <f>SUMIFS(Daily!$I$2:$I$618,Daily!$A$2:$A$618,"&gt;="&amp;$A11,Daily!$A$2:$A$618,"&lt;"&amp;EDATE($A11,1))</f>
        <v>8121879</v>
      </c>
      <c r="J11" s="3">
        <f>SUMIFS(Daily!$J$2:$J$618,Daily!$A$2:$A$618,"&gt;="&amp;$A11,Daily!$A$2:$A$618,"&lt;"&amp;EDATE($A11,1))</f>
        <v>9645248395</v>
      </c>
      <c r="K11" s="3">
        <f>SUMIFS(Daily!$K$2:$K$618,Daily!$A$2:$A$618,"&gt;="&amp;$A11,Daily!$A$2:$A$618,"&lt;"&amp;EDATE($A11,1))</f>
        <v>135442612</v>
      </c>
      <c r="L11" s="3">
        <f>SUMIFS(Daily!$L$2:$L$618,Daily!$A$2:$A$618,"&gt;="&amp;$A11,Daily!$A$2:$A$618,"&lt;"&amp;EDATE($A11,1))</f>
        <v>5425780773</v>
      </c>
      <c r="M11" s="3">
        <f>SUMIFS(Daily!$M$2:$M$618,Daily!$A$2:$A$618,"&gt;="&amp;$A11,Daily!$A$2:$A$618,"&lt;"&amp;EDATE($A11,1))</f>
        <v>12874098253</v>
      </c>
      <c r="N11" s="3">
        <f>SUMIFS(Daily!$N$2:$N$618,Daily!$A$2:$A$618,"&gt;="&amp;$A11,Daily!$A$2:$A$618,"&lt;"&amp;EDATE($A11,1))</f>
        <v>768351639</v>
      </c>
      <c r="O11" s="3">
        <f>SUMIFS(Daily!$O$2:$O$618,Daily!$A$2:$A$618,"&gt;="&amp;$A11,Daily!$A$2:$A$618,"&lt;"&amp;EDATE($A11,1))</f>
        <v>11485789</v>
      </c>
      <c r="P11" s="3">
        <f t="shared" si="0"/>
        <v>37405941187</v>
      </c>
      <c r="Q11" s="3">
        <f t="shared" si="1"/>
        <v>4634477143</v>
      </c>
      <c r="R11" s="8">
        <f t="shared" si="2"/>
        <v>0.14141806837734205</v>
      </c>
    </row>
    <row r="12" spans="1:18" x14ac:dyDescent="0.25">
      <c r="A12" s="5">
        <v>45962</v>
      </c>
      <c r="B12" s="3">
        <f>SUMIFS(Daily!$B$2:$B$618,Daily!$A$2:$A$618,"&gt;="&amp;$A12,Daily!$A$2:$A$618,"&lt;"&amp;EDATE($A12,1))</f>
        <v>3228980481</v>
      </c>
      <c r="C12" s="3">
        <f>SUMIFS(Daily!$C$2:$C$618,Daily!$A$2:$A$618,"&gt;="&amp;$A12,Daily!$A$2:$A$618,"&lt;"&amp;EDATE($A12,1))</f>
        <v>89737107</v>
      </c>
      <c r="D12" s="3">
        <f>SUMIFS(Daily!$D$2:$D$618,Daily!$A$2:$A$618,"&gt;="&amp;$A12,Daily!$A$2:$A$618,"&lt;"&amp;EDATE($A12,1))</f>
        <v>0</v>
      </c>
      <c r="E12" s="3">
        <f>SUMIFS(Daily!$E$2:$E$618,Daily!$A$2:$A$618,"&gt;="&amp;$A12,Daily!$A$2:$A$618,"&lt;"&amp;EDATE($A12,1))</f>
        <v>70530982</v>
      </c>
      <c r="F12" s="3">
        <f>SUMIFS(Daily!$F$2:$F$618,Daily!$A$2:$A$618,"&gt;="&amp;$A12,Daily!$A$2:$A$618,"&lt;"&amp;EDATE($A12,1))</f>
        <v>0</v>
      </c>
      <c r="G12" s="3">
        <f>SUMIFS(Daily!$G$2:$G$618,Daily!$A$2:$A$618,"&gt;="&amp;$A12,Daily!$A$2:$A$618,"&lt;"&amp;EDATE($A12,1))</f>
        <v>1097076519</v>
      </c>
      <c r="H12" s="3">
        <f>SUMIFS(Daily!$H$2:$H$618,Daily!$A$2:$A$618,"&gt;="&amp;$A12,Daily!$A$2:$A$618,"&lt;"&amp;EDATE($A12,1))</f>
        <v>2609286</v>
      </c>
      <c r="I12" s="3">
        <f>SUMIFS(Daily!$I$2:$I$618,Daily!$A$2:$A$618,"&gt;="&amp;$A12,Daily!$A$2:$A$618,"&lt;"&amp;EDATE($A12,1))</f>
        <v>11736082</v>
      </c>
      <c r="J12" s="3">
        <f>SUMIFS(Daily!$J$2:$J$618,Daily!$A$2:$A$618,"&gt;="&amp;$A12,Daily!$A$2:$A$618,"&lt;"&amp;EDATE($A12,1))</f>
        <v>4146777748</v>
      </c>
      <c r="K12" s="3">
        <f>SUMIFS(Daily!$K$2:$K$618,Daily!$A$2:$A$618,"&gt;="&amp;$A12,Daily!$A$2:$A$618,"&lt;"&amp;EDATE($A12,1))</f>
        <v>209755590</v>
      </c>
      <c r="L12" s="3">
        <f>SUMIFS(Daily!$L$2:$L$618,Daily!$A$2:$A$618,"&gt;="&amp;$A12,Daily!$A$2:$A$618,"&lt;"&amp;EDATE($A12,1))</f>
        <v>6236056949</v>
      </c>
      <c r="M12" s="3">
        <f>SUMIFS(Daily!$M$2:$M$618,Daily!$A$2:$A$618,"&gt;="&amp;$A12,Daily!$A$2:$A$618,"&lt;"&amp;EDATE($A12,1))</f>
        <v>14067425258</v>
      </c>
      <c r="N12" s="3">
        <f>SUMIFS(Daily!$N$2:$N$618,Daily!$A$2:$A$618,"&gt;="&amp;$A12,Daily!$A$2:$A$618,"&lt;"&amp;EDATE($A12,1))</f>
        <v>720492857</v>
      </c>
      <c r="O12" s="3">
        <f>SUMIFS(Daily!$O$2:$O$618,Daily!$A$2:$A$618,"&gt;="&amp;$A12,Daily!$A$2:$A$618,"&lt;"&amp;EDATE($A12,1))</f>
        <v>1016712</v>
      </c>
      <c r="P12" s="3">
        <f t="shared" si="0"/>
        <v>29882195571</v>
      </c>
      <c r="Q12" s="3">
        <f t="shared" si="1"/>
        <v>-7523745616</v>
      </c>
      <c r="R12" s="8">
        <f t="shared" si="2"/>
        <v>-0.20113771709117667</v>
      </c>
    </row>
    <row r="13" spans="1:18" x14ac:dyDescent="0.25">
      <c r="A13" s="5">
        <v>45992</v>
      </c>
      <c r="B13" s="3">
        <f>SUMIFS(Daily!$B$2:$B$618,Daily!$A$2:$A$618,"&gt;="&amp;$A13,Daily!$A$2:$A$618,"&lt;"&amp;EDATE($A13,1))</f>
        <v>2304505633</v>
      </c>
      <c r="C13" s="3">
        <f>SUMIFS(Daily!$C$2:$C$618,Daily!$A$2:$A$618,"&gt;="&amp;$A13,Daily!$A$2:$A$618,"&lt;"&amp;EDATE($A13,1))</f>
        <v>223117043</v>
      </c>
      <c r="D13" s="3">
        <f>SUMIFS(Daily!$D$2:$D$618,Daily!$A$2:$A$618,"&gt;="&amp;$A13,Daily!$A$2:$A$618,"&lt;"&amp;EDATE($A13,1))</f>
        <v>0</v>
      </c>
      <c r="E13" s="3">
        <f>SUMIFS(Daily!$E$2:$E$618,Daily!$A$2:$A$618,"&gt;="&amp;$A13,Daily!$A$2:$A$618,"&lt;"&amp;EDATE($A13,1))</f>
        <v>228916103</v>
      </c>
      <c r="F13" s="3">
        <f>SUMIFS(Daily!$F$2:$F$618,Daily!$A$2:$A$618,"&gt;="&amp;$A13,Daily!$A$2:$A$618,"&lt;"&amp;EDATE($A13,1))</f>
        <v>0</v>
      </c>
      <c r="G13" s="3">
        <f>SUMIFS(Daily!$G$2:$G$618,Daily!$A$2:$A$618,"&gt;="&amp;$A13,Daily!$A$2:$A$618,"&lt;"&amp;EDATE($A13,1))</f>
        <v>2571783051</v>
      </c>
      <c r="H13" s="3">
        <f>SUMIFS(Daily!$H$2:$H$618,Daily!$A$2:$A$618,"&gt;="&amp;$A13,Daily!$A$2:$A$618,"&lt;"&amp;EDATE($A13,1))</f>
        <v>0</v>
      </c>
      <c r="I13" s="3">
        <f>SUMIFS(Daily!$I$2:$I$618,Daily!$A$2:$A$618,"&gt;="&amp;$A13,Daily!$A$2:$A$618,"&lt;"&amp;EDATE($A13,1))</f>
        <v>8247368</v>
      </c>
      <c r="J13" s="3">
        <f>SUMIFS(Daily!$J$2:$J$618,Daily!$A$2:$A$618,"&gt;="&amp;$A13,Daily!$A$2:$A$618,"&lt;"&amp;EDATE($A13,1))</f>
        <v>4717739480</v>
      </c>
      <c r="K13" s="3">
        <f>SUMIFS(Daily!$K$2:$K$618,Daily!$A$2:$A$618,"&gt;="&amp;$A13,Daily!$A$2:$A$618,"&lt;"&amp;EDATE($A13,1))</f>
        <v>248999981</v>
      </c>
      <c r="L13" s="3">
        <f>SUMIFS(Daily!$L$2:$L$618,Daily!$A$2:$A$618,"&gt;="&amp;$A13,Daily!$A$2:$A$618,"&lt;"&amp;EDATE($A13,1))</f>
        <v>6556729198</v>
      </c>
      <c r="M13" s="3">
        <f>SUMIFS(Daily!$M$2:$M$618,Daily!$A$2:$A$618,"&gt;="&amp;$A13,Daily!$A$2:$A$618,"&lt;"&amp;EDATE($A13,1))</f>
        <v>6763706759</v>
      </c>
      <c r="N13" s="3">
        <f>SUMIFS(Daily!$N$2:$N$618,Daily!$A$2:$A$618,"&gt;="&amp;$A13,Daily!$A$2:$A$618,"&lt;"&amp;EDATE($A13,1))</f>
        <v>460500044</v>
      </c>
      <c r="O13" s="3">
        <f>SUMIFS(Daily!$O$2:$O$618,Daily!$A$2:$A$618,"&gt;="&amp;$A13,Daily!$A$2:$A$618,"&lt;"&amp;EDATE($A13,1))</f>
        <v>1527917</v>
      </c>
      <c r="P13" s="3">
        <f t="shared" si="0"/>
        <v>24085772577</v>
      </c>
      <c r="Q13" s="3">
        <f t="shared" si="1"/>
        <v>-5796422994</v>
      </c>
      <c r="R13" s="8">
        <f t="shared" si="2"/>
        <v>-0.19397580677188586</v>
      </c>
    </row>
    <row r="14" spans="1:18" x14ac:dyDescent="0.25">
      <c r="A14" s="5">
        <v>46023</v>
      </c>
      <c r="B14" s="3">
        <f>SUMIFS(Daily!$B$2:$B$618,Daily!$A$2:$A$618,"&gt;="&amp;$A14,Daily!$A$2:$A$618,"&lt;"&amp;EDATE($A14,1))</f>
        <v>1951620943</v>
      </c>
      <c r="C14" s="3">
        <f>SUMIFS(Daily!$C$2:$C$618,Daily!$A$2:$A$618,"&gt;="&amp;$A14,Daily!$A$2:$A$618,"&lt;"&amp;EDATE($A14,1))</f>
        <v>110071259</v>
      </c>
      <c r="D14" s="3">
        <f>SUMIFS(Daily!$D$2:$D$618,Daily!$A$2:$A$618,"&gt;="&amp;$A14,Daily!$A$2:$A$618,"&lt;"&amp;EDATE($A14,1))</f>
        <v>0</v>
      </c>
      <c r="E14" s="3">
        <f>SUMIFS(Daily!$E$2:$E$618,Daily!$A$2:$A$618,"&gt;="&amp;$A14,Daily!$A$2:$A$618,"&lt;"&amp;EDATE($A14,1))</f>
        <v>920732425</v>
      </c>
      <c r="F14" s="3">
        <f>SUMIFS(Daily!$F$2:$F$618,Daily!$A$2:$A$618,"&gt;="&amp;$A14,Daily!$A$2:$A$618,"&lt;"&amp;EDATE($A14,1))</f>
        <v>0</v>
      </c>
      <c r="G14" s="3">
        <f>SUMIFS(Daily!$G$2:$G$618,Daily!$A$2:$A$618,"&gt;="&amp;$A14,Daily!$A$2:$A$618,"&lt;"&amp;EDATE($A14,1))</f>
        <v>1833948998</v>
      </c>
      <c r="H14" s="3">
        <f>SUMIFS(Daily!$H$2:$H$618,Daily!$A$2:$A$618,"&gt;="&amp;$A14,Daily!$A$2:$A$618,"&lt;"&amp;EDATE($A14,1))</f>
        <v>19969208</v>
      </c>
      <c r="I14" s="3">
        <f>SUMIFS(Daily!$I$2:$I$618,Daily!$A$2:$A$618,"&gt;="&amp;$A14,Daily!$A$2:$A$618,"&lt;"&amp;EDATE($A14,1))</f>
        <v>29797754</v>
      </c>
      <c r="J14" s="3">
        <f>SUMIFS(Daily!$J$2:$J$618,Daily!$A$2:$A$618,"&gt;="&amp;$A14,Daily!$A$2:$A$618,"&lt;"&amp;EDATE($A14,1))</f>
        <v>14103595870</v>
      </c>
      <c r="K14" s="3">
        <f>SUMIFS(Daily!$K$2:$K$618,Daily!$A$2:$A$618,"&gt;="&amp;$A14,Daily!$A$2:$A$618,"&lt;"&amp;EDATE($A14,1))</f>
        <v>203860810</v>
      </c>
      <c r="L14" s="3">
        <f>SUMIFS(Daily!$L$2:$L$618,Daily!$A$2:$A$618,"&gt;="&amp;$A14,Daily!$A$2:$A$618,"&lt;"&amp;EDATE($A14,1))</f>
        <v>7871002208</v>
      </c>
      <c r="M14" s="3">
        <f>SUMIFS(Daily!$M$2:$M$618,Daily!$A$2:$A$618,"&gt;="&amp;$A14,Daily!$A$2:$A$618,"&lt;"&amp;EDATE($A14,1))</f>
        <v>6627937849</v>
      </c>
      <c r="N14" s="3">
        <f>SUMIFS(Daily!$N$2:$N$618,Daily!$A$2:$A$618,"&gt;="&amp;$A14,Daily!$A$2:$A$618,"&lt;"&amp;EDATE($A14,1))</f>
        <v>416358187</v>
      </c>
      <c r="O14" s="3">
        <f>SUMIFS(Daily!$O$2:$O$618,Daily!$A$2:$A$618,"&gt;="&amp;$A14,Daily!$A$2:$A$618,"&lt;"&amp;EDATE($A14,1))</f>
        <v>1681980</v>
      </c>
      <c r="P14" s="3">
        <f t="shared" si="0"/>
        <v>34090577491</v>
      </c>
      <c r="Q14" s="3">
        <f t="shared" si="1"/>
        <v>10004804914</v>
      </c>
      <c r="R14" s="8">
        <f t="shared" si="2"/>
        <v>0.41538235412692526</v>
      </c>
    </row>
    <row r="15" spans="1:18" x14ac:dyDescent="0.25">
      <c r="A15" s="5">
        <v>46054</v>
      </c>
      <c r="B15" s="3">
        <f>SUMIFS(Daily!$B$2:$B$618,Daily!$A$2:$A$618,"&gt;="&amp;$A15,Daily!$A$2:$A$618,"&lt;"&amp;EDATE($A15,1))</f>
        <v>2141396624</v>
      </c>
      <c r="C15" s="3">
        <f>SUMIFS(Daily!$C$2:$C$618,Daily!$A$2:$A$618,"&gt;="&amp;$A15,Daily!$A$2:$A$618,"&lt;"&amp;EDATE($A15,1))</f>
        <v>157006494</v>
      </c>
      <c r="D15" s="3">
        <f>SUMIFS(Daily!$D$2:$D$618,Daily!$A$2:$A$618,"&gt;="&amp;$A15,Daily!$A$2:$A$618,"&lt;"&amp;EDATE($A15,1))</f>
        <v>25</v>
      </c>
      <c r="E15" s="3">
        <f>SUMIFS(Daily!$E$2:$E$618,Daily!$A$2:$A$618,"&gt;="&amp;$A15,Daily!$A$2:$A$618,"&lt;"&amp;EDATE($A15,1))</f>
        <v>86427916</v>
      </c>
      <c r="F15" s="3">
        <f>SUMIFS(Daily!$F$2:$F$618,Daily!$A$2:$A$618,"&gt;="&amp;$A15,Daily!$A$2:$A$618,"&lt;"&amp;EDATE($A15,1))</f>
        <v>0</v>
      </c>
      <c r="G15" s="3">
        <f>SUMIFS(Daily!$G$2:$G$618,Daily!$A$2:$A$618,"&gt;="&amp;$A15,Daily!$A$2:$A$618,"&lt;"&amp;EDATE($A15,1))</f>
        <v>1628790095</v>
      </c>
      <c r="H15" s="3">
        <f>SUMIFS(Daily!$H$2:$H$618,Daily!$A$2:$A$618,"&gt;="&amp;$A15,Daily!$A$2:$A$618,"&lt;"&amp;EDATE($A15,1))</f>
        <v>1490157</v>
      </c>
      <c r="I15" s="3">
        <f>SUMIFS(Daily!$I$2:$I$618,Daily!$A$2:$A$618,"&gt;="&amp;$A15,Daily!$A$2:$A$618,"&lt;"&amp;EDATE($A15,1))</f>
        <v>16931621</v>
      </c>
      <c r="J15" s="3">
        <f>SUMIFS(Daily!$J$2:$J$618,Daily!$A$2:$A$618,"&gt;="&amp;$A15,Daily!$A$2:$A$618,"&lt;"&amp;EDATE($A15,1))</f>
        <v>13709909101</v>
      </c>
      <c r="K15" s="3">
        <f>SUMIFS(Daily!$K$2:$K$618,Daily!$A$2:$A$618,"&gt;="&amp;$A15,Daily!$A$2:$A$618,"&lt;"&amp;EDATE($A15,1))</f>
        <v>133994150</v>
      </c>
      <c r="L15" s="3">
        <f>SUMIFS(Daily!$L$2:$L$618,Daily!$A$2:$A$618,"&gt;="&amp;$A15,Daily!$A$2:$A$618,"&lt;"&amp;EDATE($A15,1))</f>
        <v>7639558531</v>
      </c>
      <c r="M15" s="3">
        <f>SUMIFS(Daily!$M$2:$M$618,Daily!$A$2:$A$618,"&gt;="&amp;$A15,Daily!$A$2:$A$618,"&lt;"&amp;EDATE($A15,1))</f>
        <v>7718358143</v>
      </c>
      <c r="N15" s="3">
        <f>SUMIFS(Daily!$N$2:$N$618,Daily!$A$2:$A$618,"&gt;="&amp;$A15,Daily!$A$2:$A$618,"&lt;"&amp;EDATE($A15,1))</f>
        <v>695251924</v>
      </c>
      <c r="O15" s="3">
        <f>SUMIFS(Daily!$O$2:$O$618,Daily!$A$2:$A$618,"&gt;="&amp;$A15,Daily!$A$2:$A$618,"&lt;"&amp;EDATE($A15,1))</f>
        <v>1032911</v>
      </c>
      <c r="P15" s="3">
        <f t="shared" si="0"/>
        <v>33930147692</v>
      </c>
      <c r="Q15" s="3">
        <f t="shared" si="1"/>
        <v>-160429799</v>
      </c>
      <c r="R15" s="8">
        <f t="shared" si="2"/>
        <v>-4.7059865454714966E-3</v>
      </c>
    </row>
    <row r="16" spans="1:18" x14ac:dyDescent="0.25">
      <c r="A16" s="5">
        <v>46082</v>
      </c>
      <c r="B16" s="3">
        <f>SUMIFS(Daily!$B$2:$B$618,Daily!$A$2:$A$618,"&gt;="&amp;$A16,Daily!$A$2:$A$618,"&lt;"&amp;EDATE($A16,1))</f>
        <v>3633094924</v>
      </c>
      <c r="C16" s="3">
        <f>SUMIFS(Daily!$C$2:$C$618,Daily!$A$2:$A$618,"&gt;="&amp;$A16,Daily!$A$2:$A$618,"&lt;"&amp;EDATE($A16,1))</f>
        <v>293597091</v>
      </c>
      <c r="D16" s="3">
        <f>SUMIFS(Daily!$D$2:$D$618,Daily!$A$2:$A$618,"&gt;="&amp;$A16,Daily!$A$2:$A$618,"&lt;"&amp;EDATE($A16,1))</f>
        <v>6999</v>
      </c>
      <c r="E16" s="3">
        <f>SUMIFS(Daily!$E$2:$E$618,Daily!$A$2:$A$618,"&gt;="&amp;$A16,Daily!$A$2:$A$618,"&lt;"&amp;EDATE($A16,1))</f>
        <v>1139685769</v>
      </c>
      <c r="F16" s="3">
        <f>SUMIFS(Daily!$F$2:$F$618,Daily!$A$2:$A$618,"&gt;="&amp;$A16,Daily!$A$2:$A$618,"&lt;"&amp;EDATE($A16,1))</f>
        <v>0</v>
      </c>
      <c r="G16" s="3">
        <f>SUMIFS(Daily!$G$2:$G$618,Daily!$A$2:$A$618,"&gt;="&amp;$A16,Daily!$A$2:$A$618,"&lt;"&amp;EDATE($A16,1))</f>
        <v>2962080820</v>
      </c>
      <c r="H16" s="3">
        <f>SUMIFS(Daily!$H$2:$H$618,Daily!$A$2:$A$618,"&gt;="&amp;$A16,Daily!$A$2:$A$618,"&lt;"&amp;EDATE($A16,1))</f>
        <v>3033135</v>
      </c>
      <c r="I16" s="3">
        <f>SUMIFS(Daily!$I$2:$I$618,Daily!$A$2:$A$618,"&gt;="&amp;$A16,Daily!$A$2:$A$618,"&lt;"&amp;EDATE($A16,1))</f>
        <v>7980312</v>
      </c>
      <c r="J16" s="3">
        <f>SUMIFS(Daily!$J$2:$J$618,Daily!$A$2:$A$618,"&gt;="&amp;$A16,Daily!$A$2:$A$618,"&lt;"&amp;EDATE($A16,1))</f>
        <v>13090038577</v>
      </c>
      <c r="K16" s="3">
        <f>SUMIFS(Daily!$K$2:$K$618,Daily!$A$2:$A$618,"&gt;="&amp;$A16,Daily!$A$2:$A$618,"&lt;"&amp;EDATE($A16,1))</f>
        <v>91756494</v>
      </c>
      <c r="L16" s="3">
        <f>SUMIFS(Daily!$L$2:$L$618,Daily!$A$2:$A$618,"&gt;="&amp;$A16,Daily!$A$2:$A$618,"&lt;"&amp;EDATE($A16,1))</f>
        <v>8507729995</v>
      </c>
      <c r="M16" s="3">
        <f>SUMIFS(Daily!$M$2:$M$618,Daily!$A$2:$A$618,"&gt;="&amp;$A16,Daily!$A$2:$A$618,"&lt;"&amp;EDATE($A16,1))</f>
        <v>4870740162</v>
      </c>
      <c r="N16" s="3">
        <f>SUMIFS(Daily!$N$2:$N$618,Daily!$A$2:$A$618,"&gt;="&amp;$A16,Daily!$A$2:$A$618,"&lt;"&amp;EDATE($A16,1))</f>
        <v>1358743746</v>
      </c>
      <c r="O16" s="3">
        <f>SUMIFS(Daily!$O$2:$O$618,Daily!$A$2:$A$618,"&gt;="&amp;$A16,Daily!$A$2:$A$618,"&lt;"&amp;EDATE($A16,1))</f>
        <v>388637</v>
      </c>
      <c r="P16" s="3">
        <f t="shared" si="0"/>
        <v>35958876661</v>
      </c>
      <c r="Q16" s="3">
        <f t="shared" si="1"/>
        <v>2028728969</v>
      </c>
      <c r="R16" s="8">
        <f t="shared" si="2"/>
        <v>5.9791339177646119E-2</v>
      </c>
    </row>
    <row r="17" spans="1:18" x14ac:dyDescent="0.25">
      <c r="A17" s="5">
        <v>46113</v>
      </c>
      <c r="B17" s="3">
        <f>SUMIFS(Daily!$B$2:$B$618,Daily!$A$2:$A$618,"&gt;="&amp;$A17,Daily!$A$2:$A$618,"&lt;"&amp;EDATE($A17,1))</f>
        <v>4688067063</v>
      </c>
      <c r="C17" s="3">
        <f>SUMIFS(Daily!$C$2:$C$618,Daily!$A$2:$A$618,"&gt;="&amp;$A17,Daily!$A$2:$A$618,"&lt;"&amp;EDATE($A17,1))</f>
        <v>254541870</v>
      </c>
      <c r="D17" s="3">
        <f>SUMIFS(Daily!$D$2:$D$618,Daily!$A$2:$A$618,"&gt;="&amp;$A17,Daily!$A$2:$A$618,"&lt;"&amp;EDATE($A17,1))</f>
        <v>0</v>
      </c>
      <c r="E17" s="3">
        <f>SUMIFS(Daily!$E$2:$E$618,Daily!$A$2:$A$618,"&gt;="&amp;$A17,Daily!$A$2:$A$618,"&lt;"&amp;EDATE($A17,1))</f>
        <v>204802472</v>
      </c>
      <c r="F17" s="3">
        <f>SUMIFS(Daily!$F$2:$F$618,Daily!$A$2:$A$618,"&gt;="&amp;$A17,Daily!$A$2:$A$618,"&lt;"&amp;EDATE($A17,1))</f>
        <v>0</v>
      </c>
      <c r="G17" s="3">
        <f>SUMIFS(Daily!$G$2:$G$618,Daily!$A$2:$A$618,"&gt;="&amp;$A17,Daily!$A$2:$A$618,"&lt;"&amp;EDATE($A17,1))</f>
        <v>2720469733</v>
      </c>
      <c r="H17" s="3">
        <f>SUMIFS(Daily!$H$2:$H$618,Daily!$A$2:$A$618,"&gt;="&amp;$A17,Daily!$A$2:$A$618,"&lt;"&amp;EDATE($A17,1))</f>
        <v>82811</v>
      </c>
      <c r="I17" s="3">
        <f>SUMIFS(Daily!$I$2:$I$618,Daily!$A$2:$A$618,"&gt;="&amp;$A17,Daily!$A$2:$A$618,"&lt;"&amp;EDATE($A17,1))</f>
        <v>15649850</v>
      </c>
      <c r="J17" s="3">
        <f>SUMIFS(Daily!$J$2:$J$618,Daily!$A$2:$A$618,"&gt;="&amp;$A17,Daily!$A$2:$A$618,"&lt;"&amp;EDATE($A17,1))</f>
        <v>9108123055</v>
      </c>
      <c r="K17" s="3">
        <f>SUMIFS(Daily!$K$2:$K$618,Daily!$A$2:$A$618,"&gt;="&amp;$A17,Daily!$A$2:$A$618,"&lt;"&amp;EDATE($A17,1))</f>
        <v>156991917</v>
      </c>
      <c r="L17" s="3">
        <f>SUMIFS(Daily!$L$2:$L$618,Daily!$A$2:$A$618,"&gt;="&amp;$A17,Daily!$A$2:$A$618,"&lt;"&amp;EDATE($A17,1))</f>
        <v>13001615556</v>
      </c>
      <c r="M17" s="3">
        <f>SUMIFS(Daily!$M$2:$M$618,Daily!$A$2:$A$618,"&gt;="&amp;$A17,Daily!$A$2:$A$618,"&lt;"&amp;EDATE($A17,1))</f>
        <v>9886454893</v>
      </c>
      <c r="N17" s="3">
        <f>SUMIFS(Daily!$N$2:$N$618,Daily!$A$2:$A$618,"&gt;="&amp;$A17,Daily!$A$2:$A$618,"&lt;"&amp;EDATE($A17,1))</f>
        <v>790816332</v>
      </c>
      <c r="O17" s="3">
        <f>SUMIFS(Daily!$O$2:$O$618,Daily!$A$2:$A$618,"&gt;="&amp;$A17,Daily!$A$2:$A$618,"&lt;"&amp;EDATE($A17,1))</f>
        <v>7681688</v>
      </c>
      <c r="P17" s="3">
        <f t="shared" si="0"/>
        <v>40835297240</v>
      </c>
      <c r="Q17" s="3">
        <f t="shared" si="1"/>
        <v>4876420579</v>
      </c>
      <c r="R17" s="8">
        <f t="shared" si="2"/>
        <v>0.13561103771322292</v>
      </c>
    </row>
    <row r="18" spans="1:18" x14ac:dyDescent="0.25">
      <c r="A18" s="5">
        <v>46143</v>
      </c>
      <c r="B18" s="3">
        <f>SUMIFS(Daily!$B$2:$B$618,Daily!$A$2:$A$618,"&gt;="&amp;$A18,Daily!$A$2:$A$618,"&lt;"&amp;EDATE($A18,1))</f>
        <v>5127702198</v>
      </c>
      <c r="C18" s="3">
        <f>SUMIFS(Daily!$C$2:$C$618,Daily!$A$2:$A$618,"&gt;="&amp;$A18,Daily!$A$2:$A$618,"&lt;"&amp;EDATE($A18,1))</f>
        <v>212878720</v>
      </c>
      <c r="D18" s="3">
        <f>SUMIFS(Daily!$D$2:$D$618,Daily!$A$2:$A$618,"&gt;="&amp;$A18,Daily!$A$2:$A$618,"&lt;"&amp;EDATE($A18,1))</f>
        <v>0</v>
      </c>
      <c r="E18" s="3">
        <f>SUMIFS(Daily!$E$2:$E$618,Daily!$A$2:$A$618,"&gt;="&amp;$A18,Daily!$A$2:$A$618,"&lt;"&amp;EDATE($A18,1))</f>
        <v>469153334</v>
      </c>
      <c r="F18" s="3">
        <f>SUMIFS(Daily!$F$2:$F$618,Daily!$A$2:$A$618,"&gt;="&amp;$A18,Daily!$A$2:$A$618,"&lt;"&amp;EDATE($A18,1))</f>
        <v>0</v>
      </c>
      <c r="G18" s="3">
        <f>SUMIFS(Daily!$G$2:$G$618,Daily!$A$2:$A$618,"&gt;="&amp;$A18,Daily!$A$2:$A$618,"&lt;"&amp;EDATE($A18,1))</f>
        <v>3806957004</v>
      </c>
      <c r="H18" s="3">
        <f>SUMIFS(Daily!$H$2:$H$618,Daily!$A$2:$A$618,"&gt;="&amp;$A18,Daily!$A$2:$A$618,"&lt;"&amp;EDATE($A18,1))</f>
        <v>1029734677</v>
      </c>
      <c r="I18" s="3">
        <f>SUMIFS(Daily!$I$2:$I$618,Daily!$A$2:$A$618,"&gt;="&amp;$A18,Daily!$A$2:$A$618,"&lt;"&amp;EDATE($A18,1))</f>
        <v>12254880</v>
      </c>
      <c r="J18" s="3">
        <f>SUMIFS(Daily!$J$2:$J$618,Daily!$A$2:$A$618,"&gt;="&amp;$A18,Daily!$A$2:$A$618,"&lt;"&amp;EDATE($A18,1))</f>
        <v>6505424889</v>
      </c>
      <c r="K18" s="3">
        <f>SUMIFS(Daily!$K$2:$K$618,Daily!$A$2:$A$618,"&gt;="&amp;$A18,Daily!$A$2:$A$618,"&lt;"&amp;EDATE($A18,1))</f>
        <v>422918152</v>
      </c>
      <c r="L18" s="3">
        <f>SUMIFS(Daily!$L$2:$L$618,Daily!$A$2:$A$618,"&gt;="&amp;$A18,Daily!$A$2:$A$618,"&lt;"&amp;EDATE($A18,1))</f>
        <v>4458036642</v>
      </c>
      <c r="M18" s="3">
        <f>SUMIFS(Daily!$M$2:$M$618,Daily!$A$2:$A$618,"&gt;="&amp;$A18,Daily!$A$2:$A$618,"&lt;"&amp;EDATE($A18,1))</f>
        <v>3185949911</v>
      </c>
      <c r="N18" s="3">
        <f>SUMIFS(Daily!$N$2:$N$618,Daily!$A$2:$A$618,"&gt;="&amp;$A18,Daily!$A$2:$A$618,"&lt;"&amp;EDATE($A18,1))</f>
        <v>802770071</v>
      </c>
      <c r="O18" s="3">
        <f>SUMIFS(Daily!$O$2:$O$618,Daily!$A$2:$A$618,"&gt;="&amp;$A18,Daily!$A$2:$A$618,"&lt;"&amp;EDATE($A18,1))</f>
        <v>928733</v>
      </c>
      <c r="P18" s="3">
        <f t="shared" si="0"/>
        <v>26034709211</v>
      </c>
      <c r="Q18" s="3">
        <f t="shared" si="1"/>
        <v>-14800588029</v>
      </c>
      <c r="R18" s="8">
        <f t="shared" si="2"/>
        <v>-0.36244594822006493</v>
      </c>
    </row>
    <row r="19" spans="1:18" x14ac:dyDescent="0.25">
      <c r="A19" s="5">
        <v>46174</v>
      </c>
      <c r="B19" s="3">
        <f>SUMIFS(Daily!$B$2:$B$618,Daily!$A$2:$A$618,"&gt;="&amp;$A19,Daily!$A$2:$A$618,"&lt;"&amp;EDATE($A19,1))</f>
        <v>2200322832</v>
      </c>
      <c r="C19" s="3">
        <f>SUMIFS(Daily!$C$2:$C$618,Daily!$A$2:$A$618,"&gt;="&amp;$A19,Daily!$A$2:$A$618,"&lt;"&amp;EDATE($A19,1))</f>
        <v>370018307</v>
      </c>
      <c r="D19" s="3">
        <f>SUMIFS(Daily!$D$2:$D$618,Daily!$A$2:$A$618,"&gt;="&amp;$A19,Daily!$A$2:$A$618,"&lt;"&amp;EDATE($A19,1))</f>
        <v>0</v>
      </c>
      <c r="E19" s="3">
        <f>SUMIFS(Daily!$E$2:$E$618,Daily!$A$2:$A$618,"&gt;="&amp;$A19,Daily!$A$2:$A$618,"&lt;"&amp;EDATE($A19,1))</f>
        <v>1031831800</v>
      </c>
      <c r="F19" s="3">
        <f>SUMIFS(Daily!$F$2:$F$618,Daily!$A$2:$A$618,"&gt;="&amp;$A19,Daily!$A$2:$A$618,"&lt;"&amp;EDATE($A19,1))</f>
        <v>0</v>
      </c>
      <c r="G19" s="3">
        <f>SUMIFS(Daily!$G$2:$G$618,Daily!$A$2:$A$618,"&gt;="&amp;$A19,Daily!$A$2:$A$618,"&lt;"&amp;EDATE($A19,1))</f>
        <v>9203244125</v>
      </c>
      <c r="H19" s="3">
        <f>SUMIFS(Daily!$H$2:$H$618,Daily!$A$2:$A$618,"&gt;="&amp;$A19,Daily!$A$2:$A$618,"&lt;"&amp;EDATE($A19,1))</f>
        <v>938580684</v>
      </c>
      <c r="I19" s="3">
        <f>SUMIFS(Daily!$I$2:$I$618,Daily!$A$2:$A$618,"&gt;="&amp;$A19,Daily!$A$2:$A$618,"&lt;"&amp;EDATE($A19,1))</f>
        <v>18837565</v>
      </c>
      <c r="J19" s="3">
        <f>SUMIFS(Daily!$J$2:$J$618,Daily!$A$2:$A$618,"&gt;="&amp;$A19,Daily!$A$2:$A$618,"&lt;"&amp;EDATE($A19,1))</f>
        <v>5391858563</v>
      </c>
      <c r="K19" s="3">
        <f>SUMIFS(Daily!$K$2:$K$618,Daily!$A$2:$A$618,"&gt;="&amp;$A19,Daily!$A$2:$A$618,"&lt;"&amp;EDATE($A19,1))</f>
        <v>82084178</v>
      </c>
      <c r="L19" s="3">
        <f>SUMIFS(Daily!$L$2:$L$618,Daily!$A$2:$A$618,"&gt;="&amp;$A19,Daily!$A$2:$A$618,"&lt;"&amp;EDATE($A19,1))</f>
        <v>15026453046</v>
      </c>
      <c r="M19" s="3">
        <f>SUMIFS(Daily!$M$2:$M$618,Daily!$A$2:$A$618,"&gt;="&amp;$A19,Daily!$A$2:$A$618,"&lt;"&amp;EDATE($A19,1))</f>
        <v>9518387403</v>
      </c>
      <c r="N19" s="3">
        <f>SUMIFS(Daily!$N$2:$N$618,Daily!$A$2:$A$618,"&gt;="&amp;$A19,Daily!$A$2:$A$618,"&lt;"&amp;EDATE($A19,1))</f>
        <v>1236801251</v>
      </c>
      <c r="O19" s="3">
        <f>SUMIFS(Daily!$O$2:$O$618,Daily!$A$2:$A$618,"&gt;="&amp;$A19,Daily!$A$2:$A$618,"&lt;"&amp;EDATE($A19,1))</f>
        <v>10762663</v>
      </c>
      <c r="P19" s="3">
        <f t="shared" si="0"/>
        <v>45029182417</v>
      </c>
      <c r="Q19" s="3">
        <f t="shared" si="1"/>
        <v>18994473206</v>
      </c>
      <c r="R19" s="8">
        <f t="shared" si="2"/>
        <v>0.72958269101675199</v>
      </c>
    </row>
    <row r="20" spans="1:18" x14ac:dyDescent="0.25">
      <c r="A20" s="5">
        <v>46204</v>
      </c>
      <c r="B20" s="3">
        <f>SUMIFS(Daily!$B$2:$B$618,Daily!$A$2:$A$618,"&gt;="&amp;$A20,Daily!$A$2:$A$618,"&lt;"&amp;EDATE($A20,1))</f>
        <v>2363854246</v>
      </c>
      <c r="C20" s="3">
        <f>SUMIFS(Daily!$C$2:$C$618,Daily!$A$2:$A$618,"&gt;="&amp;$A20,Daily!$A$2:$A$618,"&lt;"&amp;EDATE($A20,1))</f>
        <v>345212300</v>
      </c>
      <c r="D20" s="3">
        <f>SUMIFS(Daily!$D$2:$D$618,Daily!$A$2:$A$618,"&gt;="&amp;$A20,Daily!$A$2:$A$618,"&lt;"&amp;EDATE($A20,1))</f>
        <v>0</v>
      </c>
      <c r="E20" s="3">
        <f>SUMIFS(Daily!$E$2:$E$618,Daily!$A$2:$A$618,"&gt;="&amp;$A20,Daily!$A$2:$A$618,"&lt;"&amp;EDATE($A20,1))</f>
        <v>746752625</v>
      </c>
      <c r="F20" s="3">
        <f>SUMIFS(Daily!$F$2:$F$618,Daily!$A$2:$A$618,"&gt;="&amp;$A20,Daily!$A$2:$A$618,"&lt;"&amp;EDATE($A20,1))</f>
        <v>5983</v>
      </c>
      <c r="G20" s="3">
        <f>SUMIFS(Daily!$G$2:$G$618,Daily!$A$2:$A$618,"&gt;="&amp;$A20,Daily!$A$2:$A$618,"&lt;"&amp;EDATE($A20,1))</f>
        <v>8991368547</v>
      </c>
      <c r="H20" s="3">
        <f>SUMIFS(Daily!$H$2:$H$618,Daily!$A$2:$A$618,"&gt;="&amp;$A20,Daily!$A$2:$A$618,"&lt;"&amp;EDATE($A20,1))</f>
        <v>62104645</v>
      </c>
      <c r="I20" s="3">
        <f>SUMIFS(Daily!$I$2:$I$618,Daily!$A$2:$A$618,"&gt;="&amp;$A20,Daily!$A$2:$A$618,"&lt;"&amp;EDATE($A20,1))</f>
        <v>5471681</v>
      </c>
      <c r="J20" s="3">
        <f>SUMIFS(Daily!$J$2:$J$618,Daily!$A$2:$A$618,"&gt;="&amp;$A20,Daily!$A$2:$A$618,"&lt;"&amp;EDATE($A20,1))</f>
        <v>3730138628</v>
      </c>
      <c r="K20" s="3">
        <f>SUMIFS(Daily!$K$2:$K$618,Daily!$A$2:$A$618,"&gt;="&amp;$A20,Daily!$A$2:$A$618,"&lt;"&amp;EDATE($A20,1))</f>
        <v>171049003</v>
      </c>
      <c r="L20" s="3">
        <f>SUMIFS(Daily!$L$2:$L$618,Daily!$A$2:$A$618,"&gt;="&amp;$A20,Daily!$A$2:$A$618,"&lt;"&amp;EDATE($A20,1))</f>
        <v>5573823933</v>
      </c>
      <c r="M20" s="3">
        <f>SUMIFS(Daily!$M$2:$M$618,Daily!$A$2:$A$618,"&gt;="&amp;$A20,Daily!$A$2:$A$618,"&lt;"&amp;EDATE($A20,1))</f>
        <v>2947669970</v>
      </c>
      <c r="N20" s="3">
        <f>SUMIFS(Daily!$N$2:$N$618,Daily!$A$2:$A$618,"&gt;="&amp;$A20,Daily!$A$2:$A$618,"&lt;"&amp;EDATE($A20,1))</f>
        <v>928098889</v>
      </c>
      <c r="O20" s="3">
        <f>SUMIFS(Daily!$O$2:$O$618,Daily!$A$2:$A$618,"&gt;="&amp;$A20,Daily!$A$2:$A$618,"&lt;"&amp;EDATE($A20,1))</f>
        <v>14206867</v>
      </c>
      <c r="P20" s="3">
        <f t="shared" si="0"/>
        <v>25879757317</v>
      </c>
      <c r="Q20" s="3">
        <f t="shared" si="1"/>
        <v>-19149425100</v>
      </c>
      <c r="R20" s="8">
        <f t="shared" si="2"/>
        <v>-0.42526699513803434</v>
      </c>
    </row>
    <row r="21" spans="1:18" x14ac:dyDescent="0.25">
      <c r="A21" s="5">
        <v>46235</v>
      </c>
      <c r="B21" s="3">
        <f>SUMIFS(Daily!$B$2:$B$618,Daily!$A$2:$A$618,"&gt;="&amp;$A21,Daily!$A$2:$A$618,"&lt;"&amp;EDATE($A21,1))</f>
        <v>2128009883</v>
      </c>
      <c r="C21" s="3">
        <f>SUMIFS(Daily!$C$2:$C$618,Daily!$A$2:$A$618,"&gt;="&amp;$A21,Daily!$A$2:$A$618,"&lt;"&amp;EDATE($A21,1))</f>
        <v>274278543</v>
      </c>
      <c r="D21" s="3">
        <f>SUMIFS(Daily!$D$2:$D$618,Daily!$A$2:$A$618,"&gt;="&amp;$A21,Daily!$A$2:$A$618,"&lt;"&amp;EDATE($A21,1))</f>
        <v>0</v>
      </c>
      <c r="E21" s="3">
        <f>SUMIFS(Daily!$E$2:$E$618,Daily!$A$2:$A$618,"&gt;="&amp;$A21,Daily!$A$2:$A$618,"&lt;"&amp;EDATE($A21,1))</f>
        <v>306965948</v>
      </c>
      <c r="F21" s="3">
        <f>SUMIFS(Daily!$F$2:$F$618,Daily!$A$2:$A$618,"&gt;="&amp;$A21,Daily!$A$2:$A$618,"&lt;"&amp;EDATE($A21,1))</f>
        <v>21892</v>
      </c>
      <c r="G21" s="3">
        <f>SUMIFS(Daily!$G$2:$G$618,Daily!$A$2:$A$618,"&gt;="&amp;$A21,Daily!$A$2:$A$618,"&lt;"&amp;EDATE($A21,1))</f>
        <v>35702877271</v>
      </c>
      <c r="H21" s="3">
        <f>SUMIFS(Daily!$H$2:$H$618,Daily!$A$2:$A$618,"&gt;="&amp;$A21,Daily!$A$2:$A$618,"&lt;"&amp;EDATE($A21,1))</f>
        <v>3198466</v>
      </c>
      <c r="I21" s="3">
        <f>SUMIFS(Daily!$I$2:$I$618,Daily!$A$2:$A$618,"&gt;="&amp;$A21,Daily!$A$2:$A$618,"&lt;"&amp;EDATE($A21,1))</f>
        <v>2679887</v>
      </c>
      <c r="J21" s="3">
        <f>SUMIFS(Daily!$J$2:$J$618,Daily!$A$2:$A$618,"&gt;="&amp;$A21,Daily!$A$2:$A$618,"&lt;"&amp;EDATE($A21,1))</f>
        <v>7198149035</v>
      </c>
      <c r="K21" s="3">
        <f>SUMIFS(Daily!$K$2:$K$618,Daily!$A$2:$A$618,"&gt;="&amp;$A21,Daily!$A$2:$A$618,"&lt;"&amp;EDATE($A21,1))</f>
        <v>175155110</v>
      </c>
      <c r="L21" s="3">
        <f>SUMIFS(Daily!$L$2:$L$618,Daily!$A$2:$A$618,"&gt;="&amp;$A21,Daily!$A$2:$A$618,"&lt;"&amp;EDATE($A21,1))</f>
        <v>3791597420</v>
      </c>
      <c r="M21" s="3">
        <f>SUMIFS(Daily!$M$2:$M$618,Daily!$A$2:$A$618,"&gt;="&amp;$A21,Daily!$A$2:$A$618,"&lt;"&amp;EDATE($A21,1))</f>
        <v>4098519922</v>
      </c>
      <c r="N21" s="3">
        <f>SUMIFS(Daily!$N$2:$N$618,Daily!$A$2:$A$618,"&gt;="&amp;$A21,Daily!$A$2:$A$618,"&lt;"&amp;EDATE($A21,1))</f>
        <v>1211967509</v>
      </c>
      <c r="O21" s="3">
        <f>SUMIFS(Daily!$O$2:$O$618,Daily!$A$2:$A$618,"&gt;="&amp;$A21,Daily!$A$2:$A$618,"&lt;"&amp;EDATE($A21,1))</f>
        <v>144026</v>
      </c>
      <c r="P21" s="3">
        <f t="shared" si="0"/>
        <v>54893564912</v>
      </c>
      <c r="Q21" s="3">
        <f t="shared" si="1"/>
        <v>29013807595</v>
      </c>
      <c r="R21" s="8">
        <f t="shared" si="2"/>
        <v>1.1211004508122375</v>
      </c>
    </row>
    <row r="22" spans="1:18" x14ac:dyDescent="0.25">
      <c r="A22" s="9">
        <v>46266</v>
      </c>
      <c r="B22" s="3">
        <f>SUMIFS(Daily!$B$2:$B$618,Daily!$A$2:$A$618,"&gt;="&amp;$A22,Daily!$A$2:$A$618,"&lt;"&amp;EDATE($A22,1))</f>
        <v>1175552455</v>
      </c>
      <c r="C22" s="3">
        <f>SUMIFS(Daily!$C$2:$C$618,Daily!$A$2:$A$618,"&gt;="&amp;$A22,Daily!$A$2:$A$618,"&lt;"&amp;EDATE($A22,1))</f>
        <v>101626500</v>
      </c>
      <c r="D22" s="3">
        <f>SUMIFS(Daily!$D$2:$D$618,Daily!$A$2:$A$618,"&gt;="&amp;$A22,Daily!$A$2:$A$618,"&lt;"&amp;EDATE($A22,1))</f>
        <v>0</v>
      </c>
      <c r="E22" s="3">
        <f>SUMIFS(Daily!$E$2:$E$618,Daily!$A$2:$A$618,"&gt;="&amp;$A22,Daily!$A$2:$A$618,"&lt;"&amp;EDATE($A22,1))</f>
        <v>82958041</v>
      </c>
      <c r="F22" s="3">
        <f>SUMIFS(Daily!$F$2:$F$618,Daily!$A$2:$A$618,"&gt;="&amp;$A22,Daily!$A$2:$A$618,"&lt;"&amp;EDATE($A22,1))</f>
        <v>322938</v>
      </c>
      <c r="G22" s="3">
        <f>SUMIFS(Daily!$G$2:$G$618,Daily!$A$2:$A$618,"&gt;="&amp;$A22,Daily!$A$2:$A$618,"&lt;"&amp;EDATE($A22,1))</f>
        <v>13955341715</v>
      </c>
      <c r="H22" s="3">
        <f>SUMIFS(Daily!$H$2:$H$618,Daily!$A$2:$A$618,"&gt;="&amp;$A22,Daily!$A$2:$A$618,"&lt;"&amp;EDATE($A22,1))</f>
        <v>9903133</v>
      </c>
      <c r="I22" s="3">
        <f>SUMIFS(Daily!$I$2:$I$618,Daily!$A$2:$A$618,"&gt;="&amp;$A22,Daily!$A$2:$A$618,"&lt;"&amp;EDATE($A22,1))</f>
        <v>562725</v>
      </c>
      <c r="J22" s="3">
        <f>SUMIFS(Daily!$J$2:$J$618,Daily!$A$2:$A$618,"&gt;="&amp;$A22,Daily!$A$2:$A$618,"&lt;"&amp;EDATE($A22,1))</f>
        <v>2014479792</v>
      </c>
      <c r="K22" s="3">
        <f>SUMIFS(Daily!$K$2:$K$618,Daily!$A$2:$A$618,"&gt;="&amp;$A22,Daily!$A$2:$A$618,"&lt;"&amp;EDATE($A22,1))</f>
        <v>30712204</v>
      </c>
      <c r="L22" s="3">
        <f>SUMIFS(Daily!$L$2:$L$618,Daily!$A$2:$A$618,"&gt;="&amp;$A22,Daily!$A$2:$A$618,"&lt;"&amp;EDATE($A22,1))</f>
        <v>1282078752</v>
      </c>
      <c r="M22" s="3">
        <f>SUMIFS(Daily!$M$2:$M$618,Daily!$A$2:$A$618,"&gt;="&amp;$A22,Daily!$A$2:$A$618,"&lt;"&amp;EDATE($A22,1))</f>
        <v>2141912760</v>
      </c>
      <c r="N22" s="3">
        <f>SUMIFS(Daily!$N$2:$N$618,Daily!$A$2:$A$618,"&gt;="&amp;$A22,Daily!$A$2:$A$618,"&lt;"&amp;EDATE($A22,1))</f>
        <v>396859123</v>
      </c>
      <c r="O22" s="3">
        <f>SUMIFS(Daily!$O$2:$O$618,Daily!$A$2:$A$618,"&gt;="&amp;$A22,Daily!$A$2:$A$618,"&lt;"&amp;EDATE($A22,1))</f>
        <v>65065</v>
      </c>
      <c r="P22" s="3">
        <f t="shared" si="0"/>
        <v>21192375203</v>
      </c>
      <c r="Q22" s="3">
        <f t="shared" si="1"/>
        <v>-33701189709</v>
      </c>
      <c r="R22" s="8">
        <f t="shared" si="2"/>
        <v>-0.61393698447215905</v>
      </c>
    </row>
    <row r="24" spans="1:18" x14ac:dyDescent="0.25">
      <c r="A24" s="4" t="s">
        <v>22</v>
      </c>
    </row>
    <row r="25" spans="1:18" x14ac:dyDescent="0.25">
      <c r="A25" s="10" t="s">
        <v>23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2026-09-11T04:25:23Z</dcterms:created>
  <dcterms:modified xsi:type="dcterms:W3CDTF">2026-09-11T04:25:47Z</dcterms:modified>
</cp:coreProperties>
</file>