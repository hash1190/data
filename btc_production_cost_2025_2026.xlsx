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Daily Data" sheetId="2" state="visible" r:id="rId4"/>
    <sheet name="Char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<sst xmlns="http://schemas.openxmlformats.org/spreadsheetml/2006/main" count="31" uniqueCount="31">
  <si>
    <t xml:space="preserve">Bitcoin Industry Production Cost Model — Assumptions</t>
  </si>
  <si>
    <t xml:space="preserve">Electricity price ($/kWh)</t>
  </si>
  <si>
    <t xml:space="preserve">Industrial mining PPA benchmark; CBECI default. Efficient miners: $0.03-0.05; hosted: $0.07-0.08</t>
  </si>
  <si>
    <t xml:space="preserve">Electricity share of cash cost (%)</t>
  </si>
  <si>
    <t xml:space="preserve">Electricity typically 60-80% of cash opex (labor, hosting, maintenance = rest). Default calibrated so cash cost ~ JPMorgan estimate (~$77k, Feb-26)</t>
  </si>
  <si>
    <t xml:space="preserve">Electricity share of all-in cost (%)</t>
  </si>
  <si>
    <t xml:space="preserve">All-in adds D&amp;A/hardware amortisation + SG&amp;A. Default calibrated so all-in ~ Checkonchain difficulty-regression estimate (~$87k, Feb-26)</t>
  </si>
  <si>
    <t xml:space="preserve">Methodology</t>
  </si>
  <si>
    <t xml:space="preserve">1. Network power draw (GW): Cambridge CBECI daily estimates (MIN / best-GUESS / MAX), which embed a profitability-weighted ASIC fleet efficiency model.</t>
  </si>
  <si>
    <t xml:space="preserve">2. Electrical cost per BTC = power (GW) x 24h x 1e6 x electricity price ($/kWh) / BTC issued that day (from coinbase subsidy issuance).</t>
  </si>
  <si>
    <t xml:space="preserve">3. Cash cost per BTC = electrical cost / electricity share of cash cost.</t>
  </si>
  <si>
    <t xml:space="preserve">4. All-in cost per BTC = electrical cost / electricity share of all-in cost (captures D&amp;A, SG&amp;A).</t>
  </si>
  <si>
    <t xml:space="preserve">5. Headline series = 7-day moving average of all-in cost (daily issuance is lumpy due to block-time variance).</t>
  </si>
  <si>
    <t xml:space="preserve">Sources: Cambridge CBECI (ccaf.io/cbnsi/cbeci) API pulled 02-Jul-2026; Blockchain.com charts API (hashrate, difficulty, issuance, price) pulled 02-Jul-2026.</t>
  </si>
  <si>
    <t xml:space="preserve">Cross-checks: Checkonchain industry avg ~$87k (Feb-26, per CoinDesk); JPMorgan ~$77k (Feb-26); Capriole "electrical cost" is energy-only and hence lower by design.</t>
  </si>
  <si>
    <t xml:space="preserve">Date</t>
  </si>
  <si>
    <t xml:space="preserve">Hashrate (EH/s)</t>
  </si>
  <si>
    <t xml:space="preserve">Difficulty (T)</t>
  </si>
  <si>
    <t xml:space="preserve">BTC Issued</t>
  </si>
  <si>
    <t xml:space="preserve">Network Power MIN (GW)</t>
  </si>
  <si>
    <t xml:space="preserve">Network Power GUESS (GW)</t>
  </si>
  <si>
    <t xml:space="preserve">Network Power MAX (GW)</t>
  </si>
  <si>
    <t xml:space="preserve">Implied Fleet Eff. (J/TH)</t>
  </si>
  <si>
    <t xml:space="preserve">BTC Price ($)</t>
  </si>
  <si>
    <t xml:space="preserve">Electrical Cost/BTC ($)</t>
  </si>
  <si>
    <t xml:space="preserve">Cash Cost/BTC ($)</t>
  </si>
  <si>
    <t xml:space="preserve">All-in Cost/BTC ($)</t>
  </si>
  <si>
    <t xml:space="preserve">All-in Cost LOW ($, MIN pwr)</t>
  </si>
  <si>
    <t xml:space="preserve">All-in Cost HIGH ($, MAX pwr)</t>
  </si>
  <si>
    <t xml:space="preserve">All-in Cost/BTC 7DMA ($)</t>
  </si>
  <si>
    <t xml:space="preserve">Price / All-in Cost (x)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</si>
</sst>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0.000"/>
    <numFmt numFmtId="166" formatCode="0%"/>
    <numFmt numFmtId="167" formatCode="dd\-mmm\-yy"/>
    <numFmt numFmtId="168" formatCode="#,##0"/>
    <numFmt numFmtId="169" formatCode="0.0"/>
    <numFmt numFmtId="170" formatCode="\$#,##0"/>
    <numFmt numFmtId="171" formatCode="0.00\x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9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BTC Price vs Industry All-in Production Cost (7DMA)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'Daily Data'!O1</c:f>
              <c:strCache>
                <c:ptCount val="1"/>
                <c:pt idx="0">
                  <c:v>All-in Cost/BTC 7DMA ($)</c:v>
                </c:pt>
              </c:strCache>
            </c:strRef>
          </c:tx>
          <c:spPr>
            <a:solidFill>
              <a:srgbClr val="4a7ebb"/>
            </a:solidFill>
            <a:ln w="180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'Daily Data'!$A$2:$A$549</c:f>
              <c:strCache>
                <c:ptCount val="548"/>
                <c:pt idx="0">
                  <c:v>01-Jan-25</c:v>
                </c:pt>
                <c:pt idx="1">
                  <c:v>02-Jan-25</c:v>
                </c:pt>
                <c:pt idx="2">
                  <c:v>03-Jan-25</c:v>
                </c:pt>
                <c:pt idx="3">
                  <c:v>04-Jan-25</c:v>
                </c:pt>
                <c:pt idx="4">
                  <c:v>05-Jan-25</c:v>
                </c:pt>
                <c:pt idx="5">
                  <c:v>06-Jan-25</c:v>
                </c:pt>
                <c:pt idx="6">
                  <c:v>07-Jan-25</c:v>
                </c:pt>
                <c:pt idx="7">
                  <c:v>08-Jan-25</c:v>
                </c:pt>
                <c:pt idx="8">
                  <c:v>09-Jan-25</c:v>
                </c:pt>
                <c:pt idx="9">
                  <c:v>10-Jan-25</c:v>
                </c:pt>
                <c:pt idx="10">
                  <c:v>11-Jan-25</c:v>
                </c:pt>
                <c:pt idx="11">
                  <c:v>12-Jan-25</c:v>
                </c:pt>
                <c:pt idx="12">
                  <c:v>13-Jan-25</c:v>
                </c:pt>
                <c:pt idx="13">
                  <c:v>14-Jan-25</c:v>
                </c:pt>
                <c:pt idx="14">
                  <c:v>15-Jan-25</c:v>
                </c:pt>
                <c:pt idx="15">
                  <c:v>16-Jan-25</c:v>
                </c:pt>
                <c:pt idx="16">
                  <c:v>17-Jan-25</c:v>
                </c:pt>
                <c:pt idx="17">
                  <c:v>18-Jan-25</c:v>
                </c:pt>
                <c:pt idx="18">
                  <c:v>19-Jan-25</c:v>
                </c:pt>
                <c:pt idx="19">
                  <c:v>20-Jan-25</c:v>
                </c:pt>
                <c:pt idx="20">
                  <c:v>21-Jan-25</c:v>
                </c:pt>
                <c:pt idx="21">
                  <c:v>22-Jan-25</c:v>
                </c:pt>
                <c:pt idx="22">
                  <c:v>23-Jan-25</c:v>
                </c:pt>
                <c:pt idx="23">
                  <c:v>24-Jan-25</c:v>
                </c:pt>
                <c:pt idx="24">
                  <c:v>25-Jan-25</c:v>
                </c:pt>
                <c:pt idx="25">
                  <c:v>26-Jan-25</c:v>
                </c:pt>
                <c:pt idx="26">
                  <c:v>27-Jan-25</c:v>
                </c:pt>
                <c:pt idx="27">
                  <c:v>28-Jan-25</c:v>
                </c:pt>
                <c:pt idx="28">
                  <c:v>29-Jan-25</c:v>
                </c:pt>
                <c:pt idx="29">
                  <c:v>30-Jan-25</c:v>
                </c:pt>
                <c:pt idx="30">
                  <c:v>31-Jan-25</c:v>
                </c:pt>
                <c:pt idx="31">
                  <c:v>01-Feb-25</c:v>
                </c:pt>
                <c:pt idx="32">
                  <c:v>02-Feb-25</c:v>
                </c:pt>
                <c:pt idx="33">
                  <c:v>03-Feb-25</c:v>
                </c:pt>
                <c:pt idx="34">
                  <c:v>04-Feb-25</c:v>
                </c:pt>
                <c:pt idx="35">
                  <c:v>05-Feb-25</c:v>
                </c:pt>
                <c:pt idx="36">
                  <c:v>06-Feb-25</c:v>
                </c:pt>
                <c:pt idx="37">
                  <c:v>07-Feb-25</c:v>
                </c:pt>
                <c:pt idx="38">
                  <c:v>08-Feb-25</c:v>
                </c:pt>
                <c:pt idx="39">
                  <c:v>09-Feb-25</c:v>
                </c:pt>
                <c:pt idx="40">
                  <c:v>10-Feb-25</c:v>
                </c:pt>
                <c:pt idx="41">
                  <c:v>11-Feb-25</c:v>
                </c:pt>
                <c:pt idx="42">
                  <c:v>12-Feb-25</c:v>
                </c:pt>
                <c:pt idx="43">
                  <c:v>13-Feb-25</c:v>
                </c:pt>
                <c:pt idx="44">
                  <c:v>14-Feb-25</c:v>
                </c:pt>
                <c:pt idx="45">
                  <c:v>15-Feb-25</c:v>
                </c:pt>
                <c:pt idx="46">
                  <c:v>16-Feb-25</c:v>
                </c:pt>
                <c:pt idx="47">
                  <c:v>17-Feb-25</c:v>
                </c:pt>
                <c:pt idx="48">
                  <c:v>18-Feb-25</c:v>
                </c:pt>
                <c:pt idx="49">
                  <c:v>19-Feb-25</c:v>
                </c:pt>
                <c:pt idx="50">
                  <c:v>20-Feb-25</c:v>
                </c:pt>
                <c:pt idx="51">
                  <c:v>21-Feb-25</c:v>
                </c:pt>
                <c:pt idx="52">
                  <c:v>22-Feb-25</c:v>
                </c:pt>
                <c:pt idx="53">
                  <c:v>23-Feb-25</c:v>
                </c:pt>
                <c:pt idx="54">
                  <c:v>24-Feb-25</c:v>
                </c:pt>
                <c:pt idx="55">
                  <c:v>25-Feb-25</c:v>
                </c:pt>
                <c:pt idx="56">
                  <c:v>26-Feb-25</c:v>
                </c:pt>
                <c:pt idx="57">
                  <c:v>27-Feb-25</c:v>
                </c:pt>
                <c:pt idx="58">
                  <c:v>28-Feb-25</c:v>
                </c:pt>
                <c:pt idx="59">
                  <c:v>01-Mar-25</c:v>
                </c:pt>
                <c:pt idx="60">
                  <c:v>02-Mar-25</c:v>
                </c:pt>
                <c:pt idx="61">
                  <c:v>03-Mar-25</c:v>
                </c:pt>
                <c:pt idx="62">
                  <c:v>04-Mar-25</c:v>
                </c:pt>
                <c:pt idx="63">
                  <c:v>05-Mar-25</c:v>
                </c:pt>
                <c:pt idx="64">
                  <c:v>06-Mar-25</c:v>
                </c:pt>
                <c:pt idx="65">
                  <c:v>07-Mar-25</c:v>
                </c:pt>
                <c:pt idx="66">
                  <c:v>08-Mar-25</c:v>
                </c:pt>
                <c:pt idx="67">
                  <c:v>09-Mar-25</c:v>
                </c:pt>
                <c:pt idx="68">
                  <c:v>10-Mar-25</c:v>
                </c:pt>
                <c:pt idx="69">
                  <c:v>11-Mar-25</c:v>
                </c:pt>
                <c:pt idx="70">
                  <c:v>12-Mar-25</c:v>
                </c:pt>
                <c:pt idx="71">
                  <c:v>13-Mar-25</c:v>
                </c:pt>
                <c:pt idx="72">
                  <c:v>14-Mar-25</c:v>
                </c:pt>
                <c:pt idx="73">
                  <c:v>15-Mar-25</c:v>
                </c:pt>
                <c:pt idx="74">
                  <c:v>16-Mar-25</c:v>
                </c:pt>
                <c:pt idx="75">
                  <c:v>17-Mar-25</c:v>
                </c:pt>
                <c:pt idx="76">
                  <c:v>18-Mar-25</c:v>
                </c:pt>
                <c:pt idx="77">
                  <c:v>19-Mar-25</c:v>
                </c:pt>
                <c:pt idx="78">
                  <c:v>20-Mar-25</c:v>
                </c:pt>
                <c:pt idx="79">
                  <c:v>21-Mar-25</c:v>
                </c:pt>
                <c:pt idx="80">
                  <c:v>22-Mar-25</c:v>
                </c:pt>
                <c:pt idx="81">
                  <c:v>23-Mar-25</c:v>
                </c:pt>
                <c:pt idx="82">
                  <c:v>24-Mar-25</c:v>
                </c:pt>
                <c:pt idx="83">
                  <c:v>25-Mar-25</c:v>
                </c:pt>
                <c:pt idx="84">
                  <c:v>26-Mar-25</c:v>
                </c:pt>
                <c:pt idx="85">
                  <c:v>27-Mar-25</c:v>
                </c:pt>
                <c:pt idx="86">
                  <c:v>28-Mar-25</c:v>
                </c:pt>
                <c:pt idx="87">
                  <c:v>29-Mar-25</c:v>
                </c:pt>
                <c:pt idx="88">
                  <c:v>30-Mar-25</c:v>
                </c:pt>
                <c:pt idx="89">
                  <c:v>31-Mar-25</c:v>
                </c:pt>
                <c:pt idx="90">
                  <c:v>01-Apr-25</c:v>
                </c:pt>
                <c:pt idx="91">
                  <c:v>02-Apr-25</c:v>
                </c:pt>
                <c:pt idx="92">
                  <c:v>03-Apr-25</c:v>
                </c:pt>
                <c:pt idx="93">
                  <c:v>04-Apr-25</c:v>
                </c:pt>
                <c:pt idx="94">
                  <c:v>05-Apr-25</c:v>
                </c:pt>
                <c:pt idx="95">
                  <c:v>06-Apr-25</c:v>
                </c:pt>
                <c:pt idx="96">
                  <c:v>07-Apr-25</c:v>
                </c:pt>
                <c:pt idx="97">
                  <c:v>08-Apr-25</c:v>
                </c:pt>
                <c:pt idx="98">
                  <c:v>09-Apr-25</c:v>
                </c:pt>
                <c:pt idx="99">
                  <c:v>10-Apr-25</c:v>
                </c:pt>
                <c:pt idx="100">
                  <c:v>11-Apr-25</c:v>
                </c:pt>
                <c:pt idx="101">
                  <c:v>12-Apr-25</c:v>
                </c:pt>
                <c:pt idx="102">
                  <c:v>13-Apr-25</c:v>
                </c:pt>
                <c:pt idx="103">
                  <c:v>14-Apr-25</c:v>
                </c:pt>
                <c:pt idx="104">
                  <c:v>15-Apr-25</c:v>
                </c:pt>
                <c:pt idx="105">
                  <c:v>16-Apr-25</c:v>
                </c:pt>
                <c:pt idx="106">
                  <c:v>17-Apr-25</c:v>
                </c:pt>
                <c:pt idx="107">
                  <c:v>18-Apr-25</c:v>
                </c:pt>
                <c:pt idx="108">
                  <c:v>19-Apr-25</c:v>
                </c:pt>
                <c:pt idx="109">
                  <c:v>20-Apr-25</c:v>
                </c:pt>
                <c:pt idx="110">
                  <c:v>21-Apr-25</c:v>
                </c:pt>
                <c:pt idx="111">
                  <c:v>22-Apr-25</c:v>
                </c:pt>
                <c:pt idx="112">
                  <c:v>23-Apr-25</c:v>
                </c:pt>
                <c:pt idx="113">
                  <c:v>24-Apr-25</c:v>
                </c:pt>
                <c:pt idx="114">
                  <c:v>25-Apr-25</c:v>
                </c:pt>
                <c:pt idx="115">
                  <c:v>26-Apr-25</c:v>
                </c:pt>
                <c:pt idx="116">
                  <c:v>27-Apr-25</c:v>
                </c:pt>
                <c:pt idx="117">
                  <c:v>28-Apr-25</c:v>
                </c:pt>
                <c:pt idx="118">
                  <c:v>29-Apr-25</c:v>
                </c:pt>
                <c:pt idx="119">
                  <c:v>30-Apr-25</c:v>
                </c:pt>
                <c:pt idx="120">
                  <c:v>01-May-25</c:v>
                </c:pt>
                <c:pt idx="121">
                  <c:v>02-May-25</c:v>
                </c:pt>
                <c:pt idx="122">
                  <c:v>03-May-25</c:v>
                </c:pt>
                <c:pt idx="123">
                  <c:v>04-May-25</c:v>
                </c:pt>
                <c:pt idx="124">
                  <c:v>05-May-25</c:v>
                </c:pt>
                <c:pt idx="125">
                  <c:v>06-May-25</c:v>
                </c:pt>
                <c:pt idx="126">
                  <c:v>07-May-25</c:v>
                </c:pt>
                <c:pt idx="127">
                  <c:v>08-May-25</c:v>
                </c:pt>
                <c:pt idx="128">
                  <c:v>09-May-25</c:v>
                </c:pt>
                <c:pt idx="129">
                  <c:v>10-May-25</c:v>
                </c:pt>
                <c:pt idx="130">
                  <c:v>11-May-25</c:v>
                </c:pt>
                <c:pt idx="131">
                  <c:v>12-May-25</c:v>
                </c:pt>
                <c:pt idx="132">
                  <c:v>13-May-25</c:v>
                </c:pt>
                <c:pt idx="133">
                  <c:v>14-May-25</c:v>
                </c:pt>
                <c:pt idx="134">
                  <c:v>15-May-25</c:v>
                </c:pt>
                <c:pt idx="135">
                  <c:v>16-May-25</c:v>
                </c:pt>
                <c:pt idx="136">
                  <c:v>17-May-25</c:v>
                </c:pt>
                <c:pt idx="137">
                  <c:v>18-May-25</c:v>
                </c:pt>
                <c:pt idx="138">
                  <c:v>19-May-25</c:v>
                </c:pt>
                <c:pt idx="139">
                  <c:v>20-May-25</c:v>
                </c:pt>
                <c:pt idx="140">
                  <c:v>21-May-25</c:v>
                </c:pt>
                <c:pt idx="141">
                  <c:v>22-May-25</c:v>
                </c:pt>
                <c:pt idx="142">
                  <c:v>23-May-25</c:v>
                </c:pt>
                <c:pt idx="143">
                  <c:v>24-May-25</c:v>
                </c:pt>
                <c:pt idx="144">
                  <c:v>25-May-25</c:v>
                </c:pt>
                <c:pt idx="145">
                  <c:v>26-May-25</c:v>
                </c:pt>
                <c:pt idx="146">
                  <c:v>27-May-25</c:v>
                </c:pt>
                <c:pt idx="147">
                  <c:v>28-May-25</c:v>
                </c:pt>
                <c:pt idx="148">
                  <c:v>29-May-25</c:v>
                </c:pt>
                <c:pt idx="149">
                  <c:v>30-May-25</c:v>
                </c:pt>
                <c:pt idx="150">
                  <c:v>31-May-25</c:v>
                </c:pt>
                <c:pt idx="151">
                  <c:v>01-Jun-25</c:v>
                </c:pt>
                <c:pt idx="152">
                  <c:v>02-Jun-25</c:v>
                </c:pt>
                <c:pt idx="153">
                  <c:v>03-Jun-25</c:v>
                </c:pt>
                <c:pt idx="154">
                  <c:v>04-Jun-25</c:v>
                </c:pt>
                <c:pt idx="155">
                  <c:v>05-Jun-25</c:v>
                </c:pt>
                <c:pt idx="156">
                  <c:v>06-Jun-25</c:v>
                </c:pt>
                <c:pt idx="157">
                  <c:v>07-Jun-25</c:v>
                </c:pt>
                <c:pt idx="158">
                  <c:v>08-Jun-25</c:v>
                </c:pt>
                <c:pt idx="159">
                  <c:v>09-Jun-25</c:v>
                </c:pt>
                <c:pt idx="160">
                  <c:v>10-Jun-25</c:v>
                </c:pt>
                <c:pt idx="161">
                  <c:v>11-Jun-25</c:v>
                </c:pt>
                <c:pt idx="162">
                  <c:v>12-Jun-25</c:v>
                </c:pt>
                <c:pt idx="163">
                  <c:v>13-Jun-25</c:v>
                </c:pt>
                <c:pt idx="164">
                  <c:v>14-Jun-25</c:v>
                </c:pt>
                <c:pt idx="165">
                  <c:v>15-Jun-25</c:v>
                </c:pt>
                <c:pt idx="166">
                  <c:v>16-Jun-25</c:v>
                </c:pt>
                <c:pt idx="167">
                  <c:v>17-Jun-25</c:v>
                </c:pt>
                <c:pt idx="168">
                  <c:v>18-Jun-25</c:v>
                </c:pt>
                <c:pt idx="169">
                  <c:v>19-Jun-25</c:v>
                </c:pt>
                <c:pt idx="170">
                  <c:v>20-Jun-25</c:v>
                </c:pt>
                <c:pt idx="171">
                  <c:v>21-Jun-25</c:v>
                </c:pt>
                <c:pt idx="172">
                  <c:v>22-Jun-25</c:v>
                </c:pt>
                <c:pt idx="173">
                  <c:v>23-Jun-25</c:v>
                </c:pt>
                <c:pt idx="174">
                  <c:v>24-Jun-25</c:v>
                </c:pt>
                <c:pt idx="175">
                  <c:v>25-Jun-25</c:v>
                </c:pt>
                <c:pt idx="176">
                  <c:v>26-Jun-25</c:v>
                </c:pt>
                <c:pt idx="177">
                  <c:v>27-Jun-25</c:v>
                </c:pt>
                <c:pt idx="178">
                  <c:v>28-Jun-25</c:v>
                </c:pt>
                <c:pt idx="179">
                  <c:v>29-Jun-25</c:v>
                </c:pt>
                <c:pt idx="180">
                  <c:v>30-Jun-25</c:v>
                </c:pt>
                <c:pt idx="181">
                  <c:v>01-Jul-25</c:v>
                </c:pt>
                <c:pt idx="182">
                  <c:v>02-Jul-25</c:v>
                </c:pt>
                <c:pt idx="183">
                  <c:v>03-Jul-25</c:v>
                </c:pt>
                <c:pt idx="184">
                  <c:v>04-Jul-25</c:v>
                </c:pt>
                <c:pt idx="185">
                  <c:v>05-Jul-25</c:v>
                </c:pt>
                <c:pt idx="186">
                  <c:v>06-Jul-25</c:v>
                </c:pt>
                <c:pt idx="187">
                  <c:v>07-Jul-25</c:v>
                </c:pt>
                <c:pt idx="188">
                  <c:v>08-Jul-25</c:v>
                </c:pt>
                <c:pt idx="189">
                  <c:v>09-Jul-25</c:v>
                </c:pt>
                <c:pt idx="190">
                  <c:v>10-Jul-25</c:v>
                </c:pt>
                <c:pt idx="191">
                  <c:v>11-Jul-25</c:v>
                </c:pt>
                <c:pt idx="192">
                  <c:v>12-Jul-25</c:v>
                </c:pt>
                <c:pt idx="193">
                  <c:v>13-Jul-25</c:v>
                </c:pt>
                <c:pt idx="194">
                  <c:v>14-Jul-25</c:v>
                </c:pt>
                <c:pt idx="195">
                  <c:v>15-Jul-25</c:v>
                </c:pt>
                <c:pt idx="196">
                  <c:v>16-Jul-25</c:v>
                </c:pt>
                <c:pt idx="197">
                  <c:v>17-Jul-25</c:v>
                </c:pt>
                <c:pt idx="198">
                  <c:v>18-Jul-25</c:v>
                </c:pt>
                <c:pt idx="199">
                  <c:v>19-Jul-25</c:v>
                </c:pt>
                <c:pt idx="200">
                  <c:v>20-Jul-25</c:v>
                </c:pt>
                <c:pt idx="201">
                  <c:v>21-Jul-25</c:v>
                </c:pt>
                <c:pt idx="202">
                  <c:v>22-Jul-25</c:v>
                </c:pt>
                <c:pt idx="203">
                  <c:v>23-Jul-25</c:v>
                </c:pt>
                <c:pt idx="204">
                  <c:v>24-Jul-25</c:v>
                </c:pt>
                <c:pt idx="205">
                  <c:v>25-Jul-25</c:v>
                </c:pt>
                <c:pt idx="206">
                  <c:v>26-Jul-25</c:v>
                </c:pt>
                <c:pt idx="207">
                  <c:v>27-Jul-25</c:v>
                </c:pt>
                <c:pt idx="208">
                  <c:v>28-Jul-25</c:v>
                </c:pt>
                <c:pt idx="209">
                  <c:v>29-Jul-25</c:v>
                </c:pt>
                <c:pt idx="210">
                  <c:v>30-Jul-25</c:v>
                </c:pt>
                <c:pt idx="211">
                  <c:v>31-Jul-25</c:v>
                </c:pt>
                <c:pt idx="212">
                  <c:v>01-Aug-25</c:v>
                </c:pt>
                <c:pt idx="213">
                  <c:v>02-Aug-25</c:v>
                </c:pt>
                <c:pt idx="214">
                  <c:v>03-Aug-25</c:v>
                </c:pt>
                <c:pt idx="215">
                  <c:v>04-Aug-25</c:v>
                </c:pt>
                <c:pt idx="216">
                  <c:v>05-Aug-25</c:v>
                </c:pt>
                <c:pt idx="217">
                  <c:v>06-Aug-25</c:v>
                </c:pt>
                <c:pt idx="218">
                  <c:v>07-Aug-25</c:v>
                </c:pt>
                <c:pt idx="219">
                  <c:v>08-Aug-25</c:v>
                </c:pt>
                <c:pt idx="220">
                  <c:v>09-Aug-25</c:v>
                </c:pt>
                <c:pt idx="221">
                  <c:v>10-Aug-25</c:v>
                </c:pt>
                <c:pt idx="222">
                  <c:v>11-Aug-25</c:v>
                </c:pt>
                <c:pt idx="223">
                  <c:v>12-Aug-25</c:v>
                </c:pt>
                <c:pt idx="224">
                  <c:v>13-Aug-25</c:v>
                </c:pt>
                <c:pt idx="225">
                  <c:v>14-Aug-25</c:v>
                </c:pt>
                <c:pt idx="226">
                  <c:v>15-Aug-25</c:v>
                </c:pt>
                <c:pt idx="227">
                  <c:v>16-Aug-25</c:v>
                </c:pt>
                <c:pt idx="228">
                  <c:v>17-Aug-25</c:v>
                </c:pt>
                <c:pt idx="229">
                  <c:v>18-Aug-25</c:v>
                </c:pt>
                <c:pt idx="230">
                  <c:v>19-Aug-25</c:v>
                </c:pt>
                <c:pt idx="231">
                  <c:v>20-Aug-25</c:v>
                </c:pt>
                <c:pt idx="232">
                  <c:v>21-Aug-25</c:v>
                </c:pt>
                <c:pt idx="233">
                  <c:v>22-Aug-25</c:v>
                </c:pt>
                <c:pt idx="234">
                  <c:v>23-Aug-25</c:v>
                </c:pt>
                <c:pt idx="235">
                  <c:v>24-Aug-25</c:v>
                </c:pt>
                <c:pt idx="236">
                  <c:v>25-Aug-25</c:v>
                </c:pt>
                <c:pt idx="237">
                  <c:v>26-Aug-25</c:v>
                </c:pt>
                <c:pt idx="238">
                  <c:v>27-Aug-25</c:v>
                </c:pt>
                <c:pt idx="239">
                  <c:v>28-Aug-25</c:v>
                </c:pt>
                <c:pt idx="240">
                  <c:v>29-Aug-25</c:v>
                </c:pt>
                <c:pt idx="241">
                  <c:v>30-Aug-25</c:v>
                </c:pt>
                <c:pt idx="242">
                  <c:v>31-Aug-25</c:v>
                </c:pt>
                <c:pt idx="243">
                  <c:v>01-Sep-25</c:v>
                </c:pt>
                <c:pt idx="244">
                  <c:v>02-Sep-25</c:v>
                </c:pt>
                <c:pt idx="245">
                  <c:v>03-Sep-25</c:v>
                </c:pt>
                <c:pt idx="246">
                  <c:v>04-Sep-25</c:v>
                </c:pt>
                <c:pt idx="247">
                  <c:v>05-Sep-25</c:v>
                </c:pt>
                <c:pt idx="248">
                  <c:v>06-Sep-25</c:v>
                </c:pt>
                <c:pt idx="249">
                  <c:v>07-Sep-25</c:v>
                </c:pt>
                <c:pt idx="250">
                  <c:v>08-Sep-25</c:v>
                </c:pt>
                <c:pt idx="251">
                  <c:v>09-Sep-25</c:v>
                </c:pt>
                <c:pt idx="252">
                  <c:v>10-Sep-25</c:v>
                </c:pt>
                <c:pt idx="253">
                  <c:v>11-Sep-25</c:v>
                </c:pt>
                <c:pt idx="254">
                  <c:v>12-Sep-25</c:v>
                </c:pt>
                <c:pt idx="255">
                  <c:v>13-Sep-25</c:v>
                </c:pt>
                <c:pt idx="256">
                  <c:v>14-Sep-25</c:v>
                </c:pt>
                <c:pt idx="257">
                  <c:v>15-Sep-25</c:v>
                </c:pt>
                <c:pt idx="258">
                  <c:v>16-Sep-25</c:v>
                </c:pt>
                <c:pt idx="259">
                  <c:v>17-Sep-25</c:v>
                </c:pt>
                <c:pt idx="260">
                  <c:v>18-Sep-25</c:v>
                </c:pt>
                <c:pt idx="261">
                  <c:v>19-Sep-25</c:v>
                </c:pt>
                <c:pt idx="262">
                  <c:v>20-Sep-25</c:v>
                </c:pt>
                <c:pt idx="263">
                  <c:v>21-Sep-25</c:v>
                </c:pt>
                <c:pt idx="264">
                  <c:v>22-Sep-25</c:v>
                </c:pt>
                <c:pt idx="265">
                  <c:v>23-Sep-25</c:v>
                </c:pt>
                <c:pt idx="266">
                  <c:v>24-Sep-25</c:v>
                </c:pt>
                <c:pt idx="267">
                  <c:v>25-Sep-25</c:v>
                </c:pt>
                <c:pt idx="268">
                  <c:v>26-Sep-25</c:v>
                </c:pt>
                <c:pt idx="269">
                  <c:v>27-Sep-25</c:v>
                </c:pt>
                <c:pt idx="270">
                  <c:v>28-Sep-25</c:v>
                </c:pt>
                <c:pt idx="271">
                  <c:v>29-Sep-25</c:v>
                </c:pt>
                <c:pt idx="272">
                  <c:v>30-Sep-25</c:v>
                </c:pt>
                <c:pt idx="273">
                  <c:v>01-Oct-25</c:v>
                </c:pt>
                <c:pt idx="274">
                  <c:v>02-Oct-25</c:v>
                </c:pt>
                <c:pt idx="275">
                  <c:v>03-Oct-25</c:v>
                </c:pt>
                <c:pt idx="276">
                  <c:v>04-Oct-25</c:v>
                </c:pt>
                <c:pt idx="277">
                  <c:v>05-Oct-25</c:v>
                </c:pt>
                <c:pt idx="278">
                  <c:v>06-Oct-25</c:v>
                </c:pt>
                <c:pt idx="279">
                  <c:v>07-Oct-25</c:v>
                </c:pt>
                <c:pt idx="280">
                  <c:v>08-Oct-25</c:v>
                </c:pt>
                <c:pt idx="281">
                  <c:v>09-Oct-25</c:v>
                </c:pt>
                <c:pt idx="282">
                  <c:v>10-Oct-25</c:v>
                </c:pt>
                <c:pt idx="283">
                  <c:v>11-Oct-25</c:v>
                </c:pt>
                <c:pt idx="284">
                  <c:v>12-Oct-25</c:v>
                </c:pt>
                <c:pt idx="285">
                  <c:v>13-Oct-25</c:v>
                </c:pt>
                <c:pt idx="286">
                  <c:v>14-Oct-25</c:v>
                </c:pt>
                <c:pt idx="287">
                  <c:v>15-Oct-25</c:v>
                </c:pt>
                <c:pt idx="288">
                  <c:v>16-Oct-25</c:v>
                </c:pt>
                <c:pt idx="289">
                  <c:v>17-Oct-25</c:v>
                </c:pt>
                <c:pt idx="290">
                  <c:v>18-Oct-25</c:v>
                </c:pt>
                <c:pt idx="291">
                  <c:v>19-Oct-25</c:v>
                </c:pt>
                <c:pt idx="292">
                  <c:v>20-Oct-25</c:v>
                </c:pt>
                <c:pt idx="293">
                  <c:v>21-Oct-25</c:v>
                </c:pt>
                <c:pt idx="294">
                  <c:v>22-Oct-25</c:v>
                </c:pt>
                <c:pt idx="295">
                  <c:v>23-Oct-25</c:v>
                </c:pt>
                <c:pt idx="296">
                  <c:v>24-Oct-25</c:v>
                </c:pt>
                <c:pt idx="297">
                  <c:v>25-Oct-25</c:v>
                </c:pt>
                <c:pt idx="298">
                  <c:v>26-Oct-25</c:v>
                </c:pt>
                <c:pt idx="299">
                  <c:v>27-Oct-25</c:v>
                </c:pt>
                <c:pt idx="300">
                  <c:v>28-Oct-25</c:v>
                </c:pt>
                <c:pt idx="301">
                  <c:v>29-Oct-25</c:v>
                </c:pt>
                <c:pt idx="302">
                  <c:v>30-Oct-25</c:v>
                </c:pt>
                <c:pt idx="303">
                  <c:v>31-Oct-25</c:v>
                </c:pt>
                <c:pt idx="304">
                  <c:v>01-Nov-25</c:v>
                </c:pt>
                <c:pt idx="305">
                  <c:v>02-Nov-25</c:v>
                </c:pt>
                <c:pt idx="306">
                  <c:v>03-Nov-25</c:v>
                </c:pt>
                <c:pt idx="307">
                  <c:v>04-Nov-25</c:v>
                </c:pt>
                <c:pt idx="308">
                  <c:v>05-Nov-25</c:v>
                </c:pt>
                <c:pt idx="309">
                  <c:v>06-Nov-25</c:v>
                </c:pt>
                <c:pt idx="310">
                  <c:v>07-Nov-25</c:v>
                </c:pt>
                <c:pt idx="311">
                  <c:v>08-Nov-25</c:v>
                </c:pt>
                <c:pt idx="312">
                  <c:v>09-Nov-25</c:v>
                </c:pt>
                <c:pt idx="313">
                  <c:v>10-Nov-25</c:v>
                </c:pt>
                <c:pt idx="314">
                  <c:v>11-Nov-25</c:v>
                </c:pt>
                <c:pt idx="315">
                  <c:v>12-Nov-25</c:v>
                </c:pt>
                <c:pt idx="316">
                  <c:v>13-Nov-25</c:v>
                </c:pt>
                <c:pt idx="317">
                  <c:v>14-Nov-25</c:v>
                </c:pt>
                <c:pt idx="318">
                  <c:v>15-Nov-25</c:v>
                </c:pt>
                <c:pt idx="319">
                  <c:v>16-Nov-25</c:v>
                </c:pt>
                <c:pt idx="320">
                  <c:v>17-Nov-25</c:v>
                </c:pt>
                <c:pt idx="321">
                  <c:v>18-Nov-25</c:v>
                </c:pt>
                <c:pt idx="322">
                  <c:v>19-Nov-25</c:v>
                </c:pt>
                <c:pt idx="323">
                  <c:v>20-Nov-25</c:v>
                </c:pt>
                <c:pt idx="324">
                  <c:v>21-Nov-25</c:v>
                </c:pt>
                <c:pt idx="325">
                  <c:v>22-Nov-25</c:v>
                </c:pt>
                <c:pt idx="326">
                  <c:v>23-Nov-25</c:v>
                </c:pt>
                <c:pt idx="327">
                  <c:v>24-Nov-25</c:v>
                </c:pt>
                <c:pt idx="328">
                  <c:v>25-Nov-25</c:v>
                </c:pt>
                <c:pt idx="329">
                  <c:v>26-Nov-25</c:v>
                </c:pt>
                <c:pt idx="330">
                  <c:v>27-Nov-25</c:v>
                </c:pt>
                <c:pt idx="331">
                  <c:v>28-Nov-25</c:v>
                </c:pt>
                <c:pt idx="332">
                  <c:v>29-Nov-25</c:v>
                </c:pt>
                <c:pt idx="333">
                  <c:v>30-Nov-25</c:v>
                </c:pt>
                <c:pt idx="334">
                  <c:v>01-Dec-25</c:v>
                </c:pt>
                <c:pt idx="335">
                  <c:v>02-Dec-25</c:v>
                </c:pt>
                <c:pt idx="336">
                  <c:v>03-Dec-25</c:v>
                </c:pt>
                <c:pt idx="337">
                  <c:v>04-Dec-25</c:v>
                </c:pt>
                <c:pt idx="338">
                  <c:v>05-Dec-25</c:v>
                </c:pt>
                <c:pt idx="339">
                  <c:v>06-Dec-25</c:v>
                </c:pt>
                <c:pt idx="340">
                  <c:v>07-Dec-25</c:v>
                </c:pt>
                <c:pt idx="341">
                  <c:v>08-Dec-25</c:v>
                </c:pt>
                <c:pt idx="342">
                  <c:v>09-Dec-25</c:v>
                </c:pt>
                <c:pt idx="343">
                  <c:v>10-Dec-25</c:v>
                </c:pt>
                <c:pt idx="344">
                  <c:v>11-Dec-25</c:v>
                </c:pt>
                <c:pt idx="345">
                  <c:v>12-Dec-25</c:v>
                </c:pt>
                <c:pt idx="346">
                  <c:v>13-Dec-25</c:v>
                </c:pt>
                <c:pt idx="347">
                  <c:v>14-Dec-25</c:v>
                </c:pt>
                <c:pt idx="348">
                  <c:v>15-Dec-25</c:v>
                </c:pt>
                <c:pt idx="349">
                  <c:v>16-Dec-25</c:v>
                </c:pt>
                <c:pt idx="350">
                  <c:v>17-Dec-25</c:v>
                </c:pt>
                <c:pt idx="351">
                  <c:v>18-Dec-25</c:v>
                </c:pt>
                <c:pt idx="352">
                  <c:v>19-Dec-25</c:v>
                </c:pt>
                <c:pt idx="353">
                  <c:v>20-Dec-25</c:v>
                </c:pt>
                <c:pt idx="354">
                  <c:v>21-Dec-25</c:v>
                </c:pt>
                <c:pt idx="355">
                  <c:v>22-Dec-25</c:v>
                </c:pt>
                <c:pt idx="356">
                  <c:v>23-Dec-25</c:v>
                </c:pt>
                <c:pt idx="357">
                  <c:v>24-Dec-25</c:v>
                </c:pt>
                <c:pt idx="358">
                  <c:v>25-Dec-25</c:v>
                </c:pt>
                <c:pt idx="359">
                  <c:v>26-Dec-25</c:v>
                </c:pt>
                <c:pt idx="360">
                  <c:v>27-Dec-25</c:v>
                </c:pt>
                <c:pt idx="361">
                  <c:v>28-Dec-25</c:v>
                </c:pt>
                <c:pt idx="362">
                  <c:v>29-Dec-25</c:v>
                </c:pt>
                <c:pt idx="363">
                  <c:v>30-Dec-25</c:v>
                </c:pt>
                <c:pt idx="364">
                  <c:v>31-Dec-25</c:v>
                </c:pt>
                <c:pt idx="365">
                  <c:v>01-Jan-26</c:v>
                </c:pt>
                <c:pt idx="366">
                  <c:v>02-Jan-26</c:v>
                </c:pt>
                <c:pt idx="367">
                  <c:v>03-Jan-26</c:v>
                </c:pt>
                <c:pt idx="368">
                  <c:v>04-Jan-26</c:v>
                </c:pt>
                <c:pt idx="369">
                  <c:v>05-Jan-26</c:v>
                </c:pt>
                <c:pt idx="370">
                  <c:v>06-Jan-26</c:v>
                </c:pt>
                <c:pt idx="371">
                  <c:v>07-Jan-26</c:v>
                </c:pt>
                <c:pt idx="372">
                  <c:v>08-Jan-26</c:v>
                </c:pt>
                <c:pt idx="373">
                  <c:v>09-Jan-26</c:v>
                </c:pt>
                <c:pt idx="374">
                  <c:v>10-Jan-26</c:v>
                </c:pt>
                <c:pt idx="375">
                  <c:v>11-Jan-26</c:v>
                </c:pt>
                <c:pt idx="376">
                  <c:v>12-Jan-26</c:v>
                </c:pt>
                <c:pt idx="377">
                  <c:v>13-Jan-26</c:v>
                </c:pt>
                <c:pt idx="378">
                  <c:v>14-Jan-26</c:v>
                </c:pt>
                <c:pt idx="379">
                  <c:v>15-Jan-26</c:v>
                </c:pt>
                <c:pt idx="380">
                  <c:v>16-Jan-26</c:v>
                </c:pt>
                <c:pt idx="381">
                  <c:v>17-Jan-26</c:v>
                </c:pt>
                <c:pt idx="382">
                  <c:v>18-Jan-26</c:v>
                </c:pt>
                <c:pt idx="383">
                  <c:v>19-Jan-26</c:v>
                </c:pt>
                <c:pt idx="384">
                  <c:v>20-Jan-26</c:v>
                </c:pt>
                <c:pt idx="385">
                  <c:v>21-Jan-26</c:v>
                </c:pt>
                <c:pt idx="386">
                  <c:v>22-Jan-26</c:v>
                </c:pt>
                <c:pt idx="387">
                  <c:v>23-Jan-26</c:v>
                </c:pt>
                <c:pt idx="388">
                  <c:v>24-Jan-26</c:v>
                </c:pt>
                <c:pt idx="389">
                  <c:v>25-Jan-26</c:v>
                </c:pt>
                <c:pt idx="390">
                  <c:v>26-Jan-26</c:v>
                </c:pt>
                <c:pt idx="391">
                  <c:v>27-Jan-26</c:v>
                </c:pt>
                <c:pt idx="392">
                  <c:v>28-Jan-26</c:v>
                </c:pt>
                <c:pt idx="393">
                  <c:v>29-Jan-26</c:v>
                </c:pt>
                <c:pt idx="394">
                  <c:v>30-Jan-26</c:v>
                </c:pt>
                <c:pt idx="395">
                  <c:v>31-Jan-26</c:v>
                </c:pt>
                <c:pt idx="396">
                  <c:v>01-Feb-26</c:v>
                </c:pt>
                <c:pt idx="397">
                  <c:v>02-Feb-26</c:v>
                </c:pt>
                <c:pt idx="398">
                  <c:v>03-Feb-26</c:v>
                </c:pt>
                <c:pt idx="399">
                  <c:v>04-Feb-26</c:v>
                </c:pt>
                <c:pt idx="400">
                  <c:v>05-Feb-26</c:v>
                </c:pt>
                <c:pt idx="401">
                  <c:v>06-Feb-26</c:v>
                </c:pt>
                <c:pt idx="402">
                  <c:v>07-Feb-26</c:v>
                </c:pt>
                <c:pt idx="403">
                  <c:v>08-Feb-26</c:v>
                </c:pt>
                <c:pt idx="404">
                  <c:v>09-Feb-26</c:v>
                </c:pt>
                <c:pt idx="405">
                  <c:v>10-Feb-26</c:v>
                </c:pt>
                <c:pt idx="406">
                  <c:v>11-Feb-26</c:v>
                </c:pt>
                <c:pt idx="407">
                  <c:v>12-Feb-26</c:v>
                </c:pt>
                <c:pt idx="408">
                  <c:v>13-Feb-26</c:v>
                </c:pt>
                <c:pt idx="409">
                  <c:v>14-Feb-26</c:v>
                </c:pt>
                <c:pt idx="410">
                  <c:v>15-Feb-26</c:v>
                </c:pt>
                <c:pt idx="411">
                  <c:v>16-Feb-26</c:v>
                </c:pt>
                <c:pt idx="412">
                  <c:v>17-Feb-26</c:v>
                </c:pt>
                <c:pt idx="413">
                  <c:v>18-Feb-26</c:v>
                </c:pt>
                <c:pt idx="414">
                  <c:v>19-Feb-26</c:v>
                </c:pt>
                <c:pt idx="415">
                  <c:v>20-Feb-26</c:v>
                </c:pt>
                <c:pt idx="416">
                  <c:v>21-Feb-26</c:v>
                </c:pt>
                <c:pt idx="417">
                  <c:v>22-Feb-26</c:v>
                </c:pt>
                <c:pt idx="418">
                  <c:v>23-Feb-26</c:v>
                </c:pt>
                <c:pt idx="419">
                  <c:v>24-Feb-26</c:v>
                </c:pt>
                <c:pt idx="420">
                  <c:v>25-Feb-26</c:v>
                </c:pt>
                <c:pt idx="421">
                  <c:v>26-Feb-26</c:v>
                </c:pt>
                <c:pt idx="422">
                  <c:v>27-Feb-26</c:v>
                </c:pt>
                <c:pt idx="423">
                  <c:v>28-Feb-26</c:v>
                </c:pt>
                <c:pt idx="424">
                  <c:v>01-Mar-26</c:v>
                </c:pt>
                <c:pt idx="425">
                  <c:v>02-Mar-26</c:v>
                </c:pt>
                <c:pt idx="426">
                  <c:v>03-Mar-26</c:v>
                </c:pt>
                <c:pt idx="427">
                  <c:v>04-Mar-26</c:v>
                </c:pt>
                <c:pt idx="428">
                  <c:v>05-Mar-26</c:v>
                </c:pt>
                <c:pt idx="429">
                  <c:v>06-Mar-26</c:v>
                </c:pt>
                <c:pt idx="430">
                  <c:v>07-Mar-26</c:v>
                </c:pt>
                <c:pt idx="431">
                  <c:v>08-Mar-26</c:v>
                </c:pt>
                <c:pt idx="432">
                  <c:v>09-Mar-26</c:v>
                </c:pt>
                <c:pt idx="433">
                  <c:v>10-Mar-26</c:v>
                </c:pt>
                <c:pt idx="434">
                  <c:v>11-Mar-26</c:v>
                </c:pt>
                <c:pt idx="435">
                  <c:v>12-Mar-26</c:v>
                </c:pt>
                <c:pt idx="436">
                  <c:v>13-Mar-26</c:v>
                </c:pt>
                <c:pt idx="437">
                  <c:v>14-Mar-26</c:v>
                </c:pt>
                <c:pt idx="438">
                  <c:v>15-Mar-26</c:v>
                </c:pt>
                <c:pt idx="439">
                  <c:v>16-Mar-26</c:v>
                </c:pt>
                <c:pt idx="440">
                  <c:v>17-Mar-26</c:v>
                </c:pt>
                <c:pt idx="441">
                  <c:v>18-Mar-26</c:v>
                </c:pt>
                <c:pt idx="442">
                  <c:v>19-Mar-26</c:v>
                </c:pt>
                <c:pt idx="443">
                  <c:v>20-Mar-26</c:v>
                </c:pt>
                <c:pt idx="444">
                  <c:v>21-Mar-26</c:v>
                </c:pt>
                <c:pt idx="445">
                  <c:v>22-Mar-26</c:v>
                </c:pt>
                <c:pt idx="446">
                  <c:v>23-Mar-26</c:v>
                </c:pt>
                <c:pt idx="447">
                  <c:v>24-Mar-26</c:v>
                </c:pt>
                <c:pt idx="448">
                  <c:v>25-Mar-26</c:v>
                </c:pt>
                <c:pt idx="449">
                  <c:v>26-Mar-26</c:v>
                </c:pt>
                <c:pt idx="450">
                  <c:v>27-Mar-26</c:v>
                </c:pt>
                <c:pt idx="451">
                  <c:v>28-Mar-26</c:v>
                </c:pt>
                <c:pt idx="452">
                  <c:v>29-Mar-26</c:v>
                </c:pt>
                <c:pt idx="453">
                  <c:v>30-Mar-26</c:v>
                </c:pt>
                <c:pt idx="454">
                  <c:v>31-Mar-26</c:v>
                </c:pt>
                <c:pt idx="455">
                  <c:v>01-Apr-26</c:v>
                </c:pt>
                <c:pt idx="456">
                  <c:v>02-Apr-26</c:v>
                </c:pt>
                <c:pt idx="457">
                  <c:v>03-Apr-26</c:v>
                </c:pt>
                <c:pt idx="458">
                  <c:v>04-Apr-26</c:v>
                </c:pt>
                <c:pt idx="459">
                  <c:v>05-Apr-26</c:v>
                </c:pt>
                <c:pt idx="460">
                  <c:v>06-Apr-26</c:v>
                </c:pt>
                <c:pt idx="461">
                  <c:v>07-Apr-26</c:v>
                </c:pt>
                <c:pt idx="462">
                  <c:v>08-Apr-26</c:v>
                </c:pt>
                <c:pt idx="463">
                  <c:v>09-Apr-26</c:v>
                </c:pt>
                <c:pt idx="464">
                  <c:v>10-Apr-26</c:v>
                </c:pt>
                <c:pt idx="465">
                  <c:v>11-Apr-26</c:v>
                </c:pt>
                <c:pt idx="466">
                  <c:v>12-Apr-26</c:v>
                </c:pt>
                <c:pt idx="467">
                  <c:v>13-Apr-26</c:v>
                </c:pt>
                <c:pt idx="468">
                  <c:v>14-Apr-26</c:v>
                </c:pt>
                <c:pt idx="469">
                  <c:v>15-Apr-26</c:v>
                </c:pt>
                <c:pt idx="470">
                  <c:v>16-Apr-26</c:v>
                </c:pt>
                <c:pt idx="471">
                  <c:v>17-Apr-26</c:v>
                </c:pt>
                <c:pt idx="472">
                  <c:v>18-Apr-26</c:v>
                </c:pt>
                <c:pt idx="473">
                  <c:v>19-Apr-26</c:v>
                </c:pt>
                <c:pt idx="474">
                  <c:v>20-Apr-26</c:v>
                </c:pt>
                <c:pt idx="475">
                  <c:v>21-Apr-26</c:v>
                </c:pt>
                <c:pt idx="476">
                  <c:v>22-Apr-26</c:v>
                </c:pt>
                <c:pt idx="477">
                  <c:v>23-Apr-26</c:v>
                </c:pt>
                <c:pt idx="478">
                  <c:v>24-Apr-26</c:v>
                </c:pt>
                <c:pt idx="479">
                  <c:v>25-Apr-26</c:v>
                </c:pt>
                <c:pt idx="480">
                  <c:v>26-Apr-26</c:v>
                </c:pt>
                <c:pt idx="481">
                  <c:v>27-Apr-26</c:v>
                </c:pt>
                <c:pt idx="482">
                  <c:v>28-Apr-26</c:v>
                </c:pt>
                <c:pt idx="483">
                  <c:v>29-Apr-26</c:v>
                </c:pt>
                <c:pt idx="484">
                  <c:v>30-Apr-26</c:v>
                </c:pt>
                <c:pt idx="485">
                  <c:v>01-May-26</c:v>
                </c:pt>
                <c:pt idx="486">
                  <c:v>02-May-26</c:v>
                </c:pt>
                <c:pt idx="487">
                  <c:v>03-May-26</c:v>
                </c:pt>
                <c:pt idx="488">
                  <c:v>04-May-26</c:v>
                </c:pt>
                <c:pt idx="489">
                  <c:v>05-May-26</c:v>
                </c:pt>
                <c:pt idx="490">
                  <c:v>06-May-26</c:v>
                </c:pt>
                <c:pt idx="491">
                  <c:v>07-May-26</c:v>
                </c:pt>
                <c:pt idx="492">
                  <c:v>08-May-26</c:v>
                </c:pt>
                <c:pt idx="493">
                  <c:v>09-May-26</c:v>
                </c:pt>
                <c:pt idx="494">
                  <c:v>10-May-26</c:v>
                </c:pt>
                <c:pt idx="495">
                  <c:v>11-May-26</c:v>
                </c:pt>
                <c:pt idx="496">
                  <c:v>12-May-26</c:v>
                </c:pt>
                <c:pt idx="497">
                  <c:v>13-May-26</c:v>
                </c:pt>
                <c:pt idx="498">
                  <c:v>14-May-26</c:v>
                </c:pt>
                <c:pt idx="499">
                  <c:v>15-May-26</c:v>
                </c:pt>
                <c:pt idx="500">
                  <c:v>16-May-26</c:v>
                </c:pt>
                <c:pt idx="501">
                  <c:v>17-May-26</c:v>
                </c:pt>
                <c:pt idx="502">
                  <c:v>18-May-26</c:v>
                </c:pt>
                <c:pt idx="503">
                  <c:v>19-May-26</c:v>
                </c:pt>
                <c:pt idx="504">
                  <c:v>20-May-26</c:v>
                </c:pt>
                <c:pt idx="505">
                  <c:v>21-May-26</c:v>
                </c:pt>
                <c:pt idx="506">
                  <c:v>22-May-26</c:v>
                </c:pt>
                <c:pt idx="507">
                  <c:v>23-May-26</c:v>
                </c:pt>
                <c:pt idx="508">
                  <c:v>24-May-26</c:v>
                </c:pt>
                <c:pt idx="509">
                  <c:v>25-May-26</c:v>
                </c:pt>
                <c:pt idx="510">
                  <c:v>26-May-26</c:v>
                </c:pt>
                <c:pt idx="511">
                  <c:v>27-May-26</c:v>
                </c:pt>
                <c:pt idx="512">
                  <c:v>28-May-26</c:v>
                </c:pt>
                <c:pt idx="513">
                  <c:v>29-May-26</c:v>
                </c:pt>
                <c:pt idx="514">
                  <c:v>30-May-26</c:v>
                </c:pt>
                <c:pt idx="515">
                  <c:v>31-May-26</c:v>
                </c:pt>
                <c:pt idx="516">
                  <c:v>01-Jun-26</c:v>
                </c:pt>
                <c:pt idx="517">
                  <c:v>02-Jun-26</c:v>
                </c:pt>
                <c:pt idx="518">
                  <c:v>03-Jun-26</c:v>
                </c:pt>
                <c:pt idx="519">
                  <c:v>04-Jun-26</c:v>
                </c:pt>
                <c:pt idx="520">
                  <c:v>05-Jun-26</c:v>
                </c:pt>
                <c:pt idx="521">
                  <c:v>06-Jun-26</c:v>
                </c:pt>
                <c:pt idx="522">
                  <c:v>07-Jun-26</c:v>
                </c:pt>
                <c:pt idx="523">
                  <c:v>08-Jun-26</c:v>
                </c:pt>
                <c:pt idx="524">
                  <c:v>09-Jun-26</c:v>
                </c:pt>
                <c:pt idx="525">
                  <c:v>10-Jun-26</c:v>
                </c:pt>
                <c:pt idx="526">
                  <c:v>11-Jun-26</c:v>
                </c:pt>
                <c:pt idx="527">
                  <c:v>12-Jun-26</c:v>
                </c:pt>
                <c:pt idx="528">
                  <c:v>13-Jun-26</c:v>
                </c:pt>
                <c:pt idx="529">
                  <c:v>14-Jun-26</c:v>
                </c:pt>
                <c:pt idx="530">
                  <c:v>15-Jun-26</c:v>
                </c:pt>
                <c:pt idx="531">
                  <c:v>16-Jun-26</c:v>
                </c:pt>
                <c:pt idx="532">
                  <c:v>17-Jun-26</c:v>
                </c:pt>
                <c:pt idx="533">
                  <c:v>18-Jun-26</c:v>
                </c:pt>
                <c:pt idx="534">
                  <c:v>19-Jun-26</c:v>
                </c:pt>
                <c:pt idx="535">
                  <c:v>20-Jun-26</c:v>
                </c:pt>
                <c:pt idx="536">
                  <c:v>21-Jun-26</c:v>
                </c:pt>
                <c:pt idx="537">
                  <c:v>22-Jun-26</c:v>
                </c:pt>
                <c:pt idx="538">
                  <c:v>23-Jun-26</c:v>
                </c:pt>
                <c:pt idx="539">
                  <c:v>24-Jun-26</c:v>
                </c:pt>
                <c:pt idx="540">
                  <c:v>25-Jun-26</c:v>
                </c:pt>
                <c:pt idx="541">
                  <c:v>26-Jun-26</c:v>
                </c:pt>
                <c:pt idx="542">
                  <c:v>27-Jun-26</c:v>
                </c:pt>
                <c:pt idx="543">
                  <c:v>28-Jun-26</c:v>
                </c:pt>
                <c:pt idx="544">
                  <c:v>29-Jun-26</c:v>
                </c:pt>
                <c:pt idx="545">
                  <c:v>30-Jun-26</c:v>
                </c:pt>
                <c:pt idx="546">
                  <c:v>01-Jul-26</c:v>
                </c:pt>
                <c:pt idx="547">
                  <c:v>02-Jul-26</c:v>
                </c:pt>
              </c:strCache>
            </c:strRef>
          </c:cat>
          <c:val>
            <c:numRef>
              <c:f>'Daily Data'!$O$2:$O$549</c:f>
              <c:numCache>
                <c:formatCode>\$#,##0</c:formatCode>
                <c:ptCount val="548"/>
                <c:pt idx="6">
                  <c:v>83979.4376439057</c:v>
                </c:pt>
                <c:pt idx="7">
                  <c:v>84980.7973574457</c:v>
                </c:pt>
                <c:pt idx="8">
                  <c:v>85124.0752047283</c:v>
                </c:pt>
                <c:pt idx="9">
                  <c:v>84391.4547317653</c:v>
                </c:pt>
                <c:pt idx="10">
                  <c:v>84408.6435404813</c:v>
                </c:pt>
                <c:pt idx="11">
                  <c:v>82832.161280709</c:v>
                </c:pt>
                <c:pt idx="12">
                  <c:v>82965.4007497846</c:v>
                </c:pt>
                <c:pt idx="13">
                  <c:v>81230.1435173437</c:v>
                </c:pt>
                <c:pt idx="14">
                  <c:v>80141.2225599087</c:v>
                </c:pt>
                <c:pt idx="15">
                  <c:v>82354.1337753798</c:v>
                </c:pt>
                <c:pt idx="16">
                  <c:v>81983.9797099385</c:v>
                </c:pt>
                <c:pt idx="17">
                  <c:v>83048.7349383164</c:v>
                </c:pt>
                <c:pt idx="18">
                  <c:v>84338.6867870258</c:v>
                </c:pt>
                <c:pt idx="19">
                  <c:v>82487.8917533191</c:v>
                </c:pt>
                <c:pt idx="20">
                  <c:v>83905.1856884651</c:v>
                </c:pt>
                <c:pt idx="21">
                  <c:v>82682.8361700212</c:v>
                </c:pt>
                <c:pt idx="22">
                  <c:v>81944.8016098627</c:v>
                </c:pt>
                <c:pt idx="23">
                  <c:v>82552.9569645463</c:v>
                </c:pt>
                <c:pt idx="24">
                  <c:v>82607.9463797039</c:v>
                </c:pt>
                <c:pt idx="25">
                  <c:v>83609.1124535537</c:v>
                </c:pt>
                <c:pt idx="26">
                  <c:v>83048.1423043173</c:v>
                </c:pt>
                <c:pt idx="27">
                  <c:v>81873.6970304663</c:v>
                </c:pt>
                <c:pt idx="28">
                  <c:v>81509.8852291305</c:v>
                </c:pt>
                <c:pt idx="29">
                  <c:v>80732.4150447709</c:v>
                </c:pt>
                <c:pt idx="30">
                  <c:v>82057.9986255297</c:v>
                </c:pt>
                <c:pt idx="31">
                  <c:v>78542.358237493</c:v>
                </c:pt>
                <c:pt idx="32">
                  <c:v>77050.0595545915</c:v>
                </c:pt>
                <c:pt idx="33">
                  <c:v>78189.6816445925</c:v>
                </c:pt>
                <c:pt idx="34">
                  <c:v>80349.4548088748</c:v>
                </c:pt>
                <c:pt idx="35">
                  <c:v>81607.1854563607</c:v>
                </c:pt>
                <c:pt idx="36">
                  <c:v>81917.1774483719</c:v>
                </c:pt>
                <c:pt idx="37">
                  <c:v>79097.6570536727</c:v>
                </c:pt>
                <c:pt idx="38">
                  <c:v>80611.3859788262</c:v>
                </c:pt>
                <c:pt idx="39">
                  <c:v>82132.8791348275</c:v>
                </c:pt>
                <c:pt idx="40">
                  <c:v>82715.4546229618</c:v>
                </c:pt>
                <c:pt idx="41">
                  <c:v>83053.7578167427</c:v>
                </c:pt>
                <c:pt idx="42">
                  <c:v>83792.8623344206</c:v>
                </c:pt>
                <c:pt idx="43">
                  <c:v>82863.23092984</c:v>
                </c:pt>
                <c:pt idx="44">
                  <c:v>83730.8847979828</c:v>
                </c:pt>
                <c:pt idx="45">
                  <c:v>83549.6696041242</c:v>
                </c:pt>
                <c:pt idx="46">
                  <c:v>83108.7778793748</c:v>
                </c:pt>
                <c:pt idx="47">
                  <c:v>83560.8651113236</c:v>
                </c:pt>
                <c:pt idx="48">
                  <c:v>82451.0613510621</c:v>
                </c:pt>
                <c:pt idx="49">
                  <c:v>83606.3501575674</c:v>
                </c:pt>
                <c:pt idx="50">
                  <c:v>85746.9901845271</c:v>
                </c:pt>
                <c:pt idx="51">
                  <c:v>87376.7343831808</c:v>
                </c:pt>
                <c:pt idx="52">
                  <c:v>88284.8257321422</c:v>
                </c:pt>
                <c:pt idx="53">
                  <c:v>89025.3252706236</c:v>
                </c:pt>
                <c:pt idx="54">
                  <c:v>88381.538243818</c:v>
                </c:pt>
                <c:pt idx="55">
                  <c:v>86458.5586995724</c:v>
                </c:pt>
                <c:pt idx="56">
                  <c:v>82843.8513174173</c:v>
                </c:pt>
                <c:pt idx="57">
                  <c:v>80685.8700253126</c:v>
                </c:pt>
                <c:pt idx="58">
                  <c:v>78561.1464583861</c:v>
                </c:pt>
                <c:pt idx="59">
                  <c:v>78476.1943366412</c:v>
                </c:pt>
                <c:pt idx="60">
                  <c:v>79315.5742705666</c:v>
                </c:pt>
                <c:pt idx="61">
                  <c:v>78464.1773202605</c:v>
                </c:pt>
                <c:pt idx="62">
                  <c:v>79217.8734917665</c:v>
                </c:pt>
                <c:pt idx="63">
                  <c:v>81054.2652359924</c:v>
                </c:pt>
                <c:pt idx="64">
                  <c:v>79815.6324804047</c:v>
                </c:pt>
                <c:pt idx="65">
                  <c:v>80448.9652157937</c:v>
                </c:pt>
                <c:pt idx="66">
                  <c:v>80568.6879210077</c:v>
                </c:pt>
                <c:pt idx="67">
                  <c:v>77889.3303992726</c:v>
                </c:pt>
                <c:pt idx="68">
                  <c:v>77543.3338532451</c:v>
                </c:pt>
                <c:pt idx="69">
                  <c:v>78128.7434021386</c:v>
                </c:pt>
                <c:pt idx="70">
                  <c:v>77059.3144616889</c:v>
                </c:pt>
                <c:pt idx="71">
                  <c:v>77895.3510807743</c:v>
                </c:pt>
                <c:pt idx="72">
                  <c:v>78307.2685872498</c:v>
                </c:pt>
                <c:pt idx="73">
                  <c:v>79227.8504433837</c:v>
                </c:pt>
                <c:pt idx="74">
                  <c:v>80143.4807063065</c:v>
                </c:pt>
                <c:pt idx="75">
                  <c:v>80886.4748474177</c:v>
                </c:pt>
                <c:pt idx="76">
                  <c:v>80338.7441962084</c:v>
                </c:pt>
                <c:pt idx="77">
                  <c:v>79995.5964544903</c:v>
                </c:pt>
                <c:pt idx="78">
                  <c:v>80730.1327093993</c:v>
                </c:pt>
                <c:pt idx="79">
                  <c:v>79996.1727941114</c:v>
                </c:pt>
                <c:pt idx="80">
                  <c:v>78244.2553300669</c:v>
                </c:pt>
                <c:pt idx="81">
                  <c:v>77486.162610089</c:v>
                </c:pt>
                <c:pt idx="82">
                  <c:v>76804.3490153509</c:v>
                </c:pt>
                <c:pt idx="83">
                  <c:v>76704.2558508906</c:v>
                </c:pt>
                <c:pt idx="84">
                  <c:v>77167.2838333853</c:v>
                </c:pt>
                <c:pt idx="85">
                  <c:v>77459.2404150854</c:v>
                </c:pt>
                <c:pt idx="86">
                  <c:v>77617.8796402736</c:v>
                </c:pt>
                <c:pt idx="87">
                  <c:v>78906.4020920177</c:v>
                </c:pt>
                <c:pt idx="88">
                  <c:v>80626.8133106984</c:v>
                </c:pt>
                <c:pt idx="89">
                  <c:v>81054.745627403</c:v>
                </c:pt>
                <c:pt idx="90">
                  <c:v>81912.4258791739</c:v>
                </c:pt>
                <c:pt idx="91">
                  <c:v>80505.959888871</c:v>
                </c:pt>
                <c:pt idx="92">
                  <c:v>80007.9762549941</c:v>
                </c:pt>
                <c:pt idx="93">
                  <c:v>78332.5009060677</c:v>
                </c:pt>
                <c:pt idx="94">
                  <c:v>76874.7694343334</c:v>
                </c:pt>
                <c:pt idx="95">
                  <c:v>76851.4383445531</c:v>
                </c:pt>
                <c:pt idx="96">
                  <c:v>77867.6042914254</c:v>
                </c:pt>
                <c:pt idx="97">
                  <c:v>77642.5830984383</c:v>
                </c:pt>
                <c:pt idx="98">
                  <c:v>81503.9653969377</c:v>
                </c:pt>
                <c:pt idx="99">
                  <c:v>82841.3273978403</c:v>
                </c:pt>
                <c:pt idx="100">
                  <c:v>85076.3668563724</c:v>
                </c:pt>
                <c:pt idx="101">
                  <c:v>86266.0488774302</c:v>
                </c:pt>
                <c:pt idx="102">
                  <c:v>84172.0099309418</c:v>
                </c:pt>
                <c:pt idx="103">
                  <c:v>83602.1765238476</c:v>
                </c:pt>
                <c:pt idx="104">
                  <c:v>83640.582396486</c:v>
                </c:pt>
                <c:pt idx="105">
                  <c:v>81888.3934216113</c:v>
                </c:pt>
                <c:pt idx="106">
                  <c:v>81050.8515605012</c:v>
                </c:pt>
                <c:pt idx="107">
                  <c:v>82121.914300611</c:v>
                </c:pt>
                <c:pt idx="108">
                  <c:v>82745.5914516934</c:v>
                </c:pt>
                <c:pt idx="109">
                  <c:v>86065.6745975195</c:v>
                </c:pt>
                <c:pt idx="110">
                  <c:v>87205.3835055701</c:v>
                </c:pt>
                <c:pt idx="111">
                  <c:v>85811.9908752621</c:v>
                </c:pt>
                <c:pt idx="112">
                  <c:v>87961.7110315472</c:v>
                </c:pt>
                <c:pt idx="113">
                  <c:v>87663.6609377093</c:v>
                </c:pt>
                <c:pt idx="114">
                  <c:v>85993.3253802981</c:v>
                </c:pt>
                <c:pt idx="115">
                  <c:v>85540.4978313282</c:v>
                </c:pt>
                <c:pt idx="116">
                  <c:v>84113.5616827792</c:v>
                </c:pt>
                <c:pt idx="117">
                  <c:v>82996.8106152657</c:v>
                </c:pt>
                <c:pt idx="118">
                  <c:v>83685.7555318857</c:v>
                </c:pt>
                <c:pt idx="119">
                  <c:v>82446.2798628427</c:v>
                </c:pt>
                <c:pt idx="120">
                  <c:v>83594.8698892158</c:v>
                </c:pt>
                <c:pt idx="121">
                  <c:v>83102.1919753083</c:v>
                </c:pt>
                <c:pt idx="122">
                  <c:v>81695.1765056627</c:v>
                </c:pt>
                <c:pt idx="123">
                  <c:v>82174.5213581237</c:v>
                </c:pt>
                <c:pt idx="124">
                  <c:v>80631.7165298042</c:v>
                </c:pt>
                <c:pt idx="125">
                  <c:v>82134.2706624405</c:v>
                </c:pt>
                <c:pt idx="126">
                  <c:v>81244.4391143542</c:v>
                </c:pt>
                <c:pt idx="127">
                  <c:v>80330.6944867402</c:v>
                </c:pt>
                <c:pt idx="128">
                  <c:v>82415.3734684559</c:v>
                </c:pt>
                <c:pt idx="129">
                  <c:v>83473.0971570018</c:v>
                </c:pt>
                <c:pt idx="130">
                  <c:v>82835.912516683</c:v>
                </c:pt>
                <c:pt idx="131">
                  <c:v>84511.5011409953</c:v>
                </c:pt>
                <c:pt idx="132">
                  <c:v>84895.4699120568</c:v>
                </c:pt>
                <c:pt idx="133">
                  <c:v>84875.4780363188</c:v>
                </c:pt>
                <c:pt idx="134">
                  <c:v>84953.6511065853</c:v>
                </c:pt>
                <c:pt idx="135">
                  <c:v>84551.6652200167</c:v>
                </c:pt>
                <c:pt idx="136">
                  <c:v>84521.203623764</c:v>
                </c:pt>
                <c:pt idx="137">
                  <c:v>83086.039358712</c:v>
                </c:pt>
                <c:pt idx="138">
                  <c:v>83203.0003734172</c:v>
                </c:pt>
                <c:pt idx="139">
                  <c:v>81703.8336687536</c:v>
                </c:pt>
                <c:pt idx="140">
                  <c:v>81916.8951376066</c:v>
                </c:pt>
                <c:pt idx="141">
                  <c:v>82024.5952834981</c:v>
                </c:pt>
                <c:pt idx="142">
                  <c:v>81197.2406175777</c:v>
                </c:pt>
                <c:pt idx="143">
                  <c:v>82185.7256053329</c:v>
                </c:pt>
                <c:pt idx="144">
                  <c:v>83409.6689964929</c:v>
                </c:pt>
                <c:pt idx="145">
                  <c:v>83064.9232290767</c:v>
                </c:pt>
                <c:pt idx="146">
                  <c:v>83959.1874300601</c:v>
                </c:pt>
                <c:pt idx="147">
                  <c:v>82934.1168367237</c:v>
                </c:pt>
                <c:pt idx="148">
                  <c:v>82755.6899707203</c:v>
                </c:pt>
                <c:pt idx="149">
                  <c:v>83010.6495734751</c:v>
                </c:pt>
                <c:pt idx="150">
                  <c:v>81966.097658545</c:v>
                </c:pt>
                <c:pt idx="151">
                  <c:v>84159.5332199139</c:v>
                </c:pt>
                <c:pt idx="152">
                  <c:v>86170.0883012149</c:v>
                </c:pt>
                <c:pt idx="153">
                  <c:v>86316.4821176175</c:v>
                </c:pt>
                <c:pt idx="154">
                  <c:v>89381.5625655462</c:v>
                </c:pt>
                <c:pt idx="155">
                  <c:v>90896.2373185128</c:v>
                </c:pt>
                <c:pt idx="156">
                  <c:v>91896.9697317315</c:v>
                </c:pt>
                <c:pt idx="157">
                  <c:v>92012.2790559547</c:v>
                </c:pt>
                <c:pt idx="158">
                  <c:v>89318.2741480913</c:v>
                </c:pt>
                <c:pt idx="159">
                  <c:v>87955.3500437906</c:v>
                </c:pt>
                <c:pt idx="160">
                  <c:v>85691.2900270724</c:v>
                </c:pt>
                <c:pt idx="161">
                  <c:v>84337.7778657173</c:v>
                </c:pt>
                <c:pt idx="162">
                  <c:v>83654.5682119974</c:v>
                </c:pt>
                <c:pt idx="163">
                  <c:v>83575.8599844144</c:v>
                </c:pt>
                <c:pt idx="164">
                  <c:v>84120.6446488146</c:v>
                </c:pt>
                <c:pt idx="165">
                  <c:v>86327.4080691283</c:v>
                </c:pt>
                <c:pt idx="166">
                  <c:v>86550.2649116516</c:v>
                </c:pt>
                <c:pt idx="167">
                  <c:v>90835.121669026</c:v>
                </c:pt>
                <c:pt idx="168">
                  <c:v>90507.158363274</c:v>
                </c:pt>
                <c:pt idx="169">
                  <c:v>91585.7363807688</c:v>
                </c:pt>
                <c:pt idx="170">
                  <c:v>90207.518386573</c:v>
                </c:pt>
                <c:pt idx="171">
                  <c:v>89926.0969007845</c:v>
                </c:pt>
                <c:pt idx="172">
                  <c:v>91856.5379182163</c:v>
                </c:pt>
                <c:pt idx="173">
                  <c:v>93997.4586979689</c:v>
                </c:pt>
                <c:pt idx="174">
                  <c:v>92659.7700147892</c:v>
                </c:pt>
                <c:pt idx="175">
                  <c:v>91258.5147448406</c:v>
                </c:pt>
                <c:pt idx="176">
                  <c:v>88240.3564912037</c:v>
                </c:pt>
                <c:pt idx="177">
                  <c:v>90528.3274864121</c:v>
                </c:pt>
                <c:pt idx="178">
                  <c:v>89368.8318678549</c:v>
                </c:pt>
                <c:pt idx="179">
                  <c:v>83863.3933617121</c:v>
                </c:pt>
                <c:pt idx="180">
                  <c:v>80961.5947586668</c:v>
                </c:pt>
                <c:pt idx="181">
                  <c:v>80389.5969530335</c:v>
                </c:pt>
                <c:pt idx="182">
                  <c:v>80606.1230581462</c:v>
                </c:pt>
                <c:pt idx="183">
                  <c:v>81412.2401087228</c:v>
                </c:pt>
                <c:pt idx="184">
                  <c:v>78770.1877770564</c:v>
                </c:pt>
                <c:pt idx="185">
                  <c:v>79037.2272158243</c:v>
                </c:pt>
                <c:pt idx="186">
                  <c:v>79990.7119500631</c:v>
                </c:pt>
                <c:pt idx="187">
                  <c:v>79689.6061451619</c:v>
                </c:pt>
                <c:pt idx="188">
                  <c:v>79151.5303837872</c:v>
                </c:pt>
                <c:pt idx="189">
                  <c:v>78686.5641776865</c:v>
                </c:pt>
                <c:pt idx="190">
                  <c:v>78027.4191228831</c:v>
                </c:pt>
                <c:pt idx="191">
                  <c:v>78953.8017251858</c:v>
                </c:pt>
                <c:pt idx="192">
                  <c:v>79834.761347151</c:v>
                </c:pt>
                <c:pt idx="193">
                  <c:v>81944.4068931543</c:v>
                </c:pt>
                <c:pt idx="194">
                  <c:v>82698.9516031848</c:v>
                </c:pt>
                <c:pt idx="195">
                  <c:v>81561.240078777</c:v>
                </c:pt>
                <c:pt idx="196">
                  <c:v>84503.9680511313</c:v>
                </c:pt>
                <c:pt idx="197">
                  <c:v>86902.8827230679</c:v>
                </c:pt>
                <c:pt idx="198">
                  <c:v>87269.2994894896</c:v>
                </c:pt>
                <c:pt idx="199">
                  <c:v>87656.7184157166</c:v>
                </c:pt>
                <c:pt idx="200">
                  <c:v>86696.9051293868</c:v>
                </c:pt>
                <c:pt idx="201">
                  <c:v>86387.6052450366</c:v>
                </c:pt>
                <c:pt idx="202">
                  <c:v>87007.0996146044</c:v>
                </c:pt>
                <c:pt idx="203">
                  <c:v>86068.0189169016</c:v>
                </c:pt>
                <c:pt idx="204">
                  <c:v>85468.0676475406</c:v>
                </c:pt>
                <c:pt idx="205">
                  <c:v>84698.8561561153</c:v>
                </c:pt>
                <c:pt idx="206">
                  <c:v>84485.4864492433</c:v>
                </c:pt>
                <c:pt idx="207">
                  <c:v>85998.5444759074</c:v>
                </c:pt>
                <c:pt idx="208">
                  <c:v>86703.779271805</c:v>
                </c:pt>
                <c:pt idx="209">
                  <c:v>90671.9003009286</c:v>
                </c:pt>
                <c:pt idx="210">
                  <c:v>90741.6028218371</c:v>
                </c:pt>
                <c:pt idx="211">
                  <c:v>89917.8068939965</c:v>
                </c:pt>
                <c:pt idx="212">
                  <c:v>90044.3646204098</c:v>
                </c:pt>
                <c:pt idx="213">
                  <c:v>89865.6698305054</c:v>
                </c:pt>
                <c:pt idx="214">
                  <c:v>87815.8376469116</c:v>
                </c:pt>
                <c:pt idx="215">
                  <c:v>85758.3632196865</c:v>
                </c:pt>
                <c:pt idx="216">
                  <c:v>83431.8403964755</c:v>
                </c:pt>
                <c:pt idx="217">
                  <c:v>83534.1811044243</c:v>
                </c:pt>
                <c:pt idx="218">
                  <c:v>84058.1899793867</c:v>
                </c:pt>
                <c:pt idx="219">
                  <c:v>85754.6203475371</c:v>
                </c:pt>
                <c:pt idx="220">
                  <c:v>88919.7602581078</c:v>
                </c:pt>
                <c:pt idx="221">
                  <c:v>90637.0595018011</c:v>
                </c:pt>
                <c:pt idx="222">
                  <c:v>91834.8239972837</c:v>
                </c:pt>
                <c:pt idx="223">
                  <c:v>91054.3219569829</c:v>
                </c:pt>
                <c:pt idx="224">
                  <c:v>89383.1591824818</c:v>
                </c:pt>
                <c:pt idx="225">
                  <c:v>88257.0435678831</c:v>
                </c:pt>
                <c:pt idx="226">
                  <c:v>88819.0620555952</c:v>
                </c:pt>
                <c:pt idx="227">
                  <c:v>85156.1386326393</c:v>
                </c:pt>
                <c:pt idx="228">
                  <c:v>84757.6586267822</c:v>
                </c:pt>
                <c:pt idx="229">
                  <c:v>84657.7917882629</c:v>
                </c:pt>
                <c:pt idx="230">
                  <c:v>85913.7314539857</c:v>
                </c:pt>
                <c:pt idx="231">
                  <c:v>87670.4796879969</c:v>
                </c:pt>
                <c:pt idx="232">
                  <c:v>88953.1413586278</c:v>
                </c:pt>
                <c:pt idx="233">
                  <c:v>87648.1730536967</c:v>
                </c:pt>
                <c:pt idx="234">
                  <c:v>88240.5157438351</c:v>
                </c:pt>
                <c:pt idx="235">
                  <c:v>86850.9068637624</c:v>
                </c:pt>
                <c:pt idx="236">
                  <c:v>88185.4112332428</c:v>
                </c:pt>
                <c:pt idx="237">
                  <c:v>86703.7000951623</c:v>
                </c:pt>
                <c:pt idx="238">
                  <c:v>86214.1032249461</c:v>
                </c:pt>
                <c:pt idx="239">
                  <c:v>85986.1715132895</c:v>
                </c:pt>
                <c:pt idx="240">
                  <c:v>85134.7302994969</c:v>
                </c:pt>
                <c:pt idx="241">
                  <c:v>85935.0916101496</c:v>
                </c:pt>
                <c:pt idx="242">
                  <c:v>88186.1999539842</c:v>
                </c:pt>
                <c:pt idx="243">
                  <c:v>87098.9459319742</c:v>
                </c:pt>
                <c:pt idx="244">
                  <c:v>86957.4425359667</c:v>
                </c:pt>
                <c:pt idx="245">
                  <c:v>87912.24461517</c:v>
                </c:pt>
                <c:pt idx="246">
                  <c:v>89396.1761239495</c:v>
                </c:pt>
                <c:pt idx="247">
                  <c:v>90604.8670451463</c:v>
                </c:pt>
                <c:pt idx="248">
                  <c:v>90773.4187363705</c:v>
                </c:pt>
                <c:pt idx="249">
                  <c:v>89381.672794894</c:v>
                </c:pt>
                <c:pt idx="250">
                  <c:v>89258.0138417816</c:v>
                </c:pt>
                <c:pt idx="251">
                  <c:v>88691.0173146138</c:v>
                </c:pt>
                <c:pt idx="252">
                  <c:v>86596.6971337699</c:v>
                </c:pt>
                <c:pt idx="253">
                  <c:v>86598.6522696033</c:v>
                </c:pt>
                <c:pt idx="254">
                  <c:v>90123.4534547159</c:v>
                </c:pt>
                <c:pt idx="255">
                  <c:v>91090.6873327805</c:v>
                </c:pt>
                <c:pt idx="256">
                  <c:v>92152.1193837627</c:v>
                </c:pt>
                <c:pt idx="257">
                  <c:v>92199.5399828932</c:v>
                </c:pt>
                <c:pt idx="258">
                  <c:v>93004.6078681214</c:v>
                </c:pt>
                <c:pt idx="259">
                  <c:v>96021.0303476578</c:v>
                </c:pt>
                <c:pt idx="260">
                  <c:v>95148.587774249</c:v>
                </c:pt>
                <c:pt idx="261">
                  <c:v>90262.0041907545</c:v>
                </c:pt>
                <c:pt idx="262">
                  <c:v>89635.7774068599</c:v>
                </c:pt>
                <c:pt idx="263">
                  <c:v>89220.4153938125</c:v>
                </c:pt>
                <c:pt idx="264">
                  <c:v>91153.2590028386</c:v>
                </c:pt>
                <c:pt idx="265">
                  <c:v>92867.6942317494</c:v>
                </c:pt>
                <c:pt idx="266">
                  <c:v>92243.1710217785</c:v>
                </c:pt>
                <c:pt idx="267">
                  <c:v>95362.8560836076</c:v>
                </c:pt>
                <c:pt idx="268">
                  <c:v>98504.7891058606</c:v>
                </c:pt>
                <c:pt idx="269">
                  <c:v>97893.5434792899</c:v>
                </c:pt>
                <c:pt idx="270">
                  <c:v>97329.8797690027</c:v>
                </c:pt>
                <c:pt idx="271">
                  <c:v>98181.5026135336</c:v>
                </c:pt>
                <c:pt idx="272">
                  <c:v>97080.6746857858</c:v>
                </c:pt>
                <c:pt idx="273">
                  <c:v>96399.5585421135</c:v>
                </c:pt>
                <c:pt idx="274">
                  <c:v>95155.6057529601</c:v>
                </c:pt>
                <c:pt idx="275">
                  <c:v>97559.2487607191</c:v>
                </c:pt>
                <c:pt idx="276">
                  <c:v>99637.6837177558</c:v>
                </c:pt>
                <c:pt idx="277">
                  <c:v>100610.337015068</c:v>
                </c:pt>
                <c:pt idx="278">
                  <c:v>101840.481552829</c:v>
                </c:pt>
                <c:pt idx="279">
                  <c:v>102623.221580682</c:v>
                </c:pt>
                <c:pt idx="280">
                  <c:v>102549.105873793</c:v>
                </c:pt>
                <c:pt idx="281">
                  <c:v>103923.888226363</c:v>
                </c:pt>
                <c:pt idx="282">
                  <c:v>101399.431631672</c:v>
                </c:pt>
                <c:pt idx="283">
                  <c:v>99822.7822685183</c:v>
                </c:pt>
                <c:pt idx="284">
                  <c:v>99986.0007464435</c:v>
                </c:pt>
                <c:pt idx="285">
                  <c:v>97744.1710806736</c:v>
                </c:pt>
                <c:pt idx="286">
                  <c:v>96193.7289004724</c:v>
                </c:pt>
                <c:pt idx="287">
                  <c:v>96786.1899349483</c:v>
                </c:pt>
                <c:pt idx="288">
                  <c:v>94815.6078219851</c:v>
                </c:pt>
                <c:pt idx="289">
                  <c:v>93825.0651624219</c:v>
                </c:pt>
                <c:pt idx="290">
                  <c:v>93805.8271740445</c:v>
                </c:pt>
                <c:pt idx="291">
                  <c:v>96450.2262545138</c:v>
                </c:pt>
                <c:pt idx="292">
                  <c:v>96880.8997203373</c:v>
                </c:pt>
                <c:pt idx="293">
                  <c:v>98907.1195887055</c:v>
                </c:pt>
                <c:pt idx="294">
                  <c:v>98718.8041256053</c:v>
                </c:pt>
                <c:pt idx="295">
                  <c:v>99575.0331089926</c:v>
                </c:pt>
                <c:pt idx="296">
                  <c:v>97853.8562339509</c:v>
                </c:pt>
                <c:pt idx="297">
                  <c:v>97820.3880858836</c:v>
                </c:pt>
                <c:pt idx="298">
                  <c:v>96373.8496508411</c:v>
                </c:pt>
                <c:pt idx="299">
                  <c:v>96696.6654768209</c:v>
                </c:pt>
                <c:pt idx="300">
                  <c:v>95580.8922226203</c:v>
                </c:pt>
                <c:pt idx="301">
                  <c:v>99659.2806534288</c:v>
                </c:pt>
                <c:pt idx="302">
                  <c:v>98794.0247183168</c:v>
                </c:pt>
                <c:pt idx="303">
                  <c:v>101189.831168635</c:v>
                </c:pt>
                <c:pt idx="304">
                  <c:v>103785.194691651</c:v>
                </c:pt>
                <c:pt idx="305">
                  <c:v>102357.896715429</c:v>
                </c:pt>
                <c:pt idx="306">
                  <c:v>102679.433262675</c:v>
                </c:pt>
                <c:pt idx="307">
                  <c:v>105220.463960806</c:v>
                </c:pt>
                <c:pt idx="308">
                  <c:v>102996.578611528</c:v>
                </c:pt>
                <c:pt idx="309">
                  <c:v>103931.014405746</c:v>
                </c:pt>
                <c:pt idx="310">
                  <c:v>104205.451108197</c:v>
                </c:pt>
                <c:pt idx="311">
                  <c:v>105238.86247353</c:v>
                </c:pt>
                <c:pt idx="312">
                  <c:v>106151.749591364</c:v>
                </c:pt>
                <c:pt idx="313">
                  <c:v>105565.986869213</c:v>
                </c:pt>
                <c:pt idx="314">
                  <c:v>102907.491426861</c:v>
                </c:pt>
                <c:pt idx="315">
                  <c:v>101875.265090966</c:v>
                </c:pt>
                <c:pt idx="316">
                  <c:v>100573.298327895</c:v>
                </c:pt>
                <c:pt idx="317">
                  <c:v>100022.32450916</c:v>
                </c:pt>
                <c:pt idx="318">
                  <c:v>97535.3100648378</c:v>
                </c:pt>
                <c:pt idx="319">
                  <c:v>96543.2446749761</c:v>
                </c:pt>
                <c:pt idx="320">
                  <c:v>98886.682075611</c:v>
                </c:pt>
                <c:pt idx="321">
                  <c:v>101157.951514232</c:v>
                </c:pt>
                <c:pt idx="322">
                  <c:v>100887.101909042</c:v>
                </c:pt>
                <c:pt idx="323">
                  <c:v>102157.57825535</c:v>
                </c:pt>
                <c:pt idx="324">
                  <c:v>100996.937227612</c:v>
                </c:pt>
                <c:pt idx="325">
                  <c:v>100144.384741111</c:v>
                </c:pt>
                <c:pt idx="326">
                  <c:v>100379.671859609</c:v>
                </c:pt>
                <c:pt idx="327">
                  <c:v>97401.5420934244</c:v>
                </c:pt>
                <c:pt idx="328">
                  <c:v>98396.9460420587</c:v>
                </c:pt>
                <c:pt idx="329">
                  <c:v>96245.5093856823</c:v>
                </c:pt>
                <c:pt idx="330">
                  <c:v>95615.8713462123</c:v>
                </c:pt>
                <c:pt idx="331">
                  <c:v>96154.8225370156</c:v>
                </c:pt>
                <c:pt idx="332">
                  <c:v>95988.0837309214</c:v>
                </c:pt>
                <c:pt idx="333">
                  <c:v>94500.154701604</c:v>
                </c:pt>
                <c:pt idx="334">
                  <c:v>95708.6761124348</c:v>
                </c:pt>
                <c:pt idx="335">
                  <c:v>94808.1424822149</c:v>
                </c:pt>
                <c:pt idx="336">
                  <c:v>97395.1461471828</c:v>
                </c:pt>
                <c:pt idx="337">
                  <c:v>97559.5204992192</c:v>
                </c:pt>
                <c:pt idx="338">
                  <c:v>100469.729988474</c:v>
                </c:pt>
                <c:pt idx="339">
                  <c:v>98140.423456124</c:v>
                </c:pt>
                <c:pt idx="340">
                  <c:v>97920.1496872558</c:v>
                </c:pt>
                <c:pt idx="341">
                  <c:v>95994.0610759455</c:v>
                </c:pt>
                <c:pt idx="342">
                  <c:v>95607.4008334636</c:v>
                </c:pt>
                <c:pt idx="343">
                  <c:v>93361.2375703569</c:v>
                </c:pt>
                <c:pt idx="344">
                  <c:v>91524.0278557427</c:v>
                </c:pt>
                <c:pt idx="345">
                  <c:v>89288.8825320461</c:v>
                </c:pt>
                <c:pt idx="346">
                  <c:v>92231.336738027</c:v>
                </c:pt>
                <c:pt idx="347">
                  <c:v>95710.1412645578</c:v>
                </c:pt>
                <c:pt idx="348">
                  <c:v>97157.8671327291</c:v>
                </c:pt>
                <c:pt idx="349">
                  <c:v>95188.3682763456</c:v>
                </c:pt>
                <c:pt idx="350">
                  <c:v>96789.074955432</c:v>
                </c:pt>
                <c:pt idx="351">
                  <c:v>97352.5224197671</c:v>
                </c:pt>
                <c:pt idx="352">
                  <c:v>96207.9479884517</c:v>
                </c:pt>
                <c:pt idx="353">
                  <c:v>95026.8732908435</c:v>
                </c:pt>
                <c:pt idx="354">
                  <c:v>93677.2900100853</c:v>
                </c:pt>
                <c:pt idx="355">
                  <c:v>94370.1383202461</c:v>
                </c:pt>
                <c:pt idx="356">
                  <c:v>93397.4967984237</c:v>
                </c:pt>
                <c:pt idx="357">
                  <c:v>91838.8105726986</c:v>
                </c:pt>
                <c:pt idx="358">
                  <c:v>92848.4987268678</c:v>
                </c:pt>
                <c:pt idx="359">
                  <c:v>92967.8325336714</c:v>
                </c:pt>
                <c:pt idx="360">
                  <c:v>93797.7739994131</c:v>
                </c:pt>
                <c:pt idx="361">
                  <c:v>92723.0340319853</c:v>
                </c:pt>
                <c:pt idx="362">
                  <c:v>91293.1354005694</c:v>
                </c:pt>
                <c:pt idx="363">
                  <c:v>94648.7781204145</c:v>
                </c:pt>
                <c:pt idx="364">
                  <c:v>96672.6195660238</c:v>
                </c:pt>
                <c:pt idx="365">
                  <c:v>95385.3496660702</c:v>
                </c:pt>
                <c:pt idx="366">
                  <c:v>96214.4424726322</c:v>
                </c:pt>
                <c:pt idx="367">
                  <c:v>94544.6247153524</c:v>
                </c:pt>
                <c:pt idx="368">
                  <c:v>95079.0710155282</c:v>
                </c:pt>
                <c:pt idx="369">
                  <c:v>95805.2118407328</c:v>
                </c:pt>
                <c:pt idx="370">
                  <c:v>94831.0233494375</c:v>
                </c:pt>
                <c:pt idx="371">
                  <c:v>93664.0644662183</c:v>
                </c:pt>
                <c:pt idx="372">
                  <c:v>95224.8966520277</c:v>
                </c:pt>
                <c:pt idx="373">
                  <c:v>94593.112320626</c:v>
                </c:pt>
                <c:pt idx="374">
                  <c:v>94825.962861808</c:v>
                </c:pt>
                <c:pt idx="375">
                  <c:v>95878.5780181986</c:v>
                </c:pt>
                <c:pt idx="376">
                  <c:v>94749.4669337652</c:v>
                </c:pt>
                <c:pt idx="377">
                  <c:v>93962.8364697008</c:v>
                </c:pt>
                <c:pt idx="378">
                  <c:v>95524.8163128776</c:v>
                </c:pt>
                <c:pt idx="379">
                  <c:v>94397.7339252981</c:v>
                </c:pt>
                <c:pt idx="380">
                  <c:v>95391.5763739077</c:v>
                </c:pt>
                <c:pt idx="381">
                  <c:v>94931.0292153426</c:v>
                </c:pt>
                <c:pt idx="382">
                  <c:v>93626.6874049409</c:v>
                </c:pt>
                <c:pt idx="383">
                  <c:v>92753.6451555352</c:v>
                </c:pt>
                <c:pt idx="384">
                  <c:v>92686.4076783139</c:v>
                </c:pt>
                <c:pt idx="385">
                  <c:v>91551.4378815815</c:v>
                </c:pt>
                <c:pt idx="386">
                  <c:v>90137.5237952092</c:v>
                </c:pt>
                <c:pt idx="387">
                  <c:v>89494.2102401299</c:v>
                </c:pt>
                <c:pt idx="388">
                  <c:v>96125.9939761908</c:v>
                </c:pt>
                <c:pt idx="389">
                  <c:v>99186.5313599077</c:v>
                </c:pt>
                <c:pt idx="390">
                  <c:v>100482.927006882</c:v>
                </c:pt>
                <c:pt idx="391">
                  <c:v>100235.831085767</c:v>
                </c:pt>
                <c:pt idx="392">
                  <c:v>101155.280325965</c:v>
                </c:pt>
                <c:pt idx="393">
                  <c:v>101285.28767599</c:v>
                </c:pt>
                <c:pt idx="394">
                  <c:v>99733.2395734931</c:v>
                </c:pt>
                <c:pt idx="395">
                  <c:v>92329.2745370996</c:v>
                </c:pt>
                <c:pt idx="396">
                  <c:v>89655.4932187807</c:v>
                </c:pt>
                <c:pt idx="397">
                  <c:v>89466.9788215074</c:v>
                </c:pt>
                <c:pt idx="398">
                  <c:v>87953.5749525915</c:v>
                </c:pt>
                <c:pt idx="399">
                  <c:v>85001.4331427028</c:v>
                </c:pt>
                <c:pt idx="400">
                  <c:v>85890.1210863208</c:v>
                </c:pt>
                <c:pt idx="401">
                  <c:v>85154.9808149384</c:v>
                </c:pt>
                <c:pt idx="402">
                  <c:v>84224.8472767366</c:v>
                </c:pt>
                <c:pt idx="403">
                  <c:v>80980.0440821211</c:v>
                </c:pt>
                <c:pt idx="404">
                  <c:v>78892.6643579597</c:v>
                </c:pt>
                <c:pt idx="405">
                  <c:v>78594.7201640975</c:v>
                </c:pt>
                <c:pt idx="406">
                  <c:v>78193.3374702019</c:v>
                </c:pt>
                <c:pt idx="407">
                  <c:v>75495.1854317936</c:v>
                </c:pt>
                <c:pt idx="408">
                  <c:v>75962.8432487044</c:v>
                </c:pt>
                <c:pt idx="409">
                  <c:v>76187.8972518839</c:v>
                </c:pt>
                <c:pt idx="410">
                  <c:v>74949.9432583198</c:v>
                </c:pt>
                <c:pt idx="411">
                  <c:v>74118.2128210274</c:v>
                </c:pt>
                <c:pt idx="412">
                  <c:v>72846.3366337275</c:v>
                </c:pt>
                <c:pt idx="413">
                  <c:v>74045.4758792746</c:v>
                </c:pt>
                <c:pt idx="414">
                  <c:v>74375.3114940357</c:v>
                </c:pt>
                <c:pt idx="415">
                  <c:v>75413.9848225095</c:v>
                </c:pt>
                <c:pt idx="416">
                  <c:v>79536.0782421424</c:v>
                </c:pt>
                <c:pt idx="417">
                  <c:v>81005.4338264496</c:v>
                </c:pt>
                <c:pt idx="418">
                  <c:v>82155.3947353412</c:v>
                </c:pt>
                <c:pt idx="419">
                  <c:v>82036.8727936731</c:v>
                </c:pt>
                <c:pt idx="420">
                  <c:v>81447.4818865947</c:v>
                </c:pt>
                <c:pt idx="421">
                  <c:v>83012.3116532875</c:v>
                </c:pt>
                <c:pt idx="422">
                  <c:v>82803.9380125389</c:v>
                </c:pt>
                <c:pt idx="423">
                  <c:v>80737.6581679416</c:v>
                </c:pt>
                <c:pt idx="424">
                  <c:v>82071.3064263061</c:v>
                </c:pt>
                <c:pt idx="425">
                  <c:v>83070.5335374155</c:v>
                </c:pt>
                <c:pt idx="426">
                  <c:v>85013.1862615829</c:v>
                </c:pt>
                <c:pt idx="427">
                  <c:v>85482.7913407409</c:v>
                </c:pt>
                <c:pt idx="428">
                  <c:v>83567.6414719098</c:v>
                </c:pt>
                <c:pt idx="429">
                  <c:v>81508.4405348472</c:v>
                </c:pt>
                <c:pt idx="430">
                  <c:v>81128.9457365284</c:v>
                </c:pt>
                <c:pt idx="431">
                  <c:v>81015.4389821033</c:v>
                </c:pt>
                <c:pt idx="432">
                  <c:v>79721.2082792064</c:v>
                </c:pt>
                <c:pt idx="433">
                  <c:v>78791.959208761</c:v>
                </c:pt>
                <c:pt idx="434">
                  <c:v>77969.2113462444</c:v>
                </c:pt>
                <c:pt idx="435">
                  <c:v>79702.6028462284</c:v>
                </c:pt>
                <c:pt idx="436">
                  <c:v>81614.361648074</c:v>
                </c:pt>
                <c:pt idx="437">
                  <c:v>81043.4269537008</c:v>
                </c:pt>
                <c:pt idx="438">
                  <c:v>81665.4265232818</c:v>
                </c:pt>
                <c:pt idx="439">
                  <c:v>81512.8910695948</c:v>
                </c:pt>
                <c:pt idx="440">
                  <c:v>81440.6807830133</c:v>
                </c:pt>
                <c:pt idx="441">
                  <c:v>80362.2352840188</c:v>
                </c:pt>
                <c:pt idx="442">
                  <c:v>79287.2918203068</c:v>
                </c:pt>
                <c:pt idx="443">
                  <c:v>77685.4286842073</c:v>
                </c:pt>
                <c:pt idx="444">
                  <c:v>77026.648787048</c:v>
                </c:pt>
                <c:pt idx="445">
                  <c:v>73969.163828784</c:v>
                </c:pt>
                <c:pt idx="446">
                  <c:v>72478.6771867783</c:v>
                </c:pt>
                <c:pt idx="447">
                  <c:v>73824.1353142208</c:v>
                </c:pt>
                <c:pt idx="448">
                  <c:v>73301.4739440813</c:v>
                </c:pt>
                <c:pt idx="449">
                  <c:v>72065.3971937009</c:v>
                </c:pt>
                <c:pt idx="450">
                  <c:v>71606.2048320698</c:v>
                </c:pt>
                <c:pt idx="451">
                  <c:v>70636.2466559802</c:v>
                </c:pt>
                <c:pt idx="452">
                  <c:v>72216.3540009898</c:v>
                </c:pt>
                <c:pt idx="453">
                  <c:v>74155.91729753</c:v>
                </c:pt>
                <c:pt idx="454">
                  <c:v>73247.4650118599</c:v>
                </c:pt>
                <c:pt idx="455">
                  <c:v>73506.3606472292</c:v>
                </c:pt>
                <c:pt idx="456">
                  <c:v>75166.9161562065</c:v>
                </c:pt>
                <c:pt idx="457">
                  <c:v>75969.3295817182</c:v>
                </c:pt>
                <c:pt idx="458">
                  <c:v>78490.8661592895</c:v>
                </c:pt>
                <c:pt idx="459">
                  <c:v>77216.5905555225</c:v>
                </c:pt>
                <c:pt idx="460">
                  <c:v>77349.2829503687</c:v>
                </c:pt>
                <c:pt idx="461">
                  <c:v>76589.6213513905</c:v>
                </c:pt>
                <c:pt idx="462">
                  <c:v>76679.7998749931</c:v>
                </c:pt>
                <c:pt idx="463">
                  <c:v>75966.8718877181</c:v>
                </c:pt>
                <c:pt idx="464">
                  <c:v>76714.8373084734</c:v>
                </c:pt>
                <c:pt idx="465">
                  <c:v>76636.8669966717</c:v>
                </c:pt>
                <c:pt idx="466">
                  <c:v>76815.6705579161</c:v>
                </c:pt>
                <c:pt idx="467">
                  <c:v>75847.8531167778</c:v>
                </c:pt>
                <c:pt idx="468">
                  <c:v>74123.8581835399</c:v>
                </c:pt>
                <c:pt idx="469">
                  <c:v>76242.2569318627</c:v>
                </c:pt>
                <c:pt idx="470">
                  <c:v>76219.6600809768</c:v>
                </c:pt>
                <c:pt idx="471">
                  <c:v>75055.0471727721</c:v>
                </c:pt>
                <c:pt idx="472">
                  <c:v>73361.8340905445</c:v>
                </c:pt>
                <c:pt idx="473">
                  <c:v>73900.3827302912</c:v>
                </c:pt>
                <c:pt idx="474">
                  <c:v>75294.3124345123</c:v>
                </c:pt>
                <c:pt idx="475">
                  <c:v>77415.9589125196</c:v>
                </c:pt>
                <c:pt idx="476">
                  <c:v>76914.0598509841</c:v>
                </c:pt>
                <c:pt idx="477">
                  <c:v>78787.9653118511</c:v>
                </c:pt>
                <c:pt idx="478">
                  <c:v>78066.2488130086</c:v>
                </c:pt>
                <c:pt idx="479">
                  <c:v>78509.5658651077</c:v>
                </c:pt>
                <c:pt idx="480">
                  <c:v>78326.3125134594</c:v>
                </c:pt>
                <c:pt idx="481">
                  <c:v>76674.0038253232</c:v>
                </c:pt>
                <c:pt idx="482">
                  <c:v>76623.8181429089</c:v>
                </c:pt>
                <c:pt idx="483">
                  <c:v>76350.0830968864</c:v>
                </c:pt>
                <c:pt idx="484">
                  <c:v>75112.0726778174</c:v>
                </c:pt>
                <c:pt idx="485">
                  <c:v>75285.6880738793</c:v>
                </c:pt>
                <c:pt idx="486">
                  <c:v>75399.0606819568</c:v>
                </c:pt>
                <c:pt idx="487">
                  <c:v>76262.4382529466</c:v>
                </c:pt>
                <c:pt idx="488">
                  <c:v>76373.734812912</c:v>
                </c:pt>
                <c:pt idx="489">
                  <c:v>75176.581148618</c:v>
                </c:pt>
                <c:pt idx="490">
                  <c:v>75579.5999800487</c:v>
                </c:pt>
                <c:pt idx="491">
                  <c:v>75505.6221443925</c:v>
                </c:pt>
                <c:pt idx="492">
                  <c:v>76111.278480856</c:v>
                </c:pt>
                <c:pt idx="493">
                  <c:v>74729.494426128</c:v>
                </c:pt>
                <c:pt idx="494">
                  <c:v>74879.6521467647</c:v>
                </c:pt>
                <c:pt idx="495">
                  <c:v>74455.3593332342</c:v>
                </c:pt>
                <c:pt idx="496">
                  <c:v>77374.0407826652</c:v>
                </c:pt>
                <c:pt idx="497">
                  <c:v>76807.343603967</c:v>
                </c:pt>
                <c:pt idx="498">
                  <c:v>76839.9081011898</c:v>
                </c:pt>
                <c:pt idx="499">
                  <c:v>77450.3200755567</c:v>
                </c:pt>
                <c:pt idx="500">
                  <c:v>78626.657420834</c:v>
                </c:pt>
                <c:pt idx="501">
                  <c:v>79255.1655104254</c:v>
                </c:pt>
                <c:pt idx="502">
                  <c:v>80493.8734765593</c:v>
                </c:pt>
                <c:pt idx="503">
                  <c:v>78872.7961761475</c:v>
                </c:pt>
                <c:pt idx="504">
                  <c:v>78998.0047619798</c:v>
                </c:pt>
                <c:pt idx="505">
                  <c:v>79929.3833294942</c:v>
                </c:pt>
                <c:pt idx="506">
                  <c:v>78951.4108160702</c:v>
                </c:pt>
                <c:pt idx="507">
                  <c:v>78859.3803347074</c:v>
                </c:pt>
                <c:pt idx="508">
                  <c:v>78861.1139534677</c:v>
                </c:pt>
                <c:pt idx="509">
                  <c:v>78095.0207503164</c:v>
                </c:pt>
                <c:pt idx="510">
                  <c:v>78508.2924730506</c:v>
                </c:pt>
                <c:pt idx="511">
                  <c:v>78561.3198218015</c:v>
                </c:pt>
                <c:pt idx="512">
                  <c:v>77756.2498932614</c:v>
                </c:pt>
                <c:pt idx="513">
                  <c:v>78505.1009417701</c:v>
                </c:pt>
                <c:pt idx="514">
                  <c:v>79261.9051334037</c:v>
                </c:pt>
                <c:pt idx="515">
                  <c:v>79107.7713738176</c:v>
                </c:pt>
                <c:pt idx="516">
                  <c:v>80314.7037247222</c:v>
                </c:pt>
                <c:pt idx="517">
                  <c:v>82583.0032370661</c:v>
                </c:pt>
                <c:pt idx="518">
                  <c:v>84931.0379567165</c:v>
                </c:pt>
                <c:pt idx="519">
                  <c:v>84050.217432703</c:v>
                </c:pt>
                <c:pt idx="520">
                  <c:v>83499.5999228962</c:v>
                </c:pt>
                <c:pt idx="521">
                  <c:v>83483.1327153718</c:v>
                </c:pt>
                <c:pt idx="522">
                  <c:v>83558.8258464765</c:v>
                </c:pt>
                <c:pt idx="523">
                  <c:v>82224.5582851805</c:v>
                </c:pt>
                <c:pt idx="524">
                  <c:v>79053.2221947409</c:v>
                </c:pt>
                <c:pt idx="525">
                  <c:v>76137.7202788361</c:v>
                </c:pt>
                <c:pt idx="526">
                  <c:v>75937.2813512307</c:v>
                </c:pt>
                <c:pt idx="527">
                  <c:v>74592.1113212474</c:v>
                </c:pt>
                <c:pt idx="528">
                  <c:v>74141.4693324376</c:v>
                </c:pt>
                <c:pt idx="529">
                  <c:v>72082.2843002445</c:v>
                </c:pt>
                <c:pt idx="530">
                  <c:v>70882.5633572757</c:v>
                </c:pt>
                <c:pt idx="531">
                  <c:v>68809.4979949377</c:v>
                </c:pt>
                <c:pt idx="532">
                  <c:v>69053.7734689461</c:v>
                </c:pt>
                <c:pt idx="533">
                  <c:v>67449.0219134819</c:v>
                </c:pt>
                <c:pt idx="534">
                  <c:v>67520.7787893738</c:v>
                </c:pt>
                <c:pt idx="535">
                  <c:v>65811.4260223538</c:v>
                </c:pt>
                <c:pt idx="536">
                  <c:v>67005.8851680491</c:v>
                </c:pt>
                <c:pt idx="537">
                  <c:v>66952.3484671503</c:v>
                </c:pt>
                <c:pt idx="538">
                  <c:v>66577.9658529195</c:v>
                </c:pt>
                <c:pt idx="539">
                  <c:v>65062.4085505454</c:v>
                </c:pt>
                <c:pt idx="540">
                  <c:v>65433.571678184</c:v>
                </c:pt>
                <c:pt idx="541">
                  <c:v>65735.823806055</c:v>
                </c:pt>
                <c:pt idx="542">
                  <c:v>65558.6520110132</c:v>
                </c:pt>
                <c:pt idx="543">
                  <c:v>66822.4824578587</c:v>
                </c:pt>
                <c:pt idx="544">
                  <c:v>69645.03609609</c:v>
                </c:pt>
                <c:pt idx="545">
                  <c:v>71196.435671173</c:v>
                </c:pt>
                <c:pt idx="546">
                  <c:v>72449.166712634</c:v>
                </c:pt>
                <c:pt idx="547">
                  <c:v>74509.4905996041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'Daily Data'!I1</c:f>
              <c:strCache>
                <c:ptCount val="1"/>
                <c:pt idx="0">
                  <c:v>BTC Price ($)</c:v>
                </c:pt>
              </c:strCache>
            </c:strRef>
          </c:tx>
          <c:spPr>
            <a:solidFill>
              <a:srgbClr val="be4b48"/>
            </a:solidFill>
            <a:ln w="180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'Daily Data'!$A$2:$A$549</c:f>
              <c:strCache>
                <c:ptCount val="548"/>
                <c:pt idx="0">
                  <c:v>01-Jan-25</c:v>
                </c:pt>
                <c:pt idx="1">
                  <c:v>02-Jan-25</c:v>
                </c:pt>
                <c:pt idx="2">
                  <c:v>03-Jan-25</c:v>
                </c:pt>
                <c:pt idx="3">
                  <c:v>04-Jan-25</c:v>
                </c:pt>
                <c:pt idx="4">
                  <c:v>05-Jan-25</c:v>
                </c:pt>
                <c:pt idx="5">
                  <c:v>06-Jan-25</c:v>
                </c:pt>
                <c:pt idx="6">
                  <c:v>07-Jan-25</c:v>
                </c:pt>
                <c:pt idx="7">
                  <c:v>08-Jan-25</c:v>
                </c:pt>
                <c:pt idx="8">
                  <c:v>09-Jan-25</c:v>
                </c:pt>
                <c:pt idx="9">
                  <c:v>10-Jan-25</c:v>
                </c:pt>
                <c:pt idx="10">
                  <c:v>11-Jan-25</c:v>
                </c:pt>
                <c:pt idx="11">
                  <c:v>12-Jan-25</c:v>
                </c:pt>
                <c:pt idx="12">
                  <c:v>13-Jan-25</c:v>
                </c:pt>
                <c:pt idx="13">
                  <c:v>14-Jan-25</c:v>
                </c:pt>
                <c:pt idx="14">
                  <c:v>15-Jan-25</c:v>
                </c:pt>
                <c:pt idx="15">
                  <c:v>16-Jan-25</c:v>
                </c:pt>
                <c:pt idx="16">
                  <c:v>17-Jan-25</c:v>
                </c:pt>
                <c:pt idx="17">
                  <c:v>18-Jan-25</c:v>
                </c:pt>
                <c:pt idx="18">
                  <c:v>19-Jan-25</c:v>
                </c:pt>
                <c:pt idx="19">
                  <c:v>20-Jan-25</c:v>
                </c:pt>
                <c:pt idx="20">
                  <c:v>21-Jan-25</c:v>
                </c:pt>
                <c:pt idx="21">
                  <c:v>22-Jan-25</c:v>
                </c:pt>
                <c:pt idx="22">
                  <c:v>23-Jan-25</c:v>
                </c:pt>
                <c:pt idx="23">
                  <c:v>24-Jan-25</c:v>
                </c:pt>
                <c:pt idx="24">
                  <c:v>25-Jan-25</c:v>
                </c:pt>
                <c:pt idx="25">
                  <c:v>26-Jan-25</c:v>
                </c:pt>
                <c:pt idx="26">
                  <c:v>27-Jan-25</c:v>
                </c:pt>
                <c:pt idx="27">
                  <c:v>28-Jan-25</c:v>
                </c:pt>
                <c:pt idx="28">
                  <c:v>29-Jan-25</c:v>
                </c:pt>
                <c:pt idx="29">
                  <c:v>30-Jan-25</c:v>
                </c:pt>
                <c:pt idx="30">
                  <c:v>31-Jan-25</c:v>
                </c:pt>
                <c:pt idx="31">
                  <c:v>01-Feb-25</c:v>
                </c:pt>
                <c:pt idx="32">
                  <c:v>02-Feb-25</c:v>
                </c:pt>
                <c:pt idx="33">
                  <c:v>03-Feb-25</c:v>
                </c:pt>
                <c:pt idx="34">
                  <c:v>04-Feb-25</c:v>
                </c:pt>
                <c:pt idx="35">
                  <c:v>05-Feb-25</c:v>
                </c:pt>
                <c:pt idx="36">
                  <c:v>06-Feb-25</c:v>
                </c:pt>
                <c:pt idx="37">
                  <c:v>07-Feb-25</c:v>
                </c:pt>
                <c:pt idx="38">
                  <c:v>08-Feb-25</c:v>
                </c:pt>
                <c:pt idx="39">
                  <c:v>09-Feb-25</c:v>
                </c:pt>
                <c:pt idx="40">
                  <c:v>10-Feb-25</c:v>
                </c:pt>
                <c:pt idx="41">
                  <c:v>11-Feb-25</c:v>
                </c:pt>
                <c:pt idx="42">
                  <c:v>12-Feb-25</c:v>
                </c:pt>
                <c:pt idx="43">
                  <c:v>13-Feb-25</c:v>
                </c:pt>
                <c:pt idx="44">
                  <c:v>14-Feb-25</c:v>
                </c:pt>
                <c:pt idx="45">
                  <c:v>15-Feb-25</c:v>
                </c:pt>
                <c:pt idx="46">
                  <c:v>16-Feb-25</c:v>
                </c:pt>
                <c:pt idx="47">
                  <c:v>17-Feb-25</c:v>
                </c:pt>
                <c:pt idx="48">
                  <c:v>18-Feb-25</c:v>
                </c:pt>
                <c:pt idx="49">
                  <c:v>19-Feb-25</c:v>
                </c:pt>
                <c:pt idx="50">
                  <c:v>20-Feb-25</c:v>
                </c:pt>
                <c:pt idx="51">
                  <c:v>21-Feb-25</c:v>
                </c:pt>
                <c:pt idx="52">
                  <c:v>22-Feb-25</c:v>
                </c:pt>
                <c:pt idx="53">
                  <c:v>23-Feb-25</c:v>
                </c:pt>
                <c:pt idx="54">
                  <c:v>24-Feb-25</c:v>
                </c:pt>
                <c:pt idx="55">
                  <c:v>25-Feb-25</c:v>
                </c:pt>
                <c:pt idx="56">
                  <c:v>26-Feb-25</c:v>
                </c:pt>
                <c:pt idx="57">
                  <c:v>27-Feb-25</c:v>
                </c:pt>
                <c:pt idx="58">
                  <c:v>28-Feb-25</c:v>
                </c:pt>
                <c:pt idx="59">
                  <c:v>01-Mar-25</c:v>
                </c:pt>
                <c:pt idx="60">
                  <c:v>02-Mar-25</c:v>
                </c:pt>
                <c:pt idx="61">
                  <c:v>03-Mar-25</c:v>
                </c:pt>
                <c:pt idx="62">
                  <c:v>04-Mar-25</c:v>
                </c:pt>
                <c:pt idx="63">
                  <c:v>05-Mar-25</c:v>
                </c:pt>
                <c:pt idx="64">
                  <c:v>06-Mar-25</c:v>
                </c:pt>
                <c:pt idx="65">
                  <c:v>07-Mar-25</c:v>
                </c:pt>
                <c:pt idx="66">
                  <c:v>08-Mar-25</c:v>
                </c:pt>
                <c:pt idx="67">
                  <c:v>09-Mar-25</c:v>
                </c:pt>
                <c:pt idx="68">
                  <c:v>10-Mar-25</c:v>
                </c:pt>
                <c:pt idx="69">
                  <c:v>11-Mar-25</c:v>
                </c:pt>
                <c:pt idx="70">
                  <c:v>12-Mar-25</c:v>
                </c:pt>
                <c:pt idx="71">
                  <c:v>13-Mar-25</c:v>
                </c:pt>
                <c:pt idx="72">
                  <c:v>14-Mar-25</c:v>
                </c:pt>
                <c:pt idx="73">
                  <c:v>15-Mar-25</c:v>
                </c:pt>
                <c:pt idx="74">
                  <c:v>16-Mar-25</c:v>
                </c:pt>
                <c:pt idx="75">
                  <c:v>17-Mar-25</c:v>
                </c:pt>
                <c:pt idx="76">
                  <c:v>18-Mar-25</c:v>
                </c:pt>
                <c:pt idx="77">
                  <c:v>19-Mar-25</c:v>
                </c:pt>
                <c:pt idx="78">
                  <c:v>20-Mar-25</c:v>
                </c:pt>
                <c:pt idx="79">
                  <c:v>21-Mar-25</c:v>
                </c:pt>
                <c:pt idx="80">
                  <c:v>22-Mar-25</c:v>
                </c:pt>
                <c:pt idx="81">
                  <c:v>23-Mar-25</c:v>
                </c:pt>
                <c:pt idx="82">
                  <c:v>24-Mar-25</c:v>
                </c:pt>
                <c:pt idx="83">
                  <c:v>25-Mar-25</c:v>
                </c:pt>
                <c:pt idx="84">
                  <c:v>26-Mar-25</c:v>
                </c:pt>
                <c:pt idx="85">
                  <c:v>27-Mar-25</c:v>
                </c:pt>
                <c:pt idx="86">
                  <c:v>28-Mar-25</c:v>
                </c:pt>
                <c:pt idx="87">
                  <c:v>29-Mar-25</c:v>
                </c:pt>
                <c:pt idx="88">
                  <c:v>30-Mar-25</c:v>
                </c:pt>
                <c:pt idx="89">
                  <c:v>31-Mar-25</c:v>
                </c:pt>
                <c:pt idx="90">
                  <c:v>01-Apr-25</c:v>
                </c:pt>
                <c:pt idx="91">
                  <c:v>02-Apr-25</c:v>
                </c:pt>
                <c:pt idx="92">
                  <c:v>03-Apr-25</c:v>
                </c:pt>
                <c:pt idx="93">
                  <c:v>04-Apr-25</c:v>
                </c:pt>
                <c:pt idx="94">
                  <c:v>05-Apr-25</c:v>
                </c:pt>
                <c:pt idx="95">
                  <c:v>06-Apr-25</c:v>
                </c:pt>
                <c:pt idx="96">
                  <c:v>07-Apr-25</c:v>
                </c:pt>
                <c:pt idx="97">
                  <c:v>08-Apr-25</c:v>
                </c:pt>
                <c:pt idx="98">
                  <c:v>09-Apr-25</c:v>
                </c:pt>
                <c:pt idx="99">
                  <c:v>10-Apr-25</c:v>
                </c:pt>
                <c:pt idx="100">
                  <c:v>11-Apr-25</c:v>
                </c:pt>
                <c:pt idx="101">
                  <c:v>12-Apr-25</c:v>
                </c:pt>
                <c:pt idx="102">
                  <c:v>13-Apr-25</c:v>
                </c:pt>
                <c:pt idx="103">
                  <c:v>14-Apr-25</c:v>
                </c:pt>
                <c:pt idx="104">
                  <c:v>15-Apr-25</c:v>
                </c:pt>
                <c:pt idx="105">
                  <c:v>16-Apr-25</c:v>
                </c:pt>
                <c:pt idx="106">
                  <c:v>17-Apr-25</c:v>
                </c:pt>
                <c:pt idx="107">
                  <c:v>18-Apr-25</c:v>
                </c:pt>
                <c:pt idx="108">
                  <c:v>19-Apr-25</c:v>
                </c:pt>
                <c:pt idx="109">
                  <c:v>20-Apr-25</c:v>
                </c:pt>
                <c:pt idx="110">
                  <c:v>21-Apr-25</c:v>
                </c:pt>
                <c:pt idx="111">
                  <c:v>22-Apr-25</c:v>
                </c:pt>
                <c:pt idx="112">
                  <c:v>23-Apr-25</c:v>
                </c:pt>
                <c:pt idx="113">
                  <c:v>24-Apr-25</c:v>
                </c:pt>
                <c:pt idx="114">
                  <c:v>25-Apr-25</c:v>
                </c:pt>
                <c:pt idx="115">
                  <c:v>26-Apr-25</c:v>
                </c:pt>
                <c:pt idx="116">
                  <c:v>27-Apr-25</c:v>
                </c:pt>
                <c:pt idx="117">
                  <c:v>28-Apr-25</c:v>
                </c:pt>
                <c:pt idx="118">
                  <c:v>29-Apr-25</c:v>
                </c:pt>
                <c:pt idx="119">
                  <c:v>30-Apr-25</c:v>
                </c:pt>
                <c:pt idx="120">
                  <c:v>01-May-25</c:v>
                </c:pt>
                <c:pt idx="121">
                  <c:v>02-May-25</c:v>
                </c:pt>
                <c:pt idx="122">
                  <c:v>03-May-25</c:v>
                </c:pt>
                <c:pt idx="123">
                  <c:v>04-May-25</c:v>
                </c:pt>
                <c:pt idx="124">
                  <c:v>05-May-25</c:v>
                </c:pt>
                <c:pt idx="125">
                  <c:v>06-May-25</c:v>
                </c:pt>
                <c:pt idx="126">
                  <c:v>07-May-25</c:v>
                </c:pt>
                <c:pt idx="127">
                  <c:v>08-May-25</c:v>
                </c:pt>
                <c:pt idx="128">
                  <c:v>09-May-25</c:v>
                </c:pt>
                <c:pt idx="129">
                  <c:v>10-May-25</c:v>
                </c:pt>
                <c:pt idx="130">
                  <c:v>11-May-25</c:v>
                </c:pt>
                <c:pt idx="131">
                  <c:v>12-May-25</c:v>
                </c:pt>
                <c:pt idx="132">
                  <c:v>13-May-25</c:v>
                </c:pt>
                <c:pt idx="133">
                  <c:v>14-May-25</c:v>
                </c:pt>
                <c:pt idx="134">
                  <c:v>15-May-25</c:v>
                </c:pt>
                <c:pt idx="135">
                  <c:v>16-May-25</c:v>
                </c:pt>
                <c:pt idx="136">
                  <c:v>17-May-25</c:v>
                </c:pt>
                <c:pt idx="137">
                  <c:v>18-May-25</c:v>
                </c:pt>
                <c:pt idx="138">
                  <c:v>19-May-25</c:v>
                </c:pt>
                <c:pt idx="139">
                  <c:v>20-May-25</c:v>
                </c:pt>
                <c:pt idx="140">
                  <c:v>21-May-25</c:v>
                </c:pt>
                <c:pt idx="141">
                  <c:v>22-May-25</c:v>
                </c:pt>
                <c:pt idx="142">
                  <c:v>23-May-25</c:v>
                </c:pt>
                <c:pt idx="143">
                  <c:v>24-May-25</c:v>
                </c:pt>
                <c:pt idx="144">
                  <c:v>25-May-25</c:v>
                </c:pt>
                <c:pt idx="145">
                  <c:v>26-May-25</c:v>
                </c:pt>
                <c:pt idx="146">
                  <c:v>27-May-25</c:v>
                </c:pt>
                <c:pt idx="147">
                  <c:v>28-May-25</c:v>
                </c:pt>
                <c:pt idx="148">
                  <c:v>29-May-25</c:v>
                </c:pt>
                <c:pt idx="149">
                  <c:v>30-May-25</c:v>
                </c:pt>
                <c:pt idx="150">
                  <c:v>31-May-25</c:v>
                </c:pt>
                <c:pt idx="151">
                  <c:v>01-Jun-25</c:v>
                </c:pt>
                <c:pt idx="152">
                  <c:v>02-Jun-25</c:v>
                </c:pt>
                <c:pt idx="153">
                  <c:v>03-Jun-25</c:v>
                </c:pt>
                <c:pt idx="154">
                  <c:v>04-Jun-25</c:v>
                </c:pt>
                <c:pt idx="155">
                  <c:v>05-Jun-25</c:v>
                </c:pt>
                <c:pt idx="156">
                  <c:v>06-Jun-25</c:v>
                </c:pt>
                <c:pt idx="157">
                  <c:v>07-Jun-25</c:v>
                </c:pt>
                <c:pt idx="158">
                  <c:v>08-Jun-25</c:v>
                </c:pt>
                <c:pt idx="159">
                  <c:v>09-Jun-25</c:v>
                </c:pt>
                <c:pt idx="160">
                  <c:v>10-Jun-25</c:v>
                </c:pt>
                <c:pt idx="161">
                  <c:v>11-Jun-25</c:v>
                </c:pt>
                <c:pt idx="162">
                  <c:v>12-Jun-25</c:v>
                </c:pt>
                <c:pt idx="163">
                  <c:v>13-Jun-25</c:v>
                </c:pt>
                <c:pt idx="164">
                  <c:v>14-Jun-25</c:v>
                </c:pt>
                <c:pt idx="165">
                  <c:v>15-Jun-25</c:v>
                </c:pt>
                <c:pt idx="166">
                  <c:v>16-Jun-25</c:v>
                </c:pt>
                <c:pt idx="167">
                  <c:v>17-Jun-25</c:v>
                </c:pt>
                <c:pt idx="168">
                  <c:v>18-Jun-25</c:v>
                </c:pt>
                <c:pt idx="169">
                  <c:v>19-Jun-25</c:v>
                </c:pt>
                <c:pt idx="170">
                  <c:v>20-Jun-25</c:v>
                </c:pt>
                <c:pt idx="171">
                  <c:v>21-Jun-25</c:v>
                </c:pt>
                <c:pt idx="172">
                  <c:v>22-Jun-25</c:v>
                </c:pt>
                <c:pt idx="173">
                  <c:v>23-Jun-25</c:v>
                </c:pt>
                <c:pt idx="174">
                  <c:v>24-Jun-25</c:v>
                </c:pt>
                <c:pt idx="175">
                  <c:v>25-Jun-25</c:v>
                </c:pt>
                <c:pt idx="176">
                  <c:v>26-Jun-25</c:v>
                </c:pt>
                <c:pt idx="177">
                  <c:v>27-Jun-25</c:v>
                </c:pt>
                <c:pt idx="178">
                  <c:v>28-Jun-25</c:v>
                </c:pt>
                <c:pt idx="179">
                  <c:v>29-Jun-25</c:v>
                </c:pt>
                <c:pt idx="180">
                  <c:v>30-Jun-25</c:v>
                </c:pt>
                <c:pt idx="181">
                  <c:v>01-Jul-25</c:v>
                </c:pt>
                <c:pt idx="182">
                  <c:v>02-Jul-25</c:v>
                </c:pt>
                <c:pt idx="183">
                  <c:v>03-Jul-25</c:v>
                </c:pt>
                <c:pt idx="184">
                  <c:v>04-Jul-25</c:v>
                </c:pt>
                <c:pt idx="185">
                  <c:v>05-Jul-25</c:v>
                </c:pt>
                <c:pt idx="186">
                  <c:v>06-Jul-25</c:v>
                </c:pt>
                <c:pt idx="187">
                  <c:v>07-Jul-25</c:v>
                </c:pt>
                <c:pt idx="188">
                  <c:v>08-Jul-25</c:v>
                </c:pt>
                <c:pt idx="189">
                  <c:v>09-Jul-25</c:v>
                </c:pt>
                <c:pt idx="190">
                  <c:v>10-Jul-25</c:v>
                </c:pt>
                <c:pt idx="191">
                  <c:v>11-Jul-25</c:v>
                </c:pt>
                <c:pt idx="192">
                  <c:v>12-Jul-25</c:v>
                </c:pt>
                <c:pt idx="193">
                  <c:v>13-Jul-25</c:v>
                </c:pt>
                <c:pt idx="194">
                  <c:v>14-Jul-25</c:v>
                </c:pt>
                <c:pt idx="195">
                  <c:v>15-Jul-25</c:v>
                </c:pt>
                <c:pt idx="196">
                  <c:v>16-Jul-25</c:v>
                </c:pt>
                <c:pt idx="197">
                  <c:v>17-Jul-25</c:v>
                </c:pt>
                <c:pt idx="198">
                  <c:v>18-Jul-25</c:v>
                </c:pt>
                <c:pt idx="199">
                  <c:v>19-Jul-25</c:v>
                </c:pt>
                <c:pt idx="200">
                  <c:v>20-Jul-25</c:v>
                </c:pt>
                <c:pt idx="201">
                  <c:v>21-Jul-25</c:v>
                </c:pt>
                <c:pt idx="202">
                  <c:v>22-Jul-25</c:v>
                </c:pt>
                <c:pt idx="203">
                  <c:v>23-Jul-25</c:v>
                </c:pt>
                <c:pt idx="204">
                  <c:v>24-Jul-25</c:v>
                </c:pt>
                <c:pt idx="205">
                  <c:v>25-Jul-25</c:v>
                </c:pt>
                <c:pt idx="206">
                  <c:v>26-Jul-25</c:v>
                </c:pt>
                <c:pt idx="207">
                  <c:v>27-Jul-25</c:v>
                </c:pt>
                <c:pt idx="208">
                  <c:v>28-Jul-25</c:v>
                </c:pt>
                <c:pt idx="209">
                  <c:v>29-Jul-25</c:v>
                </c:pt>
                <c:pt idx="210">
                  <c:v>30-Jul-25</c:v>
                </c:pt>
                <c:pt idx="211">
                  <c:v>31-Jul-25</c:v>
                </c:pt>
                <c:pt idx="212">
                  <c:v>01-Aug-25</c:v>
                </c:pt>
                <c:pt idx="213">
                  <c:v>02-Aug-25</c:v>
                </c:pt>
                <c:pt idx="214">
                  <c:v>03-Aug-25</c:v>
                </c:pt>
                <c:pt idx="215">
                  <c:v>04-Aug-25</c:v>
                </c:pt>
                <c:pt idx="216">
                  <c:v>05-Aug-25</c:v>
                </c:pt>
                <c:pt idx="217">
                  <c:v>06-Aug-25</c:v>
                </c:pt>
                <c:pt idx="218">
                  <c:v>07-Aug-25</c:v>
                </c:pt>
                <c:pt idx="219">
                  <c:v>08-Aug-25</c:v>
                </c:pt>
                <c:pt idx="220">
                  <c:v>09-Aug-25</c:v>
                </c:pt>
                <c:pt idx="221">
                  <c:v>10-Aug-25</c:v>
                </c:pt>
                <c:pt idx="222">
                  <c:v>11-Aug-25</c:v>
                </c:pt>
                <c:pt idx="223">
                  <c:v>12-Aug-25</c:v>
                </c:pt>
                <c:pt idx="224">
                  <c:v>13-Aug-25</c:v>
                </c:pt>
                <c:pt idx="225">
                  <c:v>14-Aug-25</c:v>
                </c:pt>
                <c:pt idx="226">
                  <c:v>15-Aug-25</c:v>
                </c:pt>
                <c:pt idx="227">
                  <c:v>16-Aug-25</c:v>
                </c:pt>
                <c:pt idx="228">
                  <c:v>17-Aug-25</c:v>
                </c:pt>
                <c:pt idx="229">
                  <c:v>18-Aug-25</c:v>
                </c:pt>
                <c:pt idx="230">
                  <c:v>19-Aug-25</c:v>
                </c:pt>
                <c:pt idx="231">
                  <c:v>20-Aug-25</c:v>
                </c:pt>
                <c:pt idx="232">
                  <c:v>21-Aug-25</c:v>
                </c:pt>
                <c:pt idx="233">
                  <c:v>22-Aug-25</c:v>
                </c:pt>
                <c:pt idx="234">
                  <c:v>23-Aug-25</c:v>
                </c:pt>
                <c:pt idx="235">
                  <c:v>24-Aug-25</c:v>
                </c:pt>
                <c:pt idx="236">
                  <c:v>25-Aug-25</c:v>
                </c:pt>
                <c:pt idx="237">
                  <c:v>26-Aug-25</c:v>
                </c:pt>
                <c:pt idx="238">
                  <c:v>27-Aug-25</c:v>
                </c:pt>
                <c:pt idx="239">
                  <c:v>28-Aug-25</c:v>
                </c:pt>
                <c:pt idx="240">
                  <c:v>29-Aug-25</c:v>
                </c:pt>
                <c:pt idx="241">
                  <c:v>30-Aug-25</c:v>
                </c:pt>
                <c:pt idx="242">
                  <c:v>31-Aug-25</c:v>
                </c:pt>
                <c:pt idx="243">
                  <c:v>01-Sep-25</c:v>
                </c:pt>
                <c:pt idx="244">
                  <c:v>02-Sep-25</c:v>
                </c:pt>
                <c:pt idx="245">
                  <c:v>03-Sep-25</c:v>
                </c:pt>
                <c:pt idx="246">
                  <c:v>04-Sep-25</c:v>
                </c:pt>
                <c:pt idx="247">
                  <c:v>05-Sep-25</c:v>
                </c:pt>
                <c:pt idx="248">
                  <c:v>06-Sep-25</c:v>
                </c:pt>
                <c:pt idx="249">
                  <c:v>07-Sep-25</c:v>
                </c:pt>
                <c:pt idx="250">
                  <c:v>08-Sep-25</c:v>
                </c:pt>
                <c:pt idx="251">
                  <c:v>09-Sep-25</c:v>
                </c:pt>
                <c:pt idx="252">
                  <c:v>10-Sep-25</c:v>
                </c:pt>
                <c:pt idx="253">
                  <c:v>11-Sep-25</c:v>
                </c:pt>
                <c:pt idx="254">
                  <c:v>12-Sep-25</c:v>
                </c:pt>
                <c:pt idx="255">
                  <c:v>13-Sep-25</c:v>
                </c:pt>
                <c:pt idx="256">
                  <c:v>14-Sep-25</c:v>
                </c:pt>
                <c:pt idx="257">
                  <c:v>15-Sep-25</c:v>
                </c:pt>
                <c:pt idx="258">
                  <c:v>16-Sep-25</c:v>
                </c:pt>
                <c:pt idx="259">
                  <c:v>17-Sep-25</c:v>
                </c:pt>
                <c:pt idx="260">
                  <c:v>18-Sep-25</c:v>
                </c:pt>
                <c:pt idx="261">
                  <c:v>19-Sep-25</c:v>
                </c:pt>
                <c:pt idx="262">
                  <c:v>20-Sep-25</c:v>
                </c:pt>
                <c:pt idx="263">
                  <c:v>21-Sep-25</c:v>
                </c:pt>
                <c:pt idx="264">
                  <c:v>22-Sep-25</c:v>
                </c:pt>
                <c:pt idx="265">
                  <c:v>23-Sep-25</c:v>
                </c:pt>
                <c:pt idx="266">
                  <c:v>24-Sep-25</c:v>
                </c:pt>
                <c:pt idx="267">
                  <c:v>25-Sep-25</c:v>
                </c:pt>
                <c:pt idx="268">
                  <c:v>26-Sep-25</c:v>
                </c:pt>
                <c:pt idx="269">
                  <c:v>27-Sep-25</c:v>
                </c:pt>
                <c:pt idx="270">
                  <c:v>28-Sep-25</c:v>
                </c:pt>
                <c:pt idx="271">
                  <c:v>29-Sep-25</c:v>
                </c:pt>
                <c:pt idx="272">
                  <c:v>30-Sep-25</c:v>
                </c:pt>
                <c:pt idx="273">
                  <c:v>01-Oct-25</c:v>
                </c:pt>
                <c:pt idx="274">
                  <c:v>02-Oct-25</c:v>
                </c:pt>
                <c:pt idx="275">
                  <c:v>03-Oct-25</c:v>
                </c:pt>
                <c:pt idx="276">
                  <c:v>04-Oct-25</c:v>
                </c:pt>
                <c:pt idx="277">
                  <c:v>05-Oct-25</c:v>
                </c:pt>
                <c:pt idx="278">
                  <c:v>06-Oct-25</c:v>
                </c:pt>
                <c:pt idx="279">
                  <c:v>07-Oct-25</c:v>
                </c:pt>
                <c:pt idx="280">
                  <c:v>08-Oct-25</c:v>
                </c:pt>
                <c:pt idx="281">
                  <c:v>09-Oct-25</c:v>
                </c:pt>
                <c:pt idx="282">
                  <c:v>10-Oct-25</c:v>
                </c:pt>
                <c:pt idx="283">
                  <c:v>11-Oct-25</c:v>
                </c:pt>
                <c:pt idx="284">
                  <c:v>12-Oct-25</c:v>
                </c:pt>
                <c:pt idx="285">
                  <c:v>13-Oct-25</c:v>
                </c:pt>
                <c:pt idx="286">
                  <c:v>14-Oct-25</c:v>
                </c:pt>
                <c:pt idx="287">
                  <c:v>15-Oct-25</c:v>
                </c:pt>
                <c:pt idx="288">
                  <c:v>16-Oct-25</c:v>
                </c:pt>
                <c:pt idx="289">
                  <c:v>17-Oct-25</c:v>
                </c:pt>
                <c:pt idx="290">
                  <c:v>18-Oct-25</c:v>
                </c:pt>
                <c:pt idx="291">
                  <c:v>19-Oct-25</c:v>
                </c:pt>
                <c:pt idx="292">
                  <c:v>20-Oct-25</c:v>
                </c:pt>
                <c:pt idx="293">
                  <c:v>21-Oct-25</c:v>
                </c:pt>
                <c:pt idx="294">
                  <c:v>22-Oct-25</c:v>
                </c:pt>
                <c:pt idx="295">
                  <c:v>23-Oct-25</c:v>
                </c:pt>
                <c:pt idx="296">
                  <c:v>24-Oct-25</c:v>
                </c:pt>
                <c:pt idx="297">
                  <c:v>25-Oct-25</c:v>
                </c:pt>
                <c:pt idx="298">
                  <c:v>26-Oct-25</c:v>
                </c:pt>
                <c:pt idx="299">
                  <c:v>27-Oct-25</c:v>
                </c:pt>
                <c:pt idx="300">
                  <c:v>28-Oct-25</c:v>
                </c:pt>
                <c:pt idx="301">
                  <c:v>29-Oct-25</c:v>
                </c:pt>
                <c:pt idx="302">
                  <c:v>30-Oct-25</c:v>
                </c:pt>
                <c:pt idx="303">
                  <c:v>31-Oct-25</c:v>
                </c:pt>
                <c:pt idx="304">
                  <c:v>01-Nov-25</c:v>
                </c:pt>
                <c:pt idx="305">
                  <c:v>02-Nov-25</c:v>
                </c:pt>
                <c:pt idx="306">
                  <c:v>03-Nov-25</c:v>
                </c:pt>
                <c:pt idx="307">
                  <c:v>04-Nov-25</c:v>
                </c:pt>
                <c:pt idx="308">
                  <c:v>05-Nov-25</c:v>
                </c:pt>
                <c:pt idx="309">
                  <c:v>06-Nov-25</c:v>
                </c:pt>
                <c:pt idx="310">
                  <c:v>07-Nov-25</c:v>
                </c:pt>
                <c:pt idx="311">
                  <c:v>08-Nov-25</c:v>
                </c:pt>
                <c:pt idx="312">
                  <c:v>09-Nov-25</c:v>
                </c:pt>
                <c:pt idx="313">
                  <c:v>10-Nov-25</c:v>
                </c:pt>
                <c:pt idx="314">
                  <c:v>11-Nov-25</c:v>
                </c:pt>
                <c:pt idx="315">
                  <c:v>12-Nov-25</c:v>
                </c:pt>
                <c:pt idx="316">
                  <c:v>13-Nov-25</c:v>
                </c:pt>
                <c:pt idx="317">
                  <c:v>14-Nov-25</c:v>
                </c:pt>
                <c:pt idx="318">
                  <c:v>15-Nov-25</c:v>
                </c:pt>
                <c:pt idx="319">
                  <c:v>16-Nov-25</c:v>
                </c:pt>
                <c:pt idx="320">
                  <c:v>17-Nov-25</c:v>
                </c:pt>
                <c:pt idx="321">
                  <c:v>18-Nov-25</c:v>
                </c:pt>
                <c:pt idx="322">
                  <c:v>19-Nov-25</c:v>
                </c:pt>
                <c:pt idx="323">
                  <c:v>20-Nov-25</c:v>
                </c:pt>
                <c:pt idx="324">
                  <c:v>21-Nov-25</c:v>
                </c:pt>
                <c:pt idx="325">
                  <c:v>22-Nov-25</c:v>
                </c:pt>
                <c:pt idx="326">
                  <c:v>23-Nov-25</c:v>
                </c:pt>
                <c:pt idx="327">
                  <c:v>24-Nov-25</c:v>
                </c:pt>
                <c:pt idx="328">
                  <c:v>25-Nov-25</c:v>
                </c:pt>
                <c:pt idx="329">
                  <c:v>26-Nov-25</c:v>
                </c:pt>
                <c:pt idx="330">
                  <c:v>27-Nov-25</c:v>
                </c:pt>
                <c:pt idx="331">
                  <c:v>28-Nov-25</c:v>
                </c:pt>
                <c:pt idx="332">
                  <c:v>29-Nov-25</c:v>
                </c:pt>
                <c:pt idx="333">
                  <c:v>30-Nov-25</c:v>
                </c:pt>
                <c:pt idx="334">
                  <c:v>01-Dec-25</c:v>
                </c:pt>
                <c:pt idx="335">
                  <c:v>02-Dec-25</c:v>
                </c:pt>
                <c:pt idx="336">
                  <c:v>03-Dec-25</c:v>
                </c:pt>
                <c:pt idx="337">
                  <c:v>04-Dec-25</c:v>
                </c:pt>
                <c:pt idx="338">
                  <c:v>05-Dec-25</c:v>
                </c:pt>
                <c:pt idx="339">
                  <c:v>06-Dec-25</c:v>
                </c:pt>
                <c:pt idx="340">
                  <c:v>07-Dec-25</c:v>
                </c:pt>
                <c:pt idx="341">
                  <c:v>08-Dec-25</c:v>
                </c:pt>
                <c:pt idx="342">
                  <c:v>09-Dec-25</c:v>
                </c:pt>
                <c:pt idx="343">
                  <c:v>10-Dec-25</c:v>
                </c:pt>
                <c:pt idx="344">
                  <c:v>11-Dec-25</c:v>
                </c:pt>
                <c:pt idx="345">
                  <c:v>12-Dec-25</c:v>
                </c:pt>
                <c:pt idx="346">
                  <c:v>13-Dec-25</c:v>
                </c:pt>
                <c:pt idx="347">
                  <c:v>14-Dec-25</c:v>
                </c:pt>
                <c:pt idx="348">
                  <c:v>15-Dec-25</c:v>
                </c:pt>
                <c:pt idx="349">
                  <c:v>16-Dec-25</c:v>
                </c:pt>
                <c:pt idx="350">
                  <c:v>17-Dec-25</c:v>
                </c:pt>
                <c:pt idx="351">
                  <c:v>18-Dec-25</c:v>
                </c:pt>
                <c:pt idx="352">
                  <c:v>19-Dec-25</c:v>
                </c:pt>
                <c:pt idx="353">
                  <c:v>20-Dec-25</c:v>
                </c:pt>
                <c:pt idx="354">
                  <c:v>21-Dec-25</c:v>
                </c:pt>
                <c:pt idx="355">
                  <c:v>22-Dec-25</c:v>
                </c:pt>
                <c:pt idx="356">
                  <c:v>23-Dec-25</c:v>
                </c:pt>
                <c:pt idx="357">
                  <c:v>24-Dec-25</c:v>
                </c:pt>
                <c:pt idx="358">
                  <c:v>25-Dec-25</c:v>
                </c:pt>
                <c:pt idx="359">
                  <c:v>26-Dec-25</c:v>
                </c:pt>
                <c:pt idx="360">
                  <c:v>27-Dec-25</c:v>
                </c:pt>
                <c:pt idx="361">
                  <c:v>28-Dec-25</c:v>
                </c:pt>
                <c:pt idx="362">
                  <c:v>29-Dec-25</c:v>
                </c:pt>
                <c:pt idx="363">
                  <c:v>30-Dec-25</c:v>
                </c:pt>
                <c:pt idx="364">
                  <c:v>31-Dec-25</c:v>
                </c:pt>
                <c:pt idx="365">
                  <c:v>01-Jan-26</c:v>
                </c:pt>
                <c:pt idx="366">
                  <c:v>02-Jan-26</c:v>
                </c:pt>
                <c:pt idx="367">
                  <c:v>03-Jan-26</c:v>
                </c:pt>
                <c:pt idx="368">
                  <c:v>04-Jan-26</c:v>
                </c:pt>
                <c:pt idx="369">
                  <c:v>05-Jan-26</c:v>
                </c:pt>
                <c:pt idx="370">
                  <c:v>06-Jan-26</c:v>
                </c:pt>
                <c:pt idx="371">
                  <c:v>07-Jan-26</c:v>
                </c:pt>
                <c:pt idx="372">
                  <c:v>08-Jan-26</c:v>
                </c:pt>
                <c:pt idx="373">
                  <c:v>09-Jan-26</c:v>
                </c:pt>
                <c:pt idx="374">
                  <c:v>10-Jan-26</c:v>
                </c:pt>
                <c:pt idx="375">
                  <c:v>11-Jan-26</c:v>
                </c:pt>
                <c:pt idx="376">
                  <c:v>12-Jan-26</c:v>
                </c:pt>
                <c:pt idx="377">
                  <c:v>13-Jan-26</c:v>
                </c:pt>
                <c:pt idx="378">
                  <c:v>14-Jan-26</c:v>
                </c:pt>
                <c:pt idx="379">
                  <c:v>15-Jan-26</c:v>
                </c:pt>
                <c:pt idx="380">
                  <c:v>16-Jan-26</c:v>
                </c:pt>
                <c:pt idx="381">
                  <c:v>17-Jan-26</c:v>
                </c:pt>
                <c:pt idx="382">
                  <c:v>18-Jan-26</c:v>
                </c:pt>
                <c:pt idx="383">
                  <c:v>19-Jan-26</c:v>
                </c:pt>
                <c:pt idx="384">
                  <c:v>20-Jan-26</c:v>
                </c:pt>
                <c:pt idx="385">
                  <c:v>21-Jan-26</c:v>
                </c:pt>
                <c:pt idx="386">
                  <c:v>22-Jan-26</c:v>
                </c:pt>
                <c:pt idx="387">
                  <c:v>23-Jan-26</c:v>
                </c:pt>
                <c:pt idx="388">
                  <c:v>24-Jan-26</c:v>
                </c:pt>
                <c:pt idx="389">
                  <c:v>25-Jan-26</c:v>
                </c:pt>
                <c:pt idx="390">
                  <c:v>26-Jan-26</c:v>
                </c:pt>
                <c:pt idx="391">
                  <c:v>27-Jan-26</c:v>
                </c:pt>
                <c:pt idx="392">
                  <c:v>28-Jan-26</c:v>
                </c:pt>
                <c:pt idx="393">
                  <c:v>29-Jan-26</c:v>
                </c:pt>
                <c:pt idx="394">
                  <c:v>30-Jan-26</c:v>
                </c:pt>
                <c:pt idx="395">
                  <c:v>31-Jan-26</c:v>
                </c:pt>
                <c:pt idx="396">
                  <c:v>01-Feb-26</c:v>
                </c:pt>
                <c:pt idx="397">
                  <c:v>02-Feb-26</c:v>
                </c:pt>
                <c:pt idx="398">
                  <c:v>03-Feb-26</c:v>
                </c:pt>
                <c:pt idx="399">
                  <c:v>04-Feb-26</c:v>
                </c:pt>
                <c:pt idx="400">
                  <c:v>05-Feb-26</c:v>
                </c:pt>
                <c:pt idx="401">
                  <c:v>06-Feb-26</c:v>
                </c:pt>
                <c:pt idx="402">
                  <c:v>07-Feb-26</c:v>
                </c:pt>
                <c:pt idx="403">
                  <c:v>08-Feb-26</c:v>
                </c:pt>
                <c:pt idx="404">
                  <c:v>09-Feb-26</c:v>
                </c:pt>
                <c:pt idx="405">
                  <c:v>10-Feb-26</c:v>
                </c:pt>
                <c:pt idx="406">
                  <c:v>11-Feb-26</c:v>
                </c:pt>
                <c:pt idx="407">
                  <c:v>12-Feb-26</c:v>
                </c:pt>
                <c:pt idx="408">
                  <c:v>13-Feb-26</c:v>
                </c:pt>
                <c:pt idx="409">
                  <c:v>14-Feb-26</c:v>
                </c:pt>
                <c:pt idx="410">
                  <c:v>15-Feb-26</c:v>
                </c:pt>
                <c:pt idx="411">
                  <c:v>16-Feb-26</c:v>
                </c:pt>
                <c:pt idx="412">
                  <c:v>17-Feb-26</c:v>
                </c:pt>
                <c:pt idx="413">
                  <c:v>18-Feb-26</c:v>
                </c:pt>
                <c:pt idx="414">
                  <c:v>19-Feb-26</c:v>
                </c:pt>
                <c:pt idx="415">
                  <c:v>20-Feb-26</c:v>
                </c:pt>
                <c:pt idx="416">
                  <c:v>21-Feb-26</c:v>
                </c:pt>
                <c:pt idx="417">
                  <c:v>22-Feb-26</c:v>
                </c:pt>
                <c:pt idx="418">
                  <c:v>23-Feb-26</c:v>
                </c:pt>
                <c:pt idx="419">
                  <c:v>24-Feb-26</c:v>
                </c:pt>
                <c:pt idx="420">
                  <c:v>25-Feb-26</c:v>
                </c:pt>
                <c:pt idx="421">
                  <c:v>26-Feb-26</c:v>
                </c:pt>
                <c:pt idx="422">
                  <c:v>27-Feb-26</c:v>
                </c:pt>
                <c:pt idx="423">
                  <c:v>28-Feb-26</c:v>
                </c:pt>
                <c:pt idx="424">
                  <c:v>01-Mar-26</c:v>
                </c:pt>
                <c:pt idx="425">
                  <c:v>02-Mar-26</c:v>
                </c:pt>
                <c:pt idx="426">
                  <c:v>03-Mar-26</c:v>
                </c:pt>
                <c:pt idx="427">
                  <c:v>04-Mar-26</c:v>
                </c:pt>
                <c:pt idx="428">
                  <c:v>05-Mar-26</c:v>
                </c:pt>
                <c:pt idx="429">
                  <c:v>06-Mar-26</c:v>
                </c:pt>
                <c:pt idx="430">
                  <c:v>07-Mar-26</c:v>
                </c:pt>
                <c:pt idx="431">
                  <c:v>08-Mar-26</c:v>
                </c:pt>
                <c:pt idx="432">
                  <c:v>09-Mar-26</c:v>
                </c:pt>
                <c:pt idx="433">
                  <c:v>10-Mar-26</c:v>
                </c:pt>
                <c:pt idx="434">
                  <c:v>11-Mar-26</c:v>
                </c:pt>
                <c:pt idx="435">
                  <c:v>12-Mar-26</c:v>
                </c:pt>
                <c:pt idx="436">
                  <c:v>13-Mar-26</c:v>
                </c:pt>
                <c:pt idx="437">
                  <c:v>14-Mar-26</c:v>
                </c:pt>
                <c:pt idx="438">
                  <c:v>15-Mar-26</c:v>
                </c:pt>
                <c:pt idx="439">
                  <c:v>16-Mar-26</c:v>
                </c:pt>
                <c:pt idx="440">
                  <c:v>17-Mar-26</c:v>
                </c:pt>
                <c:pt idx="441">
                  <c:v>18-Mar-26</c:v>
                </c:pt>
                <c:pt idx="442">
                  <c:v>19-Mar-26</c:v>
                </c:pt>
                <c:pt idx="443">
                  <c:v>20-Mar-26</c:v>
                </c:pt>
                <c:pt idx="444">
                  <c:v>21-Mar-26</c:v>
                </c:pt>
                <c:pt idx="445">
                  <c:v>22-Mar-26</c:v>
                </c:pt>
                <c:pt idx="446">
                  <c:v>23-Mar-26</c:v>
                </c:pt>
                <c:pt idx="447">
                  <c:v>24-Mar-26</c:v>
                </c:pt>
                <c:pt idx="448">
                  <c:v>25-Mar-26</c:v>
                </c:pt>
                <c:pt idx="449">
                  <c:v>26-Mar-26</c:v>
                </c:pt>
                <c:pt idx="450">
                  <c:v>27-Mar-26</c:v>
                </c:pt>
                <c:pt idx="451">
                  <c:v>28-Mar-26</c:v>
                </c:pt>
                <c:pt idx="452">
                  <c:v>29-Mar-26</c:v>
                </c:pt>
                <c:pt idx="453">
                  <c:v>30-Mar-26</c:v>
                </c:pt>
                <c:pt idx="454">
                  <c:v>31-Mar-26</c:v>
                </c:pt>
                <c:pt idx="455">
                  <c:v>01-Apr-26</c:v>
                </c:pt>
                <c:pt idx="456">
                  <c:v>02-Apr-26</c:v>
                </c:pt>
                <c:pt idx="457">
                  <c:v>03-Apr-26</c:v>
                </c:pt>
                <c:pt idx="458">
                  <c:v>04-Apr-26</c:v>
                </c:pt>
                <c:pt idx="459">
                  <c:v>05-Apr-26</c:v>
                </c:pt>
                <c:pt idx="460">
                  <c:v>06-Apr-26</c:v>
                </c:pt>
                <c:pt idx="461">
                  <c:v>07-Apr-26</c:v>
                </c:pt>
                <c:pt idx="462">
                  <c:v>08-Apr-26</c:v>
                </c:pt>
                <c:pt idx="463">
                  <c:v>09-Apr-26</c:v>
                </c:pt>
                <c:pt idx="464">
                  <c:v>10-Apr-26</c:v>
                </c:pt>
                <c:pt idx="465">
                  <c:v>11-Apr-26</c:v>
                </c:pt>
                <c:pt idx="466">
                  <c:v>12-Apr-26</c:v>
                </c:pt>
                <c:pt idx="467">
                  <c:v>13-Apr-26</c:v>
                </c:pt>
                <c:pt idx="468">
                  <c:v>14-Apr-26</c:v>
                </c:pt>
                <c:pt idx="469">
                  <c:v>15-Apr-26</c:v>
                </c:pt>
                <c:pt idx="470">
                  <c:v>16-Apr-26</c:v>
                </c:pt>
                <c:pt idx="471">
                  <c:v>17-Apr-26</c:v>
                </c:pt>
                <c:pt idx="472">
                  <c:v>18-Apr-26</c:v>
                </c:pt>
                <c:pt idx="473">
                  <c:v>19-Apr-26</c:v>
                </c:pt>
                <c:pt idx="474">
                  <c:v>20-Apr-26</c:v>
                </c:pt>
                <c:pt idx="475">
                  <c:v>21-Apr-26</c:v>
                </c:pt>
                <c:pt idx="476">
                  <c:v>22-Apr-26</c:v>
                </c:pt>
                <c:pt idx="477">
                  <c:v>23-Apr-26</c:v>
                </c:pt>
                <c:pt idx="478">
                  <c:v>24-Apr-26</c:v>
                </c:pt>
                <c:pt idx="479">
                  <c:v>25-Apr-26</c:v>
                </c:pt>
                <c:pt idx="480">
                  <c:v>26-Apr-26</c:v>
                </c:pt>
                <c:pt idx="481">
                  <c:v>27-Apr-26</c:v>
                </c:pt>
                <c:pt idx="482">
                  <c:v>28-Apr-26</c:v>
                </c:pt>
                <c:pt idx="483">
                  <c:v>29-Apr-26</c:v>
                </c:pt>
                <c:pt idx="484">
                  <c:v>30-Apr-26</c:v>
                </c:pt>
                <c:pt idx="485">
                  <c:v>01-May-26</c:v>
                </c:pt>
                <c:pt idx="486">
                  <c:v>02-May-26</c:v>
                </c:pt>
                <c:pt idx="487">
                  <c:v>03-May-26</c:v>
                </c:pt>
                <c:pt idx="488">
                  <c:v>04-May-26</c:v>
                </c:pt>
                <c:pt idx="489">
                  <c:v>05-May-26</c:v>
                </c:pt>
                <c:pt idx="490">
                  <c:v>06-May-26</c:v>
                </c:pt>
                <c:pt idx="491">
                  <c:v>07-May-26</c:v>
                </c:pt>
                <c:pt idx="492">
                  <c:v>08-May-26</c:v>
                </c:pt>
                <c:pt idx="493">
                  <c:v>09-May-26</c:v>
                </c:pt>
                <c:pt idx="494">
                  <c:v>10-May-26</c:v>
                </c:pt>
                <c:pt idx="495">
                  <c:v>11-May-26</c:v>
                </c:pt>
                <c:pt idx="496">
                  <c:v>12-May-26</c:v>
                </c:pt>
                <c:pt idx="497">
                  <c:v>13-May-26</c:v>
                </c:pt>
                <c:pt idx="498">
                  <c:v>14-May-26</c:v>
                </c:pt>
                <c:pt idx="499">
                  <c:v>15-May-26</c:v>
                </c:pt>
                <c:pt idx="500">
                  <c:v>16-May-26</c:v>
                </c:pt>
                <c:pt idx="501">
                  <c:v>17-May-26</c:v>
                </c:pt>
                <c:pt idx="502">
                  <c:v>18-May-26</c:v>
                </c:pt>
                <c:pt idx="503">
                  <c:v>19-May-26</c:v>
                </c:pt>
                <c:pt idx="504">
                  <c:v>20-May-26</c:v>
                </c:pt>
                <c:pt idx="505">
                  <c:v>21-May-26</c:v>
                </c:pt>
                <c:pt idx="506">
                  <c:v>22-May-26</c:v>
                </c:pt>
                <c:pt idx="507">
                  <c:v>23-May-26</c:v>
                </c:pt>
                <c:pt idx="508">
                  <c:v>24-May-26</c:v>
                </c:pt>
                <c:pt idx="509">
                  <c:v>25-May-26</c:v>
                </c:pt>
                <c:pt idx="510">
                  <c:v>26-May-26</c:v>
                </c:pt>
                <c:pt idx="511">
                  <c:v>27-May-26</c:v>
                </c:pt>
                <c:pt idx="512">
                  <c:v>28-May-26</c:v>
                </c:pt>
                <c:pt idx="513">
                  <c:v>29-May-26</c:v>
                </c:pt>
                <c:pt idx="514">
                  <c:v>30-May-26</c:v>
                </c:pt>
                <c:pt idx="515">
                  <c:v>31-May-26</c:v>
                </c:pt>
                <c:pt idx="516">
                  <c:v>01-Jun-26</c:v>
                </c:pt>
                <c:pt idx="517">
                  <c:v>02-Jun-26</c:v>
                </c:pt>
                <c:pt idx="518">
                  <c:v>03-Jun-26</c:v>
                </c:pt>
                <c:pt idx="519">
                  <c:v>04-Jun-26</c:v>
                </c:pt>
                <c:pt idx="520">
                  <c:v>05-Jun-26</c:v>
                </c:pt>
                <c:pt idx="521">
                  <c:v>06-Jun-26</c:v>
                </c:pt>
                <c:pt idx="522">
                  <c:v>07-Jun-26</c:v>
                </c:pt>
                <c:pt idx="523">
                  <c:v>08-Jun-26</c:v>
                </c:pt>
                <c:pt idx="524">
                  <c:v>09-Jun-26</c:v>
                </c:pt>
                <c:pt idx="525">
                  <c:v>10-Jun-26</c:v>
                </c:pt>
                <c:pt idx="526">
                  <c:v>11-Jun-26</c:v>
                </c:pt>
                <c:pt idx="527">
                  <c:v>12-Jun-26</c:v>
                </c:pt>
                <c:pt idx="528">
                  <c:v>13-Jun-26</c:v>
                </c:pt>
                <c:pt idx="529">
                  <c:v>14-Jun-26</c:v>
                </c:pt>
                <c:pt idx="530">
                  <c:v>15-Jun-26</c:v>
                </c:pt>
                <c:pt idx="531">
                  <c:v>16-Jun-26</c:v>
                </c:pt>
                <c:pt idx="532">
                  <c:v>17-Jun-26</c:v>
                </c:pt>
                <c:pt idx="533">
                  <c:v>18-Jun-26</c:v>
                </c:pt>
                <c:pt idx="534">
                  <c:v>19-Jun-26</c:v>
                </c:pt>
                <c:pt idx="535">
                  <c:v>20-Jun-26</c:v>
                </c:pt>
                <c:pt idx="536">
                  <c:v>21-Jun-26</c:v>
                </c:pt>
                <c:pt idx="537">
                  <c:v>22-Jun-26</c:v>
                </c:pt>
                <c:pt idx="538">
                  <c:v>23-Jun-26</c:v>
                </c:pt>
                <c:pt idx="539">
                  <c:v>24-Jun-26</c:v>
                </c:pt>
                <c:pt idx="540">
                  <c:v>25-Jun-26</c:v>
                </c:pt>
                <c:pt idx="541">
                  <c:v>26-Jun-26</c:v>
                </c:pt>
                <c:pt idx="542">
                  <c:v>27-Jun-26</c:v>
                </c:pt>
                <c:pt idx="543">
                  <c:v>28-Jun-26</c:v>
                </c:pt>
                <c:pt idx="544">
                  <c:v>29-Jun-26</c:v>
                </c:pt>
                <c:pt idx="545">
                  <c:v>30-Jun-26</c:v>
                </c:pt>
                <c:pt idx="546">
                  <c:v>01-Jul-26</c:v>
                </c:pt>
                <c:pt idx="547">
                  <c:v>02-Jul-26</c:v>
                </c:pt>
              </c:strCache>
            </c:strRef>
          </c:cat>
          <c:val>
            <c:numRef>
              <c:f>'Daily Data'!$I$2:$I$549</c:f>
              <c:numCache>
                <c:formatCode>\$#,##0</c:formatCode>
                <c:ptCount val="548"/>
                <c:pt idx="0">
                  <c:v>93406.74</c:v>
                </c:pt>
                <c:pt idx="1">
                  <c:v>94409.13</c:v>
                </c:pt>
                <c:pt idx="2">
                  <c:v>96853.63</c:v>
                </c:pt>
                <c:pt idx="3">
                  <c:v>98122.01</c:v>
                </c:pt>
                <c:pt idx="4">
                  <c:v>98242.07</c:v>
                </c:pt>
                <c:pt idx="5">
                  <c:v>98319.2</c:v>
                </c:pt>
                <c:pt idx="6">
                  <c:v>102253.31</c:v>
                </c:pt>
                <c:pt idx="7">
                  <c:v>96916.58</c:v>
                </c:pt>
                <c:pt idx="8">
                  <c:v>95049.45</c:v>
                </c:pt>
                <c:pt idx="9">
                  <c:v>92493.26</c:v>
                </c:pt>
                <c:pt idx="10">
                  <c:v>94702.66</c:v>
                </c:pt>
                <c:pt idx="11">
                  <c:v>94569.61</c:v>
                </c:pt>
                <c:pt idx="12">
                  <c:v>94478.37</c:v>
                </c:pt>
                <c:pt idx="13">
                  <c:v>94497.68</c:v>
                </c:pt>
                <c:pt idx="14">
                  <c:v>96527.14</c:v>
                </c:pt>
                <c:pt idx="15">
                  <c:v>100511.85</c:v>
                </c:pt>
                <c:pt idx="16">
                  <c:v>99976.92</c:v>
                </c:pt>
                <c:pt idx="17">
                  <c:v>104103.44</c:v>
                </c:pt>
                <c:pt idx="18">
                  <c:v>104408.89</c:v>
                </c:pt>
                <c:pt idx="19">
                  <c:v>101217.01</c:v>
                </c:pt>
                <c:pt idx="20">
                  <c:v>102042.06</c:v>
                </c:pt>
                <c:pt idx="21">
                  <c:v>106158.27</c:v>
                </c:pt>
                <c:pt idx="22">
                  <c:v>103637.06</c:v>
                </c:pt>
                <c:pt idx="23">
                  <c:v>103950.37</c:v>
                </c:pt>
                <c:pt idx="24">
                  <c:v>104855</c:v>
                </c:pt>
                <c:pt idx="25">
                  <c:v>104722.36</c:v>
                </c:pt>
                <c:pt idx="26">
                  <c:v>102592.63</c:v>
                </c:pt>
                <c:pt idx="27">
                  <c:v>102102.01</c:v>
                </c:pt>
                <c:pt idx="28">
                  <c:v>101322.82</c:v>
                </c:pt>
                <c:pt idx="29">
                  <c:v>103704.56</c:v>
                </c:pt>
                <c:pt idx="30">
                  <c:v>104743.97</c:v>
                </c:pt>
                <c:pt idx="31">
                  <c:v>102406.47</c:v>
                </c:pt>
                <c:pt idx="32">
                  <c:v>100627.27</c:v>
                </c:pt>
                <c:pt idx="33">
                  <c:v>97675.85</c:v>
                </c:pt>
                <c:pt idx="34">
                  <c:v>101414.76</c:v>
                </c:pt>
                <c:pt idx="35">
                  <c:v>97877.42</c:v>
                </c:pt>
                <c:pt idx="36">
                  <c:v>96607.66</c:v>
                </c:pt>
                <c:pt idx="37">
                  <c:v>96564.45</c:v>
                </c:pt>
                <c:pt idx="38">
                  <c:v>96540.7</c:v>
                </c:pt>
                <c:pt idx="39">
                  <c:v>96486.54</c:v>
                </c:pt>
                <c:pt idx="40">
                  <c:v>96487.05</c:v>
                </c:pt>
                <c:pt idx="41">
                  <c:v>97461.49</c:v>
                </c:pt>
                <c:pt idx="42">
                  <c:v>95752</c:v>
                </c:pt>
                <c:pt idx="43">
                  <c:v>97877.16</c:v>
                </c:pt>
                <c:pt idx="44">
                  <c:v>96628.78</c:v>
                </c:pt>
                <c:pt idx="45">
                  <c:v>97494.79</c:v>
                </c:pt>
                <c:pt idx="46">
                  <c:v>97593.62</c:v>
                </c:pt>
                <c:pt idx="47">
                  <c:v>96176.21</c:v>
                </c:pt>
                <c:pt idx="48">
                  <c:v>95771.14</c:v>
                </c:pt>
                <c:pt idx="49">
                  <c:v>95544</c:v>
                </c:pt>
                <c:pt idx="50">
                  <c:v>96642.79</c:v>
                </c:pt>
                <c:pt idx="51">
                  <c:v>98331</c:v>
                </c:pt>
                <c:pt idx="52">
                  <c:v>96111.11</c:v>
                </c:pt>
                <c:pt idx="53">
                  <c:v>96580.65</c:v>
                </c:pt>
                <c:pt idx="54">
                  <c:v>96274.79</c:v>
                </c:pt>
                <c:pt idx="55">
                  <c:v>91538.39</c:v>
                </c:pt>
                <c:pt idx="56">
                  <c:v>88664.31</c:v>
                </c:pt>
                <c:pt idx="57">
                  <c:v>84115.7</c:v>
                </c:pt>
                <c:pt idx="58">
                  <c:v>84645.86</c:v>
                </c:pt>
                <c:pt idx="59">
                  <c:v>84379.79</c:v>
                </c:pt>
                <c:pt idx="60">
                  <c:v>86025.07</c:v>
                </c:pt>
                <c:pt idx="61">
                  <c:v>94255.51</c:v>
                </c:pt>
                <c:pt idx="62">
                  <c:v>86081.79</c:v>
                </c:pt>
                <c:pt idx="63">
                  <c:v>87226.39</c:v>
                </c:pt>
                <c:pt idx="64">
                  <c:v>90608.57</c:v>
                </c:pt>
                <c:pt idx="65">
                  <c:v>89920.13</c:v>
                </c:pt>
                <c:pt idx="66">
                  <c:v>86745.52</c:v>
                </c:pt>
                <c:pt idx="67">
                  <c:v>86163.24</c:v>
                </c:pt>
                <c:pt idx="68">
                  <c:v>80669.31</c:v>
                </c:pt>
                <c:pt idx="69">
                  <c:v>78557.72</c:v>
                </c:pt>
                <c:pt idx="70">
                  <c:v>82859.32</c:v>
                </c:pt>
                <c:pt idx="71">
                  <c:v>83703.69</c:v>
                </c:pt>
                <c:pt idx="72">
                  <c:v>81075.63</c:v>
                </c:pt>
                <c:pt idx="73">
                  <c:v>83982.58</c:v>
                </c:pt>
                <c:pt idx="74">
                  <c:v>84339.61</c:v>
                </c:pt>
                <c:pt idx="75">
                  <c:v>82581.85</c:v>
                </c:pt>
                <c:pt idx="76">
                  <c:v>84040.57</c:v>
                </c:pt>
                <c:pt idx="77">
                  <c:v>82718.44</c:v>
                </c:pt>
                <c:pt idx="78">
                  <c:v>86867.58</c:v>
                </c:pt>
                <c:pt idx="79">
                  <c:v>84174.28</c:v>
                </c:pt>
                <c:pt idx="80">
                  <c:v>84042.1</c:v>
                </c:pt>
                <c:pt idx="81">
                  <c:v>83813.07</c:v>
                </c:pt>
                <c:pt idx="82">
                  <c:v>86057.08</c:v>
                </c:pt>
                <c:pt idx="83">
                  <c:v>87509.31</c:v>
                </c:pt>
                <c:pt idx="84">
                  <c:v>87475.15</c:v>
                </c:pt>
                <c:pt idx="85">
                  <c:v>86907.02</c:v>
                </c:pt>
                <c:pt idx="86">
                  <c:v>87187.77</c:v>
                </c:pt>
                <c:pt idx="87">
                  <c:v>84362.88</c:v>
                </c:pt>
                <c:pt idx="88">
                  <c:v>82612.14</c:v>
                </c:pt>
                <c:pt idx="89">
                  <c:v>82338.19</c:v>
                </c:pt>
                <c:pt idx="90">
                  <c:v>82531.15</c:v>
                </c:pt>
                <c:pt idx="91">
                  <c:v>85185.53</c:v>
                </c:pt>
                <c:pt idx="92">
                  <c:v>82487.27</c:v>
                </c:pt>
                <c:pt idx="93">
                  <c:v>83102.81</c:v>
                </c:pt>
                <c:pt idx="94">
                  <c:v>83842.01</c:v>
                </c:pt>
                <c:pt idx="95">
                  <c:v>83500.22</c:v>
                </c:pt>
                <c:pt idx="96">
                  <c:v>78372.2</c:v>
                </c:pt>
                <c:pt idx="97">
                  <c:v>79188.56</c:v>
                </c:pt>
                <c:pt idx="98">
                  <c:v>76266.57</c:v>
                </c:pt>
                <c:pt idx="99">
                  <c:v>82575.64</c:v>
                </c:pt>
                <c:pt idx="100">
                  <c:v>79587.79</c:v>
                </c:pt>
                <c:pt idx="101">
                  <c:v>83423.93</c:v>
                </c:pt>
                <c:pt idx="102">
                  <c:v>85283.27</c:v>
                </c:pt>
                <c:pt idx="103">
                  <c:v>83709.73</c:v>
                </c:pt>
                <c:pt idx="104">
                  <c:v>84553.18</c:v>
                </c:pt>
                <c:pt idx="105">
                  <c:v>83631.52</c:v>
                </c:pt>
                <c:pt idx="106">
                  <c:v>84033.59</c:v>
                </c:pt>
                <c:pt idx="107">
                  <c:v>84915.2</c:v>
                </c:pt>
                <c:pt idx="108">
                  <c:v>84466.72</c:v>
                </c:pt>
                <c:pt idx="109">
                  <c:v>85090.63</c:v>
                </c:pt>
                <c:pt idx="110">
                  <c:v>85172.64</c:v>
                </c:pt>
                <c:pt idx="111">
                  <c:v>87522.75</c:v>
                </c:pt>
                <c:pt idx="112">
                  <c:v>93472.65</c:v>
                </c:pt>
                <c:pt idx="113">
                  <c:v>93708.71</c:v>
                </c:pt>
                <c:pt idx="114">
                  <c:v>93970.77</c:v>
                </c:pt>
                <c:pt idx="115">
                  <c:v>94724.46</c:v>
                </c:pt>
                <c:pt idx="116">
                  <c:v>94660.46</c:v>
                </c:pt>
                <c:pt idx="117">
                  <c:v>93782.18</c:v>
                </c:pt>
                <c:pt idx="118">
                  <c:v>94998.2</c:v>
                </c:pt>
                <c:pt idx="119">
                  <c:v>94274.98</c:v>
                </c:pt>
                <c:pt idx="120">
                  <c:v>94206.41</c:v>
                </c:pt>
                <c:pt idx="121">
                  <c:v>96507.26</c:v>
                </c:pt>
                <c:pt idx="122">
                  <c:v>96927.01</c:v>
                </c:pt>
                <c:pt idx="123">
                  <c:v>95895.74</c:v>
                </c:pt>
                <c:pt idx="124">
                  <c:v>94312.45</c:v>
                </c:pt>
                <c:pt idx="125">
                  <c:v>94727.8</c:v>
                </c:pt>
                <c:pt idx="126">
                  <c:v>96818.39</c:v>
                </c:pt>
                <c:pt idx="127">
                  <c:v>97042.54</c:v>
                </c:pt>
                <c:pt idx="128">
                  <c:v>103223.26</c:v>
                </c:pt>
                <c:pt idx="129">
                  <c:v>102982.07</c:v>
                </c:pt>
                <c:pt idx="130">
                  <c:v>104766.27</c:v>
                </c:pt>
                <c:pt idx="131">
                  <c:v>104130.99</c:v>
                </c:pt>
                <c:pt idx="132">
                  <c:v>102827.18</c:v>
                </c:pt>
                <c:pt idx="133">
                  <c:v>104154.71</c:v>
                </c:pt>
                <c:pt idx="134">
                  <c:v>103552.22</c:v>
                </c:pt>
                <c:pt idx="135">
                  <c:v>103757.39</c:v>
                </c:pt>
                <c:pt idx="136">
                  <c:v>103499.95</c:v>
                </c:pt>
                <c:pt idx="137">
                  <c:v>103158.51</c:v>
                </c:pt>
                <c:pt idx="138">
                  <c:v>106424.76</c:v>
                </c:pt>
                <c:pt idx="139">
                  <c:v>105622.1</c:v>
                </c:pt>
                <c:pt idx="140">
                  <c:v>106805.83</c:v>
                </c:pt>
                <c:pt idx="141">
                  <c:v>109668.26</c:v>
                </c:pt>
                <c:pt idx="142">
                  <c:v>111722.19</c:v>
                </c:pt>
                <c:pt idx="143">
                  <c:v>107303.71</c:v>
                </c:pt>
                <c:pt idx="144">
                  <c:v>107809.79</c:v>
                </c:pt>
                <c:pt idx="145">
                  <c:v>109029.24</c:v>
                </c:pt>
                <c:pt idx="146">
                  <c:v>109481.32</c:v>
                </c:pt>
                <c:pt idx="147">
                  <c:v>108987.67</c:v>
                </c:pt>
                <c:pt idx="148">
                  <c:v>107808.38</c:v>
                </c:pt>
                <c:pt idx="149">
                  <c:v>105588.16</c:v>
                </c:pt>
                <c:pt idx="150">
                  <c:v>104027.67</c:v>
                </c:pt>
                <c:pt idx="151">
                  <c:v>104655.37</c:v>
                </c:pt>
                <c:pt idx="152">
                  <c:v>105701.48</c:v>
                </c:pt>
                <c:pt idx="153">
                  <c:v>105906.96</c:v>
                </c:pt>
                <c:pt idx="154">
                  <c:v>105434.47</c:v>
                </c:pt>
                <c:pt idx="155">
                  <c:v>104743.97</c:v>
                </c:pt>
                <c:pt idx="156">
                  <c:v>101565.91</c:v>
                </c:pt>
                <c:pt idx="157">
                  <c:v>104381.86</c:v>
                </c:pt>
                <c:pt idx="158">
                  <c:v>105633.02</c:v>
                </c:pt>
                <c:pt idx="159">
                  <c:v>105770.98</c:v>
                </c:pt>
                <c:pt idx="160">
                  <c:v>110300.41</c:v>
                </c:pt>
                <c:pt idx="161">
                  <c:v>110279.28</c:v>
                </c:pt>
                <c:pt idx="162">
                  <c:v>108688.52</c:v>
                </c:pt>
                <c:pt idx="163">
                  <c:v>105755.21</c:v>
                </c:pt>
                <c:pt idx="164">
                  <c:v>106121.85</c:v>
                </c:pt>
                <c:pt idx="165">
                  <c:v>105466.67</c:v>
                </c:pt>
                <c:pt idx="166">
                  <c:v>105558.7</c:v>
                </c:pt>
                <c:pt idx="167">
                  <c:v>106798.31</c:v>
                </c:pt>
                <c:pt idx="168">
                  <c:v>104606.29</c:v>
                </c:pt>
                <c:pt idx="169">
                  <c:v>104910.93</c:v>
                </c:pt>
                <c:pt idx="170">
                  <c:v>104680.34</c:v>
                </c:pt>
                <c:pt idx="171">
                  <c:v>103302.68</c:v>
                </c:pt>
                <c:pt idx="172">
                  <c:v>102141.77</c:v>
                </c:pt>
                <c:pt idx="173">
                  <c:v>100997.71</c:v>
                </c:pt>
                <c:pt idx="174">
                  <c:v>105380.3</c:v>
                </c:pt>
                <c:pt idx="175">
                  <c:v>106118.74</c:v>
                </c:pt>
                <c:pt idx="176">
                  <c:v>107386.04</c:v>
                </c:pt>
                <c:pt idx="177">
                  <c:v>106978.63</c:v>
                </c:pt>
                <c:pt idx="178">
                  <c:v>107110.33</c:v>
                </c:pt>
                <c:pt idx="179">
                  <c:v>107334.13</c:v>
                </c:pt>
                <c:pt idx="180">
                  <c:v>108385.58</c:v>
                </c:pt>
                <c:pt idx="181">
                  <c:v>107130.31</c:v>
                </c:pt>
                <c:pt idx="182">
                  <c:v>105705.84</c:v>
                </c:pt>
                <c:pt idx="183">
                  <c:v>108846.62</c:v>
                </c:pt>
                <c:pt idx="184">
                  <c:v>109636.88</c:v>
                </c:pt>
                <c:pt idx="185">
                  <c:v>108026.4</c:v>
                </c:pt>
                <c:pt idx="186">
                  <c:v>108243.13</c:v>
                </c:pt>
                <c:pt idx="187">
                  <c:v>109223.78</c:v>
                </c:pt>
                <c:pt idx="188">
                  <c:v>108300.56</c:v>
                </c:pt>
                <c:pt idx="189">
                  <c:v>108936.26</c:v>
                </c:pt>
                <c:pt idx="190">
                  <c:v>111305.27</c:v>
                </c:pt>
                <c:pt idx="191">
                  <c:v>115993.81</c:v>
                </c:pt>
                <c:pt idx="192">
                  <c:v>117562.14</c:v>
                </c:pt>
                <c:pt idx="193">
                  <c:v>117446.02</c:v>
                </c:pt>
                <c:pt idx="194">
                  <c:v>119095.39</c:v>
                </c:pt>
                <c:pt idx="195">
                  <c:v>119870.73</c:v>
                </c:pt>
                <c:pt idx="196">
                  <c:v>117762.36</c:v>
                </c:pt>
                <c:pt idx="197">
                  <c:v>118748.5</c:v>
                </c:pt>
                <c:pt idx="198">
                  <c:v>119276.85</c:v>
                </c:pt>
                <c:pt idx="199">
                  <c:v>118019.66</c:v>
                </c:pt>
                <c:pt idx="200">
                  <c:v>117923.05</c:v>
                </c:pt>
                <c:pt idx="201">
                  <c:v>117316.3</c:v>
                </c:pt>
                <c:pt idx="202">
                  <c:v>117446.79</c:v>
                </c:pt>
                <c:pt idx="203">
                  <c:v>120001.46</c:v>
                </c:pt>
                <c:pt idx="204">
                  <c:v>118780.28</c:v>
                </c:pt>
                <c:pt idx="205">
                  <c:v>118353.17</c:v>
                </c:pt>
                <c:pt idx="206">
                  <c:v>117648.33</c:v>
                </c:pt>
                <c:pt idx="207">
                  <c:v>117947.26</c:v>
                </c:pt>
                <c:pt idx="208">
                  <c:v>119461.83</c:v>
                </c:pt>
                <c:pt idx="209">
                  <c:v>118037.15</c:v>
                </c:pt>
                <c:pt idx="210">
                  <c:v>117925.55</c:v>
                </c:pt>
                <c:pt idx="211">
                  <c:v>117828.87</c:v>
                </c:pt>
                <c:pt idx="212">
                  <c:v>115754.1</c:v>
                </c:pt>
                <c:pt idx="213">
                  <c:v>113262.81</c:v>
                </c:pt>
                <c:pt idx="214">
                  <c:v>112521.7</c:v>
                </c:pt>
                <c:pt idx="215">
                  <c:v>114226.86</c:v>
                </c:pt>
                <c:pt idx="216">
                  <c:v>115068.27</c:v>
                </c:pt>
                <c:pt idx="217">
                  <c:v>114138.05</c:v>
                </c:pt>
                <c:pt idx="218">
                  <c:v>115024.46</c:v>
                </c:pt>
                <c:pt idx="219">
                  <c:v>117510.56</c:v>
                </c:pt>
                <c:pt idx="220">
                  <c:v>116676.54</c:v>
                </c:pt>
                <c:pt idx="221">
                  <c:v>116485.38</c:v>
                </c:pt>
                <c:pt idx="222">
                  <c:v>119295.42</c:v>
                </c:pt>
                <c:pt idx="223">
                  <c:v>118715.93</c:v>
                </c:pt>
                <c:pt idx="224">
                  <c:v>120169.3</c:v>
                </c:pt>
                <c:pt idx="225">
                  <c:v>123359.45</c:v>
                </c:pt>
                <c:pt idx="226">
                  <c:v>118387.9</c:v>
                </c:pt>
                <c:pt idx="227">
                  <c:v>117419.5</c:v>
                </c:pt>
                <c:pt idx="228">
                  <c:v>117484.12</c:v>
                </c:pt>
                <c:pt idx="229">
                  <c:v>117455.5</c:v>
                </c:pt>
                <c:pt idx="230">
                  <c:v>116251.12</c:v>
                </c:pt>
                <c:pt idx="231">
                  <c:v>112816.34</c:v>
                </c:pt>
                <c:pt idx="232">
                  <c:v>114263.31</c:v>
                </c:pt>
                <c:pt idx="233">
                  <c:v>112432.68</c:v>
                </c:pt>
                <c:pt idx="234">
                  <c:v>116866.95</c:v>
                </c:pt>
                <c:pt idx="235">
                  <c:v>115372.47</c:v>
                </c:pt>
                <c:pt idx="236">
                  <c:v>113468.36</c:v>
                </c:pt>
                <c:pt idx="237">
                  <c:v>110138.68</c:v>
                </c:pt>
                <c:pt idx="238">
                  <c:v>111803.49</c:v>
                </c:pt>
                <c:pt idx="239">
                  <c:v>111252.32</c:v>
                </c:pt>
                <c:pt idx="240">
                  <c:v>112572.88</c:v>
                </c:pt>
                <c:pt idx="241">
                  <c:v>108370.55</c:v>
                </c:pt>
                <c:pt idx="242">
                  <c:v>108790.79</c:v>
                </c:pt>
                <c:pt idx="243">
                  <c:v>108234.82</c:v>
                </c:pt>
                <c:pt idx="244">
                  <c:v>109250.51</c:v>
                </c:pt>
                <c:pt idx="245">
                  <c:v>111202.95</c:v>
                </c:pt>
                <c:pt idx="246">
                  <c:v>111737.55</c:v>
                </c:pt>
                <c:pt idx="247">
                  <c:v>110732.71</c:v>
                </c:pt>
                <c:pt idx="248">
                  <c:v>110657.04</c:v>
                </c:pt>
                <c:pt idx="249">
                  <c:v>110231.14</c:v>
                </c:pt>
                <c:pt idx="250">
                  <c:v>111175.46</c:v>
                </c:pt>
                <c:pt idx="251">
                  <c:v>112078.8</c:v>
                </c:pt>
                <c:pt idx="252">
                  <c:v>111523.15</c:v>
                </c:pt>
                <c:pt idx="253">
                  <c:v>113969.34</c:v>
                </c:pt>
                <c:pt idx="254">
                  <c:v>115517.68</c:v>
                </c:pt>
                <c:pt idx="255">
                  <c:v>116105.02</c:v>
                </c:pt>
                <c:pt idx="256">
                  <c:v>115965.47</c:v>
                </c:pt>
                <c:pt idx="257">
                  <c:v>115384.69</c:v>
                </c:pt>
                <c:pt idx="258">
                  <c:v>115402.4</c:v>
                </c:pt>
                <c:pt idx="259">
                  <c:v>116797.5</c:v>
                </c:pt>
                <c:pt idx="260">
                  <c:v>116453.08</c:v>
                </c:pt>
                <c:pt idx="261">
                  <c:v>117128.97</c:v>
                </c:pt>
                <c:pt idx="262">
                  <c:v>115691.4</c:v>
                </c:pt>
                <c:pt idx="263">
                  <c:v>115751.15</c:v>
                </c:pt>
                <c:pt idx="264">
                  <c:v>115317.03</c:v>
                </c:pt>
                <c:pt idx="265">
                  <c:v>112752.31</c:v>
                </c:pt>
                <c:pt idx="266">
                  <c:v>112010.28</c:v>
                </c:pt>
                <c:pt idx="267">
                  <c:v>113316.86</c:v>
                </c:pt>
                <c:pt idx="268">
                  <c:v>109036.72</c:v>
                </c:pt>
                <c:pt idx="269">
                  <c:v>109698.86</c:v>
                </c:pt>
                <c:pt idx="270">
                  <c:v>109688.85</c:v>
                </c:pt>
                <c:pt idx="271">
                  <c:v>112177.12</c:v>
                </c:pt>
                <c:pt idx="272">
                  <c:v>114404.31</c:v>
                </c:pt>
                <c:pt idx="273">
                  <c:v>114034.76</c:v>
                </c:pt>
                <c:pt idx="274">
                  <c:v>118617.71</c:v>
                </c:pt>
                <c:pt idx="275">
                  <c:v>120627.96</c:v>
                </c:pt>
                <c:pt idx="276">
                  <c:v>122282.99</c:v>
                </c:pt>
                <c:pt idx="277">
                  <c:v>122433.34</c:v>
                </c:pt>
                <c:pt idx="278">
                  <c:v>123519.47</c:v>
                </c:pt>
                <c:pt idx="279">
                  <c:v>124776.68</c:v>
                </c:pt>
                <c:pt idx="280">
                  <c:v>121425.01</c:v>
                </c:pt>
                <c:pt idx="281">
                  <c:v>123341.25</c:v>
                </c:pt>
                <c:pt idx="282">
                  <c:v>121684.39</c:v>
                </c:pt>
                <c:pt idx="283">
                  <c:v>113139</c:v>
                </c:pt>
                <c:pt idx="284">
                  <c:v>110787.57</c:v>
                </c:pt>
                <c:pt idx="285">
                  <c:v>115105</c:v>
                </c:pt>
                <c:pt idx="286">
                  <c:v>115216.47</c:v>
                </c:pt>
                <c:pt idx="287">
                  <c:v>113092.61</c:v>
                </c:pt>
                <c:pt idx="288">
                  <c:v>110784.88</c:v>
                </c:pt>
                <c:pt idx="289">
                  <c:v>108192.62</c:v>
                </c:pt>
                <c:pt idx="290">
                  <c:v>106466.05</c:v>
                </c:pt>
                <c:pt idx="291">
                  <c:v>107209.72</c:v>
                </c:pt>
                <c:pt idx="292">
                  <c:v>108688.24</c:v>
                </c:pt>
                <c:pt idx="293">
                  <c:v>110576.7</c:v>
                </c:pt>
                <c:pt idx="294">
                  <c:v>108448.06</c:v>
                </c:pt>
                <c:pt idx="295">
                  <c:v>107614.03</c:v>
                </c:pt>
                <c:pt idx="296">
                  <c:v>110082.72</c:v>
                </c:pt>
                <c:pt idx="297">
                  <c:v>111020.53</c:v>
                </c:pt>
                <c:pt idx="298">
                  <c:v>111637.64</c:v>
                </c:pt>
                <c:pt idx="299">
                  <c:v>114531.59</c:v>
                </c:pt>
                <c:pt idx="300">
                  <c:v>114121.46</c:v>
                </c:pt>
                <c:pt idx="301">
                  <c:v>112923.91</c:v>
                </c:pt>
                <c:pt idx="302">
                  <c:v>110068.52</c:v>
                </c:pt>
                <c:pt idx="303">
                  <c:v>108303.21</c:v>
                </c:pt>
                <c:pt idx="304">
                  <c:v>109552.54</c:v>
                </c:pt>
                <c:pt idx="305">
                  <c:v>110047.16</c:v>
                </c:pt>
                <c:pt idx="306">
                  <c:v>110601.99</c:v>
                </c:pt>
                <c:pt idx="307">
                  <c:v>106533.38</c:v>
                </c:pt>
                <c:pt idx="308">
                  <c:v>101523.49</c:v>
                </c:pt>
                <c:pt idx="309">
                  <c:v>103883.58</c:v>
                </c:pt>
                <c:pt idx="310">
                  <c:v>101282.56</c:v>
                </c:pt>
                <c:pt idx="311">
                  <c:v>103328.81</c:v>
                </c:pt>
                <c:pt idx="312">
                  <c:v>102280.42</c:v>
                </c:pt>
                <c:pt idx="313">
                  <c:v>104712.19</c:v>
                </c:pt>
                <c:pt idx="314">
                  <c:v>105962.29</c:v>
                </c:pt>
                <c:pt idx="315">
                  <c:v>103017.87</c:v>
                </c:pt>
                <c:pt idx="316">
                  <c:v>101659.07</c:v>
                </c:pt>
                <c:pt idx="317">
                  <c:v>99675.15</c:v>
                </c:pt>
                <c:pt idx="318">
                  <c:v>94399.23</c:v>
                </c:pt>
                <c:pt idx="319">
                  <c:v>95534.16</c:v>
                </c:pt>
                <c:pt idx="320">
                  <c:v>94187.75</c:v>
                </c:pt>
                <c:pt idx="321">
                  <c:v>92093.24</c:v>
                </c:pt>
                <c:pt idx="322">
                  <c:v>92979.11</c:v>
                </c:pt>
                <c:pt idx="323">
                  <c:v>91453.07</c:v>
                </c:pt>
                <c:pt idx="324">
                  <c:v>86467.17</c:v>
                </c:pt>
                <c:pt idx="325">
                  <c:v>85096.82</c:v>
                </c:pt>
                <c:pt idx="326">
                  <c:v>84677.63</c:v>
                </c:pt>
                <c:pt idx="327">
                  <c:v>86786.92</c:v>
                </c:pt>
                <c:pt idx="328">
                  <c:v>88276.26</c:v>
                </c:pt>
                <c:pt idx="329">
                  <c:v>87330.85</c:v>
                </c:pt>
                <c:pt idx="330">
                  <c:v>90517.55</c:v>
                </c:pt>
                <c:pt idx="331">
                  <c:v>91305.47</c:v>
                </c:pt>
                <c:pt idx="332">
                  <c:v>90915.26</c:v>
                </c:pt>
                <c:pt idx="333">
                  <c:v>90830.82</c:v>
                </c:pt>
                <c:pt idx="334">
                  <c:v>90376.43</c:v>
                </c:pt>
                <c:pt idx="335">
                  <c:v>86316.42</c:v>
                </c:pt>
                <c:pt idx="336">
                  <c:v>91320.47</c:v>
                </c:pt>
                <c:pt idx="337">
                  <c:v>93468.15</c:v>
                </c:pt>
                <c:pt idx="338">
                  <c:v>92141.99</c:v>
                </c:pt>
                <c:pt idx="339">
                  <c:v>89343.14</c:v>
                </c:pt>
                <c:pt idx="340">
                  <c:v>89230.51</c:v>
                </c:pt>
                <c:pt idx="341">
                  <c:v>90455.3</c:v>
                </c:pt>
                <c:pt idx="342">
                  <c:v>90643.57</c:v>
                </c:pt>
                <c:pt idx="343">
                  <c:v>92703.59</c:v>
                </c:pt>
                <c:pt idx="344">
                  <c:v>91985.09</c:v>
                </c:pt>
                <c:pt idx="345">
                  <c:v>92497.93</c:v>
                </c:pt>
                <c:pt idx="346">
                  <c:v>90269.59</c:v>
                </c:pt>
                <c:pt idx="347">
                  <c:v>90280.87</c:v>
                </c:pt>
                <c:pt idx="348">
                  <c:v>88166.45</c:v>
                </c:pt>
                <c:pt idx="349">
                  <c:v>86422.9</c:v>
                </c:pt>
                <c:pt idx="350">
                  <c:v>87835.39</c:v>
                </c:pt>
                <c:pt idx="351">
                  <c:v>86132.82</c:v>
                </c:pt>
                <c:pt idx="352">
                  <c:v>85458.35</c:v>
                </c:pt>
                <c:pt idx="353">
                  <c:v>88098.82</c:v>
                </c:pt>
                <c:pt idx="354">
                  <c:v>88337.41</c:v>
                </c:pt>
                <c:pt idx="355">
                  <c:v>88615.72</c:v>
                </c:pt>
                <c:pt idx="356">
                  <c:v>88485.37</c:v>
                </c:pt>
                <c:pt idx="357">
                  <c:v>87424.67</c:v>
                </c:pt>
                <c:pt idx="358">
                  <c:v>87607.78</c:v>
                </c:pt>
                <c:pt idx="359">
                  <c:v>87223.66</c:v>
                </c:pt>
                <c:pt idx="360">
                  <c:v>87300.34</c:v>
                </c:pt>
                <c:pt idx="361">
                  <c:v>87790.37</c:v>
                </c:pt>
                <c:pt idx="362">
                  <c:v>87835.12</c:v>
                </c:pt>
                <c:pt idx="363">
                  <c:v>87123.05</c:v>
                </c:pt>
                <c:pt idx="364">
                  <c:v>88423.54</c:v>
                </c:pt>
                <c:pt idx="365">
                  <c:v>87493.87</c:v>
                </c:pt>
                <c:pt idx="366">
                  <c:v>88735</c:v>
                </c:pt>
                <c:pt idx="367">
                  <c:v>89944.05</c:v>
                </c:pt>
                <c:pt idx="368">
                  <c:v>90590.94</c:v>
                </c:pt>
                <c:pt idx="369">
                  <c:v>91467.97</c:v>
                </c:pt>
                <c:pt idx="370">
                  <c:v>93882.39</c:v>
                </c:pt>
                <c:pt idx="371">
                  <c:v>93738.8</c:v>
                </c:pt>
                <c:pt idx="372">
                  <c:v>91272.61</c:v>
                </c:pt>
                <c:pt idx="373">
                  <c:v>91030.38</c:v>
                </c:pt>
                <c:pt idx="374">
                  <c:v>90495.68</c:v>
                </c:pt>
                <c:pt idx="375">
                  <c:v>90378.79</c:v>
                </c:pt>
                <c:pt idx="376">
                  <c:v>90818.26</c:v>
                </c:pt>
                <c:pt idx="377">
                  <c:v>91193.7</c:v>
                </c:pt>
                <c:pt idx="378">
                  <c:v>95333.81</c:v>
                </c:pt>
                <c:pt idx="379">
                  <c:v>96931.94</c:v>
                </c:pt>
                <c:pt idx="380">
                  <c:v>95559.97</c:v>
                </c:pt>
                <c:pt idx="381">
                  <c:v>95527.94</c:v>
                </c:pt>
                <c:pt idx="382">
                  <c:v>95097.89</c:v>
                </c:pt>
                <c:pt idx="383">
                  <c:v>93665.1</c:v>
                </c:pt>
                <c:pt idx="384">
                  <c:v>92553.06</c:v>
                </c:pt>
                <c:pt idx="385">
                  <c:v>88324.94</c:v>
                </c:pt>
                <c:pt idx="386">
                  <c:v>89374.74</c:v>
                </c:pt>
                <c:pt idx="387">
                  <c:v>89461.76</c:v>
                </c:pt>
                <c:pt idx="388">
                  <c:v>89506</c:v>
                </c:pt>
                <c:pt idx="389">
                  <c:v>89082.07</c:v>
                </c:pt>
                <c:pt idx="390">
                  <c:v>86570.94</c:v>
                </c:pt>
                <c:pt idx="391">
                  <c:v>88245.67</c:v>
                </c:pt>
                <c:pt idx="392">
                  <c:v>89117.06</c:v>
                </c:pt>
                <c:pt idx="393">
                  <c:v>89159.85</c:v>
                </c:pt>
                <c:pt idx="394">
                  <c:v>84563.4</c:v>
                </c:pt>
                <c:pt idx="395">
                  <c:v>84120.31</c:v>
                </c:pt>
                <c:pt idx="396">
                  <c:v>78585.89</c:v>
                </c:pt>
                <c:pt idx="397">
                  <c:v>76879.64</c:v>
                </c:pt>
                <c:pt idx="398">
                  <c:v>78679.78</c:v>
                </c:pt>
                <c:pt idx="399">
                  <c:v>75631.64</c:v>
                </c:pt>
                <c:pt idx="400">
                  <c:v>73004.18</c:v>
                </c:pt>
                <c:pt idx="401">
                  <c:v>62812.06</c:v>
                </c:pt>
                <c:pt idx="402">
                  <c:v>70520.32</c:v>
                </c:pt>
                <c:pt idx="403">
                  <c:v>69282.65</c:v>
                </c:pt>
                <c:pt idx="404">
                  <c:v>70284.84</c:v>
                </c:pt>
                <c:pt idx="405">
                  <c:v>70131.23</c:v>
                </c:pt>
                <c:pt idx="406">
                  <c:v>68794.25</c:v>
                </c:pt>
                <c:pt idx="407">
                  <c:v>66979.72</c:v>
                </c:pt>
                <c:pt idx="408">
                  <c:v>66205.98</c:v>
                </c:pt>
                <c:pt idx="409">
                  <c:v>68851.99</c:v>
                </c:pt>
                <c:pt idx="410">
                  <c:v>69754.68</c:v>
                </c:pt>
                <c:pt idx="411">
                  <c:v>68784.72</c:v>
                </c:pt>
                <c:pt idx="412">
                  <c:v>68840.26</c:v>
                </c:pt>
                <c:pt idx="413">
                  <c:v>67459.99</c:v>
                </c:pt>
                <c:pt idx="414">
                  <c:v>66427.8</c:v>
                </c:pt>
                <c:pt idx="415">
                  <c:v>66956.88</c:v>
                </c:pt>
                <c:pt idx="416">
                  <c:v>67994.8</c:v>
                </c:pt>
                <c:pt idx="417">
                  <c:v>67966.35</c:v>
                </c:pt>
                <c:pt idx="418">
                  <c:v>67614.9</c:v>
                </c:pt>
                <c:pt idx="419">
                  <c:v>64619.94</c:v>
                </c:pt>
                <c:pt idx="420">
                  <c:v>64043.32</c:v>
                </c:pt>
                <c:pt idx="421">
                  <c:v>67984.76</c:v>
                </c:pt>
                <c:pt idx="422">
                  <c:v>67470.73</c:v>
                </c:pt>
                <c:pt idx="423">
                  <c:v>65866.66</c:v>
                </c:pt>
                <c:pt idx="424">
                  <c:v>67006.09</c:v>
                </c:pt>
                <c:pt idx="425">
                  <c:v>65762.29</c:v>
                </c:pt>
                <c:pt idx="426">
                  <c:v>68775.78</c:v>
                </c:pt>
                <c:pt idx="427">
                  <c:v>68264.82</c:v>
                </c:pt>
                <c:pt idx="428">
                  <c:v>72758.05</c:v>
                </c:pt>
                <c:pt idx="429">
                  <c:v>70886.76</c:v>
                </c:pt>
                <c:pt idx="430">
                  <c:v>68128.59</c:v>
                </c:pt>
                <c:pt idx="431">
                  <c:v>67279.51</c:v>
                </c:pt>
                <c:pt idx="432">
                  <c:v>65940.8</c:v>
                </c:pt>
                <c:pt idx="433">
                  <c:v>68452.78</c:v>
                </c:pt>
                <c:pt idx="434">
                  <c:v>69922.38</c:v>
                </c:pt>
                <c:pt idx="435">
                  <c:v>70197.35</c:v>
                </c:pt>
                <c:pt idx="436">
                  <c:v>70493.61</c:v>
                </c:pt>
                <c:pt idx="437">
                  <c:v>70966.24</c:v>
                </c:pt>
                <c:pt idx="438">
                  <c:v>71218.64</c:v>
                </c:pt>
                <c:pt idx="439">
                  <c:v>72819.88</c:v>
                </c:pt>
                <c:pt idx="440">
                  <c:v>74859.5</c:v>
                </c:pt>
                <c:pt idx="441">
                  <c:v>73927.68</c:v>
                </c:pt>
                <c:pt idx="442">
                  <c:v>71263.46</c:v>
                </c:pt>
                <c:pt idx="443">
                  <c:v>69911.35</c:v>
                </c:pt>
                <c:pt idx="444">
                  <c:v>70507.53</c:v>
                </c:pt>
                <c:pt idx="445">
                  <c:v>68890.19</c:v>
                </c:pt>
                <c:pt idx="446">
                  <c:v>67849.71</c:v>
                </c:pt>
                <c:pt idx="447">
                  <c:v>70885.18</c:v>
                </c:pt>
                <c:pt idx="448">
                  <c:v>70517.65</c:v>
                </c:pt>
                <c:pt idx="449">
                  <c:v>71301.05</c:v>
                </c:pt>
                <c:pt idx="450">
                  <c:v>68779.41</c:v>
                </c:pt>
                <c:pt idx="451">
                  <c:v>66329.87</c:v>
                </c:pt>
                <c:pt idx="452">
                  <c:v>66320.1</c:v>
                </c:pt>
                <c:pt idx="453">
                  <c:v>65956.94</c:v>
                </c:pt>
                <c:pt idx="454">
                  <c:v>66694.46</c:v>
                </c:pt>
                <c:pt idx="455">
                  <c:v>68216.53</c:v>
                </c:pt>
                <c:pt idx="456">
                  <c:v>68099.79</c:v>
                </c:pt>
                <c:pt idx="457">
                  <c:v>66891.36</c:v>
                </c:pt>
                <c:pt idx="458">
                  <c:v>66931.75</c:v>
                </c:pt>
                <c:pt idx="459">
                  <c:v>67286.12</c:v>
                </c:pt>
                <c:pt idx="460">
                  <c:v>68996.55</c:v>
                </c:pt>
                <c:pt idx="461">
                  <c:v>68856.54</c:v>
                </c:pt>
                <c:pt idx="462">
                  <c:v>71949.58</c:v>
                </c:pt>
                <c:pt idx="463">
                  <c:v>71129.61</c:v>
                </c:pt>
                <c:pt idx="464">
                  <c:v>71771.25</c:v>
                </c:pt>
                <c:pt idx="465">
                  <c:v>72976.07</c:v>
                </c:pt>
                <c:pt idx="466">
                  <c:v>73065.17</c:v>
                </c:pt>
                <c:pt idx="467">
                  <c:v>70768.13</c:v>
                </c:pt>
                <c:pt idx="468">
                  <c:v>74501.01</c:v>
                </c:pt>
                <c:pt idx="469">
                  <c:v>74195.34</c:v>
                </c:pt>
                <c:pt idx="470">
                  <c:v>74814.99</c:v>
                </c:pt>
                <c:pt idx="471">
                  <c:v>75169.74</c:v>
                </c:pt>
                <c:pt idx="472">
                  <c:v>77143.43</c:v>
                </c:pt>
                <c:pt idx="473">
                  <c:v>75734.7</c:v>
                </c:pt>
                <c:pt idx="474">
                  <c:v>73857.03</c:v>
                </c:pt>
                <c:pt idx="475">
                  <c:v>75873.82</c:v>
                </c:pt>
                <c:pt idx="476">
                  <c:v>76353.08</c:v>
                </c:pt>
                <c:pt idx="477">
                  <c:v>78206.49</c:v>
                </c:pt>
                <c:pt idx="478">
                  <c:v>78266.65</c:v>
                </c:pt>
                <c:pt idx="479">
                  <c:v>77458.76</c:v>
                </c:pt>
                <c:pt idx="480">
                  <c:v>77636.09</c:v>
                </c:pt>
                <c:pt idx="481">
                  <c:v>78649.47</c:v>
                </c:pt>
                <c:pt idx="482">
                  <c:v>77373.46</c:v>
                </c:pt>
                <c:pt idx="483">
                  <c:v>76347.25</c:v>
                </c:pt>
                <c:pt idx="484">
                  <c:v>75781.88</c:v>
                </c:pt>
                <c:pt idx="485">
                  <c:v>76286.46</c:v>
                </c:pt>
                <c:pt idx="486">
                  <c:v>78195.88</c:v>
                </c:pt>
                <c:pt idx="487">
                  <c:v>78670.21</c:v>
                </c:pt>
                <c:pt idx="488">
                  <c:v>78543.1</c:v>
                </c:pt>
                <c:pt idx="489">
                  <c:v>79827.87</c:v>
                </c:pt>
                <c:pt idx="490">
                  <c:v>80928.41</c:v>
                </c:pt>
                <c:pt idx="491">
                  <c:v>81436.54</c:v>
                </c:pt>
                <c:pt idx="492">
                  <c:v>80015.99</c:v>
                </c:pt>
                <c:pt idx="493">
                  <c:v>80197.58</c:v>
                </c:pt>
                <c:pt idx="494">
                  <c:v>80672.03</c:v>
                </c:pt>
                <c:pt idx="495">
                  <c:v>82146.2</c:v>
                </c:pt>
                <c:pt idx="496">
                  <c:v>81738.19</c:v>
                </c:pt>
                <c:pt idx="497">
                  <c:v>80491.45</c:v>
                </c:pt>
                <c:pt idx="498">
                  <c:v>79285.66</c:v>
                </c:pt>
                <c:pt idx="499">
                  <c:v>81067.56</c:v>
                </c:pt>
                <c:pt idx="500">
                  <c:v>79063.02</c:v>
                </c:pt>
                <c:pt idx="501">
                  <c:v>78140.84</c:v>
                </c:pt>
                <c:pt idx="502">
                  <c:v>77409.45</c:v>
                </c:pt>
                <c:pt idx="503">
                  <c:v>76947.45</c:v>
                </c:pt>
                <c:pt idx="504">
                  <c:v>76752.77</c:v>
                </c:pt>
                <c:pt idx="505">
                  <c:v>77463.34</c:v>
                </c:pt>
                <c:pt idx="506">
                  <c:v>77538.22</c:v>
                </c:pt>
                <c:pt idx="507">
                  <c:v>75460.93</c:v>
                </c:pt>
                <c:pt idx="508">
                  <c:v>76673.89</c:v>
                </c:pt>
                <c:pt idx="509">
                  <c:v>76985.38</c:v>
                </c:pt>
                <c:pt idx="510">
                  <c:v>77284.84</c:v>
                </c:pt>
                <c:pt idx="511">
                  <c:v>75823.27</c:v>
                </c:pt>
                <c:pt idx="512">
                  <c:v>74348.35</c:v>
                </c:pt>
                <c:pt idx="513">
                  <c:v>73539.08</c:v>
                </c:pt>
                <c:pt idx="514">
                  <c:v>73372.1</c:v>
                </c:pt>
                <c:pt idx="515">
                  <c:v>73754.51</c:v>
                </c:pt>
                <c:pt idx="516">
                  <c:v>73570.59</c:v>
                </c:pt>
                <c:pt idx="517">
                  <c:v>71325.64</c:v>
                </c:pt>
                <c:pt idx="518">
                  <c:v>66676.55</c:v>
                </c:pt>
                <c:pt idx="519">
                  <c:v>64012.8</c:v>
                </c:pt>
                <c:pt idx="520">
                  <c:v>63812.6</c:v>
                </c:pt>
                <c:pt idx="521">
                  <c:v>61039.24</c:v>
                </c:pt>
                <c:pt idx="522">
                  <c:v>60861.29</c:v>
                </c:pt>
                <c:pt idx="523">
                  <c:v>63274.63</c:v>
                </c:pt>
                <c:pt idx="524">
                  <c:v>63090.31</c:v>
                </c:pt>
                <c:pt idx="525">
                  <c:v>61642.38</c:v>
                </c:pt>
                <c:pt idx="526">
                  <c:v>61450.38</c:v>
                </c:pt>
                <c:pt idx="527">
                  <c:v>63547.89</c:v>
                </c:pt>
                <c:pt idx="528">
                  <c:v>63539.65</c:v>
                </c:pt>
                <c:pt idx="529">
                  <c:v>64427.29</c:v>
                </c:pt>
                <c:pt idx="530">
                  <c:v>65713.21</c:v>
                </c:pt>
                <c:pt idx="531">
                  <c:v>66285.33</c:v>
                </c:pt>
                <c:pt idx="532">
                  <c:v>65611.77</c:v>
                </c:pt>
                <c:pt idx="533">
                  <c:v>64428.91</c:v>
                </c:pt>
                <c:pt idx="534">
                  <c:v>62900.98</c:v>
                </c:pt>
                <c:pt idx="535">
                  <c:v>63486.22</c:v>
                </c:pt>
                <c:pt idx="536">
                  <c:v>64250.43</c:v>
                </c:pt>
                <c:pt idx="537">
                  <c:v>63234.7</c:v>
                </c:pt>
                <c:pt idx="538">
                  <c:v>63952.2</c:v>
                </c:pt>
                <c:pt idx="539">
                  <c:v>62653.71</c:v>
                </c:pt>
                <c:pt idx="540">
                  <c:v>60984.24</c:v>
                </c:pt>
                <c:pt idx="541">
                  <c:v>59709.65</c:v>
                </c:pt>
                <c:pt idx="542">
                  <c:v>60023.84</c:v>
                </c:pt>
                <c:pt idx="543">
                  <c:v>59941.43</c:v>
                </c:pt>
                <c:pt idx="544">
                  <c:v>59496.75</c:v>
                </c:pt>
                <c:pt idx="545">
                  <c:v>60136.19</c:v>
                </c:pt>
                <c:pt idx="546">
                  <c:v>58534.28</c:v>
                </c:pt>
                <c:pt idx="547">
                  <c:v>59963.86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2199994"/>
        <c:axId val="96538213"/>
      </c:lineChart>
      <c:catAx>
        <c:axId val="2219999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-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538213"/>
        <c:crosses val="autoZero"/>
        <c:auto val="1"/>
        <c:lblAlgn val="ctr"/>
        <c:lblOffset val="100"/>
        <c:noMultiLvlLbl val="0"/>
      </c:catAx>
      <c:valAx>
        <c:axId val="965382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1999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16</xdr:col>
      <xdr:colOff>187200</xdr:colOff>
      <xdr:row>23</xdr:row>
      <xdr:rowOff>128520</xdr:rowOff>
    </xdr:to>
    <xdr:graphicFrame>
      <xdr:nvGraphicFramePr>
        <xdr:cNvPr id="0" name="Chart 1"/>
        <xdr:cNvGraphicFramePr/>
      </xdr:nvGraphicFramePr>
      <xdr:xfrm>
        <a:off x="611640" y="190440"/>
        <a:ext cx="93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3" min="3" style="0" width="110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n">
        <v>0.05</v>
      </c>
      <c r="C3" s="4" t="s">
        <v>2</v>
      </c>
    </row>
    <row r="4" customFormat="false" ht="15" hidden="false" customHeight="false" outlineLevel="0" collapsed="false">
      <c r="A4" s="2" t="s">
        <v>3</v>
      </c>
      <c r="B4" s="5" t="n">
        <v>0.75</v>
      </c>
      <c r="C4" s="4" t="s">
        <v>4</v>
      </c>
    </row>
    <row r="5" customFormat="false" ht="15" hidden="false" customHeight="false" outlineLevel="0" collapsed="false">
      <c r="A5" s="2" t="s">
        <v>5</v>
      </c>
      <c r="B5" s="5" t="n">
        <v>0.65</v>
      </c>
      <c r="C5" s="4" t="s">
        <v>6</v>
      </c>
    </row>
    <row r="8" customFormat="false" ht="15" hidden="false" customHeight="false" outlineLevel="0" collapsed="false">
      <c r="A8" s="6" t="s">
        <v>7</v>
      </c>
    </row>
    <row r="9" customFormat="false" ht="15" hidden="false" customHeight="false" outlineLevel="0" collapsed="false">
      <c r="A9" s="7" t="s">
        <v>8</v>
      </c>
    </row>
    <row r="10" customFormat="false" ht="15" hidden="false" customHeight="false" outlineLevel="0" collapsed="false">
      <c r="A10" s="7" t="s">
        <v>9</v>
      </c>
    </row>
    <row r="11" customFormat="false" ht="15" hidden="false" customHeight="false" outlineLevel="0" collapsed="false">
      <c r="A11" s="7" t="s">
        <v>10</v>
      </c>
    </row>
    <row r="12" customFormat="false" ht="15" hidden="false" customHeight="false" outlineLevel="0" collapsed="false">
      <c r="A12" s="7" t="s">
        <v>11</v>
      </c>
    </row>
    <row r="13" customFormat="false" ht="15" hidden="false" customHeight="false" outlineLevel="0" collapsed="false">
      <c r="A13" s="7" t="s">
        <v>12</v>
      </c>
    </row>
    <row r="14" customFormat="false" ht="15" hidden="false" customHeight="false" outlineLevel="0" collapsed="false">
      <c r="A14" s="7" t="s">
        <v>13</v>
      </c>
    </row>
    <row r="15" customFormat="false" ht="15" hidden="false" customHeight="false" outlineLevel="0" collapsed="false">
      <c r="A15" s="7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6" min="1" style="0" width="13"/>
  </cols>
  <sheetData>
    <row r="1" customFormat="false" ht="42" hidden="false" customHeight="true" outlineLevel="0" collapsed="false">
      <c r="A1" s="8" t="s">
        <v>15</v>
      </c>
      <c r="B1" s="8" t="s">
        <v>16</v>
      </c>
      <c r="C1" s="8" t="s">
        <v>17</v>
      </c>
      <c r="D1" s="8" t="s">
        <v>18</v>
      </c>
      <c r="E1" s="8" t="s">
        <v>19</v>
      </c>
      <c r="F1" s="8" t="s">
        <v>20</v>
      </c>
      <c r="G1" s="8" t="s">
        <v>21</v>
      </c>
      <c r="H1" s="8" t="s">
        <v>22</v>
      </c>
      <c r="I1" s="8" t="s">
        <v>23</v>
      </c>
      <c r="J1" s="8" t="s">
        <v>24</v>
      </c>
      <c r="K1" s="8" t="s">
        <v>25</v>
      </c>
      <c r="L1" s="8" t="s">
        <v>26</v>
      </c>
      <c r="M1" s="8" t="s">
        <v>27</v>
      </c>
      <c r="N1" s="8" t="s">
        <v>28</v>
      </c>
      <c r="O1" s="8" t="s">
        <v>29</v>
      </c>
      <c r="P1" s="8" t="s">
        <v>30</v>
      </c>
    </row>
    <row r="2" customFormat="false" ht="15" hidden="false" customHeight="false" outlineLevel="0" collapsed="false">
      <c r="A2" s="9" t="n">
        <v>45658</v>
      </c>
      <c r="B2" s="10" t="n">
        <v>764.021520993073</v>
      </c>
      <c r="C2" s="11" t="n">
        <v>109.782075598905</v>
      </c>
      <c r="D2" s="10" t="n">
        <v>437.5</v>
      </c>
      <c r="E2" s="11" t="n">
        <v>10.598727088379</v>
      </c>
      <c r="F2" s="11" t="n">
        <v>20.5760882621677</v>
      </c>
      <c r="G2" s="11" t="n">
        <v>44.6736045941462</v>
      </c>
      <c r="H2" s="11" t="n">
        <f aca="false">IF(B2="","",F2*1000/B2)</f>
        <v>26.9312940758828</v>
      </c>
      <c r="I2" s="12" t="n">
        <v>93406.74</v>
      </c>
      <c r="J2" s="12" t="n">
        <f aca="false">F2*24*1000000*Assumptions!$B$3/D2</f>
        <v>56437.2706619457</v>
      </c>
      <c r="K2" s="12" t="n">
        <f aca="false">J2/Assumptions!$B$4</f>
        <v>75249.6942159276</v>
      </c>
      <c r="L2" s="12" t="n">
        <f aca="false">J2/Assumptions!$B$5</f>
        <v>86826.5702491472</v>
      </c>
      <c r="M2" s="12" t="n">
        <f aca="false">E2*24*1000000*Assumptions!$B$3/D2/Assumptions!$B$5</f>
        <v>44724.2989223906</v>
      </c>
      <c r="N2" s="12" t="n">
        <f aca="false">G2*24*1000000*Assumptions!$B$3/D2/Assumptions!$B$5</f>
        <v>188512.793012661</v>
      </c>
      <c r="O2" s="12" t="str">
        <f aca="false">IF(ROW()&lt;8,"",AVERAGE(L2:L2))</f>
        <v/>
      </c>
      <c r="P2" s="13" t="n">
        <f aca="false">IF(I2="","",I2/L2)</f>
        <v>1.07578520874395</v>
      </c>
    </row>
    <row r="3" customFormat="false" ht="15" hidden="false" customHeight="false" outlineLevel="0" collapsed="false">
      <c r="A3" s="9" t="n">
        <v>45659</v>
      </c>
      <c r="B3" s="10" t="n">
        <v>911.368528613166</v>
      </c>
      <c r="C3" s="11" t="n">
        <v>109.782075598905</v>
      </c>
      <c r="D3" s="10" t="n">
        <v>521.875</v>
      </c>
      <c r="E3" s="11" t="n">
        <v>10.7982490016117</v>
      </c>
      <c r="F3" s="11" t="n">
        <v>21.2052077420896</v>
      </c>
      <c r="G3" s="11" t="n">
        <v>45.7672979533502</v>
      </c>
      <c r="H3" s="11" t="n">
        <f aca="false">IF(B3="","",F3*1000/B3)</f>
        <v>23.2674347164014</v>
      </c>
      <c r="I3" s="12" t="n">
        <v>94409.13</v>
      </c>
      <c r="J3" s="12" t="n">
        <f aca="false">F3*24*1000000*Assumptions!$B$3/D3</f>
        <v>48759.2800776192</v>
      </c>
      <c r="K3" s="12" t="n">
        <f aca="false">J3/Assumptions!$B$4</f>
        <v>65012.3734368256</v>
      </c>
      <c r="L3" s="12" t="n">
        <f aca="false">J3/Assumptions!$B$5</f>
        <v>75014.2770424911</v>
      </c>
      <c r="M3" s="12" t="n">
        <f aca="false">E3*24*1000000*Assumptions!$B$3/D3/Assumptions!$B$5</f>
        <v>38199.2410559087</v>
      </c>
      <c r="N3" s="12" t="n">
        <f aca="false">G3*24*1000000*Assumptions!$B$3/D3/Assumptions!$B$5</f>
        <v>161903.66111549</v>
      </c>
      <c r="O3" s="12" t="str">
        <f aca="false">IF(ROW()&lt;8,"",AVERAGE(L2:L3))</f>
        <v/>
      </c>
      <c r="P3" s="13" t="n">
        <f aca="false">IF(I3="","",I3/L3)</f>
        <v>1.25854882193323</v>
      </c>
    </row>
    <row r="4" customFormat="false" ht="15" hidden="false" customHeight="false" outlineLevel="0" collapsed="false">
      <c r="A4" s="9" t="n">
        <v>45660</v>
      </c>
      <c r="B4" s="10" t="n">
        <v>774.936114150117</v>
      </c>
      <c r="C4" s="11" t="n">
        <v>109.782075598905</v>
      </c>
      <c r="D4" s="10" t="n">
        <v>443.75</v>
      </c>
      <c r="E4" s="11" t="n">
        <v>10.4774405123127</v>
      </c>
      <c r="F4" s="11" t="n">
        <v>20.7912698400003</v>
      </c>
      <c r="G4" s="11" t="n">
        <v>44.5292952548571</v>
      </c>
      <c r="H4" s="11" t="n">
        <f aca="false">IF(B4="","",F4*1000/B4)</f>
        <v>26.8296566134389</v>
      </c>
      <c r="I4" s="12" t="n">
        <v>96853.63</v>
      </c>
      <c r="J4" s="12" t="n">
        <f aca="false">F4*24*1000000*Assumptions!$B$3/D4</f>
        <v>56224.2790039445</v>
      </c>
      <c r="K4" s="12" t="n">
        <f aca="false">J4/Assumptions!$B$4</f>
        <v>74965.7053385927</v>
      </c>
      <c r="L4" s="12" t="n">
        <f aca="false">J4/Assumptions!$B$5</f>
        <v>86498.8907752993</v>
      </c>
      <c r="M4" s="12" t="n">
        <f aca="false">E4*24*1000000*Assumptions!$B$3/D4/Assumptions!$B$5</f>
        <v>43589.7850133054</v>
      </c>
      <c r="N4" s="12" t="n">
        <f aca="false">G4*24*1000000*Assumptions!$B$3/D4/Assumptions!$B$5</f>
        <v>185257.30636907</v>
      </c>
      <c r="O4" s="12" t="str">
        <f aca="false">IF(ROW()&lt;8,"",AVERAGE(L2:L4))</f>
        <v/>
      </c>
      <c r="P4" s="13" t="n">
        <f aca="false">IF(I4="","",I4/L4)</f>
        <v>1.11970950299929</v>
      </c>
    </row>
    <row r="5" customFormat="false" ht="15" hidden="false" customHeight="false" outlineLevel="0" collapsed="false">
      <c r="A5" s="9" t="n">
        <v>45661</v>
      </c>
      <c r="B5" s="10" t="n">
        <v>813.137190199771</v>
      </c>
      <c r="C5" s="11" t="n">
        <v>109.782075598905</v>
      </c>
      <c r="D5" s="10" t="n">
        <v>465.625</v>
      </c>
      <c r="E5" s="11" t="n">
        <v>10.380611904609</v>
      </c>
      <c r="F5" s="11" t="n">
        <v>20.8528662387077</v>
      </c>
      <c r="G5" s="11" t="n">
        <v>44.8581019405714</v>
      </c>
      <c r="H5" s="11" t="n">
        <f aca="false">IF(B5="","",F5*1000/B5)</f>
        <v>25.6449544923466</v>
      </c>
      <c r="I5" s="12" t="n">
        <v>98122.01</v>
      </c>
      <c r="J5" s="12" t="n">
        <f aca="false">F5*24*1000000*Assumptions!$B$3/D5</f>
        <v>53741.6150044546</v>
      </c>
      <c r="K5" s="12" t="n">
        <f aca="false">J5/Assumptions!$B$4</f>
        <v>71655.4866726062</v>
      </c>
      <c r="L5" s="12" t="n">
        <f aca="false">J5/Assumptions!$B$5</f>
        <v>82679.407699161</v>
      </c>
      <c r="M5" s="12" t="n">
        <f aca="false">E5*24*1000000*Assumptions!$B$3/D5/Assumptions!$B$5</f>
        <v>41158.0275825487</v>
      </c>
      <c r="N5" s="12" t="n">
        <f aca="false">G5*24*1000000*Assumptions!$B$3/D5/Assumptions!$B$5</f>
        <v>177857.626692612</v>
      </c>
      <c r="O5" s="12" t="str">
        <f aca="false">IF(ROW()&lt;8,"",AVERAGE(L2:L5))</f>
        <v/>
      </c>
      <c r="P5" s="13" t="n">
        <f aca="false">IF(I5="","",I5/L5)</f>
        <v>1.18677688593306</v>
      </c>
    </row>
    <row r="6" customFormat="false" ht="15" hidden="false" customHeight="false" outlineLevel="0" collapsed="false">
      <c r="A6" s="9" t="n">
        <v>45662</v>
      </c>
      <c r="B6" s="10" t="n">
        <v>851.338266249425</v>
      </c>
      <c r="C6" s="11" t="n">
        <v>109.782075598905</v>
      </c>
      <c r="D6" s="10" t="n">
        <v>487.5</v>
      </c>
      <c r="E6" s="11" t="n">
        <v>10.1901343208283</v>
      </c>
      <c r="F6" s="11" t="n">
        <v>20.7468740291658</v>
      </c>
      <c r="G6" s="11" t="n">
        <v>44.8421372331429</v>
      </c>
      <c r="H6" s="11" t="n">
        <f aca="false">IF(B6="","",F6*1000/B6)</f>
        <v>24.3697186555072</v>
      </c>
      <c r="I6" s="12" t="n">
        <v>98242.07</v>
      </c>
      <c r="J6" s="12" t="n">
        <f aca="false">F6*24*1000000*Assumptions!$B$3/D6</f>
        <v>51069.228379485</v>
      </c>
      <c r="K6" s="12" t="n">
        <f aca="false">J6/Assumptions!$B$4</f>
        <v>68092.3045059799</v>
      </c>
      <c r="L6" s="12" t="n">
        <f aca="false">J6/Assumptions!$B$5</f>
        <v>78568.0436607461</v>
      </c>
      <c r="M6" s="12" t="n">
        <f aca="false">E6*24*1000000*Assumptions!$B$3/D6/Assumptions!$B$5</f>
        <v>38589.8577830182</v>
      </c>
      <c r="N6" s="12" t="n">
        <f aca="false">G6*24*1000000*Assumptions!$B$3/D6/Assumptions!$B$5</f>
        <v>169816.377687642</v>
      </c>
      <c r="O6" s="12" t="str">
        <f aca="false">IF(ROW()&lt;8,"",AVERAGE(L2:L6))</f>
        <v/>
      </c>
      <c r="P6" s="13" t="n">
        <f aca="false">IF(I6="","",I6/L6)</f>
        <v>1.25040748658839</v>
      </c>
    </row>
    <row r="7" customFormat="false" ht="15" hidden="false" customHeight="false" outlineLevel="0" collapsed="false">
      <c r="A7" s="9" t="n">
        <v>45663</v>
      </c>
      <c r="B7" s="10" t="n">
        <v>725.82044494342</v>
      </c>
      <c r="C7" s="11" t="n">
        <v>109.782075598905</v>
      </c>
      <c r="D7" s="10" t="n">
        <v>415.625</v>
      </c>
      <c r="E7" s="11" t="n">
        <v>9.75434655993918</v>
      </c>
      <c r="F7" s="11" t="n">
        <v>20.1334025694178</v>
      </c>
      <c r="G7" s="11" t="n">
        <v>43.7232352834286</v>
      </c>
      <c r="H7" s="11" t="n">
        <f aca="false">IF(B7="","",F7*1000/B7)</f>
        <v>27.7388198550776</v>
      </c>
      <c r="I7" s="12" t="n">
        <v>98319.2</v>
      </c>
      <c r="J7" s="12" t="n">
        <f aca="false">F7*24*1000000*Assumptions!$B$3/D7</f>
        <v>58129.5232079432</v>
      </c>
      <c r="K7" s="12" t="n">
        <f aca="false">J7/Assumptions!$B$4</f>
        <v>77506.0309439242</v>
      </c>
      <c r="L7" s="12" t="n">
        <f aca="false">J7/Assumptions!$B$5</f>
        <v>89430.0357045279</v>
      </c>
      <c r="M7" s="12" t="n">
        <f aca="false">E7*24*1000000*Assumptions!$B$3/D7/Assumptions!$B$5</f>
        <v>43327.577547908</v>
      </c>
      <c r="N7" s="12" t="n">
        <f aca="false">G7*24*1000000*Assumptions!$B$3/D7/Assumptions!$B$5</f>
        <v>194213.098309272</v>
      </c>
      <c r="O7" s="12" t="str">
        <f aca="false">IF(ROW()&lt;8,"",AVERAGE(L2:L7))</f>
        <v/>
      </c>
      <c r="P7" s="13" t="n">
        <f aca="false">IF(I7="","",I7/L7)</f>
        <v>1.09939797323621</v>
      </c>
    </row>
    <row r="8" customFormat="false" ht="15" hidden="false" customHeight="false" outlineLevel="0" collapsed="false">
      <c r="A8" s="9" t="n">
        <v>45664</v>
      </c>
      <c r="B8" s="10" t="n">
        <v>731.277741521941</v>
      </c>
      <c r="C8" s="11" t="n">
        <v>109.782075598905</v>
      </c>
      <c r="D8" s="10" t="n">
        <v>418.75</v>
      </c>
      <c r="E8" s="11" t="n">
        <v>9.64734633771429</v>
      </c>
      <c r="F8" s="11" t="n">
        <v>20.1506844337155</v>
      </c>
      <c r="G8" s="11" t="n">
        <v>43.9384090628571</v>
      </c>
      <c r="H8" s="11" t="n">
        <f aca="false">IF(B8="","",F8*1000/B8)</f>
        <v>27.5554461589078</v>
      </c>
      <c r="I8" s="12" t="n">
        <v>102253.31</v>
      </c>
      <c r="J8" s="12" t="n">
        <f aca="false">F8*24*1000000*Assumptions!$B$3/D8</f>
        <v>57745.2449443789</v>
      </c>
      <c r="K8" s="12" t="n">
        <f aca="false">J8/Assumptions!$B$4</f>
        <v>76993.6599258385</v>
      </c>
      <c r="L8" s="12" t="n">
        <f aca="false">J8/Assumptions!$B$5</f>
        <v>88838.8383759675</v>
      </c>
      <c r="M8" s="12" t="n">
        <f aca="false">E8*24*1000000*Assumptions!$B$3/D8/Assumptions!$B$5</f>
        <v>42532.50279773</v>
      </c>
      <c r="N8" s="12" t="n">
        <f aca="false">G8*24*1000000*Assumptions!$B$3/D8/Assumptions!$B$5</f>
        <v>193712.388979761</v>
      </c>
      <c r="O8" s="12" t="n">
        <f aca="false">IF(ROW()&lt;8,"",AVERAGE(L2:L8))</f>
        <v>83979.4376439057</v>
      </c>
      <c r="P8" s="13" t="n">
        <f aca="false">IF(I8="","",I8/L8)</f>
        <v>1.15099782785613</v>
      </c>
    </row>
    <row r="9" customFormat="false" ht="15" hidden="false" customHeight="false" outlineLevel="0" collapsed="false">
      <c r="A9" s="9" t="n">
        <v>45665</v>
      </c>
      <c r="B9" s="10" t="n">
        <v>682.162072315244</v>
      </c>
      <c r="C9" s="11" t="n">
        <v>109.782075598905</v>
      </c>
      <c r="D9" s="10" t="n">
        <v>390.625</v>
      </c>
      <c r="E9" s="11" t="n">
        <v>9.50561254714286</v>
      </c>
      <c r="F9" s="11" t="n">
        <v>19.8546410672372</v>
      </c>
      <c r="G9" s="11" t="n">
        <v>43.2928888285714</v>
      </c>
      <c r="H9" s="11" t="n">
        <f aca="false">IF(B9="","",F9*1000/B9)</f>
        <v>29.1054602315414</v>
      </c>
      <c r="I9" s="12" t="n">
        <v>96916.58</v>
      </c>
      <c r="J9" s="12" t="n">
        <f aca="false">F9*24*1000000*Assumptions!$B$3/D9</f>
        <v>60993.4573585527</v>
      </c>
      <c r="K9" s="12" t="n">
        <f aca="false">J9/Assumptions!$B$4</f>
        <v>81324.6098114037</v>
      </c>
      <c r="L9" s="12" t="n">
        <f aca="false">J9/Assumptions!$B$5</f>
        <v>93836.0882439273</v>
      </c>
      <c r="M9" s="12" t="n">
        <f aca="false">E9*24*1000000*Assumptions!$B$3/D9/Assumptions!$B$5</f>
        <v>44924.9872997275</v>
      </c>
      <c r="N9" s="12" t="n">
        <f aca="false">G9*24*1000000*Assumptions!$B$3/D9/Assumptions!$B$5</f>
        <v>204608.853048264</v>
      </c>
      <c r="O9" s="12" t="n">
        <f aca="false">IF(ROW()&lt;8,"",AVERAGE(L3:L9))</f>
        <v>84980.7973574457</v>
      </c>
      <c r="P9" s="13" t="n">
        <f aca="false">IF(I9="","",I9/L9)</f>
        <v>1.032828433215</v>
      </c>
    </row>
    <row r="10" customFormat="false" ht="15" hidden="false" customHeight="false" outlineLevel="0" collapsed="false">
      <c r="A10" s="9" t="n">
        <v>45666</v>
      </c>
      <c r="B10" s="10" t="n">
        <v>829.509079935337</v>
      </c>
      <c r="C10" s="11" t="n">
        <v>109.782075598905</v>
      </c>
      <c r="D10" s="10" t="n">
        <v>475</v>
      </c>
      <c r="E10" s="11" t="n">
        <v>9.36387877388572</v>
      </c>
      <c r="F10" s="11" t="n">
        <v>19.5585977369238</v>
      </c>
      <c r="G10" s="11" t="n">
        <v>42.6473686731429</v>
      </c>
      <c r="H10" s="11" t="n">
        <f aca="false">IF(B10="","",F10*1000/B10)</f>
        <v>23.5785215738065</v>
      </c>
      <c r="I10" s="12" t="n">
        <v>95049.45</v>
      </c>
      <c r="J10" s="12" t="n">
        <f aca="false">F10*24*1000000*Assumptions!$B$3/D10</f>
        <v>49411.1942827548</v>
      </c>
      <c r="K10" s="12" t="n">
        <f aca="false">J10/Assumptions!$B$4</f>
        <v>65881.5923770063</v>
      </c>
      <c r="L10" s="12" t="n">
        <f aca="false">J10/Assumptions!$B$5</f>
        <v>76017.2219734688</v>
      </c>
      <c r="M10" s="12" t="n">
        <f aca="false">E10*24*1000000*Assumptions!$B$3/D10/Assumptions!$B$5</f>
        <v>36394.0227649</v>
      </c>
      <c r="N10" s="12" t="n">
        <f aca="false">G10*24*1000000*Assumptions!$B$3/D10/Assumptions!$B$5</f>
        <v>165754.955166871</v>
      </c>
      <c r="O10" s="12" t="n">
        <f aca="false">IF(ROW()&lt;8,"",AVERAGE(L4:L10))</f>
        <v>85124.0752047283</v>
      </c>
      <c r="P10" s="13" t="n">
        <f aca="false">IF(I10="","",I10/L10)</f>
        <v>1.25036731851598</v>
      </c>
    </row>
    <row r="11" customFormat="false" ht="15" hidden="false" customHeight="false" outlineLevel="0" collapsed="false">
      <c r="A11" s="9" t="n">
        <v>45667</v>
      </c>
      <c r="B11" s="10" t="n">
        <v>774.936114150117</v>
      </c>
      <c r="C11" s="11" t="n">
        <v>109.782075598905</v>
      </c>
      <c r="D11" s="10" t="n">
        <v>443.75</v>
      </c>
      <c r="E11" s="11" t="n">
        <v>9.36387877388572</v>
      </c>
      <c r="F11" s="11" t="n">
        <v>19.5585977369238</v>
      </c>
      <c r="G11" s="11" t="n">
        <v>42.6473686731429</v>
      </c>
      <c r="H11" s="11" t="n">
        <f aca="false">IF(B11="","",F11*1000/B11)</f>
        <v>25.2389808395676</v>
      </c>
      <c r="I11" s="12" t="n">
        <v>92493.26</v>
      </c>
      <c r="J11" s="12" t="n">
        <f aca="false">F11*24*1000000*Assumptions!$B$3/D11</f>
        <v>52890.8558519628</v>
      </c>
      <c r="K11" s="12" t="n">
        <f aca="false">J11/Assumptions!$B$4</f>
        <v>70521.1411359504</v>
      </c>
      <c r="L11" s="12" t="n">
        <f aca="false">J11/Assumptions!$B$5</f>
        <v>81370.5474645582</v>
      </c>
      <c r="M11" s="12" t="n">
        <f aca="false">E11*24*1000000*Assumptions!$B$3/D11/Assumptions!$B$5</f>
        <v>38956.9821145408</v>
      </c>
      <c r="N11" s="12" t="n">
        <f aca="false">G11*24*1000000*Assumptions!$B$3/D11/Assumptions!$B$5</f>
        <v>177427.839333552</v>
      </c>
      <c r="O11" s="12" t="n">
        <f aca="false">IF(ROW()&lt;8,"",AVERAGE(L5:L11))</f>
        <v>84391.4547317653</v>
      </c>
      <c r="P11" s="13" t="n">
        <f aca="false">IF(I11="","",I11/L11)</f>
        <v>1.13669211873358</v>
      </c>
    </row>
    <row r="12" customFormat="false" ht="15" hidden="false" customHeight="false" outlineLevel="0" collapsed="false">
      <c r="A12" s="9" t="n">
        <v>45668</v>
      </c>
      <c r="B12" s="10" t="n">
        <v>753.106927836029</v>
      </c>
      <c r="C12" s="11" t="n">
        <v>109.782075598905</v>
      </c>
      <c r="D12" s="10" t="n">
        <v>431.25</v>
      </c>
      <c r="E12" s="11" t="n">
        <v>9.25994066657143</v>
      </c>
      <c r="F12" s="11" t="n">
        <v>19.3414992802279</v>
      </c>
      <c r="G12" s="11" t="n">
        <v>42.1739871942857</v>
      </c>
      <c r="H12" s="11" t="n">
        <f aca="false">IF(B12="","",F12*1000/B12)</f>
        <v>25.6822750732139</v>
      </c>
      <c r="I12" s="12" t="n">
        <v>94702.66</v>
      </c>
      <c r="J12" s="12" t="n">
        <f aca="false">F12*24*1000000*Assumptions!$B$3/D12</f>
        <v>53819.8240841125</v>
      </c>
      <c r="K12" s="12" t="n">
        <f aca="false">J12/Assumptions!$B$4</f>
        <v>71759.7654454833</v>
      </c>
      <c r="L12" s="12" t="n">
        <f aca="false">J12/Assumptions!$B$5</f>
        <v>82799.7293601731</v>
      </c>
      <c r="M12" s="12" t="n">
        <f aca="false">E12*24*1000000*Assumptions!$B$3/D12/Assumptions!$B$5</f>
        <v>39641.217569269</v>
      </c>
      <c r="N12" s="12" t="n">
        <f aca="false">G12*24*1000000*Assumptions!$B$3/D12/Assumptions!$B$5</f>
        <v>180544.159226374</v>
      </c>
      <c r="O12" s="12" t="n">
        <f aca="false">IF(ROW()&lt;8,"",AVERAGE(L6:L12))</f>
        <v>84408.6435404813</v>
      </c>
      <c r="P12" s="13" t="n">
        <f aca="false">IF(I12="","",I12/L12)</f>
        <v>1.14375567084344</v>
      </c>
    </row>
    <row r="13" customFormat="false" ht="15" hidden="false" customHeight="false" outlineLevel="0" collapsed="false">
      <c r="A13" s="9" t="n">
        <v>45669</v>
      </c>
      <c r="B13" s="10" t="n">
        <v>939.753829605675</v>
      </c>
      <c r="C13" s="11" t="n">
        <v>109.910589834949</v>
      </c>
      <c r="D13" s="10" t="n">
        <v>537.5</v>
      </c>
      <c r="E13" s="11" t="n">
        <v>9.41331417617143</v>
      </c>
      <c r="F13" s="11" t="n">
        <v>19.6618548561814</v>
      </c>
      <c r="G13" s="11" t="n">
        <v>42.8725200102857</v>
      </c>
      <c r="H13" s="11" t="n">
        <f aca="false">IF(B13="","",F13*1000/B13)</f>
        <v>20.9223460833691</v>
      </c>
      <c r="I13" s="12" t="n">
        <v>94569.61</v>
      </c>
      <c r="J13" s="12" t="n">
        <f aca="false">F13*24*1000000*Assumptions!$B$3/D13</f>
        <v>43896.2340975213</v>
      </c>
      <c r="K13" s="12" t="n">
        <f aca="false">J13/Assumptions!$B$4</f>
        <v>58528.3121300284</v>
      </c>
      <c r="L13" s="12" t="n">
        <f aca="false">J13/Assumptions!$B$5</f>
        <v>67532.6678423404</v>
      </c>
      <c r="M13" s="12" t="n">
        <f aca="false">E13*24*1000000*Assumptions!$B$3/D13/Assumptions!$B$5</f>
        <v>32331.9556677087</v>
      </c>
      <c r="N13" s="12" t="n">
        <f aca="false">G13*24*1000000*Assumptions!$B$3/D13/Assumptions!$B$5</f>
        <v>147254.451555901</v>
      </c>
      <c r="O13" s="12" t="n">
        <f aca="false">IF(ROW()&lt;8,"",AVERAGE(L7:L13))</f>
        <v>82832.161280709</v>
      </c>
      <c r="P13" s="13" t="n">
        <f aca="false">IF(I13="","",I13/L13)</f>
        <v>1.40035353291209</v>
      </c>
    </row>
    <row r="14" customFormat="false" ht="15" hidden="false" customHeight="false" outlineLevel="0" collapsed="false">
      <c r="A14" s="9" t="n">
        <v>45670</v>
      </c>
      <c r="B14" s="10" t="n">
        <v>702.796044377693</v>
      </c>
      <c r="C14" s="11" t="n">
        <v>110.45190737465</v>
      </c>
      <c r="D14" s="10" t="n">
        <v>400</v>
      </c>
      <c r="E14" s="11" t="n">
        <v>9.37344912411429</v>
      </c>
      <c r="F14" s="11" t="n">
        <v>19.5785875974123</v>
      </c>
      <c r="G14" s="11" t="n">
        <v>42.6909564068571</v>
      </c>
      <c r="H14" s="11" t="n">
        <f aca="false">IF(B14="","",F14*1000/B14)</f>
        <v>27.8581357337443</v>
      </c>
      <c r="I14" s="12" t="n">
        <v>94478.37</v>
      </c>
      <c r="J14" s="12" t="n">
        <f aca="false">F14*24*1000000*Assumptions!$B$3/D14</f>
        <v>58735.762792237</v>
      </c>
      <c r="K14" s="12" t="n">
        <f aca="false">J14/Assumptions!$B$4</f>
        <v>78314.3503896494</v>
      </c>
      <c r="L14" s="12" t="n">
        <f aca="false">J14/Assumptions!$B$5</f>
        <v>90362.711988057</v>
      </c>
      <c r="M14" s="12" t="n">
        <f aca="false">E14*24*1000000*Assumptions!$B$3/D14/Assumptions!$B$5</f>
        <v>43262.0728805275</v>
      </c>
      <c r="N14" s="12" t="n">
        <f aca="false">G14*24*1000000*Assumptions!$B$3/D14/Assumptions!$B$5</f>
        <v>197035.183416264</v>
      </c>
      <c r="O14" s="12" t="n">
        <f aca="false">IF(ROW()&lt;8,"",AVERAGE(L8:L14))</f>
        <v>82965.4007497846</v>
      </c>
      <c r="P14" s="13" t="n">
        <f aca="false">IF(I14="","",I14/L14)</f>
        <v>1.04554597711152</v>
      </c>
    </row>
    <row r="15" customFormat="false" ht="15" hidden="false" customHeight="false" outlineLevel="0" collapsed="false">
      <c r="A15" s="9" t="n">
        <v>45671</v>
      </c>
      <c r="B15" s="10" t="n">
        <v>845.551490891912</v>
      </c>
      <c r="C15" s="11" t="n">
        <v>110.45190737465</v>
      </c>
      <c r="D15" s="10" t="n">
        <v>481.25</v>
      </c>
      <c r="E15" s="11" t="n">
        <v>9.57130594251429</v>
      </c>
      <c r="F15" s="11" t="n">
        <v>19.9918567152682</v>
      </c>
      <c r="G15" s="11" t="n">
        <v>43.5920864708572</v>
      </c>
      <c r="H15" s="11" t="n">
        <f aca="false">IF(B15="","",F15*1000/B15)</f>
        <v>23.6435710073437</v>
      </c>
      <c r="I15" s="12" t="n">
        <v>94497.68</v>
      </c>
      <c r="J15" s="12" t="n">
        <f aca="false">F15*24*1000000*Assumptions!$B$3/D15</f>
        <v>49849.8245367727</v>
      </c>
      <c r="K15" s="12" t="n">
        <f aca="false">J15/Assumptions!$B$4</f>
        <v>66466.4327156969</v>
      </c>
      <c r="L15" s="12" t="n">
        <f aca="false">J15/Assumptions!$B$5</f>
        <v>76692.0377488811</v>
      </c>
      <c r="M15" s="12" t="n">
        <f aca="false">E15*24*1000000*Assumptions!$B$3/D15/Assumptions!$B$5</f>
        <v>36717.0977215333</v>
      </c>
      <c r="N15" s="12" t="n">
        <f aca="false">G15*24*1000000*Assumptions!$B$3/D15/Assumptions!$B$5</f>
        <v>167226.385662429</v>
      </c>
      <c r="O15" s="12" t="n">
        <f aca="false">IF(ROW()&lt;8,"",AVERAGE(L9:L15))</f>
        <v>81230.1435173437</v>
      </c>
      <c r="P15" s="13" t="n">
        <f aca="false">IF(I15="","",I15/L15)</f>
        <v>1.23217067604099</v>
      </c>
    </row>
    <row r="16" customFormat="false" ht="15" hidden="false" customHeight="false" outlineLevel="0" collapsed="false">
      <c r="A16" s="9" t="n">
        <v>45672</v>
      </c>
      <c r="B16" s="10" t="n">
        <v>763.192579441401</v>
      </c>
      <c r="C16" s="11" t="n">
        <v>110.45190737465</v>
      </c>
      <c r="D16" s="10" t="n">
        <v>434.375</v>
      </c>
      <c r="E16" s="11" t="n">
        <v>9.71160455194286</v>
      </c>
      <c r="F16" s="11" t="n">
        <v>20.284902378409</v>
      </c>
      <c r="G16" s="11" t="n">
        <v>44.2310702365714</v>
      </c>
      <c r="H16" s="11" t="n">
        <f aca="false">IF(B16="","",F16*1000/B16)</f>
        <v>26.5790089223037</v>
      </c>
      <c r="I16" s="12" t="n">
        <v>96527.14</v>
      </c>
      <c r="J16" s="12" t="n">
        <f aca="false">F16*24*1000000*Assumptions!$B$3/D16</f>
        <v>56038.8670022234</v>
      </c>
      <c r="K16" s="12" t="n">
        <f aca="false">J16/Assumptions!$B$4</f>
        <v>74718.4893362979</v>
      </c>
      <c r="L16" s="12" t="n">
        <f aca="false">J16/Assumptions!$B$5</f>
        <v>86213.6415418822</v>
      </c>
      <c r="M16" s="12" t="n">
        <f aca="false">E16*24*1000000*Assumptions!$B$3/D16/Assumptions!$B$5</f>
        <v>41275.6629545773</v>
      </c>
      <c r="N16" s="12" t="n">
        <f aca="false">G16*24*1000000*Assumptions!$B$3/D16/Assumptions!$B$5</f>
        <v>187988.167911936</v>
      </c>
      <c r="O16" s="12" t="n">
        <f aca="false">IF(ROW()&lt;8,"",AVERAGE(L10:L16))</f>
        <v>80141.2225599087</v>
      </c>
      <c r="P16" s="13" t="n">
        <f aca="false">IF(I16="","",I16/L16)</f>
        <v>1.1196272222547</v>
      </c>
    </row>
    <row r="17" customFormat="false" ht="15" hidden="false" customHeight="false" outlineLevel="0" collapsed="false">
      <c r="A17" s="9" t="n">
        <v>45673</v>
      </c>
      <c r="B17" s="10" t="n">
        <v>702.796044377693</v>
      </c>
      <c r="C17" s="11" t="n">
        <v>110.45190737465</v>
      </c>
      <c r="D17" s="10" t="n">
        <v>400</v>
      </c>
      <c r="E17" s="11" t="n">
        <v>9.49220999142857</v>
      </c>
      <c r="F17" s="11" t="n">
        <v>19.8266467710495</v>
      </c>
      <c r="G17" s="11" t="n">
        <v>43.2318474857143</v>
      </c>
      <c r="H17" s="11" t="n">
        <f aca="false">IF(B17="","",F17*1000/B17)</f>
        <v>28.2110961347334</v>
      </c>
      <c r="I17" s="12" t="n">
        <v>100511.85</v>
      </c>
      <c r="J17" s="12" t="n">
        <f aca="false">F17*24*1000000*Assumptions!$B$3/D17</f>
        <v>59479.9403131484</v>
      </c>
      <c r="K17" s="12" t="n">
        <f aca="false">J17/Assumptions!$B$4</f>
        <v>79306.5870841979</v>
      </c>
      <c r="L17" s="12" t="n">
        <f aca="false">J17/Assumptions!$B$5</f>
        <v>91507.6004817667</v>
      </c>
      <c r="M17" s="12" t="n">
        <f aca="false">E17*24*1000000*Assumptions!$B$3/D17/Assumptions!$B$5</f>
        <v>43810.1999604396</v>
      </c>
      <c r="N17" s="12" t="n">
        <f aca="false">G17*24*1000000*Assumptions!$B$3/D17/Assumptions!$B$5</f>
        <v>199531.60378022</v>
      </c>
      <c r="O17" s="12" t="n">
        <f aca="false">IF(ROW()&lt;8,"",AVERAGE(L11:L17))</f>
        <v>82354.1337753798</v>
      </c>
      <c r="P17" s="13" t="n">
        <f aca="false">IF(I17="","",I17/L17)</f>
        <v>1.09839892501637</v>
      </c>
    </row>
    <row r="18" customFormat="false" ht="15" hidden="false" customHeight="false" outlineLevel="0" collapsed="false">
      <c r="A18" s="9" t="n">
        <v>45674</v>
      </c>
      <c r="B18" s="10" t="n">
        <v>823.589114505109</v>
      </c>
      <c r="C18" s="11" t="n">
        <v>110.45190737465</v>
      </c>
      <c r="D18" s="10" t="n">
        <v>468.75</v>
      </c>
      <c r="E18" s="11" t="n">
        <v>9.57644918571428</v>
      </c>
      <c r="F18" s="11" t="n">
        <v>20.0025995524238</v>
      </c>
      <c r="G18" s="11" t="n">
        <v>43.6155111428571</v>
      </c>
      <c r="H18" s="11" t="n">
        <f aca="false">IF(B18="","",F18*1000/B18)</f>
        <v>24.28711016226</v>
      </c>
      <c r="I18" s="12" t="n">
        <v>99976.92</v>
      </c>
      <c r="J18" s="12" t="n">
        <f aca="false">F18*24*1000000*Assumptions!$B$3/D18</f>
        <v>51206.6548542048</v>
      </c>
      <c r="K18" s="12" t="n">
        <f aca="false">J18/Assumptions!$B$4</f>
        <v>68275.5398056064</v>
      </c>
      <c r="L18" s="12" t="n">
        <f aca="false">J18/Assumptions!$B$5</f>
        <v>78779.469006469</v>
      </c>
      <c r="M18" s="12" t="n">
        <f aca="false">E18*24*1000000*Assumptions!$B$3/D18/Assumptions!$B$5</f>
        <v>37716.476792967</v>
      </c>
      <c r="N18" s="12" t="n">
        <f aca="false">G18*24*1000000*Assumptions!$B$3/D18/Assumptions!$B$5</f>
        <v>171778.013116484</v>
      </c>
      <c r="O18" s="12" t="n">
        <f aca="false">IF(ROW()&lt;8,"",AVERAGE(L12:L18))</f>
        <v>81983.9797099385</v>
      </c>
      <c r="P18" s="13" t="n">
        <f aca="false">IF(I18="","",I18/L18)</f>
        <v>1.26907329106001</v>
      </c>
    </row>
    <row r="19" customFormat="false" ht="15" hidden="false" customHeight="false" outlineLevel="0" collapsed="false">
      <c r="A19" s="9" t="n">
        <v>45675</v>
      </c>
      <c r="B19" s="10" t="n">
        <v>713.777232571095</v>
      </c>
      <c r="C19" s="11" t="n">
        <v>110.45190737465</v>
      </c>
      <c r="D19" s="10" t="n">
        <v>406.25</v>
      </c>
      <c r="E19" s="11" t="n">
        <v>9.50835255017143</v>
      </c>
      <c r="F19" s="11" t="n">
        <v>19.8603641888547</v>
      </c>
      <c r="G19" s="11" t="n">
        <v>43.3053680502857</v>
      </c>
      <c r="H19" s="11" t="n">
        <f aca="false">IF(B19="","",F19*1000/B19)</f>
        <v>27.8243172835812</v>
      </c>
      <c r="I19" s="12" t="n">
        <v>104103.44</v>
      </c>
      <c r="J19" s="12" t="n">
        <f aca="false">F19*24*1000000*Assumptions!$B$3/D19</f>
        <v>58664.4603732322</v>
      </c>
      <c r="K19" s="12" t="n">
        <f aca="false">J19/Assumptions!$B$4</f>
        <v>78219.280497643</v>
      </c>
      <c r="L19" s="12" t="n">
        <f aca="false">J19/Assumptions!$B$5</f>
        <v>90253.0159588188</v>
      </c>
      <c r="M19" s="12" t="n">
        <f aca="false">E19*24*1000000*Assumptions!$B$3/D19/Assumptions!$B$5</f>
        <v>43209.554784211</v>
      </c>
      <c r="N19" s="12" t="n">
        <f aca="false">G19*24*1000000*Assumptions!$B$3/D19/Assumptions!$B$5</f>
        <v>196795.992086506</v>
      </c>
      <c r="O19" s="12" t="n">
        <f aca="false">IF(ROW()&lt;8,"",AVERAGE(L13:L19))</f>
        <v>83048.7349383164</v>
      </c>
      <c r="P19" s="13" t="n">
        <f aca="false">IF(I19="","",I19/L19)</f>
        <v>1.15346217402309</v>
      </c>
    </row>
    <row r="20" customFormat="false" ht="15" hidden="false" customHeight="false" outlineLevel="0" collapsed="false">
      <c r="A20" s="9" t="n">
        <v>45676</v>
      </c>
      <c r="B20" s="10" t="n">
        <v>823.589114505109</v>
      </c>
      <c r="C20" s="11" t="n">
        <v>110.45190737465</v>
      </c>
      <c r="D20" s="10" t="n">
        <v>468.75</v>
      </c>
      <c r="E20" s="11" t="n">
        <v>9.30693338674286</v>
      </c>
      <c r="F20" s="11" t="n">
        <v>19.4396543004488</v>
      </c>
      <c r="G20" s="11" t="n">
        <v>42.3880134445714</v>
      </c>
      <c r="H20" s="11" t="n">
        <f aca="false">IF(B20="","",F20*1000/B20)</f>
        <v>23.6035833379488</v>
      </c>
      <c r="I20" s="12" t="n">
        <v>104408.89</v>
      </c>
      <c r="J20" s="12" t="n">
        <f aca="false">F20*24*1000000*Assumptions!$B$3/D20</f>
        <v>49765.515009149</v>
      </c>
      <c r="K20" s="12" t="n">
        <f aca="false">J20/Assumptions!$B$4</f>
        <v>66354.0200121986</v>
      </c>
      <c r="L20" s="12" t="n">
        <f aca="false">J20/Assumptions!$B$5</f>
        <v>76562.3307833061</v>
      </c>
      <c r="M20" s="12" t="n">
        <f aca="false">E20*24*1000000*Assumptions!$B$3/D20/Assumptions!$B$5</f>
        <v>36654.9991847103</v>
      </c>
      <c r="N20" s="12" t="n">
        <f aca="false">G20*24*1000000*Assumptions!$B$3/D20/Assumptions!$B$5</f>
        <v>166943.560643235</v>
      </c>
      <c r="O20" s="12" t="n">
        <f aca="false">IF(ROW()&lt;8,"",AVERAGE(L14:L20))</f>
        <v>84338.6867870258</v>
      </c>
      <c r="P20" s="13" t="n">
        <f aca="false">IF(I20="","",I20/L20)</f>
        <v>1.36371096506333</v>
      </c>
    </row>
    <row r="21" customFormat="false" ht="15" hidden="false" customHeight="false" outlineLevel="0" collapsed="false">
      <c r="A21" s="9" t="n">
        <v>45677</v>
      </c>
      <c r="B21" s="10" t="n">
        <v>834.570302698511</v>
      </c>
      <c r="C21" s="11" t="n">
        <v>110.45190737465</v>
      </c>
      <c r="D21" s="10" t="n">
        <v>475</v>
      </c>
      <c r="E21" s="11" t="n">
        <v>9.5350911228</v>
      </c>
      <c r="F21" s="11" t="n">
        <v>19.9162137997616</v>
      </c>
      <c r="G21" s="11" t="n">
        <v>43.427147688</v>
      </c>
      <c r="H21" s="11" t="n">
        <f aca="false">IF(B21="","",F21*1000/B21)</f>
        <v>23.8640336654255</v>
      </c>
      <c r="I21" s="12" t="n">
        <v>101217.01</v>
      </c>
      <c r="J21" s="12" t="n">
        <f aca="false">F21*24*1000000*Assumptions!$B$3/D21</f>
        <v>50314.6453888715</v>
      </c>
      <c r="K21" s="12" t="n">
        <f aca="false">J21/Assumptions!$B$4</f>
        <v>67086.1938518287</v>
      </c>
      <c r="L21" s="12" t="n">
        <f aca="false">J21/Assumptions!$B$5</f>
        <v>77407.14675211</v>
      </c>
      <c r="M21" s="12" t="n">
        <f aca="false">E21*24*1000000*Assumptions!$B$3/D21/Assumptions!$B$5</f>
        <v>37059.4634732308</v>
      </c>
      <c r="N21" s="12" t="n">
        <f aca="false">G21*24*1000000*Assumptions!$B$3/D21/Assumptions!$B$5</f>
        <v>168785.675224615</v>
      </c>
      <c r="O21" s="12" t="n">
        <f aca="false">IF(ROW()&lt;8,"",AVERAGE(L15:L21))</f>
        <v>82487.8917533191</v>
      </c>
      <c r="P21" s="13" t="n">
        <f aca="false">IF(I21="","",I21/L21)</f>
        <v>1.30759257054312</v>
      </c>
    </row>
    <row r="22" customFormat="false" ht="15" hidden="false" customHeight="false" outlineLevel="0" collapsed="false">
      <c r="A22" s="9" t="n">
        <v>45678</v>
      </c>
      <c r="B22" s="10" t="n">
        <v>730.249014861197</v>
      </c>
      <c r="C22" s="11" t="n">
        <v>110.45190737465</v>
      </c>
      <c r="D22" s="10" t="n">
        <v>415.625</v>
      </c>
      <c r="E22" s="11" t="n">
        <v>9.33545307994286</v>
      </c>
      <c r="F22" s="11" t="n">
        <v>19.4992241881363</v>
      </c>
      <c r="G22" s="11" t="n">
        <v>42.5179051165714</v>
      </c>
      <c r="H22" s="11" t="n">
        <f aca="false">IF(B22="","",F22*1000/B22)</f>
        <v>26.7021574713697</v>
      </c>
      <c r="I22" s="12" t="n">
        <v>102042.06</v>
      </c>
      <c r="J22" s="12" t="n">
        <f aca="false">F22*24*1000000*Assumptions!$B$3/D22</f>
        <v>56298.5119416867</v>
      </c>
      <c r="K22" s="12" t="n">
        <f aca="false">J22/Assumptions!$B$4</f>
        <v>75064.6825889156</v>
      </c>
      <c r="L22" s="12" t="n">
        <f aca="false">J22/Assumptions!$B$5</f>
        <v>86613.0952949026</v>
      </c>
      <c r="M22" s="12" t="n">
        <f aca="false">E22*24*1000000*Assumptions!$B$3/D22/Assumptions!$B$5</f>
        <v>41466.9055257149</v>
      </c>
      <c r="N22" s="12" t="n">
        <f aca="false">G22*24*1000000*Assumptions!$B$3/D22/Assumptions!$B$5</f>
        <v>188859.173681474</v>
      </c>
      <c r="O22" s="12" t="n">
        <f aca="false">IF(ROW()&lt;8,"",AVERAGE(L16:L22))</f>
        <v>83905.1856884651</v>
      </c>
      <c r="P22" s="13" t="n">
        <f aca="false">IF(I22="","",I22/L22)</f>
        <v>1.17813662763771</v>
      </c>
    </row>
    <row r="23" customFormat="false" ht="15" hidden="false" customHeight="false" outlineLevel="0" collapsed="false">
      <c r="A23" s="9" t="n">
        <v>45679</v>
      </c>
      <c r="B23" s="10" t="n">
        <v>823.589114505109</v>
      </c>
      <c r="C23" s="11" t="n">
        <v>110.45190737465</v>
      </c>
      <c r="D23" s="10" t="n">
        <v>468.75</v>
      </c>
      <c r="E23" s="11" t="n">
        <v>9.44002530565714</v>
      </c>
      <c r="F23" s="11" t="n">
        <v>19.7176471458218</v>
      </c>
      <c r="G23" s="11" t="n">
        <v>42.9941746594286</v>
      </c>
      <c r="H23" s="11" t="n">
        <f aca="false">IF(B23="","",F23*1000/B23)</f>
        <v>23.941121608522</v>
      </c>
      <c r="I23" s="12" t="n">
        <v>106158.27</v>
      </c>
      <c r="J23" s="12" t="n">
        <f aca="false">F23*24*1000000*Assumptions!$B$3/D23</f>
        <v>50477.1766933037</v>
      </c>
      <c r="K23" s="12" t="n">
        <f aca="false">J23/Assumptions!$B$4</f>
        <v>67302.9022577383</v>
      </c>
      <c r="L23" s="12" t="n">
        <f aca="false">J23/Assumptions!$B$5</f>
        <v>77657.1949127749</v>
      </c>
      <c r="M23" s="12" t="n">
        <f aca="false">E23*24*1000000*Assumptions!$B$3/D23/Assumptions!$B$5</f>
        <v>37179.1765884343</v>
      </c>
      <c r="N23" s="12" t="n">
        <f aca="false">G23*24*1000000*Assumptions!$B$3/D23/Assumptions!$B$5</f>
        <v>169330.903274057</v>
      </c>
      <c r="O23" s="12" t="n">
        <f aca="false">IF(ROW()&lt;8,"",AVERAGE(L17:L23))</f>
        <v>82682.8361700212</v>
      </c>
      <c r="P23" s="13" t="n">
        <f aca="false">IF(I23="","",I23/L23)</f>
        <v>1.36701139049946</v>
      </c>
    </row>
    <row r="24" customFormat="false" ht="15" hidden="false" customHeight="false" outlineLevel="0" collapsed="false">
      <c r="A24" s="9" t="n">
        <v>45680</v>
      </c>
      <c r="B24" s="10" t="n">
        <v>746.720797151299</v>
      </c>
      <c r="C24" s="11" t="n">
        <v>110.45190737465</v>
      </c>
      <c r="D24" s="10" t="n">
        <v>425</v>
      </c>
      <c r="E24" s="11" t="n">
        <v>9.51607785548572</v>
      </c>
      <c r="F24" s="11" t="n">
        <v>19.8765002519846</v>
      </c>
      <c r="G24" s="11" t="n">
        <v>43.3405526091429</v>
      </c>
      <c r="H24" s="11" t="n">
        <f aca="false">IF(B24="","",F24*1000/B24)</f>
        <v>26.6183831062593</v>
      </c>
      <c r="I24" s="12" t="n">
        <v>103637.06</v>
      </c>
      <c r="J24" s="12" t="n">
        <f aca="false">F24*24*1000000*Assumptions!$B$3/D24</f>
        <v>56121.8830644272</v>
      </c>
      <c r="K24" s="12" t="n">
        <f aca="false">J24/Assumptions!$B$4</f>
        <v>74829.1774192363</v>
      </c>
      <c r="L24" s="12" t="n">
        <f aca="false">J24/Assumptions!$B$5</f>
        <v>86341.3585606573</v>
      </c>
      <c r="M24" s="12" t="n">
        <f aca="false">E24*24*1000000*Assumptions!$B$3/D24/Assumptions!$B$5</f>
        <v>41336.8087840103</v>
      </c>
      <c r="N24" s="12" t="n">
        <f aca="false">G24*24*1000000*Assumptions!$B$3/D24/Assumptions!$B$5</f>
        <v>188266.65386777</v>
      </c>
      <c r="O24" s="12" t="n">
        <f aca="false">IF(ROW()&lt;8,"",AVERAGE(L18:L24))</f>
        <v>81944.8016098627</v>
      </c>
      <c r="P24" s="13" t="n">
        <f aca="false">IF(I24="","",I24/L24)</f>
        <v>1.20031768931678</v>
      </c>
    </row>
    <row r="25" customFormat="false" ht="15" hidden="false" customHeight="false" outlineLevel="0" collapsed="false">
      <c r="A25" s="9" t="n">
        <v>45681</v>
      </c>
      <c r="B25" s="10" t="n">
        <v>768.683173538102</v>
      </c>
      <c r="C25" s="11" t="n">
        <v>110.45190737465</v>
      </c>
      <c r="D25" s="10" t="n">
        <v>437.5</v>
      </c>
      <c r="E25" s="11" t="n">
        <v>9.42101221148572</v>
      </c>
      <c r="F25" s="11" t="n">
        <v>19.6779339596932</v>
      </c>
      <c r="G25" s="11" t="n">
        <v>42.9075803691429</v>
      </c>
      <c r="H25" s="11" t="n">
        <f aca="false">IF(B25="","",F25*1000/B25)</f>
        <v>25.599537803227</v>
      </c>
      <c r="I25" s="12" t="n">
        <v>103950.37</v>
      </c>
      <c r="J25" s="12" t="n">
        <f aca="false">F25*24*1000000*Assumptions!$B$3/D25</f>
        <v>53973.7617180155</v>
      </c>
      <c r="K25" s="12" t="n">
        <f aca="false">J25/Assumptions!$B$4</f>
        <v>71965.0156240207</v>
      </c>
      <c r="L25" s="12" t="n">
        <f aca="false">J25/Assumptions!$B$5</f>
        <v>83036.5564892546</v>
      </c>
      <c r="M25" s="12" t="n">
        <f aca="false">E25*24*1000000*Assumptions!$B$3/D25/Assumptions!$B$5</f>
        <v>39754.6009803353</v>
      </c>
      <c r="N25" s="12" t="n">
        <f aca="false">G25*24*1000000*Assumptions!$B$3/D25/Assumptions!$B$5</f>
        <v>181060.558920339</v>
      </c>
      <c r="O25" s="12" t="n">
        <f aca="false">IF(ROW()&lt;8,"",AVERAGE(L19:L25))</f>
        <v>82552.9569645463</v>
      </c>
      <c r="P25" s="13" t="n">
        <f aca="false">IF(I25="","",I25/L25)</f>
        <v>1.25186272643004</v>
      </c>
    </row>
    <row r="26" customFormat="false" ht="15" hidden="false" customHeight="false" outlineLevel="0" collapsed="false">
      <c r="A26" s="9" t="n">
        <v>45682</v>
      </c>
      <c r="B26" s="10" t="n">
        <v>702.796044377693</v>
      </c>
      <c r="C26" s="11" t="n">
        <v>110.45190737465</v>
      </c>
      <c r="D26" s="10" t="n">
        <v>400</v>
      </c>
      <c r="E26" s="11" t="n">
        <v>9.4019991</v>
      </c>
      <c r="F26" s="11" t="n">
        <v>19.6382207373997</v>
      </c>
      <c r="G26" s="11" t="n">
        <v>42.820986</v>
      </c>
      <c r="H26" s="11" t="n">
        <f aca="false">IF(B26="","",F26*1000/B26)</f>
        <v>27.9429870081138</v>
      </c>
      <c r="I26" s="12" t="n">
        <v>104855</v>
      </c>
      <c r="J26" s="12" t="n">
        <f aca="false">F26*24*1000000*Assumptions!$B$3/D26</f>
        <v>58914.662212199</v>
      </c>
      <c r="K26" s="12" t="n">
        <f aca="false">J26/Assumptions!$B$4</f>
        <v>78552.8829495987</v>
      </c>
      <c r="L26" s="12" t="n">
        <f aca="false">J26/Assumptions!$B$5</f>
        <v>90637.9418649216</v>
      </c>
      <c r="M26" s="12" t="n">
        <f aca="false">E26*24*1000000*Assumptions!$B$3/D26/Assumptions!$B$5</f>
        <v>43393.842</v>
      </c>
      <c r="N26" s="12" t="n">
        <f aca="false">G26*24*1000000*Assumptions!$B$3/D26/Assumptions!$B$5</f>
        <v>197635.32</v>
      </c>
      <c r="O26" s="12" t="n">
        <f aca="false">IF(ROW()&lt;8,"",AVERAGE(L20:L26))</f>
        <v>82607.9463797039</v>
      </c>
      <c r="P26" s="13" t="n">
        <f aca="false">IF(I26="","",I26/L26)</f>
        <v>1.15685548284256</v>
      </c>
    </row>
    <row r="27" customFormat="false" ht="15" hidden="false" customHeight="false" outlineLevel="0" collapsed="false">
      <c r="A27" s="9" t="n">
        <v>45683</v>
      </c>
      <c r="B27" s="10" t="n">
        <v>752.211391248</v>
      </c>
      <c r="C27" s="11" t="n">
        <v>110.45190737465</v>
      </c>
      <c r="D27" s="10" t="n">
        <v>428.125</v>
      </c>
      <c r="E27" s="11" t="n">
        <v>9.27841371085714</v>
      </c>
      <c r="F27" s="11" t="n">
        <v>19.3800844489262</v>
      </c>
      <c r="G27" s="11" t="n">
        <v>42.2581218514286</v>
      </c>
      <c r="H27" s="11" t="n">
        <f aca="false">IF(B27="","",F27*1000/B27)</f>
        <v>25.7641464545924</v>
      </c>
      <c r="I27" s="12" t="n">
        <v>104722.36</v>
      </c>
      <c r="J27" s="12" t="n">
        <f aca="false">F27*24*1000000*Assumptions!$B$3/D27</f>
        <v>54320.8206451654</v>
      </c>
      <c r="K27" s="12" t="n">
        <f aca="false">J27/Assumptions!$B$4</f>
        <v>72427.7608602206</v>
      </c>
      <c r="L27" s="12" t="n">
        <f aca="false">J27/Assumptions!$B$5</f>
        <v>83570.4933002545</v>
      </c>
      <c r="M27" s="12" t="n">
        <f aca="false">E27*24*1000000*Assumptions!$B$3/D27/Assumptions!$B$5</f>
        <v>40010.2286913997</v>
      </c>
      <c r="N27" s="12" t="n">
        <f aca="false">G27*24*1000000*Assumptions!$B$3/D27/Assumptions!$B$5</f>
        <v>182224.803941028</v>
      </c>
      <c r="O27" s="12" t="n">
        <f aca="false">IF(ROW()&lt;8,"",AVERAGE(L21:L27))</f>
        <v>83609.1124535537</v>
      </c>
      <c r="P27" s="13" t="n">
        <f aca="false">IF(I27="","",I27/L27)</f>
        <v>1.2531020921912</v>
      </c>
    </row>
    <row r="28" customFormat="false" ht="15" hidden="false" customHeight="false" outlineLevel="0" collapsed="false">
      <c r="A28" s="9" t="n">
        <v>45684</v>
      </c>
      <c r="B28" s="10" t="n">
        <v>841.602268611025</v>
      </c>
      <c r="C28" s="11" t="n">
        <v>108.526595760699</v>
      </c>
      <c r="D28" s="10" t="n">
        <v>487.5</v>
      </c>
      <c r="E28" s="11" t="n">
        <v>9.28957934742857</v>
      </c>
      <c r="F28" s="11" t="n">
        <v>19.4034064289999</v>
      </c>
      <c r="G28" s="11" t="n">
        <v>42.3089752457143</v>
      </c>
      <c r="H28" s="11" t="n">
        <f aca="false">IF(B28="","",F28*1000/B28)</f>
        <v>23.0553162137065</v>
      </c>
      <c r="I28" s="12" t="n">
        <v>102592.63</v>
      </c>
      <c r="J28" s="12" t="n">
        <f aca="false">F28*24*1000000*Assumptions!$B$3/D28</f>
        <v>47762.231209846</v>
      </c>
      <c r="K28" s="12" t="n">
        <f aca="false">J28/Assumptions!$B$4</f>
        <v>63682.9749464613</v>
      </c>
      <c r="L28" s="12" t="n">
        <f aca="false">J28/Assumptions!$B$5</f>
        <v>73480.3557074554</v>
      </c>
      <c r="M28" s="12" t="n">
        <f aca="false">E28*24*1000000*Assumptions!$B$3/D28/Assumptions!$B$5</f>
        <v>35179.4720849366</v>
      </c>
      <c r="N28" s="12" t="n">
        <f aca="false">G28*24*1000000*Assumptions!$B$3/D28/Assumptions!$B$5</f>
        <v>160223.338208622</v>
      </c>
      <c r="O28" s="12" t="n">
        <f aca="false">IF(ROW()&lt;8,"",AVERAGE(L22:L28))</f>
        <v>83048.1423043173</v>
      </c>
      <c r="P28" s="13" t="n">
        <f aca="false">IF(I28="","",I28/L28)</f>
        <v>1.3961912542782</v>
      </c>
    </row>
    <row r="29" customFormat="false" ht="15" hidden="false" customHeight="false" outlineLevel="0" collapsed="false">
      <c r="A29" s="9" t="n">
        <v>45685</v>
      </c>
      <c r="B29" s="10" t="n">
        <v>795.344639200811</v>
      </c>
      <c r="C29" s="11" t="n">
        <v>108.105433845147</v>
      </c>
      <c r="D29" s="10" t="n">
        <v>462.5</v>
      </c>
      <c r="E29" s="11" t="n">
        <v>9.4022877984</v>
      </c>
      <c r="F29" s="11" t="n">
        <v>19.6388237498915</v>
      </c>
      <c r="G29" s="11" t="n">
        <v>42.822300864</v>
      </c>
      <c r="H29" s="11" t="n">
        <f aca="false">IF(B29="","",F29*1000/B29)</f>
        <v>24.6922186709214</v>
      </c>
      <c r="I29" s="12" t="n">
        <v>102102.01</v>
      </c>
      <c r="J29" s="12" t="n">
        <f aca="false">F29*24*1000000*Assumptions!$B$3/D29</f>
        <v>50954.7859456645</v>
      </c>
      <c r="K29" s="12" t="n">
        <f aca="false">J29/Assumptions!$B$4</f>
        <v>67939.7145942194</v>
      </c>
      <c r="L29" s="12" t="n">
        <f aca="false">J29/Assumptions!$B$5</f>
        <v>78391.9783779454</v>
      </c>
      <c r="M29" s="12" t="n">
        <f aca="false">E29*24*1000000*Assumptions!$B$3/D29/Assumptions!$B$5</f>
        <v>37530.961690079</v>
      </c>
      <c r="N29" s="12" t="n">
        <f aca="false">G29*24*1000000*Assumptions!$B$3/D29/Assumptions!$B$5</f>
        <v>170933.092845904</v>
      </c>
      <c r="O29" s="12" t="n">
        <f aca="false">IF(ROW()&lt;8,"",AVERAGE(L23:L29))</f>
        <v>81873.6970304663</v>
      </c>
      <c r="P29" s="13" t="n">
        <f aca="false">IF(I29="","",I29/L29)</f>
        <v>1.30245481888138</v>
      </c>
    </row>
    <row r="30" customFormat="false" ht="15" hidden="false" customHeight="false" outlineLevel="0" collapsed="false">
      <c r="A30" s="9" t="n">
        <v>45686</v>
      </c>
      <c r="B30" s="10" t="n">
        <v>832.962291054904</v>
      </c>
      <c r="C30" s="11" t="n">
        <v>108.105433845148</v>
      </c>
      <c r="D30" s="10" t="n">
        <v>484.375</v>
      </c>
      <c r="E30" s="11" t="n">
        <v>9.41851682468571</v>
      </c>
      <c r="F30" s="11" t="n">
        <v>19.7067294650261</v>
      </c>
      <c r="G30" s="11" t="n">
        <v>43.5093872536846</v>
      </c>
      <c r="H30" s="11" t="n">
        <f aca="false">IF(B30="","",F30*1000/B30)</f>
        <v>23.658609371222</v>
      </c>
      <c r="I30" s="12" t="n">
        <v>101322.82</v>
      </c>
      <c r="J30" s="12" t="n">
        <f aca="false">F30*24*1000000*Assumptions!$B$3/D30</f>
        <v>48821.8329972259</v>
      </c>
      <c r="K30" s="12" t="n">
        <f aca="false">J30/Assumptions!$B$4</f>
        <v>65095.7773296345</v>
      </c>
      <c r="L30" s="12" t="n">
        <f aca="false">J30/Assumptions!$B$5</f>
        <v>75110.5123034245</v>
      </c>
      <c r="M30" s="12" t="n">
        <f aca="false">E30*24*1000000*Assumptions!$B$3/D30/Assumptions!$B$5</f>
        <v>35897.8705774622</v>
      </c>
      <c r="N30" s="12" t="n">
        <f aca="false">G30*24*1000000*Assumptions!$B$3/D30/Assumptions!$B$5</f>
        <v>165832.304768386</v>
      </c>
      <c r="O30" s="12" t="n">
        <f aca="false">IF(ROW()&lt;8,"",AVERAGE(L24:L30))</f>
        <v>81509.8852291305</v>
      </c>
      <c r="P30" s="13" t="n">
        <f aca="false">IF(I30="","",I30/L30)</f>
        <v>1.34898321010893</v>
      </c>
    </row>
    <row r="31" customFormat="false" ht="15" hidden="false" customHeight="false" outlineLevel="0" collapsed="false">
      <c r="A31" s="9" t="n">
        <v>45687</v>
      </c>
      <c r="B31" s="10" t="n">
        <v>779.2227884062</v>
      </c>
      <c r="C31" s="11" t="n">
        <v>108.105433845147</v>
      </c>
      <c r="D31" s="10" t="n">
        <v>453.125</v>
      </c>
      <c r="E31" s="11" t="n">
        <v>9.47479176805715</v>
      </c>
      <c r="F31" s="11" t="n">
        <v>19.8560861724238</v>
      </c>
      <c r="G31" s="11" t="n">
        <v>44.3393015062066</v>
      </c>
      <c r="H31" s="11" t="n">
        <f aca="false">IF(B31="","",F31*1000/B31)</f>
        <v>25.4819115506578</v>
      </c>
      <c r="I31" s="12" t="n">
        <v>103704.56</v>
      </c>
      <c r="J31" s="12" t="n">
        <f aca="false">F31*24*1000000*Assumptions!$B$3/D31</f>
        <v>52584.3937255912</v>
      </c>
      <c r="K31" s="12" t="n">
        <f aca="false">J31/Assumptions!$B$4</f>
        <v>70112.5249674549</v>
      </c>
      <c r="L31" s="12" t="n">
        <f aca="false">J31/Assumptions!$B$5</f>
        <v>80899.0672701403</v>
      </c>
      <c r="M31" s="12" t="n">
        <f aca="false">E31*24*1000000*Assumptions!$B$3/D31/Assumptions!$B$5</f>
        <v>38602.8651345777</v>
      </c>
      <c r="N31" s="12" t="n">
        <f aca="false">G31*24*1000000*Assumptions!$B$3/D31/Assumptions!$B$5</f>
        <v>180650.310645977</v>
      </c>
      <c r="O31" s="12" t="n">
        <f aca="false">IF(ROW()&lt;8,"",AVERAGE(L25:L31))</f>
        <v>80732.4150447709</v>
      </c>
      <c r="P31" s="13" t="n">
        <f aca="false">IF(I31="","",I31/L31)</f>
        <v>1.2819005644862</v>
      </c>
    </row>
    <row r="32" customFormat="false" ht="15" hidden="false" customHeight="false" outlineLevel="0" collapsed="false">
      <c r="A32" s="9" t="n">
        <v>45688</v>
      </c>
      <c r="B32" s="10" t="n">
        <v>671.743783108794</v>
      </c>
      <c r="C32" s="11" t="n">
        <v>108.105433845147</v>
      </c>
      <c r="D32" s="10" t="n">
        <v>390.625</v>
      </c>
      <c r="E32" s="11" t="n">
        <v>9.3069481212</v>
      </c>
      <c r="F32" s="11" t="n">
        <v>19.5329319695533</v>
      </c>
      <c r="G32" s="11" t="n">
        <v>44.0693586604033</v>
      </c>
      <c r="H32" s="11" t="n">
        <f aca="false">IF(B32="","",F32*1000/B32)</f>
        <v>29.0779497491677</v>
      </c>
      <c r="I32" s="12" t="n">
        <v>104743.97</v>
      </c>
      <c r="J32" s="12" t="n">
        <f aca="false">F32*24*1000000*Assumptions!$B$3/D32</f>
        <v>60005.1670104678</v>
      </c>
      <c r="K32" s="12" t="n">
        <f aca="false">J32/Assumptions!$B$4</f>
        <v>80006.8893472905</v>
      </c>
      <c r="L32" s="12" t="n">
        <f aca="false">J32/Assumptions!$B$5</f>
        <v>92315.6415545659</v>
      </c>
      <c r="M32" s="12" t="n">
        <f aca="false">E32*24*1000000*Assumptions!$B$3/D32/Assumptions!$B$5</f>
        <v>43986.0686589637</v>
      </c>
      <c r="N32" s="12" t="n">
        <f aca="false">G32*24*1000000*Assumptions!$B$3/D32/Assumptions!$B$5</f>
        <v>208278.568930398</v>
      </c>
      <c r="O32" s="12" t="n">
        <f aca="false">IF(ROW()&lt;8,"",AVERAGE(L26:L32))</f>
        <v>82057.9986255297</v>
      </c>
      <c r="P32" s="13" t="n">
        <f aca="false">IF(I32="","",I32/L32)</f>
        <v>1.13462863103311</v>
      </c>
    </row>
    <row r="33" customFormat="false" ht="15" hidden="false" customHeight="false" outlineLevel="0" collapsed="false">
      <c r="A33" s="9" t="n">
        <v>45689</v>
      </c>
      <c r="B33" s="10" t="n">
        <v>988.806848736144</v>
      </c>
      <c r="C33" s="11" t="n">
        <v>108.105433845148</v>
      </c>
      <c r="D33" s="10" t="n">
        <v>575</v>
      </c>
      <c r="E33" s="11" t="n">
        <v>9.80215542668572</v>
      </c>
      <c r="F33" s="11" t="n">
        <v>20.5651138390113</v>
      </c>
      <c r="G33" s="11" t="n">
        <v>47.0526527807738</v>
      </c>
      <c r="H33" s="11" t="n">
        <f aca="false">IF(B33="","",F33*1000/B33)</f>
        <v>20.7979079688788</v>
      </c>
      <c r="I33" s="12" t="n">
        <v>102406.47</v>
      </c>
      <c r="J33" s="12" t="n">
        <f aca="false">F33*24*1000000*Assumptions!$B$3/D33</f>
        <v>42918.4984466324</v>
      </c>
      <c r="K33" s="12" t="n">
        <f aca="false">J33/Assumptions!$B$4</f>
        <v>57224.6645955098</v>
      </c>
      <c r="L33" s="12" t="n">
        <f aca="false">J33/Assumptions!$B$5</f>
        <v>66028.4591486652</v>
      </c>
      <c r="M33" s="12" t="n">
        <f aca="false">E33*24*1000000*Assumptions!$B$3/D33/Assumptions!$B$5</f>
        <v>31471.8033766498</v>
      </c>
      <c r="N33" s="12" t="n">
        <f aca="false">G33*24*1000000*Assumptions!$B$3/D33/Assumptions!$B$5</f>
        <v>151072.062439943</v>
      </c>
      <c r="O33" s="12" t="n">
        <f aca="false">IF(ROW()&lt;8,"",AVERAGE(L27:L33))</f>
        <v>78542.358237493</v>
      </c>
      <c r="P33" s="13" t="n">
        <f aca="false">IF(I33="","",I33/L33)</f>
        <v>1.55094441579242</v>
      </c>
    </row>
    <row r="34" customFormat="false" ht="15" hidden="false" customHeight="false" outlineLevel="0" collapsed="false">
      <c r="A34" s="9" t="n">
        <v>45690</v>
      </c>
      <c r="B34" s="10" t="n">
        <v>918.945495292829</v>
      </c>
      <c r="C34" s="11" t="n">
        <v>108.105433845148</v>
      </c>
      <c r="D34" s="10" t="n">
        <v>534.375</v>
      </c>
      <c r="E34" s="11" t="n">
        <v>10.0908436112571</v>
      </c>
      <c r="F34" s="11" t="n">
        <v>21.1660868231557</v>
      </c>
      <c r="G34" s="11" t="n">
        <v>49.04393743929</v>
      </c>
      <c r="H34" s="11" t="n">
        <f aca="false">IF(B34="","",F34*1000/B34)</f>
        <v>23.0330165734269</v>
      </c>
      <c r="I34" s="12" t="n">
        <v>100627.27</v>
      </c>
      <c r="J34" s="12" t="n">
        <f aca="false">F34*24*1000000*Assumptions!$B$3/D34</f>
        <v>47530.8616379637</v>
      </c>
      <c r="K34" s="12" t="n">
        <f aca="false">J34/Assumptions!$B$4</f>
        <v>63374.4821839515</v>
      </c>
      <c r="L34" s="12" t="n">
        <f aca="false">J34/Assumptions!$B$5</f>
        <v>73124.4025199441</v>
      </c>
      <c r="M34" s="12" t="n">
        <f aca="false">E34*24*1000000*Assumptions!$B$3/D34/Assumptions!$B$5</f>
        <v>34861.7539066374</v>
      </c>
      <c r="N34" s="12" t="n">
        <f aca="false">G34*24*1000000*Assumptions!$B$3/D34/Assumptions!$B$5</f>
        <v>169436.544999436</v>
      </c>
      <c r="O34" s="12" t="n">
        <f aca="false">IF(ROW()&lt;8,"",AVERAGE(L28:L34))</f>
        <v>77050.0595545915</v>
      </c>
      <c r="P34" s="13" t="n">
        <f aca="false">IF(I34="","",I34/L34)</f>
        <v>1.37611066254599</v>
      </c>
    </row>
    <row r="35" customFormat="false" ht="15" hidden="false" customHeight="false" outlineLevel="0" collapsed="false">
      <c r="A35" s="9" t="n">
        <v>45691</v>
      </c>
      <c r="B35" s="10" t="n">
        <v>822.214390525163</v>
      </c>
      <c r="C35" s="11" t="n">
        <v>108.105433845148</v>
      </c>
      <c r="D35" s="10" t="n">
        <v>478.125</v>
      </c>
      <c r="E35" s="11" t="n">
        <v>10.0582846164</v>
      </c>
      <c r="F35" s="11" t="n">
        <v>21.0962742006787</v>
      </c>
      <c r="G35" s="11" t="n">
        <v>49.5009090639421</v>
      </c>
      <c r="H35" s="11" t="n">
        <f aca="false">IF(B35="","",F35*1000/B35)</f>
        <v>25.6578751768186</v>
      </c>
      <c r="I35" s="12" t="n">
        <v>97675.85</v>
      </c>
      <c r="J35" s="12" t="n">
        <f aca="false">F35*24*1000000*Assumptions!$B$3/D35</f>
        <v>52947.5117193503</v>
      </c>
      <c r="K35" s="12" t="n">
        <f aca="false">J35/Assumptions!$B$4</f>
        <v>70596.6822924671</v>
      </c>
      <c r="L35" s="12" t="n">
        <f aca="false">J35/Assumptions!$B$5</f>
        <v>81457.7103374621</v>
      </c>
      <c r="M35" s="12" t="n">
        <f aca="false">E35*24*1000000*Assumptions!$B$3/D35/Assumptions!$B$5</f>
        <v>38837.418729991</v>
      </c>
      <c r="N35" s="12" t="n">
        <f aca="false">G35*24*1000000*Assumptions!$B$3/D35/Assumptions!$B$5</f>
        <v>191134.731830606</v>
      </c>
      <c r="O35" s="12" t="n">
        <f aca="false">IF(ROW()&lt;8,"",AVERAGE(L29:L35))</f>
        <v>78189.6816445925</v>
      </c>
      <c r="P35" s="13" t="n">
        <f aca="false">IF(I35="","",I35/L35)</f>
        <v>1.19909888941574</v>
      </c>
    </row>
    <row r="36" customFormat="false" ht="15" hidden="false" customHeight="false" outlineLevel="0" collapsed="false">
      <c r="A36" s="9" t="n">
        <v>45692</v>
      </c>
      <c r="B36" s="10" t="n">
        <v>703.987484698016</v>
      </c>
      <c r="C36" s="11" t="n">
        <v>108.105433845147</v>
      </c>
      <c r="D36" s="10" t="n">
        <v>409.375</v>
      </c>
      <c r="E36" s="11" t="n">
        <v>9.90010618474286</v>
      </c>
      <c r="F36" s="11" t="n">
        <v>20.7354420662826</v>
      </c>
      <c r="G36" s="11" t="n">
        <v>48.7804924445135</v>
      </c>
      <c r="H36" s="11" t="n">
        <f aca="false">IF(B36="","",F36*1000/B36)</f>
        <v>29.4542765560348</v>
      </c>
      <c r="I36" s="12" t="n">
        <v>101414.76</v>
      </c>
      <c r="J36" s="12" t="n">
        <f aca="false">F36*24*1000000*Assumptions!$B$3/D36</f>
        <v>60781.7538431491</v>
      </c>
      <c r="K36" s="12" t="n">
        <f aca="false">J36/Assumptions!$B$4</f>
        <v>81042.3384575322</v>
      </c>
      <c r="L36" s="12" t="n">
        <f aca="false">J36/Assumptions!$B$5</f>
        <v>93510.3905279217</v>
      </c>
      <c r="M36" s="12" t="n">
        <f aca="false">E36*24*1000000*Assumptions!$B$3/D36/Assumptions!$B$5</f>
        <v>44646.3978266736</v>
      </c>
      <c r="N36" s="12" t="n">
        <f aca="false">G36*24*1000000*Assumptions!$B$3/D36/Assumptions!$B$5</f>
        <v>219984.839679309</v>
      </c>
      <c r="O36" s="12" t="n">
        <f aca="false">IF(ROW()&lt;8,"",AVERAGE(L30:L36))</f>
        <v>80349.4548088748</v>
      </c>
      <c r="P36" s="13" t="n">
        <f aca="false">IF(I36="","",I36/L36)</f>
        <v>1.08452931730317</v>
      </c>
    </row>
    <row r="37" customFormat="false" ht="15" hidden="false" customHeight="false" outlineLevel="0" collapsed="false">
      <c r="A37" s="9" t="n">
        <v>45693</v>
      </c>
      <c r="B37" s="10" t="n">
        <v>773.84883814133</v>
      </c>
      <c r="C37" s="11" t="n">
        <v>108.105433845147</v>
      </c>
      <c r="D37" s="10" t="n">
        <v>450</v>
      </c>
      <c r="E37" s="11" t="n">
        <v>9.79775543382857</v>
      </c>
      <c r="F37" s="11" t="n">
        <v>20.4541902912324</v>
      </c>
      <c r="G37" s="11" t="n">
        <v>47.7011684971146</v>
      </c>
      <c r="H37" s="11" t="n">
        <f aca="false">IF(B37="","",F37*1000/B37)</f>
        <v>26.4317645554141</v>
      </c>
      <c r="I37" s="12" t="n">
        <v>97877.42</v>
      </c>
      <c r="J37" s="12" t="n">
        <f aca="false">F37*24*1000000*Assumptions!$B$3/D37</f>
        <v>54544.5074432864</v>
      </c>
      <c r="K37" s="12" t="n">
        <f aca="false">J37/Assumptions!$B$4</f>
        <v>72726.0099243819</v>
      </c>
      <c r="L37" s="12" t="n">
        <f aca="false">J37/Assumptions!$B$5</f>
        <v>83914.6268358252</v>
      </c>
      <c r="M37" s="12" t="n">
        <f aca="false">E37*24*1000000*Assumptions!$B$3/D37/Assumptions!$B$5</f>
        <v>40195.9197285275</v>
      </c>
      <c r="N37" s="12" t="n">
        <f aca="false">G37*24*1000000*Assumptions!$B$3/D37/Assumptions!$B$5</f>
        <v>195697.101526624</v>
      </c>
      <c r="O37" s="12" t="n">
        <f aca="false">IF(ROW()&lt;8,"",AVERAGE(L31:L37))</f>
        <v>81607.1854563607</v>
      </c>
      <c r="P37" s="13" t="n">
        <f aca="false">IF(I37="","",I37/L37)</f>
        <v>1.16639284104179</v>
      </c>
    </row>
    <row r="38" customFormat="false" ht="15" hidden="false" customHeight="false" outlineLevel="0" collapsed="false">
      <c r="A38" s="9" t="n">
        <v>45694</v>
      </c>
      <c r="B38" s="10" t="n">
        <v>779.2227884062</v>
      </c>
      <c r="C38" s="11" t="n">
        <v>108.105433845147</v>
      </c>
      <c r="D38" s="10" t="n">
        <v>453.125</v>
      </c>
      <c r="E38" s="11" t="n">
        <v>9.79775543382857</v>
      </c>
      <c r="F38" s="11" t="n">
        <v>20.38868309099</v>
      </c>
      <c r="G38" s="11" t="n">
        <v>47.1275559668784</v>
      </c>
      <c r="H38" s="11" t="n">
        <f aca="false">IF(B38="","",F38*1000/B38)</f>
        <v>26.1654091671169</v>
      </c>
      <c r="I38" s="12" t="n">
        <v>96607.66</v>
      </c>
      <c r="J38" s="12" t="n">
        <f aca="false">F38*24*1000000*Assumptions!$B$3/D38</f>
        <v>53994.8572892424</v>
      </c>
      <c r="K38" s="12" t="n">
        <f aca="false">J38/Assumptions!$B$4</f>
        <v>71993.1430523231</v>
      </c>
      <c r="L38" s="12" t="n">
        <f aca="false">J38/Assumptions!$B$5</f>
        <v>83069.011214219</v>
      </c>
      <c r="M38" s="12" t="n">
        <f aca="false">E38*24*1000000*Assumptions!$B$3/D38/Assumptions!$B$5</f>
        <v>39918.7064890204</v>
      </c>
      <c r="N38" s="12" t="n">
        <f aca="false">G38*24*1000000*Assumptions!$B$3/D38/Assumptions!$B$5</f>
        <v>192010.413700597</v>
      </c>
      <c r="O38" s="12" t="n">
        <f aca="false">IF(ROW()&lt;8,"",AVERAGE(L32:L38))</f>
        <v>81917.1774483719</v>
      </c>
      <c r="P38" s="13" t="n">
        <f aca="false">IF(I38="","",I38/L38)</f>
        <v>1.16298073839915</v>
      </c>
    </row>
    <row r="39" customFormat="false" ht="15" hidden="false" customHeight="false" outlineLevel="0" collapsed="false">
      <c r="A39" s="9" t="n">
        <v>45695</v>
      </c>
      <c r="B39" s="10" t="n">
        <v>929.69339582257</v>
      </c>
      <c r="C39" s="11" t="n">
        <v>108.105433845148</v>
      </c>
      <c r="D39" s="10" t="n">
        <v>540.625</v>
      </c>
      <c r="E39" s="11" t="n">
        <v>10.2443767412571</v>
      </c>
      <c r="F39" s="11" t="n">
        <v>21.2539281617798</v>
      </c>
      <c r="G39" s="11" t="n">
        <v>48.6671792469674</v>
      </c>
      <c r="H39" s="11" t="n">
        <f aca="false">IF(B39="","",F39*1000/B39)</f>
        <v>22.8612231271955</v>
      </c>
      <c r="I39" s="12" t="n">
        <v>96564.45</v>
      </c>
      <c r="J39" s="12" t="n">
        <f aca="false">F39*24*1000000*Assumptions!$B$3/D39</f>
        <v>47176.3492145864</v>
      </c>
      <c r="K39" s="12" t="n">
        <f aca="false">J39/Assumptions!$B$4</f>
        <v>62901.7989527819</v>
      </c>
      <c r="L39" s="12" t="n">
        <f aca="false">J39/Assumptions!$B$5</f>
        <v>72578.9987916714</v>
      </c>
      <c r="M39" s="12" t="n">
        <f aca="false">E39*24*1000000*Assumptions!$B$3/D39/Assumptions!$B$5</f>
        <v>34983.0206193219</v>
      </c>
      <c r="N39" s="12" t="n">
        <f aca="false">G39*24*1000000*Assumptions!$B$3/D39/Assumptions!$B$5</f>
        <v>166191.167904273</v>
      </c>
      <c r="O39" s="12" t="n">
        <f aca="false">IF(ROW()&lt;8,"",AVERAGE(L33:L39))</f>
        <v>79097.6570536727</v>
      </c>
      <c r="P39" s="13" t="n">
        <f aca="false">IF(I39="","",I39/L39)</f>
        <v>1.33047371288733</v>
      </c>
    </row>
    <row r="40" customFormat="false" ht="15" hidden="false" customHeight="false" outlineLevel="0" collapsed="false">
      <c r="A40" s="9" t="n">
        <v>45696</v>
      </c>
      <c r="B40" s="10" t="n">
        <v>859.832042379255</v>
      </c>
      <c r="C40" s="11" t="n">
        <v>108.105433845148</v>
      </c>
      <c r="D40" s="10" t="n">
        <v>500</v>
      </c>
      <c r="E40" s="11" t="n">
        <v>10.0210661048571</v>
      </c>
      <c r="F40" s="11" t="n">
        <v>20.7524854400338</v>
      </c>
      <c r="G40" s="11" t="n">
        <v>46.9222263917397</v>
      </c>
      <c r="H40" s="11" t="n">
        <f aca="false">IF(B40="","",F40*1000/B40)</f>
        <v>24.1355106778869</v>
      </c>
      <c r="I40" s="12" t="n">
        <v>96540.7</v>
      </c>
      <c r="J40" s="12" t="n">
        <f aca="false">F40*24*1000000*Assumptions!$B$3/D40</f>
        <v>49805.9650560811</v>
      </c>
      <c r="K40" s="12" t="n">
        <f aca="false">J40/Assumptions!$B$4</f>
        <v>66407.9534081081</v>
      </c>
      <c r="L40" s="12" t="n">
        <f aca="false">J40/Assumptions!$B$5</f>
        <v>76624.5616247401</v>
      </c>
      <c r="M40" s="12" t="n">
        <f aca="false">E40*24*1000000*Assumptions!$B$3/D40/Assumptions!$B$5</f>
        <v>37000.8594640879</v>
      </c>
      <c r="N40" s="12" t="n">
        <f aca="false">G40*24*1000000*Assumptions!$B$3/D40/Assumptions!$B$5</f>
        <v>173251.297446424</v>
      </c>
      <c r="O40" s="12" t="n">
        <f aca="false">IF(ROW()&lt;8,"",AVERAGE(L34:L40))</f>
        <v>80611.3859788262</v>
      </c>
      <c r="P40" s="13" t="n">
        <f aca="false">IF(I40="","",I40/L40)</f>
        <v>1.25991846417076</v>
      </c>
    </row>
    <row r="41" customFormat="false" ht="15" hidden="false" customHeight="false" outlineLevel="0" collapsed="false">
      <c r="A41" s="9" t="n">
        <v>45697</v>
      </c>
      <c r="B41" s="10" t="n">
        <v>795.293751410048</v>
      </c>
      <c r="C41" s="11" t="n">
        <v>111.878185464323</v>
      </c>
      <c r="D41" s="10" t="n">
        <v>446.875</v>
      </c>
      <c r="E41" s="11" t="n">
        <v>9.80958067542857</v>
      </c>
      <c r="F41" s="11" t="n">
        <v>20.278314417138</v>
      </c>
      <c r="G41" s="11" t="n">
        <v>45.2825582417949</v>
      </c>
      <c r="H41" s="11" t="n">
        <f aca="false">IF(B41="","",F41*1000/B41)</f>
        <v>25.4978922960036</v>
      </c>
      <c r="I41" s="12" t="n">
        <v>96486.54</v>
      </c>
      <c r="J41" s="12" t="n">
        <f aca="false">F41*24*1000000*Assumptions!$B$3/D41</f>
        <v>54453.6554977693</v>
      </c>
      <c r="K41" s="12" t="n">
        <f aca="false">J41/Assumptions!$B$4</f>
        <v>72604.8739970257</v>
      </c>
      <c r="L41" s="12" t="n">
        <f aca="false">J41/Assumptions!$B$5</f>
        <v>83774.8546119527</v>
      </c>
      <c r="M41" s="12" t="n">
        <f aca="false">E41*24*1000000*Assumptions!$B$3/D41/Assumptions!$B$5</f>
        <v>40525.8631453962</v>
      </c>
      <c r="N41" s="12" t="n">
        <f aca="false">G41*24*1000000*Assumptions!$B$3/D41/Assumptions!$B$5</f>
        <v>187073.720977399</v>
      </c>
      <c r="O41" s="12" t="n">
        <f aca="false">IF(ROW()&lt;8,"",AVERAGE(L35:L41))</f>
        <v>82132.8791348275</v>
      </c>
      <c r="P41" s="13" t="n">
        <f aca="false">IF(I41="","",I41/L41)</f>
        <v>1.15173628706284</v>
      </c>
    </row>
    <row r="42" customFormat="false" ht="15" hidden="false" customHeight="false" outlineLevel="0" collapsed="false">
      <c r="A42" s="9" t="n">
        <v>45698</v>
      </c>
      <c r="B42" s="10" t="n">
        <v>788.864727616627</v>
      </c>
      <c r="C42" s="11" t="n">
        <v>114.167270716408</v>
      </c>
      <c r="D42" s="10" t="n">
        <v>434.375</v>
      </c>
      <c r="E42" s="11" t="n">
        <v>9.751838052</v>
      </c>
      <c r="F42" s="11" t="n">
        <v>20.1254010324486</v>
      </c>
      <c r="G42" s="11" t="n">
        <v>44.41431192</v>
      </c>
      <c r="H42" s="11" t="n">
        <f aca="false">IF(B42="","",F42*1000/B42)</f>
        <v>25.5118530819002</v>
      </c>
      <c r="I42" s="12" t="n">
        <v>96487.05</v>
      </c>
      <c r="J42" s="12" t="n">
        <f aca="false">F42*24*1000000*Assumptions!$B$3/D42</f>
        <v>55598.2301903617</v>
      </c>
      <c r="K42" s="12" t="n">
        <f aca="false">J42/Assumptions!$B$4</f>
        <v>74130.9735871489</v>
      </c>
      <c r="L42" s="12" t="n">
        <f aca="false">J42/Assumptions!$B$5</f>
        <v>85535.7387544026</v>
      </c>
      <c r="M42" s="12" t="n">
        <f aca="false">E42*24*1000000*Assumptions!$B$3/D42/Assumptions!$B$5</f>
        <v>41446.6608961594</v>
      </c>
      <c r="N42" s="12" t="n">
        <f aca="false">G42*24*1000000*Assumptions!$B$3/D42/Assumptions!$B$5</f>
        <v>188766.970418152</v>
      </c>
      <c r="O42" s="12" t="n">
        <f aca="false">IF(ROW()&lt;8,"",AVERAGE(L36:L42))</f>
        <v>82715.4546229618</v>
      </c>
      <c r="P42" s="13" t="n">
        <f aca="false">IF(I42="","",I42/L42)</f>
        <v>1.12803199463843</v>
      </c>
    </row>
    <row r="43" customFormat="false" ht="15" hidden="false" customHeight="false" outlineLevel="0" collapsed="false">
      <c r="A43" s="9" t="n">
        <v>45699</v>
      </c>
      <c r="B43" s="10" t="n">
        <v>703.735440463753</v>
      </c>
      <c r="C43" s="11" t="n">
        <v>114.167270716408</v>
      </c>
      <c r="D43" s="10" t="n">
        <v>387.5</v>
      </c>
      <c r="E43" s="11" t="n">
        <v>9.75140162811428</v>
      </c>
      <c r="F43" s="11" t="n">
        <v>20.1245003606293</v>
      </c>
      <c r="G43" s="11" t="n">
        <v>44.4123242468572</v>
      </c>
      <c r="H43" s="11" t="n">
        <f aca="false">IF(B43="","",F43*1000/B43)</f>
        <v>28.5966844974689</v>
      </c>
      <c r="I43" s="12" t="n">
        <v>97461.49</v>
      </c>
      <c r="J43" s="12" t="n">
        <f aca="false">F43*24*1000000*Assumptions!$B$3/D43</f>
        <v>62321.033374852</v>
      </c>
      <c r="K43" s="12" t="n">
        <f aca="false">J43/Assumptions!$B$4</f>
        <v>83094.7111664693</v>
      </c>
      <c r="L43" s="12" t="n">
        <f aca="false">J43/Assumptions!$B$5</f>
        <v>95878.5128843877</v>
      </c>
      <c r="M43" s="12" t="n">
        <f aca="false">E43*24*1000000*Assumptions!$B$3/D43/Assumptions!$B$5</f>
        <v>46458.2906351847</v>
      </c>
      <c r="N43" s="12" t="n">
        <f aca="false">G43*24*1000000*Assumptions!$B$3/D43/Assumptions!$B$5</f>
        <v>211592.214774109</v>
      </c>
      <c r="O43" s="12" t="n">
        <f aca="false">IF(ROW()&lt;8,"",AVERAGE(L37:L43))</f>
        <v>83053.7578167427</v>
      </c>
      <c r="P43" s="13" t="n">
        <f aca="false">IF(I43="","",I43/L43)</f>
        <v>1.01651023850903</v>
      </c>
    </row>
    <row r="44" customFormat="false" ht="15" hidden="false" customHeight="false" outlineLevel="0" collapsed="false">
      <c r="A44" s="9" t="n">
        <v>45700</v>
      </c>
      <c r="B44" s="10" t="n">
        <v>754.813012755478</v>
      </c>
      <c r="C44" s="11" t="n">
        <v>114.167270716408</v>
      </c>
      <c r="D44" s="10" t="n">
        <v>415.625</v>
      </c>
      <c r="E44" s="11" t="n">
        <v>9.71844244817143</v>
      </c>
      <c r="F44" s="11" t="n">
        <v>20.0564807000778</v>
      </c>
      <c r="G44" s="11" t="n">
        <v>44.2622131302857</v>
      </c>
      <c r="H44" s="11" t="n">
        <f aca="false">IF(B44="","",F44*1000/B44)</f>
        <v>26.5714559250386</v>
      </c>
      <c r="I44" s="12" t="n">
        <v>95752</v>
      </c>
      <c r="J44" s="12" t="n">
        <f aca="false">F44*24*1000000*Assumptions!$B$3/D44</f>
        <v>57907.4329987207</v>
      </c>
      <c r="K44" s="12" t="n">
        <f aca="false">J44/Assumptions!$B$4</f>
        <v>77209.910664961</v>
      </c>
      <c r="L44" s="12" t="n">
        <f aca="false">J44/Assumptions!$B$5</f>
        <v>89088.3584595703</v>
      </c>
      <c r="M44" s="12" t="n">
        <f aca="false">E44*24*1000000*Assumptions!$B$3/D44/Assumptions!$B$5</f>
        <v>43168.0960103855</v>
      </c>
      <c r="N44" s="12" t="n">
        <f aca="false">G44*24*1000000*Assumptions!$B$3/D44/Assumptions!$B$5</f>
        <v>196607.16994829</v>
      </c>
      <c r="O44" s="12" t="n">
        <f aca="false">IF(ROW()&lt;8,"",AVERAGE(L38:L44))</f>
        <v>83792.8623344206</v>
      </c>
      <c r="P44" s="13" t="n">
        <f aca="false">IF(I44="","",I44/L44)</f>
        <v>1.07479811790958</v>
      </c>
    </row>
    <row r="45" customFormat="false" ht="15" hidden="false" customHeight="false" outlineLevel="0" collapsed="false">
      <c r="A45" s="9" t="n">
        <v>45701</v>
      </c>
      <c r="B45" s="10" t="n">
        <v>896.695158010267</v>
      </c>
      <c r="C45" s="11" t="n">
        <v>114.167270716408</v>
      </c>
      <c r="D45" s="10" t="n">
        <v>493.75</v>
      </c>
      <c r="E45" s="11" t="n">
        <v>9.92183746594286</v>
      </c>
      <c r="F45" s="11" t="n">
        <v>20.476238111842</v>
      </c>
      <c r="G45" s="11" t="n">
        <v>45.1885666765714</v>
      </c>
      <c r="H45" s="11" t="n">
        <f aca="false">IF(B45="","",F45*1000/B45)</f>
        <v>22.8352277013272</v>
      </c>
      <c r="I45" s="12" t="n">
        <v>97877.16</v>
      </c>
      <c r="J45" s="12" t="n">
        <f aca="false">F45*24*1000000*Assumptions!$B$3/D45</f>
        <v>49765.0343984009</v>
      </c>
      <c r="K45" s="12" t="n">
        <f aca="false">J45/Assumptions!$B$4</f>
        <v>66353.3791978679</v>
      </c>
      <c r="L45" s="12" t="n">
        <f aca="false">J45/Assumptions!$B$5</f>
        <v>76561.5913821552</v>
      </c>
      <c r="M45" s="12" t="n">
        <f aca="false">E45*24*1000000*Assumptions!$B$3/D45/Assumptions!$B$5</f>
        <v>37098.204351724</v>
      </c>
      <c r="N45" s="12" t="n">
        <f aca="false">G45*24*1000000*Assumptions!$B$3/D45/Assumptions!$B$5</f>
        <v>168962.118829634</v>
      </c>
      <c r="O45" s="12" t="n">
        <f aca="false">IF(ROW()&lt;8,"",AVERAGE(L39:L45))</f>
        <v>82863.23092984</v>
      </c>
      <c r="P45" s="13" t="n">
        <f aca="false">IF(I45="","",I45/L45)</f>
        <v>1.27841073092967</v>
      </c>
    </row>
    <row r="46" customFormat="false" ht="15" hidden="false" customHeight="false" outlineLevel="0" collapsed="false">
      <c r="A46" s="9" t="n">
        <v>45702</v>
      </c>
      <c r="B46" s="10" t="n">
        <v>862.643443149117</v>
      </c>
      <c r="C46" s="11" t="n">
        <v>114.167270716408</v>
      </c>
      <c r="D46" s="10" t="n">
        <v>475</v>
      </c>
      <c r="E46" s="11" t="n">
        <v>9.80574528411429</v>
      </c>
      <c r="F46" s="11" t="n">
        <v>20.2366523328767</v>
      </c>
      <c r="G46" s="11" t="n">
        <v>44.6598300068571</v>
      </c>
      <c r="H46" s="11" t="n">
        <f aca="false">IF(B46="","",F46*1000/B46)</f>
        <v>23.4588838454529</v>
      </c>
      <c r="I46" s="12" t="n">
        <v>96628.78</v>
      </c>
      <c r="J46" s="12" t="n">
        <f aca="false">F46*24*1000000*Assumptions!$B$3/D46</f>
        <v>51124.174314636</v>
      </c>
      <c r="K46" s="12" t="n">
        <f aca="false">J46/Assumptions!$B$4</f>
        <v>68165.5657528479</v>
      </c>
      <c r="L46" s="12" t="n">
        <f aca="false">J46/Assumptions!$B$5</f>
        <v>78652.5758686707</v>
      </c>
      <c r="M46" s="12" t="n">
        <f aca="false">E46*24*1000000*Assumptions!$B$3/D46/Assumptions!$B$5</f>
        <v>38111.3986751001</v>
      </c>
      <c r="N46" s="12" t="n">
        <f aca="false">G46*24*1000000*Assumptions!$B$3/D46/Assumptions!$B$5</f>
        <v>173576.667233129</v>
      </c>
      <c r="O46" s="12" t="n">
        <f aca="false">IF(ROW()&lt;8,"",AVERAGE(L40:L46))</f>
        <v>83730.8847979828</v>
      </c>
      <c r="P46" s="13" t="n">
        <f aca="false">IF(I46="","",I46/L46)</f>
        <v>1.22855200777334</v>
      </c>
    </row>
    <row r="47" customFormat="false" ht="15" hidden="false" customHeight="false" outlineLevel="0" collapsed="false">
      <c r="A47" s="9" t="n">
        <v>45703</v>
      </c>
      <c r="B47" s="10" t="n">
        <v>908.04572963065</v>
      </c>
      <c r="C47" s="11" t="n">
        <v>114.167270716408</v>
      </c>
      <c r="D47" s="10" t="n">
        <v>500</v>
      </c>
      <c r="E47" s="11" t="n">
        <v>9.88922386182857</v>
      </c>
      <c r="F47" s="11" t="n">
        <v>20.4089316350103</v>
      </c>
      <c r="G47" s="11" t="n">
        <v>45.0400294697143</v>
      </c>
      <c r="H47" s="11" t="n">
        <f aca="false">IF(B47="","",F47*1000/B47)</f>
        <v>22.4756650122805</v>
      </c>
      <c r="I47" s="12" t="n">
        <v>97494.79</v>
      </c>
      <c r="J47" s="12" t="n">
        <f aca="false">F47*24*1000000*Assumptions!$B$3/D47</f>
        <v>48981.4359240248</v>
      </c>
      <c r="K47" s="12" t="n">
        <f aca="false">J47/Assumptions!$B$4</f>
        <v>65308.5812320331</v>
      </c>
      <c r="L47" s="12" t="n">
        <f aca="false">J47/Assumptions!$B$5</f>
        <v>75356.0552677305</v>
      </c>
      <c r="M47" s="12" t="n">
        <f aca="false">E47*24*1000000*Assumptions!$B$3/D47/Assumptions!$B$5</f>
        <v>36514.0573359824</v>
      </c>
      <c r="N47" s="12" t="n">
        <f aca="false">G47*24*1000000*Assumptions!$B$3/D47/Assumptions!$B$5</f>
        <v>166301.647272791</v>
      </c>
      <c r="O47" s="12" t="n">
        <f aca="false">IF(ROW()&lt;8,"",AVERAGE(L41:L47))</f>
        <v>83549.6696041242</v>
      </c>
      <c r="P47" s="13" t="n">
        <f aca="false">IF(I47="","",I47/L47)</f>
        <v>1.29378839767572</v>
      </c>
    </row>
    <row r="48" customFormat="false" ht="15" hidden="false" customHeight="false" outlineLevel="0" collapsed="false">
      <c r="A48" s="9" t="n">
        <v>45704</v>
      </c>
      <c r="B48" s="10" t="n">
        <v>856.968157338926</v>
      </c>
      <c r="C48" s="11" t="n">
        <v>114.167270716408</v>
      </c>
      <c r="D48" s="10" t="n">
        <v>471.875</v>
      </c>
      <c r="E48" s="11" t="n">
        <v>9.99339985011429</v>
      </c>
      <c r="F48" s="11" t="n">
        <v>20.6239253142554</v>
      </c>
      <c r="G48" s="11" t="n">
        <v>45.5144943668571</v>
      </c>
      <c r="H48" s="11" t="n">
        <f aca="false">IF(B48="","",F48*1000/B48)</f>
        <v>24.0661512771924</v>
      </c>
      <c r="I48" s="12" t="n">
        <v>97593.62</v>
      </c>
      <c r="J48" s="12" t="n">
        <f aca="false">F48*24*1000000*Assumptions!$B$3/D48</f>
        <v>52447.5981501595</v>
      </c>
      <c r="K48" s="12" t="n">
        <f aca="false">J48/Assumptions!$B$4</f>
        <v>69930.1308668793</v>
      </c>
      <c r="L48" s="12" t="n">
        <f aca="false">J48/Assumptions!$B$5</f>
        <v>80688.6125387069</v>
      </c>
      <c r="M48" s="12" t="n">
        <f aca="false">E48*24*1000000*Assumptions!$B$3/D48/Assumptions!$B$5</f>
        <v>39097.9678292806</v>
      </c>
      <c r="N48" s="12" t="n">
        <f aca="false">G48*24*1000000*Assumptions!$B$3/D48/Assumptions!$B$5</f>
        <v>178069.952489793</v>
      </c>
      <c r="O48" s="12" t="n">
        <f aca="false">IF(ROW()&lt;8,"",AVERAGE(L42:L48))</f>
        <v>83108.7778793748</v>
      </c>
      <c r="P48" s="13" t="n">
        <f aca="false">IF(I48="","",I48/L48)</f>
        <v>1.20950920990473</v>
      </c>
    </row>
    <row r="49" customFormat="false" ht="15" hidden="false" customHeight="false" outlineLevel="0" collapsed="false">
      <c r="A49" s="9" t="n">
        <v>45705</v>
      </c>
      <c r="B49" s="10" t="n">
        <v>777.514155996244</v>
      </c>
      <c r="C49" s="11" t="n">
        <v>114.167270716408</v>
      </c>
      <c r="D49" s="10" t="n">
        <v>428.125</v>
      </c>
      <c r="E49" s="11" t="n">
        <v>9.97374727011429</v>
      </c>
      <c r="F49" s="11" t="n">
        <v>20.5697034169657</v>
      </c>
      <c r="G49" s="11" t="n">
        <v>44.8918349725714</v>
      </c>
      <c r="H49" s="11" t="n">
        <f aca="false">IF(B49="","",F49*1000/B49)</f>
        <v>26.455728501315</v>
      </c>
      <c r="I49" s="12" t="n">
        <v>96176.21</v>
      </c>
      <c r="J49" s="12" t="n">
        <f aca="false">F49*24*1000000*Assumptions!$B$3/D49</f>
        <v>57655.2270957287</v>
      </c>
      <c r="K49" s="12" t="n">
        <f aca="false">J49/Assumptions!$B$4</f>
        <v>76873.6361276382</v>
      </c>
      <c r="L49" s="12" t="n">
        <f aca="false">J49/Assumptions!$B$5</f>
        <v>88700.3493780441</v>
      </c>
      <c r="M49" s="12" t="n">
        <f aca="false">E49*24*1000000*Assumptions!$B$3/D49/Assumptions!$B$5</f>
        <v>43008.635055855</v>
      </c>
      <c r="N49" s="12" t="n">
        <f aca="false">G49*24*1000000*Assumptions!$B$3/D49/Assumptions!$B$5</f>
        <v>193581.85996033</v>
      </c>
      <c r="O49" s="12" t="n">
        <f aca="false">IF(ROW()&lt;8,"",AVERAGE(L43:L49))</f>
        <v>83560.8651113236</v>
      </c>
      <c r="P49" s="13" t="n">
        <f aca="false">IF(I49="","",I49/L49)</f>
        <v>1.08428220040142</v>
      </c>
    </row>
    <row r="50" customFormat="false" ht="15" hidden="false" customHeight="false" outlineLevel="0" collapsed="false">
      <c r="A50" s="9" t="n">
        <v>45706</v>
      </c>
      <c r="B50" s="10" t="n">
        <v>794.540013426818</v>
      </c>
      <c r="C50" s="11" t="n">
        <v>114.167270716408</v>
      </c>
      <c r="D50" s="10" t="n">
        <v>437.5</v>
      </c>
      <c r="E50" s="11" t="n">
        <v>10.1309690009143</v>
      </c>
      <c r="F50" s="11" t="n">
        <v>20.8802074926892</v>
      </c>
      <c r="G50" s="11" t="n">
        <v>45.0630668914286</v>
      </c>
      <c r="H50" s="11" t="n">
        <f aca="false">IF(B50="","",F50*1000/B50)</f>
        <v>26.2796173129579</v>
      </c>
      <c r="I50" s="12" t="n">
        <v>95771.14</v>
      </c>
      <c r="J50" s="12" t="n">
        <f aca="false">F50*24*1000000*Assumptions!$B$3/D50</f>
        <v>57271.4262656619</v>
      </c>
      <c r="K50" s="12" t="n">
        <f aca="false">J50/Assumptions!$B$4</f>
        <v>76361.9016875492</v>
      </c>
      <c r="L50" s="12" t="n">
        <f aca="false">J50/Assumptions!$B$5</f>
        <v>88109.8865625568</v>
      </c>
      <c r="M50" s="12" t="n">
        <f aca="false">E50*24*1000000*Assumptions!$B$3/D50/Assumptions!$B$5</f>
        <v>42750.4625972647</v>
      </c>
      <c r="N50" s="12" t="n">
        <f aca="false">G50*24*1000000*Assumptions!$B$3/D50/Assumptions!$B$5</f>
        <v>190156.238311083</v>
      </c>
      <c r="O50" s="12" t="n">
        <f aca="false">IF(ROW()&lt;8,"",AVERAGE(L44:L50))</f>
        <v>82451.0613510621</v>
      </c>
      <c r="P50" s="13" t="n">
        <f aca="false">IF(I50="","",I50/L50)</f>
        <v>1.08695112133647</v>
      </c>
    </row>
    <row r="51" customFormat="false" ht="15" hidden="false" customHeight="false" outlineLevel="0" collapsed="false">
      <c r="A51" s="9" t="n">
        <v>45707</v>
      </c>
      <c r="B51" s="10" t="n">
        <v>715.086012084137</v>
      </c>
      <c r="C51" s="11" t="n">
        <v>114.167270716408</v>
      </c>
      <c r="D51" s="10" t="n">
        <v>393.75</v>
      </c>
      <c r="E51" s="11" t="n">
        <v>10.0621845380571</v>
      </c>
      <c r="F51" s="11" t="n">
        <v>20.7256865380425</v>
      </c>
      <c r="G51" s="11" t="n">
        <v>44.2594464342857</v>
      </c>
      <c r="H51" s="11" t="n">
        <f aca="false">IF(B51="","",F51*1000/B51)</f>
        <v>28.9834875634568</v>
      </c>
      <c r="I51" s="12" t="n">
        <v>95544</v>
      </c>
      <c r="J51" s="12" t="n">
        <f aca="false">F51*24*1000000*Assumptions!$B$3/D51</f>
        <v>63163.9970683199</v>
      </c>
      <c r="K51" s="12" t="n">
        <f aca="false">J51/Assumptions!$B$4</f>
        <v>84218.6627577599</v>
      </c>
      <c r="L51" s="12" t="n">
        <f aca="false">J51/Assumptions!$B$5</f>
        <v>97175.3801051076</v>
      </c>
      <c r="M51" s="12" t="n">
        <f aca="false">E51*24*1000000*Assumptions!$B$3/D51/Assumptions!$B$5</f>
        <v>47178.0080905243</v>
      </c>
      <c r="N51" s="12" t="n">
        <f aca="false">G51*24*1000000*Assumptions!$B$3/D51/Assumptions!$B$5</f>
        <v>207516.818446468</v>
      </c>
      <c r="O51" s="12" t="n">
        <f aca="false">IF(ROW()&lt;8,"",AVERAGE(L45:L51))</f>
        <v>83606.3501575674</v>
      </c>
      <c r="P51" s="13" t="n">
        <f aca="false">IF(I51="","",I51/L51)</f>
        <v>0.983212001812156</v>
      </c>
    </row>
    <row r="52" customFormat="false" ht="15" hidden="false" customHeight="false" outlineLevel="0" collapsed="false">
      <c r="A52" s="9" t="n">
        <v>45708</v>
      </c>
      <c r="B52" s="10" t="n">
        <v>737.787155324903</v>
      </c>
      <c r="C52" s="11" t="n">
        <v>114.167270716408</v>
      </c>
      <c r="D52" s="10" t="n">
        <v>406.25</v>
      </c>
      <c r="E52" s="11" t="n">
        <v>9.78704663468571</v>
      </c>
      <c r="F52" s="11" t="n">
        <v>20.1449037701531</v>
      </c>
      <c r="G52" s="11" t="n">
        <v>42.5004319302857</v>
      </c>
      <c r="H52" s="11" t="n">
        <f aca="false">IF(B52="","",F52*1000/B52)</f>
        <v>27.3044923929067</v>
      </c>
      <c r="I52" s="12" t="n">
        <v>96642.79</v>
      </c>
      <c r="J52" s="12" t="n">
        <f aca="false">F52*24*1000000*Assumptions!$B$3/D52</f>
        <v>59504.9465210676</v>
      </c>
      <c r="K52" s="12" t="n">
        <f aca="false">J52/Assumptions!$B$4</f>
        <v>79339.9286947568</v>
      </c>
      <c r="L52" s="12" t="n">
        <f aca="false">J52/Assumptions!$B$5</f>
        <v>91546.0715708733</v>
      </c>
      <c r="M52" s="12" t="n">
        <f aca="false">E52*24*1000000*Assumptions!$B$3/D52/Assumptions!$B$5</f>
        <v>44476.046245199</v>
      </c>
      <c r="N52" s="12" t="n">
        <f aca="false">G52*24*1000000*Assumptions!$B$3/D52/Assumptions!$B$5</f>
        <v>193138.057529346</v>
      </c>
      <c r="O52" s="12" t="n">
        <f aca="false">IF(ROW()&lt;8,"",AVERAGE(L46:L52))</f>
        <v>85746.9901845271</v>
      </c>
      <c r="P52" s="13" t="n">
        <f aca="false">IF(I52="","",I52/L52)</f>
        <v>1.05567380818937</v>
      </c>
    </row>
    <row r="53" customFormat="false" ht="15" hidden="false" customHeight="false" outlineLevel="0" collapsed="false">
      <c r="A53" s="9" t="n">
        <v>45709</v>
      </c>
      <c r="B53" s="10" t="n">
        <v>732.111869514711</v>
      </c>
      <c r="C53" s="11" t="n">
        <v>114.167270716408</v>
      </c>
      <c r="D53" s="10" t="n">
        <v>403.125</v>
      </c>
      <c r="E53" s="11" t="n">
        <v>9.56104056222857</v>
      </c>
      <c r="F53" s="11" t="n">
        <v>19.6656167812182</v>
      </c>
      <c r="G53" s="11" t="n">
        <v>40.9690777542857</v>
      </c>
      <c r="H53" s="11" t="n">
        <f aca="false">IF(B53="","",F53*1000/B53)</f>
        <v>26.8614915289569</v>
      </c>
      <c r="I53" s="12" t="n">
        <v>98331</v>
      </c>
      <c r="J53" s="12" t="n">
        <f aca="false">F53*24*1000000*Assumptions!$B$3/D53</f>
        <v>58539.5104185101</v>
      </c>
      <c r="K53" s="12" t="n">
        <f aca="false">J53/Assumptions!$B$4</f>
        <v>78052.6805580135</v>
      </c>
      <c r="L53" s="12" t="n">
        <f aca="false">J53/Assumptions!$B$5</f>
        <v>90060.7852592463</v>
      </c>
      <c r="M53" s="12" t="n">
        <f aca="false">E53*24*1000000*Assumptions!$B$3/D53/Assumptions!$B$5</f>
        <v>43785.8029325673</v>
      </c>
      <c r="N53" s="12" t="n">
        <f aca="false">G53*24*1000000*Assumptions!$B$3/D53/Assumptions!$B$5</f>
        <v>187622.252327319</v>
      </c>
      <c r="O53" s="12" t="n">
        <f aca="false">IF(ROW()&lt;8,"",AVERAGE(L47:L53))</f>
        <v>87376.7343831808</v>
      </c>
      <c r="P53" s="13" t="n">
        <f aca="false">IF(I53="","",I53/L53)</f>
        <v>1.0918292541748</v>
      </c>
    </row>
    <row r="54" customFormat="false" ht="15" hidden="false" customHeight="false" outlineLevel="0" collapsed="false">
      <c r="A54" s="9" t="n">
        <v>45710</v>
      </c>
      <c r="B54" s="10" t="n">
        <v>788.864727616627</v>
      </c>
      <c r="C54" s="11" t="n">
        <v>114.167270716408</v>
      </c>
      <c r="D54" s="10" t="n">
        <v>434.375</v>
      </c>
      <c r="E54" s="11" t="n">
        <v>9.35468706977143</v>
      </c>
      <c r="F54" s="11" t="n">
        <v>19.2258905392972</v>
      </c>
      <c r="G54" s="11" t="n">
        <v>39.4883141725714</v>
      </c>
      <c r="H54" s="11" t="n">
        <f aca="false">IF(B54="","",F54*1000/B54)</f>
        <v>24.3715935904294</v>
      </c>
      <c r="I54" s="12" t="n">
        <v>96111.11</v>
      </c>
      <c r="J54" s="12" t="n">
        <f aca="false">F54*24*1000000*Assumptions!$B$3/D54</f>
        <v>53113.2515617995</v>
      </c>
      <c r="K54" s="12" t="n">
        <f aca="false">J54/Assumptions!$B$4</f>
        <v>70817.668749066</v>
      </c>
      <c r="L54" s="12" t="n">
        <f aca="false">J54/Assumptions!$B$5</f>
        <v>81712.6947104608</v>
      </c>
      <c r="M54" s="12" t="n">
        <f aca="false">E54*24*1000000*Assumptions!$B$3/D54/Assumptions!$B$5</f>
        <v>39758.7142755089</v>
      </c>
      <c r="N54" s="12" t="n">
        <f aca="false">G54*24*1000000*Assumptions!$B$3/D54/Assumptions!$B$5</f>
        <v>167830.798475567</v>
      </c>
      <c r="O54" s="12" t="n">
        <f aca="false">IF(ROW()&lt;8,"",AVERAGE(L48:L54))</f>
        <v>88284.8257321422</v>
      </c>
      <c r="P54" s="13" t="n">
        <f aca="false">IF(I54="","",I54/L54)</f>
        <v>1.17620781373761</v>
      </c>
    </row>
    <row r="55" customFormat="false" ht="15" hidden="false" customHeight="false" outlineLevel="0" collapsed="false">
      <c r="A55" s="9" t="n">
        <v>45711</v>
      </c>
      <c r="B55" s="10" t="n">
        <v>728.533880978175</v>
      </c>
      <c r="C55" s="11" t="n">
        <v>113.609310651996</v>
      </c>
      <c r="D55" s="10" t="n">
        <v>403.125</v>
      </c>
      <c r="E55" s="11" t="n">
        <v>9.13076359422857</v>
      </c>
      <c r="F55" s="11" t="n">
        <v>18.7509801184432</v>
      </c>
      <c r="G55" s="11" t="n">
        <v>37.969511976</v>
      </c>
      <c r="H55" s="11" t="n">
        <f aca="false">IF(B55="","",F55*1000/B55)</f>
        <v>25.7379658078043</v>
      </c>
      <c r="I55" s="12" t="n">
        <v>96580.65</v>
      </c>
      <c r="J55" s="12" t="n">
        <f aca="false">F55*24*1000000*Assumptions!$B$3/D55</f>
        <v>55816.8710502497</v>
      </c>
      <c r="K55" s="12" t="n">
        <f aca="false">J55/Assumptions!$B$4</f>
        <v>74422.4947336662</v>
      </c>
      <c r="L55" s="12" t="n">
        <f aca="false">J55/Assumptions!$B$5</f>
        <v>85872.1093080764</v>
      </c>
      <c r="M55" s="12" t="n">
        <f aca="false">E55*24*1000000*Assumptions!$B$3/D55/Assumptions!$B$5</f>
        <v>41815.3037589001</v>
      </c>
      <c r="N55" s="12" t="n">
        <f aca="false">G55*24*1000000*Assumptions!$B$3/D55/Assumptions!$B$5</f>
        <v>173885.421571664</v>
      </c>
      <c r="O55" s="12" t="n">
        <f aca="false">IF(ROW()&lt;8,"",AVERAGE(L49:L55))</f>
        <v>89025.3252706236</v>
      </c>
      <c r="P55" s="13" t="n">
        <f aca="false">IF(I55="","",I55/L55)</f>
        <v>1.12470336152458</v>
      </c>
    </row>
    <row r="56" customFormat="false" ht="15" hidden="false" customHeight="false" outlineLevel="0" collapsed="false">
      <c r="A56" s="9" t="n">
        <v>45712</v>
      </c>
      <c r="B56" s="10" t="n">
        <v>714.530229837417</v>
      </c>
      <c r="C56" s="11" t="n">
        <v>110.568428300953</v>
      </c>
      <c r="D56" s="10" t="n">
        <v>406.25</v>
      </c>
      <c r="E56" s="11" t="n">
        <v>9.02171136634286</v>
      </c>
      <c r="F56" s="11" t="n">
        <v>18.5270299377322</v>
      </c>
      <c r="G56" s="11" t="n">
        <v>37.516027464</v>
      </c>
      <c r="H56" s="11" t="n">
        <f aca="false">IF(B56="","",F56*1000/B56)</f>
        <v>25.9289658632747</v>
      </c>
      <c r="I56" s="12" t="n">
        <v>96274.79</v>
      </c>
      <c r="J56" s="12" t="n">
        <f aca="false">F56*24*1000000*Assumptions!$B$3/D56</f>
        <v>54725.9961237629</v>
      </c>
      <c r="K56" s="12" t="n">
        <f aca="false">J56/Assumptions!$B$4</f>
        <v>72967.9948316839</v>
      </c>
      <c r="L56" s="12" t="n">
        <f aca="false">J56/Assumptions!$B$5</f>
        <v>84193.8401904045</v>
      </c>
      <c r="M56" s="12" t="n">
        <f aca="false">E56*24*1000000*Assumptions!$B$3/D56/Assumptions!$B$5</f>
        <v>40998.0729547415</v>
      </c>
      <c r="N56" s="12" t="n">
        <f aca="false">G56*24*1000000*Assumptions!$B$3/D56/Assumptions!$B$5</f>
        <v>170487.03604942</v>
      </c>
      <c r="O56" s="12" t="n">
        <f aca="false">IF(ROW()&lt;8,"",AVERAGE(L50:L56))</f>
        <v>88381.538243818</v>
      </c>
      <c r="P56" s="13" t="n">
        <f aca="false">IF(I56="","",I56/L56)</f>
        <v>1.14348971115077</v>
      </c>
    </row>
    <row r="57" customFormat="false" ht="15" hidden="false" customHeight="false" outlineLevel="0" collapsed="false">
      <c r="A57" s="9" t="n">
        <v>45713</v>
      </c>
      <c r="B57" s="10" t="n">
        <v>807.968798354617</v>
      </c>
      <c r="C57" s="11" t="n">
        <v>110.568428300953</v>
      </c>
      <c r="D57" s="10" t="n">
        <v>459.375</v>
      </c>
      <c r="E57" s="11" t="n">
        <v>9.04496227045715</v>
      </c>
      <c r="F57" s="11" t="n">
        <v>18.5747781064679</v>
      </c>
      <c r="G57" s="11" t="n">
        <v>37.612714392</v>
      </c>
      <c r="H57" s="11" t="n">
        <f aca="false">IF(B57="","",F57*1000/B57)</f>
        <v>22.9894745246282</v>
      </c>
      <c r="I57" s="12" t="n">
        <v>91538.39</v>
      </c>
      <c r="J57" s="12" t="n">
        <f aca="false">F57*24*1000000*Assumptions!$B$3/D57</f>
        <v>48521.8693393447</v>
      </c>
      <c r="K57" s="12" t="n">
        <f aca="false">J57/Assumptions!$B$4</f>
        <v>64695.825785793</v>
      </c>
      <c r="L57" s="12" t="n">
        <f aca="false">J57/Assumptions!$B$5</f>
        <v>74649.029752838</v>
      </c>
      <c r="M57" s="12" t="n">
        <f aca="false">E57*24*1000000*Assumptions!$B$3/D57/Assumptions!$B$5</f>
        <v>36350.2408357461</v>
      </c>
      <c r="N57" s="12" t="n">
        <f aca="false">G57*24*1000000*Assumptions!$B$3/D57/Assumptions!$B$5</f>
        <v>151159.417336766</v>
      </c>
      <c r="O57" s="12" t="n">
        <f aca="false">IF(ROW()&lt;8,"",AVERAGE(L51:L57))</f>
        <v>86458.5586995724</v>
      </c>
      <c r="P57" s="13" t="n">
        <f aca="false">IF(I57="","",I57/L57)</f>
        <v>1.22625023129011</v>
      </c>
    </row>
    <row r="58" customFormat="false" ht="15" hidden="false" customHeight="false" outlineLevel="0" collapsed="false">
      <c r="A58" s="9" t="n">
        <v>45714</v>
      </c>
      <c r="B58" s="10" t="n">
        <v>862.932662188265</v>
      </c>
      <c r="C58" s="11" t="n">
        <v>110.568428300953</v>
      </c>
      <c r="D58" s="10" t="n">
        <v>490.625</v>
      </c>
      <c r="E58" s="11" t="n">
        <v>9.30094827102857</v>
      </c>
      <c r="F58" s="11" t="n">
        <v>19.1004721908431</v>
      </c>
      <c r="G58" s="11" t="n">
        <v>38.677210632</v>
      </c>
      <c r="H58" s="11" t="n">
        <f aca="false">IF(B58="","",F58*1000/B58)</f>
        <v>22.1343715770443</v>
      </c>
      <c r="I58" s="12" t="n">
        <v>88664.31</v>
      </c>
      <c r="J58" s="12" t="n">
        <f aca="false">F58*24*1000000*Assumptions!$B$3/D58</f>
        <v>46717.0784795144</v>
      </c>
      <c r="K58" s="12" t="n">
        <f aca="false">J58/Assumptions!$B$4</f>
        <v>62289.4379726859</v>
      </c>
      <c r="L58" s="12" t="n">
        <f aca="false">J58/Assumptions!$B$5</f>
        <v>71872.4284300222</v>
      </c>
      <c r="M58" s="12" t="n">
        <f aca="false">E58*24*1000000*Assumptions!$B$3/D58/Assumptions!$B$5</f>
        <v>34998.178697452</v>
      </c>
      <c r="N58" s="12" t="n">
        <f aca="false">G58*24*1000000*Assumptions!$B$3/D58/Assumptions!$B$5</f>
        <v>145536.980722077</v>
      </c>
      <c r="O58" s="12" t="n">
        <f aca="false">IF(ROW()&lt;8,"",AVERAGE(L52:L58))</f>
        <v>82843.8513174173</v>
      </c>
      <c r="P58" s="13" t="n">
        <f aca="false">IF(I58="","",I58/L58)</f>
        <v>1.23363453742664</v>
      </c>
    </row>
    <row r="59" customFormat="false" ht="15" hidden="false" customHeight="false" outlineLevel="0" collapsed="false">
      <c r="A59" s="9" t="n">
        <v>45715</v>
      </c>
      <c r="B59" s="10" t="n">
        <v>824.457957504712</v>
      </c>
      <c r="C59" s="11" t="n">
        <v>110.568428300953</v>
      </c>
      <c r="D59" s="10" t="n">
        <v>468.75</v>
      </c>
      <c r="E59" s="11" t="n">
        <v>9.45101267434286</v>
      </c>
      <c r="F59" s="11" t="n">
        <v>19.4086451726528</v>
      </c>
      <c r="G59" s="11" t="n">
        <v>39.301240824</v>
      </c>
      <c r="H59" s="11" t="n">
        <f aca="false">IF(B59="","",F59*1000/B59)</f>
        <v>23.5410975125943</v>
      </c>
      <c r="I59" s="12" t="n">
        <v>84115.7</v>
      </c>
      <c r="J59" s="12" t="n">
        <f aca="false">F59*24*1000000*Assumptions!$B$3/D59</f>
        <v>49686.1316419911</v>
      </c>
      <c r="K59" s="12" t="n">
        <f aca="false">J59/Assumptions!$B$4</f>
        <v>66248.1755226548</v>
      </c>
      <c r="L59" s="12" t="n">
        <f aca="false">J59/Assumptions!$B$5</f>
        <v>76440.2025261401</v>
      </c>
      <c r="M59" s="12" t="n">
        <f aca="false">E59*24*1000000*Assumptions!$B$3/D59/Assumptions!$B$5</f>
        <v>37222.4499174119</v>
      </c>
      <c r="N59" s="12" t="n">
        <f aca="false">G59*24*1000000*Assumptions!$B$3/D59/Assumptions!$B$5</f>
        <v>154786.425399138</v>
      </c>
      <c r="O59" s="12" t="n">
        <f aca="false">IF(ROW()&lt;8,"",AVERAGE(L53:L59))</f>
        <v>80685.8700253126</v>
      </c>
      <c r="P59" s="13" t="n">
        <f aca="false">IF(I59="","",I59/L59)</f>
        <v>1.10041178882585</v>
      </c>
    </row>
    <row r="60" customFormat="false" ht="15" hidden="false" customHeight="false" outlineLevel="0" collapsed="false">
      <c r="A60" s="9" t="n">
        <v>45716</v>
      </c>
      <c r="B60" s="10" t="n">
        <v>857.4362758049</v>
      </c>
      <c r="C60" s="11" t="n">
        <v>110.568428300953</v>
      </c>
      <c r="D60" s="10" t="n">
        <v>487.5</v>
      </c>
      <c r="E60" s="11" t="n">
        <v>9.6680029212</v>
      </c>
      <c r="F60" s="11" t="n">
        <v>19.854257389279</v>
      </c>
      <c r="G60" s="11" t="n">
        <v>40.203576504</v>
      </c>
      <c r="H60" s="11" t="n">
        <f aca="false">IF(B60="","",F60*1000/B60)</f>
        <v>23.1553736989273</v>
      </c>
      <c r="I60" s="12" t="n">
        <v>84645.86</v>
      </c>
      <c r="J60" s="12" t="n">
        <f aca="false">F60*24*1000000*Assumptions!$B$3/D60</f>
        <v>48872.0181889945</v>
      </c>
      <c r="K60" s="12" t="n">
        <f aca="false">J60/Assumptions!$B$4</f>
        <v>65162.6909186593</v>
      </c>
      <c r="L60" s="12" t="n">
        <f aca="false">J60/Assumptions!$B$5</f>
        <v>75187.7202907607</v>
      </c>
      <c r="M60" s="12" t="n">
        <f aca="false">E60*24*1000000*Assumptions!$B$3/D60/Assumptions!$B$5</f>
        <v>36612.5554412308</v>
      </c>
      <c r="N60" s="12" t="n">
        <f aca="false">G60*24*1000000*Assumptions!$B$3/D60/Assumptions!$B$5</f>
        <v>152250.230547692</v>
      </c>
      <c r="O60" s="12" t="n">
        <f aca="false">IF(ROW()&lt;8,"",AVERAGE(L54:L60))</f>
        <v>78561.1464583861</v>
      </c>
      <c r="P60" s="13" t="n">
        <f aca="false">IF(I60="","",I60/L60)</f>
        <v>1.1257936757846</v>
      </c>
    </row>
    <row r="61" customFormat="false" ht="15" hidden="false" customHeight="false" outlineLevel="0" collapsed="false">
      <c r="A61" s="9" t="n">
        <v>45717</v>
      </c>
      <c r="B61" s="10" t="n">
        <v>791.479639204523</v>
      </c>
      <c r="C61" s="11" t="n">
        <v>110.568428300953</v>
      </c>
      <c r="D61" s="10" t="n">
        <v>450</v>
      </c>
      <c r="E61" s="11" t="n">
        <v>9.67253043377143</v>
      </c>
      <c r="F61" s="11" t="n">
        <v>19.7725197779476</v>
      </c>
      <c r="G61" s="11" t="n">
        <v>40.222403784</v>
      </c>
      <c r="H61" s="11" t="n">
        <f aca="false">IF(B61="","",F61*1000/B61)</f>
        <v>24.981716267294</v>
      </c>
      <c r="I61" s="12" t="n">
        <v>84379.79</v>
      </c>
      <c r="J61" s="12" t="n">
        <f aca="false">F61*24*1000000*Assumptions!$B$3/D61</f>
        <v>52726.7194078603</v>
      </c>
      <c r="K61" s="12" t="n">
        <f aca="false">J61/Assumptions!$B$4</f>
        <v>70302.2925438137</v>
      </c>
      <c r="L61" s="12" t="n">
        <f aca="false">J61/Assumptions!$B$5</f>
        <v>81118.0298582466</v>
      </c>
      <c r="M61" s="12" t="n">
        <f aca="false">E61*24*1000000*Assumptions!$B$3/D61/Assumptions!$B$5</f>
        <v>39682.1761385495</v>
      </c>
      <c r="N61" s="12" t="n">
        <f aca="false">G61*24*1000000*Assumptions!$B$3/D61/Assumptions!$B$5</f>
        <v>165014.989883077</v>
      </c>
      <c r="O61" s="12" t="n">
        <f aca="false">IF(ROW()&lt;8,"",AVERAGE(L55:L61))</f>
        <v>78476.1943366412</v>
      </c>
      <c r="P61" s="13" t="n">
        <f aca="false">IF(I61="","",I61/L61)</f>
        <v>1.04021005129751</v>
      </c>
    </row>
    <row r="62" customFormat="false" ht="15" hidden="false" customHeight="false" outlineLevel="0" collapsed="false">
      <c r="A62" s="9" t="n">
        <v>45718</v>
      </c>
      <c r="B62" s="10" t="n">
        <v>692.544684303957</v>
      </c>
      <c r="C62" s="11" t="n">
        <v>110.568428300953</v>
      </c>
      <c r="D62" s="10" t="n">
        <v>393.75</v>
      </c>
      <c r="E62" s="11" t="n">
        <v>9.61176653674286</v>
      </c>
      <c r="F62" s="11" t="n">
        <v>19.5680788240908</v>
      </c>
      <c r="G62" s="11" t="n">
        <v>39.969722232</v>
      </c>
      <c r="H62" s="11" t="n">
        <f aca="false">IF(B62="","",F62*1000/B62)</f>
        <v>28.2553303311508</v>
      </c>
      <c r="I62" s="12" t="n">
        <v>86025.07</v>
      </c>
      <c r="J62" s="12" t="n">
        <f aca="false">F62*24*1000000*Assumptions!$B$3/D62</f>
        <v>59636.0497496102</v>
      </c>
      <c r="K62" s="12" t="n">
        <f aca="false">J62/Assumptions!$B$4</f>
        <v>79514.7329994802</v>
      </c>
      <c r="L62" s="12" t="n">
        <f aca="false">J62/Assumptions!$B$5</f>
        <v>91747.7688455541</v>
      </c>
      <c r="M62" s="12" t="n">
        <f aca="false">E62*24*1000000*Assumptions!$B$3/D62/Assumptions!$B$5</f>
        <v>45066.1581209922</v>
      </c>
      <c r="N62" s="12" t="n">
        <f aca="false">G62*24*1000000*Assumptions!$B$3/D62/Assumptions!$B$5</f>
        <v>187403.82584967</v>
      </c>
      <c r="O62" s="12" t="n">
        <f aca="false">IF(ROW()&lt;8,"",AVERAGE(L56:L62))</f>
        <v>79315.5742705666</v>
      </c>
      <c r="P62" s="13" t="n">
        <f aca="false">IF(I62="","",I62/L62)</f>
        <v>0.937625743736749</v>
      </c>
    </row>
    <row r="63" customFormat="false" ht="15" hidden="false" customHeight="false" outlineLevel="0" collapsed="false">
      <c r="A63" s="9" t="n">
        <v>45719</v>
      </c>
      <c r="B63" s="10" t="n">
        <v>824.457957504712</v>
      </c>
      <c r="C63" s="11" t="n">
        <v>110.568428300953</v>
      </c>
      <c r="D63" s="10" t="n">
        <v>468.75</v>
      </c>
      <c r="E63" s="11" t="n">
        <v>9.8020986012</v>
      </c>
      <c r="F63" s="11" t="n">
        <v>19.8641171874493</v>
      </c>
      <c r="G63" s="11" t="n">
        <v>40.761202104</v>
      </c>
      <c r="H63" s="11" t="n">
        <f aca="false">IF(B63="","",F63*1000/B63)</f>
        <v>24.0935477747946</v>
      </c>
      <c r="I63" s="12" t="n">
        <v>94255.51</v>
      </c>
      <c r="J63" s="12" t="n">
        <f aca="false">F63*24*1000000*Assumptions!$B$3/D63</f>
        <v>50852.1399998703</v>
      </c>
      <c r="K63" s="12" t="n">
        <f aca="false">J63/Assumptions!$B$4</f>
        <v>67802.8533331604</v>
      </c>
      <c r="L63" s="12" t="n">
        <f aca="false">J63/Assumptions!$B$5</f>
        <v>78234.0615382619</v>
      </c>
      <c r="M63" s="12" t="n">
        <f aca="false">E63*24*1000000*Assumptions!$B$3/D63/Assumptions!$B$5</f>
        <v>38605.1883370339</v>
      </c>
      <c r="N63" s="12" t="n">
        <f aca="false">G63*24*1000000*Assumptions!$B$3/D63/Assumptions!$B$5</f>
        <v>160536.426748062</v>
      </c>
      <c r="O63" s="12" t="n">
        <f aca="false">IF(ROW()&lt;8,"",AVERAGE(L57:L63))</f>
        <v>78464.1773202605</v>
      </c>
      <c r="P63" s="13" t="n">
        <f aca="false">IF(I63="","",I63/L63)</f>
        <v>1.20478865786487</v>
      </c>
    </row>
    <row r="64" customFormat="false" ht="15" hidden="false" customHeight="false" outlineLevel="0" collapsed="false">
      <c r="A64" s="9" t="n">
        <v>45720</v>
      </c>
      <c r="B64" s="10" t="n">
        <v>802.472411971253</v>
      </c>
      <c r="C64" s="11" t="n">
        <v>110.568428300953</v>
      </c>
      <c r="D64" s="10" t="n">
        <v>456.25</v>
      </c>
      <c r="E64" s="11" t="n">
        <v>9.79258202914286</v>
      </c>
      <c r="F64" s="11" t="n">
        <v>19.7522741934264</v>
      </c>
      <c r="G64" s="11" t="n">
        <v>40.72162824</v>
      </c>
      <c r="H64" s="11" t="n">
        <f aca="false">IF(B64="","",F64*1000/B64)</f>
        <v>24.6142719659427</v>
      </c>
      <c r="I64" s="12" t="n">
        <v>86081.79</v>
      </c>
      <c r="J64" s="12" t="n">
        <f aca="false">F64*24*1000000*Assumptions!$B$3/D64</f>
        <v>51951.1869196969</v>
      </c>
      <c r="K64" s="12" t="n">
        <f aca="false">J64/Assumptions!$B$4</f>
        <v>69268.2492262626</v>
      </c>
      <c r="L64" s="12" t="n">
        <f aca="false">J64/Assumptions!$B$5</f>
        <v>79924.9029533799</v>
      </c>
      <c r="M64" s="12" t="n">
        <f aca="false">E64*24*1000000*Assumptions!$B$3/D64/Assumptions!$B$5</f>
        <v>39624.3572095981</v>
      </c>
      <c r="N64" s="12" t="n">
        <f aca="false">G64*24*1000000*Assumptions!$B$3/D64/Assumptions!$B$5</f>
        <v>164774.554732982</v>
      </c>
      <c r="O64" s="12" t="n">
        <f aca="false">IF(ROW()&lt;8,"",AVERAGE(L58:L64))</f>
        <v>79217.8734917665</v>
      </c>
      <c r="P64" s="13" t="n">
        <f aca="false">IF(I64="","",I64/L64)</f>
        <v>1.07703340034346</v>
      </c>
    </row>
    <row r="65" customFormat="false" ht="15" hidden="false" customHeight="false" outlineLevel="0" collapsed="false">
      <c r="A65" s="9" t="n">
        <v>45721</v>
      </c>
      <c r="B65" s="10" t="n">
        <v>736.515775370876</v>
      </c>
      <c r="C65" s="11" t="n">
        <v>110.568428300953</v>
      </c>
      <c r="D65" s="10" t="n">
        <v>418.75</v>
      </c>
      <c r="E65" s="11" t="n">
        <v>9.57370019657143</v>
      </c>
      <c r="F65" s="11" t="n">
        <v>19.2180639653892</v>
      </c>
      <c r="G65" s="11" t="n">
        <v>39.81142656</v>
      </c>
      <c r="H65" s="11" t="n">
        <f aca="false">IF(B65="","",F65*1000/B65)</f>
        <v>26.0932143044891</v>
      </c>
      <c r="I65" s="12" t="n">
        <v>87226.39</v>
      </c>
      <c r="J65" s="12" t="n">
        <f aca="false">F65*24*1000000*Assumptions!$B$3/D65</f>
        <v>55072.6609157422</v>
      </c>
      <c r="K65" s="12" t="n">
        <f aca="false">J65/Assumptions!$B$4</f>
        <v>73430.2145543229</v>
      </c>
      <c r="L65" s="12" t="n">
        <f aca="false">J65/Assumptions!$B$5</f>
        <v>84727.1706396033</v>
      </c>
      <c r="M65" s="12" t="n">
        <f aca="false">E65*24*1000000*Assumptions!$B$3/D65/Assumptions!$B$5</f>
        <v>42207.8171697294</v>
      </c>
      <c r="N65" s="12" t="n">
        <f aca="false">G65*24*1000000*Assumptions!$B$3/D65/Assumptions!$B$5</f>
        <v>175517.655557291</v>
      </c>
      <c r="O65" s="12" t="n">
        <f aca="false">IF(ROW()&lt;8,"",AVERAGE(L59:L65))</f>
        <v>81054.2652359924</v>
      </c>
      <c r="P65" s="13" t="n">
        <f aca="false">IF(I65="","",I65/L65)</f>
        <v>1.02949725975186</v>
      </c>
    </row>
    <row r="66" customFormat="false" ht="15" hidden="false" customHeight="false" outlineLevel="0" collapsed="false">
      <c r="A66" s="9" t="n">
        <v>45722</v>
      </c>
      <c r="B66" s="10" t="n">
        <v>934.385685172006</v>
      </c>
      <c r="C66" s="11" t="n">
        <v>110.568428300953</v>
      </c>
      <c r="D66" s="10" t="n">
        <v>531.25</v>
      </c>
      <c r="E66" s="11" t="n">
        <v>9.76403208788571</v>
      </c>
      <c r="F66" s="11" t="n">
        <v>19.5014581840921</v>
      </c>
      <c r="G66" s="11" t="n">
        <v>40.602905712</v>
      </c>
      <c r="H66" s="11" t="n">
        <f aca="false">IF(B66="","",F66*1000/B66)</f>
        <v>20.8708871438909</v>
      </c>
      <c r="I66" s="12" t="n">
        <v>90608.57</v>
      </c>
      <c r="J66" s="12" t="n">
        <f aca="false">F66*24*1000000*Assumptions!$B$3/D66</f>
        <v>44050.3526040669</v>
      </c>
      <c r="K66" s="12" t="n">
        <f aca="false">J66/Assumptions!$B$4</f>
        <v>58733.8034720892</v>
      </c>
      <c r="L66" s="12" t="n">
        <f aca="false">J66/Assumptions!$B$5</f>
        <v>67769.773237026</v>
      </c>
      <c r="M66" s="12" t="n">
        <f aca="false">E66*24*1000000*Assumptions!$B$3/D66/Assumptions!$B$5</f>
        <v>33931.1160339196</v>
      </c>
      <c r="N66" s="12" t="n">
        <f aca="false">G66*24*1000000*Assumptions!$B$3/D66/Assumptions!$B$5</f>
        <v>141099.690438081</v>
      </c>
      <c r="O66" s="12" t="n">
        <f aca="false">IF(ROW()&lt;8,"",AVERAGE(L60:L66))</f>
        <v>79815.6324804047</v>
      </c>
      <c r="P66" s="13" t="n">
        <f aca="false">IF(I66="","",I66/L66)</f>
        <v>1.3370056541741</v>
      </c>
    </row>
    <row r="67" customFormat="false" ht="15" hidden="false" customHeight="false" outlineLevel="0" collapsed="false">
      <c r="A67" s="9" t="n">
        <v>45723</v>
      </c>
      <c r="B67" s="10" t="n">
        <v>780.486866437794</v>
      </c>
      <c r="C67" s="11" t="n">
        <v>110.568428300953</v>
      </c>
      <c r="D67" s="10" t="n">
        <v>443.75</v>
      </c>
      <c r="E67" s="11" t="n">
        <v>9.6307996116</v>
      </c>
      <c r="F67" s="11" t="n">
        <v>19.138080372844</v>
      </c>
      <c r="G67" s="11" t="n">
        <v>40.048869672</v>
      </c>
      <c r="H67" s="11" t="n">
        <f aca="false">IF(B67="","",F67*1000/B67)</f>
        <v>24.5206949608157</v>
      </c>
      <c r="I67" s="12" t="n">
        <v>89920.13</v>
      </c>
      <c r="J67" s="12" t="n">
        <f aca="false">F67*24*1000000*Assumptions!$B$3/D67</f>
        <v>51753.6821350149</v>
      </c>
      <c r="K67" s="12" t="n">
        <f aca="false">J67/Assumptions!$B$4</f>
        <v>69004.9095133532</v>
      </c>
      <c r="L67" s="12" t="n">
        <f aca="false">J67/Assumptions!$B$5</f>
        <v>79621.0494384844</v>
      </c>
      <c r="M67" s="12" t="n">
        <f aca="false">E67*24*1000000*Assumptions!$B$3/D67/Assumptions!$B$5</f>
        <v>40067.465339701</v>
      </c>
      <c r="N67" s="12" t="n">
        <f aca="false">G67*24*1000000*Assumptions!$B$3/D67/Assumptions!$B$5</f>
        <v>166617.182600737</v>
      </c>
      <c r="O67" s="12" t="n">
        <f aca="false">IF(ROW()&lt;8,"",AVERAGE(L61:L67))</f>
        <v>80448.9652157937</v>
      </c>
      <c r="P67" s="13" t="n">
        <f aca="false">IF(I67="","",I67/L67)</f>
        <v>1.12935122852749</v>
      </c>
    </row>
    <row r="68" customFormat="false" ht="15" hidden="false" customHeight="false" outlineLevel="0" collapsed="false">
      <c r="A68" s="9" t="n">
        <v>45724</v>
      </c>
      <c r="B68" s="10" t="n">
        <v>753.00493452097</v>
      </c>
      <c r="C68" s="11" t="n">
        <v>110.568428300953</v>
      </c>
      <c r="D68" s="10" t="n">
        <v>428.125</v>
      </c>
      <c r="E68" s="11" t="n">
        <v>9.56418341674286</v>
      </c>
      <c r="F68" s="11" t="n">
        <v>19.005702362427</v>
      </c>
      <c r="G68" s="11" t="n">
        <v>39.771851832</v>
      </c>
      <c r="H68" s="11" t="n">
        <f aca="false">IF(B68="","",F68*1000/B68)</f>
        <v>25.2398111766925</v>
      </c>
      <c r="I68" s="12" t="n">
        <v>86745.52</v>
      </c>
      <c r="J68" s="12" t="n">
        <f aca="false">F68*24*1000000*Assumptions!$B$3/D68</f>
        <v>53271.4577165836</v>
      </c>
      <c r="K68" s="12" t="n">
        <f aca="false">J68/Assumptions!$B$4</f>
        <v>71028.6102887782</v>
      </c>
      <c r="L68" s="12" t="n">
        <f aca="false">J68/Assumptions!$B$5</f>
        <v>81956.088794744</v>
      </c>
      <c r="M68" s="12" t="n">
        <f aca="false">E68*24*1000000*Assumptions!$B$3/D68/Assumptions!$B$5</f>
        <v>41242.5202922994</v>
      </c>
      <c r="N68" s="12" t="n">
        <f aca="false">G68*24*1000000*Assumptions!$B$3/D68/Assumptions!$B$5</f>
        <v>171503.549730354</v>
      </c>
      <c r="O68" s="12" t="n">
        <f aca="false">IF(ROW()&lt;8,"",AVERAGE(L62:L68))</f>
        <v>80568.6879210077</v>
      </c>
      <c r="P68" s="13" t="n">
        <f aca="false">IF(I68="","",I68/L68)</f>
        <v>1.05843899185149</v>
      </c>
    </row>
    <row r="69" customFormat="false" ht="15" hidden="false" customHeight="false" outlineLevel="0" collapsed="false">
      <c r="A69" s="9" t="n">
        <v>45725</v>
      </c>
      <c r="B69" s="10" t="n">
        <v>878.012411810867</v>
      </c>
      <c r="C69" s="11" t="n">
        <v>111.0855097239</v>
      </c>
      <c r="D69" s="10" t="n">
        <v>496.875</v>
      </c>
      <c r="E69" s="11" t="n">
        <v>9.88598794302857</v>
      </c>
      <c r="F69" s="11" t="n">
        <v>19.6451841434603</v>
      </c>
      <c r="G69" s="11" t="n">
        <v>41.110048872</v>
      </c>
      <c r="H69" s="11" t="n">
        <f aca="false">IF(B69="","",F69*1000/B69)</f>
        <v>22.3746086948166</v>
      </c>
      <c r="I69" s="12" t="n">
        <v>86163.24</v>
      </c>
      <c r="J69" s="12" t="n">
        <f aca="false">F69*24*1000000*Assumptions!$B$3/D69</f>
        <v>47444.9730257154</v>
      </c>
      <c r="K69" s="12" t="n">
        <f aca="false">J69/Assumptions!$B$4</f>
        <v>63259.9640342872</v>
      </c>
      <c r="L69" s="12" t="n">
        <f aca="false">J69/Assumptions!$B$5</f>
        <v>72992.2661934083</v>
      </c>
      <c r="M69" s="12" t="n">
        <f aca="false">E69*24*1000000*Assumptions!$B$3/D69/Assumptions!$B$5</f>
        <v>36731.6823427477</v>
      </c>
      <c r="N69" s="12" t="n">
        <f aca="false">G69*24*1000000*Assumptions!$B$3/D69/Assumptions!$B$5</f>
        <v>152745.609742119</v>
      </c>
      <c r="O69" s="12" t="n">
        <f aca="false">IF(ROW()&lt;8,"",AVERAGE(L63:L69))</f>
        <v>77889.3303992726</v>
      </c>
      <c r="P69" s="13" t="n">
        <f aca="false">IF(I69="","",I69/L69)</f>
        <v>1.18044341535708</v>
      </c>
    </row>
    <row r="70" customFormat="false" ht="15" hidden="false" customHeight="false" outlineLevel="0" collapsed="false">
      <c r="A70" s="9" t="n">
        <v>45726</v>
      </c>
      <c r="B70" s="10" t="n">
        <v>858.547242188255</v>
      </c>
      <c r="C70" s="11" t="n">
        <v>112.149504190349</v>
      </c>
      <c r="D70" s="10" t="n">
        <v>481.25</v>
      </c>
      <c r="E70" s="11" t="n">
        <v>9.94501106177143</v>
      </c>
      <c r="F70" s="11" t="n">
        <v>19.7624733858817</v>
      </c>
      <c r="G70" s="11" t="n">
        <v>41.355491544</v>
      </c>
      <c r="H70" s="11" t="n">
        <f aca="false">IF(B70="","",F70*1000/B70)</f>
        <v>23.0185042997882</v>
      </c>
      <c r="I70" s="12" t="n">
        <v>80669.31</v>
      </c>
      <c r="J70" s="12" t="n">
        <f aca="false">F70*24*1000000*Assumptions!$B$3/D70</f>
        <v>49277.8557154452</v>
      </c>
      <c r="K70" s="12" t="n">
        <f aca="false">J70/Assumptions!$B$4</f>
        <v>65703.8076205937</v>
      </c>
      <c r="L70" s="12" t="n">
        <f aca="false">J70/Assumptions!$B$5</f>
        <v>75812.0857160696</v>
      </c>
      <c r="M70" s="12" t="n">
        <f aca="false">E70*24*1000000*Assumptions!$B$3/D70/Assumptions!$B$5</f>
        <v>38150.6917854169</v>
      </c>
      <c r="N70" s="12" t="n">
        <f aca="false">G70*24*1000000*Assumptions!$B$3/D70/Assumptions!$B$5</f>
        <v>158646.441087872</v>
      </c>
      <c r="O70" s="12" t="n">
        <f aca="false">IF(ROW()&lt;8,"",AVERAGE(L64:L70))</f>
        <v>77543.3338532451</v>
      </c>
      <c r="P70" s="13" t="n">
        <f aca="false">IF(I70="","",I70/L70)</f>
        <v>1.06406926069969</v>
      </c>
    </row>
    <row r="71" customFormat="false" ht="15" hidden="false" customHeight="false" outlineLevel="0" collapsed="false">
      <c r="A71" s="9" t="n">
        <v>45727</v>
      </c>
      <c r="B71" s="10" t="n">
        <v>769.347528714151</v>
      </c>
      <c r="C71" s="11" t="n">
        <v>112.149504190349</v>
      </c>
      <c r="D71" s="10" t="n">
        <v>431.25</v>
      </c>
      <c r="E71" s="11" t="n">
        <v>9.88765766348571</v>
      </c>
      <c r="F71" s="11" t="n">
        <v>19.627193881949</v>
      </c>
      <c r="G71" s="11" t="n">
        <v>40.5894396925714</v>
      </c>
      <c r="H71" s="11" t="n">
        <f aca="false">IF(B71="","",F71*1000/B71)</f>
        <v>25.5114797271824</v>
      </c>
      <c r="I71" s="12" t="n">
        <v>78557.72</v>
      </c>
      <c r="J71" s="12" t="n">
        <f aca="false">F71*24*1000000*Assumptions!$B$3/D71</f>
        <v>54614.8003671623</v>
      </c>
      <c r="K71" s="12" t="n">
        <f aca="false">J71/Assumptions!$B$4</f>
        <v>72819.7338228831</v>
      </c>
      <c r="L71" s="12" t="n">
        <f aca="false">J71/Assumptions!$B$5</f>
        <v>84022.7697956343</v>
      </c>
      <c r="M71" s="12" t="n">
        <f aca="false">E71*24*1000000*Assumptions!$B$3/D71/Assumptions!$B$5</f>
        <v>42328.434144688</v>
      </c>
      <c r="N71" s="12" t="n">
        <f aca="false">G71*24*1000000*Assumptions!$B$3/D71/Assumptions!$B$5</f>
        <v>173760.812061844</v>
      </c>
      <c r="O71" s="12" t="n">
        <f aca="false">IF(ROW()&lt;8,"",AVERAGE(L65:L71))</f>
        <v>78128.7434021386</v>
      </c>
      <c r="P71" s="13" t="n">
        <f aca="false">IF(I71="","",I71/L71)</f>
        <v>0.934957514386556</v>
      </c>
    </row>
    <row r="72" customFormat="false" ht="15" hidden="false" customHeight="false" outlineLevel="0" collapsed="false">
      <c r="A72" s="9" t="n">
        <v>45728</v>
      </c>
      <c r="B72" s="10" t="n">
        <v>852.972260096124</v>
      </c>
      <c r="C72" s="11" t="n">
        <v>112.149504190349</v>
      </c>
      <c r="D72" s="10" t="n">
        <v>478.125</v>
      </c>
      <c r="E72" s="11" t="n">
        <v>10.0892937749143</v>
      </c>
      <c r="F72" s="11" t="n">
        <v>20.004255633371</v>
      </c>
      <c r="G72" s="11" t="n">
        <v>40.8430312011429</v>
      </c>
      <c r="H72" s="11" t="n">
        <f aca="false">IF(B72="","",F72*1000/B72)</f>
        <v>23.4524105521517</v>
      </c>
      <c r="I72" s="12" t="n">
        <v>82859.32</v>
      </c>
      <c r="J72" s="12" t="n">
        <f aca="false">F72*24*1000000*Assumptions!$B$3/D72</f>
        <v>50206.7592366959</v>
      </c>
      <c r="K72" s="12" t="n">
        <f aca="false">J72/Assumptions!$B$4</f>
        <v>66942.3456489279</v>
      </c>
      <c r="L72" s="12" t="n">
        <f aca="false">J72/Assumptions!$B$5</f>
        <v>77241.1680564552</v>
      </c>
      <c r="M72" s="12" t="n">
        <f aca="false">E72*24*1000000*Assumptions!$B$3/D72/Assumptions!$B$5</f>
        <v>38957.1524340582</v>
      </c>
      <c r="N72" s="12" t="n">
        <f aca="false">G72*24*1000000*Assumptions!$B$3/D72/Assumptions!$B$5</f>
        <v>157704.615195966</v>
      </c>
      <c r="O72" s="12" t="n">
        <f aca="false">IF(ROW()&lt;8,"",AVERAGE(L66:L72))</f>
        <v>77059.3144616889</v>
      </c>
      <c r="P72" s="13" t="n">
        <f aca="false">IF(I72="","",I72/L72)</f>
        <v>1.0727352017701</v>
      </c>
    </row>
    <row r="73" customFormat="false" ht="15" hidden="false" customHeight="false" outlineLevel="0" collapsed="false">
      <c r="A73" s="9" t="n">
        <v>45729</v>
      </c>
      <c r="B73" s="10" t="n">
        <v>886.422152648912</v>
      </c>
      <c r="C73" s="11" t="n">
        <v>112.149504190349</v>
      </c>
      <c r="D73" s="10" t="n">
        <v>496.875</v>
      </c>
      <c r="E73" s="11" t="n">
        <v>10.006248366</v>
      </c>
      <c r="F73" s="11" t="n">
        <v>19.8146790524062</v>
      </c>
      <c r="G73" s="11" t="n">
        <v>39.8898615325714</v>
      </c>
      <c r="H73" s="11" t="n">
        <f aca="false">IF(B73="","",F73*1000/B73)</f>
        <v>22.3535467758716</v>
      </c>
      <c r="I73" s="12" t="n">
        <v>83703.69</v>
      </c>
      <c r="J73" s="12" t="n">
        <f aca="false">F73*24*1000000*Assumptions!$B$3/D73</f>
        <v>47854.3192209056</v>
      </c>
      <c r="K73" s="12" t="n">
        <f aca="false">J73/Assumptions!$B$4</f>
        <v>63805.7589612075</v>
      </c>
      <c r="L73" s="12" t="n">
        <f aca="false">J73/Assumptions!$B$5</f>
        <v>73622.029570624</v>
      </c>
      <c r="M73" s="12" t="n">
        <f aca="false">E73*24*1000000*Assumptions!$B$3/D73/Assumptions!$B$5</f>
        <v>37178.5135224383</v>
      </c>
      <c r="N73" s="12" t="n">
        <f aca="false">G73*24*1000000*Assumptions!$B$3/D73/Assumptions!$B$5</f>
        <v>148211.967377914</v>
      </c>
      <c r="O73" s="12" t="n">
        <f aca="false">IF(ROW()&lt;8,"",AVERAGE(L67:L73))</f>
        <v>77895.3510807743</v>
      </c>
      <c r="P73" s="13" t="n">
        <f aca="false">IF(I73="","",I73/L73)</f>
        <v>1.13693809432005</v>
      </c>
    </row>
    <row r="74" customFormat="false" ht="15" hidden="false" customHeight="false" outlineLevel="0" collapsed="false">
      <c r="A74" s="9" t="n">
        <v>45730</v>
      </c>
      <c r="B74" s="10" t="n">
        <v>791.647457082677</v>
      </c>
      <c r="C74" s="11" t="n">
        <v>112.149504190349</v>
      </c>
      <c r="D74" s="10" t="n">
        <v>443.75</v>
      </c>
      <c r="E74" s="11" t="n">
        <v>10.0255722342857</v>
      </c>
      <c r="F74" s="11" t="n">
        <v>19.8311530315258</v>
      </c>
      <c r="G74" s="11" t="n">
        <v>39.4273742125714</v>
      </c>
      <c r="H74" s="11" t="n">
        <f aca="false">IF(B74="","",F74*1000/B74)</f>
        <v>25.050485356962</v>
      </c>
      <c r="I74" s="12" t="n">
        <v>81075.63</v>
      </c>
      <c r="J74" s="12" t="n">
        <f aca="false">F74*24*1000000*Assumptions!$B$3/D74</f>
        <v>53627.9067894783</v>
      </c>
      <c r="K74" s="12" t="n">
        <f aca="false">J74/Assumptions!$B$4</f>
        <v>71503.8757193043</v>
      </c>
      <c r="L74" s="12" t="n">
        <f aca="false">J74/Assumptions!$B$5</f>
        <v>82504.4719838127</v>
      </c>
      <c r="M74" s="12" t="n">
        <f aca="false">E74*24*1000000*Assumptions!$B$3/D74/Assumptions!$B$5</f>
        <v>41709.8563159883</v>
      </c>
      <c r="N74" s="12" t="n">
        <f aca="false">G74*24*1000000*Assumptions!$B$3/D74/Assumptions!$B$5</f>
        <v>164031.546019799</v>
      </c>
      <c r="O74" s="12" t="n">
        <f aca="false">IF(ROW()&lt;8,"",AVERAGE(L68:L74))</f>
        <v>78307.2685872498</v>
      </c>
      <c r="P74" s="13" t="n">
        <f aca="false">IF(I74="","",I74/L74)</f>
        <v>0.982681641983079</v>
      </c>
    </row>
    <row r="75" customFormat="false" ht="15" hidden="false" customHeight="false" outlineLevel="0" collapsed="false">
      <c r="A75" s="9" t="n">
        <v>45731</v>
      </c>
      <c r="B75" s="10" t="n">
        <v>735.897636161362</v>
      </c>
      <c r="C75" s="11" t="n">
        <v>112.149504190349</v>
      </c>
      <c r="D75" s="10" t="n">
        <v>412.5</v>
      </c>
      <c r="E75" s="11" t="n">
        <v>9.99595227017143</v>
      </c>
      <c r="F75" s="11" t="n">
        <v>19.7519111494352</v>
      </c>
      <c r="G75" s="11" t="n">
        <v>38.7995865462857</v>
      </c>
      <c r="H75" s="11" t="n">
        <f aca="false">IF(B75="","",F75*1000/B75)</f>
        <v>26.8405688221346</v>
      </c>
      <c r="I75" s="12" t="n">
        <v>83982.58</v>
      </c>
      <c r="J75" s="12" t="n">
        <f aca="false">F75*24*1000000*Assumptions!$B$3/D75</f>
        <v>57460.1051619933</v>
      </c>
      <c r="K75" s="12" t="n">
        <f aca="false">J75/Assumptions!$B$4</f>
        <v>76613.4735493243</v>
      </c>
      <c r="L75" s="12" t="n">
        <f aca="false">J75/Assumptions!$B$5</f>
        <v>88400.1617876819</v>
      </c>
      <c r="M75" s="12" t="n">
        <f aca="false">E75*24*1000000*Assumptions!$B$3/D75/Assumptions!$B$5</f>
        <v>44737.1290413267</v>
      </c>
      <c r="N75" s="12" t="n">
        <f aca="false">G75*24*1000000*Assumptions!$B$3/D75/Assumptions!$B$5</f>
        <v>173648.499228132</v>
      </c>
      <c r="O75" s="12" t="n">
        <f aca="false">IF(ROW()&lt;8,"",AVERAGE(L69:L75))</f>
        <v>79227.8504433837</v>
      </c>
      <c r="P75" s="13" t="n">
        <f aca="false">IF(I75="","",I75/L75)</f>
        <v>0.950027446801602</v>
      </c>
    </row>
    <row r="76" customFormat="false" ht="15" hidden="false" customHeight="false" outlineLevel="0" collapsed="false">
      <c r="A76" s="9" t="n">
        <v>45732</v>
      </c>
      <c r="B76" s="10" t="n">
        <v>808.372403359071</v>
      </c>
      <c r="C76" s="11" t="n">
        <v>112.149504190349</v>
      </c>
      <c r="D76" s="10" t="n">
        <v>453.125</v>
      </c>
      <c r="E76" s="11" t="n">
        <v>9.87469513302857</v>
      </c>
      <c r="F76" s="11" t="n">
        <v>19.4885629028438</v>
      </c>
      <c r="G76" s="11" t="n">
        <v>37.7410364434286</v>
      </c>
      <c r="H76" s="11" t="n">
        <f aca="false">IF(B76="","",F76*1000/B76)</f>
        <v>24.1083970975035</v>
      </c>
      <c r="I76" s="12" t="n">
        <v>84339.61</v>
      </c>
      <c r="J76" s="12" t="n">
        <f aca="false">F76*24*1000000*Assumptions!$B$3/D76</f>
        <v>51611.0907220139</v>
      </c>
      <c r="K76" s="12" t="n">
        <f aca="false">J76/Assumptions!$B$4</f>
        <v>68814.7876293518</v>
      </c>
      <c r="L76" s="12" t="n">
        <f aca="false">J76/Assumptions!$B$5</f>
        <v>79401.6780338675</v>
      </c>
      <c r="M76" s="12" t="n">
        <f aca="false">E76*24*1000000*Assumptions!$B$3/D76/Assumptions!$B$5</f>
        <v>40232.1796401376</v>
      </c>
      <c r="N76" s="12" t="n">
        <f aca="false">G76*24*1000000*Assumptions!$B$3/D76/Assumptions!$B$5</f>
        <v>153767.193573226</v>
      </c>
      <c r="O76" s="12" t="n">
        <f aca="false">IF(ROW()&lt;8,"",AVERAGE(L70:L76))</f>
        <v>80143.4807063065</v>
      </c>
      <c r="P76" s="13" t="n">
        <f aca="false">IF(I76="","",I76/L76)</f>
        <v>1.06218926461512</v>
      </c>
    </row>
    <row r="77" customFormat="false" ht="15" hidden="false" customHeight="false" outlineLevel="0" collapsed="false">
      <c r="A77" s="9" t="n">
        <v>45733</v>
      </c>
      <c r="B77" s="10" t="n">
        <v>780.497492898414</v>
      </c>
      <c r="C77" s="11" t="n">
        <v>112.149504190349</v>
      </c>
      <c r="D77" s="10" t="n">
        <v>437.5</v>
      </c>
      <c r="E77" s="11" t="n">
        <v>9.73955754857143</v>
      </c>
      <c r="F77" s="11" t="n">
        <v>19.1984038230474</v>
      </c>
      <c r="G77" s="11" t="n">
        <v>36.6438798857143</v>
      </c>
      <c r="H77" s="11" t="n">
        <f aca="false">IF(B77="","",F77*1000/B77)</f>
        <v>24.5976495731629</v>
      </c>
      <c r="I77" s="12" t="n">
        <v>82581.85</v>
      </c>
      <c r="J77" s="12" t="n">
        <f aca="false">F77*24*1000000*Assumptions!$B$3/D77</f>
        <v>52658.4790575014</v>
      </c>
      <c r="K77" s="12" t="n">
        <f aca="false">J77/Assumptions!$B$4</f>
        <v>70211.3054100019</v>
      </c>
      <c r="L77" s="12" t="n">
        <f aca="false">J77/Assumptions!$B$5</f>
        <v>81013.0447038483</v>
      </c>
      <c r="M77" s="12" t="n">
        <f aca="false">E77*24*1000000*Assumptions!$B$3/D77/Assumptions!$B$5</f>
        <v>41098.7922928728</v>
      </c>
      <c r="N77" s="12" t="n">
        <f aca="false">G77*24*1000000*Assumptions!$B$3/D77/Assumptions!$B$5</f>
        <v>154629.119517739</v>
      </c>
      <c r="O77" s="12" t="n">
        <f aca="false">IF(ROW()&lt;8,"",AVERAGE(L71:L77))</f>
        <v>80886.4748474177</v>
      </c>
      <c r="P77" s="13" t="n">
        <f aca="false">IF(I77="","",I77/L77)</f>
        <v>1.01936484799314</v>
      </c>
    </row>
    <row r="78" customFormat="false" ht="15" hidden="false" customHeight="false" outlineLevel="0" collapsed="false">
      <c r="A78" s="9" t="n">
        <v>45734</v>
      </c>
      <c r="B78" s="10" t="n">
        <v>791.647457082677</v>
      </c>
      <c r="C78" s="11" t="n">
        <v>112.149504190349</v>
      </c>
      <c r="D78" s="10" t="n">
        <v>443.75</v>
      </c>
      <c r="E78" s="11" t="n">
        <v>9.77816840571428</v>
      </c>
      <c r="F78" s="11" t="n">
        <v>19.2745127041424</v>
      </c>
      <c r="G78" s="11" t="n">
        <v>36.7891484571429</v>
      </c>
      <c r="H78" s="11" t="n">
        <f aca="false">IF(B78="","",F78*1000/B78)</f>
        <v>24.3473436713503</v>
      </c>
      <c r="I78" s="12" t="n">
        <v>84040.57</v>
      </c>
      <c r="J78" s="12" t="n">
        <f aca="false">F78*24*1000000*Assumptions!$B$3/D78</f>
        <v>52122.6259041598</v>
      </c>
      <c r="K78" s="12" t="n">
        <f aca="false">J78/Assumptions!$B$4</f>
        <v>69496.8345388798</v>
      </c>
      <c r="L78" s="12" t="n">
        <f aca="false">J78/Assumptions!$B$5</f>
        <v>80188.655237169</v>
      </c>
      <c r="M78" s="12" t="n">
        <f aca="false">E78*24*1000000*Assumptions!$B$3/D78/Assumptions!$B$5</f>
        <v>40680.5706153227</v>
      </c>
      <c r="N78" s="12" t="n">
        <f aca="false">G78*24*1000000*Assumptions!$B$3/D78/Assumptions!$B$5</f>
        <v>153055.612216066</v>
      </c>
      <c r="O78" s="12" t="n">
        <f aca="false">IF(ROW()&lt;8,"",AVERAGE(L72:L78))</f>
        <v>80338.7441962084</v>
      </c>
      <c r="P78" s="13" t="n">
        <f aca="false">IF(I78="","",I78/L78)</f>
        <v>1.04803565730637</v>
      </c>
    </row>
    <row r="79" customFormat="false" ht="15" hidden="false" customHeight="false" outlineLevel="0" collapsed="false">
      <c r="A79" s="9" t="n">
        <v>45735</v>
      </c>
      <c r="B79" s="10" t="n">
        <v>847.397278003992</v>
      </c>
      <c r="C79" s="11" t="n">
        <v>112.149504190349</v>
      </c>
      <c r="D79" s="10" t="n">
        <v>475</v>
      </c>
      <c r="E79" s="11" t="n">
        <v>9.76851569142857</v>
      </c>
      <c r="F79" s="11" t="n">
        <v>19.2554854838687</v>
      </c>
      <c r="G79" s="11" t="n">
        <v>36.7528313142857</v>
      </c>
      <c r="H79" s="11" t="n">
        <f aca="false">IF(B79="","",F79*1000/B79)</f>
        <v>22.7230910267073</v>
      </c>
      <c r="I79" s="12" t="n">
        <v>82718.44</v>
      </c>
      <c r="J79" s="12" t="n">
        <f aca="false">F79*24*1000000*Assumptions!$B$3/D79</f>
        <v>48645.4370118788</v>
      </c>
      <c r="K79" s="12" t="n">
        <f aca="false">J79/Assumptions!$B$4</f>
        <v>64860.582682505</v>
      </c>
      <c r="L79" s="12" t="n">
        <f aca="false">J79/Assumptions!$B$5</f>
        <v>74839.1338644289</v>
      </c>
      <c r="M79" s="12" t="n">
        <f aca="false">E79*24*1000000*Assumptions!$B$3/D79/Assumptions!$B$5</f>
        <v>37966.7006630422</v>
      </c>
      <c r="N79" s="12" t="n">
        <f aca="false">G79*24*1000000*Assumptions!$B$3/D79/Assumptions!$B$5</f>
        <v>142845.012395604</v>
      </c>
      <c r="O79" s="12" t="n">
        <f aca="false">IF(ROW()&lt;8,"",AVERAGE(L73:L79))</f>
        <v>79995.5964544903</v>
      </c>
      <c r="P79" s="13" t="n">
        <f aca="false">IF(I79="","",I79/L79)</f>
        <v>1.10528323523685</v>
      </c>
    </row>
    <row r="80" customFormat="false" ht="15" hidden="false" customHeight="false" outlineLevel="0" collapsed="false">
      <c r="A80" s="9" t="n">
        <v>45736</v>
      </c>
      <c r="B80" s="10" t="n">
        <v>791.647457082677</v>
      </c>
      <c r="C80" s="11" t="n">
        <v>112.149504190349</v>
      </c>
      <c r="D80" s="10" t="n">
        <v>443.75</v>
      </c>
      <c r="E80" s="11" t="n">
        <v>9.60442017188572</v>
      </c>
      <c r="F80" s="11" t="n">
        <v>18.9320239678783</v>
      </c>
      <c r="G80" s="11" t="n">
        <v>36.1354422308571</v>
      </c>
      <c r="H80" s="11" t="n">
        <f aca="false">IF(B80="","",F80*1000/B80)</f>
        <v>23.9147158226785</v>
      </c>
      <c r="I80" s="12" t="n">
        <v>86867.58</v>
      </c>
      <c r="J80" s="12" t="n">
        <f aca="false">F80*24*1000000*Assumptions!$B$3/D80</f>
        <v>51196.4591807413</v>
      </c>
      <c r="K80" s="12" t="n">
        <f aca="false">J80/Assumptions!$B$4</f>
        <v>68261.9455743217</v>
      </c>
      <c r="L80" s="12" t="n">
        <f aca="false">J80/Assumptions!$B$5</f>
        <v>78763.7833549866</v>
      </c>
      <c r="M80" s="12" t="n">
        <f aca="false">E80*24*1000000*Assumptions!$B$3/D80/Assumptions!$B$5</f>
        <v>39957.717724855</v>
      </c>
      <c r="N80" s="12" t="n">
        <f aca="false">G80*24*1000000*Assumptions!$B$3/D80/Assumptions!$B$5</f>
        <v>150335.967677672</v>
      </c>
      <c r="O80" s="12" t="n">
        <f aca="false">IF(ROW()&lt;8,"",AVERAGE(L74:L80))</f>
        <v>80730.1327093993</v>
      </c>
      <c r="P80" s="13" t="n">
        <f aca="false">IF(I80="","",I80/L80)</f>
        <v>1.10288734618663</v>
      </c>
    </row>
    <row r="81" customFormat="false" ht="15" hidden="false" customHeight="false" outlineLevel="0" collapsed="false">
      <c r="A81" s="9" t="n">
        <v>45737</v>
      </c>
      <c r="B81" s="10" t="n">
        <v>808.372403359071</v>
      </c>
      <c r="C81" s="11" t="n">
        <v>112.149504190349</v>
      </c>
      <c r="D81" s="10" t="n">
        <v>453.125</v>
      </c>
      <c r="E81" s="11" t="n">
        <v>9.6333781416</v>
      </c>
      <c r="F81" s="11" t="n">
        <v>18.9891052874041</v>
      </c>
      <c r="G81" s="11" t="n">
        <v>36.244393008</v>
      </c>
      <c r="H81" s="11" t="n">
        <f aca="false">IF(B81="","",F81*1000/B81)</f>
        <v>23.4905412511582</v>
      </c>
      <c r="I81" s="12" t="n">
        <v>84174.28</v>
      </c>
      <c r="J81" s="12" t="n">
        <f aca="false">F81*24*1000000*Assumptions!$B$3/D81</f>
        <v>50288.3891749186</v>
      </c>
      <c r="K81" s="12" t="n">
        <f aca="false">J81/Assumptions!$B$4</f>
        <v>67051.1855665581</v>
      </c>
      <c r="L81" s="12" t="n">
        <f aca="false">J81/Assumptions!$B$5</f>
        <v>77366.7525767978</v>
      </c>
      <c r="M81" s="12" t="n">
        <f aca="false">E81*24*1000000*Assumptions!$B$3/D81/Assumptions!$B$5</f>
        <v>39248.9889270493</v>
      </c>
      <c r="N81" s="12" t="n">
        <f aca="false">G81*24*1000000*Assumptions!$B$3/D81/Assumptions!$B$5</f>
        <v>147669.463289889</v>
      </c>
      <c r="O81" s="12" t="n">
        <f aca="false">IF(ROW()&lt;8,"",AVERAGE(L75:L81))</f>
        <v>79996.1727941114</v>
      </c>
      <c r="P81" s="13" t="n">
        <f aca="false">IF(I81="","",I81/L81)</f>
        <v>1.08799034722887</v>
      </c>
    </row>
    <row r="82" customFormat="false" ht="15" hidden="false" customHeight="false" outlineLevel="0" collapsed="false">
      <c r="A82" s="9" t="n">
        <v>45738</v>
      </c>
      <c r="B82" s="10" t="n">
        <v>836.247313819729</v>
      </c>
      <c r="C82" s="11" t="n">
        <v>112.149504190349</v>
      </c>
      <c r="D82" s="10" t="n">
        <v>468.75</v>
      </c>
      <c r="E82" s="11" t="n">
        <v>9.80712637542857</v>
      </c>
      <c r="F82" s="11" t="n">
        <v>19.3315940236683</v>
      </c>
      <c r="G82" s="11" t="n">
        <v>36.8980992342857</v>
      </c>
      <c r="H82" s="11" t="n">
        <f aca="false">IF(B82="","",F82*1000/B82)</f>
        <v>23.1170775728622</v>
      </c>
      <c r="I82" s="12" t="n">
        <v>84042.1</v>
      </c>
      <c r="J82" s="12" t="n">
        <f aca="false">F82*24*1000000*Assumptions!$B$3/D82</f>
        <v>49488.8807005908</v>
      </c>
      <c r="K82" s="12" t="n">
        <f aca="false">J82/Assumptions!$B$4</f>
        <v>65985.1742674544</v>
      </c>
      <c r="L82" s="12" t="n">
        <f aca="false">J82/Assumptions!$B$5</f>
        <v>76136.7395393705</v>
      </c>
      <c r="M82" s="12" t="n">
        <f aca="false">E82*24*1000000*Assumptions!$B$3/D82/Assumptions!$B$5</f>
        <v>38624.9900324571</v>
      </c>
      <c r="N82" s="12" t="n">
        <f aca="false">G82*24*1000000*Assumptions!$B$3/D82/Assumptions!$B$5</f>
        <v>145321.744676571</v>
      </c>
      <c r="O82" s="12" t="n">
        <f aca="false">IF(ROW()&lt;8,"",AVERAGE(L76:L82))</f>
        <v>78244.2553300669</v>
      </c>
      <c r="P82" s="13" t="n">
        <f aca="false">IF(I82="","",I82/L82)</f>
        <v>1.10383108744158</v>
      </c>
    </row>
    <row r="83" customFormat="false" ht="15" hidden="false" customHeight="false" outlineLevel="0" collapsed="false">
      <c r="A83" s="9" t="n">
        <v>45739</v>
      </c>
      <c r="B83" s="10" t="n">
        <v>876.571559892104</v>
      </c>
      <c r="C83" s="11" t="n">
        <v>113.035968276012</v>
      </c>
      <c r="D83" s="10" t="n">
        <v>487.5</v>
      </c>
      <c r="E83" s="11" t="n">
        <v>9.92590029771428</v>
      </c>
      <c r="F83" s="11" t="n">
        <v>19.5657185937339</v>
      </c>
      <c r="G83" s="11" t="n">
        <v>37.3449714171429</v>
      </c>
      <c r="H83" s="11" t="n">
        <f aca="false">IF(B83="","",F83*1000/B83)</f>
        <v>22.3207316880577</v>
      </c>
      <c r="I83" s="12" t="n">
        <v>83813.07</v>
      </c>
      <c r="J83" s="12" t="n">
        <f aca="false">F83*24*1000000*Assumptions!$B$3/D83</f>
        <v>48161.7688461142</v>
      </c>
      <c r="K83" s="12" t="n">
        <f aca="false">J83/Assumptions!$B$4</f>
        <v>64215.6917948189</v>
      </c>
      <c r="L83" s="12" t="n">
        <f aca="false">J83/Assumptions!$B$5</f>
        <v>74095.0289940218</v>
      </c>
      <c r="M83" s="12" t="n">
        <f aca="false">E83*24*1000000*Assumptions!$B$3/D83/Assumptions!$B$5</f>
        <v>37589.2082280304</v>
      </c>
      <c r="N83" s="12" t="n">
        <f aca="false">G83*24*1000000*Assumptions!$B$3/D83/Assumptions!$B$5</f>
        <v>141424.743828233</v>
      </c>
      <c r="O83" s="12" t="n">
        <f aca="false">IF(ROW()&lt;8,"",AVERAGE(L77:L83))</f>
        <v>77486.162610089</v>
      </c>
      <c r="P83" s="13" t="n">
        <f aca="false">IF(I83="","",I83/L83)</f>
        <v>1.13115645054626</v>
      </c>
    </row>
    <row r="84" customFormat="false" ht="15" hidden="false" customHeight="false" outlineLevel="0" collapsed="false">
      <c r="A84" s="9" t="n">
        <v>45740</v>
      </c>
      <c r="B84" s="10" t="n">
        <v>870.857131048908</v>
      </c>
      <c r="C84" s="11" t="n">
        <v>113.757508810854</v>
      </c>
      <c r="D84" s="10" t="n">
        <v>481.25</v>
      </c>
      <c r="E84" s="11" t="n">
        <v>10.0823515774286</v>
      </c>
      <c r="F84" s="11" t="n">
        <v>19.8741119505787</v>
      </c>
      <c r="G84" s="11" t="n">
        <v>37.9335999942857</v>
      </c>
      <c r="H84" s="11" t="n">
        <f aca="false">IF(B84="","",F84*1000/B84)</f>
        <v>22.8213230873372</v>
      </c>
      <c r="I84" s="12" t="n">
        <v>86057.08</v>
      </c>
      <c r="J84" s="12" t="n">
        <f aca="false">F84*24*1000000*Assumptions!$B$3/D84</f>
        <v>49556.227201443</v>
      </c>
      <c r="K84" s="12" t="n">
        <f aca="false">J84/Assumptions!$B$4</f>
        <v>66074.9696019241</v>
      </c>
      <c r="L84" s="12" t="n">
        <f aca="false">J84/Assumptions!$B$5</f>
        <v>76240.3495406816</v>
      </c>
      <c r="M84" s="12" t="n">
        <f aca="false">E84*24*1000000*Assumptions!$B$3/D84/Assumptions!$B$5</f>
        <v>38677.5525048209</v>
      </c>
      <c r="N84" s="12" t="n">
        <f aca="false">G84*24*1000000*Assumptions!$B$3/D84/Assumptions!$B$5</f>
        <v>145519.504473584</v>
      </c>
      <c r="O84" s="12" t="n">
        <f aca="false">IF(ROW()&lt;8,"",AVERAGE(L78:L84))</f>
        <v>76804.3490153509</v>
      </c>
      <c r="P84" s="13" t="n">
        <f aca="false">IF(I84="","",I84/L84)</f>
        <v>1.12876030236562</v>
      </c>
    </row>
    <row r="85" customFormat="false" ht="15" hidden="false" customHeight="false" outlineLevel="0" collapsed="false">
      <c r="A85" s="9" t="n">
        <v>45741</v>
      </c>
      <c r="B85" s="10" t="n">
        <v>842.582548871996</v>
      </c>
      <c r="C85" s="11" t="n">
        <v>113.757508810854</v>
      </c>
      <c r="D85" s="10" t="n">
        <v>465.625</v>
      </c>
      <c r="E85" s="11" t="n">
        <v>10.1705418917143</v>
      </c>
      <c r="F85" s="11" t="n">
        <v>20.0479507783176</v>
      </c>
      <c r="G85" s="11" t="n">
        <v>38.2654051371429</v>
      </c>
      <c r="H85" s="11" t="n">
        <f aca="false">IF(B85="","",F85*1000/B85)</f>
        <v>23.7934559707612</v>
      </c>
      <c r="I85" s="12" t="n">
        <v>87509.31</v>
      </c>
      <c r="J85" s="12" t="n">
        <f aca="false">F85*24*1000000*Assumptions!$B$3/D85</f>
        <v>51667.2020058654</v>
      </c>
      <c r="K85" s="12" t="n">
        <f aca="false">J85/Assumptions!$B$4</f>
        <v>68889.6026744872</v>
      </c>
      <c r="L85" s="12" t="n">
        <f aca="false">J85/Assumptions!$B$5</f>
        <v>79488.0030859468</v>
      </c>
      <c r="M85" s="12" t="n">
        <f aca="false">E85*24*1000000*Assumptions!$B$3/D85/Assumptions!$B$5</f>
        <v>40325.1222139214</v>
      </c>
      <c r="N85" s="12" t="n">
        <f aca="false">G85*24*1000000*Assumptions!$B$3/D85/Assumptions!$B$5</f>
        <v>151718.281596932</v>
      </c>
      <c r="O85" s="12" t="n">
        <f aca="false">IF(ROW()&lt;8,"",AVERAGE(L79:L85))</f>
        <v>76704.2558508906</v>
      </c>
      <c r="P85" s="13" t="n">
        <f aca="false">IF(I85="","",I85/L85)</f>
        <v>1.10091217042376</v>
      </c>
    </row>
    <row r="86" customFormat="false" ht="15" hidden="false" customHeight="false" outlineLevel="0" collapsed="false">
      <c r="A86" s="9" t="n">
        <v>45742</v>
      </c>
      <c r="B86" s="10" t="n">
        <v>859.547298178143</v>
      </c>
      <c r="C86" s="11" t="n">
        <v>113.757508810854</v>
      </c>
      <c r="D86" s="10" t="n">
        <v>475</v>
      </c>
      <c r="E86" s="11" t="n">
        <v>10.1915787488571</v>
      </c>
      <c r="F86" s="11" t="n">
        <v>20.0894181731743</v>
      </c>
      <c r="G86" s="11" t="n">
        <v>38.3445537085714</v>
      </c>
      <c r="H86" s="11" t="n">
        <f aca="false">IF(B86="","",F86*1000/B86)</f>
        <v>23.3720915832728</v>
      </c>
      <c r="I86" s="12" t="n">
        <v>87475.15</v>
      </c>
      <c r="J86" s="12" t="n">
        <f aca="false">F86*24*1000000*Assumptions!$B$3/D86</f>
        <v>50752.2143322298</v>
      </c>
      <c r="K86" s="12" t="n">
        <f aca="false">J86/Assumptions!$B$4</f>
        <v>67669.6191096397</v>
      </c>
      <c r="L86" s="12" t="n">
        <f aca="false">J86/Assumptions!$B$5</f>
        <v>78080.3297418919</v>
      </c>
      <c r="M86" s="12" t="n">
        <f aca="false">E86*24*1000000*Assumptions!$B$3/D86/Assumptions!$B$5</f>
        <v>39610.9943275419</v>
      </c>
      <c r="N86" s="12" t="n">
        <f aca="false">G86*24*1000000*Assumptions!$B$3/D86/Assumptions!$B$5</f>
        <v>149031.463806593</v>
      </c>
      <c r="O86" s="12" t="n">
        <f aca="false">IF(ROW()&lt;8,"",AVERAGE(L80:L86))</f>
        <v>77167.2838333853</v>
      </c>
      <c r="P86" s="13" t="n">
        <f aca="false">IF(I86="","",I86/L86)</f>
        <v>1.12032249721747</v>
      </c>
    </row>
    <row r="87" customFormat="false" ht="15" hidden="false" customHeight="false" outlineLevel="0" collapsed="false">
      <c r="A87" s="9" t="n">
        <v>45743</v>
      </c>
      <c r="B87" s="10" t="n">
        <v>836.927632436613</v>
      </c>
      <c r="C87" s="11" t="n">
        <v>113.757508810854</v>
      </c>
      <c r="D87" s="10" t="n">
        <v>462.5</v>
      </c>
      <c r="E87" s="11" t="n">
        <v>10.2699780077143</v>
      </c>
      <c r="F87" s="11" t="n">
        <v>20.24395708559</v>
      </c>
      <c r="G87" s="11" t="n">
        <v>38.6395212171429</v>
      </c>
      <c r="H87" s="11" t="n">
        <f aca="false">IF(B87="","",F87*1000/B87)</f>
        <v>24.1884200031157</v>
      </c>
      <c r="I87" s="12" t="n">
        <v>86907.02</v>
      </c>
      <c r="J87" s="12" t="n">
        <f aca="false">F87*24*1000000*Assumptions!$B$3/D87</f>
        <v>52524.8616274769</v>
      </c>
      <c r="K87" s="12" t="n">
        <f aca="false">J87/Assumptions!$B$4</f>
        <v>70033.1488366358</v>
      </c>
      <c r="L87" s="12" t="n">
        <f aca="false">J87/Assumptions!$B$5</f>
        <v>80807.4794268875</v>
      </c>
      <c r="M87" s="12" t="n">
        <f aca="false">E87*24*1000000*Assumptions!$B$3/D87/Assumptions!$B$5</f>
        <v>40994.5068083398</v>
      </c>
      <c r="N87" s="12" t="n">
        <f aca="false">G87*24*1000000*Assumptions!$B$3/D87/Assumptions!$B$5</f>
        <v>154236.758288803</v>
      </c>
      <c r="O87" s="12" t="n">
        <f aca="false">IF(ROW()&lt;8,"",AVERAGE(L81:L87))</f>
        <v>77459.2404150854</v>
      </c>
      <c r="P87" s="13" t="n">
        <f aca="false">IF(I87="","",I87/L87)</f>
        <v>1.07548237633908</v>
      </c>
    </row>
    <row r="88" customFormat="false" ht="15" hidden="false" customHeight="false" outlineLevel="0" collapsed="false">
      <c r="A88" s="9" t="n">
        <v>45744</v>
      </c>
      <c r="B88" s="10" t="n">
        <v>870.857131048908</v>
      </c>
      <c r="C88" s="11" t="n">
        <v>113.757508810854</v>
      </c>
      <c r="D88" s="10" t="n">
        <v>481.25</v>
      </c>
      <c r="E88" s="11" t="n">
        <v>10.3781658891429</v>
      </c>
      <c r="F88" s="11" t="n">
        <v>20.4572146823615</v>
      </c>
      <c r="G88" s="11" t="n">
        <v>39.0465647314286</v>
      </c>
      <c r="H88" s="11" t="n">
        <f aca="false">IF(B88="","",F88*1000/B88)</f>
        <v>23.4908964432796</v>
      </c>
      <c r="I88" s="12" t="n">
        <v>87187.77</v>
      </c>
      <c r="J88" s="12" t="n">
        <f aca="false">F88*24*1000000*Assumptions!$B$3/D88</f>
        <v>51010.1976495248</v>
      </c>
      <c r="K88" s="12" t="n">
        <f aca="false">J88/Assumptions!$B$4</f>
        <v>68013.5968660331</v>
      </c>
      <c r="L88" s="12" t="n">
        <f aca="false">J88/Assumptions!$B$5</f>
        <v>78477.2271531151</v>
      </c>
      <c r="M88" s="12" t="n">
        <f aca="false">E88*24*1000000*Assumptions!$B$3/D88/Assumptions!$B$5</f>
        <v>39812.3446696389</v>
      </c>
      <c r="N88" s="12" t="n">
        <f aca="false">G88*24*1000000*Assumptions!$B$3/D88/Assumptions!$B$5</f>
        <v>149789.019549137</v>
      </c>
      <c r="O88" s="12" t="n">
        <f aca="false">IF(ROW()&lt;8,"",AVERAGE(L82:L88))</f>
        <v>77617.8796402736</v>
      </c>
      <c r="P88" s="13" t="n">
        <f aca="false">IF(I88="","",I88/L88)</f>
        <v>1.11099452876807</v>
      </c>
    </row>
    <row r="89" customFormat="false" ht="15" hidden="false" customHeight="false" outlineLevel="0" collapsed="false">
      <c r="A89" s="9" t="n">
        <v>45745</v>
      </c>
      <c r="B89" s="10" t="n">
        <v>797.343217388935</v>
      </c>
      <c r="C89" s="11" t="n">
        <v>113.757508810854</v>
      </c>
      <c r="D89" s="10" t="n">
        <v>440.625</v>
      </c>
      <c r="E89" s="11" t="n">
        <v>10.3108062708</v>
      </c>
      <c r="F89" s="11" t="n">
        <v>20.3244368690098</v>
      </c>
      <c r="G89" s="11" t="n">
        <v>38.793132504</v>
      </c>
      <c r="H89" s="11" t="n">
        <f aca="false">IF(B89="","",F89*1000/B89)</f>
        <v>25.4901984813596</v>
      </c>
      <c r="I89" s="12" t="n">
        <v>84362.88</v>
      </c>
      <c r="J89" s="12" t="n">
        <f aca="false">F89*24*1000000*Assumptions!$B$3/D89</f>
        <v>55351.6578560267</v>
      </c>
      <c r="K89" s="12" t="n">
        <f aca="false">J89/Assumptions!$B$4</f>
        <v>73802.2104747022</v>
      </c>
      <c r="L89" s="12" t="n">
        <f aca="false">J89/Assumptions!$B$5</f>
        <v>85156.3967015795</v>
      </c>
      <c r="M89" s="12" t="n">
        <f aca="false">E89*24*1000000*Assumptions!$B$3/D89/Assumptions!$B$5</f>
        <v>43200.7594979509</v>
      </c>
      <c r="N89" s="12" t="n">
        <f aca="false">G89*24*1000000*Assumptions!$B$3/D89/Assumptions!$B$5</f>
        <v>162537.51098239</v>
      </c>
      <c r="O89" s="12" t="n">
        <f aca="false">IF(ROW()&lt;8,"",AVERAGE(L83:L89))</f>
        <v>78906.4020920177</v>
      </c>
      <c r="P89" s="13" t="n">
        <f aca="false">IF(I89="","",I89/L89)</f>
        <v>0.990681654786777</v>
      </c>
    </row>
    <row r="90" customFormat="false" ht="15" hidden="false" customHeight="false" outlineLevel="0" collapsed="false">
      <c r="A90" s="9" t="n">
        <v>45746</v>
      </c>
      <c r="B90" s="10" t="n">
        <v>774.723551647405</v>
      </c>
      <c r="C90" s="11" t="n">
        <v>113.757508810854</v>
      </c>
      <c r="D90" s="10" t="n">
        <v>428.125</v>
      </c>
      <c r="E90" s="11" t="n">
        <v>10.1337718548</v>
      </c>
      <c r="F90" s="11" t="n">
        <v>19.975470481985</v>
      </c>
      <c r="G90" s="11" t="n">
        <v>38.127062424</v>
      </c>
      <c r="H90" s="11" t="n">
        <f aca="false">IF(B90="","",F90*1000/B90)</f>
        <v>25.7839979687054</v>
      </c>
      <c r="I90" s="12" t="n">
        <v>82612.14</v>
      </c>
      <c r="J90" s="12" t="n">
        <f aca="false">F90*24*1000000*Assumptions!$B$3/D90</f>
        <v>55989.6398911111</v>
      </c>
      <c r="K90" s="12" t="n">
        <f aca="false">J90/Assumptions!$B$4</f>
        <v>74652.8531881482</v>
      </c>
      <c r="L90" s="12" t="n">
        <f aca="false">J90/Assumptions!$B$5</f>
        <v>86137.9075247864</v>
      </c>
      <c r="M90" s="12" t="n">
        <f aca="false">E90*24*1000000*Assumptions!$B$3/D90/Assumptions!$B$5</f>
        <v>43698.6905361393</v>
      </c>
      <c r="N90" s="12" t="n">
        <f aca="false">G90*24*1000000*Assumptions!$B$3/D90/Assumptions!$B$5</f>
        <v>164410.914888445</v>
      </c>
      <c r="O90" s="12" t="n">
        <f aca="false">IF(ROW()&lt;8,"",AVERAGE(L84:L90))</f>
        <v>80626.8133106984</v>
      </c>
      <c r="P90" s="13" t="n">
        <f aca="false">IF(I90="","",I90/L90)</f>
        <v>0.959068340222081</v>
      </c>
    </row>
    <row r="91" customFormat="false" ht="15" hidden="false" customHeight="false" outlineLevel="0" collapsed="false">
      <c r="A91" s="9" t="n">
        <v>45747</v>
      </c>
      <c r="B91" s="10" t="n">
        <v>836.927632436613</v>
      </c>
      <c r="C91" s="11" t="n">
        <v>113.757508810854</v>
      </c>
      <c r="D91" s="10" t="n">
        <v>462.5</v>
      </c>
      <c r="E91" s="11" t="n">
        <v>10.0750252625143</v>
      </c>
      <c r="F91" s="11" t="n">
        <v>19.8502376246939</v>
      </c>
      <c r="G91" s="11" t="n">
        <v>37.9060356411429</v>
      </c>
      <c r="H91" s="11" t="n">
        <f aca="false">IF(B91="","",F91*1000/B91)</f>
        <v>23.7179857079188</v>
      </c>
      <c r="I91" s="12" t="n">
        <v>82338.19</v>
      </c>
      <c r="J91" s="12" t="n">
        <f aca="false">F91*24*1000000*Assumptions!$B$3/D91</f>
        <v>51503.3192424491</v>
      </c>
      <c r="K91" s="12" t="n">
        <f aca="false">J91/Assumptions!$B$4</f>
        <v>68671.0923232655</v>
      </c>
      <c r="L91" s="12" t="n">
        <f aca="false">J91/Assumptions!$B$5</f>
        <v>79235.8757576141</v>
      </c>
      <c r="M91" s="12" t="n">
        <f aca="false">E91*24*1000000*Assumptions!$B$3/D91/Assumptions!$B$5</f>
        <v>40216.3170561901</v>
      </c>
      <c r="N91" s="12" t="n">
        <f aca="false">G91*24*1000000*Assumptions!$B$3/D91/Assumptions!$B$5</f>
        <v>151308.915656953</v>
      </c>
      <c r="O91" s="12" t="n">
        <f aca="false">IF(ROW()&lt;8,"",AVERAGE(L85:L91))</f>
        <v>81054.745627403</v>
      </c>
      <c r="P91" s="13" t="n">
        <f aca="false">IF(I91="","",I91/L91)</f>
        <v>1.0391528990211</v>
      </c>
    </row>
    <row r="92" customFormat="false" ht="15" hidden="false" customHeight="false" outlineLevel="0" collapsed="false">
      <c r="A92" s="9" t="n">
        <v>45748</v>
      </c>
      <c r="B92" s="10" t="n">
        <v>763.41371877664</v>
      </c>
      <c r="C92" s="11" t="n">
        <v>113.757508810854</v>
      </c>
      <c r="D92" s="10" t="n">
        <v>421.875</v>
      </c>
      <c r="E92" s="11" t="n">
        <v>9.93795014022857</v>
      </c>
      <c r="F92" s="11" t="n">
        <v>19.5362040766721</v>
      </c>
      <c r="G92" s="11" t="n">
        <v>37.3903074582857</v>
      </c>
      <c r="H92" s="11" t="n">
        <f aca="false">IF(B92="","",F92*1000/B92)</f>
        <v>25.5905855451204</v>
      </c>
      <c r="I92" s="12" t="n">
        <v>82531.15</v>
      </c>
      <c r="J92" s="12" t="n">
        <f aca="false">F92*24*1000000*Assumptions!$B$3/D92</f>
        <v>55569.6471514229</v>
      </c>
      <c r="K92" s="12" t="n">
        <f aca="false">J92/Assumptions!$B$4</f>
        <v>74092.8628685639</v>
      </c>
      <c r="L92" s="12" t="n">
        <f aca="false">J92/Assumptions!$B$5</f>
        <v>85491.764848343</v>
      </c>
      <c r="M92" s="12" t="n">
        <f aca="false">E92*24*1000000*Assumptions!$B$3/D92/Assumptions!$B$5</f>
        <v>43489.1493315986</v>
      </c>
      <c r="N92" s="12" t="n">
        <f aca="false">G92*24*1000000*Assumptions!$B$3/D92/Assumptions!$B$5</f>
        <v>163622.542039678</v>
      </c>
      <c r="O92" s="12" t="n">
        <f aca="false">IF(ROW()&lt;8,"",AVERAGE(L86:L92))</f>
        <v>81912.4258791739</v>
      </c>
      <c r="P92" s="13" t="n">
        <f aca="false">IF(I92="","",I92/L92)</f>
        <v>0.965369590233692</v>
      </c>
    </row>
    <row r="93" customFormat="false" ht="15" hidden="false" customHeight="false" outlineLevel="0" collapsed="false">
      <c r="A93" s="9" t="n">
        <v>45749</v>
      </c>
      <c r="B93" s="10" t="n">
        <v>972.645626885793</v>
      </c>
      <c r="C93" s="11" t="n">
        <v>113.757508810854</v>
      </c>
      <c r="D93" s="10" t="n">
        <v>537.5</v>
      </c>
      <c r="E93" s="11" t="n">
        <v>10.1337718201714</v>
      </c>
      <c r="F93" s="11" t="n">
        <v>19.8663556800324</v>
      </c>
      <c r="G93" s="11" t="n">
        <v>38.1270622937143</v>
      </c>
      <c r="H93" s="11" t="n">
        <f aca="false">IF(B93="","",F93*1000/B93)</f>
        <v>20.425070684418</v>
      </c>
      <c r="I93" s="12" t="n">
        <v>85185.53</v>
      </c>
      <c r="J93" s="12" t="n">
        <f aca="false">F93*24*1000000*Assumptions!$B$3/D93</f>
        <v>44352.7940763513</v>
      </c>
      <c r="K93" s="12" t="n">
        <f aca="false">J93/Assumptions!$B$4</f>
        <v>59137.0587684685</v>
      </c>
      <c r="L93" s="12" t="n">
        <f aca="false">J93/Assumptions!$B$5</f>
        <v>68235.0678097713</v>
      </c>
      <c r="M93" s="12" t="n">
        <f aca="false">E93*24*1000000*Assumptions!$B$3/D93/Assumptions!$B$5</f>
        <v>34806.5150174046</v>
      </c>
      <c r="N93" s="12" t="n">
        <f aca="false">G93*24*1000000*Assumptions!$B$3/D93/Assumptions!$B$5</f>
        <v>130955.205015978</v>
      </c>
      <c r="O93" s="12" t="n">
        <f aca="false">IF(ROW()&lt;8,"",AVERAGE(L87:L93))</f>
        <v>80505.959888871</v>
      </c>
      <c r="P93" s="13" t="n">
        <f aca="false">IF(I93="","",I93/L93)</f>
        <v>1.24841276977234</v>
      </c>
    </row>
    <row r="94" customFormat="false" ht="15" hidden="false" customHeight="false" outlineLevel="0" collapsed="false">
      <c r="A94" s="9" t="n">
        <v>45750</v>
      </c>
      <c r="B94" s="10" t="n">
        <v>859.547298178143</v>
      </c>
      <c r="C94" s="11" t="n">
        <v>113.757508810854</v>
      </c>
      <c r="D94" s="10" t="n">
        <v>475</v>
      </c>
      <c r="E94" s="11" t="n">
        <v>10.1729362150286</v>
      </c>
      <c r="F94" s="11" t="n">
        <v>19.8942017869459</v>
      </c>
      <c r="G94" s="11" t="n">
        <v>38.2744134822857</v>
      </c>
      <c r="H94" s="11" t="n">
        <f aca="false">IF(B94="","",F94*1000/B94)</f>
        <v>23.1449762323873</v>
      </c>
      <c r="I94" s="12" t="n">
        <v>82487.27</v>
      </c>
      <c r="J94" s="12" t="n">
        <f aca="false">F94*24*1000000*Assumptions!$B$3/D94</f>
        <v>50259.0360933369</v>
      </c>
      <c r="K94" s="12" t="n">
        <f aca="false">J94/Assumptions!$B$4</f>
        <v>67012.0481244492</v>
      </c>
      <c r="L94" s="12" t="n">
        <f aca="false">J94/Assumptions!$B$5</f>
        <v>77321.5939897491</v>
      </c>
      <c r="M94" s="12" t="n">
        <f aca="false">E94*24*1000000*Assumptions!$B$3/D94/Assumptions!$B$5</f>
        <v>39538.5375159005</v>
      </c>
      <c r="N94" s="12" t="n">
        <f aca="false">G94*24*1000000*Assumptions!$B$3/D94/Assumptions!$B$5</f>
        <v>148758.85402022</v>
      </c>
      <c r="O94" s="12" t="n">
        <f aca="false">IF(ROW()&lt;8,"",AVERAGE(L88:L94))</f>
        <v>80007.9762549941</v>
      </c>
      <c r="P94" s="13" t="n">
        <f aca="false">IF(I94="","",I94/L94)</f>
        <v>1.06680767614459</v>
      </c>
    </row>
    <row r="95" customFormat="false" ht="15" hidden="false" customHeight="false" outlineLevel="0" collapsed="false">
      <c r="A95" s="9" t="n">
        <v>45751</v>
      </c>
      <c r="B95" s="10" t="n">
        <v>1017.88495836885</v>
      </c>
      <c r="C95" s="11" t="n">
        <v>113.757508810854</v>
      </c>
      <c r="D95" s="10" t="n">
        <v>562.5</v>
      </c>
      <c r="E95" s="11" t="n">
        <v>10.4275042621714</v>
      </c>
      <c r="F95" s="11" t="n">
        <v>20.3375553805828</v>
      </c>
      <c r="G95" s="11" t="n">
        <v>39.2321942537143</v>
      </c>
      <c r="H95" s="11" t="n">
        <f aca="false">IF(B95="","",F95*1000/B95)</f>
        <v>19.9802101537815</v>
      </c>
      <c r="I95" s="12" t="n">
        <v>83102.81</v>
      </c>
      <c r="J95" s="12" t="n">
        <f aca="false">F95*24*1000000*Assumptions!$B$3/D95</f>
        <v>43386.78481191</v>
      </c>
      <c r="K95" s="12" t="n">
        <f aca="false">J95/Assumptions!$B$4</f>
        <v>57849.04641588</v>
      </c>
      <c r="L95" s="12" t="n">
        <f aca="false">J95/Assumptions!$B$5</f>
        <v>66748.8997106308</v>
      </c>
      <c r="M95" s="12" t="n">
        <f aca="false">E95*24*1000000*Assumptions!$B$3/D95/Assumptions!$B$5</f>
        <v>34223.603732255</v>
      </c>
      <c r="N95" s="12" t="n">
        <f aca="false">G95*24*1000000*Assumptions!$B$3/D95/Assumptions!$B$5</f>
        <v>128762.073448088</v>
      </c>
      <c r="O95" s="12" t="n">
        <f aca="false">IF(ROW()&lt;8,"",AVERAGE(L89:L95))</f>
        <v>78332.5009060677</v>
      </c>
      <c r="P95" s="13" t="n">
        <f aca="false">IF(I95="","",I95/L95)</f>
        <v>1.24500643996031</v>
      </c>
    </row>
    <row r="96" customFormat="false" ht="15" hidden="false" customHeight="false" outlineLevel="0" collapsed="false">
      <c r="A96" s="9" t="n">
        <v>45752</v>
      </c>
      <c r="B96" s="10" t="n">
        <v>948.981343907835</v>
      </c>
      <c r="C96" s="11" t="n">
        <v>116.403947359503</v>
      </c>
      <c r="D96" s="10" t="n">
        <v>512.5</v>
      </c>
      <c r="E96" s="11" t="n">
        <v>10.6933901730857</v>
      </c>
      <c r="F96" s="11" t="n">
        <v>20.8070642296359</v>
      </c>
      <c r="G96" s="11" t="n">
        <v>40.2325570868571</v>
      </c>
      <c r="H96" s="11" t="n">
        <f aca="false">IF(B96="","",F96*1000/B96)</f>
        <v>21.9256831161232</v>
      </c>
      <c r="I96" s="12" t="n">
        <v>83842.01</v>
      </c>
      <c r="J96" s="12" t="n">
        <f aca="false">F96*24*1000000*Assumptions!$B$3/D96</f>
        <v>48718.9796596353</v>
      </c>
      <c r="K96" s="12" t="n">
        <f aca="false">J96/Assumptions!$B$4</f>
        <v>64958.6395461804</v>
      </c>
      <c r="L96" s="12" t="n">
        <f aca="false">J96/Assumptions!$B$5</f>
        <v>74952.2763994389</v>
      </c>
      <c r="M96" s="12" t="n">
        <f aca="false">E96*24*1000000*Assumptions!$B$3/D96/Assumptions!$B$5</f>
        <v>38520.2797979823</v>
      </c>
      <c r="N96" s="12" t="n">
        <f aca="false">G96*24*1000000*Assumptions!$B$3/D96/Assumptions!$B$5</f>
        <v>144927.785378547</v>
      </c>
      <c r="O96" s="12" t="n">
        <f aca="false">IF(ROW()&lt;8,"",AVERAGE(L90:L96))</f>
        <v>76874.7694343334</v>
      </c>
      <c r="P96" s="13" t="n">
        <f aca="false">IF(I96="","",I96/L96)</f>
        <v>1.11860525160284</v>
      </c>
    </row>
    <row r="97" customFormat="false" ht="15" hidden="false" customHeight="false" outlineLevel="0" collapsed="false">
      <c r="A97" s="9" t="n">
        <v>45753</v>
      </c>
      <c r="B97" s="10" t="n">
        <v>875.826848009747</v>
      </c>
      <c r="C97" s="11" t="n">
        <v>121.507793131898</v>
      </c>
      <c r="D97" s="10" t="n">
        <v>453.125</v>
      </c>
      <c r="E97" s="11" t="n">
        <v>10.8684431422286</v>
      </c>
      <c r="F97" s="11" t="n">
        <v>21.1018361920015</v>
      </c>
      <c r="G97" s="11" t="n">
        <v>40.8911722182857</v>
      </c>
      <c r="H97" s="11" t="n">
        <f aca="false">IF(B97="","",F97*1000/B97)</f>
        <v>24.0936164950343</v>
      </c>
      <c r="I97" s="12" t="n">
        <v>83500.22</v>
      </c>
      <c r="J97" s="12" t="n">
        <f aca="false">F97*24*1000000*Assumptions!$B$3/D97</f>
        <v>55883.4834326109</v>
      </c>
      <c r="K97" s="12" t="n">
        <f aca="false">J97/Assumptions!$B$4</f>
        <v>74511.3112434813</v>
      </c>
      <c r="L97" s="12" t="n">
        <f aca="false">J97/Assumptions!$B$5</f>
        <v>85974.5898963245</v>
      </c>
      <c r="M97" s="12" t="n">
        <f aca="false">E97*24*1000000*Assumptions!$B$3/D97/Assumptions!$B$5</f>
        <v>44280.9778951275</v>
      </c>
      <c r="N97" s="12" t="n">
        <f aca="false">G97*24*1000000*Assumptions!$B$3/D97/Assumptions!$B$5</f>
        <v>166601.699011371</v>
      </c>
      <c r="O97" s="12" t="n">
        <f aca="false">IF(ROW()&lt;8,"",AVERAGE(L91:L97))</f>
        <v>76851.4383445531</v>
      </c>
      <c r="P97" s="13" t="n">
        <f aca="false">IF(I97="","",I97/L97)</f>
        <v>0.971219753425886</v>
      </c>
    </row>
    <row r="98" customFormat="false" ht="15" hidden="false" customHeight="false" outlineLevel="0" collapsed="false">
      <c r="A98" s="9" t="n">
        <v>45754</v>
      </c>
      <c r="B98" s="10" t="n">
        <v>875.826848009747</v>
      </c>
      <c r="C98" s="11" t="n">
        <v>121.507793131898</v>
      </c>
      <c r="D98" s="10" t="n">
        <v>453.125</v>
      </c>
      <c r="E98" s="11" t="n">
        <v>10.9357943285143</v>
      </c>
      <c r="F98" s="11" t="n">
        <v>21.1937415979275</v>
      </c>
      <c r="G98" s="11" t="n">
        <v>41.1445727211429</v>
      </c>
      <c r="H98" s="11" t="n">
        <f aca="false">IF(B98="","",F98*1000/B98)</f>
        <v>24.1985520837694</v>
      </c>
      <c r="I98" s="12" t="n">
        <v>78372.2</v>
      </c>
      <c r="J98" s="12" t="n">
        <f aca="false">F98*24*1000000*Assumptions!$B$3/D98</f>
        <v>56126.8743007182</v>
      </c>
      <c r="K98" s="12" t="n">
        <f aca="false">J98/Assumptions!$B$4</f>
        <v>74835.8324009577</v>
      </c>
      <c r="L98" s="12" t="n">
        <f aca="false">J98/Assumptions!$B$5</f>
        <v>86349.0373857204</v>
      </c>
      <c r="M98" s="12" t="n">
        <f aca="false">E98*24*1000000*Assumptions!$B$3/D98/Assumptions!$B$5</f>
        <v>44555.3848503924</v>
      </c>
      <c r="N98" s="12" t="n">
        <f aca="false">G98*24*1000000*Assumptions!$B$3/D98/Assumptions!$B$5</f>
        <v>167634.121219298</v>
      </c>
      <c r="O98" s="12" t="n">
        <f aca="false">IF(ROW()&lt;8,"",AVERAGE(L92:L98))</f>
        <v>77867.6042914254</v>
      </c>
      <c r="P98" s="13" t="n">
        <f aca="false">IF(I98="","",I98/L98)</f>
        <v>0.907621003925175</v>
      </c>
    </row>
    <row r="99" customFormat="false" ht="15" hidden="false" customHeight="false" outlineLevel="0" collapsed="false">
      <c r="A99" s="9" t="n">
        <v>45755</v>
      </c>
      <c r="B99" s="10" t="n">
        <v>924.14832927925</v>
      </c>
      <c r="C99" s="11" t="n">
        <v>121.507793131898</v>
      </c>
      <c r="D99" s="10" t="n">
        <v>478.125</v>
      </c>
      <c r="E99" s="11" t="n">
        <v>11.2140948939429</v>
      </c>
      <c r="F99" s="11" t="n">
        <v>21.7330924757024</v>
      </c>
      <c r="G99" s="11" t="n">
        <v>42.1916441554286</v>
      </c>
      <c r="H99" s="11" t="n">
        <f aca="false">IF(B99="","",F99*1000/B99)</f>
        <v>23.5168876977273</v>
      </c>
      <c r="I99" s="12" t="n">
        <v>79188.56</v>
      </c>
      <c r="J99" s="12" t="n">
        <f aca="false">F99*24*1000000*Assumptions!$B$3/D99</f>
        <v>54545.8007233315</v>
      </c>
      <c r="K99" s="12" t="n">
        <f aca="false">J99/Assumptions!$B$4</f>
        <v>72727.7342977753</v>
      </c>
      <c r="L99" s="12" t="n">
        <f aca="false">J99/Assumptions!$B$5</f>
        <v>83916.6164974331</v>
      </c>
      <c r="M99" s="12" t="n">
        <f aca="false">E99*24*1000000*Assumptions!$B$3/D99/Assumptions!$B$5</f>
        <v>43300.275910247</v>
      </c>
      <c r="N99" s="12" t="n">
        <f aca="false">G99*24*1000000*Assumptions!$B$3/D99/Assumptions!$B$5</f>
        <v>162911.929167266</v>
      </c>
      <c r="O99" s="12" t="n">
        <f aca="false">IF(ROW()&lt;8,"",AVERAGE(L93:L99))</f>
        <v>77642.5830984383</v>
      </c>
      <c r="P99" s="13" t="n">
        <f aca="false">IF(I99="","",I99/L99)</f>
        <v>0.943657684320749</v>
      </c>
    </row>
    <row r="100" customFormat="false" ht="15" hidden="false" customHeight="false" outlineLevel="0" collapsed="false">
      <c r="A100" s="9" t="n">
        <v>45756</v>
      </c>
      <c r="B100" s="10" t="n">
        <v>791.264255788116</v>
      </c>
      <c r="C100" s="11" t="n">
        <v>121.507793131898</v>
      </c>
      <c r="D100" s="10" t="n">
        <v>409.375</v>
      </c>
      <c r="E100" s="11" t="n">
        <v>10.9000460076</v>
      </c>
      <c r="F100" s="11" t="n">
        <v>21.1244607891213</v>
      </c>
      <c r="G100" s="11" t="n">
        <v>41.010074088</v>
      </c>
      <c r="H100" s="11" t="n">
        <f aca="false">IF(B100="","",F100*1000/B100)</f>
        <v>26.6970997799981</v>
      </c>
      <c r="I100" s="12" t="n">
        <v>76266.57</v>
      </c>
      <c r="J100" s="12" t="n">
        <f aca="false">F100*24*1000000*Assumptions!$B$3/D100</f>
        <v>61922.0835345235</v>
      </c>
      <c r="K100" s="12" t="n">
        <f aca="false">J100/Assumptions!$B$4</f>
        <v>82562.7780460314</v>
      </c>
      <c r="L100" s="12" t="n">
        <f aca="false">J100/Assumptions!$B$5</f>
        <v>95264.743899267</v>
      </c>
      <c r="M100" s="12" t="n">
        <f aca="false">E100*24*1000000*Assumptions!$B$3/D100/Assumptions!$B$5</f>
        <v>49155.8152309853</v>
      </c>
      <c r="N100" s="12" t="n">
        <f aca="false">G100*24*1000000*Assumptions!$B$3/D100/Assumptions!$B$5</f>
        <v>184942.671166083</v>
      </c>
      <c r="O100" s="12" t="n">
        <f aca="false">IF(ROW()&lt;8,"",AVERAGE(L94:L100))</f>
        <v>81503.9653969377</v>
      </c>
      <c r="P100" s="13" t="n">
        <f aca="false">IF(I100="","",I100/L100)</f>
        <v>0.80057497536176</v>
      </c>
    </row>
    <row r="101" customFormat="false" ht="15" hidden="false" customHeight="false" outlineLevel="0" collapsed="false">
      <c r="A101" s="9" t="n">
        <v>45757</v>
      </c>
      <c r="B101" s="10" t="n">
        <v>869.786662851059</v>
      </c>
      <c r="C101" s="11" t="n">
        <v>121.507793131898</v>
      </c>
      <c r="D101" s="10" t="n">
        <v>450</v>
      </c>
      <c r="E101" s="11" t="n">
        <v>10.9177747973143</v>
      </c>
      <c r="F101" s="11" t="n">
        <v>21.1290124490415</v>
      </c>
      <c r="G101" s="11" t="n">
        <v>41.0161057115857</v>
      </c>
      <c r="H101" s="11" t="n">
        <f aca="false">IF(B101="","",F101*1000/B101)</f>
        <v>24.2921780149894</v>
      </c>
      <c r="I101" s="12" t="n">
        <v>82575.64</v>
      </c>
      <c r="J101" s="12" t="n">
        <f aca="false">F101*24*1000000*Assumptions!$B$3/D101</f>
        <v>56344.033197444</v>
      </c>
      <c r="K101" s="12" t="n">
        <f aca="false">J101/Assumptions!$B$4</f>
        <v>75125.3775965921</v>
      </c>
      <c r="L101" s="12" t="n">
        <f aca="false">J101/Assumptions!$B$5</f>
        <v>86683.1279960677</v>
      </c>
      <c r="M101" s="12" t="n">
        <f aca="false">E101*24*1000000*Assumptions!$B$3/D101/Assumptions!$B$5</f>
        <v>44790.8709633406</v>
      </c>
      <c r="N101" s="12" t="n">
        <f aca="false">G101*24*1000000*Assumptions!$B$3/D101/Assumptions!$B$5</f>
        <v>168271.202919326</v>
      </c>
      <c r="O101" s="12" t="n">
        <f aca="false">IF(ROW()&lt;8,"",AVERAGE(L95:L101))</f>
        <v>82841.3273978403</v>
      </c>
      <c r="P101" s="13" t="n">
        <f aca="false">IF(I101="","",I101/L101)</f>
        <v>0.952614907987007</v>
      </c>
    </row>
    <row r="102" customFormat="false" ht="15" hidden="false" customHeight="false" outlineLevel="0" collapsed="false">
      <c r="A102" s="9" t="n">
        <v>45758</v>
      </c>
      <c r="B102" s="10" t="n">
        <v>893.947403485811</v>
      </c>
      <c r="C102" s="11" t="n">
        <v>121.507793131898</v>
      </c>
      <c r="D102" s="10" t="n">
        <v>462.5</v>
      </c>
      <c r="E102" s="11" t="n">
        <v>10.7031858687429</v>
      </c>
      <c r="F102" s="11" t="n">
        <v>20.6414576133806</v>
      </c>
      <c r="G102" s="11" t="n">
        <v>39.9175699870143</v>
      </c>
      <c r="H102" s="11" t="n">
        <f aca="false">IF(B102="","",F102*1000/B102)</f>
        <v>23.0902372252466</v>
      </c>
      <c r="I102" s="12" t="n">
        <v>79587.79</v>
      </c>
      <c r="J102" s="12" t="n">
        <f aca="false">F102*24*1000000*Assumptions!$B$3/D102</f>
        <v>53556.2143482309</v>
      </c>
      <c r="K102" s="12" t="n">
        <f aca="false">J102/Assumptions!$B$4</f>
        <v>71408.2857976412</v>
      </c>
      <c r="L102" s="12" t="n">
        <f aca="false">J102/Assumptions!$B$5</f>
        <v>82394.1759203552</v>
      </c>
      <c r="M102" s="12" t="n">
        <f aca="false">E102*24*1000000*Assumptions!$B$3/D102/Assumptions!$B$5</f>
        <v>42723.7356922792</v>
      </c>
      <c r="N102" s="12" t="n">
        <f aca="false">G102*24*1000000*Assumptions!$B$3/D102/Assumptions!$B$5</f>
        <v>159338.32510409</v>
      </c>
      <c r="O102" s="12" t="n">
        <f aca="false">IF(ROW()&lt;8,"",AVERAGE(L96:L102))</f>
        <v>85076.3668563724</v>
      </c>
      <c r="P102" s="13" t="n">
        <f aca="false">IF(I102="","",I102/L102)</f>
        <v>0.965939511027237</v>
      </c>
    </row>
    <row r="103" customFormat="false" ht="15" hidden="false" customHeight="false" outlineLevel="0" collapsed="false">
      <c r="A103" s="9" t="n">
        <v>45759</v>
      </c>
      <c r="B103" s="10" t="n">
        <v>869.786662851059</v>
      </c>
      <c r="C103" s="11" t="n">
        <v>121.507793131898</v>
      </c>
      <c r="D103" s="10" t="n">
        <v>450</v>
      </c>
      <c r="E103" s="11" t="n">
        <v>10.5627306516</v>
      </c>
      <c r="F103" s="11" t="n">
        <v>20.2995123207932</v>
      </c>
      <c r="G103" s="11" t="n">
        <v>39.1058226618715</v>
      </c>
      <c r="H103" s="11" t="n">
        <f aca="false">IF(B103="","",F103*1000/B103)</f>
        <v>23.3384957344066</v>
      </c>
      <c r="I103" s="12" t="n">
        <v>83423.93</v>
      </c>
      <c r="J103" s="12" t="n">
        <f aca="false">F103*24*1000000*Assumptions!$B$3/D103</f>
        <v>54132.0328554484</v>
      </c>
      <c r="K103" s="12" t="n">
        <f aca="false">J103/Assumptions!$B$4</f>
        <v>72176.0438072646</v>
      </c>
      <c r="L103" s="12" t="n">
        <f aca="false">J103/Assumptions!$B$5</f>
        <v>83280.0505468437</v>
      </c>
      <c r="M103" s="12" t="n">
        <f aca="false">E103*24*1000000*Assumptions!$B$3/D103/Assumptions!$B$5</f>
        <v>43334.2795963077</v>
      </c>
      <c r="N103" s="12" t="n">
        <f aca="false">G103*24*1000000*Assumptions!$B$3/D103/Assumptions!$B$5</f>
        <v>160434.144253832</v>
      </c>
      <c r="O103" s="12" t="n">
        <f aca="false">IF(ROW()&lt;8,"",AVERAGE(L97:L103))</f>
        <v>86266.0488774302</v>
      </c>
      <c r="P103" s="13" t="n">
        <f aca="false">IF(I103="","",I103/L103)</f>
        <v>1.00172765809112</v>
      </c>
    </row>
    <row r="104" customFormat="false" ht="15" hidden="false" customHeight="false" outlineLevel="0" collapsed="false">
      <c r="A104" s="9" t="n">
        <v>45760</v>
      </c>
      <c r="B104" s="10" t="n">
        <v>1038.91184729432</v>
      </c>
      <c r="C104" s="11" t="n">
        <v>121.507793131898</v>
      </c>
      <c r="D104" s="10" t="n">
        <v>537.5</v>
      </c>
      <c r="E104" s="11" t="n">
        <v>10.8451008533143</v>
      </c>
      <c r="F104" s="11" t="n">
        <v>20.7634486221023</v>
      </c>
      <c r="G104" s="11" t="n">
        <v>39.8298171515857</v>
      </c>
      <c r="H104" s="11" t="n">
        <f aca="false">IF(B104="","",F104*1000/B104)</f>
        <v>19.9857655644003</v>
      </c>
      <c r="I104" s="12" t="n">
        <v>85283.27</v>
      </c>
      <c r="J104" s="12" t="n">
        <f aca="false">F104*24*1000000*Assumptions!$B$3/D104</f>
        <v>46355.6062260888</v>
      </c>
      <c r="K104" s="12" t="n">
        <f aca="false">J104/Assumptions!$B$4</f>
        <v>61807.4749681184</v>
      </c>
      <c r="L104" s="12" t="n">
        <f aca="false">J104/Assumptions!$B$5</f>
        <v>71316.3172709059</v>
      </c>
      <c r="M104" s="12" t="n">
        <f aca="false">E104*24*1000000*Assumptions!$B$3/D104/Assumptions!$B$5</f>
        <v>37249.7202832977</v>
      </c>
      <c r="N104" s="12" t="n">
        <f aca="false">G104*24*1000000*Assumptions!$B$3/D104/Assumptions!$B$5</f>
        <v>136803.665350706</v>
      </c>
      <c r="O104" s="12" t="n">
        <f aca="false">IF(ROW()&lt;8,"",AVERAGE(L98:L104))</f>
        <v>84172.0099309418</v>
      </c>
      <c r="P104" s="13" t="n">
        <f aca="false">IF(I104="","",I104/L104)</f>
        <v>1.19584512021335</v>
      </c>
    </row>
    <row r="105" customFormat="false" ht="15" hidden="false" customHeight="false" outlineLevel="0" collapsed="false">
      <c r="A105" s="9" t="n">
        <v>45761</v>
      </c>
      <c r="B105" s="10" t="n">
        <v>899.987588644498</v>
      </c>
      <c r="C105" s="11" t="n">
        <v>121.507793131898</v>
      </c>
      <c r="D105" s="10" t="n">
        <v>465.625</v>
      </c>
      <c r="E105" s="11" t="n">
        <v>10.8869335527429</v>
      </c>
      <c r="F105" s="11" t="n">
        <v>20.7723586262174</v>
      </c>
      <c r="G105" s="11" t="n">
        <v>39.6940686875857</v>
      </c>
      <c r="H105" s="11" t="n">
        <f aca="false">IF(B105="","",F105*1000/B105)</f>
        <v>23.080716765776</v>
      </c>
      <c r="I105" s="12" t="n">
        <v>83709.73</v>
      </c>
      <c r="J105" s="12" t="n">
        <f aca="false">F105*24*1000000*Assumptions!$B$3/D105</f>
        <v>53534.1322984394</v>
      </c>
      <c r="K105" s="12" t="n">
        <f aca="false">J105/Assumptions!$B$4</f>
        <v>71378.8430645859</v>
      </c>
      <c r="L105" s="12" t="n">
        <f aca="false">J105/Assumptions!$B$5</f>
        <v>82360.2035360606</v>
      </c>
      <c r="M105" s="12" t="n">
        <f aca="false">E105*24*1000000*Assumptions!$B$3/D105/Assumptions!$B$5</f>
        <v>43165.539331474</v>
      </c>
      <c r="N105" s="12" t="n">
        <f aca="false">G105*24*1000000*Assumptions!$B$3/D105/Assumptions!$B$5</f>
        <v>157382.781373598</v>
      </c>
      <c r="O105" s="12" t="n">
        <f aca="false">IF(ROW()&lt;8,"",AVERAGE(L99:L105))</f>
        <v>83602.1765238476</v>
      </c>
      <c r="P105" s="13" t="n">
        <f aca="false">IF(I105="","",I105/L105)</f>
        <v>1.01638566207948</v>
      </c>
    </row>
    <row r="106" customFormat="false" ht="15" hidden="false" customHeight="false" outlineLevel="0" collapsed="false">
      <c r="A106" s="9" t="n">
        <v>45762</v>
      </c>
      <c r="B106" s="10" t="n">
        <v>869.786662851059</v>
      </c>
      <c r="C106" s="11" t="n">
        <v>121.507793131898</v>
      </c>
      <c r="D106" s="10" t="n">
        <v>450</v>
      </c>
      <c r="E106" s="11" t="n">
        <v>10.7928102387429</v>
      </c>
      <c r="F106" s="11" t="n">
        <v>20.5202052914385</v>
      </c>
      <c r="G106" s="11" t="n">
        <v>39.0566394138715</v>
      </c>
      <c r="H106" s="11" t="n">
        <f aca="false">IF(B106="","",F106*1000/B106)</f>
        <v>23.592228034603</v>
      </c>
      <c r="I106" s="12" t="n">
        <v>84553.18</v>
      </c>
      <c r="J106" s="12" t="n">
        <f aca="false">F106*24*1000000*Assumptions!$B$3/D106</f>
        <v>54720.5474438361</v>
      </c>
      <c r="K106" s="12" t="n">
        <f aca="false">J106/Assumptions!$B$4</f>
        <v>72960.7299251148</v>
      </c>
      <c r="L106" s="12" t="n">
        <f aca="false">J106/Assumptions!$B$5</f>
        <v>84185.4576059017</v>
      </c>
      <c r="M106" s="12" t="n">
        <f aca="false">E106*24*1000000*Assumptions!$B$3/D106/Assumptions!$B$5</f>
        <v>44278.1958512528</v>
      </c>
      <c r="N106" s="12" t="n">
        <f aca="false">G106*24*1000000*Assumptions!$B$3/D106/Assumptions!$B$5</f>
        <v>160232.366826139</v>
      </c>
      <c r="O106" s="12" t="n">
        <f aca="false">IF(ROW()&lt;8,"",AVERAGE(L100:L106))</f>
        <v>83640.582396486</v>
      </c>
      <c r="P106" s="13" t="n">
        <f aca="false">IF(I106="","",I106/L106)</f>
        <v>1.00436800374501</v>
      </c>
    </row>
    <row r="107" customFormat="false" ht="15" hidden="false" customHeight="false" outlineLevel="0" collapsed="false">
      <c r="A107" s="9" t="n">
        <v>45763</v>
      </c>
      <c r="B107" s="10" t="n">
        <v>893.947403485811</v>
      </c>
      <c r="C107" s="11" t="n">
        <v>121.507793131898</v>
      </c>
      <c r="D107" s="10" t="n">
        <v>462.5</v>
      </c>
      <c r="E107" s="11" t="n">
        <v>10.9705987611429</v>
      </c>
      <c r="F107" s="11" t="n">
        <v>20.7930841339293</v>
      </c>
      <c r="G107" s="11" t="n">
        <v>39.4343752870143</v>
      </c>
      <c r="H107" s="11" t="n">
        <f aca="false">IF(B107="","",F107*1000/B107)</f>
        <v>23.2598518132609</v>
      </c>
      <c r="I107" s="12" t="n">
        <v>83631.52</v>
      </c>
      <c r="J107" s="12" t="n">
        <f aca="false">F107*24*1000000*Assumptions!$B$3/D107</f>
        <v>53949.6236988436</v>
      </c>
      <c r="K107" s="12" t="n">
        <f aca="false">J107/Assumptions!$B$4</f>
        <v>71932.8315984581</v>
      </c>
      <c r="L107" s="12" t="n">
        <f aca="false">J107/Assumptions!$B$5</f>
        <v>82999.4210751439</v>
      </c>
      <c r="M107" s="12" t="n">
        <f aca="false">E107*24*1000000*Assumptions!$B$3/D107/Assumptions!$B$5</f>
        <v>43791.1634540422</v>
      </c>
      <c r="N107" s="12" t="n">
        <f aca="false">G107*24*1000000*Assumptions!$B$3/D107/Assumptions!$B$5</f>
        <v>157409.564555234</v>
      </c>
      <c r="O107" s="12" t="n">
        <f aca="false">IF(ROW()&lt;8,"",AVERAGE(L101:L107))</f>
        <v>81888.3934216113</v>
      </c>
      <c r="P107" s="13" t="n">
        <f aca="false">IF(I107="","",I107/L107)</f>
        <v>1.00761570281657</v>
      </c>
    </row>
    <row r="108" customFormat="false" ht="15" hidden="false" customHeight="false" outlineLevel="0" collapsed="false">
      <c r="A108" s="9" t="n">
        <v>45764</v>
      </c>
      <c r="B108" s="10" t="n">
        <v>924.14832927925</v>
      </c>
      <c r="C108" s="11" t="n">
        <v>121.507793131898</v>
      </c>
      <c r="D108" s="10" t="n">
        <v>478.125</v>
      </c>
      <c r="E108" s="11" t="n">
        <v>11.0647220751429</v>
      </c>
      <c r="F108" s="11" t="n">
        <v>20.9312039390551</v>
      </c>
      <c r="G108" s="11" t="n">
        <v>39.5481650408571</v>
      </c>
      <c r="H108" s="11" t="n">
        <f aca="false">IF(B108="","",F108*1000/B108)</f>
        <v>22.6491822534371</v>
      </c>
      <c r="I108" s="12" t="n">
        <v>84033.59</v>
      </c>
      <c r="J108" s="12" t="n">
        <f aca="false">F108*24*1000000*Assumptions!$B$3/D108</f>
        <v>52533.2177293933</v>
      </c>
      <c r="K108" s="12" t="n">
        <f aca="false">J108/Assumptions!$B$4</f>
        <v>70044.2903058577</v>
      </c>
      <c r="L108" s="12" t="n">
        <f aca="false">J108/Assumptions!$B$5</f>
        <v>80820.3349682973</v>
      </c>
      <c r="M108" s="12" t="n">
        <f aca="false">E108*24*1000000*Assumptions!$B$3/D108/Assumptions!$B$5</f>
        <v>42723.5120850162</v>
      </c>
      <c r="N108" s="12" t="n">
        <f aca="false">G108*24*1000000*Assumptions!$B$3/D108/Assumptions!$B$5</f>
        <v>152704.830323672</v>
      </c>
      <c r="O108" s="12" t="n">
        <f aca="false">IF(ROW()&lt;8,"",AVERAGE(L102:L108))</f>
        <v>81050.8515605012</v>
      </c>
      <c r="P108" s="13" t="n">
        <f aca="false">IF(I108="","",I108/L108)</f>
        <v>1.03975800190587</v>
      </c>
    </row>
    <row r="109" customFormat="false" ht="15" hidden="false" customHeight="false" outlineLevel="0" collapsed="false">
      <c r="A109" s="9" t="n">
        <v>45765</v>
      </c>
      <c r="B109" s="10" t="n">
        <v>821.465181581556</v>
      </c>
      <c r="C109" s="11" t="n">
        <v>121.507793131898</v>
      </c>
      <c r="D109" s="10" t="n">
        <v>425</v>
      </c>
      <c r="E109" s="11" t="n">
        <v>10.9392242365714</v>
      </c>
      <c r="F109" s="11" t="n">
        <v>20.6937988930712</v>
      </c>
      <c r="G109" s="11" t="n">
        <v>39.0996034594286</v>
      </c>
      <c r="H109" s="11" t="n">
        <f aca="false">IF(B109="","",F109*1000/B109)</f>
        <v>25.1913280770217</v>
      </c>
      <c r="I109" s="12" t="n">
        <v>84915.2</v>
      </c>
      <c r="J109" s="12" t="n">
        <f aca="false">F109*24*1000000*Assumptions!$B$3/D109</f>
        <v>58429.5498157303</v>
      </c>
      <c r="K109" s="12" t="n">
        <f aca="false">J109/Assumptions!$B$4</f>
        <v>77906.0664209738</v>
      </c>
      <c r="L109" s="12" t="n">
        <f aca="false">J109/Assumptions!$B$5</f>
        <v>89891.6151011236</v>
      </c>
      <c r="M109" s="12" t="n">
        <f aca="false">E109*24*1000000*Assumptions!$B$3/D109/Assumptions!$B$5</f>
        <v>47518.8021136135</v>
      </c>
      <c r="N109" s="12" t="n">
        <f aca="false">G109*24*1000000*Assumptions!$B$3/D109/Assumptions!$B$5</f>
        <v>169844.431316975</v>
      </c>
      <c r="O109" s="12" t="n">
        <f aca="false">IF(ROW()&lt;8,"",AVERAGE(L103:L109))</f>
        <v>82121.914300611</v>
      </c>
      <c r="P109" s="13" t="n">
        <f aca="false">IF(I109="","",I109/L109)</f>
        <v>0.944639829916001</v>
      </c>
    </row>
    <row r="110" customFormat="false" ht="15" hidden="false" customHeight="false" outlineLevel="0" collapsed="false">
      <c r="A110" s="9" t="n">
        <v>45766</v>
      </c>
      <c r="B110" s="10" t="n">
        <v>847.396221129345</v>
      </c>
      <c r="C110" s="11" t="n">
        <v>122.63815378592</v>
      </c>
      <c r="D110" s="10" t="n">
        <v>434.375</v>
      </c>
      <c r="E110" s="11" t="n">
        <v>10.9011997104</v>
      </c>
      <c r="F110" s="11" t="n">
        <v>20.6218676591391</v>
      </c>
      <c r="G110" s="11" t="n">
        <v>38.9636940144</v>
      </c>
      <c r="H110" s="11" t="n">
        <f aca="false">IF(B110="","",F110*1000/B110)</f>
        <v>24.3355671702853</v>
      </c>
      <c r="I110" s="12" t="n">
        <v>84466.72</v>
      </c>
      <c r="J110" s="12" t="n">
        <f aca="false">F110*24*1000000*Assumptions!$B$3/D110</f>
        <v>56969.7638928735</v>
      </c>
      <c r="K110" s="12" t="n">
        <f aca="false">J110/Assumptions!$B$4</f>
        <v>75959.685190498</v>
      </c>
      <c r="L110" s="12" t="n">
        <f aca="false">J110/Assumptions!$B$5</f>
        <v>87645.7906044208</v>
      </c>
      <c r="M110" s="12" t="n">
        <f aca="false">E110*24*1000000*Assumptions!$B$3/D110/Assumptions!$B$5</f>
        <v>46331.6069595307</v>
      </c>
      <c r="N110" s="12" t="n">
        <f aca="false">G110*24*1000000*Assumptions!$B$3/D110/Assumptions!$B$5</f>
        <v>165601.090221689</v>
      </c>
      <c r="O110" s="12" t="n">
        <f aca="false">IF(ROW()&lt;8,"",AVERAGE(L104:L110))</f>
        <v>82745.5914516934</v>
      </c>
      <c r="P110" s="13" t="n">
        <f aca="false">IF(I110="","",I110/L110)</f>
        <v>0.963728199808601</v>
      </c>
    </row>
    <row r="111" customFormat="false" ht="15" hidden="false" customHeight="false" outlineLevel="0" collapsed="false">
      <c r="A111" s="9" t="n">
        <v>45767</v>
      </c>
      <c r="B111" s="10" t="n">
        <v>753.499802439736</v>
      </c>
      <c r="C111" s="11" t="n">
        <v>123.234387977051</v>
      </c>
      <c r="D111" s="10" t="n">
        <v>384.375</v>
      </c>
      <c r="E111" s="11" t="n">
        <v>10.4070290458286</v>
      </c>
      <c r="F111" s="11" t="n">
        <v>19.6870419228398</v>
      </c>
      <c r="G111" s="11" t="n">
        <v>37.1974008469714</v>
      </c>
      <c r="H111" s="11" t="n">
        <f aca="false">IF(B111="","",F111*1000/B111)</f>
        <v>26.1274679291164</v>
      </c>
      <c r="I111" s="12" t="n">
        <v>85090.63</v>
      </c>
      <c r="J111" s="12" t="n">
        <f aca="false">F111*24*1000000*Assumptions!$B$3/D111</f>
        <v>61461.9845395973</v>
      </c>
      <c r="K111" s="12" t="n">
        <f aca="false">J111/Assumptions!$B$4</f>
        <v>81949.3127194631</v>
      </c>
      <c r="L111" s="12" t="n">
        <f aca="false">J111/Assumptions!$B$5</f>
        <v>94556.8992916882</v>
      </c>
      <c r="M111" s="12" t="n">
        <f aca="false">E111*24*1000000*Assumptions!$B$3/D111/Assumptions!$B$5</f>
        <v>49984.9800324974</v>
      </c>
      <c r="N111" s="12" t="n">
        <f aca="false">G111*24*1000000*Assumptions!$B$3/D111/Assumptions!$B$5</f>
        <v>178659.186056748</v>
      </c>
      <c r="O111" s="12" t="n">
        <f aca="false">IF(ROW()&lt;8,"",AVERAGE(L105:L111))</f>
        <v>86065.6745975195</v>
      </c>
      <c r="P111" s="13" t="n">
        <f aca="false">IF(I111="","",I111/L111)</f>
        <v>0.899888116439957</v>
      </c>
    </row>
    <row r="112" customFormat="false" ht="15" hidden="false" customHeight="false" outlineLevel="0" collapsed="false">
      <c r="A112" s="9" t="n">
        <v>45768</v>
      </c>
      <c r="B112" s="10" t="n">
        <v>771.877846401681</v>
      </c>
      <c r="C112" s="11" t="n">
        <v>123.234387977051</v>
      </c>
      <c r="D112" s="10" t="n">
        <v>393.75</v>
      </c>
      <c r="E112" s="11" t="n">
        <v>10.1852160778286</v>
      </c>
      <c r="F112" s="11" t="n">
        <v>19.2674369442416</v>
      </c>
      <c r="G112" s="11" t="n">
        <v>36.4045841989714</v>
      </c>
      <c r="H112" s="11" t="n">
        <f aca="false">IF(B112="","",F112*1000/B112)</f>
        <v>24.961769578</v>
      </c>
      <c r="I112" s="12" t="n">
        <v>85172.64</v>
      </c>
      <c r="J112" s="12" t="n">
        <f aca="false">F112*24*1000000*Assumptions!$B$3/D112</f>
        <v>58719.8078300696</v>
      </c>
      <c r="K112" s="12" t="n">
        <f aca="false">J112/Assumptions!$B$4</f>
        <v>78293.0771067595</v>
      </c>
      <c r="L112" s="12" t="n">
        <f aca="false">J112/Assumptions!$B$5</f>
        <v>90338.1658924148</v>
      </c>
      <c r="M112" s="12" t="n">
        <f aca="false">E112*24*1000000*Assumptions!$B$3/D112/Assumptions!$B$5</f>
        <v>47754.8592660094</v>
      </c>
      <c r="N112" s="12" t="n">
        <f aca="false">G112*24*1000000*Assumptions!$B$3/D112/Assumptions!$B$5</f>
        <v>170688.160346826</v>
      </c>
      <c r="O112" s="12" t="n">
        <f aca="false">IF(ROW()&lt;8,"",AVERAGE(L106:L112))</f>
        <v>87205.3835055701</v>
      </c>
      <c r="P112" s="13" t="n">
        <f aca="false">IF(I112="","",I112/L112)</f>
        <v>0.942820115491756</v>
      </c>
    </row>
    <row r="113" customFormat="false" ht="15" hidden="false" customHeight="false" outlineLevel="0" collapsed="false">
      <c r="A113" s="9" t="n">
        <v>45769</v>
      </c>
      <c r="B113" s="10" t="n">
        <v>949.532271367147</v>
      </c>
      <c r="C113" s="11" t="n">
        <v>123.234387977052</v>
      </c>
      <c r="D113" s="10" t="n">
        <v>484.375</v>
      </c>
      <c r="E113" s="11" t="n">
        <v>10.3232898881143</v>
      </c>
      <c r="F113" s="11" t="n">
        <v>19.5286320345571</v>
      </c>
      <c r="G113" s="11" t="n">
        <v>36.8980955406857</v>
      </c>
      <c r="H113" s="11" t="n">
        <f aca="false">IF(B113="","",F113*1000/B113)</f>
        <v>20.5665806454788</v>
      </c>
      <c r="I113" s="12" t="n">
        <v>87522.75</v>
      </c>
      <c r="J113" s="12" t="n">
        <f aca="false">F113*24*1000000*Assumptions!$B$3/D113</f>
        <v>48380.610975935</v>
      </c>
      <c r="K113" s="12" t="n">
        <f aca="false">J113/Assumptions!$B$4</f>
        <v>64507.4813012466</v>
      </c>
      <c r="L113" s="12" t="n">
        <f aca="false">J113/Assumptions!$B$5</f>
        <v>74431.7091937461</v>
      </c>
      <c r="M113" s="12" t="n">
        <f aca="false">E113*24*1000000*Assumptions!$B$3/D113/Assumptions!$B$5</f>
        <v>39346.3356529617</v>
      </c>
      <c r="N113" s="12" t="n">
        <f aca="false">G113*24*1000000*Assumptions!$B$3/D113/Assumptions!$B$5</f>
        <v>140633.932383358</v>
      </c>
      <c r="O113" s="12" t="n">
        <f aca="false">IF(ROW()&lt;8,"",AVERAGE(L107:L113))</f>
        <v>85811.9908752621</v>
      </c>
      <c r="P113" s="13" t="n">
        <f aca="false">IF(I113="","",I113/L113)</f>
        <v>1.17587988974132</v>
      </c>
    </row>
    <row r="114" customFormat="false" ht="15" hidden="false" customHeight="false" outlineLevel="0" collapsed="false">
      <c r="A114" s="9" t="n">
        <v>45770</v>
      </c>
      <c r="B114" s="10" t="n">
        <v>698.365670553902</v>
      </c>
      <c r="C114" s="11" t="n">
        <v>123.234387977051</v>
      </c>
      <c r="D114" s="10" t="n">
        <v>356.25</v>
      </c>
      <c r="E114" s="11" t="n">
        <v>9.98465414468572</v>
      </c>
      <c r="F114" s="11" t="n">
        <v>18.9200962154511</v>
      </c>
      <c r="G114" s="11" t="n">
        <v>35.8664783835656</v>
      </c>
      <c r="H114" s="11" t="n">
        <f aca="false">IF(B114="","",F114*1000/B114)</f>
        <v>27.0919620095943</v>
      </c>
      <c r="I114" s="12" t="n">
        <v>93472.65</v>
      </c>
      <c r="J114" s="12" t="n">
        <f aca="false">F114*24*1000000*Assumptions!$B$3/D114</f>
        <v>63730.8504099406</v>
      </c>
      <c r="K114" s="12" t="n">
        <f aca="false">J114/Assumptions!$B$4</f>
        <v>84974.4672132542</v>
      </c>
      <c r="L114" s="12" t="n">
        <f aca="false">J114/Assumptions!$B$5</f>
        <v>98047.4621691394</v>
      </c>
      <c r="M114" s="12" t="n">
        <f aca="false">E114*24*1000000*Assumptions!$B$3/D114/Assumptions!$B$5</f>
        <v>51742.337268007</v>
      </c>
      <c r="N114" s="12" t="n">
        <f aca="false">G114*24*1000000*Assumptions!$B$3/D114/Assumptions!$B$5</f>
        <v>185866.770570704</v>
      </c>
      <c r="O114" s="12" t="n">
        <f aca="false">IF(ROW()&lt;8,"",AVERAGE(L108:L114))</f>
        <v>87961.7110315472</v>
      </c>
      <c r="P114" s="13" t="n">
        <f aca="false">IF(I114="","",I114/L114)</f>
        <v>0.953340840569157</v>
      </c>
    </row>
    <row r="115" customFormat="false" ht="15" hidden="false" customHeight="false" outlineLevel="0" collapsed="false">
      <c r="A115" s="9" t="n">
        <v>45771</v>
      </c>
      <c r="B115" s="10" t="n">
        <v>863.768066211405</v>
      </c>
      <c r="C115" s="11" t="n">
        <v>123.234387977052</v>
      </c>
      <c r="D115" s="10" t="n">
        <v>440.625</v>
      </c>
      <c r="E115" s="11" t="n">
        <v>9.88010998542857</v>
      </c>
      <c r="F115" s="11" t="n">
        <v>18.7915876618301</v>
      </c>
      <c r="G115" s="11" t="n">
        <v>35.7741522427085</v>
      </c>
      <c r="H115" s="11" t="n">
        <f aca="false">IF(B115="","",F115*1000/B115)</f>
        <v>21.7553628073475</v>
      </c>
      <c r="I115" s="12" t="n">
        <v>93708.71</v>
      </c>
      <c r="J115" s="12" t="n">
        <f aca="false">F115*24*1000000*Assumptions!$B$3/D115</f>
        <v>51177.0898024308</v>
      </c>
      <c r="K115" s="12" t="n">
        <f aca="false">J115/Assumptions!$B$4</f>
        <v>68236.1197365744</v>
      </c>
      <c r="L115" s="12" t="n">
        <f aca="false">J115/Assumptions!$B$5</f>
        <v>78733.984311432</v>
      </c>
      <c r="M115" s="12" t="n">
        <f aca="false">E115*24*1000000*Assumptions!$B$3/D115/Assumptions!$B$5</f>
        <v>41396.205503596</v>
      </c>
      <c r="N115" s="12" t="n">
        <f aca="false">G115*24*1000000*Assumptions!$B$3/D115/Assumptions!$B$5</f>
        <v>149888.428381888</v>
      </c>
      <c r="O115" s="12" t="n">
        <f aca="false">IF(ROW()&lt;8,"",AVERAGE(L109:L115))</f>
        <v>87663.6609377093</v>
      </c>
      <c r="P115" s="13" t="n">
        <f aca="false">IF(I115="","",I115/L115)</f>
        <v>1.19019392730508</v>
      </c>
    </row>
    <row r="116" customFormat="false" ht="15" hidden="false" customHeight="false" outlineLevel="0" collapsed="false">
      <c r="A116" s="9" t="n">
        <v>45772</v>
      </c>
      <c r="B116" s="10" t="n">
        <v>882.146110173349</v>
      </c>
      <c r="C116" s="11" t="n">
        <v>123.234387977052</v>
      </c>
      <c r="D116" s="10" t="n">
        <v>450</v>
      </c>
      <c r="E116" s="11" t="n">
        <v>9.985174716</v>
      </c>
      <c r="F116" s="11" t="n">
        <v>19.0610711360661</v>
      </c>
      <c r="G116" s="11" t="n">
        <v>36.4370082229942</v>
      </c>
      <c r="H116" s="11" t="n">
        <f aca="false">IF(B116="","",F116*1000/B116)</f>
        <v>21.6076122948844</v>
      </c>
      <c r="I116" s="12" t="n">
        <v>93970.77</v>
      </c>
      <c r="J116" s="12" t="n">
        <f aca="false">F116*24*1000000*Assumptions!$B$3/D116</f>
        <v>50829.5230295096</v>
      </c>
      <c r="K116" s="12" t="n">
        <f aca="false">J116/Assumptions!$B$4</f>
        <v>67772.6973726794</v>
      </c>
      <c r="L116" s="12" t="n">
        <f aca="false">J116/Assumptions!$B$5</f>
        <v>78199.2661992455</v>
      </c>
      <c r="M116" s="12" t="n">
        <f aca="false">E116*24*1000000*Assumptions!$B$3/D116/Assumptions!$B$5</f>
        <v>40964.8193476923</v>
      </c>
      <c r="N116" s="12" t="n">
        <f aca="false">G116*24*1000000*Assumptions!$B$3/D116/Assumptions!$B$5</f>
        <v>149485.161940489</v>
      </c>
      <c r="O116" s="12" t="n">
        <f aca="false">IF(ROW()&lt;8,"",AVERAGE(L110:L116))</f>
        <v>85993.3253802981</v>
      </c>
      <c r="P116" s="13" t="n">
        <f aca="false">IF(I116="","",I116/L116)</f>
        <v>1.20168352680663</v>
      </c>
    </row>
    <row r="117" customFormat="false" ht="15" hidden="false" customHeight="false" outlineLevel="0" collapsed="false">
      <c r="A117" s="9" t="n">
        <v>45773</v>
      </c>
      <c r="B117" s="10" t="n">
        <v>814.759948979552</v>
      </c>
      <c r="C117" s="11" t="n">
        <v>123.234387977051</v>
      </c>
      <c r="D117" s="10" t="n">
        <v>415.625</v>
      </c>
      <c r="E117" s="11" t="n">
        <v>9.92792433771429</v>
      </c>
      <c r="F117" s="11" t="n">
        <v>19.0180989752423</v>
      </c>
      <c r="G117" s="11" t="n">
        <v>36.4977595851656</v>
      </c>
      <c r="H117" s="11" t="n">
        <f aca="false">IF(B117="","",F117*1000/B117)</f>
        <v>23.3419659361773</v>
      </c>
      <c r="I117" s="12" t="n">
        <v>94724.46</v>
      </c>
      <c r="J117" s="12" t="n">
        <f aca="false">F117*24*1000000*Assumptions!$B$3/D117</f>
        <v>54909.3985450604</v>
      </c>
      <c r="K117" s="12" t="n">
        <f aca="false">J117/Assumptions!$B$4</f>
        <v>73212.5313934139</v>
      </c>
      <c r="L117" s="12" t="n">
        <f aca="false">J117/Assumptions!$B$5</f>
        <v>84475.9977616314</v>
      </c>
      <c r="M117" s="12" t="n">
        <f aca="false">E117*24*1000000*Assumptions!$B$3/D117/Assumptions!$B$5</f>
        <v>44098.5881513278</v>
      </c>
      <c r="N117" s="12" t="n">
        <f aca="false">G117*24*1000000*Assumptions!$B$3/D117/Assumptions!$B$5</f>
        <v>162118.446277659</v>
      </c>
      <c r="O117" s="12" t="n">
        <f aca="false">IF(ROW()&lt;8,"",AVERAGE(L111:L117))</f>
        <v>85540.4978313282</v>
      </c>
      <c r="P117" s="13" t="n">
        <f aca="false">IF(I117="","",I117/L117)</f>
        <v>1.12131803719309</v>
      </c>
    </row>
    <row r="118" customFormat="false" ht="15" hidden="false" customHeight="false" outlineLevel="0" collapsed="false">
      <c r="A118" s="9" t="n">
        <v>45774</v>
      </c>
      <c r="B118" s="10" t="n">
        <v>827.011978287515</v>
      </c>
      <c r="C118" s="11" t="n">
        <v>123.234387977051</v>
      </c>
      <c r="D118" s="10" t="n">
        <v>421.875</v>
      </c>
      <c r="E118" s="11" t="n">
        <v>10.0552054092</v>
      </c>
      <c r="F118" s="11" t="n">
        <v>19.3251884989568</v>
      </c>
      <c r="G118" s="11" t="n">
        <v>37.2220645131656</v>
      </c>
      <c r="H118" s="11" t="n">
        <f aca="false">IF(B118="","",F118*1000/B118)</f>
        <v>23.3674831880588</v>
      </c>
      <c r="I118" s="12" t="n">
        <v>94660.46</v>
      </c>
      <c r="J118" s="12" t="n">
        <f aca="false">F118*24*1000000*Assumptions!$B$3/D118</f>
        <v>54969.4250636993</v>
      </c>
      <c r="K118" s="12" t="n">
        <f aca="false">J118/Assumptions!$B$4</f>
        <v>73292.5667515991</v>
      </c>
      <c r="L118" s="12" t="n">
        <f aca="false">J118/Assumptions!$B$5</f>
        <v>84568.3462518451</v>
      </c>
      <c r="M118" s="12" t="n">
        <f aca="false">E118*24*1000000*Assumptions!$B$3/D118/Assumptions!$B$5</f>
        <v>44002.2664060718</v>
      </c>
      <c r="N118" s="12" t="n">
        <f aca="false">G118*24*1000000*Assumptions!$B$3/D118/Assumptions!$B$5</f>
        <v>162886.299408041</v>
      </c>
      <c r="O118" s="12" t="n">
        <f aca="false">IF(ROW()&lt;8,"",AVERAGE(L112:L118))</f>
        <v>84113.5616827792</v>
      </c>
      <c r="P118" s="13" t="n">
        <f aca="false">IF(I118="","",I118/L118)</f>
        <v>1.11933677546562</v>
      </c>
    </row>
    <row r="119" customFormat="false" ht="15" hidden="false" customHeight="false" outlineLevel="0" collapsed="false">
      <c r="A119" s="9" t="n">
        <v>45775</v>
      </c>
      <c r="B119" s="10" t="n">
        <v>863.768066211405</v>
      </c>
      <c r="C119" s="11" t="n">
        <v>123.234387977052</v>
      </c>
      <c r="D119" s="10" t="n">
        <v>440.625</v>
      </c>
      <c r="E119" s="11" t="n">
        <v>10.2143068308</v>
      </c>
      <c r="F119" s="11" t="n">
        <v>19.6954199392619</v>
      </c>
      <c r="G119" s="11" t="n">
        <v>38.0720755474513</v>
      </c>
      <c r="H119" s="11" t="n">
        <f aca="false">IF(B119="","",F119*1000/B119)</f>
        <v>22.8017458733436</v>
      </c>
      <c r="I119" s="12" t="n">
        <v>93782.18</v>
      </c>
      <c r="J119" s="12" t="n">
        <f aca="false">F119*24*1000000*Assumptions!$B$3/D119</f>
        <v>53638.5904728834</v>
      </c>
      <c r="K119" s="12" t="n">
        <f aca="false">J119/Assumptions!$B$4</f>
        <v>71518.1206305113</v>
      </c>
      <c r="L119" s="12" t="n">
        <f aca="false">J119/Assumptions!$B$5</f>
        <v>82520.9084198207</v>
      </c>
      <c r="M119" s="12" t="n">
        <f aca="false">E119*24*1000000*Assumptions!$B$3/D119/Assumptions!$B$5</f>
        <v>42796.441058671</v>
      </c>
      <c r="N119" s="12" t="n">
        <f aca="false">G119*24*1000000*Assumptions!$B$3/D119/Assumptions!$B$5</f>
        <v>159516.388545786</v>
      </c>
      <c r="O119" s="12" t="n">
        <f aca="false">IF(ROW()&lt;8,"",AVERAGE(L113:L119))</f>
        <v>82996.8106152657</v>
      </c>
      <c r="P119" s="13" t="n">
        <f aca="false">IF(I119="","",I119/L119)</f>
        <v>1.13646567634578</v>
      </c>
    </row>
    <row r="120" customFormat="false" ht="15" hidden="false" customHeight="false" outlineLevel="0" collapsed="false">
      <c r="A120" s="9" t="n">
        <v>45776</v>
      </c>
      <c r="B120" s="10" t="n">
        <v>894.398139481313</v>
      </c>
      <c r="C120" s="11" t="n">
        <v>123.234387977052</v>
      </c>
      <c r="D120" s="10" t="n">
        <v>456.25</v>
      </c>
      <c r="E120" s="11" t="n">
        <v>10.1188459709143</v>
      </c>
      <c r="F120" s="11" t="n">
        <v>19.5865502880134</v>
      </c>
      <c r="G120" s="11" t="n">
        <v>38.0221921114513</v>
      </c>
      <c r="H120" s="11" t="n">
        <f aca="false">IF(B120="","",F120*1000/B120)</f>
        <v>21.8991402412489</v>
      </c>
      <c r="I120" s="12" t="n">
        <v>94998.2</v>
      </c>
      <c r="J120" s="12" t="n">
        <f aca="false">F120*24*1000000*Assumptions!$B$3/D120</f>
        <v>51515.3103465557</v>
      </c>
      <c r="K120" s="12" t="n">
        <f aca="false">J120/Assumptions!$B$4</f>
        <v>68687.0804620742</v>
      </c>
      <c r="L120" s="12" t="n">
        <f aca="false">J120/Assumptions!$B$5</f>
        <v>79254.3236100856</v>
      </c>
      <c r="M120" s="12" t="n">
        <f aca="false">E120*24*1000000*Assumptions!$B$3/D120/Assumptions!$B$5</f>
        <v>40944.540071982</v>
      </c>
      <c r="N120" s="12" t="n">
        <f aca="false">G120*24*1000000*Assumptions!$B$3/D120/Assumptions!$B$5</f>
        <v>153851.651957822</v>
      </c>
      <c r="O120" s="12" t="n">
        <f aca="false">IF(ROW()&lt;8,"",AVERAGE(L114:L120))</f>
        <v>83685.7555318857</v>
      </c>
      <c r="P120" s="13" t="n">
        <f aca="false">IF(I120="","",I120/L120)</f>
        <v>1.19865006314824</v>
      </c>
    </row>
    <row r="121" customFormat="false" ht="15" hidden="false" customHeight="false" outlineLevel="0" collapsed="false">
      <c r="A121" s="9" t="n">
        <v>45777</v>
      </c>
      <c r="B121" s="10" t="n">
        <v>808.63393432557</v>
      </c>
      <c r="C121" s="11" t="n">
        <v>123.234387977051</v>
      </c>
      <c r="D121" s="10" t="n">
        <v>412.5</v>
      </c>
      <c r="E121" s="11" t="n">
        <v>10.3097674829143</v>
      </c>
      <c r="F121" s="11" t="n">
        <v>19.9688624148046</v>
      </c>
      <c r="G121" s="11" t="n">
        <v>38.7892241931429</v>
      </c>
      <c r="H121" s="11" t="n">
        <f aca="false">IF(B121="","",F121*1000/B121)</f>
        <v>24.6945639641742</v>
      </c>
      <c r="I121" s="12" t="n">
        <v>94274.98</v>
      </c>
      <c r="J121" s="12" t="n">
        <f aca="false">F121*24*1000000*Assumptions!$B$3/D121</f>
        <v>58091.2361157952</v>
      </c>
      <c r="K121" s="12" t="n">
        <f aca="false">J121/Assumptions!$B$4</f>
        <v>77454.981487727</v>
      </c>
      <c r="L121" s="12" t="n">
        <f aca="false">J121/Assumptions!$B$5</f>
        <v>89371.1324858388</v>
      </c>
      <c r="M121" s="12" t="n">
        <f aca="false">E121*24*1000000*Assumptions!$B$3/D121/Assumptions!$B$5</f>
        <v>46141.6167067492</v>
      </c>
      <c r="N121" s="12" t="n">
        <f aca="false">G121*24*1000000*Assumptions!$B$3/D121/Assumptions!$B$5</f>
        <v>173602.122263017</v>
      </c>
      <c r="O121" s="12" t="n">
        <f aca="false">IF(ROW()&lt;8,"",AVERAGE(L115:L121))</f>
        <v>82446.2798628427</v>
      </c>
      <c r="P121" s="13" t="n">
        <f aca="false">IF(I121="","",I121/L121)</f>
        <v>1.0548705983438</v>
      </c>
    </row>
    <row r="122" customFormat="false" ht="15" hidden="false" customHeight="false" outlineLevel="0" collapsed="false">
      <c r="A122" s="9" t="n">
        <v>45778</v>
      </c>
      <c r="B122" s="10" t="n">
        <v>827.011978287515</v>
      </c>
      <c r="C122" s="11" t="n">
        <v>123.234387977051</v>
      </c>
      <c r="D122" s="10" t="n">
        <v>421.875</v>
      </c>
      <c r="E122" s="11" t="n">
        <v>10.2461269385143</v>
      </c>
      <c r="F122" s="11" t="n">
        <v>19.829241007885</v>
      </c>
      <c r="G122" s="11" t="n">
        <v>38.5497845211429</v>
      </c>
      <c r="H122" s="11" t="n">
        <f aca="false">IF(B122="","",F122*1000/B122)</f>
        <v>23.9769695342808</v>
      </c>
      <c r="I122" s="12" t="n">
        <v>94206.41</v>
      </c>
      <c r="J122" s="12" t="n">
        <f aca="false">F122*24*1000000*Assumptions!$B$3/D122</f>
        <v>56403.1744224285</v>
      </c>
      <c r="K122" s="12" t="n">
        <f aca="false">J122/Assumptions!$B$4</f>
        <v>75204.232563238</v>
      </c>
      <c r="L122" s="12" t="n">
        <f aca="false">J122/Assumptions!$B$5</f>
        <v>86774.1144960438</v>
      </c>
      <c r="M122" s="12" t="n">
        <f aca="false">E122*24*1000000*Assumptions!$B$3/D122/Assumptions!$B$5</f>
        <v>44837.7520728146</v>
      </c>
      <c r="N122" s="12" t="n">
        <f aca="false">G122*24*1000000*Assumptions!$B$3/D122/Assumptions!$B$5</f>
        <v>168696.492947223</v>
      </c>
      <c r="O122" s="12" t="n">
        <f aca="false">IF(ROW()&lt;8,"",AVERAGE(L116:L122))</f>
        <v>83594.8698892158</v>
      </c>
      <c r="P122" s="13" t="n">
        <f aca="false">IF(I122="","",I122/L122)</f>
        <v>1.08565106710821</v>
      </c>
    </row>
    <row r="123" customFormat="false" ht="15" hidden="false" customHeight="false" outlineLevel="0" collapsed="false">
      <c r="A123" s="9" t="n">
        <v>45779</v>
      </c>
      <c r="B123" s="10" t="n">
        <v>974.036329983074</v>
      </c>
      <c r="C123" s="11" t="n">
        <v>123.234387977052</v>
      </c>
      <c r="D123" s="10" t="n">
        <v>496.875</v>
      </c>
      <c r="E123" s="11" t="n">
        <v>10.4052283428</v>
      </c>
      <c r="F123" s="11" t="n">
        <v>20.1184018876968</v>
      </c>
      <c r="G123" s="11" t="n">
        <v>39.148383864</v>
      </c>
      <c r="H123" s="11" t="n">
        <f aca="false">IF(B123="","",F123*1000/B123)</f>
        <v>20.6546730018237</v>
      </c>
      <c r="I123" s="12" t="n">
        <v>96507.26</v>
      </c>
      <c r="J123" s="12" t="n">
        <f aca="false">F123*24*1000000*Assumptions!$B$3/D123</f>
        <v>48587.83852123</v>
      </c>
      <c r="K123" s="12" t="n">
        <f aca="false">J123/Assumptions!$B$4</f>
        <v>64783.7846949733</v>
      </c>
      <c r="L123" s="12" t="n">
        <f aca="false">J123/Assumptions!$B$5</f>
        <v>74750.5208018923</v>
      </c>
      <c r="M123" s="12" t="n">
        <f aca="false">E123*24*1000000*Assumptions!$B$3/D123/Assumptions!$B$5</f>
        <v>38660.9354971959</v>
      </c>
      <c r="N123" s="12" t="n">
        <f aca="false">G123*24*1000000*Assumptions!$B$3/D123/Assumptions!$B$5</f>
        <v>145456.985038955</v>
      </c>
      <c r="O123" s="12" t="n">
        <f aca="false">IF(ROW()&lt;8,"",AVERAGE(L117:L123))</f>
        <v>83102.1919753083</v>
      </c>
      <c r="P123" s="13" t="n">
        <f aca="false">IF(I123="","",I123/L123)</f>
        <v>1.29105802828811</v>
      </c>
    </row>
    <row r="124" customFormat="false" ht="15" hidden="false" customHeight="false" outlineLevel="0" collapsed="false">
      <c r="A124" s="9" t="n">
        <v>45780</v>
      </c>
      <c r="B124" s="10" t="n">
        <v>999.957994459352</v>
      </c>
      <c r="C124" s="11" t="n">
        <v>122.656845148756</v>
      </c>
      <c r="D124" s="10" t="n">
        <v>512.5</v>
      </c>
      <c r="E124" s="11" t="n">
        <v>10.7241132649714</v>
      </c>
      <c r="F124" s="11" t="n">
        <v>20.7167354633864</v>
      </c>
      <c r="G124" s="11" t="n">
        <v>40.3481489177143</v>
      </c>
      <c r="H124" s="11" t="n">
        <f aca="false">IF(B124="","",F124*1000/B124)</f>
        <v>20.7176057176155</v>
      </c>
      <c r="I124" s="12" t="n">
        <v>96927.01</v>
      </c>
      <c r="J124" s="12" t="n">
        <f aca="false">F124*24*1000000*Assumptions!$B$3/D124</f>
        <v>48507.478158173</v>
      </c>
      <c r="K124" s="12" t="n">
        <f aca="false">J124/Assumptions!$B$4</f>
        <v>64676.6375442307</v>
      </c>
      <c r="L124" s="12" t="n">
        <f aca="false">J124/Assumptions!$B$5</f>
        <v>74626.8894741124</v>
      </c>
      <c r="M124" s="12" t="n">
        <f aca="false">E124*24*1000000*Assumptions!$B$3/D124/Assumptions!$B$5</f>
        <v>38630.952098959</v>
      </c>
      <c r="N124" s="12" t="n">
        <f aca="false">G124*24*1000000*Assumptions!$B$3/D124/Assumptions!$B$5</f>
        <v>145344.176213905</v>
      </c>
      <c r="O124" s="12" t="n">
        <f aca="false">IF(ROW()&lt;8,"",AVERAGE(L118:L124))</f>
        <v>81695.1765056627</v>
      </c>
      <c r="P124" s="13" t="n">
        <f aca="false">IF(I124="","",I124/L124)</f>
        <v>1.29882151973684</v>
      </c>
    </row>
    <row r="125" customFormat="false" ht="15" hidden="false" customHeight="false" outlineLevel="0" collapsed="false">
      <c r="A125" s="9" t="n">
        <v>45781</v>
      </c>
      <c r="B125" s="10" t="n">
        <v>823.060870715854</v>
      </c>
      <c r="C125" s="11" t="n">
        <v>119.116256505724</v>
      </c>
      <c r="D125" s="10" t="n">
        <v>434.375</v>
      </c>
      <c r="E125" s="11" t="n">
        <v>10.7172722002286</v>
      </c>
      <c r="F125" s="11" t="n">
        <v>20.6872701452947</v>
      </c>
      <c r="G125" s="11" t="n">
        <v>40.3224102582857</v>
      </c>
      <c r="H125" s="11" t="n">
        <f aca="false">IF(B125="","",F125*1000/B125)</f>
        <v>25.1345567276233</v>
      </c>
      <c r="I125" s="12" t="n">
        <v>95895.74</v>
      </c>
      <c r="J125" s="12" t="n">
        <f aca="false">F125*24*1000000*Assumptions!$B$3/D125</f>
        <v>57150.4441423969</v>
      </c>
      <c r="K125" s="12" t="n">
        <f aca="false">J125/Assumptions!$B$4</f>
        <v>76200.5921898625</v>
      </c>
      <c r="L125" s="12" t="n">
        <f aca="false">J125/Assumptions!$B$5</f>
        <v>87923.7602190722</v>
      </c>
      <c r="M125" s="12" t="n">
        <f aca="false">E125*24*1000000*Assumptions!$B$3/D125/Assumptions!$B$5</f>
        <v>45549.8895947733</v>
      </c>
      <c r="N125" s="12" t="n">
        <f aca="false">G125*24*1000000*Assumptions!$B$3/D125/Assumptions!$B$5</f>
        <v>171375.822237761</v>
      </c>
      <c r="O125" s="12" t="n">
        <f aca="false">IF(ROW()&lt;8,"",AVERAGE(L119:L125))</f>
        <v>82174.5213581237</v>
      </c>
      <c r="P125" s="13" t="n">
        <f aca="false">IF(I125="","",I125/L125)</f>
        <v>1.09066923162823</v>
      </c>
    </row>
    <row r="126" customFormat="false" ht="15" hidden="false" customHeight="false" outlineLevel="0" collapsed="false">
      <c r="A126" s="9" t="n">
        <v>45782</v>
      </c>
      <c r="B126" s="10" t="n">
        <v>1036.22771493003</v>
      </c>
      <c r="C126" s="11" t="n">
        <v>119.116256505724</v>
      </c>
      <c r="D126" s="10" t="n">
        <v>546.875</v>
      </c>
      <c r="E126" s="11" t="n">
        <v>11.0158737483429</v>
      </c>
      <c r="F126" s="11" t="n">
        <v>21.2455598651178</v>
      </c>
      <c r="G126" s="11" t="n">
        <v>41.4458616274286</v>
      </c>
      <c r="H126" s="11" t="n">
        <f aca="false">IF(B126="","",F126*1000/B126)</f>
        <v>20.5027906115716</v>
      </c>
      <c r="I126" s="12" t="n">
        <v>94312.45</v>
      </c>
      <c r="J126" s="12" t="n">
        <f aca="false">F126*24*1000000*Assumptions!$B$3/D126</f>
        <v>46618.82850403</v>
      </c>
      <c r="K126" s="12" t="n">
        <f aca="false">J126/Assumptions!$B$4</f>
        <v>62158.4380053733</v>
      </c>
      <c r="L126" s="12" t="n">
        <f aca="false">J126/Assumptions!$B$5</f>
        <v>71721.2746215845</v>
      </c>
      <c r="M126" s="12" t="n">
        <f aca="false">E126*24*1000000*Assumptions!$B$3/D126/Assumptions!$B$5</f>
        <v>37187.6529174827</v>
      </c>
      <c r="N126" s="12" t="n">
        <f aca="false">G126*24*1000000*Assumptions!$B$3/D126/Assumptions!$B$5</f>
        <v>139913.941669737</v>
      </c>
      <c r="O126" s="12" t="n">
        <f aca="false">IF(ROW()&lt;8,"",AVERAGE(L120:L126))</f>
        <v>80631.7165298042</v>
      </c>
      <c r="P126" s="13" t="n">
        <f aca="false">IF(I126="","",I126/L126)</f>
        <v>1.31498569284513</v>
      </c>
    </row>
    <row r="127" customFormat="false" ht="15" hidden="false" customHeight="false" outlineLevel="0" collapsed="false">
      <c r="A127" s="9" t="n">
        <v>45783</v>
      </c>
      <c r="B127" s="10" t="n">
        <v>817.139569487683</v>
      </c>
      <c r="C127" s="11" t="n">
        <v>119.116256505724</v>
      </c>
      <c r="D127" s="10" t="n">
        <v>431.25</v>
      </c>
      <c r="E127" s="11" t="n">
        <v>10.8821061048</v>
      </c>
      <c r="F127" s="11" t="n">
        <v>20.9702254367369</v>
      </c>
      <c r="G127" s="11" t="n">
        <v>40.942577424</v>
      </c>
      <c r="H127" s="11" t="n">
        <f aca="false">IF(B127="","",F127*1000/B127)</f>
        <v>25.6629665479112</v>
      </c>
      <c r="I127" s="12" t="n">
        <v>94727.8</v>
      </c>
      <c r="J127" s="12" t="n">
        <f aca="false">F127*24*1000000*Assumptions!$B$3/D127</f>
        <v>58351.9316500506</v>
      </c>
      <c r="K127" s="12" t="n">
        <f aca="false">J127/Assumptions!$B$4</f>
        <v>77802.5755334008</v>
      </c>
      <c r="L127" s="12" t="n">
        <f aca="false">J127/Assumptions!$B$5</f>
        <v>89772.2025385394</v>
      </c>
      <c r="M127" s="12" t="n">
        <f aca="false">E127*24*1000000*Assumptions!$B$3/D127/Assumptions!$B$5</f>
        <v>46585.6047295786</v>
      </c>
      <c r="N127" s="12" t="n">
        <f aca="false">G127*24*1000000*Assumptions!$B$3/D127/Assumptions!$B$5</f>
        <v>175272.5722499</v>
      </c>
      <c r="O127" s="12" t="n">
        <f aca="false">IF(ROW()&lt;8,"",AVERAGE(L121:L127))</f>
        <v>82134.2706624405</v>
      </c>
      <c r="P127" s="13" t="n">
        <f aca="false">IF(I127="","",I127/L127)</f>
        <v>1.0552019146387</v>
      </c>
    </row>
    <row r="128" customFormat="false" ht="15" hidden="false" customHeight="false" outlineLevel="0" collapsed="false">
      <c r="A128" s="9" t="n">
        <v>45784</v>
      </c>
      <c r="B128" s="10" t="n">
        <v>894.116485453914</v>
      </c>
      <c r="C128" s="11" t="n">
        <v>119.116256505724</v>
      </c>
      <c r="D128" s="10" t="n">
        <v>471.875</v>
      </c>
      <c r="E128" s="11" t="n">
        <v>11.0301131208</v>
      </c>
      <c r="F128" s="11" t="n">
        <v>21.2510882509698</v>
      </c>
      <c r="G128" s="11" t="n">
        <v>41.499435504</v>
      </c>
      <c r="H128" s="11" t="n">
        <f aca="false">IF(B128="","",F128*1000/B128)</f>
        <v>23.7676953693358</v>
      </c>
      <c r="I128" s="12" t="n">
        <v>96818.39</v>
      </c>
      <c r="J128" s="12" t="n">
        <f aca="false">F128*24*1000000*Assumptions!$B$3/D128</f>
        <v>54042.5025720025</v>
      </c>
      <c r="K128" s="12" t="n">
        <f aca="false">J128/Assumptions!$B$4</f>
        <v>72056.6700960034</v>
      </c>
      <c r="L128" s="12" t="n">
        <f aca="false">J128/Assumptions!$B$5</f>
        <v>83142.3116492347</v>
      </c>
      <c r="M128" s="12" t="n">
        <f aca="false">E128*24*1000000*Assumptions!$B$3/D128/Assumptions!$B$5</f>
        <v>43153.9830706796</v>
      </c>
      <c r="N128" s="12" t="n">
        <f aca="false">G128*24*1000000*Assumptions!$B$3/D128/Assumptions!$B$5</f>
        <v>162361.520463943</v>
      </c>
      <c r="O128" s="12" t="n">
        <f aca="false">IF(ROW()&lt;8,"",AVERAGE(L122:L128))</f>
        <v>81244.4391143542</v>
      </c>
      <c r="P128" s="13" t="n">
        <f aca="false">IF(I128="","",I128/L128)</f>
        <v>1.16448999407742</v>
      </c>
    </row>
    <row r="129" customFormat="false" ht="15" hidden="false" customHeight="false" outlineLevel="0" collapsed="false">
      <c r="A129" s="9" t="n">
        <v>45785</v>
      </c>
      <c r="B129" s="10" t="n">
        <v>941.486895279287</v>
      </c>
      <c r="C129" s="11" t="n">
        <v>119.116256505724</v>
      </c>
      <c r="D129" s="10" t="n">
        <v>496.875</v>
      </c>
      <c r="E129" s="11" t="n">
        <v>11.2283182853143</v>
      </c>
      <c r="F129" s="11" t="n">
        <v>21.6329588081219</v>
      </c>
      <c r="G129" s="11" t="n">
        <v>42.2451579051429</v>
      </c>
      <c r="H129" s="11" t="n">
        <f aca="false">IF(B129="","",F129*1000/B129)</f>
        <v>22.9774401710654</v>
      </c>
      <c r="I129" s="12" t="n">
        <v>97042.54</v>
      </c>
      <c r="J129" s="12" t="n">
        <f aca="false">F129*24*1000000*Assumptions!$B$3/D129</f>
        <v>52245.636366785</v>
      </c>
      <c r="K129" s="12" t="n">
        <f aca="false">J129/Assumptions!$B$4</f>
        <v>69660.8484890466</v>
      </c>
      <c r="L129" s="12" t="n">
        <f aca="false">J129/Assumptions!$B$5</f>
        <v>80377.9021027461</v>
      </c>
      <c r="M129" s="12" t="n">
        <f aca="false">E129*24*1000000*Assumptions!$B$3/D129/Assumptions!$B$5</f>
        <v>41719.1506682215</v>
      </c>
      <c r="N129" s="12" t="n">
        <f aca="false">G129*24*1000000*Assumptions!$B$3/D129/Assumptions!$B$5</f>
        <v>156963.141127962</v>
      </c>
      <c r="O129" s="12" t="n">
        <f aca="false">IF(ROW()&lt;8,"",AVERAGE(L123:L129))</f>
        <v>80330.6944867402</v>
      </c>
      <c r="P129" s="13" t="n">
        <f aca="false">IF(I129="","",I129/L129)</f>
        <v>1.20732859979291</v>
      </c>
    </row>
    <row r="130" customFormat="false" ht="15" hidden="false" customHeight="false" outlineLevel="0" collapsed="false">
      <c r="A130" s="9" t="n">
        <v>45786</v>
      </c>
      <c r="B130" s="10" t="n">
        <v>828.982171944026</v>
      </c>
      <c r="C130" s="11" t="n">
        <v>119.116256505724</v>
      </c>
      <c r="D130" s="10" t="n">
        <v>437.5</v>
      </c>
      <c r="E130" s="11" t="n">
        <v>10.9771672817143</v>
      </c>
      <c r="F130" s="11" t="n">
        <v>21.1724945425132</v>
      </c>
      <c r="G130" s="11" t="n">
        <v>41.8686782331429</v>
      </c>
      <c r="H130" s="11" t="n">
        <f aca="false">IF(B130="","",F130*1000/B130)</f>
        <v>25.5403496710455</v>
      </c>
      <c r="I130" s="12" t="n">
        <v>103223.26</v>
      </c>
      <c r="J130" s="12" t="n">
        <f aca="false">F130*24*1000000*Assumptions!$B$3/D130</f>
        <v>58073.1278880361</v>
      </c>
      <c r="K130" s="12" t="n">
        <f aca="false">J130/Assumptions!$B$4</f>
        <v>77430.8371840482</v>
      </c>
      <c r="L130" s="12" t="n">
        <f aca="false">J130/Assumptions!$B$5</f>
        <v>89343.2736739017</v>
      </c>
      <c r="M130" s="12" t="n">
        <f aca="false">E130*24*1000000*Assumptions!$B$3/D130/Assumptions!$B$5</f>
        <v>46321.2333645966</v>
      </c>
      <c r="N130" s="12" t="n">
        <f aca="false">G130*24*1000000*Assumptions!$B$3/D130/Assumptions!$B$5</f>
        <v>176676.620236559</v>
      </c>
      <c r="O130" s="12" t="n">
        <f aca="false">IF(ROW()&lt;8,"",AVERAGE(L124:L130))</f>
        <v>82415.3734684559</v>
      </c>
      <c r="P130" s="13" t="n">
        <f aca="false">IF(I130="","",I130/L130)</f>
        <v>1.15535569445059</v>
      </c>
    </row>
    <row r="131" customFormat="false" ht="15" hidden="false" customHeight="false" outlineLevel="0" collapsed="false">
      <c r="A131" s="9" t="n">
        <v>45787</v>
      </c>
      <c r="B131" s="10" t="n">
        <v>888.195184225742</v>
      </c>
      <c r="C131" s="11" t="n">
        <v>119.116256505724</v>
      </c>
      <c r="D131" s="10" t="n">
        <v>468.75</v>
      </c>
      <c r="E131" s="11" t="n">
        <v>10.7854302668571</v>
      </c>
      <c r="F131" s="11" t="n">
        <v>20.8281722426004</v>
      </c>
      <c r="G131" s="11" t="n">
        <v>41.7563395817143</v>
      </c>
      <c r="H131" s="11" t="n">
        <f aca="false">IF(B131="","",F131*1000/B131)</f>
        <v>23.4499945648284</v>
      </c>
      <c r="I131" s="12" t="n">
        <v>102982.07</v>
      </c>
      <c r="J131" s="12" t="n">
        <f aca="false">F131*24*1000000*Assumptions!$B$3/D131</f>
        <v>53320.120941057</v>
      </c>
      <c r="K131" s="12" t="n">
        <f aca="false">J131/Assumptions!$B$4</f>
        <v>71093.4945880761</v>
      </c>
      <c r="L131" s="12" t="n">
        <f aca="false">J131/Assumptions!$B$5</f>
        <v>82030.9552939339</v>
      </c>
      <c r="M131" s="12" t="n">
        <f aca="false">E131*24*1000000*Assumptions!$B$3/D131/Assumptions!$B$5</f>
        <v>42478.0022817758</v>
      </c>
      <c r="N131" s="12" t="n">
        <f aca="false">G131*24*1000000*Assumptions!$B$3/D131/Assumptions!$B$5</f>
        <v>164455.737429521</v>
      </c>
      <c r="O131" s="12" t="n">
        <f aca="false">IF(ROW()&lt;8,"",AVERAGE(L125:L131))</f>
        <v>83473.0971570018</v>
      </c>
      <c r="P131" s="13" t="n">
        <f aca="false">IF(I131="","",I131/L131)</f>
        <v>1.25540498255803</v>
      </c>
    </row>
    <row r="132" customFormat="false" ht="15" hidden="false" customHeight="false" outlineLevel="0" collapsed="false">
      <c r="A132" s="9" t="n">
        <v>45788</v>
      </c>
      <c r="B132" s="10" t="n">
        <v>882.273882997571</v>
      </c>
      <c r="C132" s="11" t="n">
        <v>119.116256505724</v>
      </c>
      <c r="D132" s="10" t="n">
        <v>465.625</v>
      </c>
      <c r="E132" s="11" t="n">
        <v>10.8879533468571</v>
      </c>
      <c r="F132" s="11" t="n">
        <v>21.0506167976901</v>
      </c>
      <c r="G132" s="11" t="n">
        <v>42.7470577714286</v>
      </c>
      <c r="H132" s="11" t="n">
        <f aca="false">IF(B132="","",F132*1000/B132)</f>
        <v>23.859503498131</v>
      </c>
      <c r="I132" s="12" t="n">
        <v>104766.27</v>
      </c>
      <c r="J132" s="12" t="n">
        <f aca="false">F132*24*1000000*Assumptions!$B$3/D132</f>
        <v>54251.2540289464</v>
      </c>
      <c r="K132" s="12" t="n">
        <f aca="false">J132/Assumptions!$B$4</f>
        <v>72335.0053719285</v>
      </c>
      <c r="L132" s="12" t="n">
        <f aca="false">J132/Assumptions!$B$5</f>
        <v>83463.4677368405</v>
      </c>
      <c r="M132" s="12" t="n">
        <f aca="false">E132*24*1000000*Assumptions!$B$3/D132/Assumptions!$B$5</f>
        <v>43169.5827072085</v>
      </c>
      <c r="N132" s="12" t="n">
        <f aca="false">G132*24*1000000*Assumptions!$B$3/D132/Assumptions!$B$5</f>
        <v>169487.55998171</v>
      </c>
      <c r="O132" s="12" t="n">
        <f aca="false">IF(ROW()&lt;8,"",AVERAGE(L126:L132))</f>
        <v>82835.912516683</v>
      </c>
      <c r="P132" s="13" t="n">
        <f aca="false">IF(I132="","",I132/L132)</f>
        <v>1.25523504882791</v>
      </c>
    </row>
    <row r="133" customFormat="false" ht="15" hidden="false" customHeight="false" outlineLevel="0" collapsed="false">
      <c r="A133" s="9" t="n">
        <v>45789</v>
      </c>
      <c r="B133" s="10" t="n">
        <v>858.588678084884</v>
      </c>
      <c r="C133" s="11" t="n">
        <v>119.116256505724</v>
      </c>
      <c r="D133" s="10" t="n">
        <v>453.125</v>
      </c>
      <c r="E133" s="11" t="n">
        <v>10.5803841068571</v>
      </c>
      <c r="F133" s="11" t="n">
        <v>20.4822909582667</v>
      </c>
      <c r="G133" s="11" t="n">
        <v>42.1786131085714</v>
      </c>
      <c r="H133" s="11" t="n">
        <f aca="false">IF(B133="","",F133*1000/B133)</f>
        <v>23.8557664235141</v>
      </c>
      <c r="I133" s="12" t="n">
        <v>104130.99</v>
      </c>
      <c r="J133" s="12" t="n">
        <f aca="false">F133*24*1000000*Assumptions!$B$3/D133</f>
        <v>54242.7567446512</v>
      </c>
      <c r="K133" s="12" t="n">
        <f aca="false">J133/Assumptions!$B$4</f>
        <v>72323.6756595349</v>
      </c>
      <c r="L133" s="12" t="n">
        <f aca="false">J133/Assumptions!$B$5</f>
        <v>83450.394991771</v>
      </c>
      <c r="M133" s="12" t="n">
        <f aca="false">E133*24*1000000*Assumptions!$B$3/D133/Assumptions!$B$5</f>
        <v>43107.3474486275</v>
      </c>
      <c r="N133" s="12" t="n">
        <f aca="false">G133*24*1000000*Assumptions!$B$3/D133/Assumptions!$B$5</f>
        <v>171847.081524578</v>
      </c>
      <c r="O133" s="12" t="n">
        <f aca="false">IF(ROW()&lt;8,"",AVERAGE(L127:L133))</f>
        <v>84511.5011409953</v>
      </c>
      <c r="P133" s="13" t="n">
        <f aca="false">IF(I133="","",I133/L133)</f>
        <v>1.2478190188347</v>
      </c>
    </row>
    <row r="134" customFormat="false" ht="15" hidden="false" customHeight="false" outlineLevel="0" collapsed="false">
      <c r="A134" s="9" t="n">
        <v>45790</v>
      </c>
      <c r="B134" s="10" t="n">
        <v>769.76915966231</v>
      </c>
      <c r="C134" s="11" t="n">
        <v>119.116256505723</v>
      </c>
      <c r="D134" s="10" t="n">
        <v>406.25</v>
      </c>
      <c r="E134" s="11" t="n">
        <v>10.4983655562857</v>
      </c>
      <c r="F134" s="11" t="n">
        <v>20.3460120900766</v>
      </c>
      <c r="G134" s="11" t="n">
        <v>42.3978701657143</v>
      </c>
      <c r="H134" s="11" t="n">
        <f aca="false">IF(B134="","",F134*1000/B134)</f>
        <v>26.4313162390166</v>
      </c>
      <c r="I134" s="12" t="n">
        <v>102827.18</v>
      </c>
      <c r="J134" s="12" t="n">
        <f aca="false">F134*24*1000000*Assumptions!$B$3/D134</f>
        <v>60098.9895583801</v>
      </c>
      <c r="K134" s="12" t="n">
        <f aca="false">J134/Assumptions!$B$4</f>
        <v>80131.9860778401</v>
      </c>
      <c r="L134" s="12" t="n">
        <f aca="false">J134/Assumptions!$B$5</f>
        <v>92459.9839359694</v>
      </c>
      <c r="M134" s="12" t="n">
        <f aca="false">E134*24*1000000*Assumptions!$B$3/D134/Assumptions!$B$5</f>
        <v>47708.5488001623</v>
      </c>
      <c r="N134" s="12" t="n">
        <f aca="false">G134*24*1000000*Assumptions!$B$3/D134/Assumptions!$B$5</f>
        <v>192671.978031175</v>
      </c>
      <c r="O134" s="12" t="n">
        <f aca="false">IF(ROW()&lt;8,"",AVERAGE(L128:L134))</f>
        <v>84895.4699120568</v>
      </c>
      <c r="P134" s="13" t="n">
        <f aca="false">IF(I134="","",I134/L134)</f>
        <v>1.11212630180868</v>
      </c>
    </row>
    <row r="135" customFormat="false" ht="15" hidden="false" customHeight="false" outlineLevel="0" collapsed="false">
      <c r="A135" s="9" t="n">
        <v>45791</v>
      </c>
      <c r="B135" s="10" t="n">
        <v>852.667376856713</v>
      </c>
      <c r="C135" s="11" t="n">
        <v>119.116256505724</v>
      </c>
      <c r="D135" s="10" t="n">
        <v>450</v>
      </c>
      <c r="E135" s="11" t="n">
        <v>10.4265994002857</v>
      </c>
      <c r="F135" s="11" t="n">
        <v>20.231827326523</v>
      </c>
      <c r="G135" s="11" t="n">
        <v>42.7125451028571</v>
      </c>
      <c r="H135" s="11" t="n">
        <f aca="false">IF(B135="","",F135*1000/B135)</f>
        <v>23.7276901587416</v>
      </c>
      <c r="I135" s="12" t="n">
        <v>104154.71</v>
      </c>
      <c r="J135" s="12" t="n">
        <f aca="false">F135*24*1000000*Assumptions!$B$3/D135</f>
        <v>53951.5395373947</v>
      </c>
      <c r="K135" s="12" t="n">
        <f aca="false">J135/Assumptions!$B$4</f>
        <v>71935.3860498596</v>
      </c>
      <c r="L135" s="12" t="n">
        <f aca="false">J135/Assumptions!$B$5</f>
        <v>83002.3685190687</v>
      </c>
      <c r="M135" s="12" t="n">
        <f aca="false">E135*24*1000000*Assumptions!$B$3/D135/Assumptions!$B$5</f>
        <v>42775.7924114286</v>
      </c>
      <c r="N135" s="12" t="n">
        <f aca="false">G135*24*1000000*Assumptions!$B$3/D135/Assumptions!$B$5</f>
        <v>175230.954268132</v>
      </c>
      <c r="O135" s="12" t="n">
        <f aca="false">IF(ROW()&lt;8,"",AVERAGE(L129:L135))</f>
        <v>84875.4780363188</v>
      </c>
      <c r="P135" s="13" t="n">
        <f aca="false">IF(I135="","",I135/L135)</f>
        <v>1.25484021550628</v>
      </c>
    </row>
    <row r="136" customFormat="false" ht="15" hidden="false" customHeight="false" outlineLevel="0" collapsed="false">
      <c r="A136" s="9" t="n">
        <v>45792</v>
      </c>
      <c r="B136" s="10" t="n">
        <v>864.509979313056</v>
      </c>
      <c r="C136" s="11" t="n">
        <v>119.116256505724</v>
      </c>
      <c r="D136" s="10" t="n">
        <v>456.25</v>
      </c>
      <c r="E136" s="11" t="n">
        <v>10.2933193097143</v>
      </c>
      <c r="F136" s="11" t="n">
        <v>19.9994616670018</v>
      </c>
      <c r="G136" s="11" t="n">
        <v>42.80390208</v>
      </c>
      <c r="H136" s="11" t="n">
        <f aca="false">IF(B136="","",F136*1000/B136)</f>
        <v>23.1338702219417</v>
      </c>
      <c r="I136" s="12" t="n">
        <v>103552.22</v>
      </c>
      <c r="J136" s="12" t="n">
        <f aca="false">F136*24*1000000*Assumptions!$B$3/D136</f>
        <v>52601.3238364978</v>
      </c>
      <c r="K136" s="12" t="n">
        <f aca="false">J136/Assumptions!$B$4</f>
        <v>70135.0984486637</v>
      </c>
      <c r="L136" s="12" t="n">
        <f aca="false">J136/Assumptions!$B$5</f>
        <v>80925.113594612</v>
      </c>
      <c r="M136" s="12" t="n">
        <f aca="false">E136*24*1000000*Assumptions!$B$3/D136/Assumptions!$B$5</f>
        <v>41650.5228127533</v>
      </c>
      <c r="N136" s="12" t="n">
        <f aca="false">G136*24*1000000*Assumptions!$B$3/D136/Assumptions!$B$5</f>
        <v>173200.193874816</v>
      </c>
      <c r="O136" s="12" t="n">
        <f aca="false">IF(ROW()&lt;8,"",AVERAGE(L130:L136))</f>
        <v>84953.6511065853</v>
      </c>
      <c r="P136" s="13" t="n">
        <f aca="false">IF(I136="","",I136/L136)</f>
        <v>1.27960549451604</v>
      </c>
    </row>
    <row r="137" customFormat="false" ht="15" hidden="false" customHeight="false" outlineLevel="0" collapsed="false">
      <c r="A137" s="9" t="n">
        <v>45793</v>
      </c>
      <c r="B137" s="10" t="n">
        <v>805.29696703134</v>
      </c>
      <c r="C137" s="11" t="n">
        <v>119.116256505723</v>
      </c>
      <c r="D137" s="10" t="n">
        <v>425</v>
      </c>
      <c r="E137" s="11" t="n">
        <v>10.2523101123429</v>
      </c>
      <c r="F137" s="11" t="n">
        <v>19.9197826202194</v>
      </c>
      <c r="G137" s="11" t="n">
        <v>42.633368784</v>
      </c>
      <c r="H137" s="11" t="n">
        <f aca="false">IF(B137="","",F137*1000/B137)</f>
        <v>24.7359464094991</v>
      </c>
      <c r="I137" s="12" t="n">
        <v>103757.39</v>
      </c>
      <c r="J137" s="12" t="n">
        <f aca="false">F137*24*1000000*Assumptions!$B$3/D137</f>
        <v>56244.0921041489</v>
      </c>
      <c r="K137" s="12" t="n">
        <f aca="false">J137/Assumptions!$B$4</f>
        <v>74992.1228055319</v>
      </c>
      <c r="L137" s="12" t="n">
        <f aca="false">J137/Assumptions!$B$5</f>
        <v>86529.3724679214</v>
      </c>
      <c r="M137" s="12" t="n">
        <f aca="false">E137*24*1000000*Assumptions!$B$3/D137/Assumptions!$B$5</f>
        <v>44534.9217549735</v>
      </c>
      <c r="N137" s="12" t="n">
        <f aca="false">G137*24*1000000*Assumptions!$B$3/D137/Assumptions!$B$5</f>
        <v>185194.724129593</v>
      </c>
      <c r="O137" s="12" t="n">
        <f aca="false">IF(ROW()&lt;8,"",AVERAGE(L131:L137))</f>
        <v>84551.6652200167</v>
      </c>
      <c r="P137" s="13" t="n">
        <f aca="false">IF(I137="","",I137/L137)</f>
        <v>1.19910022505324</v>
      </c>
    </row>
    <row r="138" customFormat="false" ht="15" hidden="false" customHeight="false" outlineLevel="0" collapsed="false">
      <c r="A138" s="9" t="n">
        <v>45794</v>
      </c>
      <c r="B138" s="10" t="n">
        <v>853.317480082075</v>
      </c>
      <c r="C138" s="11" t="n">
        <v>120.040690785396</v>
      </c>
      <c r="D138" s="10" t="n">
        <v>446.875</v>
      </c>
      <c r="E138" s="11" t="n">
        <v>10.1930159557714</v>
      </c>
      <c r="F138" s="11" t="n">
        <v>19.8045767108576</v>
      </c>
      <c r="G138" s="11" t="n">
        <v>42.386799024</v>
      </c>
      <c r="H138" s="11" t="n">
        <f aca="false">IF(B138="","",F138*1000/B138)</f>
        <v>23.2089195090117</v>
      </c>
      <c r="I138" s="12" t="n">
        <v>103499.95</v>
      </c>
      <c r="J138" s="12" t="n">
        <f aca="false">F138*24*1000000*Assumptions!$B$3/D138</f>
        <v>53181.520678107</v>
      </c>
      <c r="K138" s="12" t="n">
        <f aca="false">J138/Assumptions!$B$4</f>
        <v>70908.694237476</v>
      </c>
      <c r="L138" s="12" t="n">
        <f aca="false">J138/Assumptions!$B$5</f>
        <v>81817.7241201647</v>
      </c>
      <c r="M138" s="12" t="n">
        <f aca="false">E138*24*1000000*Assumptions!$B$3/D138/Assumptions!$B$5</f>
        <v>42109.9314364307</v>
      </c>
      <c r="N138" s="12" t="n">
        <f aca="false">G138*24*1000000*Assumptions!$B$3/D138/Assumptions!$B$5</f>
        <v>175110.605973276</v>
      </c>
      <c r="O138" s="12" t="n">
        <f aca="false">IF(ROW()&lt;8,"",AVERAGE(L132:L138))</f>
        <v>84521.203623764</v>
      </c>
      <c r="P138" s="13" t="n">
        <f aca="false">IF(I138="","",I138/L138)</f>
        <v>1.26500646544496</v>
      </c>
    </row>
    <row r="139" customFormat="false" ht="15" hidden="false" customHeight="false" outlineLevel="0" collapsed="false">
      <c r="A139" s="9" t="n">
        <v>45795</v>
      </c>
      <c r="B139" s="10" t="n">
        <v>979.723251299811</v>
      </c>
      <c r="C139" s="11" t="n">
        <v>121.658450774825</v>
      </c>
      <c r="D139" s="10" t="n">
        <v>506.25</v>
      </c>
      <c r="E139" s="11" t="n">
        <v>10.3617426312</v>
      </c>
      <c r="F139" s="11" t="n">
        <v>20.1324051378111</v>
      </c>
      <c r="G139" s="11" t="n">
        <v>43.088434704</v>
      </c>
      <c r="H139" s="11" t="n">
        <f aca="false">IF(B139="","",F139*1000/B139)</f>
        <v>20.5490735379621</v>
      </c>
      <c r="I139" s="12" t="n">
        <v>103158.51</v>
      </c>
      <c r="J139" s="12" t="n">
        <f aca="false">F139*24*1000000*Assumptions!$B$3/D139</f>
        <v>47721.2566229597</v>
      </c>
      <c r="K139" s="12" t="n">
        <f aca="false">J139/Assumptions!$B$4</f>
        <v>63628.3421639463</v>
      </c>
      <c r="L139" s="12" t="n">
        <f aca="false">J139/Assumptions!$B$5</f>
        <v>73417.3178814765</v>
      </c>
      <c r="M139" s="12" t="n">
        <f aca="false">E139*24*1000000*Assumptions!$B$3/D139/Assumptions!$B$5</f>
        <v>37786.4118744615</v>
      </c>
      <c r="N139" s="12" t="n">
        <f aca="false">G139*24*1000000*Assumptions!$B$3/D139/Assumptions!$B$5</f>
        <v>157131.613735385</v>
      </c>
      <c r="O139" s="12" t="n">
        <f aca="false">IF(ROW()&lt;8,"",AVERAGE(L133:L139))</f>
        <v>83086.039358712</v>
      </c>
      <c r="P139" s="13" t="n">
        <f aca="false">IF(I139="","",I139/L139)</f>
        <v>1.40509777497643</v>
      </c>
    </row>
    <row r="140" customFormat="false" ht="15" hidden="false" customHeight="false" outlineLevel="0" collapsed="false">
      <c r="A140" s="9" t="n">
        <v>45796</v>
      </c>
      <c r="B140" s="10" t="n">
        <v>852.72208909428</v>
      </c>
      <c r="C140" s="11" t="n">
        <v>121.658450774825</v>
      </c>
      <c r="D140" s="10" t="n">
        <v>440.625</v>
      </c>
      <c r="E140" s="11" t="n">
        <v>10.3515850323429</v>
      </c>
      <c r="F140" s="11" t="n">
        <v>20.1126693749479</v>
      </c>
      <c r="G140" s="11" t="n">
        <v>43.046195184</v>
      </c>
      <c r="H140" s="11" t="n">
        <f aca="false">IF(B140="","",F140*1000/B140)</f>
        <v>23.5864294266267</v>
      </c>
      <c r="I140" s="12" t="n">
        <v>106424.76</v>
      </c>
      <c r="J140" s="12" t="n">
        <f aca="false">F140*24*1000000*Assumptions!$B$3/D140</f>
        <v>54774.9293615602</v>
      </c>
      <c r="K140" s="12" t="n">
        <f aca="false">J140/Assumptions!$B$4</f>
        <v>73033.2391487469</v>
      </c>
      <c r="L140" s="12" t="n">
        <f aca="false">J140/Assumptions!$B$5</f>
        <v>84269.122094708</v>
      </c>
      <c r="M140" s="12" t="n">
        <f aca="false">E140*24*1000000*Assumptions!$B$3/D140/Assumptions!$B$5</f>
        <v>43371.6165021239</v>
      </c>
      <c r="N140" s="12" t="n">
        <f aca="false">G140*24*1000000*Assumptions!$B$3/D140/Assumptions!$B$5</f>
        <v>180357.217137545</v>
      </c>
      <c r="O140" s="12" t="n">
        <f aca="false">IF(ROW()&lt;8,"",AVERAGE(L134:L140))</f>
        <v>83203.0003734172</v>
      </c>
      <c r="P140" s="13" t="n">
        <f aca="false">IF(I140="","",I140/L140)</f>
        <v>1.26291525714949</v>
      </c>
    </row>
    <row r="141" customFormat="false" ht="15" hidden="false" customHeight="false" outlineLevel="0" collapsed="false">
      <c r="A141" s="9" t="n">
        <v>45797</v>
      </c>
      <c r="B141" s="10" t="n">
        <v>895.055809829457</v>
      </c>
      <c r="C141" s="11" t="n">
        <v>121.658450774825</v>
      </c>
      <c r="D141" s="10" t="n">
        <v>462.5</v>
      </c>
      <c r="E141" s="11" t="n">
        <v>10.5685099177714</v>
      </c>
      <c r="F141" s="11" t="n">
        <v>20.5341447805202</v>
      </c>
      <c r="G141" s="11" t="n">
        <v>43.948259064</v>
      </c>
      <c r="H141" s="11" t="n">
        <f aca="false">IF(B141="","",F141*1000/B141)</f>
        <v>22.9417479390841</v>
      </c>
      <c r="I141" s="12" t="n">
        <v>105622.1</v>
      </c>
      <c r="J141" s="12" t="n">
        <f aca="false">F141*24*1000000*Assumptions!$B$3/D141</f>
        <v>53277.7810521606</v>
      </c>
      <c r="K141" s="12" t="n">
        <f aca="false">J141/Assumptions!$B$4</f>
        <v>71037.0414028808</v>
      </c>
      <c r="L141" s="12" t="n">
        <f aca="false">J141/Assumptions!$B$5</f>
        <v>81965.817003324</v>
      </c>
      <c r="M141" s="12" t="n">
        <f aca="false">E141*24*1000000*Assumptions!$B$3/D141/Assumptions!$B$5</f>
        <v>42186.1518547217</v>
      </c>
      <c r="N141" s="12" t="n">
        <f aca="false">G141*24*1000000*Assumptions!$B$3/D141/Assumptions!$B$5</f>
        <v>175427.56216815</v>
      </c>
      <c r="O141" s="12" t="n">
        <f aca="false">IF(ROW()&lt;8,"",AVERAGE(L135:L141))</f>
        <v>81703.8336687536</v>
      </c>
      <c r="P141" s="13" t="n">
        <f aca="false">IF(I141="","",I141/L141)</f>
        <v>1.28861156835314</v>
      </c>
    </row>
    <row r="142" customFormat="false" ht="15" hidden="false" customHeight="false" outlineLevel="0" collapsed="false">
      <c r="A142" s="9" t="n">
        <v>45798</v>
      </c>
      <c r="B142" s="10" t="n">
        <v>870.865112266499</v>
      </c>
      <c r="C142" s="11" t="n">
        <v>121.658450774825</v>
      </c>
      <c r="D142" s="10" t="n">
        <v>450</v>
      </c>
      <c r="E142" s="11" t="n">
        <v>10.6000179354857</v>
      </c>
      <c r="F142" s="11" t="n">
        <v>20.5953634577535</v>
      </c>
      <c r="G142" s="11" t="n">
        <v>44.079282504</v>
      </c>
      <c r="H142" s="11" t="n">
        <f aca="false">IF(B142="","",F142*1000/B142)</f>
        <v>23.6493151093771</v>
      </c>
      <c r="I142" s="12" t="n">
        <v>106805.83</v>
      </c>
      <c r="J142" s="12" t="n">
        <f aca="false">F142*24*1000000*Assumptions!$B$3/D142</f>
        <v>54920.9692206759</v>
      </c>
      <c r="K142" s="12" t="n">
        <f aca="false">J142/Assumptions!$B$4</f>
        <v>73227.9589609012</v>
      </c>
      <c r="L142" s="12" t="n">
        <f aca="false">J142/Assumptions!$B$5</f>
        <v>84493.7988010398</v>
      </c>
      <c r="M142" s="12" t="n">
        <f aca="false">E142*24*1000000*Assumptions!$B$3/D142/Assumptions!$B$5</f>
        <v>43487.2530686594</v>
      </c>
      <c r="N142" s="12" t="n">
        <f aca="false">G142*24*1000000*Assumptions!$B$3/D142/Assumptions!$B$5</f>
        <v>180838.082067692</v>
      </c>
      <c r="O142" s="12" t="n">
        <f aca="false">IF(ROW()&lt;8,"",AVERAGE(L136:L142))</f>
        <v>81916.8951376066</v>
      </c>
      <c r="P142" s="13" t="n">
        <f aca="false">IF(I142="","",I142/L142)</f>
        <v>1.26406708557984</v>
      </c>
    </row>
    <row r="143" customFormat="false" ht="15" hidden="false" customHeight="false" outlineLevel="0" collapsed="false">
      <c r="A143" s="9" t="n">
        <v>45799</v>
      </c>
      <c r="B143" s="10" t="n">
        <v>907.151158610936</v>
      </c>
      <c r="C143" s="11" t="n">
        <v>121.658450774825</v>
      </c>
      <c r="D143" s="10" t="n">
        <v>468.75</v>
      </c>
      <c r="E143" s="11" t="n">
        <v>10.6738481621143</v>
      </c>
      <c r="F143" s="11" t="n">
        <v>20.7388123048062</v>
      </c>
      <c r="G143" s="11" t="n">
        <v>44.386299288</v>
      </c>
      <c r="H143" s="11" t="n">
        <f aca="false">IF(B143="","",F143*1000/B143)</f>
        <v>22.8614736452106</v>
      </c>
      <c r="I143" s="12" t="n">
        <v>109668.26</v>
      </c>
      <c r="J143" s="12" t="n">
        <f aca="false">F143*24*1000000*Assumptions!$B$3/D143</f>
        <v>53091.3595003039</v>
      </c>
      <c r="K143" s="12" t="n">
        <f aca="false">J143/Assumptions!$B$4</f>
        <v>70788.4793337385</v>
      </c>
      <c r="L143" s="12" t="n">
        <f aca="false">J143/Assumptions!$B$5</f>
        <v>81679.0146158521</v>
      </c>
      <c r="M143" s="12" t="n">
        <f aca="false">E143*24*1000000*Assumptions!$B$3/D143/Assumptions!$B$5</f>
        <v>42038.5404538655</v>
      </c>
      <c r="N143" s="12" t="n">
        <f aca="false">G143*24*1000000*Assumptions!$B$3/D143/Assumptions!$B$5</f>
        <v>174813.732580431</v>
      </c>
      <c r="O143" s="12" t="n">
        <f aca="false">IF(ROW()&lt;8,"",AVERAGE(L137:L143))</f>
        <v>82024.5952834981</v>
      </c>
      <c r="P143" s="13" t="n">
        <f aca="false">IF(I143="","",I143/L143)</f>
        <v>1.34267364164205</v>
      </c>
    </row>
    <row r="144" customFormat="false" ht="15" hidden="false" customHeight="false" outlineLevel="0" collapsed="false">
      <c r="A144" s="9" t="n">
        <v>45800</v>
      </c>
      <c r="B144" s="10" t="n">
        <v>937.389530564634</v>
      </c>
      <c r="C144" s="11" t="n">
        <v>121.658450774825</v>
      </c>
      <c r="D144" s="10" t="n">
        <v>484.375</v>
      </c>
      <c r="E144" s="11" t="n">
        <v>10.9025569599429</v>
      </c>
      <c r="F144" s="11" t="n">
        <v>21.1831833281322</v>
      </c>
      <c r="G144" s="11" t="n">
        <v>45.337365576</v>
      </c>
      <c r="H144" s="11" t="n">
        <f aca="false">IF(B144="","",F144*1000/B144)</f>
        <v>22.5980583710728</v>
      </c>
      <c r="I144" s="12" t="n">
        <v>111722.19</v>
      </c>
      <c r="J144" s="12" t="n">
        <f aca="false">F144*24*1000000*Assumptions!$B$3/D144</f>
        <v>52479.6283742113</v>
      </c>
      <c r="K144" s="12" t="n">
        <f aca="false">J144/Assumptions!$B$4</f>
        <v>69972.8378322817</v>
      </c>
      <c r="L144" s="12" t="n">
        <f aca="false">J144/Assumptions!$B$5</f>
        <v>80737.8898064789</v>
      </c>
      <c r="M144" s="12" t="n">
        <f aca="false">E144*24*1000000*Assumptions!$B$3/D144/Assumptions!$B$5</f>
        <v>41554.1625073753</v>
      </c>
      <c r="N144" s="12" t="n">
        <f aca="false">G144*24*1000000*Assumptions!$B$3/D144/Assumptions!$B$5</f>
        <v>172799.487654432</v>
      </c>
      <c r="O144" s="12" t="n">
        <f aca="false">IF(ROW()&lt;8,"",AVERAGE(L138:L144))</f>
        <v>81197.2406175777</v>
      </c>
      <c r="P144" s="13" t="n">
        <f aca="false">IF(I144="","",I144/L144)</f>
        <v>1.38376405759164</v>
      </c>
    </row>
    <row r="145" customFormat="false" ht="15" hidden="false" customHeight="false" outlineLevel="0" collapsed="false">
      <c r="A145" s="9" t="n">
        <v>45801</v>
      </c>
      <c r="B145" s="10" t="n">
        <v>852.72208909428</v>
      </c>
      <c r="C145" s="11" t="n">
        <v>121.658450774825</v>
      </c>
      <c r="D145" s="10" t="n">
        <v>440.625</v>
      </c>
      <c r="E145" s="11" t="n">
        <v>10.9004319776572</v>
      </c>
      <c r="F145" s="11" t="n">
        <v>21.1790545820506</v>
      </c>
      <c r="G145" s="11" t="n">
        <v>45.328529016</v>
      </c>
      <c r="H145" s="11" t="n">
        <f aca="false">IF(B145="","",F145*1000/B145)</f>
        <v>24.8369953738925</v>
      </c>
      <c r="I145" s="12" t="n">
        <v>107303.71</v>
      </c>
      <c r="J145" s="12" t="n">
        <f aca="false">F145*24*1000000*Assumptions!$B$3/D145</f>
        <v>57679.1273723931</v>
      </c>
      <c r="K145" s="12" t="n">
        <f aca="false">J145/Assumptions!$B$4</f>
        <v>76905.5031631909</v>
      </c>
      <c r="L145" s="12" t="n">
        <f aca="false">J145/Assumptions!$B$5</f>
        <v>88737.119034451</v>
      </c>
      <c r="M145" s="12" t="n">
        <f aca="false">E145*24*1000000*Assumptions!$B$3/D145/Assumptions!$B$5</f>
        <v>45671.2043581052</v>
      </c>
      <c r="N145" s="12" t="n">
        <f aca="false">G145*24*1000000*Assumptions!$B$3/D145/Assumptions!$B$5</f>
        <v>189919.859706972</v>
      </c>
      <c r="O145" s="12" t="n">
        <f aca="false">IF(ROW()&lt;8,"",AVERAGE(L139:L145))</f>
        <v>82185.7256053329</v>
      </c>
      <c r="P145" s="13" t="n">
        <f aca="false">IF(I145="","",I145/L145)</f>
        <v>1.20923139231443</v>
      </c>
    </row>
    <row r="146" customFormat="false" ht="15" hidden="false" customHeight="false" outlineLevel="0" collapsed="false">
      <c r="A146" s="9" t="n">
        <v>45802</v>
      </c>
      <c r="B146" s="10" t="n">
        <v>913.198833001676</v>
      </c>
      <c r="C146" s="11" t="n">
        <v>121.658450774825</v>
      </c>
      <c r="D146" s="10" t="n">
        <v>471.875</v>
      </c>
      <c r="E146" s="11" t="n">
        <v>10.7852497134857</v>
      </c>
      <c r="F146" s="11" t="n">
        <v>20.9552605650088</v>
      </c>
      <c r="G146" s="11" t="n">
        <v>44.849553264</v>
      </c>
      <c r="H146" s="11" t="n">
        <f aca="false">IF(B146="","",F146*1000/B146)</f>
        <v>22.9470952083119</v>
      </c>
      <c r="I146" s="12" t="n">
        <v>107809.79</v>
      </c>
      <c r="J146" s="12" t="n">
        <f aca="false">F146*24*1000000*Assumptions!$B$3/D146</f>
        <v>53290.1990527376</v>
      </c>
      <c r="K146" s="12" t="n">
        <f aca="false">J146/Assumptions!$B$4</f>
        <v>71053.5987369835</v>
      </c>
      <c r="L146" s="12" t="n">
        <f aca="false">J146/Assumptions!$B$5</f>
        <v>81984.9216195963</v>
      </c>
      <c r="M146" s="12" t="n">
        <f aca="false">E146*24*1000000*Assumptions!$B$3/D146/Assumptions!$B$5</f>
        <v>42195.9846151657</v>
      </c>
      <c r="N146" s="12" t="n">
        <f aca="false">G146*24*1000000*Assumptions!$B$3/D146/Assumptions!$B$5</f>
        <v>175468.450874947</v>
      </c>
      <c r="O146" s="12" t="n">
        <f aca="false">IF(ROW()&lt;8,"",AVERAGE(L140:L146))</f>
        <v>83409.6689964929</v>
      </c>
      <c r="P146" s="13" t="n">
        <f aca="false">IF(I146="","",I146/L146)</f>
        <v>1.31499534146326</v>
      </c>
    </row>
    <row r="147" customFormat="false" ht="15" hidden="false" customHeight="false" outlineLevel="0" collapsed="false">
      <c r="A147" s="9" t="n">
        <v>45803</v>
      </c>
      <c r="B147" s="10" t="n">
        <v>925.294181783155</v>
      </c>
      <c r="C147" s="11" t="n">
        <v>121.658450774825</v>
      </c>
      <c r="D147" s="10" t="n">
        <v>478.125</v>
      </c>
      <c r="E147" s="11" t="n">
        <v>10.9109031209143</v>
      </c>
      <c r="F147" s="11" t="n">
        <v>21.1993995477395</v>
      </c>
      <c r="G147" s="11" t="n">
        <v>45.372072384</v>
      </c>
      <c r="H147" s="11" t="n">
        <f aca="false">IF(B147="","",F147*1000/B147)</f>
        <v>22.9109833014249</v>
      </c>
      <c r="I147" s="12" t="n">
        <v>109029.24</v>
      </c>
      <c r="J147" s="12" t="n">
        <f aca="false">F147*24*1000000*Assumptions!$B$3/D147</f>
        <v>53206.3361198167</v>
      </c>
      <c r="K147" s="12" t="n">
        <f aca="false">J147/Assumptions!$B$4</f>
        <v>70941.781493089</v>
      </c>
      <c r="L147" s="12" t="n">
        <f aca="false">J147/Assumptions!$B$5</f>
        <v>81855.901722795</v>
      </c>
      <c r="M147" s="12" t="n">
        <f aca="false">E147*24*1000000*Assumptions!$B$3/D147/Assumptions!$B$5</f>
        <v>42129.5806780401</v>
      </c>
      <c r="N147" s="12" t="n">
        <f aca="false">G147*24*1000000*Assumptions!$B$3/D147/Assumptions!$B$5</f>
        <v>175192.31569086</v>
      </c>
      <c r="O147" s="12" t="n">
        <f aca="false">IF(ROW()&lt;8,"",AVERAGE(L141:L147))</f>
        <v>83064.9232290767</v>
      </c>
      <c r="P147" s="13" t="n">
        <f aca="false">IF(I147="","",I147/L147)</f>
        <v>1.3319655358416</v>
      </c>
    </row>
    <row r="148" customFormat="false" ht="15" hidden="false" customHeight="false" outlineLevel="0" collapsed="false">
      <c r="A148" s="9" t="n">
        <v>45804</v>
      </c>
      <c r="B148" s="10" t="n">
        <v>852.72208909428</v>
      </c>
      <c r="C148" s="11" t="n">
        <v>121.658450774825</v>
      </c>
      <c r="D148" s="10" t="n">
        <v>440.625</v>
      </c>
      <c r="E148" s="11" t="n">
        <v>10.8376053432</v>
      </c>
      <c r="F148" s="11" t="n">
        <v>21.0569852252488</v>
      </c>
      <c r="G148" s="11" t="n">
        <v>45.067269744</v>
      </c>
      <c r="H148" s="11" t="n">
        <f aca="false">IF(B148="","",F148*1000/B148)</f>
        <v>24.6938428059422</v>
      </c>
      <c r="I148" s="12" t="n">
        <v>109481.32</v>
      </c>
      <c r="J148" s="12" t="n">
        <f aca="false">F148*24*1000000*Assumptions!$B$3/D148</f>
        <v>57346.683166635</v>
      </c>
      <c r="K148" s="12" t="n">
        <f aca="false">J148/Assumptions!$B$4</f>
        <v>76462.24422218</v>
      </c>
      <c r="L148" s="12" t="n">
        <f aca="false">J148/Assumptions!$B$5</f>
        <v>88225.6664102077</v>
      </c>
      <c r="M148" s="12" t="n">
        <f aca="false">E148*24*1000000*Assumptions!$B$3/D148/Assumptions!$B$5</f>
        <v>45407.9700140622</v>
      </c>
      <c r="N148" s="12" t="n">
        <f aca="false">G148*24*1000000*Assumptions!$B$3/D148/Assumptions!$B$5</f>
        <v>188825.221840655</v>
      </c>
      <c r="O148" s="12" t="n">
        <f aca="false">IF(ROW()&lt;8,"",AVERAGE(L142:L148))</f>
        <v>83959.1874300601</v>
      </c>
      <c r="P148" s="13" t="n">
        <f aca="false">IF(I148="","",I148/L148)</f>
        <v>1.24092369550334</v>
      </c>
    </row>
    <row r="149" customFormat="false" ht="15" hidden="false" customHeight="false" outlineLevel="0" collapsed="false">
      <c r="A149" s="9" t="n">
        <v>45805</v>
      </c>
      <c r="B149" s="10" t="n">
        <v>991.81860008129</v>
      </c>
      <c r="C149" s="11" t="n">
        <v>121.658450774825</v>
      </c>
      <c r="D149" s="10" t="n">
        <v>512.5</v>
      </c>
      <c r="E149" s="11" t="n">
        <v>11.0470276889143</v>
      </c>
      <c r="F149" s="11" t="n">
        <v>21.4638835298</v>
      </c>
      <c r="G149" s="11" t="n">
        <v>45.938134944</v>
      </c>
      <c r="H149" s="11" t="n">
        <f aca="false">IF(B149="","",F149*1000/B149)</f>
        <v>21.6409366874555</v>
      </c>
      <c r="I149" s="12" t="n">
        <v>108987.67</v>
      </c>
      <c r="J149" s="12" t="n">
        <f aca="false">F149*24*1000000*Assumptions!$B$3/D149</f>
        <v>50256.898020995</v>
      </c>
      <c r="K149" s="12" t="n">
        <f aca="false">J149/Assumptions!$B$4</f>
        <v>67009.1973613267</v>
      </c>
      <c r="L149" s="12" t="n">
        <f aca="false">J149/Assumptions!$B$5</f>
        <v>77318.3046476846</v>
      </c>
      <c r="M149" s="12" t="n">
        <f aca="false">E149*24*1000000*Assumptions!$B$3/D149/Assumptions!$B$5</f>
        <v>39794.1710369896</v>
      </c>
      <c r="N149" s="12" t="n">
        <f aca="false">G149*24*1000000*Assumptions!$B$3/D149/Assumptions!$B$5</f>
        <v>165480.711242927</v>
      </c>
      <c r="O149" s="12" t="n">
        <f aca="false">IF(ROW()&lt;8,"",AVERAGE(L143:L149))</f>
        <v>82934.1168367237</v>
      </c>
      <c r="P149" s="13" t="n">
        <f aca="false">IF(I149="","",I149/L149)</f>
        <v>1.40959725509532</v>
      </c>
    </row>
    <row r="150" customFormat="false" ht="15" hidden="false" customHeight="false" outlineLevel="0" collapsed="false">
      <c r="A150" s="9" t="n">
        <v>45806</v>
      </c>
      <c r="B150" s="10" t="n">
        <v>961.580228127592</v>
      </c>
      <c r="C150" s="11" t="n">
        <v>121.658450774825</v>
      </c>
      <c r="D150" s="10" t="n">
        <v>496.875</v>
      </c>
      <c r="E150" s="11" t="n">
        <v>11.1412676665714</v>
      </c>
      <c r="F150" s="11" t="n">
        <v>21.646987615464</v>
      </c>
      <c r="G150" s="11" t="n">
        <v>46.33002396</v>
      </c>
      <c r="H150" s="11" t="n">
        <f aca="false">IF(B150="","",F150*1000/B150)</f>
        <v>22.5118892654599</v>
      </c>
      <c r="I150" s="12" t="n">
        <v>107808.38</v>
      </c>
      <c r="J150" s="12" t="n">
        <f aca="false">F150*24*1000000*Assumptions!$B$3/D150</f>
        <v>52279.5172599885</v>
      </c>
      <c r="K150" s="12" t="n">
        <f aca="false">J150/Assumptions!$B$4</f>
        <v>69706.023013318</v>
      </c>
      <c r="L150" s="12" t="n">
        <f aca="false">J150/Assumptions!$B$5</f>
        <v>80430.0265538284</v>
      </c>
      <c r="M150" s="12" t="n">
        <f aca="false">E150*24*1000000*Assumptions!$B$3/D150/Assumptions!$B$5</f>
        <v>41395.7115042422</v>
      </c>
      <c r="N150" s="12" t="n">
        <f aca="false">G150*24*1000000*Assumptions!$B$3/D150/Assumptions!$B$5</f>
        <v>172140.582492888</v>
      </c>
      <c r="O150" s="12" t="n">
        <f aca="false">IF(ROW()&lt;8,"",AVERAGE(L144:L150))</f>
        <v>82755.6899707203</v>
      </c>
      <c r="P150" s="13" t="n">
        <f aca="false">IF(I150="","",I150/L150)</f>
        <v>1.34039965693469</v>
      </c>
    </row>
    <row r="151" customFormat="false" ht="15" hidden="false" customHeight="false" outlineLevel="0" collapsed="false">
      <c r="A151" s="9" t="n">
        <v>45807</v>
      </c>
      <c r="B151" s="10" t="n">
        <v>937.389530564634</v>
      </c>
      <c r="C151" s="11" t="n">
        <v>121.658450774825</v>
      </c>
      <c r="D151" s="10" t="n">
        <v>484.375</v>
      </c>
      <c r="E151" s="11" t="n">
        <v>11.1435588140571</v>
      </c>
      <c r="F151" s="11" t="n">
        <v>21.6514392131396</v>
      </c>
      <c r="G151" s="11" t="n">
        <v>46.339551504</v>
      </c>
      <c r="H151" s="11" t="n">
        <f aca="false">IF(B151="","",F151*1000/B151)</f>
        <v>23.0975901769438</v>
      </c>
      <c r="I151" s="12" t="n">
        <v>105588.16</v>
      </c>
      <c r="J151" s="12" t="n">
        <f aca="false">F151*24*1000000*Assumptions!$B$3/D151</f>
        <v>53639.6945667459</v>
      </c>
      <c r="K151" s="12" t="n">
        <f aca="false">J151/Assumptions!$B$4</f>
        <v>71519.5927556613</v>
      </c>
      <c r="L151" s="12" t="n">
        <f aca="false">J151/Assumptions!$B$5</f>
        <v>82522.607025763</v>
      </c>
      <c r="M151" s="12" t="n">
        <f aca="false">E151*24*1000000*Assumptions!$B$3/D151/Assumptions!$B$5</f>
        <v>42472.7204426595</v>
      </c>
      <c r="N151" s="12" t="n">
        <f aca="false">G151*24*1000000*Assumptions!$B$3/D151/Assumptions!$B$5</f>
        <v>176619.233523931</v>
      </c>
      <c r="O151" s="12" t="n">
        <f aca="false">IF(ROW()&lt;8,"",AVERAGE(L145:L151))</f>
        <v>83010.6495734751</v>
      </c>
      <c r="P151" s="13" t="n">
        <f aca="false">IF(I151="","",I151/L151)</f>
        <v>1.27950586882254</v>
      </c>
    </row>
    <row r="152" customFormat="false" ht="15" hidden="false" customHeight="false" outlineLevel="0" collapsed="false">
      <c r="A152" s="9" t="n">
        <v>45808</v>
      </c>
      <c r="B152" s="10" t="n">
        <v>1016.28410488778</v>
      </c>
      <c r="C152" s="11" t="n">
        <v>126.982285146989</v>
      </c>
      <c r="D152" s="10" t="n">
        <v>503.125</v>
      </c>
      <c r="E152" s="11" t="n">
        <v>11.4267547340571</v>
      </c>
      <c r="F152" s="11" t="n">
        <v>22.190502608524</v>
      </c>
      <c r="G152" s="11" t="n">
        <v>47.517197904</v>
      </c>
      <c r="H152" s="11" t="n">
        <f aca="false">IF(B152="","",F152*1000/B152)</f>
        <v>21.8349401528565</v>
      </c>
      <c r="I152" s="12" t="n">
        <v>104027.67</v>
      </c>
      <c r="J152" s="12" t="n">
        <f aca="false">F152*24*1000000*Assumptions!$B$3/D152</f>
        <v>52926.4161594609</v>
      </c>
      <c r="K152" s="12" t="n">
        <f aca="false">J152/Assumptions!$B$4</f>
        <v>70568.5548792812</v>
      </c>
      <c r="L152" s="12" t="n">
        <f aca="false">J152/Assumptions!$B$5</f>
        <v>81425.2556299399</v>
      </c>
      <c r="M152" s="12" t="n">
        <f aca="false">E152*24*1000000*Assumptions!$B$3/D152/Assumptions!$B$5</f>
        <v>41929.0379156994</v>
      </c>
      <c r="N152" s="12" t="n">
        <f aca="false">G152*24*1000000*Assumptions!$B$3/D152/Assumptions!$B$5</f>
        <v>174358.375491027</v>
      </c>
      <c r="O152" s="12" t="n">
        <f aca="false">IF(ROW()&lt;8,"",AVERAGE(L146:L152))</f>
        <v>81966.097658545</v>
      </c>
      <c r="P152" s="13" t="n">
        <f aca="false">IF(I152="","",I152/L152)</f>
        <v>1.27758481315408</v>
      </c>
    </row>
    <row r="153" customFormat="false" ht="15" hidden="false" customHeight="false" outlineLevel="0" collapsed="false">
      <c r="A153" s="9" t="n">
        <v>45809</v>
      </c>
      <c r="B153" s="10" t="n">
        <v>839.539043168164</v>
      </c>
      <c r="C153" s="11" t="n">
        <v>126.982285146989</v>
      </c>
      <c r="D153" s="10" t="n">
        <v>415.625</v>
      </c>
      <c r="E153" s="11" t="n">
        <v>11.2992181383429</v>
      </c>
      <c r="F153" s="11" t="n">
        <v>21.9139427186887</v>
      </c>
      <c r="G153" s="11" t="n">
        <v>46.986847704</v>
      </c>
      <c r="H153" s="11" t="n">
        <f aca="false">IF(B153="","",F153*1000/B153)</f>
        <v>26.1023509234213</v>
      </c>
      <c r="I153" s="12" t="n">
        <v>104655.37</v>
      </c>
      <c r="J153" s="12" t="n">
        <f aca="false">F153*24*1000000*Assumptions!$B$3/D153</f>
        <v>63270.3308569659</v>
      </c>
      <c r="K153" s="12" t="n">
        <f aca="false">J153/Assumptions!$B$4</f>
        <v>84360.4411426213</v>
      </c>
      <c r="L153" s="12" t="n">
        <f aca="false">J153/Assumptions!$B$5</f>
        <v>97338.9705491784</v>
      </c>
      <c r="M153" s="12" t="n">
        <f aca="false">E153*24*1000000*Assumptions!$B$3/D153/Assumptions!$B$5</f>
        <v>50189.7023149064</v>
      </c>
      <c r="N153" s="12" t="n">
        <f aca="false">G153*24*1000000*Assumptions!$B$3/D153/Assumptions!$B$5</f>
        <v>208709.6531907</v>
      </c>
      <c r="O153" s="12" t="n">
        <f aca="false">IF(ROW()&lt;8,"",AVERAGE(L147:L153))</f>
        <v>84159.5332199139</v>
      </c>
      <c r="P153" s="13" t="n">
        <f aca="false">IF(I153="","",I153/L153)</f>
        <v>1.07516413425726</v>
      </c>
    </row>
    <row r="154" customFormat="false" ht="15" hidden="false" customHeight="false" outlineLevel="0" collapsed="false">
      <c r="A154" s="9" t="n">
        <v>45810</v>
      </c>
      <c r="B154" s="10" t="n">
        <v>839.539043168164</v>
      </c>
      <c r="C154" s="11" t="n">
        <v>126.982285146989</v>
      </c>
      <c r="D154" s="10" t="n">
        <v>415.625</v>
      </c>
      <c r="E154" s="11" t="n">
        <v>11.1507393080571</v>
      </c>
      <c r="F154" s="11" t="n">
        <v>21.5966929983983</v>
      </c>
      <c r="G154" s="11" t="n">
        <v>46.369410984</v>
      </c>
      <c r="H154" s="11" t="n">
        <f aca="false">IF(B154="","",F154*1000/B154)</f>
        <v>25.7244653171805</v>
      </c>
      <c r="I154" s="12" t="n">
        <v>105701.48</v>
      </c>
      <c r="J154" s="12" t="n">
        <f aca="false">F154*24*1000000*Assumptions!$B$3/D154</f>
        <v>62354.3617397366</v>
      </c>
      <c r="K154" s="12" t="n">
        <f aca="false">J154/Assumptions!$B$4</f>
        <v>83139.1489863154</v>
      </c>
      <c r="L154" s="12" t="n">
        <f aca="false">J154/Assumptions!$B$5</f>
        <v>95929.7872919024</v>
      </c>
      <c r="M154" s="12" t="n">
        <f aca="false">E154*24*1000000*Assumptions!$B$3/D154/Assumptions!$B$5</f>
        <v>49530.1780716477</v>
      </c>
      <c r="N154" s="12" t="n">
        <f aca="false">G154*24*1000000*Assumptions!$B$3/D154/Assumptions!$B$5</f>
        <v>205967.077129624</v>
      </c>
      <c r="O154" s="12" t="n">
        <f aca="false">IF(ROW()&lt;8,"",AVERAGE(L148:L154))</f>
        <v>86170.0883012149</v>
      </c>
      <c r="P154" s="13" t="n">
        <f aca="false">IF(I154="","",I154/L154)</f>
        <v>1.10186296648781</v>
      </c>
    </row>
    <row r="155" customFormat="false" ht="15" hidden="false" customHeight="false" outlineLevel="0" collapsed="false">
      <c r="A155" s="9" t="n">
        <v>45811</v>
      </c>
      <c r="B155" s="10" t="n">
        <v>908.974603129441</v>
      </c>
      <c r="C155" s="11" t="n">
        <v>126.982285146989</v>
      </c>
      <c r="D155" s="10" t="n">
        <v>450</v>
      </c>
      <c r="E155" s="11" t="n">
        <v>11.2481364937714</v>
      </c>
      <c r="F155" s="11" t="n">
        <v>21.754790636725</v>
      </c>
      <c r="G155" s="11" t="n">
        <v>46.774428984</v>
      </c>
      <c r="H155" s="11" t="n">
        <f aca="false">IF(B155="","",F155*1000/B155)</f>
        <v>23.9333316484609</v>
      </c>
      <c r="I155" s="12" t="n">
        <v>105906.96</v>
      </c>
      <c r="J155" s="12" t="n">
        <f aca="false">F155*24*1000000*Assumptions!$B$3/D155</f>
        <v>58012.7750312666</v>
      </c>
      <c r="K155" s="12" t="n">
        <f aca="false">J155/Assumptions!$B$4</f>
        <v>77350.3667083555</v>
      </c>
      <c r="L155" s="12" t="n">
        <f aca="false">J155/Assumptions!$B$5</f>
        <v>89250.4231250256</v>
      </c>
      <c r="M155" s="12" t="n">
        <f aca="false">E155*24*1000000*Assumptions!$B$3/D155/Assumptions!$B$5</f>
        <v>46146.2010000879</v>
      </c>
      <c r="N155" s="12" t="n">
        <f aca="false">G155*24*1000000*Assumptions!$B$3/D155/Assumptions!$B$5</f>
        <v>191895.093267692</v>
      </c>
      <c r="O155" s="12" t="n">
        <f aca="false">IF(ROW()&lt;8,"",AVERAGE(L149:L155))</f>
        <v>86316.4821176175</v>
      </c>
      <c r="P155" s="13" t="n">
        <f aca="false">IF(I155="","",I155/L155)</f>
        <v>1.18662697936615</v>
      </c>
    </row>
    <row r="156" customFormat="false" ht="15" hidden="false" customHeight="false" outlineLevel="0" collapsed="false">
      <c r="A156" s="9" t="n">
        <v>45812</v>
      </c>
      <c r="B156" s="10" t="n">
        <v>795.35277773826</v>
      </c>
      <c r="C156" s="11" t="n">
        <v>126.982285146989</v>
      </c>
      <c r="D156" s="10" t="n">
        <v>393.75</v>
      </c>
      <c r="E156" s="11" t="n">
        <v>10.9079699424</v>
      </c>
      <c r="F156" s="11" t="n">
        <v>21.0666139881327</v>
      </c>
      <c r="G156" s="11" t="n">
        <v>45.359875008</v>
      </c>
      <c r="H156" s="11" t="n">
        <f aca="false">IF(B156="","",F156*1000/B156)</f>
        <v>26.4871319718524</v>
      </c>
      <c r="I156" s="12" t="n">
        <v>105434.47</v>
      </c>
      <c r="J156" s="12" t="n">
        <f aca="false">F156*24*1000000*Assumptions!$B$3/D156</f>
        <v>64203.0140590709</v>
      </c>
      <c r="K156" s="12" t="n">
        <f aca="false">J156/Assumptions!$B$4</f>
        <v>85604.0187454279</v>
      </c>
      <c r="L156" s="12" t="n">
        <f aca="false">J156/Assumptions!$B$5</f>
        <v>98773.8677831861</v>
      </c>
      <c r="M156" s="12" t="n">
        <f aca="false">E156*24*1000000*Assumptions!$B$3/D156/Assumptions!$B$5</f>
        <v>51143.5953343297</v>
      </c>
      <c r="N156" s="12" t="n">
        <f aca="false">G156*24*1000000*Assumptions!$B$3/D156/Assumptions!$B$5</f>
        <v>212676.337033846</v>
      </c>
      <c r="O156" s="12" t="n">
        <f aca="false">IF(ROW()&lt;8,"",AVERAGE(L150:L156))</f>
        <v>89381.5625655462</v>
      </c>
      <c r="P156" s="13" t="n">
        <f aca="false">IF(I156="","",I156/L156)</f>
        <v>1.06743283791857</v>
      </c>
    </row>
    <row r="157" customFormat="false" ht="15" hidden="false" customHeight="false" outlineLevel="0" collapsed="false">
      <c r="A157" s="9" t="n">
        <v>45813</v>
      </c>
      <c r="B157" s="10" t="n">
        <v>845.851366801007</v>
      </c>
      <c r="C157" s="11" t="n">
        <v>126.982285146989</v>
      </c>
      <c r="D157" s="10" t="n">
        <v>418.75</v>
      </c>
      <c r="E157" s="11" t="n">
        <v>10.7075937915429</v>
      </c>
      <c r="F157" s="11" t="n">
        <v>20.6483138274014</v>
      </c>
      <c r="G157" s="11" t="n">
        <v>44.526627648</v>
      </c>
      <c r="H157" s="11" t="n">
        <f aca="false">IF(B157="","",F157*1000/B157)</f>
        <v>24.4112791417397</v>
      </c>
      <c r="I157" s="12" t="n">
        <v>104743.97</v>
      </c>
      <c r="J157" s="12" t="n">
        <f aca="false">F157*24*1000000*Assumptions!$B$3/D157</f>
        <v>59171.2873859861</v>
      </c>
      <c r="K157" s="12" t="n">
        <f aca="false">J157/Assumptions!$B$4</f>
        <v>78895.0498479815</v>
      </c>
      <c r="L157" s="12" t="n">
        <f aca="false">J157/Assumptions!$B$5</f>
        <v>91032.749824594</v>
      </c>
      <c r="M157" s="12" t="n">
        <f aca="false">E157*24*1000000*Assumptions!$B$3/D157/Assumptions!$B$5</f>
        <v>47206.8428926803</v>
      </c>
      <c r="N157" s="12" t="n">
        <f aca="false">G157*24*1000000*Assumptions!$B$3/D157/Assumptions!$B$5</f>
        <v>196305.683316096</v>
      </c>
      <c r="O157" s="12" t="n">
        <f aca="false">IF(ROW()&lt;8,"",AVERAGE(L151:L157))</f>
        <v>90896.2373185128</v>
      </c>
      <c r="P157" s="13" t="n">
        <f aca="false">IF(I157="","",I157/L157)</f>
        <v>1.15061854334649</v>
      </c>
    </row>
    <row r="158" customFormat="false" ht="15" hidden="false" customHeight="false" outlineLevel="0" collapsed="false">
      <c r="A158" s="9" t="n">
        <v>45814</v>
      </c>
      <c r="B158" s="10" t="n">
        <v>845.851366801007</v>
      </c>
      <c r="C158" s="11" t="n">
        <v>126.982285146989</v>
      </c>
      <c r="D158" s="10" t="n">
        <v>418.75</v>
      </c>
      <c r="E158" s="11" t="n">
        <v>10.5468109623429</v>
      </c>
      <c r="F158" s="11" t="n">
        <v>20.3069417299047</v>
      </c>
      <c r="G158" s="11" t="n">
        <v>43.858025784</v>
      </c>
      <c r="H158" s="11" t="n">
        <f aca="false">IF(B158="","",F158*1000/B158)</f>
        <v>24.0076951187124</v>
      </c>
      <c r="I158" s="12" t="n">
        <v>101565.91</v>
      </c>
      <c r="J158" s="12" t="n">
        <f aca="false">F158*24*1000000*Assumptions!$B$3/D158</f>
        <v>58193.0270468912</v>
      </c>
      <c r="K158" s="12" t="n">
        <f aca="false">J158/Assumptions!$B$4</f>
        <v>77590.7027291882</v>
      </c>
      <c r="L158" s="12" t="n">
        <f aca="false">J158/Assumptions!$B$5</f>
        <v>89527.7339182941</v>
      </c>
      <c r="M158" s="12" t="n">
        <f aca="false">E158*24*1000000*Assumptions!$B$3/D158/Assumptions!$B$5</f>
        <v>46497.9955171029</v>
      </c>
      <c r="N158" s="12" t="n">
        <f aca="false">G158*24*1000000*Assumptions!$B$3/D158/Assumptions!$B$5</f>
        <v>193358.00116023</v>
      </c>
      <c r="O158" s="12" t="n">
        <f aca="false">IF(ROW()&lt;8,"",AVERAGE(L152:L158))</f>
        <v>91896.9697317315</v>
      </c>
      <c r="P158" s="13" t="n">
        <f aca="false">IF(I158="","",I158/L158)</f>
        <v>1.13446309377932</v>
      </c>
    </row>
    <row r="159" customFormat="false" ht="15" hidden="false" customHeight="false" outlineLevel="0" collapsed="false">
      <c r="A159" s="9" t="n">
        <v>45815</v>
      </c>
      <c r="B159" s="10" t="n">
        <v>902.662279496597</v>
      </c>
      <c r="C159" s="11" t="n">
        <v>126.982285146989</v>
      </c>
      <c r="D159" s="10" t="n">
        <v>446.875</v>
      </c>
      <c r="E159" s="11" t="n">
        <v>10.3500829314857</v>
      </c>
      <c r="F159" s="11" t="n">
        <v>19.904957090127</v>
      </c>
      <c r="G159" s="11" t="n">
        <v>43.039948824</v>
      </c>
      <c r="H159" s="11" t="n">
        <f aca="false">IF(B159="","",F159*1000/B159)</f>
        <v>22.0513890324826</v>
      </c>
      <c r="I159" s="12" t="n">
        <v>104381.86</v>
      </c>
      <c r="J159" s="12" t="n">
        <f aca="false">F159*24*1000000*Assumptions!$B$3/D159</f>
        <v>53451.0735846767</v>
      </c>
      <c r="K159" s="12" t="n">
        <f aca="false">J159/Assumptions!$B$4</f>
        <v>71268.0981129023</v>
      </c>
      <c r="L159" s="12" t="n">
        <f aca="false">J159/Assumptions!$B$5</f>
        <v>82232.4208995026</v>
      </c>
      <c r="M159" s="12" t="n">
        <f aca="false">E159*24*1000000*Assumptions!$B$3/D159/Assumptions!$B$5</f>
        <v>42758.814907913</v>
      </c>
      <c r="N159" s="12" t="n">
        <f aca="false">G159*24*1000000*Assumptions!$B$3/D159/Assumptions!$B$5</f>
        <v>177808.93328043</v>
      </c>
      <c r="O159" s="12" t="n">
        <f aca="false">IF(ROW()&lt;8,"",AVERAGE(L153:L159))</f>
        <v>92012.2790559547</v>
      </c>
      <c r="P159" s="13" t="n">
        <f aca="false">IF(I159="","",I159/L159)</f>
        <v>1.26935166030885</v>
      </c>
    </row>
    <row r="160" customFormat="false" ht="15" hidden="false" customHeight="false" outlineLevel="0" collapsed="false">
      <c r="A160" s="9" t="n">
        <v>45816</v>
      </c>
      <c r="B160" s="10" t="n">
        <v>965.78551582503</v>
      </c>
      <c r="C160" s="11" t="n">
        <v>126.982285146989</v>
      </c>
      <c r="D160" s="10" t="n">
        <v>478.125</v>
      </c>
      <c r="E160" s="11" t="n">
        <v>10.5686696247429</v>
      </c>
      <c r="F160" s="11" t="n">
        <v>20.3253362096527</v>
      </c>
      <c r="G160" s="11" t="n">
        <v>43.948923192</v>
      </c>
      <c r="H160" s="11" t="n">
        <f aca="false">IF(B160="","",F160*1000/B160)</f>
        <v>21.0453934922493</v>
      </c>
      <c r="I160" s="12" t="n">
        <v>105633.02</v>
      </c>
      <c r="J160" s="12" t="n">
        <f aca="false">F160*24*1000000*Assumptions!$B$3/D160</f>
        <v>51012.6085261872</v>
      </c>
      <c r="K160" s="12" t="n">
        <f aca="false">J160/Assumptions!$B$4</f>
        <v>68016.8113682496</v>
      </c>
      <c r="L160" s="12" t="n">
        <f aca="false">J160/Assumptions!$B$5</f>
        <v>78480.9361941342</v>
      </c>
      <c r="M160" s="12" t="n">
        <f aca="false">E160*24*1000000*Assumptions!$B$3/D160/Assumptions!$B$5</f>
        <v>40808.1361076044</v>
      </c>
      <c r="N160" s="12" t="n">
        <f aca="false">G160*24*1000000*Assumptions!$B$3/D160/Assumptions!$B$5</f>
        <v>169697.199655385</v>
      </c>
      <c r="O160" s="12" t="n">
        <f aca="false">IF(ROW()&lt;8,"",AVERAGE(L154:L160))</f>
        <v>89318.2741480913</v>
      </c>
      <c r="P160" s="13" t="n">
        <f aca="false">IF(I160="","",I160/L160)</f>
        <v>1.34597043718619</v>
      </c>
    </row>
    <row r="161" customFormat="false" ht="15" hidden="false" customHeight="false" outlineLevel="0" collapsed="false">
      <c r="A161" s="9" t="n">
        <v>45817</v>
      </c>
      <c r="B161" s="10" t="n">
        <v>883.725308598067</v>
      </c>
      <c r="C161" s="11" t="n">
        <v>126.982285146989</v>
      </c>
      <c r="D161" s="10" t="n">
        <v>437.5</v>
      </c>
      <c r="E161" s="11" t="n">
        <v>10.6451748738857</v>
      </c>
      <c r="F161" s="11" t="n">
        <v>20.4724687216759</v>
      </c>
      <c r="G161" s="11" t="n">
        <v>44.267063832</v>
      </c>
      <c r="H161" s="11" t="n">
        <f aca="false">IF(B161="","",F161*1000/B161)</f>
        <v>23.1660998304476</v>
      </c>
      <c r="I161" s="12" t="n">
        <v>105770.98</v>
      </c>
      <c r="J161" s="12" t="n">
        <f aca="false">F161*24*1000000*Assumptions!$B$3/D161</f>
        <v>56153.0570651683</v>
      </c>
      <c r="K161" s="12" t="n">
        <f aca="false">J161/Assumptions!$B$4</f>
        <v>74870.7427535577</v>
      </c>
      <c r="L161" s="12" t="n">
        <f aca="false">J161/Assumptions!$B$5</f>
        <v>86389.3185617973</v>
      </c>
      <c r="M161" s="12" t="n">
        <f aca="false">E161*24*1000000*Assumptions!$B$3/D161/Assumptions!$B$5</f>
        <v>44920.2983689243</v>
      </c>
      <c r="N161" s="12" t="n">
        <f aca="false">G161*24*1000000*Assumptions!$B$3/D161/Assumptions!$B$5</f>
        <v>186797.280346022</v>
      </c>
      <c r="O161" s="12" t="n">
        <f aca="false">IF(ROW()&lt;8,"",AVERAGE(L155:L161))</f>
        <v>87955.3500437906</v>
      </c>
      <c r="P161" s="13" t="n">
        <f aca="false">IF(I161="","",I161/L161)</f>
        <v>1.22435252136337</v>
      </c>
    </row>
    <row r="162" customFormat="false" ht="15" hidden="false" customHeight="false" outlineLevel="0" collapsed="false">
      <c r="A162" s="9" t="n">
        <v>45818</v>
      </c>
      <c r="B162" s="10" t="n">
        <v>1066.78269395052</v>
      </c>
      <c r="C162" s="11" t="n">
        <v>126.982285146988</v>
      </c>
      <c r="D162" s="10" t="n">
        <v>528.125</v>
      </c>
      <c r="E162" s="11" t="n">
        <v>10.9184083270286</v>
      </c>
      <c r="F162" s="11" t="n">
        <v>20.9979427875746</v>
      </c>
      <c r="G162" s="11" t="n">
        <v>45.403282152</v>
      </c>
      <c r="H162" s="11" t="n">
        <f aca="false">IF(B162="","",F162*1000/B162)</f>
        <v>19.6834302868325</v>
      </c>
      <c r="I162" s="12" t="n">
        <v>110300.41</v>
      </c>
      <c r="J162" s="12" t="n">
        <f aca="false">F162*24*1000000*Assumptions!$B$3/D162</f>
        <v>47711.301955199</v>
      </c>
      <c r="K162" s="12" t="n">
        <f aca="false">J162/Assumptions!$B$4</f>
        <v>63615.0692735987</v>
      </c>
      <c r="L162" s="12" t="n">
        <f aca="false">J162/Assumptions!$B$5</f>
        <v>73402.0030079985</v>
      </c>
      <c r="M162" s="12" t="n">
        <f aca="false">E162*24*1000000*Assumptions!$B$3/D162/Assumptions!$B$5</f>
        <v>38167.2170922073</v>
      </c>
      <c r="N162" s="12" t="n">
        <f aca="false">G162*24*1000000*Assumptions!$B$3/D162/Assumptions!$B$5</f>
        <v>158715.160185417</v>
      </c>
      <c r="O162" s="12" t="n">
        <f aca="false">IF(ROW()&lt;8,"",AVERAGE(L156:L162))</f>
        <v>85691.2900270724</v>
      </c>
      <c r="P162" s="13" t="n">
        <f aca="false">IF(I162="","",I162/L162)</f>
        <v>1.50268937467525</v>
      </c>
    </row>
    <row r="163" customFormat="false" ht="15" hidden="false" customHeight="false" outlineLevel="0" collapsed="false">
      <c r="A163" s="9" t="n">
        <v>45819</v>
      </c>
      <c r="B163" s="10" t="n">
        <v>890.03763223091</v>
      </c>
      <c r="C163" s="11" t="n">
        <v>126.982285146989</v>
      </c>
      <c r="D163" s="10" t="n">
        <v>440.625</v>
      </c>
      <c r="E163" s="11" t="n">
        <v>11.0823483989143</v>
      </c>
      <c r="F163" s="11" t="n">
        <v>21.3132272271137</v>
      </c>
      <c r="G163" s="11" t="n">
        <v>46.085013144</v>
      </c>
      <c r="H163" s="11" t="n">
        <f aca="false">IF(B163="","",F163*1000/B163)</f>
        <v>23.9464337858292</v>
      </c>
      <c r="I163" s="12" t="n">
        <v>110279.28</v>
      </c>
      <c r="J163" s="12" t="n">
        <f aca="false">F163*24*1000000*Assumptions!$B$3/D163</f>
        <v>58044.5337249055</v>
      </c>
      <c r="K163" s="12" t="n">
        <f aca="false">J163/Assumptions!$B$4</f>
        <v>77392.7116332073</v>
      </c>
      <c r="L163" s="12" t="n">
        <f aca="false">J163/Assumptions!$B$5</f>
        <v>89299.2826537008</v>
      </c>
      <c r="M163" s="12" t="n">
        <f aca="false">E163*24*1000000*Assumptions!$B$3/D163/Assumptions!$B$5</f>
        <v>46433.4073669731</v>
      </c>
      <c r="N163" s="12" t="n">
        <f aca="false">G163*24*1000000*Assumptions!$B$3/D163/Assumptions!$B$5</f>
        <v>193089.416773552</v>
      </c>
      <c r="O163" s="12" t="n">
        <f aca="false">IF(ROW()&lt;8,"",AVERAGE(L157:L163))</f>
        <v>84337.7778657173</v>
      </c>
      <c r="P163" s="13" t="n">
        <f aca="false">IF(I163="","",I163/L163)</f>
        <v>1.23494026741132</v>
      </c>
    </row>
    <row r="164" customFormat="false" ht="15" hidden="false" customHeight="false" outlineLevel="0" collapsed="false">
      <c r="A164" s="9" t="n">
        <v>45820</v>
      </c>
      <c r="B164" s="10" t="n">
        <v>934.223897660814</v>
      </c>
      <c r="C164" s="11" t="n">
        <v>126.982285146989</v>
      </c>
      <c r="D164" s="10" t="n">
        <v>462.5</v>
      </c>
      <c r="E164" s="11" t="n">
        <v>11.2353590703429</v>
      </c>
      <c r="F164" s="11" t="n">
        <v>21.6074925841431</v>
      </c>
      <c r="G164" s="11" t="n">
        <v>46.721295144</v>
      </c>
      <c r="H164" s="11" t="n">
        <f aca="false">IF(B164="","",F164*1000/B164)</f>
        <v>23.1288159489879</v>
      </c>
      <c r="I164" s="12" t="n">
        <v>108688.52</v>
      </c>
      <c r="J164" s="12" t="n">
        <f aca="false">F164*24*1000000*Assumptions!$B$3/D164</f>
        <v>56062.6834615605</v>
      </c>
      <c r="K164" s="12" t="n">
        <f aca="false">J164/Assumptions!$B$4</f>
        <v>74750.244615414</v>
      </c>
      <c r="L164" s="12" t="n">
        <f aca="false">J164/Assumptions!$B$5</f>
        <v>86250.2822485546</v>
      </c>
      <c r="M164" s="12" t="n">
        <f aca="false">E164*24*1000000*Assumptions!$B$3/D164/Assumptions!$B$5</f>
        <v>44848.0029419091</v>
      </c>
      <c r="N164" s="12" t="n">
        <f aca="false">G164*24*1000000*Assumptions!$B$3/D164/Assumptions!$B$5</f>
        <v>186496.645897048</v>
      </c>
      <c r="O164" s="12" t="n">
        <f aca="false">IF(ROW()&lt;8,"",AVERAGE(L158:L164))</f>
        <v>83654.5682119974</v>
      </c>
      <c r="P164" s="13" t="n">
        <f aca="false">IF(I164="","",I164/L164)</f>
        <v>1.26015262984048</v>
      </c>
    </row>
    <row r="165" customFormat="false" ht="15" hidden="false" customHeight="false" outlineLevel="0" collapsed="false">
      <c r="A165" s="9" t="n">
        <v>45821</v>
      </c>
      <c r="B165" s="10" t="n">
        <v>915.286926762284</v>
      </c>
      <c r="C165" s="11" t="n">
        <v>126.982285146989</v>
      </c>
      <c r="D165" s="10" t="n">
        <v>453.125</v>
      </c>
      <c r="E165" s="11" t="n">
        <v>11.3555816789143</v>
      </c>
      <c r="F165" s="11" t="n">
        <v>21.8387009600294</v>
      </c>
      <c r="G165" s="11" t="n">
        <v>47.221230744</v>
      </c>
      <c r="H165" s="11" t="n">
        <f aca="false">IF(B165="","",F165*1000/B165)</f>
        <v>23.8599507121566</v>
      </c>
      <c r="I165" s="12" t="n">
        <v>105755.21</v>
      </c>
      <c r="J165" s="12" t="n">
        <f aca="false">F165*24*1000000*Assumptions!$B$3/D165</f>
        <v>57834.9046113883</v>
      </c>
      <c r="K165" s="12" t="n">
        <f aca="false">J165/Assumptions!$B$4</f>
        <v>77113.2061485177</v>
      </c>
      <c r="L165" s="12" t="n">
        <f aca="false">J165/Assumptions!$B$5</f>
        <v>88976.7763252127</v>
      </c>
      <c r="M165" s="12" t="n">
        <f aca="false">E165*24*1000000*Assumptions!$B$3/D165/Assumptions!$B$5</f>
        <v>46265.7120923405</v>
      </c>
      <c r="N165" s="12" t="n">
        <f aca="false">G165*24*1000000*Assumptions!$B$3/D165/Assumptions!$B$5</f>
        <v>192392.07008696</v>
      </c>
      <c r="O165" s="12" t="n">
        <f aca="false">IF(ROW()&lt;8,"",AVERAGE(L159:L165))</f>
        <v>83575.8599844144</v>
      </c>
      <c r="P165" s="13" t="n">
        <f aca="false">IF(I165="","",I165/L165)</f>
        <v>1.18857093241344</v>
      </c>
    </row>
    <row r="166" customFormat="false" ht="15" hidden="false" customHeight="false" outlineLevel="0" collapsed="false">
      <c r="A166" s="9" t="n">
        <v>45822</v>
      </c>
      <c r="B166" s="10" t="n">
        <v>949.216466554621</v>
      </c>
      <c r="C166" s="11" t="n">
        <v>126.456802831653</v>
      </c>
      <c r="D166" s="10" t="n">
        <v>471.875</v>
      </c>
      <c r="E166" s="11" t="n">
        <v>11.4359411919429</v>
      </c>
      <c r="F166" s="11" t="n">
        <v>21.9932458722978</v>
      </c>
      <c r="G166" s="11" t="n">
        <v>47.555399016</v>
      </c>
      <c r="H166" s="11" t="n">
        <f aca="false">IF(B166="","",F166*1000/B166)</f>
        <v>23.1698950104889</v>
      </c>
      <c r="I166" s="12" t="n">
        <v>106121.85</v>
      </c>
      <c r="J166" s="12" t="n">
        <f aca="false">F166*24*1000000*Assumptions!$B$3/D166</f>
        <v>55929.8438076978</v>
      </c>
      <c r="K166" s="12" t="n">
        <f aca="false">J166/Assumptions!$B$4</f>
        <v>74573.1250769304</v>
      </c>
      <c r="L166" s="12" t="n">
        <f aca="false">J166/Assumptions!$B$5</f>
        <v>86045.9135503043</v>
      </c>
      <c r="M166" s="12" t="n">
        <f aca="false">E166*24*1000000*Assumptions!$B$3/D166/Assumptions!$B$5</f>
        <v>44741.7362985844</v>
      </c>
      <c r="N166" s="12" t="n">
        <f aca="false">G166*24*1000000*Assumptions!$B$3/D166/Assumptions!$B$5</f>
        <v>186054.745004014</v>
      </c>
      <c r="O166" s="12" t="n">
        <f aca="false">IF(ROW()&lt;8,"",AVERAGE(L160:L166))</f>
        <v>84120.6446488146</v>
      </c>
      <c r="P166" s="13" t="n">
        <f aca="false">IF(I166="","",I166/L166)</f>
        <v>1.23331655881553</v>
      </c>
    </row>
    <row r="167" customFormat="false" ht="15" hidden="false" customHeight="false" outlineLevel="0" collapsed="false">
      <c r="A167" s="9" t="n">
        <v>45823</v>
      </c>
      <c r="B167" s="10" t="n">
        <v>854.616743040491</v>
      </c>
      <c r="C167" s="11" t="n">
        <v>126.411437451912</v>
      </c>
      <c r="D167" s="10" t="n">
        <v>425</v>
      </c>
      <c r="E167" s="11" t="n">
        <v>11.2434604073143</v>
      </c>
      <c r="F167" s="11" t="n">
        <v>21.623072823051</v>
      </c>
      <c r="G167" s="11" t="n">
        <v>46.754983872</v>
      </c>
      <c r="H167" s="11" t="n">
        <f aca="false">IF(B167="","",F167*1000/B167)</f>
        <v>25.3014851383815</v>
      </c>
      <c r="I167" s="12" t="n">
        <v>105466.67</v>
      </c>
      <c r="J167" s="12" t="n">
        <f aca="false">F167*24*1000000*Assumptions!$B$3/D167</f>
        <v>61053.3820886145</v>
      </c>
      <c r="K167" s="12" t="n">
        <f aca="false">J167/Assumptions!$B$4</f>
        <v>81404.509451486</v>
      </c>
      <c r="L167" s="12" t="n">
        <f aca="false">J167/Assumptions!$B$5</f>
        <v>93928.2801363301</v>
      </c>
      <c r="M167" s="12" t="n">
        <f aca="false">E167*24*1000000*Assumptions!$B$3/D167/Assumptions!$B$5</f>
        <v>48840.3710000983</v>
      </c>
      <c r="N167" s="12" t="n">
        <f aca="false">G167*24*1000000*Assumptions!$B$3/D167/Assumptions!$B$5</f>
        <v>203098.572475656</v>
      </c>
      <c r="O167" s="12" t="n">
        <f aca="false">IF(ROW()&lt;8,"",AVERAGE(L161:L167))</f>
        <v>86327.4080691283</v>
      </c>
      <c r="P167" s="13" t="n">
        <f aca="false">IF(I167="","",I167/L167)</f>
        <v>1.1228425544141</v>
      </c>
    </row>
    <row r="168" customFormat="false" ht="15" hidden="false" customHeight="false" outlineLevel="0" collapsed="false">
      <c r="A168" s="9" t="n">
        <v>45824</v>
      </c>
      <c r="B168" s="10" t="n">
        <v>917.456209440527</v>
      </c>
      <c r="C168" s="11" t="n">
        <v>126.411437451912</v>
      </c>
      <c r="D168" s="10" t="n">
        <v>456.25</v>
      </c>
      <c r="E168" s="11" t="n">
        <v>11.3018630513143</v>
      </c>
      <c r="F168" s="11" t="n">
        <v>21.7353909687572</v>
      </c>
      <c r="G168" s="11" t="n">
        <v>46.997846352</v>
      </c>
      <c r="H168" s="11" t="n">
        <f aca="false">IF(B168="","",F168*1000/B168)</f>
        <v>23.6909301447877</v>
      </c>
      <c r="I168" s="12" t="n">
        <v>105558.7</v>
      </c>
      <c r="J168" s="12" t="n">
        <f aca="false">F168*24*1000000*Assumptions!$B$3/D168</f>
        <v>57167.0556986491</v>
      </c>
      <c r="K168" s="12" t="n">
        <f aca="false">J168/Assumptions!$B$4</f>
        <v>76222.7409315321</v>
      </c>
      <c r="L168" s="12" t="n">
        <f aca="false">J168/Assumptions!$B$5</f>
        <v>87949.3164594601</v>
      </c>
      <c r="M168" s="12" t="n">
        <f aca="false">E168*24*1000000*Assumptions!$B$3/D168/Assumptions!$B$5</f>
        <v>45731.4585005763</v>
      </c>
      <c r="N168" s="12" t="n">
        <f aca="false">G168*24*1000000*Assumptions!$B$3/D168/Assumptions!$B$5</f>
        <v>190170.421487545</v>
      </c>
      <c r="O168" s="12" t="n">
        <f aca="false">IF(ROW()&lt;8,"",AVERAGE(L162:L168))</f>
        <v>86550.2649116516</v>
      </c>
      <c r="P168" s="13" t="n">
        <f aca="false">IF(I168="","",I168/L168)</f>
        <v>1.20022194883865</v>
      </c>
    </row>
    <row r="169" customFormat="false" ht="15" hidden="false" customHeight="false" outlineLevel="0" collapsed="false">
      <c r="A169" s="9" t="n">
        <v>45825</v>
      </c>
      <c r="B169" s="10" t="n">
        <v>741.505703520426</v>
      </c>
      <c r="C169" s="11" t="n">
        <v>126.411437451912</v>
      </c>
      <c r="D169" s="10" t="n">
        <v>368.75</v>
      </c>
      <c r="E169" s="11" t="n">
        <v>10.7386691598857</v>
      </c>
      <c r="F169" s="11" t="n">
        <v>20.6522740201766</v>
      </c>
      <c r="G169" s="11" t="n">
        <v>44.655851952</v>
      </c>
      <c r="H169" s="11" t="n">
        <f aca="false">IF(B169="","",F169*1000/B169)</f>
        <v>27.8518073726559</v>
      </c>
      <c r="I169" s="12" t="n">
        <v>106798.31</v>
      </c>
      <c r="J169" s="12" t="n">
        <f aca="false">F169*24*1000000*Assumptions!$B$3/D169</f>
        <v>67207.4002012525</v>
      </c>
      <c r="K169" s="12" t="n">
        <f aca="false">J169/Assumptions!$B$4</f>
        <v>89609.8669350034</v>
      </c>
      <c r="L169" s="12" t="n">
        <f aca="false">J169/Assumptions!$B$5</f>
        <v>103396.000309619</v>
      </c>
      <c r="M169" s="12" t="n">
        <f aca="false">E169*24*1000000*Assumptions!$B$3/D169/Assumptions!$B$5</f>
        <v>53763.3501616182</v>
      </c>
      <c r="N169" s="12" t="n">
        <f aca="false">G169*24*1000000*Assumptions!$B$3/D169/Assumptions!$B$5</f>
        <v>223570.367008709</v>
      </c>
      <c r="O169" s="12" t="n">
        <f aca="false">IF(ROW()&lt;8,"",AVERAGE(L163:L169))</f>
        <v>90835.121669026</v>
      </c>
      <c r="P169" s="13" t="n">
        <f aca="false">IF(I169="","",I169/L169)</f>
        <v>1.03290562188279</v>
      </c>
    </row>
    <row r="170" customFormat="false" ht="15" hidden="false" customHeight="false" outlineLevel="0" collapsed="false">
      <c r="A170" s="9" t="n">
        <v>45826</v>
      </c>
      <c r="B170" s="10" t="n">
        <v>879.752529600505</v>
      </c>
      <c r="C170" s="11" t="n">
        <v>126.411437451912</v>
      </c>
      <c r="D170" s="10" t="n">
        <v>437.5</v>
      </c>
      <c r="E170" s="11" t="n">
        <v>10.7208611919429</v>
      </c>
      <c r="F170" s="11" t="n">
        <v>20.6180262909447</v>
      </c>
      <c r="G170" s="11" t="n">
        <v>44.581799016</v>
      </c>
      <c r="H170" s="11" t="n">
        <f aca="false">IF(B170="","",F170*1000/B170)</f>
        <v>23.4361659639755</v>
      </c>
      <c r="I170" s="12" t="n">
        <v>104606.29</v>
      </c>
      <c r="J170" s="12" t="n">
        <f aca="false">F170*24*1000000*Assumptions!$B$3/D170</f>
        <v>56552.300683734</v>
      </c>
      <c r="K170" s="12" t="n">
        <f aca="false">J170/Assumptions!$B$4</f>
        <v>75403.067578312</v>
      </c>
      <c r="L170" s="12" t="n">
        <f aca="false">J170/Assumptions!$B$5</f>
        <v>87003.5395134369</v>
      </c>
      <c r="M170" s="12" t="n">
        <f aca="false">E170*24*1000000*Assumptions!$B$3/D170/Assumptions!$B$5</f>
        <v>45239.6779967699</v>
      </c>
      <c r="N170" s="12" t="n">
        <f aca="false">G170*24*1000000*Assumptions!$B$3/D170/Assumptions!$B$5</f>
        <v>188125.393649934</v>
      </c>
      <c r="O170" s="12" t="n">
        <f aca="false">IF(ROW()&lt;8,"",AVERAGE(L164:L170))</f>
        <v>90507.158363274</v>
      </c>
      <c r="P170" s="13" t="n">
        <f aca="false">IF(I170="","",I170/L170)</f>
        <v>1.20232223407238</v>
      </c>
    </row>
    <row r="171" customFormat="false" ht="15" hidden="false" customHeight="false" outlineLevel="0" collapsed="false">
      <c r="A171" s="9" t="n">
        <v>45827</v>
      </c>
      <c r="B171" s="10" t="n">
        <v>798.061223280458</v>
      </c>
      <c r="C171" s="11" t="n">
        <v>126.411437451912</v>
      </c>
      <c r="D171" s="10" t="n">
        <v>396.875</v>
      </c>
      <c r="E171" s="11" t="n">
        <v>10.4851052893714</v>
      </c>
      <c r="F171" s="11" t="n">
        <v>20.1646278828843</v>
      </c>
      <c r="G171" s="11" t="n">
        <v>43.601427936</v>
      </c>
      <c r="H171" s="11" t="n">
        <f aca="false">IF(B171="","",F171*1000/B171)</f>
        <v>25.2670187382328</v>
      </c>
      <c r="I171" s="12" t="n">
        <v>104910.93</v>
      </c>
      <c r="J171" s="12" t="n">
        <f aca="false">F171*24*1000000*Assumptions!$B$3/D171</f>
        <v>60970.213441162</v>
      </c>
      <c r="K171" s="12" t="n">
        <f aca="false">J171/Assumptions!$B$4</f>
        <v>81293.6179215494</v>
      </c>
      <c r="L171" s="12" t="n">
        <f aca="false">J171/Assumptions!$B$5</f>
        <v>93800.3283710185</v>
      </c>
      <c r="M171" s="12" t="n">
        <f aca="false">E171*24*1000000*Assumptions!$B$3/D171/Assumptions!$B$5</f>
        <v>48773.839262491</v>
      </c>
      <c r="N171" s="12" t="n">
        <f aca="false">G171*24*1000000*Assumptions!$B$3/D171/Assumptions!$B$5</f>
        <v>202821.905844022</v>
      </c>
      <c r="O171" s="12" t="n">
        <f aca="false">IF(ROW()&lt;8,"",AVERAGE(L165:L171))</f>
        <v>91585.7363807688</v>
      </c>
      <c r="P171" s="13" t="n">
        <f aca="false">IF(I171="","",I171/L171)</f>
        <v>1.11844949609382</v>
      </c>
    </row>
    <row r="172" customFormat="false" ht="15" hidden="false" customHeight="false" outlineLevel="0" collapsed="false">
      <c r="A172" s="9" t="n">
        <v>45828</v>
      </c>
      <c r="B172" s="10" t="n">
        <v>948.875942640545</v>
      </c>
      <c r="C172" s="11" t="n">
        <v>126.411437451912</v>
      </c>
      <c r="D172" s="10" t="n">
        <v>471.875</v>
      </c>
      <c r="E172" s="11" t="n">
        <v>10.5432623648571</v>
      </c>
      <c r="F172" s="11" t="n">
        <v>20.2764737588733</v>
      </c>
      <c r="G172" s="11" t="n">
        <v>43.84326924</v>
      </c>
      <c r="H172" s="11" t="n">
        <f aca="false">IF(B172="","",F172*1000/B172)</f>
        <v>21.3689407094121</v>
      </c>
      <c r="I172" s="12" t="n">
        <v>104680.34</v>
      </c>
      <c r="J172" s="12" t="n">
        <f aca="false">F172*24*1000000*Assumptions!$B$3/D172</f>
        <v>51564.012737797</v>
      </c>
      <c r="K172" s="12" t="n">
        <f aca="false">J172/Assumptions!$B$4</f>
        <v>68752.0169837293</v>
      </c>
      <c r="L172" s="12" t="n">
        <f aca="false">J172/Assumptions!$B$5</f>
        <v>79329.2503658415</v>
      </c>
      <c r="M172" s="12" t="n">
        <f aca="false">E172*24*1000000*Assumptions!$B$3/D172/Assumptions!$B$5</f>
        <v>41249.2383912903</v>
      </c>
      <c r="N172" s="12" t="n">
        <f aca="false">G172*24*1000000*Assumptions!$B$3/D172/Assumptions!$B$5</f>
        <v>171531.486379623</v>
      </c>
      <c r="O172" s="12" t="n">
        <f aca="false">IF(ROW()&lt;8,"",AVERAGE(L166:L172))</f>
        <v>90207.518386573</v>
      </c>
      <c r="P172" s="13" t="n">
        <f aca="false">IF(I172="","",I172/L172)</f>
        <v>1.31956799688951</v>
      </c>
    </row>
    <row r="173" customFormat="false" ht="15" hidden="false" customHeight="false" outlineLevel="0" collapsed="false">
      <c r="A173" s="9" t="n">
        <v>45829</v>
      </c>
      <c r="B173" s="10" t="n">
        <v>886.036476240509</v>
      </c>
      <c r="C173" s="11" t="n">
        <v>126.411437451912</v>
      </c>
      <c r="D173" s="10" t="n">
        <v>440.625</v>
      </c>
      <c r="E173" s="11" t="n">
        <v>10.4341164666857</v>
      </c>
      <c r="F173" s="11" t="n">
        <v>20.0665677673902</v>
      </c>
      <c r="G173" s="11" t="n">
        <v>43.389395208</v>
      </c>
      <c r="H173" s="11" t="n">
        <f aca="false">IF(B173="","",F173*1000/B173)</f>
        <v>22.6475639609483</v>
      </c>
      <c r="I173" s="12" t="n">
        <v>103302.68</v>
      </c>
      <c r="J173" s="12" t="n">
        <f aca="false">F173*24*1000000*Assumptions!$B$3/D173</f>
        <v>54649.3760473606</v>
      </c>
      <c r="K173" s="12" t="n">
        <f aca="false">J173/Assumptions!$B$4</f>
        <v>72865.8347298141</v>
      </c>
      <c r="L173" s="12" t="n">
        <f aca="false">J173/Assumptions!$B$5</f>
        <v>84075.9631497855</v>
      </c>
      <c r="M173" s="12" t="n">
        <f aca="false">E173*24*1000000*Assumptions!$B$3/D173/Assumptions!$B$5</f>
        <v>43717.4110551807</v>
      </c>
      <c r="N173" s="12" t="n">
        <f aca="false">G173*24*1000000*Assumptions!$B$3/D173/Assumptions!$B$5</f>
        <v>181795.17468491</v>
      </c>
      <c r="O173" s="12" t="n">
        <f aca="false">IF(ROW()&lt;8,"",AVERAGE(L167:L173))</f>
        <v>89926.0969007845</v>
      </c>
      <c r="P173" s="13" t="n">
        <f aca="false">IF(I173="","",I173/L173)</f>
        <v>1.22868268325349</v>
      </c>
    </row>
    <row r="174" customFormat="false" ht="15" hidden="false" customHeight="false" outlineLevel="0" collapsed="false">
      <c r="A174" s="9" t="n">
        <v>45830</v>
      </c>
      <c r="B174" s="10" t="n">
        <v>672.382290480386</v>
      </c>
      <c r="C174" s="11" t="n">
        <v>126.411437451912</v>
      </c>
      <c r="D174" s="10" t="n">
        <v>334.375</v>
      </c>
      <c r="E174" s="11" t="n">
        <v>10.1185904986286</v>
      </c>
      <c r="F174" s="11" t="n">
        <v>19.4597580542146</v>
      </c>
      <c r="G174" s="11" t="n">
        <v>42.077307024</v>
      </c>
      <c r="H174" s="11" t="n">
        <f aca="false">IF(B174="","",F174*1000/B174)</f>
        <v>28.9415089149828</v>
      </c>
      <c r="I174" s="12" t="n">
        <v>102141.77</v>
      </c>
      <c r="J174" s="12" t="n">
        <f aca="false">F174*24*1000000*Assumptions!$B$3/D174</f>
        <v>69836.8887179291</v>
      </c>
      <c r="K174" s="12" t="n">
        <f aca="false">J174/Assumptions!$B$4</f>
        <v>93115.8516239055</v>
      </c>
      <c r="L174" s="12" t="n">
        <f aca="false">J174/Assumptions!$B$5</f>
        <v>107441.367258352</v>
      </c>
      <c r="M174" s="12" t="n">
        <f aca="false">E174*24*1000000*Assumptions!$B$3/D174/Assumptions!$B$5</f>
        <v>55866.8404237724</v>
      </c>
      <c r="N174" s="12" t="n">
        <f aca="false">G174*24*1000000*Assumptions!$B$3/D174/Assumptions!$B$5</f>
        <v>232317.554237469</v>
      </c>
      <c r="O174" s="12" t="n">
        <f aca="false">IF(ROW()&lt;8,"",AVERAGE(L168:L174))</f>
        <v>91856.5379182163</v>
      </c>
      <c r="P174" s="13" t="n">
        <f aca="false">IF(I174="","",I174/L174)</f>
        <v>0.950674517705931</v>
      </c>
    </row>
    <row r="175" customFormat="false" ht="15" hidden="false" customHeight="false" outlineLevel="0" collapsed="false">
      <c r="A175" s="9" t="n">
        <v>45831</v>
      </c>
      <c r="B175" s="10" t="n">
        <v>672.382290480386</v>
      </c>
      <c r="C175" s="11" t="n">
        <v>126.411437451912</v>
      </c>
      <c r="D175" s="10" t="n">
        <v>334.375</v>
      </c>
      <c r="E175" s="11" t="n">
        <v>9.69426254605715</v>
      </c>
      <c r="F175" s="11" t="n">
        <v>18.6437037535885</v>
      </c>
      <c r="G175" s="11" t="n">
        <v>40.312774944</v>
      </c>
      <c r="H175" s="11" t="n">
        <f aca="false">IF(B175="","",F175*1000/B175)</f>
        <v>27.7278328378763</v>
      </c>
      <c r="I175" s="12" t="n">
        <v>100997.71</v>
      </c>
      <c r="J175" s="12" t="n">
        <f aca="false">F175*24*1000000*Assumptions!$B$3/D175</f>
        <v>66908.2452465233</v>
      </c>
      <c r="K175" s="12" t="n">
        <f aca="false">J175/Assumptions!$B$4</f>
        <v>89210.9936620311</v>
      </c>
      <c r="L175" s="12" t="n">
        <f aca="false">J175/Assumptions!$B$5</f>
        <v>102935.761917728</v>
      </c>
      <c r="M175" s="12" t="n">
        <f aca="false">E175*24*1000000*Assumptions!$B$3/D175/Assumptions!$B$5</f>
        <v>53524.0376374686</v>
      </c>
      <c r="N175" s="12" t="n">
        <f aca="false">G175*24*1000000*Assumptions!$B$3/D175/Assumptions!$B$5</f>
        <v>222575.206017196</v>
      </c>
      <c r="O175" s="12" t="n">
        <f aca="false">IF(ROW()&lt;8,"",AVERAGE(L169:L175))</f>
        <v>93997.4586979689</v>
      </c>
      <c r="P175" s="13" t="n">
        <f aca="false">IF(I175="","",I175/L175)</f>
        <v>0.98117221962881</v>
      </c>
    </row>
    <row r="176" customFormat="false" ht="15" hidden="false" customHeight="false" outlineLevel="0" collapsed="false">
      <c r="A176" s="9" t="n">
        <v>45832</v>
      </c>
      <c r="B176" s="10" t="n">
        <v>735.221756880422</v>
      </c>
      <c r="C176" s="11" t="n">
        <v>126.411437451912</v>
      </c>
      <c r="D176" s="10" t="n">
        <v>365.625</v>
      </c>
      <c r="E176" s="11" t="n">
        <v>9.6833823528</v>
      </c>
      <c r="F176" s="11" t="n">
        <v>18.622779304833</v>
      </c>
      <c r="G176" s="11" t="n">
        <v>40.267530576</v>
      </c>
      <c r="H176" s="11" t="n">
        <f aca="false">IF(B176="","",F176*1000/B176)</f>
        <v>25.3294725442433</v>
      </c>
      <c r="I176" s="12" t="n">
        <v>105380.3</v>
      </c>
      <c r="J176" s="12" t="n">
        <f aca="false">F176*24*1000000*Assumptions!$B$3/D176</f>
        <v>61120.9166927851</v>
      </c>
      <c r="K176" s="12" t="n">
        <f aca="false">J176/Assumptions!$B$4</f>
        <v>81494.5555903801</v>
      </c>
      <c r="L176" s="12" t="n">
        <f aca="false">J176/Assumptions!$B$5</f>
        <v>94032.1795273617</v>
      </c>
      <c r="M176" s="12" t="n">
        <f aca="false">E176*24*1000000*Assumptions!$B$3/D176/Assumptions!$B$5</f>
        <v>48894.3961009231</v>
      </c>
      <c r="N176" s="12" t="n">
        <f aca="false">G176*24*1000000*Assumptions!$B$3/D176/Assumptions!$B$5</f>
        <v>203323.231310769</v>
      </c>
      <c r="O176" s="12" t="n">
        <f aca="false">IF(ROW()&lt;8,"",AVERAGE(L170:L176))</f>
        <v>92659.7700147892</v>
      </c>
      <c r="P176" s="13" t="n">
        <f aca="false">IF(I176="","",I176/L176)</f>
        <v>1.12068337168912</v>
      </c>
    </row>
    <row r="177" customFormat="false" ht="15" hidden="false" customHeight="false" outlineLevel="0" collapsed="false">
      <c r="A177" s="9" t="n">
        <v>45833</v>
      </c>
      <c r="B177" s="10" t="n">
        <v>898.604369520516</v>
      </c>
      <c r="C177" s="11" t="n">
        <v>126.411437451912</v>
      </c>
      <c r="D177" s="10" t="n">
        <v>446.875</v>
      </c>
      <c r="E177" s="11" t="n">
        <v>9.71602298451429</v>
      </c>
      <c r="F177" s="11" t="n">
        <v>18.6855527509945</v>
      </c>
      <c r="G177" s="11" t="n">
        <v>40.403263896</v>
      </c>
      <c r="H177" s="11" t="n">
        <f aca="false">IF(B177="","",F177*1000/B177)</f>
        <v>20.7939705000154</v>
      </c>
      <c r="I177" s="12" t="n">
        <v>106118.74</v>
      </c>
      <c r="J177" s="12" t="n">
        <f aca="false">F177*24*1000000*Assumptions!$B$3/D177</f>
        <v>50176.5892054678</v>
      </c>
      <c r="K177" s="12" t="n">
        <f aca="false">J177/Assumptions!$B$4</f>
        <v>66902.1189406238</v>
      </c>
      <c r="L177" s="12" t="n">
        <f aca="false">J177/Assumptions!$B$5</f>
        <v>77194.7526237967</v>
      </c>
      <c r="M177" s="12" t="n">
        <f aca="false">E177*24*1000000*Assumptions!$B$3/D177/Assumptions!$B$5</f>
        <v>40139.3526202634</v>
      </c>
      <c r="N177" s="12" t="n">
        <f aca="false">G177*24*1000000*Assumptions!$B$3/D177/Assumptions!$B$5</f>
        <v>166916.119807036</v>
      </c>
      <c r="O177" s="12" t="n">
        <f aca="false">IF(ROW()&lt;8,"",AVERAGE(L171:L177))</f>
        <v>91258.5147448406</v>
      </c>
      <c r="P177" s="13" t="n">
        <f aca="false">IF(I177="","",I177/L177)</f>
        <v>1.37468851694055</v>
      </c>
    </row>
    <row r="178" customFormat="false" ht="15" hidden="false" customHeight="false" outlineLevel="0" collapsed="false">
      <c r="A178" s="9" t="n">
        <v>45834</v>
      </c>
      <c r="B178" s="10" t="n">
        <v>986.579622480566</v>
      </c>
      <c r="C178" s="11" t="n">
        <v>126.411437451912</v>
      </c>
      <c r="D178" s="10" t="n">
        <v>490.625</v>
      </c>
      <c r="E178" s="11" t="n">
        <v>10.0424291285143</v>
      </c>
      <c r="F178" s="11" t="n">
        <v>19.3132868796274</v>
      </c>
      <c r="G178" s="11" t="n">
        <v>41.760596376</v>
      </c>
      <c r="H178" s="11" t="n">
        <f aca="false">IF(B178="","",F178*1000/B178)</f>
        <v>19.5760042469434</v>
      </c>
      <c r="I178" s="12" t="n">
        <v>107386.04</v>
      </c>
      <c r="J178" s="12" t="n">
        <f aca="false">F178*24*1000000*Assumptions!$B$3/D178</f>
        <v>47237.5933871141</v>
      </c>
      <c r="K178" s="12" t="n">
        <f aca="false">J178/Assumptions!$B$4</f>
        <v>62983.4578494855</v>
      </c>
      <c r="L178" s="12" t="n">
        <f aca="false">J178/Assumptions!$B$5</f>
        <v>72673.2205955602</v>
      </c>
      <c r="M178" s="12" t="n">
        <f aca="false">E178*24*1000000*Assumptions!$B$3/D178/Assumptions!$B$5</f>
        <v>37788.2683522733</v>
      </c>
      <c r="N178" s="12" t="n">
        <f aca="false">G178*24*1000000*Assumptions!$B$3/D178/Assumptions!$B$5</f>
        <v>157139.333742126</v>
      </c>
      <c r="O178" s="12" t="n">
        <f aca="false">IF(ROW()&lt;8,"",AVERAGE(L172:L178))</f>
        <v>88240.3564912037</v>
      </c>
      <c r="P178" s="13" t="n">
        <f aca="false">IF(I178="","",I178/L178)</f>
        <v>1.47765626898006</v>
      </c>
    </row>
    <row r="179" customFormat="false" ht="15" hidden="false" customHeight="false" outlineLevel="0" collapsed="false">
      <c r="A179" s="9" t="n">
        <v>45835</v>
      </c>
      <c r="B179" s="10" t="n">
        <v>722.653863600415</v>
      </c>
      <c r="C179" s="11" t="n">
        <v>126.411437451912</v>
      </c>
      <c r="D179" s="10" t="n">
        <v>359.375</v>
      </c>
      <c r="E179" s="11" t="n">
        <v>9.65074177302857</v>
      </c>
      <c r="F179" s="11" t="n">
        <v>18.5600059585663</v>
      </c>
      <c r="G179" s="11" t="n">
        <v>40.131797472</v>
      </c>
      <c r="H179" s="11" t="n">
        <f aca="false">IF(B179="","",F179*1000/B179)</f>
        <v>25.6831200847614</v>
      </c>
      <c r="I179" s="12" t="n">
        <v>106978.63</v>
      </c>
      <c r="J179" s="12" t="n">
        <f aca="false">F179*24*1000000*Assumptions!$B$3/D179</f>
        <v>61974.2807659952</v>
      </c>
      <c r="K179" s="12" t="n">
        <f aca="false">J179/Assumptions!$B$4</f>
        <v>82632.3743546602</v>
      </c>
      <c r="L179" s="12" t="n">
        <f aca="false">J179/Assumptions!$B$5</f>
        <v>95345.0473323003</v>
      </c>
      <c r="M179" s="12" t="n">
        <f aca="false">E179*24*1000000*Assumptions!$B$3/D179/Assumptions!$B$5</f>
        <v>49577.0547269963</v>
      </c>
      <c r="N179" s="12" t="n">
        <f aca="false">G179*24*1000000*Assumptions!$B$3/D179/Assumptions!$B$5</f>
        <v>206162.009755826</v>
      </c>
      <c r="O179" s="12" t="n">
        <f aca="false">IF(ROW()&lt;8,"",AVERAGE(L173:L179))</f>
        <v>90528.3274864121</v>
      </c>
      <c r="P179" s="13" t="n">
        <f aca="false">IF(I179="","",I179/L179)</f>
        <v>1.12201559486518</v>
      </c>
    </row>
    <row r="180" customFormat="false" ht="15" hidden="false" customHeight="false" outlineLevel="0" collapsed="false">
      <c r="A180" s="9" t="n">
        <v>45836</v>
      </c>
      <c r="B180" s="10" t="n">
        <v>911.172262800523</v>
      </c>
      <c r="C180" s="11" t="n">
        <v>126.411437451912</v>
      </c>
      <c r="D180" s="10" t="n">
        <v>453.125</v>
      </c>
      <c r="E180" s="11" t="n">
        <v>9.69426261531429</v>
      </c>
      <c r="F180" s="11" t="n">
        <v>18.6437038867817</v>
      </c>
      <c r="G180" s="11" t="n">
        <v>40.312775232</v>
      </c>
      <c r="H180" s="11" t="n">
        <f aca="false">IF(B180="","",F180*1000/B180)</f>
        <v>20.4612285161969</v>
      </c>
      <c r="I180" s="12" t="n">
        <v>107110.33</v>
      </c>
      <c r="J180" s="12" t="n">
        <f aca="false">F180*24*1000000*Assumptions!$B$3/D180</f>
        <v>49373.6709829253</v>
      </c>
      <c r="K180" s="12" t="n">
        <f aca="false">J180/Assumptions!$B$4</f>
        <v>65831.5613105671</v>
      </c>
      <c r="L180" s="12" t="n">
        <f aca="false">J180/Assumptions!$B$5</f>
        <v>75959.4938198851</v>
      </c>
      <c r="M180" s="12" t="n">
        <f aca="false">E180*24*1000000*Assumptions!$B$3/D180/Assumptions!$B$5</f>
        <v>39497.0487456837</v>
      </c>
      <c r="N180" s="12" t="n">
        <f aca="false">G180*24*1000000*Assumptions!$B$3/D180/Assumptions!$B$5</f>
        <v>164245.153199873</v>
      </c>
      <c r="O180" s="12" t="n">
        <f aca="false">IF(ROW()&lt;8,"",AVERAGE(L174:L180))</f>
        <v>89368.8318678549</v>
      </c>
      <c r="P180" s="13" t="n">
        <f aca="false">IF(I180="","",I180/L180)</f>
        <v>1.4100979958342</v>
      </c>
    </row>
    <row r="181" customFormat="false" ht="15" hidden="false" customHeight="false" outlineLevel="0" collapsed="false">
      <c r="A181" s="9" t="n">
        <v>45837</v>
      </c>
      <c r="B181" s="10" t="n">
        <v>995.260121133633</v>
      </c>
      <c r="C181" s="11" t="n">
        <v>118.468742710105</v>
      </c>
      <c r="D181" s="10" t="n">
        <v>528.125</v>
      </c>
      <c r="E181" s="11" t="n">
        <v>10.2492344718857</v>
      </c>
      <c r="F181" s="11" t="n">
        <v>19.7110084740404</v>
      </c>
      <c r="G181" s="11" t="n">
        <v>42.620578992</v>
      </c>
      <c r="H181" s="11" t="n">
        <f aca="false">IF(B181="","",F181*1000/B181)</f>
        <v>19.8048812119478</v>
      </c>
      <c r="I181" s="12" t="n">
        <v>107334.13</v>
      </c>
      <c r="J181" s="12" t="n">
        <f aca="false">F181*24*1000000*Assumptions!$B$3/D181</f>
        <v>44787.1435149793</v>
      </c>
      <c r="K181" s="12" t="n">
        <f aca="false">J181/Assumptions!$B$4</f>
        <v>59716.1913533058</v>
      </c>
      <c r="L181" s="12" t="n">
        <f aca="false">J181/Assumptions!$B$5</f>
        <v>68903.2977153528</v>
      </c>
      <c r="M181" s="12" t="n">
        <f aca="false">E181*24*1000000*Assumptions!$B$3/D181/Assumptions!$B$5</f>
        <v>35828.0021593456</v>
      </c>
      <c r="N181" s="12" t="n">
        <f aca="false">G181*24*1000000*Assumptions!$B$3/D181/Assumptions!$B$5</f>
        <v>148987.731751734</v>
      </c>
      <c r="O181" s="12" t="n">
        <f aca="false">IF(ROW()&lt;8,"",AVERAGE(L175:L181))</f>
        <v>83863.3933617121</v>
      </c>
      <c r="P181" s="13" t="n">
        <f aca="false">IF(I181="","",I181/L181)</f>
        <v>1.55775026100215</v>
      </c>
    </row>
    <row r="182" customFormat="false" ht="15" hidden="false" customHeight="false" outlineLevel="0" collapsed="false">
      <c r="A182" s="9" t="n">
        <v>45838</v>
      </c>
      <c r="B182" s="10" t="n">
        <v>843.035679357484</v>
      </c>
      <c r="C182" s="11" t="n">
        <v>116.958512019762</v>
      </c>
      <c r="D182" s="10" t="n">
        <v>453.125</v>
      </c>
      <c r="E182" s="11" t="n">
        <v>10.5447085578857</v>
      </c>
      <c r="F182" s="11" t="n">
        <v>20.2792550322571</v>
      </c>
      <c r="G182" s="11" t="n">
        <v>43.849283112</v>
      </c>
      <c r="H182" s="11" t="n">
        <f aca="false">IF(B182="","",F182*1000/B182)</f>
        <v>24.0550376796779</v>
      </c>
      <c r="I182" s="12" t="n">
        <v>108385.58</v>
      </c>
      <c r="J182" s="12" t="n">
        <f aca="false">F182*24*1000000*Assumptions!$B$3/D182</f>
        <v>53705.0616026671</v>
      </c>
      <c r="K182" s="12" t="n">
        <f aca="false">J182/Assumptions!$B$4</f>
        <v>71606.7488035562</v>
      </c>
      <c r="L182" s="12" t="n">
        <f aca="false">J182/Assumptions!$B$5</f>
        <v>82623.171696411</v>
      </c>
      <c r="M182" s="12" t="n">
        <f aca="false">E182*24*1000000*Assumptions!$B$3/D182/Assumptions!$B$5</f>
        <v>42961.9956098473</v>
      </c>
      <c r="N182" s="12" t="n">
        <f aca="false">G182*24*1000000*Assumptions!$B$3/D182/Assumptions!$B$5</f>
        <v>178653.843130058</v>
      </c>
      <c r="O182" s="12" t="n">
        <f aca="false">IF(ROW()&lt;8,"",AVERAGE(L176:L182))</f>
        <v>80961.5947586668</v>
      </c>
      <c r="P182" s="13" t="n">
        <f aca="false">IF(I182="","",I182/L182)</f>
        <v>1.31180609234235</v>
      </c>
    </row>
    <row r="183" customFormat="false" ht="15" hidden="false" customHeight="false" outlineLevel="0" collapsed="false">
      <c r="A183" s="9" t="n">
        <v>45839</v>
      </c>
      <c r="B183" s="10" t="n">
        <v>779.081248509675</v>
      </c>
      <c r="C183" s="11" t="n">
        <v>116.958512019762</v>
      </c>
      <c r="D183" s="10" t="n">
        <v>418.75</v>
      </c>
      <c r="E183" s="11" t="n">
        <v>10.6206482185714</v>
      </c>
      <c r="F183" s="11" t="n">
        <v>20.420457746715</v>
      </c>
      <c r="G183" s="11" t="n">
        <v>44.1650718</v>
      </c>
      <c r="H183" s="11" t="n">
        <f aca="false">IF(B183="","",F183*1000/B183)</f>
        <v>26.2109475562117</v>
      </c>
      <c r="I183" s="12" t="n">
        <v>107130.31</v>
      </c>
      <c r="J183" s="12" t="n">
        <f aca="false">F183*24*1000000*Assumptions!$B$3/D183</f>
        <v>58518.3266771535</v>
      </c>
      <c r="K183" s="12" t="n">
        <f aca="false">J183/Assumptions!$B$4</f>
        <v>78024.435569538</v>
      </c>
      <c r="L183" s="12" t="n">
        <f aca="false">J183/Assumptions!$B$5</f>
        <v>90028.1948879285</v>
      </c>
      <c r="M183" s="12" t="n">
        <f aca="false">E183*24*1000000*Assumptions!$B$3/D183/Assumptions!$B$5</f>
        <v>46823.523719075</v>
      </c>
      <c r="N183" s="12" t="n">
        <f aca="false">G183*24*1000000*Assumptions!$B$3/D183/Assumptions!$B$5</f>
        <v>194711.682792193</v>
      </c>
      <c r="O183" s="12" t="n">
        <f aca="false">IF(ROW()&lt;8,"",AVERAGE(L177:L183))</f>
        <v>80389.5969530335</v>
      </c>
      <c r="P183" s="13" t="n">
        <f aca="false">IF(I183="","",I183/L183)</f>
        <v>1.18996398998515</v>
      </c>
    </row>
    <row r="184" customFormat="false" ht="15" hidden="false" customHeight="false" outlineLevel="0" collapsed="false">
      <c r="A184" s="9" t="n">
        <v>45840</v>
      </c>
      <c r="B184" s="10" t="n">
        <v>889.547992701345</v>
      </c>
      <c r="C184" s="11" t="n">
        <v>116.958512019762</v>
      </c>
      <c r="D184" s="10" t="n">
        <v>478.125</v>
      </c>
      <c r="E184" s="11" t="n">
        <v>10.6049677434857</v>
      </c>
      <c r="F184" s="11" t="n">
        <v>20.3847729075801</v>
      </c>
      <c r="G184" s="11" t="n">
        <v>44.099865864</v>
      </c>
      <c r="H184" s="11" t="n">
        <f aca="false">IF(B184="","",F184*1000/B184)</f>
        <v>22.9158775859596</v>
      </c>
      <c r="I184" s="12" t="n">
        <v>105705.84</v>
      </c>
      <c r="J184" s="12" t="n">
        <f aca="false">F184*24*1000000*Assumptions!$B$3/D184</f>
        <v>51161.7829837305</v>
      </c>
      <c r="K184" s="12" t="n">
        <f aca="false">J184/Assumptions!$B$4</f>
        <v>68215.710644974</v>
      </c>
      <c r="L184" s="12" t="n">
        <f aca="false">J184/Assumptions!$B$5</f>
        <v>78710.4353595854</v>
      </c>
      <c r="M184" s="12" t="n">
        <f aca="false">E184*24*1000000*Assumptions!$B$3/D184/Assumptions!$B$5</f>
        <v>40948.2917395527</v>
      </c>
      <c r="N184" s="12" t="n">
        <f aca="false">G184*24*1000000*Assumptions!$B$3/D184/Assumptions!$B$5</f>
        <v>170280.025055566</v>
      </c>
      <c r="O184" s="12" t="n">
        <f aca="false">IF(ROW()&lt;8,"",AVERAGE(L178:L184))</f>
        <v>80606.1230581462</v>
      </c>
      <c r="P184" s="13" t="n">
        <f aca="false">IF(I184="","",I184/L184)</f>
        <v>1.34297110055467</v>
      </c>
    </row>
    <row r="185" customFormat="false" ht="15" hidden="false" customHeight="false" outlineLevel="0" collapsed="false">
      <c r="A185" s="9" t="n">
        <v>45841</v>
      </c>
      <c r="B185" s="10" t="n">
        <v>877.91991436538</v>
      </c>
      <c r="C185" s="11" t="n">
        <v>116.958512019762</v>
      </c>
      <c r="D185" s="10" t="n">
        <v>471.875</v>
      </c>
      <c r="E185" s="11" t="n">
        <v>10.4168312170286</v>
      </c>
      <c r="F185" s="11" t="n">
        <v>20.0174982319086</v>
      </c>
      <c r="G185" s="11" t="n">
        <v>43.317515952</v>
      </c>
      <c r="H185" s="11" t="n">
        <f aca="false">IF(B185="","",F185*1000/B185)</f>
        <v>22.8010526978177</v>
      </c>
      <c r="I185" s="12" t="n">
        <v>108846.62</v>
      </c>
      <c r="J185" s="12" t="n">
        <f aca="false">F185*24*1000000*Assumptions!$B$3/D185</f>
        <v>50905.4259672378</v>
      </c>
      <c r="K185" s="12" t="n">
        <f aca="false">J185/Assumptions!$B$4</f>
        <v>67873.9012896504</v>
      </c>
      <c r="L185" s="12" t="n">
        <f aca="false">J185/Assumptions!$B$5</f>
        <v>78316.0399495966</v>
      </c>
      <c r="M185" s="12" t="n">
        <f aca="false">E185*24*1000000*Assumptions!$B$3/D185/Assumptions!$B$5</f>
        <v>40754.5918220985</v>
      </c>
      <c r="N185" s="12" t="n">
        <f aca="false">G185*24*1000000*Assumptions!$B$3/D185/Assumptions!$B$5</f>
        <v>169474.540250311</v>
      </c>
      <c r="O185" s="12" t="n">
        <f aca="false">IF(ROW()&lt;8,"",AVERAGE(L179:L185))</f>
        <v>81412.2401087228</v>
      </c>
      <c r="P185" s="13" t="n">
        <f aca="false">IF(I185="","",I185/L185)</f>
        <v>1.38983814899288</v>
      </c>
    </row>
    <row r="186" customFormat="false" ht="15" hidden="false" customHeight="false" outlineLevel="0" collapsed="false">
      <c r="A186" s="9" t="n">
        <v>45842</v>
      </c>
      <c r="B186" s="10" t="n">
        <v>924.432227709241</v>
      </c>
      <c r="C186" s="11" t="n">
        <v>116.958512019762</v>
      </c>
      <c r="D186" s="10" t="n">
        <v>496.875</v>
      </c>
      <c r="E186" s="11" t="n">
        <v>10.7661960346286</v>
      </c>
      <c r="F186" s="11" t="n">
        <v>20.6836403188781</v>
      </c>
      <c r="G186" s="11" t="n">
        <v>44.770320144</v>
      </c>
      <c r="H186" s="11" t="n">
        <f aca="false">IF(B186="","",F186*1000/B186)</f>
        <v>22.3744258355558</v>
      </c>
      <c r="I186" s="12" t="n">
        <v>109636.88</v>
      </c>
      <c r="J186" s="12" t="n">
        <f aca="false">F186*24*1000000*Assumptions!$B$3/D186</f>
        <v>49952.942656913</v>
      </c>
      <c r="K186" s="12" t="n">
        <f aca="false">J186/Assumptions!$B$4</f>
        <v>66603.9235425507</v>
      </c>
      <c r="L186" s="12" t="n">
        <f aca="false">J186/Assumptions!$B$5</f>
        <v>76850.6810106355</v>
      </c>
      <c r="M186" s="12" t="n">
        <f aca="false">E186*24*1000000*Assumptions!$B$3/D186/Assumptions!$B$5</f>
        <v>40002.1216961526</v>
      </c>
      <c r="N186" s="12" t="n">
        <f aca="false">G186*24*1000000*Assumptions!$B$3/D186/Assumptions!$B$5</f>
        <v>166345.456558258</v>
      </c>
      <c r="O186" s="12" t="n">
        <f aca="false">IF(ROW()&lt;8,"",AVERAGE(L180:L186))</f>
        <v>78770.1877770564</v>
      </c>
      <c r="P186" s="13" t="n">
        <f aca="false">IF(I186="","",I186/L186)</f>
        <v>1.42662210091316</v>
      </c>
    </row>
    <row r="187" customFormat="false" ht="15" hidden="false" customHeight="false" outlineLevel="0" collapsed="false">
      <c r="A187" s="9" t="n">
        <v>45843</v>
      </c>
      <c r="B187" s="10" t="n">
        <v>912.804149373276</v>
      </c>
      <c r="C187" s="11" t="n">
        <v>116.958512019762</v>
      </c>
      <c r="D187" s="10" t="n">
        <v>490.625</v>
      </c>
      <c r="E187" s="11" t="n">
        <v>10.7690214836571</v>
      </c>
      <c r="F187" s="11" t="n">
        <v>20.6834009567791</v>
      </c>
      <c r="G187" s="11" t="n">
        <v>44.782069536</v>
      </c>
      <c r="H187" s="11" t="n">
        <f aca="false">IF(B187="","",F187*1000/B187)</f>
        <v>22.6591881412679</v>
      </c>
      <c r="I187" s="12" t="n">
        <v>108026.4</v>
      </c>
      <c r="J187" s="12" t="n">
        <f aca="false">F187*24*1000000*Assumptions!$B$3/D187</f>
        <v>50588.7004293195</v>
      </c>
      <c r="K187" s="12" t="n">
        <f aca="false">J187/Assumptions!$B$4</f>
        <v>67451.600572426</v>
      </c>
      <c r="L187" s="12" t="n">
        <f aca="false">J187/Assumptions!$B$5</f>
        <v>77828.7698912607</v>
      </c>
      <c r="M187" s="12" t="n">
        <f aca="false">E187*24*1000000*Assumptions!$B$3/D187/Assumptions!$B$5</f>
        <v>40522.3346371812</v>
      </c>
      <c r="N187" s="12" t="n">
        <f aca="false">G187*24*1000000*Assumptions!$B$3/D187/Assumptions!$B$5</f>
        <v>168508.718293229</v>
      </c>
      <c r="O187" s="12" t="n">
        <f aca="false">IF(ROW()&lt;8,"",AVERAGE(L181:L187))</f>
        <v>79037.2272158243</v>
      </c>
      <c r="P187" s="13" t="n">
        <f aca="false">IF(I187="","",I187/L187)</f>
        <v>1.38800086588713</v>
      </c>
    </row>
    <row r="188" customFormat="false" ht="15" hidden="false" customHeight="false" outlineLevel="0" collapsed="false">
      <c r="A188" s="9" t="n">
        <v>45844</v>
      </c>
      <c r="B188" s="10" t="n">
        <v>930.246266877224</v>
      </c>
      <c r="C188" s="11" t="n">
        <v>116.958512019762</v>
      </c>
      <c r="D188" s="10" t="n">
        <v>500</v>
      </c>
      <c r="E188" s="11" t="n">
        <v>10.6605227242286</v>
      </c>
      <c r="F188" s="11" t="n">
        <v>20.4689579399024</v>
      </c>
      <c r="G188" s="11" t="n">
        <v>44.330886576</v>
      </c>
      <c r="H188" s="11" t="n">
        <f aca="false">IF(B188="","",F188*1000/B188)</f>
        <v>22.0038055176672</v>
      </c>
      <c r="I188" s="12" t="n">
        <v>108243.13</v>
      </c>
      <c r="J188" s="12" t="n">
        <f aca="false">F188*24*1000000*Assumptions!$B$3/D188</f>
        <v>49125.4990557657</v>
      </c>
      <c r="K188" s="12" t="n">
        <f aca="false">J188/Assumptions!$B$4</f>
        <v>65500.6654076876</v>
      </c>
      <c r="L188" s="12" t="n">
        <f aca="false">J188/Assumptions!$B$5</f>
        <v>75577.6908550242</v>
      </c>
      <c r="M188" s="12" t="n">
        <f aca="false">E188*24*1000000*Assumptions!$B$3/D188/Assumptions!$B$5</f>
        <v>39361.9300586901</v>
      </c>
      <c r="N188" s="12" t="n">
        <f aca="false">G188*24*1000000*Assumptions!$B$3/D188/Assumptions!$B$5</f>
        <v>163683.273511385</v>
      </c>
      <c r="O188" s="12" t="n">
        <f aca="false">IF(ROW()&lt;8,"",AVERAGE(L182:L188))</f>
        <v>79990.7119500631</v>
      </c>
      <c r="P188" s="13" t="n">
        <f aca="false">IF(I188="","",I188/L188)</f>
        <v>1.43221007119199</v>
      </c>
    </row>
    <row r="189" customFormat="false" ht="15" hidden="false" customHeight="false" outlineLevel="0" collapsed="false">
      <c r="A189" s="9" t="n">
        <v>45845</v>
      </c>
      <c r="B189" s="10" t="n">
        <v>877.91991436538</v>
      </c>
      <c r="C189" s="11" t="n">
        <v>116.958512019762</v>
      </c>
      <c r="D189" s="10" t="n">
        <v>471.875</v>
      </c>
      <c r="E189" s="11" t="n">
        <v>10.7209223806286</v>
      </c>
      <c r="F189" s="11" t="n">
        <v>20.5796603092327</v>
      </c>
      <c r="G189" s="11" t="n">
        <v>44.582053464</v>
      </c>
      <c r="H189" s="11" t="n">
        <f aca="false">IF(B189="","",F189*1000/B189)</f>
        <v>23.4413868195587</v>
      </c>
      <c r="I189" s="12" t="n">
        <v>109223.78</v>
      </c>
      <c r="J189" s="12" t="n">
        <f aca="false">F189*24*1000000*Assumptions!$B$3/D189</f>
        <v>52335.0301903666</v>
      </c>
      <c r="K189" s="12" t="n">
        <f aca="false">J189/Assumptions!$B$4</f>
        <v>69780.0402538221</v>
      </c>
      <c r="L189" s="12" t="n">
        <f aca="false">J189/Assumptions!$B$5</f>
        <v>80515.4310621024</v>
      </c>
      <c r="M189" s="12" t="n">
        <f aca="false">E189*24*1000000*Assumptions!$B$3/D189/Assumptions!$B$5</f>
        <v>41944.3117082157</v>
      </c>
      <c r="N189" s="12" t="n">
        <f aca="false">G189*24*1000000*Assumptions!$B$3/D189/Assumptions!$B$5</f>
        <v>174421.890271788</v>
      </c>
      <c r="O189" s="12" t="n">
        <f aca="false">IF(ROW()&lt;8,"",AVERAGE(L183:L189))</f>
        <v>79689.6061451619</v>
      </c>
      <c r="P189" s="13" t="n">
        <f aca="false">IF(I189="","",I189/L189)</f>
        <v>1.35655710413765</v>
      </c>
    </row>
    <row r="190" customFormat="false" ht="15" hidden="false" customHeight="false" outlineLevel="0" collapsed="false">
      <c r="A190" s="9" t="n">
        <v>45846</v>
      </c>
      <c r="B190" s="10" t="n">
        <v>825.593561853536</v>
      </c>
      <c r="C190" s="11" t="n">
        <v>116.958512019762</v>
      </c>
      <c r="D190" s="10" t="n">
        <v>443.75</v>
      </c>
      <c r="E190" s="11" t="n">
        <v>10.8014550018857</v>
      </c>
      <c r="F190" s="11" t="n">
        <v>20.7342490591968</v>
      </c>
      <c r="G190" s="11" t="n">
        <v>44.916941592</v>
      </c>
      <c r="H190" s="11" t="n">
        <f aca="false">IF(B190="","",F190*1000/B190)</f>
        <v>25.1143541049987</v>
      </c>
      <c r="I190" s="12" t="n">
        <v>108300.56</v>
      </c>
      <c r="J190" s="12" t="n">
        <f aca="false">F190*24*1000000*Assumptions!$B$3/D190</f>
        <v>56070.0819628985</v>
      </c>
      <c r="K190" s="12" t="n">
        <f aca="false">J190/Assumptions!$B$4</f>
        <v>74760.1092838646</v>
      </c>
      <c r="L190" s="12" t="n">
        <f aca="false">J190/Assumptions!$B$5</f>
        <v>86261.6645583054</v>
      </c>
      <c r="M190" s="12" t="n">
        <f aca="false">E190*24*1000000*Assumptions!$B$3/D190/Assumptions!$B$5</f>
        <v>44937.7976243133</v>
      </c>
      <c r="N190" s="12" t="n">
        <f aca="false">G190*24*1000000*Assumptions!$B$3/D190/Assumptions!$B$5</f>
        <v>186870.049526847</v>
      </c>
      <c r="O190" s="12" t="n">
        <f aca="false">IF(ROW()&lt;8,"",AVERAGE(L184:L190))</f>
        <v>79151.5303837872</v>
      </c>
      <c r="P190" s="13" t="n">
        <f aca="false">IF(I190="","",I190/L190)</f>
        <v>1.25548887277498</v>
      </c>
    </row>
    <row r="191" customFormat="false" ht="15" hidden="false" customHeight="false" outlineLevel="0" collapsed="false">
      <c r="A191" s="9" t="n">
        <v>45847</v>
      </c>
      <c r="B191" s="10" t="n">
        <v>953.502423549154</v>
      </c>
      <c r="C191" s="11" t="n">
        <v>116.958512019762</v>
      </c>
      <c r="D191" s="10" t="n">
        <v>512.5</v>
      </c>
      <c r="E191" s="11" t="n">
        <v>10.9121875292571</v>
      </c>
      <c r="F191" s="11" t="n">
        <v>20.946808922759</v>
      </c>
      <c r="G191" s="11" t="n">
        <v>45.377413488</v>
      </c>
      <c r="H191" s="11" t="n">
        <f aca="false">IF(B191="","",F191*1000/B191)</f>
        <v>21.9682807357638</v>
      </c>
      <c r="I191" s="12" t="n">
        <v>108936.26</v>
      </c>
      <c r="J191" s="12" t="n">
        <f aca="false">F191*24*1000000*Assumptions!$B$3/D191</f>
        <v>49046.1867459723</v>
      </c>
      <c r="K191" s="12" t="n">
        <f aca="false">J191/Assumptions!$B$4</f>
        <v>65394.9156612963</v>
      </c>
      <c r="L191" s="12" t="n">
        <f aca="false">J191/Assumptions!$B$5</f>
        <v>75455.6719168804</v>
      </c>
      <c r="M191" s="12" t="n">
        <f aca="false">E191*24*1000000*Assumptions!$B$3/D191/Assumptions!$B$5</f>
        <v>39308.442882127</v>
      </c>
      <c r="N191" s="12" t="n">
        <f aca="false">G191*24*1000000*Assumptions!$B$3/D191/Assumptions!$B$5</f>
        <v>163460.851589043</v>
      </c>
      <c r="O191" s="12" t="n">
        <f aca="false">IF(ROW()&lt;8,"",AVERAGE(L185:L191))</f>
        <v>78686.5641776865</v>
      </c>
      <c r="P191" s="13" t="n">
        <f aca="false">IF(I191="","",I191/L191)</f>
        <v>1.44371201306114</v>
      </c>
    </row>
    <row r="192" customFormat="false" ht="15" hidden="false" customHeight="false" outlineLevel="0" collapsed="false">
      <c r="A192" s="9" t="n">
        <v>45848</v>
      </c>
      <c r="B192" s="10" t="n">
        <v>994.200697725033</v>
      </c>
      <c r="C192" s="11" t="n">
        <v>116.958512019762</v>
      </c>
      <c r="D192" s="10" t="n">
        <v>534.375</v>
      </c>
      <c r="E192" s="11" t="n">
        <v>11.1135193594286</v>
      </c>
      <c r="F192" s="11" t="n">
        <v>21.3332813294477</v>
      </c>
      <c r="G192" s="11" t="n">
        <v>46.21463496</v>
      </c>
      <c r="H192" s="11" t="n">
        <f aca="false">IF(B192="","",F192*1000/B192)</f>
        <v>21.4577211404732</v>
      </c>
      <c r="I192" s="12" t="n">
        <v>111305.27</v>
      </c>
      <c r="J192" s="12" t="n">
        <f aca="false">F192*24*1000000*Assumptions!$B$3/D192</f>
        <v>47906.3159678825</v>
      </c>
      <c r="K192" s="12" t="n">
        <f aca="false">J192/Assumptions!$B$4</f>
        <v>63875.0879571767</v>
      </c>
      <c r="L192" s="12" t="n">
        <f aca="false">J192/Assumptions!$B$5</f>
        <v>73702.0245659731</v>
      </c>
      <c r="M192" s="12" t="n">
        <f aca="false">E192*24*1000000*Assumptions!$B$3/D192/Assumptions!$B$5</f>
        <v>38394.8846965414</v>
      </c>
      <c r="N192" s="12" t="n">
        <f aca="false">G192*24*1000000*Assumptions!$B$3/D192/Assumptions!$B$5</f>
        <v>159661.896757895</v>
      </c>
      <c r="O192" s="12" t="n">
        <f aca="false">IF(ROW()&lt;8,"",AVERAGE(L186:L192))</f>
        <v>78027.4191228831</v>
      </c>
      <c r="P192" s="13" t="n">
        <f aca="false">IF(I192="","",I192/L192)</f>
        <v>1.51020641095642</v>
      </c>
    </row>
    <row r="193" customFormat="false" ht="15" hidden="false" customHeight="false" outlineLevel="0" collapsed="false">
      <c r="A193" s="9" t="n">
        <v>45849</v>
      </c>
      <c r="B193" s="10" t="n">
        <v>872.105875197397</v>
      </c>
      <c r="C193" s="11" t="n">
        <v>116.958512019762</v>
      </c>
      <c r="D193" s="10" t="n">
        <v>468.75</v>
      </c>
      <c r="E193" s="11" t="n">
        <v>11.0229199354286</v>
      </c>
      <c r="F193" s="11" t="n">
        <v>21.1593685536681</v>
      </c>
      <c r="G193" s="11" t="n">
        <v>45.83788488</v>
      </c>
      <c r="H193" s="11" t="n">
        <f aca="false">IF(B193="","",F193*1000/B193)</f>
        <v>24.2623850560333</v>
      </c>
      <c r="I193" s="12" t="n">
        <v>115993.81</v>
      </c>
      <c r="J193" s="12" t="n">
        <f aca="false">F193*24*1000000*Assumptions!$B$3/D193</f>
        <v>54167.9834973904</v>
      </c>
      <c r="K193" s="12" t="n">
        <f aca="false">J193/Assumptions!$B$4</f>
        <v>72223.9779965206</v>
      </c>
      <c r="L193" s="12" t="n">
        <f aca="false">J193/Assumptions!$B$5</f>
        <v>83335.3592267545</v>
      </c>
      <c r="M193" s="12" t="n">
        <f aca="false">E193*24*1000000*Assumptions!$B$3/D193/Assumptions!$B$5</f>
        <v>43413.3462072264</v>
      </c>
      <c r="N193" s="12" t="n">
        <f aca="false">G193*24*1000000*Assumptions!$B$3/D193/Assumptions!$B$5</f>
        <v>180530.746604308</v>
      </c>
      <c r="O193" s="12" t="n">
        <f aca="false">IF(ROW()&lt;8,"",AVERAGE(L187:L193))</f>
        <v>78953.8017251858</v>
      </c>
      <c r="P193" s="13" t="n">
        <f aca="false">IF(I193="","",I193/L193)</f>
        <v>1.39189188210472</v>
      </c>
    </row>
    <row r="194" customFormat="false" ht="15" hidden="false" customHeight="false" outlineLevel="0" collapsed="false">
      <c r="A194" s="9" t="n">
        <v>45850</v>
      </c>
      <c r="B194" s="10" t="n">
        <v>918.141001612846</v>
      </c>
      <c r="C194" s="11" t="n">
        <v>123.958694872575</v>
      </c>
      <c r="D194" s="10" t="n">
        <v>465.625</v>
      </c>
      <c r="E194" s="11" t="n">
        <v>11.0361680304</v>
      </c>
      <c r="F194" s="11" t="n">
        <v>21.1847993220831</v>
      </c>
      <c r="G194" s="11" t="n">
        <v>45.892975968</v>
      </c>
      <c r="H194" s="11" t="n">
        <f aca="false">IF(B194="","",F194*1000/B194)</f>
        <v>23.0735794228435</v>
      </c>
      <c r="I194" s="12" t="n">
        <v>117562.14</v>
      </c>
      <c r="J194" s="12" t="n">
        <f aca="false">F194*24*1000000*Assumptions!$B$3/D194</f>
        <v>54597.0667092611</v>
      </c>
      <c r="K194" s="12" t="n">
        <f aca="false">J194/Assumptions!$B$4</f>
        <v>72796.0889456815</v>
      </c>
      <c r="L194" s="12" t="n">
        <f aca="false">J194/Assumptions!$B$5</f>
        <v>83995.4872450171</v>
      </c>
      <c r="M194" s="12" t="n">
        <f aca="false">E194*24*1000000*Assumptions!$B$3/D194/Assumptions!$B$5</f>
        <v>43757.2382413382</v>
      </c>
      <c r="N194" s="12" t="n">
        <f aca="false">G194*24*1000000*Assumptions!$B$3/D194/Assumptions!$B$5</f>
        <v>181960.792686753</v>
      </c>
      <c r="O194" s="12" t="n">
        <f aca="false">IF(ROW()&lt;8,"",AVERAGE(L188:L194))</f>
        <v>79834.761347151</v>
      </c>
      <c r="P194" s="13" t="n">
        <f aca="false">IF(I194="","",I194/L194)</f>
        <v>1.39962447812307</v>
      </c>
    </row>
    <row r="195" customFormat="false" ht="15" hidden="false" customHeight="false" outlineLevel="0" collapsed="false">
      <c r="A195" s="9" t="n">
        <v>45851</v>
      </c>
      <c r="B195" s="10" t="n">
        <v>859.946006057642</v>
      </c>
      <c r="C195" s="11" t="n">
        <v>126.271255279308</v>
      </c>
      <c r="D195" s="10" t="n">
        <v>428.125</v>
      </c>
      <c r="E195" s="11" t="n">
        <v>10.9144480824</v>
      </c>
      <c r="F195" s="11" t="n">
        <v>20.9511482337007</v>
      </c>
      <c r="G195" s="11" t="n">
        <v>45.386813808</v>
      </c>
      <c r="H195" s="11" t="n">
        <f aca="false">IF(B195="","",F195*1000/B195)</f>
        <v>24.3633298906168</v>
      </c>
      <c r="I195" s="12" t="n">
        <v>117446.02</v>
      </c>
      <c r="J195" s="12" t="n">
        <f aca="false">F195*24*1000000*Assumptions!$B$3/D195</f>
        <v>58724.3862900807</v>
      </c>
      <c r="K195" s="12" t="n">
        <f aca="false">J195/Assumptions!$B$4</f>
        <v>78299.1817201076</v>
      </c>
      <c r="L195" s="12" t="n">
        <f aca="false">J195/Assumptions!$B$5</f>
        <v>90345.2096770472</v>
      </c>
      <c r="M195" s="12" t="n">
        <f aca="false">E195*24*1000000*Assumptions!$B$3/D195/Assumptions!$B$5</f>
        <v>47065.1102037238</v>
      </c>
      <c r="N195" s="12" t="n">
        <f aca="false">G195*24*1000000*Assumptions!$B$3/D195/Assumptions!$B$5</f>
        <v>195716.299857069</v>
      </c>
      <c r="O195" s="12" t="n">
        <f aca="false">IF(ROW()&lt;8,"",AVERAGE(L189:L195))</f>
        <v>81944.4068931543</v>
      </c>
      <c r="P195" s="13" t="n">
        <f aca="false">IF(I195="","",I195/L195)</f>
        <v>1.29996953263852</v>
      </c>
    </row>
    <row r="196" customFormat="false" ht="15" hidden="false" customHeight="false" outlineLevel="0" collapsed="false">
      <c r="A196" s="9" t="n">
        <v>45852</v>
      </c>
      <c r="B196" s="10" t="n">
        <v>910.161831228891</v>
      </c>
      <c r="C196" s="11" t="n">
        <v>126.271255279308</v>
      </c>
      <c r="D196" s="10" t="n">
        <v>453.125</v>
      </c>
      <c r="E196" s="11" t="n">
        <v>10.9702726638857</v>
      </c>
      <c r="F196" s="11" t="n">
        <v>21.0583079428276</v>
      </c>
      <c r="G196" s="11" t="n">
        <v>45.618955632</v>
      </c>
      <c r="H196" s="11" t="n">
        <f aca="false">IF(B196="","",F196*1000/B196)</f>
        <v>23.1368831566963</v>
      </c>
      <c r="I196" s="12" t="n">
        <v>119095.39</v>
      </c>
      <c r="J196" s="12" t="n">
        <f aca="false">F196*24*1000000*Assumptions!$B$3/D196</f>
        <v>55768.2086210056</v>
      </c>
      <c r="K196" s="12" t="n">
        <f aca="false">J196/Assumptions!$B$4</f>
        <v>74357.6114946741</v>
      </c>
      <c r="L196" s="12" t="n">
        <f aca="false">J196/Assumptions!$B$5</f>
        <v>85797.2440323163</v>
      </c>
      <c r="M196" s="12" t="n">
        <f aca="false">E196*24*1000000*Assumptions!$B$3/D196/Assumptions!$B$5</f>
        <v>44695.8589170516</v>
      </c>
      <c r="N196" s="12" t="n">
        <f aca="false">G196*24*1000000*Assumptions!$B$3/D196/Assumptions!$B$5</f>
        <v>185863.967773878</v>
      </c>
      <c r="O196" s="12" t="n">
        <f aca="false">IF(ROW()&lt;8,"",AVERAGE(L190:L196))</f>
        <v>82698.9516031848</v>
      </c>
      <c r="P196" s="13" t="n">
        <f aca="false">IF(I196="","",I196/L196)</f>
        <v>1.38810274552807</v>
      </c>
    </row>
    <row r="197" customFormat="false" ht="15" hidden="false" customHeight="false" outlineLevel="0" collapsed="false">
      <c r="A197" s="9" t="n">
        <v>45853</v>
      </c>
      <c r="B197" s="10" t="n">
        <v>1029.42441601061</v>
      </c>
      <c r="C197" s="11" t="n">
        <v>126.271255279308</v>
      </c>
      <c r="D197" s="10" t="n">
        <v>512.5</v>
      </c>
      <c r="E197" s="11" t="n">
        <v>11.3231913252</v>
      </c>
      <c r="F197" s="11" t="n">
        <v>21.7357632875058</v>
      </c>
      <c r="G197" s="11" t="n">
        <v>47.086538184</v>
      </c>
      <c r="H197" s="11" t="n">
        <f aca="false">IF(B197="","",F197*1000/B197)</f>
        <v>21.1144819857098</v>
      </c>
      <c r="I197" s="12" t="n">
        <v>119870.73</v>
      </c>
      <c r="J197" s="12" t="n">
        <f aca="false">F197*24*1000000*Assumptions!$B$3/D197</f>
        <v>50893.4945268429</v>
      </c>
      <c r="K197" s="12" t="n">
        <f aca="false">J197/Assumptions!$B$4</f>
        <v>67857.9927024573</v>
      </c>
      <c r="L197" s="12" t="n">
        <f aca="false">J197/Assumptions!$B$5</f>
        <v>78297.6838874507</v>
      </c>
      <c r="M197" s="12" t="n">
        <f aca="false">E197*24*1000000*Assumptions!$B$3/D197/Assumptions!$B$5</f>
        <v>40788.9818843978</v>
      </c>
      <c r="N197" s="12" t="n">
        <f aca="false">G197*24*1000000*Assumptions!$B$3/D197/Assumptions!$B$5</f>
        <v>169617.548430169</v>
      </c>
      <c r="O197" s="12" t="n">
        <f aca="false">IF(ROW()&lt;8,"",AVERAGE(L191:L197))</f>
        <v>81561.240078777</v>
      </c>
      <c r="P197" s="13" t="n">
        <f aca="false">IF(I197="","",I197/L197)</f>
        <v>1.53096137776321</v>
      </c>
    </row>
    <row r="198" customFormat="false" ht="15" hidden="false" customHeight="false" outlineLevel="0" collapsed="false">
      <c r="A198" s="9" t="n">
        <v>45854</v>
      </c>
      <c r="B198" s="10" t="n">
        <v>822.284137179205</v>
      </c>
      <c r="C198" s="11" t="n">
        <v>126.271255279308</v>
      </c>
      <c r="D198" s="10" t="n">
        <v>409.375</v>
      </c>
      <c r="E198" s="11" t="n">
        <v>11.0959963153714</v>
      </c>
      <c r="F198" s="11" t="n">
        <v>21.2996444574066</v>
      </c>
      <c r="G198" s="11" t="n">
        <v>46.141766856</v>
      </c>
      <c r="H198" s="11" t="n">
        <f aca="false">IF(B198="","",F198*1000/B198)</f>
        <v>25.9030224399971</v>
      </c>
      <c r="I198" s="12" t="n">
        <v>117762.36</v>
      </c>
      <c r="J198" s="12" t="n">
        <f aca="false">F198*24*1000000*Assumptions!$B$3/D198</f>
        <v>62435.5990201842</v>
      </c>
      <c r="K198" s="12" t="n">
        <f aca="false">J198/Assumptions!$B$4</f>
        <v>83247.4653602456</v>
      </c>
      <c r="L198" s="12" t="n">
        <f aca="false">J198/Assumptions!$B$5</f>
        <v>96054.7677233603</v>
      </c>
      <c r="M198" s="12" t="n">
        <f aca="false">E198*24*1000000*Assumptions!$B$3/D198/Assumptions!$B$5</f>
        <v>50039.4901362611</v>
      </c>
      <c r="N198" s="12" t="n">
        <f aca="false">G198*24*1000000*Assumptions!$B$3/D198/Assumptions!$B$5</f>
        <v>208085.008487422</v>
      </c>
      <c r="O198" s="12" t="n">
        <f aca="false">IF(ROW()&lt;8,"",AVERAGE(L192:L198))</f>
        <v>84503.9680511313</v>
      </c>
      <c r="P198" s="13" t="n">
        <f aca="false">IF(I198="","",I198/L198)</f>
        <v>1.22599182519662</v>
      </c>
    </row>
    <row r="199" customFormat="false" ht="15" hidden="false" customHeight="false" outlineLevel="0" collapsed="false">
      <c r="A199" s="9" t="n">
        <v>45855</v>
      </c>
      <c r="B199" s="10" t="n">
        <v>853.669027911236</v>
      </c>
      <c r="C199" s="11" t="n">
        <v>126.271255279308</v>
      </c>
      <c r="D199" s="10" t="n">
        <v>425</v>
      </c>
      <c r="E199" s="11" t="n">
        <v>10.8526757148</v>
      </c>
      <c r="F199" s="11" t="n">
        <v>20.8325712776729</v>
      </c>
      <c r="G199" s="11" t="n">
        <v>45.129938616</v>
      </c>
      <c r="H199" s="11" t="n">
        <f aca="false">IF(B199="","",F199*1000/B199)</f>
        <v>24.4035692950536</v>
      </c>
      <c r="I199" s="12" t="n">
        <v>118748.5</v>
      </c>
      <c r="J199" s="12" t="n">
        <f aca="false">F199*24*1000000*Assumptions!$B$3/D199</f>
        <v>58821.377725194</v>
      </c>
      <c r="K199" s="12" t="n">
        <f aca="false">J199/Assumptions!$B$4</f>
        <v>78428.503633592</v>
      </c>
      <c r="L199" s="12" t="n">
        <f aca="false">J199/Assumptions!$B$5</f>
        <v>90494.4272695292</v>
      </c>
      <c r="M199" s="12" t="n">
        <f aca="false">E199*24*1000000*Assumptions!$B$3/D199/Assumptions!$B$5</f>
        <v>47142.8447339729</v>
      </c>
      <c r="N199" s="12" t="n">
        <f aca="false">G199*24*1000000*Assumptions!$B$3/D199/Assumptions!$B$5</f>
        <v>196039.552359095</v>
      </c>
      <c r="O199" s="12" t="n">
        <f aca="false">IF(ROW()&lt;8,"",AVERAGE(L193:L199))</f>
        <v>86902.8827230679</v>
      </c>
      <c r="P199" s="13" t="n">
        <f aca="false">IF(I199="","",I199/L199)</f>
        <v>1.31221892422523</v>
      </c>
    </row>
    <row r="200" customFormat="false" ht="15" hidden="false" customHeight="false" outlineLevel="0" collapsed="false">
      <c r="A200" s="9" t="n">
        <v>45856</v>
      </c>
      <c r="B200" s="10" t="n">
        <v>903.884853082485</v>
      </c>
      <c r="C200" s="11" t="n">
        <v>126.271255279308</v>
      </c>
      <c r="D200" s="10" t="n">
        <v>450</v>
      </c>
      <c r="E200" s="11" t="n">
        <v>10.9076987833714</v>
      </c>
      <c r="F200" s="11" t="n">
        <v>20.9381924192285</v>
      </c>
      <c r="G200" s="11" t="n">
        <v>45.358747416</v>
      </c>
      <c r="H200" s="11" t="n">
        <f aca="false">IF(B200="","",F200*1000/B200)</f>
        <v>23.1646678753646</v>
      </c>
      <c r="I200" s="12" t="n">
        <v>119276.85</v>
      </c>
      <c r="J200" s="12" t="n">
        <f aca="false">F200*24*1000000*Assumptions!$B$3/D200</f>
        <v>55835.1797846094</v>
      </c>
      <c r="K200" s="12" t="n">
        <f aca="false">J200/Assumptions!$B$4</f>
        <v>74446.9063794792</v>
      </c>
      <c r="L200" s="12" t="n">
        <f aca="false">J200/Assumptions!$B$5</f>
        <v>85900.2765917068</v>
      </c>
      <c r="M200" s="12" t="n">
        <f aca="false">E200*24*1000000*Assumptions!$B$3/D200/Assumptions!$B$5</f>
        <v>44749.5334702418</v>
      </c>
      <c r="N200" s="12" t="n">
        <f aca="false">G200*24*1000000*Assumptions!$B$3/D200/Assumptions!$B$5</f>
        <v>186087.168886154</v>
      </c>
      <c r="O200" s="12" t="n">
        <f aca="false">IF(ROW()&lt;8,"",AVERAGE(L194:L200))</f>
        <v>87269.2994894896</v>
      </c>
      <c r="P200" s="13" t="n">
        <f aca="false">IF(I200="","",I200/L200)</f>
        <v>1.38855024375458</v>
      </c>
    </row>
    <row r="201" customFormat="false" ht="15" hidden="false" customHeight="false" outlineLevel="0" collapsed="false">
      <c r="A201" s="9" t="n">
        <v>45857</v>
      </c>
      <c r="B201" s="10" t="n">
        <v>891.330896789673</v>
      </c>
      <c r="C201" s="11" t="n">
        <v>126.271255279308</v>
      </c>
      <c r="D201" s="10" t="n">
        <v>443.75</v>
      </c>
      <c r="E201" s="11" t="n">
        <v>10.8572712725143</v>
      </c>
      <c r="F201" s="11" t="n">
        <v>20.8413928149748</v>
      </c>
      <c r="G201" s="11" t="n">
        <v>45.149048856</v>
      </c>
      <c r="H201" s="11" t="n">
        <f aca="false">IF(B201="","",F201*1000/B201)</f>
        <v>23.3823296040109</v>
      </c>
      <c r="I201" s="12" t="n">
        <v>118019.66</v>
      </c>
      <c r="J201" s="12" t="n">
        <f aca="false">F201*24*1000000*Assumptions!$B$3/D201</f>
        <v>56359.8228235938</v>
      </c>
      <c r="K201" s="12" t="n">
        <f aca="false">J201/Assumptions!$B$4</f>
        <v>75146.4304314583</v>
      </c>
      <c r="L201" s="12" t="n">
        <f aca="false">J201/Assumptions!$B$5</f>
        <v>86707.4197286058</v>
      </c>
      <c r="M201" s="12" t="n">
        <f aca="false">E201*24*1000000*Assumptions!$B$3/D201/Assumptions!$B$5</f>
        <v>45170.0126613812</v>
      </c>
      <c r="N201" s="12" t="n">
        <f aca="false">G201*24*1000000*Assumptions!$B$3/D201/Assumptions!$B$5</f>
        <v>187835.696215645</v>
      </c>
      <c r="O201" s="12" t="n">
        <f aca="false">IF(ROW()&lt;8,"",AVERAGE(L195:L201))</f>
        <v>87656.7184157166</v>
      </c>
      <c r="P201" s="13" t="n">
        <f aca="false">IF(I201="","",I201/L201)</f>
        <v>1.36112526897239</v>
      </c>
    </row>
    <row r="202" customFormat="false" ht="15" hidden="false" customHeight="false" outlineLevel="0" collapsed="false">
      <c r="A202" s="9" t="n">
        <v>45858</v>
      </c>
      <c r="B202" s="10" t="n">
        <v>935.269743814516</v>
      </c>
      <c r="C202" s="11" t="n">
        <v>126.271255279308</v>
      </c>
      <c r="D202" s="10" t="n">
        <v>465.625</v>
      </c>
      <c r="E202" s="11" t="n">
        <v>10.9876889826857</v>
      </c>
      <c r="F202" s="11" t="n">
        <v>21.091739947278</v>
      </c>
      <c r="G202" s="11" t="n">
        <v>45.691379928</v>
      </c>
      <c r="H202" s="11" t="n">
        <f aca="false">IF(B202="","",F202*1000/B202)</f>
        <v>22.5515046186087</v>
      </c>
      <c r="I202" s="12" t="n">
        <v>117923.05</v>
      </c>
      <c r="J202" s="12" t="n">
        <f aca="false">F202*24*1000000*Assumptions!$B$3/D202</f>
        <v>54357.2358372802</v>
      </c>
      <c r="K202" s="12" t="n">
        <f aca="false">J202/Assumptions!$B$4</f>
        <v>72476.314449707</v>
      </c>
      <c r="L202" s="12" t="n">
        <f aca="false">J202/Assumptions!$B$5</f>
        <v>83626.5166727388</v>
      </c>
      <c r="M202" s="12" t="n">
        <f aca="false">E202*24*1000000*Assumptions!$B$3/D202/Assumptions!$B$5</f>
        <v>43565.0239478711</v>
      </c>
      <c r="N202" s="12" t="n">
        <f aca="false">G202*24*1000000*Assumptions!$B$3/D202/Assumptions!$B$5</f>
        <v>181161.48572382</v>
      </c>
      <c r="O202" s="12" t="n">
        <f aca="false">IF(ROW()&lt;8,"",AVERAGE(L196:L202))</f>
        <v>86696.9051293868</v>
      </c>
      <c r="P202" s="13" t="n">
        <f aca="false">IF(I202="","",I202/L202)</f>
        <v>1.41011553143456</v>
      </c>
    </row>
    <row r="203" customFormat="false" ht="15" hidden="false" customHeight="false" outlineLevel="0" collapsed="false">
      <c r="A203" s="9" t="n">
        <v>45859</v>
      </c>
      <c r="B203" s="10" t="n">
        <v>941.546721960922</v>
      </c>
      <c r="C203" s="11" t="n">
        <v>126.271255279308</v>
      </c>
      <c r="D203" s="10" t="n">
        <v>468.75</v>
      </c>
      <c r="E203" s="11" t="n">
        <v>11.0420296779429</v>
      </c>
      <c r="F203" s="11" t="n">
        <v>21.2347242762547</v>
      </c>
      <c r="G203" s="11" t="n">
        <v>47.2560879298154</v>
      </c>
      <c r="H203" s="11" t="n">
        <f aca="false">IF(B203="","",F203*1000/B203)</f>
        <v>22.5530223630644</v>
      </c>
      <c r="I203" s="12" t="n">
        <v>117316.3</v>
      </c>
      <c r="J203" s="12" t="n">
        <f aca="false">F203*24*1000000*Assumptions!$B$3/D203</f>
        <v>54360.8941472119</v>
      </c>
      <c r="K203" s="12" t="n">
        <f aca="false">J203/Assumptions!$B$4</f>
        <v>72481.1921962825</v>
      </c>
      <c r="L203" s="12" t="n">
        <f aca="false">J203/Assumptions!$B$5</f>
        <v>83632.1448418645</v>
      </c>
      <c r="M203" s="12" t="n">
        <f aca="false">E203*24*1000000*Assumptions!$B$3/D203/Assumptions!$B$5</f>
        <v>43488.6091931288</v>
      </c>
      <c r="N203" s="12" t="n">
        <f aca="false">G203*24*1000000*Assumptions!$B$3/D203/Assumptions!$B$5</f>
        <v>186116.284769734</v>
      </c>
      <c r="O203" s="12" t="n">
        <f aca="false">IF(ROW()&lt;8,"",AVERAGE(L197:L203))</f>
        <v>86387.6052450366</v>
      </c>
      <c r="P203" s="13" t="n">
        <f aca="false">IF(I203="","",I203/L203)</f>
        <v>1.40276564976095</v>
      </c>
    </row>
    <row r="204" customFormat="false" ht="15" hidden="false" customHeight="false" outlineLevel="0" collapsed="false">
      <c r="A204" s="9" t="n">
        <v>45860</v>
      </c>
      <c r="B204" s="10" t="n">
        <v>941.546721960922</v>
      </c>
      <c r="C204" s="11" t="n">
        <v>126.271255279308</v>
      </c>
      <c r="D204" s="10" t="n">
        <v>468.75</v>
      </c>
      <c r="E204" s="11" t="n">
        <v>10.8898757173714</v>
      </c>
      <c r="F204" s="11" t="n">
        <v>20.9813257454596</v>
      </c>
      <c r="G204" s="11" t="n">
        <v>47.9621052836308</v>
      </c>
      <c r="H204" s="11" t="n">
        <f aca="false">IF(B204="","",F204*1000/B204)</f>
        <v>22.2838922977318</v>
      </c>
      <c r="I204" s="12" t="n">
        <v>117446.79</v>
      </c>
      <c r="J204" s="12" t="n">
        <f aca="false">F204*24*1000000*Assumptions!$B$3/D204</f>
        <v>53712.1939083766</v>
      </c>
      <c r="K204" s="12" t="n">
        <f aca="false">J204/Assumptions!$B$4</f>
        <v>71616.2585445021</v>
      </c>
      <c r="L204" s="12" t="n">
        <f aca="false">J204/Assumptions!$B$5</f>
        <v>82634.1444744255</v>
      </c>
      <c r="M204" s="12" t="n">
        <f aca="false">E204*24*1000000*Assumptions!$B$3/D204/Assumptions!$B$5</f>
        <v>42889.3566714936</v>
      </c>
      <c r="N204" s="12" t="n">
        <f aca="false">G204*24*1000000*Assumptions!$B$3/D204/Assumptions!$B$5</f>
        <v>188896.906963223</v>
      </c>
      <c r="O204" s="12" t="n">
        <f aca="false">IF(ROW()&lt;8,"",AVERAGE(L198:L204))</f>
        <v>87007.0996146044</v>
      </c>
      <c r="P204" s="13" t="n">
        <f aca="false">IF(I204="","",I204/L204)</f>
        <v>1.42128645182923</v>
      </c>
    </row>
    <row r="205" customFormat="false" ht="15" hidden="false" customHeight="false" outlineLevel="0" collapsed="false">
      <c r="A205" s="9" t="n">
        <v>45861</v>
      </c>
      <c r="B205" s="10" t="n">
        <v>878.77694049686</v>
      </c>
      <c r="C205" s="11" t="n">
        <v>126.271255279308</v>
      </c>
      <c r="D205" s="10" t="n">
        <v>437.5</v>
      </c>
      <c r="E205" s="11" t="n">
        <v>10.9876889653714</v>
      </c>
      <c r="F205" s="11" t="n">
        <v>21.2051808812216</v>
      </c>
      <c r="G205" s="11" t="n">
        <v>49.6183411083794</v>
      </c>
      <c r="H205" s="11" t="n">
        <f aca="false">IF(B205="","",F205*1000/B205)</f>
        <v>24.1303337673292</v>
      </c>
      <c r="I205" s="12" t="n">
        <v>120001.46</v>
      </c>
      <c r="J205" s="12" t="n">
        <f aca="false">F205*24*1000000*Assumptions!$B$3/D205</f>
        <v>58162.7818456364</v>
      </c>
      <c r="K205" s="12" t="n">
        <f aca="false">J205/Assumptions!$B$4</f>
        <v>77550.3757941819</v>
      </c>
      <c r="L205" s="12" t="n">
        <f aca="false">J205/Assumptions!$B$5</f>
        <v>89481.2028394406</v>
      </c>
      <c r="M205" s="12" t="n">
        <f aca="false">E205*24*1000000*Assumptions!$B$3/D205/Assumptions!$B$5</f>
        <v>46365.6325571717</v>
      </c>
      <c r="N205" s="12" t="n">
        <f aca="false">G205*24*1000000*Assumptions!$B$3/D205/Assumptions!$B$5</f>
        <v>209378.494347447</v>
      </c>
      <c r="O205" s="12" t="n">
        <f aca="false">IF(ROW()&lt;8,"",AVERAGE(L199:L205))</f>
        <v>86068.0189169016</v>
      </c>
      <c r="P205" s="13" t="n">
        <f aca="false">IF(I205="","",I205/L205)</f>
        <v>1.34108009494824</v>
      </c>
    </row>
    <row r="206" customFormat="false" ht="15" hidden="false" customHeight="false" outlineLevel="0" collapsed="false">
      <c r="A206" s="9" t="n">
        <v>45862</v>
      </c>
      <c r="B206" s="10" t="n">
        <v>922.715787521703</v>
      </c>
      <c r="C206" s="11" t="n">
        <v>126.271255279308</v>
      </c>
      <c r="D206" s="10" t="n">
        <v>459.375</v>
      </c>
      <c r="E206" s="11" t="n">
        <v>11.1072385676571</v>
      </c>
      <c r="F206" s="11" t="n">
        <v>21.4725654143005</v>
      </c>
      <c r="G206" s="11" t="n">
        <v>51.4274401049908</v>
      </c>
      <c r="H206" s="11" t="n">
        <f aca="false">IF(B206="","",F206*1000/B206)</f>
        <v>23.271050202764</v>
      </c>
      <c r="I206" s="12" t="n">
        <v>118780.28</v>
      </c>
      <c r="J206" s="12" t="n">
        <f aca="false">F206*24*1000000*Assumptions!$B$3/D206</f>
        <v>56091.5994496012</v>
      </c>
      <c r="K206" s="12" t="n">
        <f aca="false">J206/Assumptions!$B$4</f>
        <v>74788.7992661349</v>
      </c>
      <c r="L206" s="12" t="n">
        <f aca="false">J206/Assumptions!$B$5</f>
        <v>86294.7683840018</v>
      </c>
      <c r="M206" s="12" t="n">
        <f aca="false">E206*24*1000000*Assumptions!$B$3/D206/Assumptions!$B$5</f>
        <v>44638.1958135044</v>
      </c>
      <c r="N206" s="12" t="n">
        <f aca="false">G206*24*1000000*Assumptions!$B$3/D206/Assumptions!$B$5</f>
        <v>206678.566199021</v>
      </c>
      <c r="O206" s="12" t="n">
        <f aca="false">IF(ROW()&lt;8,"",AVERAGE(L200:L206))</f>
        <v>85468.0676475406</v>
      </c>
      <c r="P206" s="13" t="n">
        <f aca="false">IF(I206="","",I206/L206)</f>
        <v>1.37644821608932</v>
      </c>
    </row>
    <row r="207" customFormat="false" ht="15" hidden="false" customHeight="false" outlineLevel="0" collapsed="false">
      <c r="A207" s="9" t="n">
        <v>45863</v>
      </c>
      <c r="B207" s="10" t="n">
        <v>1004.31650342498</v>
      </c>
      <c r="C207" s="11" t="n">
        <v>126.271255279308</v>
      </c>
      <c r="D207" s="10" t="n">
        <v>500</v>
      </c>
      <c r="E207" s="11" t="n">
        <v>11.2811287786286</v>
      </c>
      <c r="F207" s="11" t="n">
        <v>21.8063614577602</v>
      </c>
      <c r="G207" s="11" t="n">
        <v>52.1505479129908</v>
      </c>
      <c r="H207" s="11" t="n">
        <f aca="false">IF(B207="","",F207*1000/B207)</f>
        <v>21.7126387781091</v>
      </c>
      <c r="I207" s="12" t="n">
        <v>118353.17</v>
      </c>
      <c r="J207" s="12" t="n">
        <f aca="false">F207*24*1000000*Assumptions!$B$3/D207</f>
        <v>52335.2674986245</v>
      </c>
      <c r="K207" s="12" t="n">
        <f aca="false">J207/Assumptions!$B$4</f>
        <v>69780.3566648326</v>
      </c>
      <c r="L207" s="12" t="n">
        <f aca="false">J207/Assumptions!$B$5</f>
        <v>80515.79615173</v>
      </c>
      <c r="M207" s="12" t="n">
        <f aca="false">E207*24*1000000*Assumptions!$B$3/D207/Assumptions!$B$5</f>
        <v>41653.398567244</v>
      </c>
      <c r="N207" s="12" t="n">
        <f aca="false">G207*24*1000000*Assumptions!$B$3/D207/Assumptions!$B$5</f>
        <v>192555.869217197</v>
      </c>
      <c r="O207" s="12" t="n">
        <f aca="false">IF(ROW()&lt;8,"",AVERAGE(L201:L207))</f>
        <v>84698.8561561153</v>
      </c>
      <c r="P207" s="13" t="n">
        <f aca="false">IF(I207="","",I207/L207)</f>
        <v>1.46993727512756</v>
      </c>
    </row>
    <row r="208" customFormat="false" ht="15" hidden="false" customHeight="false" outlineLevel="0" collapsed="false">
      <c r="A208" s="9" t="n">
        <v>45864</v>
      </c>
      <c r="B208" s="10" t="n">
        <v>970.032969133875</v>
      </c>
      <c r="C208" s="11" t="n">
        <v>127.540743850681</v>
      </c>
      <c r="D208" s="10" t="n">
        <v>478.125</v>
      </c>
      <c r="E208" s="11" t="n">
        <v>11.4179762180571</v>
      </c>
      <c r="F208" s="11" t="n">
        <v>22.0690509650284</v>
      </c>
      <c r="G208" s="11" t="n">
        <v>52.7196164729908</v>
      </c>
      <c r="H208" s="11" t="n">
        <f aca="false">IF(B208="","",F208*1000/B208)</f>
        <v>22.7508256598057</v>
      </c>
      <c r="I208" s="12" t="n">
        <v>117648.33</v>
      </c>
      <c r="J208" s="12" t="n">
        <f aca="false">F208*24*1000000*Assumptions!$B$3/D208</f>
        <v>55388.9906573263</v>
      </c>
      <c r="K208" s="12" t="n">
        <f aca="false">J208/Assumptions!$B$4</f>
        <v>73851.9875431017</v>
      </c>
      <c r="L208" s="12" t="n">
        <f aca="false">J208/Assumptions!$B$5</f>
        <v>85213.831780502</v>
      </c>
      <c r="M208" s="12" t="n">
        <f aca="false">E208*24*1000000*Assumptions!$B$3/D208/Assumptions!$B$5</f>
        <v>44087.5099822417</v>
      </c>
      <c r="N208" s="12" t="n">
        <f aca="false">G208*24*1000000*Assumptions!$B$3/D208/Assumptions!$B$5</f>
        <v>203562.923334625</v>
      </c>
      <c r="O208" s="12" t="n">
        <f aca="false">IF(ROW()&lt;8,"",AVERAGE(L202:L208))</f>
        <v>84485.4864492433</v>
      </c>
      <c r="P208" s="13" t="n">
        <f aca="false">IF(I208="","",I208/L208)</f>
        <v>1.38062480634652</v>
      </c>
    </row>
    <row r="209" customFormat="false" ht="15" hidden="false" customHeight="false" outlineLevel="0" collapsed="false">
      <c r="A209" s="9" t="n">
        <v>45865</v>
      </c>
      <c r="B209" s="10" t="n">
        <v>869.131963311265</v>
      </c>
      <c r="C209" s="11" t="n">
        <v>127.620086886392</v>
      </c>
      <c r="D209" s="10" t="n">
        <v>428.125</v>
      </c>
      <c r="E209" s="11" t="n">
        <v>11.3034633588</v>
      </c>
      <c r="F209" s="11" t="n">
        <v>21.8492344547616</v>
      </c>
      <c r="G209" s="11" t="n">
        <v>52.2434243849908</v>
      </c>
      <c r="H209" s="11" t="n">
        <f aca="false">IF(B209="","",F209*1000/B209)</f>
        <v>25.1391450056897</v>
      </c>
      <c r="I209" s="12" t="n">
        <v>117947.26</v>
      </c>
      <c r="J209" s="12" t="n">
        <f aca="false">F209*24*1000000*Assumptions!$B$3/D209</f>
        <v>61241.649858602</v>
      </c>
      <c r="K209" s="12" t="n">
        <f aca="false">J209/Assumptions!$B$4</f>
        <v>81655.5331448026</v>
      </c>
      <c r="L209" s="12" t="n">
        <f aca="false">J209/Assumptions!$B$5</f>
        <v>94217.9228593876</v>
      </c>
      <c r="M209" s="12" t="n">
        <f aca="false">E209*24*1000000*Assumptions!$B$3/D209/Assumptions!$B$5</f>
        <v>48742.6157190253</v>
      </c>
      <c r="N209" s="12" t="n">
        <f aca="false">G209*24*1000000*Assumptions!$B$3/D209/Assumptions!$B$5</f>
        <v>225283.26742096</v>
      </c>
      <c r="O209" s="12" t="n">
        <f aca="false">IF(ROW()&lt;8,"",AVERAGE(L203:L209))</f>
        <v>85998.5444759074</v>
      </c>
      <c r="P209" s="13" t="n">
        <f aca="false">IF(I209="","",I209/L209)</f>
        <v>1.25185587222111</v>
      </c>
    </row>
    <row r="210" customFormat="false" ht="15" hidden="false" customHeight="false" outlineLevel="0" collapsed="false">
      <c r="A210" s="9" t="n">
        <v>45866</v>
      </c>
      <c r="B210" s="10" t="n">
        <v>919.8841947455</v>
      </c>
      <c r="C210" s="11" t="n">
        <v>127.620086886392</v>
      </c>
      <c r="D210" s="10" t="n">
        <v>453.125</v>
      </c>
      <c r="E210" s="11" t="n">
        <v>11.2659561315429</v>
      </c>
      <c r="F210" s="11" t="n">
        <v>21.7385633019248</v>
      </c>
      <c r="G210" s="11" t="n">
        <v>50.7487169431754</v>
      </c>
      <c r="H210" s="11" t="n">
        <f aca="false">IF(B210="","",F210*1000/B210)</f>
        <v>23.6318478196477</v>
      </c>
      <c r="I210" s="12" t="n">
        <v>119461.83</v>
      </c>
      <c r="J210" s="12" t="n">
        <f aca="false">F210*24*1000000*Assumptions!$B$3/D210</f>
        <v>57569.7124685456</v>
      </c>
      <c r="K210" s="12" t="n">
        <f aca="false">J210/Assumptions!$B$4</f>
        <v>76759.6166247275</v>
      </c>
      <c r="L210" s="12" t="n">
        <f aca="false">J210/Assumptions!$B$5</f>
        <v>88568.7884131471</v>
      </c>
      <c r="M210" s="12" t="n">
        <f aca="false">E210*24*1000000*Assumptions!$B$3/D210/Assumptions!$B$5</f>
        <v>45900.5533635274</v>
      </c>
      <c r="N210" s="12" t="n">
        <f aca="false">G210*24*1000000*Assumptions!$B$3/D210/Assumptions!$B$5</f>
        <v>206764.003248587</v>
      </c>
      <c r="O210" s="12" t="n">
        <f aca="false">IF(ROW()&lt;8,"",AVERAGE(L204:L210))</f>
        <v>86703.779271805</v>
      </c>
      <c r="P210" s="13" t="n">
        <f aca="false">IF(I210="","",I210/L210)</f>
        <v>1.34880280221003</v>
      </c>
    </row>
    <row r="211" customFormat="false" ht="15" hidden="false" customHeight="false" outlineLevel="0" collapsed="false">
      <c r="A211" s="9" t="n">
        <v>45867</v>
      </c>
      <c r="B211" s="10" t="n">
        <v>710.531240079282</v>
      </c>
      <c r="C211" s="11" t="n">
        <v>127.620086886392</v>
      </c>
      <c r="D211" s="10" t="n">
        <v>350</v>
      </c>
      <c r="E211" s="11" t="n">
        <v>10.8659693117143</v>
      </c>
      <c r="F211" s="11" t="n">
        <v>20.9320838390093</v>
      </c>
      <c r="G211" s="11" t="n">
        <v>47.74666862136</v>
      </c>
      <c r="H211" s="11" t="n">
        <f aca="false">IF(B211="","",F211*1000/B211)</f>
        <v>29.4597656771203</v>
      </c>
      <c r="I211" s="12" t="n">
        <v>118037.15</v>
      </c>
      <c r="J211" s="12" t="n">
        <f aca="false">F211*24*1000000*Assumptions!$B$3/D211</f>
        <v>71767.1445908891</v>
      </c>
      <c r="K211" s="12" t="n">
        <f aca="false">J211/Assumptions!$B$4</f>
        <v>95689.5261211855</v>
      </c>
      <c r="L211" s="12" t="n">
        <f aca="false">J211/Assumptions!$B$5</f>
        <v>110410.991678291</v>
      </c>
      <c r="M211" s="12" t="n">
        <f aca="false">E211*24*1000000*Assumptions!$B$3/D211/Assumptions!$B$5</f>
        <v>57315.0029628886</v>
      </c>
      <c r="N211" s="12" t="n">
        <f aca="false">G211*24*1000000*Assumptions!$B$3/D211/Assumptions!$B$5</f>
        <v>251850.55976102</v>
      </c>
      <c r="O211" s="12" t="n">
        <f aca="false">IF(ROW()&lt;8,"",AVERAGE(L205:L211))</f>
        <v>90671.9003009286</v>
      </c>
      <c r="P211" s="13" t="n">
        <f aca="false">IF(I211="","",I211/L211)</f>
        <v>1.06907064419754</v>
      </c>
    </row>
    <row r="212" customFormat="false" ht="15" hidden="false" customHeight="false" outlineLevel="0" collapsed="false">
      <c r="A212" s="9" t="n">
        <v>45868</v>
      </c>
      <c r="B212" s="10" t="n">
        <v>869.131963311265</v>
      </c>
      <c r="C212" s="11" t="n">
        <v>127.620086886392</v>
      </c>
      <c r="D212" s="10" t="n">
        <v>428.125</v>
      </c>
      <c r="E212" s="11" t="n">
        <v>10.8492697004571</v>
      </c>
      <c r="F212" s="11" t="n">
        <v>20.8639327584908</v>
      </c>
      <c r="G212" s="11" t="n">
        <v>46.4277370286113</v>
      </c>
      <c r="H212" s="11" t="n">
        <f aca="false">IF(B212="","",F212*1000/B212)</f>
        <v>24.0054832168435</v>
      </c>
      <c r="I212" s="12" t="n">
        <v>117925.55</v>
      </c>
      <c r="J212" s="12" t="n">
        <f aca="false">F212*24*1000000*Assumptions!$B$3/D212</f>
        <v>58479.9283157699</v>
      </c>
      <c r="K212" s="12" t="n">
        <f aca="false">J212/Assumptions!$B$4</f>
        <v>77973.2377543599</v>
      </c>
      <c r="L212" s="12" t="n">
        <f aca="false">J212/Assumptions!$B$5</f>
        <v>89969.1204857998</v>
      </c>
      <c r="M212" s="12" t="n">
        <f aca="false">E212*24*1000000*Assumptions!$B$3/D212/Assumptions!$B$5</f>
        <v>46784.0490171313</v>
      </c>
      <c r="N212" s="12" t="n">
        <f aca="false">G212*24*1000000*Assumptions!$B$3/D212/Assumptions!$B$5</f>
        <v>200204.952487218</v>
      </c>
      <c r="O212" s="12" t="n">
        <f aca="false">IF(ROW()&lt;8,"",AVERAGE(L206:L212))</f>
        <v>90741.6028218371</v>
      </c>
      <c r="P212" s="13" t="n">
        <f aca="false">IF(I212="","",I212/L212)</f>
        <v>1.31073360907882</v>
      </c>
    </row>
    <row r="213" customFormat="false" ht="15" hidden="false" customHeight="false" outlineLevel="0" collapsed="false">
      <c r="A213" s="9" t="n">
        <v>45869</v>
      </c>
      <c r="B213" s="10" t="n">
        <v>976.980455109013</v>
      </c>
      <c r="C213" s="11" t="n">
        <v>127.620086886392</v>
      </c>
      <c r="D213" s="10" t="n">
        <v>481.25</v>
      </c>
      <c r="E213" s="11" t="n">
        <v>10.9432251524571</v>
      </c>
      <c r="F213" s="11" t="n">
        <v>20.9918554911477</v>
      </c>
      <c r="G213" s="11" t="n">
        <v>45.506480832</v>
      </c>
      <c r="H213" s="11" t="n">
        <f aca="false">IF(B213="","",F213*1000/B213)</f>
        <v>21.4864641164243</v>
      </c>
      <c r="I213" s="12" t="n">
        <v>117828.87</v>
      </c>
      <c r="J213" s="12" t="n">
        <f aca="false">F213*24*1000000*Assumptions!$B$3/D213</f>
        <v>52343.3279779268</v>
      </c>
      <c r="K213" s="12" t="n">
        <f aca="false">J213/Assumptions!$B$4</f>
        <v>69791.1039705691</v>
      </c>
      <c r="L213" s="12" t="n">
        <f aca="false">J213/Assumptions!$B$5</f>
        <v>80528.1968891182</v>
      </c>
      <c r="M213" s="12" t="n">
        <f aca="false">E213*24*1000000*Assumptions!$B$3/D213/Assumptions!$B$5</f>
        <v>41980.0045808546</v>
      </c>
      <c r="N213" s="12" t="n">
        <f aca="false">G213*24*1000000*Assumptions!$B$3/D213/Assumptions!$B$5</f>
        <v>174570.316078801</v>
      </c>
      <c r="O213" s="12" t="n">
        <f aca="false">IF(ROW()&lt;8,"",AVERAGE(L207:L213))</f>
        <v>89917.8068939965</v>
      </c>
      <c r="P213" s="13" t="n">
        <f aca="false">IF(I213="","",I213/L213)</f>
        <v>1.46320015288859</v>
      </c>
    </row>
    <row r="214" customFormat="false" ht="15" hidden="false" customHeight="false" outlineLevel="0" collapsed="false">
      <c r="A214" s="9" t="n">
        <v>45870</v>
      </c>
      <c r="B214" s="10" t="n">
        <v>957.948368321175</v>
      </c>
      <c r="C214" s="11" t="n">
        <v>127.620086886392</v>
      </c>
      <c r="D214" s="10" t="n">
        <v>471.875</v>
      </c>
      <c r="E214" s="11" t="n">
        <v>10.8629420127429</v>
      </c>
      <c r="F214" s="11" t="n">
        <v>20.806189787043</v>
      </c>
      <c r="G214" s="11" t="n">
        <v>45.172630152</v>
      </c>
      <c r="H214" s="11" t="n">
        <f aca="false">IF(B214="","",F214*1000/B214)</f>
        <v>21.7195315270553</v>
      </c>
      <c r="I214" s="12" t="n">
        <v>115754.1</v>
      </c>
      <c r="J214" s="12" t="n">
        <f aca="false">F214*24*1000000*Assumptions!$B$3/D214</f>
        <v>52911.1051538046</v>
      </c>
      <c r="K214" s="12" t="n">
        <f aca="false">J214/Assumptions!$B$4</f>
        <v>70548.1402050729</v>
      </c>
      <c r="L214" s="12" t="n">
        <f aca="false">J214/Assumptions!$B$5</f>
        <v>81401.7002366225</v>
      </c>
      <c r="M214" s="12" t="n">
        <f aca="false">E214*24*1000000*Assumptions!$B$3/D214/Assumptions!$B$5</f>
        <v>42499.9463361514</v>
      </c>
      <c r="N214" s="12" t="n">
        <f aca="false">G214*24*1000000*Assumptions!$B$3/D214/Assumptions!$B$5</f>
        <v>176732.450110728</v>
      </c>
      <c r="O214" s="12" t="n">
        <f aca="false">IF(ROW()&lt;8,"",AVERAGE(L208:L214))</f>
        <v>90044.3646204098</v>
      </c>
      <c r="P214" s="13" t="n">
        <f aca="false">IF(I214="","",I214/L214)</f>
        <v>1.42201083839183</v>
      </c>
    </row>
    <row r="215" customFormat="false" ht="15" hidden="false" customHeight="false" outlineLevel="0" collapsed="false">
      <c r="A215" s="9" t="n">
        <v>45871</v>
      </c>
      <c r="B215" s="10" t="n">
        <v>919.8841947455</v>
      </c>
      <c r="C215" s="11" t="n">
        <v>127.620086886392</v>
      </c>
      <c r="D215" s="10" t="n">
        <v>453.125</v>
      </c>
      <c r="E215" s="11" t="n">
        <v>10.7755325034857</v>
      </c>
      <c r="F215" s="11" t="n">
        <v>20.6080983272732</v>
      </c>
      <c r="G215" s="11" t="n">
        <v>44.809145064</v>
      </c>
      <c r="H215" s="11" t="n">
        <f aca="false">IF(B215="","",F215*1000/B215)</f>
        <v>22.4029268520857</v>
      </c>
      <c r="I215" s="12" t="n">
        <v>113262.81</v>
      </c>
      <c r="J215" s="12" t="n">
        <f aca="false">F215*24*1000000*Assumptions!$B$3/D215</f>
        <v>54575.9293632614</v>
      </c>
      <c r="K215" s="12" t="n">
        <f aca="false">J215/Assumptions!$B$4</f>
        <v>72767.9058176818</v>
      </c>
      <c r="L215" s="12" t="n">
        <f aca="false">J215/Assumptions!$B$5</f>
        <v>83962.9682511713</v>
      </c>
      <c r="M215" s="12" t="n">
        <f aca="false">E215*24*1000000*Assumptions!$B$3/D215/Assumptions!$B$5</f>
        <v>43902.4348152628</v>
      </c>
      <c r="N215" s="12" t="n">
        <f aca="false">G215*24*1000000*Assumptions!$B$3/D215/Assumptions!$B$5</f>
        <v>182564.580419905</v>
      </c>
      <c r="O215" s="12" t="n">
        <f aca="false">IF(ROW()&lt;8,"",AVERAGE(L209:L215))</f>
        <v>89865.6698305054</v>
      </c>
      <c r="P215" s="13" t="n">
        <f aca="false">IF(I215="","",I215/L215)</f>
        <v>1.34896148098504</v>
      </c>
    </row>
    <row r="216" customFormat="false" ht="15" hidden="false" customHeight="false" outlineLevel="0" collapsed="false">
      <c r="A216" s="9" t="n">
        <v>45872</v>
      </c>
      <c r="B216" s="10" t="n">
        <v>983.324484038292</v>
      </c>
      <c r="C216" s="11" t="n">
        <v>127.620086886392</v>
      </c>
      <c r="D216" s="10" t="n">
        <v>484.375</v>
      </c>
      <c r="E216" s="11" t="n">
        <v>10.9732487125714</v>
      </c>
      <c r="F216" s="11" t="n">
        <v>20.9552384911557</v>
      </c>
      <c r="G216" s="11" t="n">
        <v>45.63133128</v>
      </c>
      <c r="H216" s="11" t="n">
        <f aca="false">IF(B216="","",F216*1000/B216)</f>
        <v>21.3106038050606</v>
      </c>
      <c r="I216" s="12" t="n">
        <v>112521.7</v>
      </c>
      <c r="J216" s="12" t="n">
        <f aca="false">F216*24*1000000*Assumptions!$B$3/D216</f>
        <v>51914.9134232502</v>
      </c>
      <c r="K216" s="12" t="n">
        <f aca="false">J216/Assumptions!$B$4</f>
        <v>69219.8845643336</v>
      </c>
      <c r="L216" s="12" t="n">
        <f aca="false">J216/Assumptions!$B$5</f>
        <v>79869.097574231</v>
      </c>
      <c r="M216" s="12" t="n">
        <f aca="false">E216*24*1000000*Assumptions!$B$3/D216/Assumptions!$B$5</f>
        <v>41823.5980707437</v>
      </c>
      <c r="N216" s="12" t="n">
        <f aca="false">G216*24*1000000*Assumptions!$B$3/D216/Assumptions!$B$5</f>
        <v>173919.912769429</v>
      </c>
      <c r="O216" s="12" t="n">
        <f aca="false">IF(ROW()&lt;8,"",AVERAGE(L210:L216))</f>
        <v>87815.8376469116</v>
      </c>
      <c r="P216" s="13" t="n">
        <f aca="false">IF(I216="","",I216/L216)</f>
        <v>1.40882648505477</v>
      </c>
    </row>
    <row r="217" customFormat="false" ht="15" hidden="false" customHeight="false" outlineLevel="0" collapsed="false">
      <c r="A217" s="9" t="n">
        <v>45873</v>
      </c>
      <c r="B217" s="10" t="n">
        <v>1084.82894690676</v>
      </c>
      <c r="C217" s="11" t="n">
        <v>127.620086886392</v>
      </c>
      <c r="D217" s="10" t="n">
        <v>534.375</v>
      </c>
      <c r="E217" s="11" t="n">
        <v>11.2588387481143</v>
      </c>
      <c r="F217" s="11" t="n">
        <v>21.4677157656741</v>
      </c>
      <c r="G217" s="11" t="n">
        <v>46.818933408</v>
      </c>
      <c r="H217" s="11" t="n">
        <f aca="false">IF(B217="","",F217*1000/B217)</f>
        <v>19.7890329409869</v>
      </c>
      <c r="I217" s="12" t="n">
        <v>114226.86</v>
      </c>
      <c r="J217" s="12" t="n">
        <f aca="false">F217*24*1000000*Assumptions!$B$3/D217</f>
        <v>48208.2038246717</v>
      </c>
      <c r="K217" s="12" t="n">
        <f aca="false">J217/Assumptions!$B$4</f>
        <v>64277.6050995622</v>
      </c>
      <c r="L217" s="12" t="n">
        <f aca="false">J217/Assumptions!$B$5</f>
        <v>74166.4674225718</v>
      </c>
      <c r="M217" s="12" t="n">
        <f aca="false">E217*24*1000000*Assumptions!$B$3/D217/Assumptions!$B$5</f>
        <v>38896.9327870075</v>
      </c>
      <c r="N217" s="12" t="n">
        <f aca="false">G217*24*1000000*Assumptions!$B$3/D217/Assumptions!$B$5</f>
        <v>161749.621490526</v>
      </c>
      <c r="O217" s="12" t="n">
        <f aca="false">IF(ROW()&lt;8,"",AVERAGE(L211:L217))</f>
        <v>85758.3632196865</v>
      </c>
      <c r="P217" s="13" t="n">
        <f aca="false">IF(I217="","",I217/L217)</f>
        <v>1.54014157569592</v>
      </c>
    </row>
    <row r="218" customFormat="false" ht="15" hidden="false" customHeight="false" outlineLevel="0" collapsed="false">
      <c r="A218" s="9" t="n">
        <v>45874</v>
      </c>
      <c r="B218" s="10" t="n">
        <v>875.475992240544</v>
      </c>
      <c r="C218" s="11" t="n">
        <v>127.620086886392</v>
      </c>
      <c r="D218" s="10" t="n">
        <v>431.25</v>
      </c>
      <c r="E218" s="11" t="n">
        <v>11.5444287317143</v>
      </c>
      <c r="F218" s="11" t="n">
        <v>21.9870892522096</v>
      </c>
      <c r="G218" s="11" t="n">
        <v>48.00653532</v>
      </c>
      <c r="H218" s="11" t="n">
        <f aca="false">IF(B218="","",F218*1000/B218)</f>
        <v>25.1144399698952</v>
      </c>
      <c r="I218" s="12" t="n">
        <v>115068.27</v>
      </c>
      <c r="J218" s="12" t="n">
        <f aca="false">F218*24*1000000*Assumptions!$B$3/D218</f>
        <v>61181.465745279</v>
      </c>
      <c r="K218" s="12" t="n">
        <f aca="false">J218/Assumptions!$B$4</f>
        <v>81575.287660372</v>
      </c>
      <c r="L218" s="12" t="n">
        <f aca="false">J218/Assumptions!$B$5</f>
        <v>94125.3319158138</v>
      </c>
      <c r="M218" s="12" t="n">
        <f aca="false">E218*24*1000000*Assumptions!$B$3/D218/Assumptions!$B$5</f>
        <v>49420.9658080077</v>
      </c>
      <c r="N218" s="12" t="n">
        <f aca="false">G218*24*1000000*Assumptions!$B$3/D218/Assumptions!$B$5</f>
        <v>205512.927122408</v>
      </c>
      <c r="O218" s="12" t="n">
        <f aca="false">IF(ROW()&lt;8,"",AVERAGE(L212:L218))</f>
        <v>83431.8403964755</v>
      </c>
      <c r="P218" s="13" t="n">
        <f aca="false">IF(I218="","",I218/L218)</f>
        <v>1.22250054961737</v>
      </c>
    </row>
    <row r="219" customFormat="false" ht="15" hidden="false" customHeight="false" outlineLevel="0" collapsed="false">
      <c r="A219" s="9" t="n">
        <v>45875</v>
      </c>
      <c r="B219" s="10" t="n">
        <v>913.54016581622</v>
      </c>
      <c r="C219" s="11" t="n">
        <v>127.620086886392</v>
      </c>
      <c r="D219" s="10" t="n">
        <v>450</v>
      </c>
      <c r="E219" s="11" t="n">
        <v>11.6213183406857</v>
      </c>
      <c r="F219" s="11" t="n">
        <v>22.1045919513514</v>
      </c>
      <c r="G219" s="11" t="n">
        <v>48.326274288</v>
      </c>
      <c r="H219" s="11" t="n">
        <f aca="false">IF(B219="","",F219*1000/B219)</f>
        <v>24.1966284335201</v>
      </c>
      <c r="I219" s="12" t="n">
        <v>114138.05</v>
      </c>
      <c r="J219" s="12" t="n">
        <f aca="false">F219*24*1000000*Assumptions!$B$3/D219</f>
        <v>58945.5785369372</v>
      </c>
      <c r="K219" s="12" t="n">
        <f aca="false">J219/Assumptions!$B$4</f>
        <v>78594.1047159162</v>
      </c>
      <c r="L219" s="12" t="n">
        <f aca="false">J219/Assumptions!$B$5</f>
        <v>90685.5054414418</v>
      </c>
      <c r="M219" s="12" t="n">
        <f aca="false">E219*24*1000000*Assumptions!$B$3/D219/Assumptions!$B$5</f>
        <v>47677.2034489671</v>
      </c>
      <c r="N219" s="12" t="n">
        <f aca="false">G219*24*1000000*Assumptions!$B$3/D219/Assumptions!$B$5</f>
        <v>198261.638104615</v>
      </c>
      <c r="O219" s="12" t="n">
        <f aca="false">IF(ROW()&lt;8,"",AVERAGE(L213:L219))</f>
        <v>83534.1811044243</v>
      </c>
      <c r="P219" s="13" t="n">
        <f aca="false">IF(I219="","",I219/L219)</f>
        <v>1.25861403588584</v>
      </c>
    </row>
    <row r="220" customFormat="false" ht="15" hidden="false" customHeight="false" outlineLevel="0" collapsed="false">
      <c r="A220" s="9" t="n">
        <v>45876</v>
      </c>
      <c r="B220" s="10" t="n">
        <v>1021.38865761397</v>
      </c>
      <c r="C220" s="11" t="n">
        <v>127.620086886392</v>
      </c>
      <c r="D220" s="10" t="n">
        <v>487.5</v>
      </c>
      <c r="E220" s="11" t="n">
        <v>11.6982079669714</v>
      </c>
      <c r="F220" s="11" t="n">
        <v>22.233074645846</v>
      </c>
      <c r="G220" s="11" t="n">
        <v>48.646013328</v>
      </c>
      <c r="H220" s="11" t="n">
        <f aca="false">IF(B220="","",F220*1000/B220)</f>
        <v>21.7674971031927</v>
      </c>
      <c r="I220" s="12" t="n">
        <v>115024.46</v>
      </c>
      <c r="J220" s="12" t="n">
        <f aca="false">F220*24*1000000*Assumptions!$B$3/D220</f>
        <v>54727.5683590055</v>
      </c>
      <c r="K220" s="12" t="n">
        <f aca="false">J220/Assumptions!$B$4</f>
        <v>72970.0911453406</v>
      </c>
      <c r="L220" s="12" t="n">
        <f aca="false">J220/Assumptions!$B$5</f>
        <v>84196.2590138546</v>
      </c>
      <c r="M220" s="12" t="n">
        <f aca="false">E220*24*1000000*Assumptions!$B$3/D220/Assumptions!$B$5</f>
        <v>44300.9059104244</v>
      </c>
      <c r="N220" s="12" t="n">
        <f aca="false">G220*24*1000000*Assumptions!$B$3/D220/Assumptions!$B$5</f>
        <v>184221.588934438</v>
      </c>
      <c r="O220" s="12" t="n">
        <f aca="false">IF(ROW()&lt;8,"",AVERAGE(L214:L220))</f>
        <v>84058.1899793867</v>
      </c>
      <c r="P220" s="13" t="n">
        <f aca="false">IF(I220="","",I220/L220)</f>
        <v>1.36614692086346</v>
      </c>
    </row>
    <row r="221" customFormat="false" ht="15" hidden="false" customHeight="false" outlineLevel="0" collapsed="false">
      <c r="A221" s="9" t="n">
        <v>45877</v>
      </c>
      <c r="B221" s="10" t="n">
        <v>870.485436276179</v>
      </c>
      <c r="C221" s="11" t="n">
        <v>127.818825794489</v>
      </c>
      <c r="D221" s="10" t="n">
        <v>434.375</v>
      </c>
      <c r="E221" s="11" t="n">
        <v>11.5475533369714</v>
      </c>
      <c r="F221" s="11" t="n">
        <v>21.9467474029051</v>
      </c>
      <c r="G221" s="11" t="n">
        <v>48.019528728</v>
      </c>
      <c r="H221" s="11" t="n">
        <f aca="false">IF(B221="","",F221*1000/B221)</f>
        <v>25.2120787876594</v>
      </c>
      <c r="I221" s="12" t="n">
        <v>117510.56</v>
      </c>
      <c r="J221" s="12" t="n">
        <f aca="false">F221*24*1000000*Assumptions!$B$3/D221</f>
        <v>60629.8633288888</v>
      </c>
      <c r="K221" s="12" t="n">
        <f aca="false">J221/Assumptions!$B$4</f>
        <v>80839.8177718517</v>
      </c>
      <c r="L221" s="12" t="n">
        <f aca="false">J221/Assumptions!$B$5</f>
        <v>93276.7128136751</v>
      </c>
      <c r="M221" s="12" t="n">
        <f aca="false">E221*24*1000000*Assumptions!$B$3/D221/Assumptions!$B$5</f>
        <v>49078.6992960379</v>
      </c>
      <c r="N221" s="12" t="n">
        <f aca="false">G221*24*1000000*Assumptions!$B$3/D221/Assumptions!$B$5</f>
        <v>204089.64063699</v>
      </c>
      <c r="O221" s="12" t="n">
        <f aca="false">IF(ROW()&lt;8,"",AVERAGE(L215:L221))</f>
        <v>85754.6203475371</v>
      </c>
      <c r="P221" s="13" t="n">
        <f aca="false">IF(I221="","",I221/L221)</f>
        <v>1.25980597359529</v>
      </c>
    </row>
    <row r="222" customFormat="false" ht="15" hidden="false" customHeight="false" outlineLevel="0" collapsed="false">
      <c r="A222" s="9" t="n">
        <v>45878</v>
      </c>
      <c r="B222" s="10" t="n">
        <v>746.374213391735</v>
      </c>
      <c r="C222" s="11" t="n">
        <v>129.435235580345</v>
      </c>
      <c r="D222" s="10" t="n">
        <v>371.875</v>
      </c>
      <c r="E222" s="11" t="n">
        <v>11.2471332348</v>
      </c>
      <c r="F222" s="11" t="n">
        <v>21.3757828093923</v>
      </c>
      <c r="G222" s="11" t="n">
        <v>46.770257016</v>
      </c>
      <c r="H222" s="11" t="n">
        <f aca="false">IF(B222="","",F222*1000/B222)</f>
        <v>28.6394980237255</v>
      </c>
      <c r="I222" s="12" t="n">
        <v>116676.54</v>
      </c>
      <c r="J222" s="12" t="n">
        <f aca="false">F222*24*1000000*Assumptions!$B$3/D222</f>
        <v>68977.3159563582</v>
      </c>
      <c r="K222" s="12" t="n">
        <f aca="false">J222/Assumptions!$B$4</f>
        <v>91969.7546084776</v>
      </c>
      <c r="L222" s="12" t="n">
        <f aca="false">J222/Assumptions!$B$5</f>
        <v>106118.947625166</v>
      </c>
      <c r="M222" s="12" t="n">
        <f aca="false">E222*24*1000000*Assumptions!$B$3/D222/Assumptions!$B$5</f>
        <v>55835.8004158138</v>
      </c>
      <c r="N222" s="12" t="n">
        <f aca="false">G222*24*1000000*Assumptions!$B$3/D222/Assumptions!$B$5</f>
        <v>232188.476976652</v>
      </c>
      <c r="O222" s="12" t="n">
        <f aca="false">IF(ROW()&lt;8,"",AVERAGE(L216:L222))</f>
        <v>88919.7602581078</v>
      </c>
      <c r="P222" s="13" t="n">
        <f aca="false">IF(I222="","",I222/L222)</f>
        <v>1.09948828754055</v>
      </c>
    </row>
    <row r="223" customFormat="false" ht="15" hidden="false" customHeight="false" outlineLevel="0" collapsed="false">
      <c r="A223" s="9" t="n">
        <v>45879</v>
      </c>
      <c r="B223" s="10" t="n">
        <v>868.625162136933</v>
      </c>
      <c r="C223" s="11" t="n">
        <v>129.435235580345</v>
      </c>
      <c r="D223" s="10" t="n">
        <v>421.875</v>
      </c>
      <c r="E223" s="11" t="n">
        <v>11.0485395030857</v>
      </c>
      <c r="F223" s="11" t="n">
        <v>20.9983447202536</v>
      </c>
      <c r="G223" s="11" t="n">
        <v>45.944421696</v>
      </c>
      <c r="H223" s="11" t="n">
        <f aca="false">IF(B223="","",F223*1000/B223)</f>
        <v>24.1742303073455</v>
      </c>
      <c r="I223" s="12" t="n">
        <v>116485.38</v>
      </c>
      <c r="J223" s="12" t="n">
        <f aca="false">F223*24*1000000*Assumptions!$B$3/D223</f>
        <v>59728.6249820546</v>
      </c>
      <c r="K223" s="12" t="n">
        <f aca="false">J223/Assumptions!$B$4</f>
        <v>79638.1666427394</v>
      </c>
      <c r="L223" s="12" t="n">
        <f aca="false">J223/Assumptions!$B$5</f>
        <v>91890.192280084</v>
      </c>
      <c r="M223" s="12" t="n">
        <f aca="false">E223*24*1000000*Assumptions!$B$3/D223/Assumptions!$B$5</f>
        <v>48349.1643211956</v>
      </c>
      <c r="N223" s="12" t="n">
        <f aca="false">G223*24*1000000*Assumptions!$B$3/D223/Assumptions!$B$5</f>
        <v>201055.930840616</v>
      </c>
      <c r="O223" s="12" t="n">
        <f aca="false">IF(ROW()&lt;8,"",AVERAGE(L217:L223))</f>
        <v>90637.0595018011</v>
      </c>
      <c r="P223" s="13" t="n">
        <f aca="false">IF(I223="","",I223/L223)</f>
        <v>1.26765846397349</v>
      </c>
    </row>
    <row r="224" customFormat="false" ht="15" hidden="false" customHeight="false" outlineLevel="0" collapsed="false">
      <c r="A224" s="9" t="n">
        <v>45880</v>
      </c>
      <c r="B224" s="10" t="n">
        <v>945.836287660216</v>
      </c>
      <c r="C224" s="11" t="n">
        <v>129.435235580345</v>
      </c>
      <c r="D224" s="10" t="n">
        <v>459.375</v>
      </c>
      <c r="E224" s="11" t="n">
        <v>10.8078837442286</v>
      </c>
      <c r="F224" s="11" t="n">
        <v>20.5409654818497</v>
      </c>
      <c r="G224" s="11" t="n">
        <v>44.943674976</v>
      </c>
      <c r="H224" s="11" t="n">
        <f aca="false">IF(B224="","",F224*1000/B224)</f>
        <v>21.7172524990169</v>
      </c>
      <c r="I224" s="12" t="n">
        <v>119295.42</v>
      </c>
      <c r="J224" s="12" t="n">
        <f aca="false">F224*24*1000000*Assumptions!$B$3/D224</f>
        <v>53658.0322791176</v>
      </c>
      <c r="K224" s="12" t="n">
        <f aca="false">J224/Assumptions!$B$4</f>
        <v>71544.0430388234</v>
      </c>
      <c r="L224" s="12" t="n">
        <f aca="false">J224/Assumptions!$B$5</f>
        <v>82550.8188909501</v>
      </c>
      <c r="M224" s="12" t="n">
        <f aca="false">E224*24*1000000*Assumptions!$B$3/D224/Assumptions!$B$5</f>
        <v>43435.1371824571</v>
      </c>
      <c r="N224" s="12" t="n">
        <f aca="false">G224*24*1000000*Assumptions!$B$3/D224/Assumptions!$B$5</f>
        <v>180621.362540911</v>
      </c>
      <c r="O224" s="12" t="n">
        <f aca="false">IF(ROW()&lt;8,"",AVERAGE(L218:L224))</f>
        <v>91834.8239972837</v>
      </c>
      <c r="P224" s="13" t="n">
        <f aca="false">IF(I224="","",I224/L224)</f>
        <v>1.44511491954537</v>
      </c>
    </row>
    <row r="225" customFormat="false" ht="15" hidden="false" customHeight="false" outlineLevel="0" collapsed="false">
      <c r="A225" s="9" t="n">
        <v>45881</v>
      </c>
      <c r="B225" s="10" t="n">
        <v>881.493683057481</v>
      </c>
      <c r="C225" s="11" t="n">
        <v>129.435235580345</v>
      </c>
      <c r="D225" s="10" t="n">
        <v>428.125</v>
      </c>
      <c r="E225" s="11" t="n">
        <v>10.8183030138857</v>
      </c>
      <c r="F225" s="11" t="n">
        <v>20.560767865317</v>
      </c>
      <c r="G225" s="11" t="n">
        <v>44.987002632</v>
      </c>
      <c r="H225" s="11" t="n">
        <f aca="false">IF(B225="","",F225*1000/B225)</f>
        <v>23.3249179892039</v>
      </c>
      <c r="I225" s="12" t="n">
        <v>118715.93</v>
      </c>
      <c r="J225" s="12" t="n">
        <f aca="false">F225*24*1000000*Assumptions!$B$3/D225</f>
        <v>57630.1814619105</v>
      </c>
      <c r="K225" s="12" t="n">
        <f aca="false">J225/Assumptions!$B$4</f>
        <v>76840.241949214</v>
      </c>
      <c r="L225" s="12" t="n">
        <f aca="false">J225/Assumptions!$B$5</f>
        <v>88661.8176337084</v>
      </c>
      <c r="M225" s="12" t="n">
        <f aca="false">E225*24*1000000*Assumptions!$B$3/D225/Assumptions!$B$5</f>
        <v>46650.5149616183</v>
      </c>
      <c r="N225" s="12" t="n">
        <f aca="false">G225*24*1000000*Assumptions!$B$3/D225/Assumptions!$B$5</f>
        <v>193992.240434453</v>
      </c>
      <c r="O225" s="12" t="n">
        <f aca="false">IF(ROW()&lt;8,"",AVERAGE(L219:L225))</f>
        <v>91054.3219569829</v>
      </c>
      <c r="P225" s="13" t="n">
        <f aca="false">IF(I225="","",I225/L225)</f>
        <v>1.33897469247084</v>
      </c>
    </row>
    <row r="226" customFormat="false" ht="15" hidden="false" customHeight="false" outlineLevel="0" collapsed="false">
      <c r="A226" s="9" t="n">
        <v>45882</v>
      </c>
      <c r="B226" s="10" t="n">
        <v>1003.74463180268</v>
      </c>
      <c r="C226" s="11" t="n">
        <v>129.435235580345</v>
      </c>
      <c r="D226" s="10" t="n">
        <v>487.5</v>
      </c>
      <c r="E226" s="11" t="n">
        <v>10.9744856278286</v>
      </c>
      <c r="F226" s="11" t="n">
        <v>20.8576013396388</v>
      </c>
      <c r="G226" s="11" t="n">
        <v>45.636474888</v>
      </c>
      <c r="H226" s="11" t="n">
        <f aca="false">IF(B226="","",F226*1000/B226)</f>
        <v>20.7797886820869</v>
      </c>
      <c r="I226" s="12" t="n">
        <v>120169.3</v>
      </c>
      <c r="J226" s="12" t="n">
        <f aca="false">F226*24*1000000*Assumptions!$B$3/D226</f>
        <v>51341.787912957</v>
      </c>
      <c r="K226" s="12" t="n">
        <f aca="false">J226/Assumptions!$B$4</f>
        <v>68455.717217276</v>
      </c>
      <c r="L226" s="12" t="n">
        <f aca="false">J226/Assumptions!$B$5</f>
        <v>78987.3660199339</v>
      </c>
      <c r="M226" s="12" t="n">
        <f aca="false">E226*24*1000000*Assumptions!$B$3/D226/Assumptions!$B$5</f>
        <v>41560.1822592325</v>
      </c>
      <c r="N226" s="12" t="n">
        <f aca="false">G226*24*1000000*Assumptions!$B$3/D226/Assumptions!$B$5</f>
        <v>172824.520285917</v>
      </c>
      <c r="O226" s="12" t="n">
        <f aca="false">IF(ROW()&lt;8,"",AVERAGE(L220:L226))</f>
        <v>89383.1591824818</v>
      </c>
      <c r="P226" s="13" t="n">
        <f aca="false">IF(I226="","",I226/L226)</f>
        <v>1.52137368360496</v>
      </c>
    </row>
    <row r="227" customFormat="false" ht="15" hidden="false" customHeight="false" outlineLevel="0" collapsed="false">
      <c r="A227" s="9" t="n">
        <v>45883</v>
      </c>
      <c r="B227" s="10" t="n">
        <v>1042.35019456432</v>
      </c>
      <c r="C227" s="11" t="n">
        <v>129.435235580344</v>
      </c>
      <c r="D227" s="10" t="n">
        <v>506.25</v>
      </c>
      <c r="E227" s="11" t="n">
        <v>11.0107789678286</v>
      </c>
      <c r="F227" s="11" t="n">
        <v>20.9265787881202</v>
      </c>
      <c r="G227" s="11" t="n">
        <v>45.787397688</v>
      </c>
      <c r="H227" s="11" t="n">
        <f aca="false">IF(B227="","",F227*1000/B227)</f>
        <v>20.0763418064762</v>
      </c>
      <c r="I227" s="12" t="n">
        <v>123359.45</v>
      </c>
      <c r="J227" s="12" t="n">
        <f aca="false">F227*24*1000000*Assumptions!$B$3/D227</f>
        <v>49603.7423125813</v>
      </c>
      <c r="K227" s="12" t="n">
        <f aca="false">J227/Assumptions!$B$4</f>
        <v>66138.3230834417</v>
      </c>
      <c r="L227" s="12" t="n">
        <f aca="false">J227/Assumptions!$B$5</f>
        <v>76313.4497116635</v>
      </c>
      <c r="M227" s="12" t="n">
        <f aca="false">E227*24*1000000*Assumptions!$B$3/D227/Assumptions!$B$5</f>
        <v>40153.2680308278</v>
      </c>
      <c r="N227" s="12" t="n">
        <f aca="false">G227*24*1000000*Assumptions!$B$3/D227/Assumptions!$B$5</f>
        <v>166973.985870769</v>
      </c>
      <c r="O227" s="12" t="n">
        <f aca="false">IF(ROW()&lt;8,"",AVERAGE(L221:L227))</f>
        <v>88257.0435678831</v>
      </c>
      <c r="P227" s="13" t="n">
        <f aca="false">IF(I227="","",I227/L227)</f>
        <v>1.61648373210871</v>
      </c>
    </row>
    <row r="228" customFormat="false" ht="15" hidden="false" customHeight="false" outlineLevel="0" collapsed="false">
      <c r="A228" s="9" t="n">
        <v>45884</v>
      </c>
      <c r="B228" s="10" t="n">
        <v>862.19090167666</v>
      </c>
      <c r="C228" s="11" t="n">
        <v>129.435235580345</v>
      </c>
      <c r="D228" s="10" t="n">
        <v>396.875</v>
      </c>
      <c r="E228" s="11" t="n">
        <v>10.9956364129714</v>
      </c>
      <c r="F228" s="11" t="n">
        <v>20.8977995465973</v>
      </c>
      <c r="G228" s="11" t="n">
        <v>45.724428648</v>
      </c>
      <c r="H228" s="11" t="n">
        <f aca="false">IF(B228="","",F228*1000/B228)</f>
        <v>24.2380191045375</v>
      </c>
      <c r="I228" s="12" t="n">
        <v>118387.9</v>
      </c>
      <c r="J228" s="12" t="n">
        <f aca="false">F228*24*1000000*Assumptions!$B$3/D228</f>
        <v>63187.0474479791</v>
      </c>
      <c r="K228" s="12" t="n">
        <f aca="false">J228/Assumptions!$B$4</f>
        <v>84249.3965973054</v>
      </c>
      <c r="L228" s="12" t="n">
        <f aca="false">J228/Assumptions!$B$5</f>
        <v>97210.8422276601</v>
      </c>
      <c r="M228" s="12" t="n">
        <f aca="false">E228*24*1000000*Assumptions!$B$3/D228/Assumptions!$B$5</f>
        <v>51148.6902796006</v>
      </c>
      <c r="N228" s="12" t="n">
        <f aca="false">G228*24*1000000*Assumptions!$B$3/D228/Assumptions!$B$5</f>
        <v>212697.523934973</v>
      </c>
      <c r="O228" s="12" t="n">
        <f aca="false">IF(ROW()&lt;8,"",AVERAGE(L222:L228))</f>
        <v>88819.0620555952</v>
      </c>
      <c r="P228" s="13" t="n">
        <f aca="false">IF(I228="","",I228/L228)</f>
        <v>1.21784666490951</v>
      </c>
    </row>
    <row r="229" customFormat="false" ht="15" hidden="false" customHeight="false" outlineLevel="0" collapsed="false">
      <c r="A229" s="9" t="n">
        <v>45885</v>
      </c>
      <c r="B229" s="10" t="n">
        <v>978.007589961584</v>
      </c>
      <c r="C229" s="11" t="n">
        <v>129.435235580345</v>
      </c>
      <c r="D229" s="10" t="n">
        <v>496.875</v>
      </c>
      <c r="E229" s="11" t="n">
        <v>11.3966930998286</v>
      </c>
      <c r="F229" s="11" t="n">
        <v>21.6600293925092</v>
      </c>
      <c r="G229" s="11" t="n">
        <v>47.392189128</v>
      </c>
      <c r="H229" s="11" t="n">
        <f aca="false">IF(B229="","",F229*1000/B229)</f>
        <v>22.1470974405832</v>
      </c>
      <c r="I229" s="12" t="n">
        <v>117419.5</v>
      </c>
      <c r="J229" s="12" t="n">
        <f aca="false">F229*24*1000000*Assumptions!$B$3/D229</f>
        <v>52311.014381909</v>
      </c>
      <c r="K229" s="12" t="n">
        <f aca="false">J229/Assumptions!$B$4</f>
        <v>69748.0191758787</v>
      </c>
      <c r="L229" s="12" t="n">
        <f aca="false">J229/Assumptions!$B$5</f>
        <v>80478.4836644754</v>
      </c>
      <c r="M229" s="12" t="n">
        <f aca="false">E229*24*1000000*Assumptions!$B$3/D229/Assumptions!$B$5</f>
        <v>42344.7523012498</v>
      </c>
      <c r="N229" s="12" t="n">
        <f aca="false">G229*24*1000000*Assumptions!$B$3/D229/Assumptions!$B$5</f>
        <v>176087.088777475</v>
      </c>
      <c r="O229" s="12" t="n">
        <f aca="false">IF(ROW()&lt;8,"",AVERAGE(L223:L229))</f>
        <v>85156.1386326393</v>
      </c>
      <c r="P229" s="13" t="n">
        <f aca="false">IF(I229="","",I229/L229)</f>
        <v>1.45901730069289</v>
      </c>
    </row>
    <row r="230" customFormat="false" ht="15" hidden="false" customHeight="false" outlineLevel="0" collapsed="false">
      <c r="A230" s="9" t="n">
        <v>45886</v>
      </c>
      <c r="B230" s="10" t="n">
        <v>978.007589961584</v>
      </c>
      <c r="C230" s="11" t="n">
        <v>129.435235580345</v>
      </c>
      <c r="D230" s="10" t="n">
        <v>456.25</v>
      </c>
      <c r="E230" s="11" t="n">
        <v>11.5860809989714</v>
      </c>
      <c r="F230" s="11" t="n">
        <v>22.0199713007529</v>
      </c>
      <c r="G230" s="11" t="n">
        <v>48.179742768</v>
      </c>
      <c r="H230" s="11" t="n">
        <f aca="false">IF(B230="","",F230*1000/B230)</f>
        <v>22.5151333453535</v>
      </c>
      <c r="I230" s="12" t="n">
        <v>117484.12</v>
      </c>
      <c r="J230" s="12" t="n">
        <f aca="false">F230*24*1000000*Assumptions!$B$3/D230</f>
        <v>57915.5409554048</v>
      </c>
      <c r="K230" s="12" t="n">
        <f aca="false">J230/Assumptions!$B$4</f>
        <v>77220.7212738731</v>
      </c>
      <c r="L230" s="12" t="n">
        <f aca="false">J230/Assumptions!$B$5</f>
        <v>89100.8322390843</v>
      </c>
      <c r="M230" s="12" t="n">
        <f aca="false">E230*24*1000000*Assumptions!$B$3/D230/Assumptions!$B$5</f>
        <v>46881.5079410435</v>
      </c>
      <c r="N230" s="12" t="n">
        <f aca="false">G230*24*1000000*Assumptions!$B$3/D230/Assumptions!$B$5</f>
        <v>194952.805299389</v>
      </c>
      <c r="O230" s="12" t="n">
        <f aca="false">IF(ROW()&lt;8,"",AVERAGE(L224:L230))</f>
        <v>84757.6586267822</v>
      </c>
      <c r="P230" s="13" t="n">
        <f aca="false">IF(I230="","",I230/L230)</f>
        <v>1.31855244275109</v>
      </c>
    </row>
    <row r="231" customFormat="false" ht="15" hidden="false" customHeight="false" outlineLevel="0" collapsed="false">
      <c r="A231" s="9" t="n">
        <v>45887</v>
      </c>
      <c r="B231" s="10" t="n">
        <v>990.876110882131</v>
      </c>
      <c r="C231" s="11" t="n">
        <v>129.435235580345</v>
      </c>
      <c r="D231" s="10" t="n">
        <v>500</v>
      </c>
      <c r="E231" s="11" t="n">
        <v>11.6640641955429</v>
      </c>
      <c r="F231" s="11" t="n">
        <v>22.1681825682726</v>
      </c>
      <c r="G231" s="11" t="n">
        <v>48.504029328</v>
      </c>
      <c r="H231" s="11" t="n">
        <f aca="false">IF(B231="","",F231*1000/B231)</f>
        <v>22.372304998389</v>
      </c>
      <c r="I231" s="12" t="n">
        <v>117455.5</v>
      </c>
      <c r="J231" s="12" t="n">
        <f aca="false">F231*24*1000000*Assumptions!$B$3/D231</f>
        <v>53203.6381638543</v>
      </c>
      <c r="K231" s="12" t="n">
        <f aca="false">J231/Assumptions!$B$4</f>
        <v>70938.1842184724</v>
      </c>
      <c r="L231" s="12" t="n">
        <f aca="false">J231/Assumptions!$B$5</f>
        <v>81851.7510213143</v>
      </c>
      <c r="M231" s="12" t="n">
        <f aca="false">E231*24*1000000*Assumptions!$B$3/D231/Assumptions!$B$5</f>
        <v>43067.3139527736</v>
      </c>
      <c r="N231" s="12" t="n">
        <f aca="false">G231*24*1000000*Assumptions!$B$3/D231/Assumptions!$B$5</f>
        <v>179091.800595692</v>
      </c>
      <c r="O231" s="12" t="n">
        <f aca="false">IF(ROW()&lt;8,"",AVERAGE(L225:L231))</f>
        <v>84657.7917882629</v>
      </c>
      <c r="P231" s="13" t="n">
        <f aca="false">IF(I231="","",I231/L231)</f>
        <v>1.43497846453419</v>
      </c>
    </row>
    <row r="232" customFormat="false" ht="15" hidden="false" customHeight="false" outlineLevel="0" collapsed="false">
      <c r="A232" s="9" t="n">
        <v>45888</v>
      </c>
      <c r="B232" s="10" t="n">
        <v>862.19090167666</v>
      </c>
      <c r="C232" s="11" t="n">
        <v>129.435235580345</v>
      </c>
      <c r="D232" s="10" t="n">
        <v>418.75</v>
      </c>
      <c r="E232" s="11" t="n">
        <v>11.6306427761143</v>
      </c>
      <c r="F232" s="11" t="n">
        <v>22.1046633596021</v>
      </c>
      <c r="G232" s="11" t="n">
        <v>48.365049168</v>
      </c>
      <c r="H232" s="11" t="n">
        <f aca="false">IF(B232="","",F232*1000/B232)</f>
        <v>25.6377831366768</v>
      </c>
      <c r="I232" s="12" t="n">
        <v>116251.12</v>
      </c>
      <c r="J232" s="12" t="n">
        <f aca="false">F232*24*1000000*Assumptions!$B$3/D232</f>
        <v>63344.7069409492</v>
      </c>
      <c r="K232" s="12" t="n">
        <f aca="false">J232/Assumptions!$B$4</f>
        <v>84459.6092545989</v>
      </c>
      <c r="L232" s="12" t="n">
        <f aca="false">J232/Assumptions!$B$5</f>
        <v>97453.3952937679</v>
      </c>
      <c r="M232" s="12" t="n">
        <f aca="false">E232*24*1000000*Assumptions!$B$3/D232/Assumptions!$B$5</f>
        <v>51276.3125835578</v>
      </c>
      <c r="N232" s="12" t="n">
        <f aca="false">G232*24*1000000*Assumptions!$B$3/D232/Assumptions!$B$5</f>
        <v>213228.230545488</v>
      </c>
      <c r="O232" s="12" t="n">
        <f aca="false">IF(ROW()&lt;8,"",AVERAGE(L226:L232))</f>
        <v>85913.7314539857</v>
      </c>
      <c r="P232" s="13" t="n">
        <f aca="false">IF(I232="","",I232/L232)</f>
        <v>1.19288937701521</v>
      </c>
    </row>
    <row r="233" customFormat="false" ht="15" hidden="false" customHeight="false" outlineLevel="0" collapsed="false">
      <c r="A233" s="9" t="n">
        <v>45889</v>
      </c>
      <c r="B233" s="10" t="n">
        <v>907.230724898575</v>
      </c>
      <c r="C233" s="11" t="n">
        <v>129.435235580345</v>
      </c>
      <c r="D233" s="10" t="n">
        <v>440.625</v>
      </c>
      <c r="E233" s="11" t="n">
        <v>11.4635357828571</v>
      </c>
      <c r="F233" s="11" t="n">
        <v>21.7870675136897</v>
      </c>
      <c r="G233" s="11" t="n">
        <v>47.6701488</v>
      </c>
      <c r="H233" s="11" t="n">
        <f aca="false">IF(B233="","",F233*1000/B233)</f>
        <v>24.0149136440738</v>
      </c>
      <c r="I233" s="12" t="n">
        <v>112816.34</v>
      </c>
      <c r="J233" s="12" t="n">
        <f aca="false">F233*24*1000000*Assumptions!$B$3/D233</f>
        <v>59334.9923777081</v>
      </c>
      <c r="K233" s="12" t="n">
        <f aca="false">J233/Assumptions!$B$4</f>
        <v>79113.3231702775</v>
      </c>
      <c r="L233" s="12" t="n">
        <f aca="false">J233/Assumptions!$B$5</f>
        <v>91284.6036580125</v>
      </c>
      <c r="M233" s="12" t="n">
        <f aca="false">E233*24*1000000*Assumptions!$B$3/D233/Assumptions!$B$5</f>
        <v>48030.5263569792</v>
      </c>
      <c r="N233" s="12" t="n">
        <f aca="false">G233*24*1000000*Assumptions!$B$3/D233/Assumptions!$B$5</f>
        <v>199730.901682488</v>
      </c>
      <c r="O233" s="12" t="n">
        <f aca="false">IF(ROW()&lt;8,"",AVERAGE(L227:L233))</f>
        <v>87670.4796879969</v>
      </c>
      <c r="P233" s="13" t="n">
        <f aca="false">IF(I233="","",I233/L233)</f>
        <v>1.23587478588014</v>
      </c>
    </row>
    <row r="234" customFormat="false" ht="15" hidden="false" customHeight="false" outlineLevel="0" collapsed="false">
      <c r="A234" s="9" t="n">
        <v>45890</v>
      </c>
      <c r="B234" s="10" t="n">
        <v>958.704808580763</v>
      </c>
      <c r="C234" s="11" t="n">
        <v>129.435235580345</v>
      </c>
      <c r="D234" s="10" t="n">
        <v>465.625</v>
      </c>
      <c r="E234" s="11" t="n">
        <v>11.3187097993714</v>
      </c>
      <c r="F234" s="11" t="n">
        <v>21.5118179275491</v>
      </c>
      <c r="G234" s="11" t="n">
        <v>47.067902136</v>
      </c>
      <c r="H234" s="11" t="n">
        <f aca="false">IF(B234="","",F234*1000/B234)</f>
        <v>22.4384166377495</v>
      </c>
      <c r="I234" s="12" t="n">
        <v>114263.31</v>
      </c>
      <c r="J234" s="12" t="n">
        <f aca="false">F234*24*1000000*Assumptions!$B$3/D234</f>
        <v>55439.8529139519</v>
      </c>
      <c r="K234" s="12" t="n">
        <f aca="false">J234/Assumptions!$B$4</f>
        <v>73919.8038852693</v>
      </c>
      <c r="L234" s="12" t="n">
        <f aca="false">J234/Assumptions!$B$5</f>
        <v>85292.0814060799</v>
      </c>
      <c r="M234" s="12" t="n">
        <f aca="false">E234*24*1000000*Assumptions!$B$3/D234/Assumptions!$B$5</f>
        <v>44877.4864528511</v>
      </c>
      <c r="N234" s="12" t="n">
        <f aca="false">G234*24*1000000*Assumptions!$B$3/D234/Assumptions!$B$5</f>
        <v>186619.250596015</v>
      </c>
      <c r="O234" s="12" t="n">
        <f aca="false">IF(ROW()&lt;8,"",AVERAGE(L228:L234))</f>
        <v>88953.1413586278</v>
      </c>
      <c r="P234" s="13" t="n">
        <f aca="false">IF(I234="","",I234/L234)</f>
        <v>1.33967078908517</v>
      </c>
    </row>
    <row r="235" customFormat="false" ht="15" hidden="false" customHeight="false" outlineLevel="0" collapsed="false">
      <c r="A235" s="9" t="n">
        <v>45891</v>
      </c>
      <c r="B235" s="10" t="n">
        <v>939.585701641628</v>
      </c>
      <c r="C235" s="11" t="n">
        <v>129.460543109966</v>
      </c>
      <c r="D235" s="10" t="n">
        <v>456.25</v>
      </c>
      <c r="E235" s="11" t="n">
        <v>11.4528269490857</v>
      </c>
      <c r="F235" s="11" t="n">
        <v>21.7667147980189</v>
      </c>
      <c r="G235" s="11" t="n">
        <v>47.625617016</v>
      </c>
      <c r="H235" s="11" t="n">
        <f aca="false">IF(B235="","",F235*1000/B235)</f>
        <v>23.1662899509735</v>
      </c>
      <c r="I235" s="12" t="n">
        <v>112432.68</v>
      </c>
      <c r="J235" s="12" t="n">
        <f aca="false">F235*24*1000000*Assumptions!$B$3/D235</f>
        <v>57249.4416605428</v>
      </c>
      <c r="K235" s="12" t="n">
        <f aca="false">J235/Assumptions!$B$4</f>
        <v>76332.5888807237</v>
      </c>
      <c r="L235" s="12" t="n">
        <f aca="false">J235/Assumptions!$B$5</f>
        <v>88076.0640931427</v>
      </c>
      <c r="M235" s="12" t="n">
        <f aca="false">E235*24*1000000*Assumptions!$B$3/D235/Assumptions!$B$5</f>
        <v>46342.3134715376</v>
      </c>
      <c r="N235" s="12" t="n">
        <f aca="false">G235*24*1000000*Assumptions!$B$3/D235/Assumptions!$B$5</f>
        <v>192710.610475701</v>
      </c>
      <c r="O235" s="12" t="n">
        <f aca="false">IF(ROW()&lt;8,"",AVERAGE(L229:L235))</f>
        <v>87648.1730536967</v>
      </c>
      <c r="P235" s="13" t="n">
        <f aca="false">IF(I235="","",I235/L235)</f>
        <v>1.27654069420154</v>
      </c>
    </row>
    <row r="236" customFormat="false" ht="15" hidden="false" customHeight="false" outlineLevel="0" collapsed="false">
      <c r="A236" s="9" t="n">
        <v>45892</v>
      </c>
      <c r="B236" s="10" t="n">
        <v>980.001769614168</v>
      </c>
      <c r="C236" s="11" t="n">
        <v>129.699156960681</v>
      </c>
      <c r="D236" s="10" t="n">
        <v>475</v>
      </c>
      <c r="E236" s="11" t="n">
        <v>11.4562797639429</v>
      </c>
      <c r="F236" s="11" t="n">
        <v>21.7732770587236</v>
      </c>
      <c r="G236" s="11" t="n">
        <v>47.639975256</v>
      </c>
      <c r="H236" s="11" t="n">
        <f aca="false">IF(B236="","",F236*1000/B236)</f>
        <v>22.2175895328187</v>
      </c>
      <c r="I236" s="12" t="n">
        <v>116866.95</v>
      </c>
      <c r="J236" s="12" t="n">
        <f aca="false">F236*24*1000000*Assumptions!$B$3/D236</f>
        <v>55006.1736220385</v>
      </c>
      <c r="K236" s="12" t="n">
        <f aca="false">J236/Assumptions!$B$4</f>
        <v>73341.5648293846</v>
      </c>
      <c r="L236" s="12" t="n">
        <f aca="false">J236/Assumptions!$B$5</f>
        <v>84624.8824954438</v>
      </c>
      <c r="M236" s="12" t="n">
        <f aca="false">E236*24*1000000*Assumptions!$B$3/D236/Assumptions!$B$5</f>
        <v>44526.4314711949</v>
      </c>
      <c r="N236" s="12" t="n">
        <f aca="false">G236*24*1000000*Assumptions!$B$3/D236/Assumptions!$B$5</f>
        <v>185159.417999028</v>
      </c>
      <c r="O236" s="12" t="n">
        <f aca="false">IF(ROW()&lt;8,"",AVERAGE(L230:L236))</f>
        <v>88240.5157438351</v>
      </c>
      <c r="P236" s="13" t="n">
        <f aca="false">IF(I236="","",I236/L236)</f>
        <v>1.38099984961624</v>
      </c>
    </row>
    <row r="237" customFormat="false" ht="15" hidden="false" customHeight="false" outlineLevel="0" collapsed="false">
      <c r="A237" s="9" t="n">
        <v>45893</v>
      </c>
      <c r="B237" s="10" t="n">
        <v>1057.37033037318</v>
      </c>
      <c r="C237" s="11" t="n">
        <v>129.69915696068</v>
      </c>
      <c r="D237" s="10" t="n">
        <v>512.5</v>
      </c>
      <c r="E237" s="11" t="n">
        <v>11.5936906102286</v>
      </c>
      <c r="F237" s="11" t="n">
        <v>22.0344337770213</v>
      </c>
      <c r="G237" s="11" t="n">
        <v>48.211386696</v>
      </c>
      <c r="H237" s="11" t="n">
        <f aca="false">IF(B237="","",F237*1000/B237)</f>
        <v>20.8388992428458</v>
      </c>
      <c r="I237" s="12" t="n">
        <v>115372.47</v>
      </c>
      <c r="J237" s="12" t="n">
        <f aca="false">F237*24*1000000*Assumptions!$B$3/D237</f>
        <v>51592.8205510744</v>
      </c>
      <c r="K237" s="12" t="n">
        <f aca="false">J237/Assumptions!$B$4</f>
        <v>68790.4274014325</v>
      </c>
      <c r="L237" s="12" t="n">
        <f aca="false">J237/Assumptions!$B$5</f>
        <v>79373.5700785759</v>
      </c>
      <c r="M237" s="12" t="n">
        <f aca="false">E237*24*1000000*Assumptions!$B$3/D237/Assumptions!$B$5</f>
        <v>41763.3883145194</v>
      </c>
      <c r="N237" s="12" t="n">
        <f aca="false">G237*24*1000000*Assumptions!$B$3/D237/Assumptions!$B$5</f>
        <v>173669.535565328</v>
      </c>
      <c r="O237" s="12" t="n">
        <f aca="false">IF(ROW()&lt;8,"",AVERAGE(L231:L237))</f>
        <v>86850.9068637624</v>
      </c>
      <c r="P237" s="13" t="n">
        <f aca="false">IF(I237="","",I237/L237)</f>
        <v>1.45353761819945</v>
      </c>
    </row>
    <row r="238" customFormat="false" ht="15" hidden="false" customHeight="false" outlineLevel="0" collapsed="false">
      <c r="A238" s="9" t="n">
        <v>45894</v>
      </c>
      <c r="B238" s="10" t="n">
        <v>909.080588918406</v>
      </c>
      <c r="C238" s="11" t="n">
        <v>129.699156960681</v>
      </c>
      <c r="D238" s="10" t="n">
        <v>440.625</v>
      </c>
      <c r="E238" s="11" t="n">
        <v>11.4520675445143</v>
      </c>
      <c r="F238" s="11" t="n">
        <v>21.7652715087073</v>
      </c>
      <c r="G238" s="11" t="n">
        <v>47.622459096</v>
      </c>
      <c r="H238" s="11" t="n">
        <f aca="false">IF(B238="","",F238*1000/B238)</f>
        <v>23.9420704545049</v>
      </c>
      <c r="I238" s="12" t="n">
        <v>113468.36</v>
      </c>
      <c r="J238" s="12" t="n">
        <f aca="false">F238*24*1000000*Assumptions!$B$3/D238</f>
        <v>59275.6330449901</v>
      </c>
      <c r="K238" s="12" t="n">
        <f aca="false">J238/Assumptions!$B$4</f>
        <v>79034.1773933202</v>
      </c>
      <c r="L238" s="12" t="n">
        <f aca="false">J238/Assumptions!$B$5</f>
        <v>91193.2816076771</v>
      </c>
      <c r="M238" s="12" t="n">
        <f aca="false">E238*24*1000000*Assumptions!$B$3/D238/Assumptions!$B$5</f>
        <v>47982.4761275885</v>
      </c>
      <c r="N238" s="12" t="n">
        <f aca="false">G238*24*1000000*Assumptions!$B$3/D238/Assumptions!$B$5</f>
        <v>199531.088847398</v>
      </c>
      <c r="O238" s="12" t="n">
        <f aca="false">IF(ROW()&lt;8,"",AVERAGE(L232:L238))</f>
        <v>88185.4112332428</v>
      </c>
      <c r="P238" s="13" t="n">
        <f aca="false">IF(I238="","",I238/L238)</f>
        <v>1.24426227458457</v>
      </c>
    </row>
    <row r="239" customFormat="false" ht="15" hidden="false" customHeight="false" outlineLevel="0" collapsed="false">
      <c r="A239" s="9" t="n">
        <v>45895</v>
      </c>
      <c r="B239" s="10" t="n">
        <v>967.107009487666</v>
      </c>
      <c r="C239" s="11" t="n">
        <v>129.699156960681</v>
      </c>
      <c r="D239" s="10" t="n">
        <v>468.75</v>
      </c>
      <c r="E239" s="11" t="n">
        <v>11.6337222776571</v>
      </c>
      <c r="F239" s="11" t="n">
        <v>22.1105161182355</v>
      </c>
      <c r="G239" s="11" t="n">
        <v>48.377855016</v>
      </c>
      <c r="H239" s="11" t="n">
        <f aca="false">IF(B239="","",F239*1000/B239)</f>
        <v>22.8625332060707</v>
      </c>
      <c r="I239" s="12" t="n">
        <v>110138.68</v>
      </c>
      <c r="J239" s="12" t="n">
        <f aca="false">F239*24*1000000*Assumptions!$B$3/D239</f>
        <v>56602.9212626828</v>
      </c>
      <c r="K239" s="12" t="n">
        <f aca="false">J239/Assumptions!$B$4</f>
        <v>75470.5616835771</v>
      </c>
      <c r="L239" s="12" t="n">
        <f aca="false">J239/Assumptions!$B$5</f>
        <v>87081.4173272044</v>
      </c>
      <c r="M239" s="12" t="n">
        <f aca="false">E239*24*1000000*Assumptions!$B$3/D239/Assumptions!$B$5</f>
        <v>45818.9677396958</v>
      </c>
      <c r="N239" s="12" t="n">
        <f aca="false">G239*24*1000000*Assumptions!$B$3/D239/Assumptions!$B$5</f>
        <v>190534.321293785</v>
      </c>
      <c r="O239" s="12" t="n">
        <f aca="false">IF(ROW()&lt;8,"",AVERAGE(L233:L239))</f>
        <v>86703.7000951623</v>
      </c>
      <c r="P239" s="13" t="n">
        <f aca="false">IF(I239="","",I239/L239)</f>
        <v>1.26477821997498</v>
      </c>
    </row>
    <row r="240" customFormat="false" ht="15" hidden="false" customHeight="false" outlineLevel="0" collapsed="false">
      <c r="A240" s="9" t="n">
        <v>45896</v>
      </c>
      <c r="B240" s="10" t="n">
        <v>967.107009487666</v>
      </c>
      <c r="C240" s="11" t="n">
        <v>129.699156960681</v>
      </c>
      <c r="D240" s="10" t="n">
        <v>468.75</v>
      </c>
      <c r="E240" s="11" t="n">
        <v>11.7373938142286</v>
      </c>
      <c r="F240" s="11" t="n">
        <v>22.3075494602439</v>
      </c>
      <c r="G240" s="11" t="n">
        <v>48.808964376</v>
      </c>
      <c r="H240" s="11" t="n">
        <f aca="false">IF(B240="","",F240*1000/B240)</f>
        <v>23.0662679945434</v>
      </c>
      <c r="I240" s="12" t="n">
        <v>111803.49</v>
      </c>
      <c r="J240" s="12" t="n">
        <f aca="false">F240*24*1000000*Assumptions!$B$3/D240</f>
        <v>57107.3266182244</v>
      </c>
      <c r="K240" s="12" t="n">
        <f aca="false">J240/Assumptions!$B$4</f>
        <v>76143.1021576326</v>
      </c>
      <c r="L240" s="12" t="n">
        <f aca="false">J240/Assumptions!$B$5</f>
        <v>87857.4255664991</v>
      </c>
      <c r="M240" s="12" t="n">
        <f aca="false">E240*24*1000000*Assumptions!$B$3/D240/Assumptions!$B$5</f>
        <v>46227.2740991156</v>
      </c>
      <c r="N240" s="12" t="n">
        <f aca="false">G240*24*1000000*Assumptions!$B$3/D240/Assumptions!$B$5</f>
        <v>192232.228927015</v>
      </c>
      <c r="O240" s="12" t="n">
        <f aca="false">IF(ROW()&lt;8,"",AVERAGE(L234:L240))</f>
        <v>86214.1032249461</v>
      </c>
      <c r="P240" s="13" t="n">
        <f aca="false">IF(I240="","",I240/L240)</f>
        <v>1.27255595391167</v>
      </c>
    </row>
    <row r="241" customFormat="false" ht="15" hidden="false" customHeight="false" outlineLevel="0" collapsed="false">
      <c r="A241" s="9" t="n">
        <v>45897</v>
      </c>
      <c r="B241" s="10" t="n">
        <v>1025.13343005693</v>
      </c>
      <c r="C241" s="11" t="n">
        <v>129.699156960681</v>
      </c>
      <c r="D241" s="10" t="n">
        <v>496.875</v>
      </c>
      <c r="E241" s="11" t="n">
        <v>11.8524102075429</v>
      </c>
      <c r="F241" s="11" t="n">
        <v>22.526144313855</v>
      </c>
      <c r="G241" s="11" t="n">
        <v>49.287250368</v>
      </c>
      <c r="H241" s="11" t="n">
        <f aca="false">IF(B241="","",F241*1000/B241)</f>
        <v>21.9738656972724</v>
      </c>
      <c r="I241" s="12" t="n">
        <v>111252.32</v>
      </c>
      <c r="J241" s="12" t="n">
        <f aca="false">F241*24*1000000*Assumptions!$B$3/D241</f>
        <v>54402.7636259141</v>
      </c>
      <c r="K241" s="12" t="n">
        <f aca="false">J241/Assumptions!$B$4</f>
        <v>72537.0181678854</v>
      </c>
      <c r="L241" s="12" t="n">
        <f aca="false">J241/Assumptions!$B$5</f>
        <v>83696.5594244831</v>
      </c>
      <c r="M241" s="12" t="n">
        <f aca="false">E241*24*1000000*Assumptions!$B$3/D241/Assumptions!$B$5</f>
        <v>44037.9827740344</v>
      </c>
      <c r="N241" s="12" t="n">
        <f aca="false">G241*24*1000000*Assumptions!$B$3/D241/Assumptions!$B$5</f>
        <v>183128.245198955</v>
      </c>
      <c r="O241" s="12" t="n">
        <f aca="false">IF(ROW()&lt;8,"",AVERAGE(L235:L241))</f>
        <v>85986.1715132895</v>
      </c>
      <c r="P241" s="13" t="n">
        <f aca="false">IF(I241="","",I241/L241)</f>
        <v>1.32923408996734</v>
      </c>
    </row>
    <row r="242" customFormat="false" ht="15" hidden="false" customHeight="false" outlineLevel="0" collapsed="false">
      <c r="A242" s="9" t="n">
        <v>45898</v>
      </c>
      <c r="B242" s="10" t="n">
        <v>1063.81771043643</v>
      </c>
      <c r="C242" s="11" t="n">
        <v>129.69915696068</v>
      </c>
      <c r="D242" s="10" t="n">
        <v>515.625</v>
      </c>
      <c r="E242" s="11" t="n">
        <v>12.0673954601143</v>
      </c>
      <c r="F242" s="11" t="n">
        <v>22.9347353717052</v>
      </c>
      <c r="G242" s="11" t="n">
        <v>50.181248448</v>
      </c>
      <c r="H242" s="11" t="n">
        <f aca="false">IF(B242="","",F242*1000/B242)</f>
        <v>21.5588959900811</v>
      </c>
      <c r="I242" s="12" t="n">
        <v>112572.88</v>
      </c>
      <c r="J242" s="12" t="n">
        <f aca="false">F242*24*1000000*Assumptions!$B$3/D242</f>
        <v>53375.3841377867</v>
      </c>
      <c r="K242" s="12" t="n">
        <f aca="false">J242/Assumptions!$B$4</f>
        <v>71167.1788503823</v>
      </c>
      <c r="L242" s="12" t="n">
        <f aca="false">J242/Assumptions!$B$5</f>
        <v>82115.975596595</v>
      </c>
      <c r="M242" s="12" t="n">
        <f aca="false">E242*24*1000000*Assumptions!$B$3/D242/Assumptions!$B$5</f>
        <v>43206.3389900596</v>
      </c>
      <c r="N242" s="12" t="n">
        <f aca="false">G242*24*1000000*Assumptions!$B$3/D242/Assumptions!$B$5</f>
        <v>179669.924513119</v>
      </c>
      <c r="O242" s="12" t="n">
        <f aca="false">IF(ROW()&lt;8,"",AVERAGE(L236:L242))</f>
        <v>85134.7302994969</v>
      </c>
      <c r="P242" s="13" t="n">
        <f aca="false">IF(I242="","",I242/L242)</f>
        <v>1.3709010844982</v>
      </c>
    </row>
    <row r="243" customFormat="false" ht="15" hidden="false" customHeight="false" outlineLevel="0" collapsed="false">
      <c r="A243" s="9" t="n">
        <v>45899</v>
      </c>
      <c r="B243" s="10" t="n">
        <v>1018.68604999368</v>
      </c>
      <c r="C243" s="11" t="n">
        <v>129.699156960681</v>
      </c>
      <c r="D243" s="10" t="n">
        <v>471.875</v>
      </c>
      <c r="E243" s="11" t="n">
        <v>12.1343743892571</v>
      </c>
      <c r="F243" s="11" t="n">
        <v>23.0620324359681</v>
      </c>
      <c r="G243" s="11" t="n">
        <v>50.459774688</v>
      </c>
      <c r="H243" s="11" t="n">
        <f aca="false">IF(B243="","",F243*1000/B243)</f>
        <v>22.6389989694188</v>
      </c>
      <c r="I243" s="12" t="n">
        <v>108370.55</v>
      </c>
      <c r="J243" s="12" t="n">
        <f aca="false">F243*24*1000000*Assumptions!$B$3/D243</f>
        <v>58647.8175855083</v>
      </c>
      <c r="K243" s="12" t="n">
        <f aca="false">J243/Assumptions!$B$4</f>
        <v>78197.0901140111</v>
      </c>
      <c r="L243" s="12" t="n">
        <f aca="false">J243/Assumptions!$B$5</f>
        <v>90227.4116700128</v>
      </c>
      <c r="M243" s="12" t="n">
        <f aca="false">E243*24*1000000*Assumptions!$B$3/D243/Assumptions!$B$5</f>
        <v>47474.271680843</v>
      </c>
      <c r="N243" s="12" t="n">
        <f aca="false">G243*24*1000000*Assumptions!$B$3/D243/Assumptions!$B$5</f>
        <v>197417.763425288</v>
      </c>
      <c r="O243" s="12" t="n">
        <f aca="false">IF(ROW()&lt;8,"",AVERAGE(L237:L243))</f>
        <v>85935.0916101496</v>
      </c>
      <c r="P243" s="13" t="n">
        <f aca="false">IF(I243="","",I243/L243)</f>
        <v>1.20108233179005</v>
      </c>
    </row>
    <row r="244" customFormat="false" ht="15" hidden="false" customHeight="false" outlineLevel="0" collapsed="false">
      <c r="A244" s="9" t="n">
        <v>45900</v>
      </c>
      <c r="B244" s="10" t="n">
        <v>851.054168349146</v>
      </c>
      <c r="C244" s="11" t="n">
        <v>129.699156960681</v>
      </c>
      <c r="D244" s="10" t="n">
        <v>434.375</v>
      </c>
      <c r="E244" s="11" t="n">
        <v>11.7771526950857</v>
      </c>
      <c r="F244" s="11" t="n">
        <v>22.3831133558789</v>
      </c>
      <c r="G244" s="11" t="n">
        <v>48.974298336</v>
      </c>
      <c r="H244" s="11" t="n">
        <f aca="false">IF(B244="","",F244*1000/B244)</f>
        <v>26.3004567609334</v>
      </c>
      <c r="I244" s="12" t="n">
        <v>108790.79</v>
      </c>
      <c r="J244" s="12" t="n">
        <f aca="false">F244*24*1000000*Assumptions!$B$3/D244</f>
        <v>61835.3635155215</v>
      </c>
      <c r="K244" s="12" t="n">
        <f aca="false">J244/Assumptions!$B$4</f>
        <v>82447.1513540287</v>
      </c>
      <c r="L244" s="12" t="n">
        <f aca="false">J244/Assumptions!$B$5</f>
        <v>95131.3284854177</v>
      </c>
      <c r="M244" s="12" t="n">
        <f aca="false">E244*24*1000000*Assumptions!$B$3/D244/Assumptions!$B$5</f>
        <v>50054.5283332918</v>
      </c>
      <c r="N244" s="12" t="n">
        <f aca="false">G244*24*1000000*Assumptions!$B$3/D244/Assumptions!$B$5</f>
        <v>208147.543564184</v>
      </c>
      <c r="O244" s="12" t="n">
        <f aca="false">IF(ROW()&lt;8,"",AVERAGE(L238:L244))</f>
        <v>88186.1999539842</v>
      </c>
      <c r="P244" s="13" t="n">
        <f aca="false">IF(I244="","",I244/L244)</f>
        <v>1.1435853123472</v>
      </c>
    </row>
    <row r="245" customFormat="false" ht="15" hidden="false" customHeight="false" outlineLevel="0" collapsed="false">
      <c r="A245" s="9" t="n">
        <v>45901</v>
      </c>
      <c r="B245" s="10" t="n">
        <v>1038.02819018343</v>
      </c>
      <c r="C245" s="11" t="n">
        <v>129.699156960681</v>
      </c>
      <c r="D245" s="10" t="n">
        <v>503.125</v>
      </c>
      <c r="E245" s="11" t="n">
        <v>11.8506436136571</v>
      </c>
      <c r="F245" s="11" t="n">
        <v>22.7784088188022</v>
      </c>
      <c r="G245" s="11" t="n">
        <v>49.902721056</v>
      </c>
      <c r="H245" s="11" t="n">
        <f aca="false">IF(B245="","",F245*1000/B245)</f>
        <v>21.9439212096707</v>
      </c>
      <c r="I245" s="12" t="n">
        <v>108234.82</v>
      </c>
      <c r="J245" s="12" t="n">
        <f aca="false">F245*24*1000000*Assumptions!$B$3/D245</f>
        <v>54328.6272448449</v>
      </c>
      <c r="K245" s="12" t="n">
        <f aca="false">J245/Assumptions!$B$4</f>
        <v>72438.1696597932</v>
      </c>
      <c r="L245" s="12" t="n">
        <f aca="false">J245/Assumptions!$B$5</f>
        <v>83582.5034536076</v>
      </c>
      <c r="M245" s="12" t="n">
        <f aca="false">E245*24*1000000*Assumptions!$B$3/D245/Assumptions!$B$5</f>
        <v>43484.4447935436</v>
      </c>
      <c r="N245" s="12" t="n">
        <f aca="false">G245*24*1000000*Assumptions!$B$3/D245/Assumptions!$B$5</f>
        <v>183111.752369842</v>
      </c>
      <c r="O245" s="12" t="n">
        <f aca="false">IF(ROW()&lt;8,"",AVERAGE(L239:L245))</f>
        <v>87098.9459319742</v>
      </c>
      <c r="P245" s="13" t="n">
        <f aca="false">IF(I245="","",I245/L245)</f>
        <v>1.29494589809787</v>
      </c>
    </row>
    <row r="246" customFormat="false" ht="15" hidden="false" customHeight="false" outlineLevel="0" collapsed="false">
      <c r="A246" s="9" t="n">
        <v>45902</v>
      </c>
      <c r="B246" s="10" t="n">
        <v>1050.92295030993</v>
      </c>
      <c r="C246" s="11" t="n">
        <v>129.69915696068</v>
      </c>
      <c r="D246" s="10" t="n">
        <v>493.75</v>
      </c>
      <c r="E246" s="11" t="n">
        <v>11.8441317598571</v>
      </c>
      <c r="F246" s="11" t="n">
        <v>23.024830125297</v>
      </c>
      <c r="G246" s="11" t="n">
        <v>50.506195824</v>
      </c>
      <c r="H246" s="11" t="n">
        <f aca="false">IF(B246="","",F246*1000/B246)</f>
        <v>21.9091514925111</v>
      </c>
      <c r="I246" s="12" t="n">
        <v>109250.51</v>
      </c>
      <c r="J246" s="12" t="n">
        <f aca="false">F246*24*1000000*Assumptions!$B$3/D246</f>
        <v>55959.0808108483</v>
      </c>
      <c r="K246" s="12" t="n">
        <f aca="false">J246/Assumptions!$B$4</f>
        <v>74612.1077477978</v>
      </c>
      <c r="L246" s="12" t="n">
        <f aca="false">J246/Assumptions!$B$5</f>
        <v>86090.8935551512</v>
      </c>
      <c r="M246" s="12" t="n">
        <f aca="false">E246*24*1000000*Assumptions!$B$3/D246/Assumptions!$B$5</f>
        <v>44285.7506892419</v>
      </c>
      <c r="N246" s="12" t="n">
        <f aca="false">G246*24*1000000*Assumptions!$B$3/D246/Assumptions!$B$5</f>
        <v>188844.977569776</v>
      </c>
      <c r="O246" s="12" t="n">
        <f aca="false">IF(ROW()&lt;8,"",AVERAGE(L240:L246))</f>
        <v>86957.4425359667</v>
      </c>
      <c r="P246" s="13" t="n">
        <f aca="false">IF(I246="","",I246/L246)</f>
        <v>1.26901354473702</v>
      </c>
    </row>
    <row r="247" customFormat="false" ht="15" hidden="false" customHeight="false" outlineLevel="0" collapsed="false">
      <c r="A247" s="9" t="n">
        <v>45903</v>
      </c>
      <c r="B247" s="10" t="n">
        <v>883.291068665402</v>
      </c>
      <c r="C247" s="11" t="n">
        <v>129.699156960681</v>
      </c>
      <c r="D247" s="10" t="n">
        <v>443.75</v>
      </c>
      <c r="E247" s="11" t="n">
        <v>11.5715642285714</v>
      </c>
      <c r="F247" s="11" t="n">
        <v>22.7243177165655</v>
      </c>
      <c r="G247" s="11" t="n">
        <v>49.902721344</v>
      </c>
      <c r="H247" s="11" t="n">
        <f aca="false">IF(B247="","",F247*1000/B247)</f>
        <v>25.7268736464193</v>
      </c>
      <c r="I247" s="12" t="n">
        <v>111202.95</v>
      </c>
      <c r="J247" s="12" t="n">
        <f aca="false">F247*24*1000000*Assumptions!$B$3/D247</f>
        <v>61451.6760785995</v>
      </c>
      <c r="K247" s="12" t="n">
        <f aca="false">J247/Assumptions!$B$4</f>
        <v>81935.5681047994</v>
      </c>
      <c r="L247" s="12" t="n">
        <f aca="false">J247/Assumptions!$B$5</f>
        <v>94541.0401209224</v>
      </c>
      <c r="M247" s="12" t="n">
        <f aca="false">E247*24*1000000*Assumptions!$B$3/D247/Assumptions!$B$5</f>
        <v>48141.7190007739</v>
      </c>
      <c r="N247" s="12" t="n">
        <f aca="false">G247*24*1000000*Assumptions!$B$3/D247/Assumptions!$B$5</f>
        <v>207612.62184286</v>
      </c>
      <c r="O247" s="12" t="n">
        <f aca="false">IF(ROW()&lt;8,"",AVERAGE(L241:L247))</f>
        <v>87912.24461517</v>
      </c>
      <c r="P247" s="13" t="n">
        <f aca="false">IF(I247="","",I247/L247)</f>
        <v>1.17623996793103</v>
      </c>
    </row>
    <row r="248" customFormat="false" ht="15" hidden="false" customHeight="false" outlineLevel="0" collapsed="false">
      <c r="A248" s="9" t="n">
        <v>45904</v>
      </c>
      <c r="B248" s="10" t="n">
        <v>902.633208855155</v>
      </c>
      <c r="C248" s="11" t="n">
        <v>129.699156960681</v>
      </c>
      <c r="D248" s="10" t="n">
        <v>437.5</v>
      </c>
      <c r="E248" s="11" t="n">
        <v>11.2292267370286</v>
      </c>
      <c r="F248" s="11" t="n">
        <v>22.295966871668</v>
      </c>
      <c r="G248" s="11" t="n">
        <v>49.020719616</v>
      </c>
      <c r="H248" s="11" t="n">
        <f aca="false">IF(B248="","",F248*1000/B248)</f>
        <v>24.7010265664243</v>
      </c>
      <c r="I248" s="12" t="n">
        <v>111737.55</v>
      </c>
      <c r="J248" s="12" t="n">
        <f aca="false">F248*24*1000000*Assumptions!$B$3/D248</f>
        <v>61154.6519908608</v>
      </c>
      <c r="K248" s="12" t="n">
        <f aca="false">J248/Assumptions!$B$4</f>
        <v>81539.5359878144</v>
      </c>
      <c r="L248" s="12" t="n">
        <f aca="false">J248/Assumptions!$B$5</f>
        <v>94084.0799859397</v>
      </c>
      <c r="M248" s="12" t="n">
        <f aca="false">E248*24*1000000*Assumptions!$B$3/D248/Assumptions!$B$5</f>
        <v>47384.8688683403</v>
      </c>
      <c r="N248" s="12" t="n">
        <f aca="false">G248*24*1000000*Assumptions!$B$3/D248/Assumptions!$B$5</f>
        <v>206856.662994989</v>
      </c>
      <c r="O248" s="12" t="n">
        <f aca="false">IF(ROW()&lt;8,"",AVERAGE(L242:L248))</f>
        <v>89396.1761239495</v>
      </c>
      <c r="P248" s="13" t="n">
        <f aca="false">IF(I248="","",I248/L248)</f>
        <v>1.18763503896407</v>
      </c>
    </row>
    <row r="249" customFormat="false" ht="15" hidden="false" customHeight="false" outlineLevel="0" collapsed="false">
      <c r="A249" s="9" t="n">
        <v>45905</v>
      </c>
      <c r="B249" s="10" t="n">
        <v>957.59280173997</v>
      </c>
      <c r="C249" s="11" t="n">
        <v>134.709652731985</v>
      </c>
      <c r="D249" s="10" t="n">
        <v>446.875</v>
      </c>
      <c r="E249" s="11" t="n">
        <v>10.9096402385571</v>
      </c>
      <c r="F249" s="11" t="n">
        <v>21.9247778114068</v>
      </c>
      <c r="G249" s="11" t="n">
        <v>48.26724732</v>
      </c>
      <c r="H249" s="11" t="n">
        <f aca="false">IF(B249="","",F249*1000/B249)</f>
        <v>22.8957211996257</v>
      </c>
      <c r="I249" s="12" t="n">
        <v>110732.71</v>
      </c>
      <c r="J249" s="12" t="n">
        <f aca="false">F249*24*1000000*Assumptions!$B$3/D249</f>
        <v>58874.9278292322</v>
      </c>
      <c r="K249" s="12" t="n">
        <f aca="false">J249/Assumptions!$B$4</f>
        <v>78499.9037723095</v>
      </c>
      <c r="L249" s="12" t="n">
        <f aca="false">J249/Assumptions!$B$5</f>
        <v>90576.8120449725</v>
      </c>
      <c r="M249" s="12" t="n">
        <f aca="false">E249*24*1000000*Assumptions!$B$3/D249/Assumptions!$B$5</f>
        <v>45070.4879139962</v>
      </c>
      <c r="N249" s="12" t="n">
        <f aca="false">G249*24*1000000*Assumptions!$B$3/D249/Assumptions!$B$5</f>
        <v>199404.227766326</v>
      </c>
      <c r="O249" s="12" t="n">
        <f aca="false">IF(ROW()&lt;8,"",AVERAGE(L243:L249))</f>
        <v>90604.8670451463</v>
      </c>
      <c r="P249" s="13" t="n">
        <f aca="false">IF(I249="","",I249/L249)</f>
        <v>1.22252823321956</v>
      </c>
    </row>
    <row r="250" customFormat="false" ht="15" hidden="false" customHeight="false" outlineLevel="0" collapsed="false">
      <c r="A250" s="9" t="n">
        <v>45906</v>
      </c>
      <c r="B250" s="10" t="n">
        <v>946.761026353462</v>
      </c>
      <c r="C250" s="11" t="n">
        <v>136.039872848261</v>
      </c>
      <c r="D250" s="10" t="n">
        <v>437.5</v>
      </c>
      <c r="E250" s="11" t="n">
        <v>10.6485031514143</v>
      </c>
      <c r="F250" s="11" t="n">
        <v>21.6616195033359</v>
      </c>
      <c r="G250" s="11" t="n">
        <v>47.74938732</v>
      </c>
      <c r="H250" s="11" t="n">
        <f aca="false">IF(B250="","",F250*1000/B250)</f>
        <v>22.8797118812206</v>
      </c>
      <c r="I250" s="12" t="n">
        <v>110657.04</v>
      </c>
      <c r="J250" s="12" t="n">
        <f aca="false">F250*24*1000000*Assumptions!$B$3/D250</f>
        <v>59414.7277805784</v>
      </c>
      <c r="K250" s="12" t="n">
        <f aca="false">J250/Assumptions!$B$4</f>
        <v>79219.6370407713</v>
      </c>
      <c r="L250" s="12" t="n">
        <f aca="false">J250/Assumptions!$B$5</f>
        <v>91407.2735085822</v>
      </c>
      <c r="M250" s="12" t="n">
        <f aca="false">E250*24*1000000*Assumptions!$B$3/D250/Assumptions!$B$5</f>
        <v>44934.3429686054</v>
      </c>
      <c r="N250" s="12" t="n">
        <f aca="false">G250*24*1000000*Assumptions!$B$3/D250/Assumptions!$B$5</f>
        <v>201491.92011956</v>
      </c>
      <c r="O250" s="12" t="n">
        <f aca="false">IF(ROW()&lt;8,"",AVERAGE(L244:L250))</f>
        <v>90773.4187363705</v>
      </c>
      <c r="P250" s="13" t="n">
        <f aca="false">IF(I250="","",I250/L250)</f>
        <v>1.21059337788486</v>
      </c>
    </row>
    <row r="251" customFormat="false" ht="15" hidden="false" customHeight="false" outlineLevel="0" collapsed="false">
      <c r="A251" s="9" t="n">
        <v>45907</v>
      </c>
      <c r="B251" s="10" t="n">
        <v>1041.43712898881</v>
      </c>
      <c r="C251" s="11" t="n">
        <v>136.03987284826</v>
      </c>
      <c r="D251" s="10" t="n">
        <v>481.25</v>
      </c>
      <c r="E251" s="11" t="n">
        <v>10.8278731520143</v>
      </c>
      <c r="F251" s="11" t="n">
        <v>22.2589833338484</v>
      </c>
      <c r="G251" s="11" t="n">
        <v>49.120144632</v>
      </c>
      <c r="H251" s="11" t="n">
        <f aca="false">IF(B251="","",F251*1000/B251)</f>
        <v>21.3733337464749</v>
      </c>
      <c r="I251" s="12" t="n">
        <v>110231.14</v>
      </c>
      <c r="J251" s="12" t="n">
        <f aca="false">F251*24*1000000*Assumptions!$B$3/D251</f>
        <v>55502.9194818037</v>
      </c>
      <c r="K251" s="12" t="n">
        <f aca="false">J251/Assumptions!$B$4</f>
        <v>74003.892642405</v>
      </c>
      <c r="L251" s="12" t="n">
        <f aca="false">J251/Assumptions!$B$5</f>
        <v>85389.1068950827</v>
      </c>
      <c r="M251" s="12" t="n">
        <f aca="false">E251*24*1000000*Assumptions!$B$3/D251/Assumptions!$B$5</f>
        <v>41537.4954083266</v>
      </c>
      <c r="N251" s="12" t="n">
        <f aca="false">G251*24*1000000*Assumptions!$B$3/D251/Assumptions!$B$5</f>
        <v>188432.922464416</v>
      </c>
      <c r="O251" s="12" t="n">
        <f aca="false">IF(ROW()&lt;8,"",AVERAGE(L245:L251))</f>
        <v>89381.672794894</v>
      </c>
      <c r="P251" s="13" t="n">
        <f aca="false">IF(I251="","",I251/L251)</f>
        <v>1.29092742632196</v>
      </c>
    </row>
    <row r="252" customFormat="false" ht="15" hidden="false" customHeight="false" outlineLevel="0" collapsed="false">
      <c r="A252" s="9" t="n">
        <v>45908</v>
      </c>
      <c r="B252" s="10" t="n">
        <v>1082.01260154681</v>
      </c>
      <c r="C252" s="11" t="n">
        <v>136.03987284826</v>
      </c>
      <c r="D252" s="10" t="n">
        <v>500</v>
      </c>
      <c r="E252" s="11" t="n">
        <v>10.8976825195857</v>
      </c>
      <c r="F252" s="11" t="n">
        <v>22.4024912534096</v>
      </c>
      <c r="G252" s="11" t="n">
        <v>49.436831592</v>
      </c>
      <c r="H252" s="11" t="n">
        <f aca="false">IF(B252="","",F252*1000/B252)</f>
        <v>20.7044642746154</v>
      </c>
      <c r="I252" s="12" t="n">
        <v>111175.46</v>
      </c>
      <c r="J252" s="12" t="n">
        <f aca="false">F252*24*1000000*Assumptions!$B$3/D252</f>
        <v>53765.9790081831</v>
      </c>
      <c r="K252" s="12" t="n">
        <f aca="false">J252/Assumptions!$B$4</f>
        <v>71687.9720109109</v>
      </c>
      <c r="L252" s="12" t="n">
        <f aca="false">J252/Assumptions!$B$5</f>
        <v>82716.8907818202</v>
      </c>
      <c r="M252" s="12" t="n">
        <f aca="false">E252*24*1000000*Assumptions!$B$3/D252/Assumptions!$B$5</f>
        <v>40237.5969953934</v>
      </c>
      <c r="N252" s="12" t="n">
        <f aca="false">G252*24*1000000*Assumptions!$B$3/D252/Assumptions!$B$5</f>
        <v>182535.993570462</v>
      </c>
      <c r="O252" s="12" t="n">
        <f aca="false">IF(ROW()&lt;8,"",AVERAGE(L246:L252))</f>
        <v>89258.0138417816</v>
      </c>
      <c r="P252" s="13" t="n">
        <f aca="false">IF(I252="","",I252/L252)</f>
        <v>1.34404785950241</v>
      </c>
    </row>
    <row r="253" customFormat="false" ht="15" hidden="false" customHeight="false" outlineLevel="0" collapsed="false">
      <c r="A253" s="9" t="n">
        <v>45909</v>
      </c>
      <c r="B253" s="10" t="n">
        <v>1129.35065286449</v>
      </c>
      <c r="C253" s="11" t="n">
        <v>136.03987284826</v>
      </c>
      <c r="D253" s="10" t="n">
        <v>509.375</v>
      </c>
      <c r="E253" s="11" t="n">
        <v>11.0221585786714</v>
      </c>
      <c r="F253" s="11" t="n">
        <v>22.6583781192561</v>
      </c>
      <c r="G253" s="11" t="n">
        <v>50.001511464</v>
      </c>
      <c r="H253" s="11" t="n">
        <f aca="false">IF(B253="","",F253*1000/B253)</f>
        <v>20.0631912345252</v>
      </c>
      <c r="I253" s="12" t="n">
        <v>112078.8</v>
      </c>
      <c r="J253" s="12" t="n">
        <f aca="false">F253*24*1000000*Assumptions!$B$3/D253</f>
        <v>53379.2466122352</v>
      </c>
      <c r="K253" s="12" t="n">
        <f aca="false">J253/Assumptions!$B$4</f>
        <v>71172.3288163136</v>
      </c>
      <c r="L253" s="12" t="n">
        <f aca="false">J253/Assumptions!$B$5</f>
        <v>82121.9178649773</v>
      </c>
      <c r="M253" s="12" t="n">
        <f aca="false">E253*24*1000000*Assumptions!$B$3/D253/Assumptions!$B$5</f>
        <v>39948.1726683325</v>
      </c>
      <c r="N253" s="12" t="n">
        <f aca="false">G253*24*1000000*Assumptions!$B$3/D253/Assumptions!$B$5</f>
        <v>181223.033526909</v>
      </c>
      <c r="O253" s="12" t="n">
        <f aca="false">IF(ROW()&lt;8,"",AVERAGE(L247:L253))</f>
        <v>88691.0173146138</v>
      </c>
      <c r="P253" s="13" t="n">
        <f aca="false">IF(I253="","",I253/L253)</f>
        <v>1.36478546670424</v>
      </c>
    </row>
    <row r="254" customFormat="false" ht="15" hidden="false" customHeight="false" outlineLevel="0" collapsed="false">
      <c r="A254" s="9" t="n">
        <v>45910</v>
      </c>
      <c r="B254" s="10" t="n">
        <v>1149.63838914349</v>
      </c>
      <c r="C254" s="11" t="n">
        <v>136.03987284826</v>
      </c>
      <c r="D254" s="10" t="n">
        <v>543.75</v>
      </c>
      <c r="E254" s="11" t="n">
        <v>11.4448897933857</v>
      </c>
      <c r="F254" s="11" t="n">
        <v>23.5273915377659</v>
      </c>
      <c r="G254" s="11" t="n">
        <v>51.919212024</v>
      </c>
      <c r="H254" s="11" t="n">
        <f aca="false">IF(B254="","",F254*1000/B254)</f>
        <v>20.4650364496739</v>
      </c>
      <c r="I254" s="12" t="n">
        <v>111523.15</v>
      </c>
      <c r="J254" s="12" t="n">
        <f aca="false">F254*24*1000000*Assumptions!$B$3/D254</f>
        <v>51922.5192557593</v>
      </c>
      <c r="K254" s="12" t="n">
        <f aca="false">J254/Assumptions!$B$4</f>
        <v>69230.0256743458</v>
      </c>
      <c r="L254" s="12" t="n">
        <f aca="false">J254/Assumptions!$B$5</f>
        <v>79880.7988550143</v>
      </c>
      <c r="M254" s="12" t="n">
        <f aca="false">E254*24*1000000*Assumptions!$B$3/D254/Assumptions!$B$5</f>
        <v>38857.9812613626</v>
      </c>
      <c r="N254" s="12" t="n">
        <f aca="false">G254*24*1000000*Assumptions!$B$3/D254/Assumptions!$B$5</f>
        <v>176277.430744615</v>
      </c>
      <c r="O254" s="12" t="n">
        <f aca="false">IF(ROW()&lt;8,"",AVERAGE(L248:L254))</f>
        <v>86596.6971337699</v>
      </c>
      <c r="P254" s="13" t="n">
        <f aca="false">IF(I254="","",I254/L254)</f>
        <v>1.39611961320539</v>
      </c>
    </row>
    <row r="255" customFormat="false" ht="15" hidden="false" customHeight="false" outlineLevel="0" collapsed="false">
      <c r="A255" s="9" t="n">
        <v>45911</v>
      </c>
      <c r="B255" s="10" t="n">
        <v>1014.38681395014</v>
      </c>
      <c r="C255" s="11" t="n">
        <v>136.03987284826</v>
      </c>
      <c r="D255" s="10" t="n">
        <v>468.75</v>
      </c>
      <c r="E255" s="11" t="n">
        <v>11.6222587213857</v>
      </c>
      <c r="F255" s="11" t="n">
        <v>23.892010882384</v>
      </c>
      <c r="G255" s="11" t="n">
        <v>52.723837944</v>
      </c>
      <c r="H255" s="11" t="n">
        <f aca="false">IF(B255="","",F255*1000/B255)</f>
        <v>23.5531560089447</v>
      </c>
      <c r="I255" s="12" t="n">
        <v>113969.34</v>
      </c>
      <c r="J255" s="12" t="n">
        <f aca="false">F255*24*1000000*Assumptions!$B$3/D255</f>
        <v>61163.5478589029</v>
      </c>
      <c r="K255" s="12" t="n">
        <f aca="false">J255/Assumptions!$B$4</f>
        <v>81551.3971452039</v>
      </c>
      <c r="L255" s="12" t="n">
        <f aca="false">J255/Assumptions!$B$5</f>
        <v>94097.7659367738</v>
      </c>
      <c r="M255" s="12" t="n">
        <f aca="false">E255*24*1000000*Assumptions!$B$3/D255/Assumptions!$B$5</f>
        <v>45773.8189642268</v>
      </c>
      <c r="N255" s="12" t="n">
        <f aca="false">G255*24*1000000*Assumptions!$B$3/D255/Assumptions!$B$5</f>
        <v>207650.807902523</v>
      </c>
      <c r="O255" s="12" t="n">
        <f aca="false">IF(ROW()&lt;8,"",AVERAGE(L249:L255))</f>
        <v>86598.6522696033</v>
      </c>
      <c r="P255" s="13" t="n">
        <f aca="false">IF(I255="","",I255/L255)</f>
        <v>1.21118008345255</v>
      </c>
    </row>
    <row r="256" customFormat="false" ht="15" hidden="false" customHeight="false" outlineLevel="0" collapsed="false">
      <c r="A256" s="9" t="n">
        <v>45912</v>
      </c>
      <c r="B256" s="10" t="n">
        <v>811.50945116011</v>
      </c>
      <c r="C256" s="11" t="n">
        <v>136.039872848261</v>
      </c>
      <c r="D256" s="10" t="n">
        <v>375</v>
      </c>
      <c r="E256" s="11" t="n">
        <v>11.3879022704857</v>
      </c>
      <c r="F256" s="11" t="n">
        <v>23.410241631717</v>
      </c>
      <c r="G256" s="11" t="n">
        <v>51.660690768</v>
      </c>
      <c r="H256" s="11" t="n">
        <f aca="false">IF(B256="","",F256*1000/B256)</f>
        <v>28.8477744753932</v>
      </c>
      <c r="I256" s="12" t="n">
        <v>115517.68</v>
      </c>
      <c r="J256" s="12" t="n">
        <f aca="false">F256*24*1000000*Assumptions!$B$3/D256</f>
        <v>74912.7732214944</v>
      </c>
      <c r="K256" s="12" t="n">
        <f aca="false">J256/Assumptions!$B$4</f>
        <v>99883.6976286592</v>
      </c>
      <c r="L256" s="12" t="n">
        <f aca="false">J256/Assumptions!$B$5</f>
        <v>115250.420340761</v>
      </c>
      <c r="M256" s="12" t="n">
        <f aca="false">E256*24*1000000*Assumptions!$B$3/D256/Assumptions!$B$5</f>
        <v>56063.5188700835</v>
      </c>
      <c r="N256" s="12" t="n">
        <f aca="false">G256*24*1000000*Assumptions!$B$3/D256/Assumptions!$B$5</f>
        <v>254329.554550154</v>
      </c>
      <c r="O256" s="12" t="n">
        <f aca="false">IF(ROW()&lt;8,"",AVERAGE(L250:L256))</f>
        <v>90123.4534547159</v>
      </c>
      <c r="P256" s="13" t="n">
        <f aca="false">IF(I256="","",I256/L256)</f>
        <v>1.00231894737086</v>
      </c>
    </row>
    <row r="257" customFormat="false" ht="15" hidden="false" customHeight="false" outlineLevel="0" collapsed="false">
      <c r="A257" s="9" t="n">
        <v>45913</v>
      </c>
      <c r="B257" s="10" t="n">
        <v>953.523605113129</v>
      </c>
      <c r="C257" s="11" t="n">
        <v>136.039872848261</v>
      </c>
      <c r="D257" s="10" t="n">
        <v>440.625</v>
      </c>
      <c r="E257" s="11" t="n">
        <v>11.3986354827714</v>
      </c>
      <c r="F257" s="11" t="n">
        <v>23.4323060196196</v>
      </c>
      <c r="G257" s="11" t="n">
        <v>51.709381488</v>
      </c>
      <c r="H257" s="11" t="n">
        <f aca="false">IF(B257="","",F257*1000/B257)</f>
        <v>24.5744372703175</v>
      </c>
      <c r="I257" s="12" t="n">
        <v>116105.02</v>
      </c>
      <c r="J257" s="12" t="n">
        <f aca="false">F257*24*1000000*Assumptions!$B$3/D257</f>
        <v>63815.6419257726</v>
      </c>
      <c r="K257" s="12" t="n">
        <f aca="false">J257/Assumptions!$B$4</f>
        <v>85087.5225676968</v>
      </c>
      <c r="L257" s="12" t="n">
        <f aca="false">J257/Assumptions!$B$5</f>
        <v>98177.9106550347</v>
      </c>
      <c r="M257" s="12" t="n">
        <f aca="false">E257*24*1000000*Assumptions!$B$3/D257/Assumptions!$B$5</f>
        <v>47758.6036594024</v>
      </c>
      <c r="N257" s="12" t="n">
        <f aca="false">G257*24*1000000*Assumptions!$B$3/D257/Assumptions!$B$5</f>
        <v>216654.691668216</v>
      </c>
      <c r="O257" s="12" t="n">
        <f aca="false">IF(ROW()&lt;8,"",AVERAGE(L251:L257))</f>
        <v>91090.6873327805</v>
      </c>
      <c r="P257" s="13" t="n">
        <f aca="false">IF(I257="","",I257/L257)</f>
        <v>1.18259819571793</v>
      </c>
    </row>
    <row r="258" customFormat="false" ht="15" hidden="false" customHeight="false" outlineLevel="0" collapsed="false">
      <c r="A258" s="9" t="n">
        <v>45914</v>
      </c>
      <c r="B258" s="10" t="n">
        <v>1034.67455022914</v>
      </c>
      <c r="C258" s="11" t="n">
        <v>136.03987284826</v>
      </c>
      <c r="D258" s="10" t="n">
        <v>465.625</v>
      </c>
      <c r="E258" s="11" t="n">
        <v>11.3879023657143</v>
      </c>
      <c r="F258" s="11" t="n">
        <v>23.4102418274795</v>
      </c>
      <c r="G258" s="11" t="n">
        <v>51.6606912</v>
      </c>
      <c r="H258" s="11" t="n">
        <f aca="false">IF(B258="","",F258*1000/B258)</f>
        <v>22.6257056600986</v>
      </c>
      <c r="I258" s="12" t="n">
        <v>115965.47</v>
      </c>
      <c r="J258" s="12" t="n">
        <f aca="false">F258*24*1000000*Assumptions!$B$3/D258</f>
        <v>60332.4353137726</v>
      </c>
      <c r="K258" s="12" t="n">
        <f aca="false">J258/Assumptions!$B$4</f>
        <v>80443.2470850301</v>
      </c>
      <c r="L258" s="12" t="n">
        <f aca="false">J258/Assumptions!$B$5</f>
        <v>92819.1312519578</v>
      </c>
      <c r="M258" s="12" t="n">
        <f aca="false">E258*24*1000000*Assumptions!$B$3/D258/Assumptions!$B$5</f>
        <v>45151.8276554908</v>
      </c>
      <c r="N258" s="12" t="n">
        <f aca="false">G258*24*1000000*Assumptions!$B$3/D258/Assumptions!$B$5</f>
        <v>204829.173162623</v>
      </c>
      <c r="O258" s="12" t="n">
        <f aca="false">IF(ROW()&lt;8,"",AVERAGE(L252:L258))</f>
        <v>92152.1193837627</v>
      </c>
      <c r="P258" s="13" t="n">
        <f aca="false">IF(I258="","",I258/L258)</f>
        <v>1.24937034462444</v>
      </c>
    </row>
    <row r="259" customFormat="false" ht="15" hidden="false" customHeight="false" outlineLevel="0" collapsed="false">
      <c r="A259" s="9" t="n">
        <v>45915</v>
      </c>
      <c r="B259" s="10" t="n">
        <v>1102.30033782582</v>
      </c>
      <c r="C259" s="11" t="n">
        <v>136.03987284826</v>
      </c>
      <c r="D259" s="10" t="n">
        <v>521.875</v>
      </c>
      <c r="E259" s="11" t="n">
        <v>11.4201020025714</v>
      </c>
      <c r="F259" s="11" t="n">
        <v>23.4764349911873</v>
      </c>
      <c r="G259" s="11" t="n">
        <v>51.80676336</v>
      </c>
      <c r="H259" s="11" t="n">
        <f aca="false">IF(B259="","",F259*1000/B259)</f>
        <v>21.2976755840358</v>
      </c>
      <c r="I259" s="12" t="n">
        <v>115384.69</v>
      </c>
      <c r="J259" s="12" t="n">
        <f aca="false">F259*24*1000000*Assumptions!$B$3/D259</f>
        <v>53981.7427342271</v>
      </c>
      <c r="K259" s="12" t="n">
        <f aca="false">J259/Assumptions!$B$4</f>
        <v>71975.6569789695</v>
      </c>
      <c r="L259" s="12" t="n">
        <f aca="false">J259/Assumptions!$B$5</f>
        <v>83048.834975734</v>
      </c>
      <c r="M259" s="12" t="n">
        <f aca="false">E259*24*1000000*Assumptions!$B$3/D259/Assumptions!$B$5</f>
        <v>40399.0711099717</v>
      </c>
      <c r="N259" s="12" t="n">
        <f aca="false">G259*24*1000000*Assumptions!$B$3/D259/Assumptions!$B$5</f>
        <v>183268.513406172</v>
      </c>
      <c r="O259" s="12" t="n">
        <f aca="false">IF(ROW()&lt;8,"",AVERAGE(L253:L259))</f>
        <v>92199.5399828932</v>
      </c>
      <c r="P259" s="13" t="n">
        <f aca="false">IF(I259="","",I259/L259)</f>
        <v>1.38935952603928</v>
      </c>
    </row>
    <row r="260" customFormat="false" ht="15" hidden="false" customHeight="false" outlineLevel="0" collapsed="false">
      <c r="A260" s="9" t="n">
        <v>45916</v>
      </c>
      <c r="B260" s="10" t="n">
        <v>1082.01260154681</v>
      </c>
      <c r="C260" s="11" t="n">
        <v>136.03987284826</v>
      </c>
      <c r="D260" s="10" t="n">
        <v>490.625</v>
      </c>
      <c r="E260" s="11" t="n">
        <v>11.3449695165714</v>
      </c>
      <c r="F260" s="11" t="n">
        <v>23.321984275869</v>
      </c>
      <c r="G260" s="11" t="n">
        <v>51.46592832</v>
      </c>
      <c r="H260" s="11" t="n">
        <f aca="false">IF(B260="","",F260*1000/B260)</f>
        <v>21.5542630857797</v>
      </c>
      <c r="I260" s="12" t="n">
        <v>115402.4</v>
      </c>
      <c r="J260" s="12" t="n">
        <f aca="false">F260*24*1000000*Assumptions!$B$3/D260</f>
        <v>57042.3054900235</v>
      </c>
      <c r="K260" s="12" t="n">
        <f aca="false">J260/Assumptions!$B$4</f>
        <v>76056.4073200314</v>
      </c>
      <c r="L260" s="12" t="n">
        <f aca="false">J260/Assumptions!$B$5</f>
        <v>87757.3930615747</v>
      </c>
      <c r="M260" s="12" t="n">
        <f aca="false">E260*24*1000000*Assumptions!$B$3/D260/Assumptions!$B$5</f>
        <v>42689.5472255113</v>
      </c>
      <c r="N260" s="12" t="n">
        <f aca="false">G260*24*1000000*Assumptions!$B$3/D260/Assumptions!$B$5</f>
        <v>193659.152130132</v>
      </c>
      <c r="O260" s="12" t="n">
        <f aca="false">IF(ROW()&lt;8,"",AVERAGE(L254:L260))</f>
        <v>93004.6078681214</v>
      </c>
      <c r="P260" s="13" t="n">
        <f aca="false">IF(I260="","",I260/L260)</f>
        <v>1.31501627354664</v>
      </c>
    </row>
    <row r="261" customFormat="false" ht="15" hidden="false" customHeight="false" outlineLevel="0" collapsed="false">
      <c r="A261" s="9" t="n">
        <v>45917</v>
      </c>
      <c r="B261" s="10" t="n">
        <v>865.610081237451</v>
      </c>
      <c r="C261" s="11" t="n">
        <v>136.039872848261</v>
      </c>
      <c r="D261" s="10" t="n">
        <v>409.375</v>
      </c>
      <c r="E261" s="11" t="n">
        <v>10.894176029</v>
      </c>
      <c r="F261" s="11" t="n">
        <v>22.3952829203961</v>
      </c>
      <c r="G261" s="11" t="n">
        <v>49.42092456</v>
      </c>
      <c r="H261" s="11" t="n">
        <f aca="false">IF(B261="","",F261*1000/B261)</f>
        <v>25.8722528836315</v>
      </c>
      <c r="I261" s="12" t="n">
        <v>116797.5</v>
      </c>
      <c r="J261" s="12" t="n">
        <f aca="false">F261*24*1000000*Assumptions!$B$3/D261</f>
        <v>65647.2415376497</v>
      </c>
      <c r="K261" s="12" t="n">
        <f aca="false">J261/Assumptions!$B$4</f>
        <v>87529.655383533</v>
      </c>
      <c r="L261" s="12" t="n">
        <f aca="false">J261/Assumptions!$B$5</f>
        <v>100995.756211769</v>
      </c>
      <c r="M261" s="12" t="n">
        <f aca="false">E261*24*1000000*Assumptions!$B$3/D261/Assumptions!$B$5</f>
        <v>49129.3434543277</v>
      </c>
      <c r="N261" s="12" t="n">
        <f aca="false">G261*24*1000000*Assumptions!$B$3/D261/Assumptions!$B$5</f>
        <v>222872.989207751</v>
      </c>
      <c r="O261" s="12" t="n">
        <f aca="false">IF(ROW()&lt;8,"",AVERAGE(L255:L261))</f>
        <v>96021.0303476578</v>
      </c>
      <c r="P261" s="13" t="n">
        <f aca="false">IF(I261="","",I261/L261)</f>
        <v>1.1564594828628</v>
      </c>
    </row>
    <row r="262" customFormat="false" ht="15" hidden="false" customHeight="false" outlineLevel="0" collapsed="false">
      <c r="A262" s="9" t="n">
        <v>45918</v>
      </c>
      <c r="B262" s="10" t="n">
        <v>1087.59937914119</v>
      </c>
      <c r="C262" s="11" t="n">
        <v>138.473205347662</v>
      </c>
      <c r="D262" s="10" t="n">
        <v>475</v>
      </c>
      <c r="E262" s="11" t="n">
        <v>11.0128613021429</v>
      </c>
      <c r="F262" s="11" t="n">
        <v>22.6392656009994</v>
      </c>
      <c r="G262" s="11" t="n">
        <v>49.9593348</v>
      </c>
      <c r="H262" s="11" t="n">
        <f aca="false">IF(B262="","",F262*1000/B262)</f>
        <v>20.8158132812435</v>
      </c>
      <c r="I262" s="12" t="n">
        <v>116453.08</v>
      </c>
      <c r="J262" s="12" t="n">
        <f aca="false">F262*24*1000000*Assumptions!$B$3/D262</f>
        <v>57193.9341498931</v>
      </c>
      <c r="K262" s="12" t="n">
        <f aca="false">J262/Assumptions!$B$4</f>
        <v>76258.5788665242</v>
      </c>
      <c r="L262" s="12" t="n">
        <f aca="false">J262/Assumptions!$B$5</f>
        <v>87990.6679229125</v>
      </c>
      <c r="M262" s="12" t="n">
        <f aca="false">E262*24*1000000*Assumptions!$B$3/D262/Assumptions!$B$5</f>
        <v>42803.0236844419</v>
      </c>
      <c r="N262" s="12" t="n">
        <f aca="false">G262*24*1000000*Assumptions!$B$3/D262/Assumptions!$B$5</f>
        <v>194173.932825911</v>
      </c>
      <c r="O262" s="12" t="n">
        <f aca="false">IF(ROW()&lt;8,"",AVERAGE(L256:L262))</f>
        <v>95148.587774249</v>
      </c>
      <c r="P262" s="13" t="n">
        <f aca="false">IF(I262="","",I262/L262)</f>
        <v>1.32347080376777</v>
      </c>
    </row>
    <row r="263" customFormat="false" ht="15" hidden="false" customHeight="false" outlineLevel="0" collapsed="false">
      <c r="A263" s="9" t="n">
        <v>45919</v>
      </c>
      <c r="B263" s="10" t="n">
        <v>1188.74938078978</v>
      </c>
      <c r="C263" s="11" t="n">
        <v>142.342602928676</v>
      </c>
      <c r="D263" s="10" t="n">
        <v>543.75</v>
      </c>
      <c r="E263" s="11" t="n">
        <v>11.6115950100857</v>
      </c>
      <c r="F263" s="11" t="n">
        <v>23.8700893684568</v>
      </c>
      <c r="G263" s="11" t="n">
        <v>52.675462512</v>
      </c>
      <c r="H263" s="11" t="n">
        <f aca="false">IF(B263="","",F263*1000/B263)</f>
        <v>20.0800015160453</v>
      </c>
      <c r="I263" s="12" t="n">
        <v>117128.97</v>
      </c>
      <c r="J263" s="12" t="n">
        <f aca="false">F263*24*1000000*Assumptions!$B$3/D263</f>
        <v>52678.8179165943</v>
      </c>
      <c r="K263" s="12" t="n">
        <f aca="false">J263/Assumptions!$B$4</f>
        <v>70238.4238887923</v>
      </c>
      <c r="L263" s="12" t="n">
        <f aca="false">J263/Assumptions!$B$5</f>
        <v>81044.3352562989</v>
      </c>
      <c r="M263" s="12" t="n">
        <f aca="false">E263*24*1000000*Assumptions!$B$3/D263/Assumptions!$B$5</f>
        <v>39423.9830581159</v>
      </c>
      <c r="N263" s="12" t="n">
        <f aca="false">G263*24*1000000*Assumptions!$B$3/D263/Assumptions!$B$5</f>
        <v>178845.07165878</v>
      </c>
      <c r="O263" s="12" t="n">
        <f aca="false">IF(ROW()&lt;8,"",AVERAGE(L257:L263))</f>
        <v>90262.0041907545</v>
      </c>
      <c r="P263" s="13" t="n">
        <f aca="false">IF(I263="","",I263/L263)</f>
        <v>1.44524561315217</v>
      </c>
    </row>
    <row r="264" customFormat="false" ht="15" hidden="false" customHeight="false" outlineLevel="0" collapsed="false">
      <c r="A264" s="9" t="n">
        <v>45920</v>
      </c>
      <c r="B264" s="10" t="n">
        <v>1082.61104321927</v>
      </c>
      <c r="C264" s="11" t="n">
        <v>142.342602928676</v>
      </c>
      <c r="D264" s="10" t="n">
        <v>478.125</v>
      </c>
      <c r="E264" s="11" t="n">
        <v>11.8164753136571</v>
      </c>
      <c r="F264" s="11" t="n">
        <v>24.2912641641536</v>
      </c>
      <c r="G264" s="11" t="n">
        <v>53.604892512</v>
      </c>
      <c r="H264" s="11" t="n">
        <f aca="false">IF(B264="","",F264*1000/B264)</f>
        <v>22.4376652319385</v>
      </c>
      <c r="I264" s="12" t="n">
        <v>115691.4</v>
      </c>
      <c r="J264" s="12" t="n">
        <f aca="false">F264*24*1000000*Assumptions!$B$3/D264</f>
        <v>60966.3100590521</v>
      </c>
      <c r="K264" s="12" t="n">
        <f aca="false">J264/Assumptions!$B$4</f>
        <v>81288.4134120694</v>
      </c>
      <c r="L264" s="12" t="n">
        <f aca="false">J264/Assumptions!$B$5</f>
        <v>93794.3231677724</v>
      </c>
      <c r="M264" s="12" t="n">
        <f aca="false">E264*24*1000000*Assumptions!$B$3/D264/Assumptions!$B$5</f>
        <v>45626.2093559009</v>
      </c>
      <c r="N264" s="12" t="n">
        <f aca="false">G264*24*1000000*Assumptions!$B$3/D264/Assumptions!$B$5</f>
        <v>206981.183756742</v>
      </c>
      <c r="O264" s="12" t="n">
        <f aca="false">IF(ROW()&lt;8,"",AVERAGE(L258:L264))</f>
        <v>89635.7774068599</v>
      </c>
      <c r="P264" s="13" t="n">
        <f aca="false">IF(I264="","",I264/L264)</f>
        <v>1.23345844495364</v>
      </c>
    </row>
    <row r="265" customFormat="false" ht="15" hidden="false" customHeight="false" outlineLevel="0" collapsed="false">
      <c r="A265" s="9" t="n">
        <v>45921</v>
      </c>
      <c r="B265" s="10" t="n">
        <v>1146.29404576157</v>
      </c>
      <c r="C265" s="11" t="n">
        <v>142.342602928676</v>
      </c>
      <c r="D265" s="10" t="n">
        <v>506.25</v>
      </c>
      <c r="E265" s="11" t="n">
        <v>11.9936313105714</v>
      </c>
      <c r="F265" s="11" t="n">
        <v>24.6554457838905</v>
      </c>
      <c r="G265" s="11" t="n">
        <v>54.40855248</v>
      </c>
      <c r="H265" s="11" t="n">
        <f aca="false">IF(B265="","",F265*1000/B265)</f>
        <v>21.5088317653346</v>
      </c>
      <c r="I265" s="12" t="n">
        <v>115751.15</v>
      </c>
      <c r="J265" s="12" t="n">
        <f aca="false">F265*24*1000000*Assumptions!$B$3/D265</f>
        <v>58442.538154407</v>
      </c>
      <c r="K265" s="12" t="n">
        <f aca="false">J265/Assumptions!$B$4</f>
        <v>77923.384205876</v>
      </c>
      <c r="L265" s="12" t="n">
        <f aca="false">J265/Assumptions!$B$5</f>
        <v>89911.5971606262</v>
      </c>
      <c r="M265" s="12" t="n">
        <f aca="false">E265*24*1000000*Assumptions!$B$3/D265/Assumptions!$B$5</f>
        <v>43737.458910346</v>
      </c>
      <c r="N265" s="12" t="n">
        <f aca="false">G265*24*1000000*Assumptions!$B$3/D265/Assumptions!$B$5</f>
        <v>198412.95491282</v>
      </c>
      <c r="O265" s="12" t="n">
        <f aca="false">IF(ROW()&lt;8,"",AVERAGE(L259:L265))</f>
        <v>89220.4153938125</v>
      </c>
      <c r="P265" s="13" t="n">
        <f aca="false">IF(I265="","",I265/L265)</f>
        <v>1.28738843102978</v>
      </c>
    </row>
    <row r="266" customFormat="false" ht="15" hidden="false" customHeight="false" outlineLevel="0" collapsed="false">
      <c r="A266" s="9" t="n">
        <v>45922</v>
      </c>
      <c r="B266" s="10" t="n">
        <v>1061.38337570516</v>
      </c>
      <c r="C266" s="11" t="n">
        <v>142.342602928676</v>
      </c>
      <c r="D266" s="10" t="n">
        <v>468.75</v>
      </c>
      <c r="E266" s="11" t="n">
        <v>11.9286902815143</v>
      </c>
      <c r="F266" s="11" t="n">
        <v>24.5219457637875</v>
      </c>
      <c r="G266" s="11" t="n">
        <v>54.113950512</v>
      </c>
      <c r="H266" s="11" t="n">
        <f aca="false">IF(B266="","",F266*1000/B266)</f>
        <v>23.1037590422929</v>
      </c>
      <c r="I266" s="12" t="n">
        <v>115317.03</v>
      </c>
      <c r="J266" s="12" t="n">
        <f aca="false">F266*24*1000000*Assumptions!$B$3/D266</f>
        <v>62776.1811552961</v>
      </c>
      <c r="K266" s="12" t="n">
        <f aca="false">J266/Assumptions!$B$4</f>
        <v>83701.5748737281</v>
      </c>
      <c r="L266" s="12" t="n">
        <f aca="false">J266/Assumptions!$B$5</f>
        <v>96578.7402389171</v>
      </c>
      <c r="M266" s="12" t="n">
        <f aca="false">E266*24*1000000*Assumptions!$B$3/D266/Assumptions!$B$5</f>
        <v>46980.687877964</v>
      </c>
      <c r="N266" s="12" t="n">
        <f aca="false">G266*24*1000000*Assumptions!$B$3/D266/Assumptions!$B$5</f>
        <v>213125.712785723</v>
      </c>
      <c r="O266" s="12" t="n">
        <f aca="false">IF(ROW()&lt;8,"",AVERAGE(L260:L266))</f>
        <v>91153.2590028386</v>
      </c>
      <c r="P266" s="13" t="n">
        <f aca="false">IF(I266="","",I266/L266)</f>
        <v>1.19402085505286</v>
      </c>
    </row>
    <row r="267" customFormat="false" ht="15" hidden="false" customHeight="false" outlineLevel="0" collapsed="false">
      <c r="A267" s="9" t="n">
        <v>45923</v>
      </c>
      <c r="B267" s="10" t="n">
        <v>1018.92804067696</v>
      </c>
      <c r="C267" s="11" t="n">
        <v>142.342602928676</v>
      </c>
      <c r="D267" s="10" t="n">
        <v>450</v>
      </c>
      <c r="E267" s="11" t="n">
        <v>11.8285662631714</v>
      </c>
      <c r="F267" s="11" t="n">
        <v>24.3161196680878</v>
      </c>
      <c r="G267" s="11" t="n">
        <v>53.659742544</v>
      </c>
      <c r="H267" s="11" t="n">
        <f aca="false">IF(B267="","",F267*1000/B267)</f>
        <v>23.8644130864557</v>
      </c>
      <c r="I267" s="12" t="n">
        <v>112752.31</v>
      </c>
      <c r="J267" s="12" t="n">
        <f aca="false">F267*24*1000000*Assumptions!$B$3/D267</f>
        <v>64842.9857815673</v>
      </c>
      <c r="K267" s="12" t="n">
        <f aca="false">J267/Assumptions!$B$4</f>
        <v>86457.3143754231</v>
      </c>
      <c r="L267" s="12" t="n">
        <f aca="false">J267/Assumptions!$B$5</f>
        <v>99758.4396639497</v>
      </c>
      <c r="M267" s="12" t="n">
        <f aca="false">E267*24*1000000*Assumptions!$B$3/D267/Assumptions!$B$5</f>
        <v>48527.4513360879</v>
      </c>
      <c r="N267" s="12" t="n">
        <f aca="false">G267*24*1000000*Assumptions!$B$3/D267/Assumptions!$B$5</f>
        <v>220142.533513846</v>
      </c>
      <c r="O267" s="12" t="n">
        <f aca="false">IF(ROW()&lt;8,"",AVERAGE(L261:L267))</f>
        <v>92867.6942317494</v>
      </c>
      <c r="P267" s="13" t="n">
        <f aca="false">IF(I267="","",I267/L267)</f>
        <v>1.13025334377544</v>
      </c>
    </row>
    <row r="268" customFormat="false" ht="15" hidden="false" customHeight="false" outlineLevel="0" collapsed="false">
      <c r="A268" s="9" t="n">
        <v>45924</v>
      </c>
      <c r="B268" s="10" t="n">
        <v>1082.61104321927</v>
      </c>
      <c r="C268" s="11" t="n">
        <v>142.342602928676</v>
      </c>
      <c r="D268" s="10" t="n">
        <v>478.125</v>
      </c>
      <c r="E268" s="11" t="n">
        <v>12.1729778503143</v>
      </c>
      <c r="F268" s="11" t="n">
        <v>25.0241305277062</v>
      </c>
      <c r="G268" s="11" t="n">
        <v>55.222149744</v>
      </c>
      <c r="H268" s="11" t="n">
        <f aca="false">IF(B268="","",F268*1000/B268)</f>
        <v>23.1146085978341</v>
      </c>
      <c r="I268" s="12" t="n">
        <v>112010.28</v>
      </c>
      <c r="J268" s="12" t="n">
        <f aca="false">F268*24*1000000*Assumptions!$B$3/D268</f>
        <v>62805.6609322822</v>
      </c>
      <c r="K268" s="12" t="n">
        <f aca="false">J268/Assumptions!$B$4</f>
        <v>83740.881243043</v>
      </c>
      <c r="L268" s="12" t="n">
        <f aca="false">J268/Assumptions!$B$5</f>
        <v>96624.0937419726</v>
      </c>
      <c r="M268" s="12" t="n">
        <f aca="false">E268*24*1000000*Assumptions!$B$3/D268/Assumptions!$B$5</f>
        <v>47002.7500705951</v>
      </c>
      <c r="N268" s="12" t="n">
        <f aca="false">G268*24*1000000*Assumptions!$B$3/D268/Assumptions!$B$5</f>
        <v>213225.796899909</v>
      </c>
      <c r="O268" s="12" t="n">
        <f aca="false">IF(ROW()&lt;8,"",AVERAGE(L262:L268))</f>
        <v>92243.1710217785</v>
      </c>
      <c r="P268" s="13" t="n">
        <f aca="false">IF(I268="","",I268/L268)</f>
        <v>1.15923757379929</v>
      </c>
    </row>
    <row r="269" customFormat="false" ht="15" hidden="false" customHeight="false" outlineLevel="0" collapsed="false">
      <c r="A269" s="9" t="n">
        <v>45925</v>
      </c>
      <c r="B269" s="10" t="n">
        <v>997.700373162852</v>
      </c>
      <c r="C269" s="11" t="n">
        <v>142.342602928676</v>
      </c>
      <c r="D269" s="10" t="n">
        <v>415.625</v>
      </c>
      <c r="E269" s="11" t="n">
        <v>12.0278087972429</v>
      </c>
      <c r="F269" s="11" t="n">
        <v>24.7257048362022</v>
      </c>
      <c r="G269" s="11" t="n">
        <v>54.563597064</v>
      </c>
      <c r="H269" s="11" t="n">
        <f aca="false">IF(B269="","",F269*1000/B269)</f>
        <v>24.7826957885344</v>
      </c>
      <c r="I269" s="12" t="n">
        <v>113316.86</v>
      </c>
      <c r="J269" s="12" t="n">
        <f aca="false">F269*24*1000000*Assumptions!$B$3/D269</f>
        <v>71388.5011812154</v>
      </c>
      <c r="K269" s="12" t="n">
        <f aca="false">J269/Assumptions!$B$4</f>
        <v>95184.6682416205</v>
      </c>
      <c r="L269" s="12" t="n">
        <f aca="false">J269/Assumptions!$B$5</f>
        <v>109828.463355716</v>
      </c>
      <c r="M269" s="12" t="n">
        <f aca="false">E269*24*1000000*Assumptions!$B$3/D269/Assumptions!$B$5</f>
        <v>53426.0101577936</v>
      </c>
      <c r="N269" s="12" t="n">
        <f aca="false">G269*24*1000000*Assumptions!$B$3/D269/Assumptions!$B$5</f>
        <v>242364.618537606</v>
      </c>
      <c r="O269" s="12" t="n">
        <f aca="false">IF(ROW()&lt;8,"",AVERAGE(L263:L269))</f>
        <v>95362.8560836076</v>
      </c>
      <c r="P269" s="13" t="n">
        <f aca="false">IF(I269="","",I269/L269)</f>
        <v>1.03176222754739</v>
      </c>
    </row>
    <row r="270" customFormat="false" ht="15" hidden="false" customHeight="false" outlineLevel="0" collapsed="false">
      <c r="A270" s="9" t="n">
        <v>45926</v>
      </c>
      <c r="B270" s="10" t="n">
        <v>934.017370620542</v>
      </c>
      <c r="C270" s="11" t="n">
        <v>142.342602928676</v>
      </c>
      <c r="D270" s="10" t="n">
        <v>428.125</v>
      </c>
      <c r="E270" s="11" t="n">
        <v>11.6235126277286</v>
      </c>
      <c r="F270" s="11" t="n">
        <v>23.89458855207</v>
      </c>
      <c r="G270" s="11" t="n">
        <v>52.729526232</v>
      </c>
      <c r="H270" s="11" t="n">
        <f aca="false">IF(B270="","",F270*1000/B270)</f>
        <v>25.5825954673572</v>
      </c>
      <c r="I270" s="12" t="n">
        <v>109036.72</v>
      </c>
      <c r="J270" s="12" t="n">
        <f aca="false">F270*24*1000000*Assumptions!$B$3/D270</f>
        <v>66974.6131678458</v>
      </c>
      <c r="K270" s="12" t="n">
        <f aca="false">J270/Assumptions!$B$4</f>
        <v>89299.4842237944</v>
      </c>
      <c r="L270" s="12" t="n">
        <f aca="false">J270/Assumptions!$B$5</f>
        <v>103037.86641207</v>
      </c>
      <c r="M270" s="12" t="n">
        <f aca="false">E270*24*1000000*Assumptions!$B$3/D270/Assumptions!$B$5</f>
        <v>50122.7271089025</v>
      </c>
      <c r="N270" s="12" t="n">
        <f aca="false">G270*24*1000000*Assumptions!$B$3/D270/Assumptions!$B$5</f>
        <v>227379.428108793</v>
      </c>
      <c r="O270" s="12" t="n">
        <f aca="false">IF(ROW()&lt;8,"",AVERAGE(L264:L270))</f>
        <v>98504.7891058606</v>
      </c>
      <c r="P270" s="13" t="n">
        <f aca="false">IF(I270="","",I270/L270)</f>
        <v>1.05821989329572</v>
      </c>
    </row>
    <row r="271" customFormat="false" ht="15" hidden="false" customHeight="false" outlineLevel="0" collapsed="false">
      <c r="A271" s="9" t="n">
        <v>45927</v>
      </c>
      <c r="B271" s="10" t="n">
        <v>1096.762821562</v>
      </c>
      <c r="C271" s="11" t="n">
        <v>142.342602928676</v>
      </c>
      <c r="D271" s="10" t="n">
        <v>493.75</v>
      </c>
      <c r="E271" s="11" t="n">
        <v>11.6459735560143</v>
      </c>
      <c r="F271" s="11" t="n">
        <v>23.9407617405951</v>
      </c>
      <c r="G271" s="11" t="n">
        <v>52.831419192</v>
      </c>
      <c r="H271" s="11" t="n">
        <f aca="false">IF(B271="","",F271*1000/B271)</f>
        <v>21.8285679181748</v>
      </c>
      <c r="I271" s="12" t="n">
        <v>109698.86</v>
      </c>
      <c r="J271" s="12" t="n">
        <f aca="false">F271*24*1000000*Assumptions!$B$3/D271</f>
        <v>58185.1424581553</v>
      </c>
      <c r="K271" s="12" t="n">
        <f aca="false">J271/Assumptions!$B$4</f>
        <v>77580.189944207</v>
      </c>
      <c r="L271" s="12" t="n">
        <f aca="false">J271/Assumptions!$B$5</f>
        <v>89515.6037817773</v>
      </c>
      <c r="M271" s="12" t="n">
        <f aca="false">E271*24*1000000*Assumptions!$B$3/D271/Assumptions!$B$5</f>
        <v>43544.8280964896</v>
      </c>
      <c r="N271" s="12" t="n">
        <f aca="false">G271*24*1000000*Assumptions!$B$3/D271/Assumptions!$B$5</f>
        <v>197539.094155093</v>
      </c>
      <c r="O271" s="12" t="n">
        <f aca="false">IF(ROW()&lt;8,"",AVERAGE(L265:L271))</f>
        <v>97893.5434792899</v>
      </c>
      <c r="P271" s="13" t="n">
        <f aca="false">IF(I271="","",I271/L271)</f>
        <v>1.2254719329987</v>
      </c>
    </row>
    <row r="272" customFormat="false" ht="15" hidden="false" customHeight="false" outlineLevel="0" collapsed="false">
      <c r="A272" s="9" t="n">
        <v>45928</v>
      </c>
      <c r="B272" s="10" t="n">
        <v>1167.52171327568</v>
      </c>
      <c r="C272" s="11" t="n">
        <v>142.342602928676</v>
      </c>
      <c r="D272" s="10" t="n">
        <v>515.625</v>
      </c>
      <c r="E272" s="11" t="n">
        <v>11.6796649484429</v>
      </c>
      <c r="F272" s="11" t="n">
        <v>24.0100215233829</v>
      </c>
      <c r="G272" s="11" t="n">
        <v>52.984258632</v>
      </c>
      <c r="H272" s="11" t="n">
        <f aca="false">IF(B272="","",F272*1000/B272)</f>
        <v>20.5649464591273</v>
      </c>
      <c r="I272" s="12" t="n">
        <v>109688.85</v>
      </c>
      <c r="J272" s="12" t="n">
        <f aca="false">F272*24*1000000*Assumptions!$B$3/D272</f>
        <v>55877.8682726001</v>
      </c>
      <c r="K272" s="12" t="n">
        <f aca="false">J272/Assumptions!$B$4</f>
        <v>74503.8243634669</v>
      </c>
      <c r="L272" s="12" t="n">
        <f aca="false">J272/Assumptions!$B$5</f>
        <v>85965.9511886156</v>
      </c>
      <c r="M272" s="12" t="n">
        <f aca="false">E272*24*1000000*Assumptions!$B$3/D272/Assumptions!$B$5</f>
        <v>41818.1010741451</v>
      </c>
      <c r="N272" s="12" t="n">
        <f aca="false">G272*24*1000000*Assumptions!$B$3/D272/Assumptions!$B$5</f>
        <v>189705.877060028</v>
      </c>
      <c r="O272" s="12" t="n">
        <f aca="false">IF(ROW()&lt;8,"",AVERAGE(L266:L272))</f>
        <v>97329.8797690027</v>
      </c>
      <c r="P272" s="13" t="n">
        <f aca="false">IF(I272="","",I272/L272)</f>
        <v>1.27595691646958</v>
      </c>
    </row>
    <row r="273" customFormat="false" ht="15" hidden="false" customHeight="false" outlineLevel="0" collapsed="false">
      <c r="A273" s="9" t="n">
        <v>45929</v>
      </c>
      <c r="B273" s="10" t="n">
        <v>990.624483991484</v>
      </c>
      <c r="C273" s="11" t="n">
        <v>142.342602928676</v>
      </c>
      <c r="D273" s="10" t="n">
        <v>428.125</v>
      </c>
      <c r="E273" s="11" t="n">
        <v>11.5673605292143</v>
      </c>
      <c r="F273" s="11" t="n">
        <v>23.7791560375362</v>
      </c>
      <c r="G273" s="11" t="n">
        <v>52.47479484</v>
      </c>
      <c r="H273" s="11" t="n">
        <f aca="false">IF(B273="","",F273*1000/B273)</f>
        <v>24.0042078727186</v>
      </c>
      <c r="I273" s="12" t="n">
        <v>112177.12</v>
      </c>
      <c r="J273" s="12" t="n">
        <f aca="false">F273*24*1000000*Assumptions!$B$3/D273</f>
        <v>66651.0650979116</v>
      </c>
      <c r="K273" s="12" t="n">
        <f aca="false">J273/Assumptions!$B$4</f>
        <v>88868.0867972155</v>
      </c>
      <c r="L273" s="12" t="n">
        <f aca="false">J273/Assumptions!$B$5</f>
        <v>102540.100150633</v>
      </c>
      <c r="M273" s="12" t="n">
        <f aca="false">E273*24*1000000*Assumptions!$B$3/D273/Assumptions!$B$5</f>
        <v>49880.5889187904</v>
      </c>
      <c r="N273" s="12" t="n">
        <f aca="false">G273*24*1000000*Assumptions!$B$3/D273/Assumptions!$B$5</f>
        <v>226280.979433577</v>
      </c>
      <c r="O273" s="12" t="n">
        <f aca="false">IF(ROW()&lt;8,"",AVERAGE(L267:L273))</f>
        <v>98181.5026135336</v>
      </c>
      <c r="P273" s="13" t="n">
        <f aca="false">IF(I273="","",I273/L273)</f>
        <v>1.0939829377503</v>
      </c>
    </row>
    <row r="274" customFormat="false" ht="15" hidden="false" customHeight="false" outlineLevel="0" collapsed="false">
      <c r="A274" s="9" t="n">
        <v>45930</v>
      </c>
      <c r="B274" s="10" t="n">
        <v>1139.21815659021</v>
      </c>
      <c r="C274" s="11" t="n">
        <v>142.342602928676</v>
      </c>
      <c r="D274" s="10" t="n">
        <v>484.375</v>
      </c>
      <c r="E274" s="11" t="n">
        <v>11.7582781657</v>
      </c>
      <c r="F274" s="11" t="n">
        <v>24.1518330731739</v>
      </c>
      <c r="G274" s="11" t="n">
        <v>53.340883848</v>
      </c>
      <c r="H274" s="11" t="n">
        <f aca="false">IF(B274="","",F274*1000/B274)</f>
        <v>21.2003582750671</v>
      </c>
      <c r="I274" s="12" t="n">
        <v>114404.31</v>
      </c>
      <c r="J274" s="12" t="n">
        <f aca="false">F274*24*1000000*Assumptions!$B$3/D274</f>
        <v>59834.2187103148</v>
      </c>
      <c r="K274" s="12" t="n">
        <f aca="false">J274/Assumptions!$B$4</f>
        <v>79778.9582804197</v>
      </c>
      <c r="L274" s="12" t="n">
        <f aca="false">J274/Assumptions!$B$5</f>
        <v>92052.644169715</v>
      </c>
      <c r="M274" s="12" t="n">
        <f aca="false">E274*24*1000000*Assumptions!$B$3/D274/Assumptions!$B$5</f>
        <v>44815.6706265886</v>
      </c>
      <c r="N274" s="12" t="n">
        <f aca="false">G274*24*1000000*Assumptions!$B$3/D274/Assumptions!$B$5</f>
        <v>203304.212383444</v>
      </c>
      <c r="O274" s="12" t="n">
        <f aca="false">IF(ROW()&lt;8,"",AVERAGE(L268:L274))</f>
        <v>97080.6746857858</v>
      </c>
      <c r="P274" s="13" t="n">
        <f aca="false">IF(I274="","",I274/L274)</f>
        <v>1.24281394664857</v>
      </c>
    </row>
    <row r="275" customFormat="false" ht="15" hidden="false" customHeight="false" outlineLevel="0" collapsed="false">
      <c r="A275" s="9" t="n">
        <v>45931</v>
      </c>
      <c r="B275" s="10" t="n">
        <v>1076.90691328378</v>
      </c>
      <c r="C275" s="11" t="n">
        <v>143.468018096519</v>
      </c>
      <c r="D275" s="10" t="n">
        <v>484.375</v>
      </c>
      <c r="E275" s="11" t="n">
        <v>11.7525768311286</v>
      </c>
      <c r="F275" s="11" t="n">
        <v>24.1003132400492</v>
      </c>
      <c r="G275" s="11" t="n">
        <v>53.315020008</v>
      </c>
      <c r="H275" s="11" t="n">
        <f aca="false">IF(B275="","",F275*1000/B275)</f>
        <v>22.3791981858123</v>
      </c>
      <c r="I275" s="12" t="n">
        <v>114034.76</v>
      </c>
      <c r="J275" s="12" t="n">
        <f aca="false">F275*24*1000000*Assumptions!$B$3/D275</f>
        <v>59706.5824785734</v>
      </c>
      <c r="K275" s="12" t="n">
        <f aca="false">J275/Assumptions!$B$4</f>
        <v>79608.7766380979</v>
      </c>
      <c r="L275" s="12" t="n">
        <f aca="false">J275/Assumptions!$B$5</f>
        <v>91856.2807362668</v>
      </c>
      <c r="M275" s="12" t="n">
        <f aca="false">E275*24*1000000*Assumptions!$B$3/D275/Assumptions!$B$5</f>
        <v>44793.9404779491</v>
      </c>
      <c r="N275" s="12" t="n">
        <f aca="false">G275*24*1000000*Assumptions!$B$3/D275/Assumptions!$B$5</f>
        <v>203205.634571434</v>
      </c>
      <c r="O275" s="12" t="n">
        <f aca="false">IF(ROW()&lt;8,"",AVERAGE(L269:L275))</f>
        <v>96399.5585421135</v>
      </c>
      <c r="P275" s="13" t="n">
        <f aca="false">IF(I275="","",I275/L275)</f>
        <v>1.24144760800202</v>
      </c>
    </row>
    <row r="276" customFormat="false" ht="15" hidden="false" customHeight="false" outlineLevel="0" collapsed="false">
      <c r="A276" s="9" t="n">
        <v>45932</v>
      </c>
      <c r="B276" s="10" t="n">
        <v>1019.76493647533</v>
      </c>
      <c r="C276" s="11" t="n">
        <v>150.839487445892</v>
      </c>
      <c r="D276" s="10" t="n">
        <v>440.625</v>
      </c>
      <c r="E276" s="11" t="n">
        <v>11.7875964240571</v>
      </c>
      <c r="F276" s="11" t="n">
        <v>24.1346894652866</v>
      </c>
      <c r="G276" s="11" t="n">
        <v>53.473884768</v>
      </c>
      <c r="H276" s="11" t="n">
        <f aca="false">IF(B276="","",F276*1000/B276)</f>
        <v>23.6669144054949</v>
      </c>
      <c r="I276" s="12" t="n">
        <v>118617.71</v>
      </c>
      <c r="J276" s="12" t="n">
        <f aca="false">F276*24*1000000*Assumptions!$B$3/D276</f>
        <v>65728.5159905677</v>
      </c>
      <c r="K276" s="12" t="n">
        <f aca="false">J276/Assumptions!$B$4</f>
        <v>87638.0213207569</v>
      </c>
      <c r="L276" s="12" t="n">
        <f aca="false">J276/Assumptions!$B$5</f>
        <v>101120.793831643</v>
      </c>
      <c r="M276" s="12" t="n">
        <f aca="false">E276*24*1000000*Assumptions!$B$3/D276/Assumptions!$B$5</f>
        <v>49388.2927096338</v>
      </c>
      <c r="N276" s="12" t="n">
        <f aca="false">G276*24*1000000*Assumptions!$B$3/D276/Assumptions!$B$5</f>
        <v>224047.700500949</v>
      </c>
      <c r="O276" s="12" t="n">
        <f aca="false">IF(ROW()&lt;8,"",AVERAGE(L270:L276))</f>
        <v>95155.6057529601</v>
      </c>
      <c r="P276" s="13" t="n">
        <f aca="false">IF(I276="","",I276/L276)</f>
        <v>1.17302985375578</v>
      </c>
    </row>
    <row r="277" customFormat="false" ht="15" hidden="false" customHeight="false" outlineLevel="0" collapsed="false">
      <c r="A277" s="9" t="n">
        <v>45933</v>
      </c>
      <c r="B277" s="10" t="n">
        <v>884.796047824185</v>
      </c>
      <c r="C277" s="11" t="n">
        <v>150.839487445892</v>
      </c>
      <c r="D277" s="10" t="n">
        <v>368.75</v>
      </c>
      <c r="E277" s="11" t="n">
        <v>11.7094751734714</v>
      </c>
      <c r="F277" s="11" t="n">
        <v>23.9414590746655</v>
      </c>
      <c r="G277" s="11" t="n">
        <v>53.119491336</v>
      </c>
      <c r="H277" s="11" t="n">
        <f aca="false">IF(B277="","",F277*1000/B277)</f>
        <v>27.058731934371</v>
      </c>
      <c r="I277" s="12" t="n">
        <v>120627.96</v>
      </c>
      <c r="J277" s="12" t="n">
        <f aca="false">F277*24*1000000*Assumptions!$B$3/D277</f>
        <v>77911.1888531488</v>
      </c>
      <c r="K277" s="12" t="n">
        <f aca="false">J277/Assumptions!$B$4</f>
        <v>103881.585137532</v>
      </c>
      <c r="L277" s="12" t="n">
        <f aca="false">J277/Assumptions!$B$5</f>
        <v>119863.367466383</v>
      </c>
      <c r="M277" s="12" t="n">
        <f aca="false">E277*24*1000000*Assumptions!$B$3/D277/Assumptions!$B$5</f>
        <v>58623.7088215519</v>
      </c>
      <c r="N277" s="12" t="n">
        <f aca="false">G277*24*1000000*Assumptions!$B$3/D277/Assumptions!$B$5</f>
        <v>265943.737588318</v>
      </c>
      <c r="O277" s="12" t="n">
        <f aca="false">IF(ROW()&lt;8,"",AVERAGE(L271:L277))</f>
        <v>97559.2487607191</v>
      </c>
      <c r="P277" s="13" t="n">
        <f aca="false">IF(I277="","",I277/L277)</f>
        <v>1.00637886745366</v>
      </c>
    </row>
    <row r="278" customFormat="false" ht="15" hidden="false" customHeight="false" outlineLevel="0" collapsed="false">
      <c r="A278" s="9" t="n">
        <v>45934</v>
      </c>
      <c r="B278" s="10" t="n">
        <v>1004.76839329187</v>
      </c>
      <c r="C278" s="11" t="n">
        <v>150.839487445892</v>
      </c>
      <c r="D278" s="10" t="n">
        <v>418.75</v>
      </c>
      <c r="E278" s="11" t="n">
        <v>11.5634667599</v>
      </c>
      <c r="F278" s="11" t="n">
        <v>23.6042470903596</v>
      </c>
      <c r="G278" s="11" t="n">
        <v>52.457130936</v>
      </c>
      <c r="H278" s="11" t="n">
        <f aca="false">IF(B278="","",F278*1000/B278)</f>
        <v>23.4922269131359</v>
      </c>
      <c r="I278" s="12" t="n">
        <v>122282.99</v>
      </c>
      <c r="J278" s="12" t="n">
        <f aca="false">F278*24*1000000*Assumptions!$B$3/D278</f>
        <v>67642.0215126723</v>
      </c>
      <c r="K278" s="12" t="n">
        <f aca="false">J278/Assumptions!$B$4</f>
        <v>90189.3620168964</v>
      </c>
      <c r="L278" s="12" t="n">
        <f aca="false">J278/Assumptions!$B$5</f>
        <v>104064.648481034</v>
      </c>
      <c r="M278" s="12" t="n">
        <f aca="false">E278*24*1000000*Assumptions!$B$3/D278/Assumptions!$B$5</f>
        <v>50980.1519609828</v>
      </c>
      <c r="N278" s="12" t="n">
        <f aca="false">G278*24*1000000*Assumptions!$B$3/D278/Assumptions!$B$5</f>
        <v>231269.096204638</v>
      </c>
      <c r="O278" s="12" t="n">
        <f aca="false">IF(ROW()&lt;8,"",AVERAGE(L272:L278))</f>
        <v>99637.6837177558</v>
      </c>
      <c r="P278" s="13" t="n">
        <f aca="false">IF(I278="","",I278/L278)</f>
        <v>1.17506753527627</v>
      </c>
    </row>
    <row r="279" customFormat="false" ht="15" hidden="false" customHeight="false" outlineLevel="0" collapsed="false">
      <c r="A279" s="9" t="n">
        <v>45935</v>
      </c>
      <c r="B279" s="10" t="n">
        <v>1117.24246716783</v>
      </c>
      <c r="C279" s="11" t="n">
        <v>150.839487445892</v>
      </c>
      <c r="D279" s="10" t="n">
        <v>465.625</v>
      </c>
      <c r="E279" s="11" t="n">
        <v>11.4836664867571</v>
      </c>
      <c r="F279" s="11" t="n">
        <v>23.398991342527</v>
      </c>
      <c r="G279" s="11" t="n">
        <v>52.095120696</v>
      </c>
      <c r="H279" s="11" t="n">
        <f aca="false">IF(B279="","",F279*1000/B279)</f>
        <v>20.9435212410451</v>
      </c>
      <c r="I279" s="12" t="n">
        <v>122433.34</v>
      </c>
      <c r="J279" s="12" t="n">
        <f aca="false">F279*24*1000000*Assumptions!$B$3/D279</f>
        <v>60303.4407753717</v>
      </c>
      <c r="K279" s="12" t="n">
        <f aca="false">J279/Assumptions!$B$4</f>
        <v>80404.5877004956</v>
      </c>
      <c r="L279" s="12" t="n">
        <f aca="false">J279/Assumptions!$B$5</f>
        <v>92774.5242698026</v>
      </c>
      <c r="M279" s="12" t="n">
        <f aca="false">E279*24*1000000*Assumptions!$B$3/D279/Assumptions!$B$5</f>
        <v>45531.5222603484</v>
      </c>
      <c r="N279" s="12" t="n">
        <f aca="false">G279*24*1000000*Assumptions!$B$3/D279/Assumptions!$B$5</f>
        <v>206551.640136954</v>
      </c>
      <c r="O279" s="12" t="n">
        <f aca="false">IF(ROW()&lt;8,"",AVERAGE(L273:L279))</f>
        <v>100610.337015068</v>
      </c>
      <c r="P279" s="13" t="n">
        <f aca="false">IF(I279="","",I279/L279)</f>
        <v>1.3196870688762</v>
      </c>
    </row>
    <row r="280" customFormat="false" ht="15" hidden="false" customHeight="false" outlineLevel="0" collapsed="false">
      <c r="A280" s="9" t="n">
        <v>45936</v>
      </c>
      <c r="B280" s="10" t="n">
        <v>922.287405782836</v>
      </c>
      <c r="C280" s="11" t="n">
        <v>150.839487445892</v>
      </c>
      <c r="D280" s="10" t="n">
        <v>384.375</v>
      </c>
      <c r="E280" s="11" t="n">
        <v>11.3752057466143</v>
      </c>
      <c r="F280" s="11" t="n">
        <v>23.1420088479189</v>
      </c>
      <c r="G280" s="11" t="n">
        <v>51.603093576</v>
      </c>
      <c r="H280" s="11" t="n">
        <f aca="false">IF(B280="","",F280*1000/B280)</f>
        <v>25.0919710090544</v>
      </c>
      <c r="I280" s="12" t="n">
        <v>123519.47</v>
      </c>
      <c r="J280" s="12" t="n">
        <f aca="false">F280*24*1000000*Assumptions!$B$3/D280</f>
        <v>72248.2227447226</v>
      </c>
      <c r="K280" s="12" t="n">
        <f aca="false">J280/Assumptions!$B$4</f>
        <v>96330.9636596301</v>
      </c>
      <c r="L280" s="12" t="n">
        <f aca="false">J280/Assumptions!$B$5</f>
        <v>111151.111914958</v>
      </c>
      <c r="M280" s="12" t="n">
        <f aca="false">E280*24*1000000*Assumptions!$B$3/D280/Assumptions!$B$5</f>
        <v>54635.1345428378</v>
      </c>
      <c r="N280" s="12" t="n">
        <f aca="false">G280*24*1000000*Assumptions!$B$3/D280/Assumptions!$B$5</f>
        <v>247849.755261839</v>
      </c>
      <c r="O280" s="12" t="n">
        <f aca="false">IF(ROW()&lt;8,"",AVERAGE(L274:L280))</f>
        <v>101840.481552829</v>
      </c>
      <c r="P280" s="13" t="n">
        <f aca="false">IF(I280="","",I280/L280)</f>
        <v>1.1112751629017</v>
      </c>
    </row>
    <row r="281" customFormat="false" ht="15" hidden="false" customHeight="false" outlineLevel="0" collapsed="false">
      <c r="A281" s="9" t="n">
        <v>45937</v>
      </c>
      <c r="B281" s="10" t="n">
        <v>1034.76147965879</v>
      </c>
      <c r="C281" s="11" t="n">
        <v>150.839487445892</v>
      </c>
      <c r="D281" s="10" t="n">
        <v>431.25</v>
      </c>
      <c r="E281" s="11" t="n">
        <v>11.2094180413286</v>
      </c>
      <c r="F281" s="11" t="n">
        <v>22.7828245976887</v>
      </c>
      <c r="G281" s="11" t="n">
        <v>50.851005336</v>
      </c>
      <c r="H281" s="11" t="n">
        <f aca="false">IF(B281="","",F281*1000/B281)</f>
        <v>22.0174649381046</v>
      </c>
      <c r="I281" s="12" t="n">
        <v>124776.68</v>
      </c>
      <c r="J281" s="12" t="n">
        <f aca="false">F281*24*1000000*Assumptions!$B$3/D281</f>
        <v>63395.6858370468</v>
      </c>
      <c r="K281" s="12" t="n">
        <f aca="false">J281/Assumptions!$B$4</f>
        <v>84527.5811160623</v>
      </c>
      <c r="L281" s="12" t="n">
        <f aca="false">J281/Assumptions!$B$5</f>
        <v>97531.8243646873</v>
      </c>
      <c r="M281" s="12" t="n">
        <f aca="false">E281*24*1000000*Assumptions!$B$3/D281/Assumptions!$B$5</f>
        <v>47986.8063307711</v>
      </c>
      <c r="N281" s="12" t="n">
        <f aca="false">G281*24*1000000*Assumptions!$B$3/D281/Assumptions!$B$5</f>
        <v>217689.922508629</v>
      </c>
      <c r="O281" s="12" t="n">
        <f aca="false">IF(ROW()&lt;8,"",AVERAGE(L275:L281))</f>
        <v>102623.221580682</v>
      </c>
      <c r="P281" s="13" t="n">
        <f aca="false">IF(I281="","",I281/L281)</f>
        <v>1.27934323809467</v>
      </c>
    </row>
    <row r="282" customFormat="false" ht="15" hidden="false" customHeight="false" outlineLevel="0" collapsed="false">
      <c r="A282" s="9" t="n">
        <v>45938</v>
      </c>
      <c r="B282" s="10" t="n">
        <v>1109.7441955761</v>
      </c>
      <c r="C282" s="11" t="n">
        <v>150.839487445892</v>
      </c>
      <c r="D282" s="10" t="n">
        <v>462.5</v>
      </c>
      <c r="E282" s="11" t="n">
        <v>11.2581836404714</v>
      </c>
      <c r="F282" s="11" t="n">
        <v>22.8819392963801</v>
      </c>
      <c r="G282" s="11" t="n">
        <v>51.072228216</v>
      </c>
      <c r="H282" s="11" t="n">
        <f aca="false">IF(B282="","",F282*1000/B282)</f>
        <v>20.6191114921773</v>
      </c>
      <c r="I282" s="12" t="n">
        <v>121425.01</v>
      </c>
      <c r="J282" s="12" t="n">
        <f aca="false">F282*24*1000000*Assumptions!$B$3/D282</f>
        <v>59369.3560122295</v>
      </c>
      <c r="K282" s="12" t="n">
        <f aca="false">J282/Assumptions!$B$4</f>
        <v>79159.1413496394</v>
      </c>
      <c r="L282" s="12" t="n">
        <f aca="false">J282/Assumptions!$B$5</f>
        <v>91337.4707880454</v>
      </c>
      <c r="M282" s="12" t="n">
        <f aca="false">E282*24*1000000*Assumptions!$B$3/D282/Assumptions!$B$5</f>
        <v>44939.1114131084</v>
      </c>
      <c r="N282" s="12" t="n">
        <f aca="false">G282*24*1000000*Assumptions!$B$3/D282/Assumptions!$B$5</f>
        <v>203864.195789439</v>
      </c>
      <c r="O282" s="12" t="n">
        <f aca="false">IF(ROW()&lt;8,"",AVERAGE(L276:L282))</f>
        <v>102549.105873793</v>
      </c>
      <c r="P282" s="13" t="n">
        <f aca="false">IF(I282="","",I282/L282)</f>
        <v>1.32941068930817</v>
      </c>
    </row>
    <row r="283" customFormat="false" ht="15" hidden="false" customHeight="false" outlineLevel="0" collapsed="false">
      <c r="A283" s="9" t="n">
        <v>45939</v>
      </c>
      <c r="B283" s="10" t="n">
        <v>899.792591007645</v>
      </c>
      <c r="C283" s="11" t="n">
        <v>150.839487445892</v>
      </c>
      <c r="D283" s="10" t="n">
        <v>375</v>
      </c>
      <c r="E283" s="11" t="n">
        <v>11.0677704614714</v>
      </c>
      <c r="F283" s="11" t="n">
        <v>22.4949299046124</v>
      </c>
      <c r="G283" s="11" t="n">
        <v>50.208427656</v>
      </c>
      <c r="H283" s="11" t="n">
        <f aca="false">IF(B283="","",F283*1000/B283)</f>
        <v>25.000127951066</v>
      </c>
      <c r="I283" s="12" t="n">
        <v>123341.25</v>
      </c>
      <c r="J283" s="12" t="n">
        <f aca="false">F283*24*1000000*Assumptions!$B$3/D283</f>
        <v>71983.7756947596</v>
      </c>
      <c r="K283" s="12" t="n">
        <f aca="false">J283/Assumptions!$B$4</f>
        <v>95978.3675930127</v>
      </c>
      <c r="L283" s="12" t="n">
        <f aca="false">J283/Assumptions!$B$5</f>
        <v>110744.27029963</v>
      </c>
      <c r="M283" s="12" t="n">
        <f aca="false">E283*24*1000000*Assumptions!$B$3/D283/Assumptions!$B$5</f>
        <v>54487.4853487824</v>
      </c>
      <c r="N283" s="12" t="n">
        <f aca="false">G283*24*1000000*Assumptions!$B$3/D283/Assumptions!$B$5</f>
        <v>247179.951537231</v>
      </c>
      <c r="O283" s="12" t="n">
        <f aca="false">IF(ROW()&lt;8,"",AVERAGE(L277:L283))</f>
        <v>103923.888226363</v>
      </c>
      <c r="P283" s="13" t="n">
        <f aca="false">IF(I283="","",I283/L283)</f>
        <v>1.11374836518664</v>
      </c>
    </row>
    <row r="284" customFormat="false" ht="15" hidden="false" customHeight="false" outlineLevel="0" collapsed="false">
      <c r="A284" s="9" t="n">
        <v>45940</v>
      </c>
      <c r="B284" s="10" t="n">
        <v>989.77185010841</v>
      </c>
      <c r="C284" s="11" t="n">
        <v>150.839487445892</v>
      </c>
      <c r="D284" s="10" t="n">
        <v>412.5</v>
      </c>
      <c r="E284" s="11" t="n">
        <v>11.2343820684857</v>
      </c>
      <c r="F284" s="11" t="n">
        <v>22.8335632756358</v>
      </c>
      <c r="G284" s="11" t="n">
        <v>50.964253488</v>
      </c>
      <c r="H284" s="11" t="n">
        <f aca="false">IF(B284="","",F284*1000/B284)</f>
        <v>23.0695218025596</v>
      </c>
      <c r="I284" s="12" t="n">
        <v>121684.39</v>
      </c>
      <c r="J284" s="12" t="n">
        <f aca="false">F284*24*1000000*Assumptions!$B$3/D284</f>
        <v>66424.911347304</v>
      </c>
      <c r="K284" s="12" t="n">
        <f aca="false">J284/Assumptions!$B$4</f>
        <v>88566.548463072</v>
      </c>
      <c r="L284" s="12" t="n">
        <f aca="false">J284/Assumptions!$B$5</f>
        <v>102192.171303545</v>
      </c>
      <c r="M284" s="12" t="n">
        <f aca="false">E284*24*1000000*Assumptions!$B$3/D284/Assumptions!$B$5</f>
        <v>50279.7519149011</v>
      </c>
      <c r="N284" s="12" t="n">
        <f aca="false">G284*24*1000000*Assumptions!$B$3/D284/Assumptions!$B$5</f>
        <v>228091.763862378</v>
      </c>
      <c r="O284" s="12" t="n">
        <f aca="false">IF(ROW()&lt;8,"",AVERAGE(L278:L284))</f>
        <v>101399.431631672</v>
      </c>
      <c r="P284" s="13" t="n">
        <f aca="false">IF(I284="","",I284/L284)</f>
        <v>1.19074082141338</v>
      </c>
    </row>
    <row r="285" customFormat="false" ht="15" hidden="false" customHeight="false" outlineLevel="0" collapsed="false">
      <c r="A285" s="9" t="n">
        <v>45941</v>
      </c>
      <c r="B285" s="10" t="n">
        <v>1102.24592398437</v>
      </c>
      <c r="C285" s="11" t="n">
        <v>150.839487445892</v>
      </c>
      <c r="D285" s="10" t="n">
        <v>459.375</v>
      </c>
      <c r="E285" s="11" t="n">
        <v>11.3890927863429</v>
      </c>
      <c r="F285" s="11" t="n">
        <v>23.1480084266085</v>
      </c>
      <c r="G285" s="11" t="n">
        <v>51.666091488</v>
      </c>
      <c r="H285" s="11" t="n">
        <f aca="false">IF(B285="","",F285*1000/B285)</f>
        <v>21.0007657301501</v>
      </c>
      <c r="I285" s="12" t="n">
        <v>113139</v>
      </c>
      <c r="J285" s="12" t="n">
        <f aca="false">F285*24*1000000*Assumptions!$B$3/D285</f>
        <v>60468.2669103242</v>
      </c>
      <c r="K285" s="12" t="n">
        <f aca="false">J285/Assumptions!$B$4</f>
        <v>80624.3558804322</v>
      </c>
      <c r="L285" s="12" t="n">
        <f aca="false">J285/Assumptions!$B$5</f>
        <v>93028.1029389602</v>
      </c>
      <c r="M285" s="12" t="n">
        <f aca="false">E285*24*1000000*Assumptions!$B$3/D285/Assumptions!$B$5</f>
        <v>45770.9223438583</v>
      </c>
      <c r="N285" s="12" t="n">
        <f aca="false">G285*24*1000000*Assumptions!$B$3/D285/Assumptions!$B$5</f>
        <v>207637.667518493</v>
      </c>
      <c r="O285" s="12" t="n">
        <f aca="false">IF(ROW()&lt;8,"",AVERAGE(L279:L285))</f>
        <v>99822.7822685183</v>
      </c>
      <c r="P285" s="13" t="n">
        <f aca="false">IF(I285="","",I285/L285)</f>
        <v>1.21618087895693</v>
      </c>
    </row>
    <row r="286" customFormat="false" ht="15" hidden="false" customHeight="false" outlineLevel="0" collapsed="false">
      <c r="A286" s="9" t="n">
        <v>45942</v>
      </c>
      <c r="B286" s="10" t="n">
        <v>1087.2493808009</v>
      </c>
      <c r="C286" s="11" t="n">
        <v>150.839487445892</v>
      </c>
      <c r="D286" s="10" t="n">
        <v>453.125</v>
      </c>
      <c r="E286" s="11" t="n">
        <v>11.3414894519143</v>
      </c>
      <c r="F286" s="11" t="n">
        <v>23.0512559980209</v>
      </c>
      <c r="G286" s="11" t="n">
        <v>51.450141168</v>
      </c>
      <c r="H286" s="11" t="n">
        <f aca="false">IF(B286="","",F286*1000/B286)</f>
        <v>21.2014432061949</v>
      </c>
      <c r="I286" s="12" t="n">
        <v>110787.57</v>
      </c>
      <c r="J286" s="12" t="n">
        <f aca="false">F286*24*1000000*Assumptions!$B$3/D286</f>
        <v>61046.0848499313</v>
      </c>
      <c r="K286" s="12" t="n">
        <f aca="false">J286/Assumptions!$B$4</f>
        <v>81394.7797999084</v>
      </c>
      <c r="L286" s="12" t="n">
        <f aca="false">J286/Assumptions!$B$5</f>
        <v>93917.053615279</v>
      </c>
      <c r="M286" s="12" t="n">
        <f aca="false">E286*24*1000000*Assumptions!$B$3/D286/Assumptions!$B$5</f>
        <v>46208.2965467914</v>
      </c>
      <c r="N286" s="12" t="n">
        <f aca="false">G286*24*1000000*Assumptions!$B$3/D286/Assumptions!$B$5</f>
        <v>209621.795315777</v>
      </c>
      <c r="O286" s="12" t="n">
        <f aca="false">IF(ROW()&lt;8,"",AVERAGE(L280:L286))</f>
        <v>99986.0007464435</v>
      </c>
      <c r="P286" s="13" t="n">
        <f aca="false">IF(I286="","",I286/L286)</f>
        <v>1.17963208741438</v>
      </c>
    </row>
    <row r="287" customFormat="false" ht="15" hidden="false" customHeight="false" outlineLevel="0" collapsed="false">
      <c r="A287" s="9" t="n">
        <v>45943</v>
      </c>
      <c r="B287" s="10" t="n">
        <v>1139.73728194302</v>
      </c>
      <c r="C287" s="11" t="n">
        <v>150.839487445892</v>
      </c>
      <c r="D287" s="10" t="n">
        <v>459.375</v>
      </c>
      <c r="E287" s="11" t="n">
        <v>11.6866135074857</v>
      </c>
      <c r="F287" s="11" t="n">
        <v>23.7527108633437</v>
      </c>
      <c r="G287" s="11" t="n">
        <v>53.015780448</v>
      </c>
      <c r="H287" s="11" t="n">
        <f aca="false">IF(B287="","",F287*1000/B287)</f>
        <v>20.8405140725503</v>
      </c>
      <c r="I287" s="12" t="n">
        <v>115105</v>
      </c>
      <c r="J287" s="12" t="n">
        <f aca="false">F287*24*1000000*Assumptions!$B$3/D287</f>
        <v>62047.8977654693</v>
      </c>
      <c r="K287" s="12" t="n">
        <f aca="false">J287/Assumptions!$B$4</f>
        <v>82730.5303539591</v>
      </c>
      <c r="L287" s="12" t="n">
        <f aca="false">J287/Assumptions!$B$5</f>
        <v>95458.3042545682</v>
      </c>
      <c r="M287" s="12" t="n">
        <f aca="false">E287*24*1000000*Assumptions!$B$3/D287/Assumptions!$B$5</f>
        <v>46966.6100143853</v>
      </c>
      <c r="N287" s="12" t="n">
        <f aca="false">G287*24*1000000*Assumptions!$B$3/D287/Assumptions!$B$5</f>
        <v>213061.849210173</v>
      </c>
      <c r="O287" s="12" t="n">
        <f aca="false">IF(ROW()&lt;8,"",AVERAGE(L281:L287))</f>
        <v>97744.1710806736</v>
      </c>
      <c r="P287" s="13" t="n">
        <f aca="false">IF(I287="","",I287/L287)</f>
        <v>1.20581442231614</v>
      </c>
    </row>
    <row r="288" customFormat="false" ht="15" hidden="false" customHeight="false" outlineLevel="0" collapsed="false">
      <c r="A288" s="9" t="n">
        <v>45944</v>
      </c>
      <c r="B288" s="10" t="n">
        <v>1267.20789900243</v>
      </c>
      <c r="C288" s="11" t="n">
        <v>150.839487445892</v>
      </c>
      <c r="D288" s="10" t="n">
        <v>521.875</v>
      </c>
      <c r="E288" s="11" t="n">
        <v>12.0555391509143</v>
      </c>
      <c r="F288" s="11" t="n">
        <v>24.5025417816691</v>
      </c>
      <c r="G288" s="11" t="n">
        <v>54.689394528</v>
      </c>
      <c r="H288" s="11" t="n">
        <f aca="false">IF(B288="","",F288*1000/B288)</f>
        <v>19.3358499429793</v>
      </c>
      <c r="I288" s="12" t="n">
        <v>115216.47</v>
      </c>
      <c r="J288" s="12" t="n">
        <f aca="false">F288*24*1000000*Assumptions!$B$3/D288</f>
        <v>56341.1739171314</v>
      </c>
      <c r="K288" s="12" t="n">
        <f aca="false">J288/Assumptions!$B$4</f>
        <v>75121.5652228418</v>
      </c>
      <c r="L288" s="12" t="n">
        <f aca="false">J288/Assumptions!$B$5</f>
        <v>86678.729103279</v>
      </c>
      <c r="M288" s="12" t="n">
        <f aca="false">E288*24*1000000*Assumptions!$B$3/D288/Assumptions!$B$5</f>
        <v>42646.9556328981</v>
      </c>
      <c r="N288" s="12" t="n">
        <f aca="false">G288*24*1000000*Assumptions!$B$3/D288/Assumptions!$B$5</f>
        <v>193465.93734456</v>
      </c>
      <c r="O288" s="12" t="n">
        <f aca="false">IF(ROW()&lt;8,"",AVERAGE(L282:L288))</f>
        <v>96193.7289004724</v>
      </c>
      <c r="P288" s="13" t="n">
        <f aca="false">IF(I288="","",I288/L288)</f>
        <v>1.32923580204686</v>
      </c>
    </row>
    <row r="289" customFormat="false" ht="15" hidden="false" customHeight="false" outlineLevel="0" collapsed="false">
      <c r="A289" s="9" t="n">
        <v>45945</v>
      </c>
      <c r="B289" s="10" t="n">
        <v>1079.75110920917</v>
      </c>
      <c r="C289" s="11" t="n">
        <v>150.839487445892</v>
      </c>
      <c r="D289" s="10" t="n">
        <v>471.875</v>
      </c>
      <c r="E289" s="11" t="n">
        <v>12.0079358164857</v>
      </c>
      <c r="F289" s="11" t="n">
        <v>24.4057893530816</v>
      </c>
      <c r="G289" s="11" t="n">
        <v>54.473444208</v>
      </c>
      <c r="H289" s="11" t="n">
        <f aca="false">IF(B289="","",F289*1000/B289)</f>
        <v>22.6031621036785</v>
      </c>
      <c r="I289" s="12" t="n">
        <v>113092.61</v>
      </c>
      <c r="J289" s="12" t="n">
        <f aca="false">F289*24*1000000*Assumptions!$B$3/D289</f>
        <v>62065.0537190949</v>
      </c>
      <c r="K289" s="12" t="n">
        <f aca="false">J289/Assumptions!$B$4</f>
        <v>82753.4049587932</v>
      </c>
      <c r="L289" s="12" t="n">
        <f aca="false">J289/Assumptions!$B$5</f>
        <v>95484.6980293768</v>
      </c>
      <c r="M289" s="12" t="n">
        <f aca="false">E289*24*1000000*Assumptions!$B$3/D289/Assumptions!$B$5</f>
        <v>46979.5960624607</v>
      </c>
      <c r="N289" s="12" t="n">
        <f aca="false">G289*24*1000000*Assumptions!$B$3/D289/Assumptions!$B$5</f>
        <v>213120.759815303</v>
      </c>
      <c r="O289" s="12" t="n">
        <f aca="false">IF(ROW()&lt;8,"",AVERAGE(L283:L289))</f>
        <v>96786.1899349483</v>
      </c>
      <c r="P289" s="13" t="n">
        <f aca="false">IF(I289="","",I289/L289)</f>
        <v>1.18440558889557</v>
      </c>
    </row>
    <row r="290" customFormat="false" ht="15" hidden="false" customHeight="false" outlineLevel="0" collapsed="false">
      <c r="A290" s="9" t="n">
        <v>45946</v>
      </c>
      <c r="B290" s="10" t="n">
        <v>1124.27812398701</v>
      </c>
      <c r="C290" s="11" t="n">
        <v>147.821025461004</v>
      </c>
      <c r="D290" s="10" t="n">
        <v>478.125</v>
      </c>
      <c r="E290" s="11" t="n">
        <v>12.3625997116286</v>
      </c>
      <c r="F290" s="11" t="n">
        <v>25.1085857899971</v>
      </c>
      <c r="G290" s="11" t="n">
        <v>55.3121297622857</v>
      </c>
      <c r="H290" s="11" t="n">
        <f aca="false">IF(B290="","",F290*1000/B290)</f>
        <v>22.3330733332736</v>
      </c>
      <c r="I290" s="12" t="n">
        <v>110784.88</v>
      </c>
      <c r="J290" s="12" t="n">
        <f aca="false">F290*24*1000000*Assumptions!$B$3/D290</f>
        <v>63017.6270807769</v>
      </c>
      <c r="K290" s="12" t="n">
        <f aca="false">J290/Assumptions!$B$4</f>
        <v>84023.5027743693</v>
      </c>
      <c r="L290" s="12" t="n">
        <f aca="false">J290/Assumptions!$B$5</f>
        <v>96950.1955088876</v>
      </c>
      <c r="M290" s="12" t="n">
        <f aca="false">E290*24*1000000*Assumptions!$B$3/D290/Assumptions!$B$5</f>
        <v>47734.924980044</v>
      </c>
      <c r="N290" s="12" t="n">
        <f aca="false">G290*24*1000000*Assumptions!$B$3/D290/Assumptions!$B$5</f>
        <v>213573.231057996</v>
      </c>
      <c r="O290" s="12" t="n">
        <f aca="false">IF(ROW()&lt;8,"",AVERAGE(L284:L290))</f>
        <v>94815.6078219851</v>
      </c>
      <c r="P290" s="13" t="n">
        <f aca="false">IF(I290="","",I290/L290)</f>
        <v>1.14269888181756</v>
      </c>
    </row>
    <row r="291" customFormat="false" ht="15" hidden="false" customHeight="false" outlineLevel="0" collapsed="false">
      <c r="A291" s="9" t="n">
        <v>45947</v>
      </c>
      <c r="B291" s="10" t="n">
        <v>1159.63383220932</v>
      </c>
      <c r="C291" s="11" t="n">
        <v>146.716052770108</v>
      </c>
      <c r="D291" s="10" t="n">
        <v>496.875</v>
      </c>
      <c r="E291" s="11" t="n">
        <v>12.6321949081429</v>
      </c>
      <c r="F291" s="11" t="n">
        <v>25.637897961355</v>
      </c>
      <c r="G291" s="11" t="n">
        <v>55.7399584114286</v>
      </c>
      <c r="H291" s="11" t="n">
        <f aca="false">IF(B291="","",F291*1000/B291)</f>
        <v>22.1086150207519</v>
      </c>
      <c r="I291" s="12" t="n">
        <v>108192.62</v>
      </c>
      <c r="J291" s="12" t="n">
        <f aca="false">F291*24*1000000*Assumptions!$B$3/D291</f>
        <v>61917.9422462914</v>
      </c>
      <c r="K291" s="12" t="n">
        <f aca="false">J291/Assumptions!$B$4</f>
        <v>82557.2563283886</v>
      </c>
      <c r="L291" s="12" t="n">
        <f aca="false">J291/Assumptions!$B$5</f>
        <v>95258.3726866022</v>
      </c>
      <c r="M291" s="12" t="n">
        <f aca="false">E291*24*1000000*Assumptions!$B$3/D291/Assumptions!$B$5</f>
        <v>46935.296030255</v>
      </c>
      <c r="N291" s="12" t="n">
        <f aca="false">G291*24*1000000*Assumptions!$B$3/D291/Assumptions!$B$5</f>
        <v>207103.47392345</v>
      </c>
      <c r="O291" s="12" t="n">
        <f aca="false">IF(ROW()&lt;8,"",AVERAGE(L285:L291))</f>
        <v>93825.0651624219</v>
      </c>
      <c r="P291" s="13" t="n">
        <f aca="false">IF(I291="","",I291/L291)</f>
        <v>1.13578068728878</v>
      </c>
    </row>
    <row r="292" customFormat="false" ht="15" hidden="false" customHeight="false" outlineLevel="0" collapsed="false">
      <c r="A292" s="9" t="n">
        <v>45948</v>
      </c>
      <c r="B292" s="10" t="n">
        <v>1203.3935994625</v>
      </c>
      <c r="C292" s="11" t="n">
        <v>146.716052770108</v>
      </c>
      <c r="D292" s="10" t="n">
        <v>515.625</v>
      </c>
      <c r="E292" s="11" t="n">
        <v>12.792730599</v>
      </c>
      <c r="F292" s="11" t="n">
        <v>25.9448466677844</v>
      </c>
      <c r="G292" s="11" t="n">
        <v>55.6430370171429</v>
      </c>
      <c r="H292" s="11" t="n">
        <f aca="false">IF(B292="","",F292*1000/B292)</f>
        <v>21.5597346365916</v>
      </c>
      <c r="I292" s="12" t="n">
        <v>106466.05</v>
      </c>
      <c r="J292" s="12" t="n">
        <f aca="false">F292*24*1000000*Assumptions!$B$3/D292</f>
        <v>60380.7340632073</v>
      </c>
      <c r="K292" s="12" t="n">
        <f aca="false">J292/Assumptions!$B$4</f>
        <v>80507.6454176097</v>
      </c>
      <c r="L292" s="12" t="n">
        <f aca="false">J292/Assumptions!$B$5</f>
        <v>92893.4370203188</v>
      </c>
      <c r="M292" s="12" t="n">
        <f aca="false">E292*24*1000000*Assumptions!$B$3/D292/Assumptions!$B$5</f>
        <v>45803.3431236923</v>
      </c>
      <c r="N292" s="12" t="n">
        <f aca="false">G292*24*1000000*Assumptions!$B$3/D292/Assumptions!$B$5</f>
        <v>199225.41925019</v>
      </c>
      <c r="O292" s="12" t="n">
        <f aca="false">IF(ROW()&lt;8,"",AVERAGE(L286:L292))</f>
        <v>93805.8271740445</v>
      </c>
      <c r="P292" s="13" t="n">
        <f aca="false">IF(I292="","",I292/L292)</f>
        <v>1.14610949293126</v>
      </c>
    </row>
    <row r="293" customFormat="false" ht="15" hidden="false" customHeight="false" outlineLevel="0" collapsed="false">
      <c r="A293" s="9" t="n">
        <v>45949</v>
      </c>
      <c r="B293" s="10" t="n">
        <v>1013.76794136538</v>
      </c>
      <c r="C293" s="11" t="n">
        <v>146.716052770108</v>
      </c>
      <c r="D293" s="10" t="n">
        <v>421.875</v>
      </c>
      <c r="E293" s="11" t="n">
        <v>12.6761050246286</v>
      </c>
      <c r="F293" s="11" t="n">
        <v>25.691519765414</v>
      </c>
      <c r="G293" s="11" t="n">
        <v>54.4188153462857</v>
      </c>
      <c r="H293" s="11" t="n">
        <f aca="false">IF(B293="","",F293*1000/B293)</f>
        <v>25.3426042757001</v>
      </c>
      <c r="I293" s="12" t="n">
        <v>107209.72</v>
      </c>
      <c r="J293" s="12" t="n">
        <f aca="false">F293*24*1000000*Assumptions!$B$3/D293</f>
        <v>73078.1006660665</v>
      </c>
      <c r="K293" s="12" t="n">
        <f aca="false">J293/Assumptions!$B$4</f>
        <v>97437.4675547554</v>
      </c>
      <c r="L293" s="12" t="n">
        <f aca="false">J293/Assumptions!$B$5</f>
        <v>112427.847178564</v>
      </c>
      <c r="M293" s="12" t="n">
        <f aca="false">E293*24*1000000*Assumptions!$B$3/D293/Assumptions!$B$5</f>
        <v>55471.5023299985</v>
      </c>
      <c r="N293" s="12" t="n">
        <f aca="false">G293*24*1000000*Assumptions!$B$3/D293/Assumptions!$B$5</f>
        <v>238140.456899985</v>
      </c>
      <c r="O293" s="12" t="n">
        <f aca="false">IF(ROW()&lt;8,"",AVERAGE(L287:L293))</f>
        <v>96450.2262545138</v>
      </c>
      <c r="P293" s="13" t="n">
        <f aca="false">IF(I293="","",I293/L293)</f>
        <v>0.953586879856588</v>
      </c>
    </row>
    <row r="294" customFormat="false" ht="15" hidden="false" customHeight="false" outlineLevel="0" collapsed="false">
      <c r="A294" s="9" t="n">
        <v>45950</v>
      </c>
      <c r="B294" s="10" t="n">
        <v>1086.70088678735</v>
      </c>
      <c r="C294" s="11" t="n">
        <v>146.716052770108</v>
      </c>
      <c r="D294" s="10" t="n">
        <v>478.125</v>
      </c>
      <c r="E294" s="11" t="n">
        <v>12.5919286812</v>
      </c>
      <c r="F294" s="11" t="n">
        <v>25.5029731545569</v>
      </c>
      <c r="G294" s="11" t="n">
        <v>53.2917869348571</v>
      </c>
      <c r="H294" s="11" t="n">
        <f aca="false">IF(B294="","",F294*1000/B294)</f>
        <v>23.4682546638497</v>
      </c>
      <c r="I294" s="12" t="n">
        <v>108688.24</v>
      </c>
      <c r="J294" s="12" t="n">
        <f aca="false">F294*24*1000000*Assumptions!$B$3/D294</f>
        <v>64007.4620349662</v>
      </c>
      <c r="K294" s="12" t="n">
        <f aca="false">J294/Assumptions!$B$4</f>
        <v>85343.2827132883</v>
      </c>
      <c r="L294" s="12" t="n">
        <f aca="false">J294/Assumptions!$B$5</f>
        <v>98473.0185153327</v>
      </c>
      <c r="M294" s="12" t="n">
        <f aca="false">E294*24*1000000*Assumptions!$B$3/D294/Assumptions!$B$5</f>
        <v>48620.4184372127</v>
      </c>
      <c r="N294" s="12" t="n">
        <f aca="false">G294*24*1000000*Assumptions!$B$3/D294/Assumptions!$B$5</f>
        <v>205772.208979237</v>
      </c>
      <c r="O294" s="12" t="n">
        <f aca="false">IF(ROW()&lt;8,"",AVERAGE(L288:L294))</f>
        <v>96880.8997203373</v>
      </c>
      <c r="P294" s="13" t="n">
        <f aca="false">IF(I294="","",I294/L294)</f>
        <v>1.10373624814879</v>
      </c>
    </row>
    <row r="295" customFormat="false" ht="15" hidden="false" customHeight="false" outlineLevel="0" collapsed="false">
      <c r="A295" s="9" t="n">
        <v>45951</v>
      </c>
      <c r="B295" s="10" t="n">
        <v>1093.99418132955</v>
      </c>
      <c r="C295" s="11" t="n">
        <v>146.716052770108</v>
      </c>
      <c r="D295" s="10" t="n">
        <v>456.25</v>
      </c>
      <c r="E295" s="11" t="n">
        <v>12.3170137944857</v>
      </c>
      <c r="F295" s="11" t="n">
        <v>24.9266386730681</v>
      </c>
      <c r="G295" s="11" t="n">
        <v>51.2944808434286</v>
      </c>
      <c r="H295" s="11" t="n">
        <f aca="false">IF(B295="","",F295*1000/B295)</f>
        <v>22.7849828623168</v>
      </c>
      <c r="I295" s="12" t="n">
        <v>110576.7</v>
      </c>
      <c r="J295" s="12" t="n">
        <f aca="false">F295*24*1000000*Assumptions!$B$3/D295</f>
        <v>65560.4743182065</v>
      </c>
      <c r="K295" s="12" t="n">
        <f aca="false">J295/Assumptions!$B$4</f>
        <v>87413.9657576086</v>
      </c>
      <c r="L295" s="12" t="n">
        <f aca="false">J295/Assumptions!$B$5</f>
        <v>100862.268181856</v>
      </c>
      <c r="M295" s="12" t="n">
        <f aca="false">E295*24*1000000*Assumptions!$B$3/D295/Assumptions!$B$5</f>
        <v>49839.1285256324</v>
      </c>
      <c r="N295" s="12" t="n">
        <f aca="false">G295*24*1000000*Assumptions!$B$3/D295/Assumptions!$B$5</f>
        <v>207556.171168352</v>
      </c>
      <c r="O295" s="12" t="n">
        <f aca="false">IF(ROW()&lt;8,"",AVERAGE(L289:L295))</f>
        <v>98907.1195887055</v>
      </c>
      <c r="P295" s="13" t="n">
        <f aca="false">IF(I295="","",I295/L295)</f>
        <v>1.09631383463069</v>
      </c>
    </row>
    <row r="296" customFormat="false" ht="15" hidden="false" customHeight="false" outlineLevel="0" collapsed="false">
      <c r="A296" s="9" t="n">
        <v>45952</v>
      </c>
      <c r="B296" s="10" t="n">
        <v>1115.87406495614</v>
      </c>
      <c r="C296" s="11" t="n">
        <v>146.716052770108</v>
      </c>
      <c r="D296" s="10" t="n">
        <v>490.625</v>
      </c>
      <c r="E296" s="11" t="n">
        <v>12.3743458384857</v>
      </c>
      <c r="F296" s="11" t="n">
        <v>25.0252351115425</v>
      </c>
      <c r="G296" s="11" t="n">
        <v>50.7893942605714</v>
      </c>
      <c r="H296" s="11" t="n">
        <f aca="false">IF(B296="","",F296*1000/B296)</f>
        <v>22.4265765263809</v>
      </c>
      <c r="I296" s="12" t="n">
        <v>108448.06</v>
      </c>
      <c r="J296" s="12" t="n">
        <f aca="false">F296*24*1000000*Assumptions!$B$3/D296</f>
        <v>61208.2183619894</v>
      </c>
      <c r="K296" s="12" t="n">
        <f aca="false">J296/Assumptions!$B$4</f>
        <v>81610.9578159858</v>
      </c>
      <c r="L296" s="12" t="n">
        <f aca="false">J296/Assumptions!$B$5</f>
        <v>94166.489787676</v>
      </c>
      <c r="M296" s="12" t="n">
        <f aca="false">E296*24*1000000*Assumptions!$B$3/D296/Assumptions!$B$5</f>
        <v>46562.947594106</v>
      </c>
      <c r="N296" s="12" t="n">
        <f aca="false">G296*24*1000000*Assumptions!$B$3/D296/Assumptions!$B$5</f>
        <v>191113.448271038</v>
      </c>
      <c r="O296" s="12" t="n">
        <f aca="false">IF(ROW()&lt;8,"",AVERAGE(L290:L296))</f>
        <v>98718.8041256053</v>
      </c>
      <c r="P296" s="13" t="n">
        <f aca="false">IF(I296="","",I296/L296)</f>
        <v>1.15166297739807</v>
      </c>
    </row>
    <row r="297" customFormat="false" ht="15" hidden="false" customHeight="false" outlineLevel="0" collapsed="false">
      <c r="A297" s="9" t="n">
        <v>45953</v>
      </c>
      <c r="B297" s="10" t="n">
        <v>1035.64782499197</v>
      </c>
      <c r="C297" s="11" t="n">
        <v>146.716052770108</v>
      </c>
      <c r="D297" s="10" t="n">
        <v>443.75</v>
      </c>
      <c r="E297" s="11" t="n">
        <v>12.2353035536286</v>
      </c>
      <c r="F297" s="11" t="n">
        <v>24.7440432073876</v>
      </c>
      <c r="G297" s="11" t="n">
        <v>50.2187076548571</v>
      </c>
      <c r="H297" s="11" t="n">
        <f aca="false">IF(B297="","",F297*1000/B297)</f>
        <v>23.892333484676</v>
      </c>
      <c r="I297" s="12" t="n">
        <v>107614.03</v>
      </c>
      <c r="J297" s="12" t="n">
        <f aca="false">F297*24*1000000*Assumptions!$B$3/D297</f>
        <v>66913.4689551889</v>
      </c>
      <c r="K297" s="12" t="n">
        <f aca="false">J297/Assumptions!$B$4</f>
        <v>89217.9586069185</v>
      </c>
      <c r="L297" s="12" t="n">
        <f aca="false">J297/Assumptions!$B$5</f>
        <v>102943.798392598</v>
      </c>
      <c r="M297" s="12" t="n">
        <f aca="false">E297*24*1000000*Assumptions!$B$3/D297/Assumptions!$B$5</f>
        <v>50903.1047084872</v>
      </c>
      <c r="N297" s="12" t="n">
        <f aca="false">G297*24*1000000*Assumptions!$B$3/D297/Assumptions!$B$5</f>
        <v>208927.234447076</v>
      </c>
      <c r="O297" s="12" t="n">
        <f aca="false">IF(ROW()&lt;8,"",AVERAGE(L291:L297))</f>
        <v>99575.0331089926</v>
      </c>
      <c r="P297" s="13" t="n">
        <f aca="false">IF(I297="","",I297/L297)</f>
        <v>1.04536680868906</v>
      </c>
    </row>
    <row r="298" customFormat="false" ht="15" hidden="false" customHeight="false" outlineLevel="0" collapsed="false">
      <c r="A298" s="9" t="n">
        <v>45954</v>
      </c>
      <c r="B298" s="10" t="n">
        <v>1305.49972305326</v>
      </c>
      <c r="C298" s="11" t="n">
        <v>146.716052770108</v>
      </c>
      <c r="D298" s="10" t="n">
        <v>559.375</v>
      </c>
      <c r="E298" s="11" t="n">
        <v>12.4668137336286</v>
      </c>
      <c r="F298" s="11" t="n">
        <v>25.2122373859595</v>
      </c>
      <c r="G298" s="11" t="n">
        <v>51.1689204548571</v>
      </c>
      <c r="H298" s="11" t="n">
        <f aca="false">IF(B298="","",F298*1000/B298)</f>
        <v>19.3123268743359</v>
      </c>
      <c r="I298" s="12" t="n">
        <v>110082.72</v>
      </c>
      <c r="J298" s="12" t="n">
        <f aca="false">F298*24*1000000*Assumptions!$B$3/D298</f>
        <v>54086.5874648518</v>
      </c>
      <c r="K298" s="12" t="n">
        <f aca="false">J298/Assumptions!$B$4</f>
        <v>72115.4499531357</v>
      </c>
      <c r="L298" s="12" t="n">
        <f aca="false">J298/Assumptions!$B$5</f>
        <v>83210.1345613104</v>
      </c>
      <c r="M298" s="12" t="n">
        <f aca="false">E298*24*1000000*Assumptions!$B$3/D298/Assumptions!$B$5</f>
        <v>41145.3070366426</v>
      </c>
      <c r="N298" s="12" t="n">
        <f aca="false">G298*24*1000000*Assumptions!$B$3/D298/Assumptions!$B$5</f>
        <v>168877.227801162</v>
      </c>
      <c r="O298" s="12" t="n">
        <f aca="false">IF(ROW()&lt;8,"",AVERAGE(L292:L298))</f>
        <v>97853.8562339509</v>
      </c>
      <c r="P298" s="13" t="n">
        <f aca="false">IF(I298="","",I298/L298)</f>
        <v>1.32294846751978</v>
      </c>
    </row>
    <row r="299" customFormat="false" ht="15" hidden="false" customHeight="false" outlineLevel="0" collapsed="false">
      <c r="A299" s="9" t="n">
        <v>45955</v>
      </c>
      <c r="B299" s="10" t="n">
        <v>1166.92712675152</v>
      </c>
      <c r="C299" s="11" t="n">
        <v>146.716052770108</v>
      </c>
      <c r="D299" s="10" t="n">
        <v>500</v>
      </c>
      <c r="E299" s="11" t="n">
        <v>12.4089363473429</v>
      </c>
      <c r="F299" s="11" t="n">
        <v>25.0951891622921</v>
      </c>
      <c r="G299" s="11" t="n">
        <v>50.9313679062857</v>
      </c>
      <c r="H299" s="11" t="n">
        <f aca="false">IF(B299="","",F299*1000/B299)</f>
        <v>21.5053610349704</v>
      </c>
      <c r="I299" s="12" t="n">
        <v>111020.53</v>
      </c>
      <c r="J299" s="12" t="n">
        <f aca="false">F299*24*1000000*Assumptions!$B$3/D299</f>
        <v>60228.453989501</v>
      </c>
      <c r="K299" s="12" t="n">
        <f aca="false">J299/Assumptions!$B$4</f>
        <v>80304.6053193347</v>
      </c>
      <c r="L299" s="12" t="n">
        <f aca="false">J299/Assumptions!$B$5</f>
        <v>92659.1599838477</v>
      </c>
      <c r="M299" s="12" t="n">
        <f aca="false">E299*24*1000000*Assumptions!$B$3/D299/Assumptions!$B$5</f>
        <v>45817.6111286506</v>
      </c>
      <c r="N299" s="12" t="n">
        <f aca="false">G299*24*1000000*Assumptions!$B$3/D299/Assumptions!$B$5</f>
        <v>188054.281500132</v>
      </c>
      <c r="O299" s="12" t="n">
        <f aca="false">IF(ROW()&lt;8,"",AVERAGE(L293:L299))</f>
        <v>97820.3880858836</v>
      </c>
      <c r="P299" s="13" t="n">
        <f aca="false">IF(I299="","",I299/L299)</f>
        <v>1.19816033319699</v>
      </c>
    </row>
    <row r="300" customFormat="false" ht="15" hidden="false" customHeight="false" outlineLevel="0" collapsed="false">
      <c r="A300" s="9" t="n">
        <v>45956</v>
      </c>
      <c r="B300" s="10" t="n">
        <v>1072.11429770296</v>
      </c>
      <c r="C300" s="11" t="n">
        <v>146.716052770108</v>
      </c>
      <c r="D300" s="10" t="n">
        <v>456.25</v>
      </c>
      <c r="E300" s="11" t="n">
        <v>12.5015403558571</v>
      </c>
      <c r="F300" s="11" t="n">
        <v>25.2824667053307</v>
      </c>
      <c r="G300" s="11" t="n">
        <v>51.3114527657143</v>
      </c>
      <c r="H300" s="11" t="n">
        <f aca="false">IF(B300="","",F300*1000/B300)</f>
        <v>23.581876260301</v>
      </c>
      <c r="I300" s="12" t="n">
        <v>111637.64</v>
      </c>
      <c r="J300" s="12" t="n">
        <f aca="false">F300*24*1000000*Assumptions!$B$3/D300</f>
        <v>66496.3507866231</v>
      </c>
      <c r="K300" s="12" t="n">
        <f aca="false">J300/Assumptions!$B$4</f>
        <v>88661.8010488308</v>
      </c>
      <c r="L300" s="12" t="n">
        <f aca="false">J300/Assumptions!$B$5</f>
        <v>102302.078133266</v>
      </c>
      <c r="M300" s="12" t="n">
        <f aca="false">E300*24*1000000*Assumptions!$B$3/D300/Assumptions!$B$5</f>
        <v>50585.7902702755</v>
      </c>
      <c r="N300" s="12" t="n">
        <f aca="false">G300*24*1000000*Assumptions!$B$3/D300/Assumptions!$B$5</f>
        <v>207624.845753786</v>
      </c>
      <c r="O300" s="12" t="n">
        <f aca="false">IF(ROW()&lt;8,"",AVERAGE(L294:L300))</f>
        <v>96373.8496508411</v>
      </c>
      <c r="P300" s="13" t="n">
        <f aca="false">IF(I300="","",I300/L300)</f>
        <v>1.09125486047871</v>
      </c>
    </row>
    <row r="301" customFormat="false" ht="15" hidden="false" customHeight="false" outlineLevel="0" collapsed="false">
      <c r="A301" s="9" t="n">
        <v>45957</v>
      </c>
      <c r="B301" s="10" t="n">
        <v>1072.11429770296</v>
      </c>
      <c r="C301" s="11" t="n">
        <v>146.716052770108</v>
      </c>
      <c r="D301" s="10" t="n">
        <v>462.5</v>
      </c>
      <c r="E301" s="11" t="n">
        <v>12.4783893378571</v>
      </c>
      <c r="F301" s="11" t="n">
        <v>25.2356472874735</v>
      </c>
      <c r="G301" s="11" t="n">
        <v>51.2164314857143</v>
      </c>
      <c r="H301" s="11" t="n">
        <f aca="false">IF(B301="","",F301*1000/B301)</f>
        <v>23.5382060863676</v>
      </c>
      <c r="I301" s="12" t="n">
        <v>114531.59</v>
      </c>
      <c r="J301" s="12" t="n">
        <f aca="false">F301*24*1000000*Assumptions!$B$3/D301</f>
        <v>65476.2740431744</v>
      </c>
      <c r="K301" s="12" t="n">
        <f aca="false">J301/Assumptions!$B$4</f>
        <v>87301.6987242325</v>
      </c>
      <c r="L301" s="12" t="n">
        <f aca="false">J301/Assumptions!$B$5</f>
        <v>100732.729297191</v>
      </c>
      <c r="M301" s="12" t="n">
        <f aca="false">E301*24*1000000*Assumptions!$B$3/D301/Assumptions!$B$5</f>
        <v>49809.7869619246</v>
      </c>
      <c r="N301" s="12" t="n">
        <f aca="false">G301*24*1000000*Assumptions!$B$3/D301/Assumptions!$B$5</f>
        <v>204439.809672706</v>
      </c>
      <c r="O301" s="12" t="n">
        <f aca="false">IF(ROW()&lt;8,"",AVERAGE(L295:L301))</f>
        <v>96696.6654768209</v>
      </c>
      <c r="P301" s="13" t="n">
        <f aca="false">IF(I301="","",I301/L301)</f>
        <v>1.13698487868921</v>
      </c>
    </row>
    <row r="302" customFormat="false" ht="15" hidden="false" customHeight="false" outlineLevel="0" collapsed="false">
      <c r="A302" s="9" t="n">
        <v>45958</v>
      </c>
      <c r="B302" s="10" t="n">
        <v>1181.51371583591</v>
      </c>
      <c r="C302" s="11" t="n">
        <v>146.716052770108</v>
      </c>
      <c r="D302" s="10" t="n">
        <v>506.25</v>
      </c>
      <c r="E302" s="11" t="n">
        <v>12.6172952871429</v>
      </c>
      <c r="F302" s="11" t="n">
        <v>25.5165634736411</v>
      </c>
      <c r="G302" s="11" t="n">
        <v>51.7865585142857</v>
      </c>
      <c r="H302" s="11" t="n">
        <f aca="false">IF(B302="","",F302*1000/B302)</f>
        <v>21.5965021240472</v>
      </c>
      <c r="I302" s="12" t="n">
        <v>114121.46</v>
      </c>
      <c r="J302" s="12" t="n">
        <f aca="false">F302*24*1000000*Assumptions!$B$3/D302</f>
        <v>60483.7060115938</v>
      </c>
      <c r="K302" s="12" t="n">
        <f aca="false">J302/Assumptions!$B$4</f>
        <v>80644.9413487917</v>
      </c>
      <c r="L302" s="12" t="n">
        <f aca="false">J302/Assumptions!$B$5</f>
        <v>93051.8554024519</v>
      </c>
      <c r="M302" s="12" t="n">
        <f aca="false">E302*24*1000000*Assumptions!$B$3/D302/Assumptions!$B$5</f>
        <v>46011.7890813187</v>
      </c>
      <c r="N302" s="12" t="n">
        <f aca="false">G302*24*1000000*Assumptions!$B$3/D302/Assumptions!$B$5</f>
        <v>188851.267516484</v>
      </c>
      <c r="O302" s="12" t="n">
        <f aca="false">IF(ROW()&lt;8,"",AVERAGE(L296:L302))</f>
        <v>95580.8922226203</v>
      </c>
      <c r="P302" s="13" t="n">
        <f aca="false">IF(I302="","",I302/L302)</f>
        <v>1.22642863494147</v>
      </c>
    </row>
    <row r="303" customFormat="false" ht="15" hidden="false" customHeight="false" outlineLevel="0" collapsed="false">
      <c r="A303" s="9" t="n">
        <v>45959</v>
      </c>
      <c r="B303" s="10" t="n">
        <v>929.747081658896</v>
      </c>
      <c r="C303" s="11" t="n">
        <v>152.059512438754</v>
      </c>
      <c r="D303" s="10" t="n">
        <v>375</v>
      </c>
      <c r="E303" s="11" t="n">
        <v>12.3255370690571</v>
      </c>
      <c r="F303" s="11" t="n">
        <v>24.9265267881776</v>
      </c>
      <c r="G303" s="11" t="n">
        <v>50.5890630377143</v>
      </c>
      <c r="H303" s="11" t="n">
        <f aca="false">IF(B303="","",F303*1000/B303)</f>
        <v>26.8100080977964</v>
      </c>
      <c r="I303" s="12" t="n">
        <v>112923.91</v>
      </c>
      <c r="J303" s="12" t="n">
        <f aca="false">F303*24*1000000*Assumptions!$B$3/D303</f>
        <v>79764.8857221682</v>
      </c>
      <c r="K303" s="12" t="n">
        <f aca="false">J303/Assumptions!$B$4</f>
        <v>106353.180962891</v>
      </c>
      <c r="L303" s="12" t="n">
        <f aca="false">J303/Assumptions!$B$5</f>
        <v>122715.208803336</v>
      </c>
      <c r="M303" s="12" t="n">
        <f aca="false">E303*24*1000000*Assumptions!$B$3/D303/Assumptions!$B$5</f>
        <v>60679.5671092044</v>
      </c>
      <c r="N303" s="12" t="n">
        <f aca="false">G303*24*1000000*Assumptions!$B$3/D303/Assumptions!$B$5</f>
        <v>249053.848801055</v>
      </c>
      <c r="O303" s="12" t="n">
        <f aca="false">IF(ROW()&lt;8,"",AVERAGE(L297:L303))</f>
        <v>99659.2806534288</v>
      </c>
      <c r="P303" s="13" t="n">
        <f aca="false">IF(I303="","",I303/L303)</f>
        <v>0.920211203657508</v>
      </c>
    </row>
    <row r="304" customFormat="false" ht="15" hidden="false" customHeight="false" outlineLevel="0" collapsed="false">
      <c r="A304" s="9" t="n">
        <v>45960</v>
      </c>
      <c r="B304" s="10" t="n">
        <v>1240.55383766682</v>
      </c>
      <c r="C304" s="11" t="n">
        <v>155.973032196072</v>
      </c>
      <c r="D304" s="10" t="n">
        <v>487.5</v>
      </c>
      <c r="E304" s="11" t="n">
        <v>12.6507523220571</v>
      </c>
      <c r="F304" s="11" t="n">
        <v>25.584225245487</v>
      </c>
      <c r="G304" s="11" t="n">
        <v>51.9238799177143</v>
      </c>
      <c r="H304" s="11" t="n">
        <f aca="false">IF(B304="","",F304*1000/B304)</f>
        <v>20.6232284876927</v>
      </c>
      <c r="I304" s="12" t="n">
        <v>110068.52</v>
      </c>
      <c r="J304" s="12" t="n">
        <f aca="false">F304*24*1000000*Assumptions!$B$3/D304</f>
        <v>62976.5544504294</v>
      </c>
      <c r="K304" s="12" t="n">
        <f aca="false">J304/Assumptions!$B$4</f>
        <v>83968.7392672393</v>
      </c>
      <c r="L304" s="12" t="n">
        <f aca="false">J304/Assumptions!$B$5</f>
        <v>96887.0068468145</v>
      </c>
      <c r="M304" s="12" t="n">
        <f aca="false">E304*24*1000000*Assumptions!$B$3/D304/Assumptions!$B$5</f>
        <v>47908.1744740625</v>
      </c>
      <c r="N304" s="12" t="n">
        <f aca="false">G304*24*1000000*Assumptions!$B$3/D304/Assumptions!$B$5</f>
        <v>196634.811522705</v>
      </c>
      <c r="O304" s="12" t="n">
        <f aca="false">IF(ROW()&lt;8,"",AVERAGE(L298:L304))</f>
        <v>98794.0247183168</v>
      </c>
      <c r="P304" s="13" t="n">
        <f aca="false">IF(I304="","",I304/L304)</f>
        <v>1.13605037024238</v>
      </c>
    </row>
    <row r="305" customFormat="false" ht="15" hidden="false" customHeight="false" outlineLevel="0" collapsed="false">
      <c r="A305" s="9" t="n">
        <v>45961</v>
      </c>
      <c r="B305" s="10" t="n">
        <v>1085.48460795847</v>
      </c>
      <c r="C305" s="11" t="n">
        <v>155.973032196072</v>
      </c>
      <c r="D305" s="10" t="n">
        <v>459.375</v>
      </c>
      <c r="E305" s="11" t="n">
        <v>12.3015566102</v>
      </c>
      <c r="F305" s="11" t="n">
        <v>24.8780299521577</v>
      </c>
      <c r="G305" s="11" t="n">
        <v>50.490637392</v>
      </c>
      <c r="H305" s="11" t="n">
        <f aca="false">IF(B305="","",F305*1000/B305)</f>
        <v>22.918823325323</v>
      </c>
      <c r="I305" s="12" t="n">
        <v>108303.21</v>
      </c>
      <c r="J305" s="12" t="n">
        <f aca="false">F305*24*1000000*Assumptions!$B$3/D305</f>
        <v>64987.5068137996</v>
      </c>
      <c r="K305" s="12" t="n">
        <f aca="false">J305/Assumptions!$B$4</f>
        <v>86650.0090850661</v>
      </c>
      <c r="L305" s="12" t="n">
        <f aca="false">J305/Assumptions!$B$5</f>
        <v>99980.7797135379</v>
      </c>
      <c r="M305" s="12" t="n">
        <f aca="false">E305*24*1000000*Assumptions!$B$3/D305/Assumptions!$B$5</f>
        <v>49437.9669106939</v>
      </c>
      <c r="N305" s="12" t="n">
        <f aca="false">G305*24*1000000*Assumptions!$B$3/D305/Assumptions!$B$5</f>
        <v>202913.707572245</v>
      </c>
      <c r="O305" s="12" t="n">
        <f aca="false">IF(ROW()&lt;8,"",AVERAGE(L299:L305))</f>
        <v>101189.831168635</v>
      </c>
      <c r="P305" s="13" t="n">
        <f aca="false">IF(I305="","",I305/L305)</f>
        <v>1.0832403018891</v>
      </c>
    </row>
    <row r="306" customFormat="false" ht="15" hidden="false" customHeight="false" outlineLevel="0" collapsed="false">
      <c r="A306" s="9" t="n">
        <v>45962</v>
      </c>
      <c r="B306" s="10" t="n">
        <v>1069.97768498764</v>
      </c>
      <c r="C306" s="11" t="n">
        <v>155.973032196072</v>
      </c>
      <c r="D306" s="10" t="n">
        <v>409.375</v>
      </c>
      <c r="E306" s="11" t="n">
        <v>12.147683999</v>
      </c>
      <c r="F306" s="11" t="n">
        <v>24.5752445325995</v>
      </c>
      <c r="G306" s="11" t="n">
        <v>49.85908104</v>
      </c>
      <c r="H306" s="11" t="n">
        <f aca="false">IF(B306="","",F306*1000/B306)</f>
        <v>22.9679972558339</v>
      </c>
      <c r="I306" s="12" t="n">
        <v>109552.54</v>
      </c>
      <c r="J306" s="12" t="n">
        <f aca="false">F306*24*1000000*Assumptions!$B$3/D306</f>
        <v>72037.3580192231</v>
      </c>
      <c r="K306" s="12" t="n">
        <f aca="false">J306/Assumptions!$B$4</f>
        <v>96049.8106922974</v>
      </c>
      <c r="L306" s="12" t="n">
        <f aca="false">J306/Assumptions!$B$5</f>
        <v>110826.704644959</v>
      </c>
      <c r="M306" s="12" t="n">
        <f aca="false">E306*24*1000000*Assumptions!$B$3/D306/Assumptions!$B$5</f>
        <v>54782.2742879154</v>
      </c>
      <c r="N306" s="12" t="n">
        <f aca="false">G306*24*1000000*Assumptions!$B$3/D306/Assumptions!$B$5</f>
        <v>224848.938571462</v>
      </c>
      <c r="O306" s="12" t="n">
        <f aca="false">IF(ROW()&lt;8,"",AVERAGE(L300:L306))</f>
        <v>103785.194691651</v>
      </c>
      <c r="P306" s="13" t="n">
        <f aca="false">IF(I306="","",I306/L306)</f>
        <v>0.988503090035561</v>
      </c>
    </row>
    <row r="307" customFormat="false" ht="15" hidden="false" customHeight="false" outlineLevel="0" collapsed="false">
      <c r="A307" s="9" t="n">
        <v>45963</v>
      </c>
      <c r="B307" s="10" t="n">
        <v>1201.78653023973</v>
      </c>
      <c r="C307" s="11" t="n">
        <v>155.973032196072</v>
      </c>
      <c r="D307" s="10" t="n">
        <v>500</v>
      </c>
      <c r="E307" s="11" t="n">
        <v>12.353492305</v>
      </c>
      <c r="F307" s="11" t="n">
        <v>25.0008937478388</v>
      </c>
      <c r="G307" s="11" t="n">
        <v>50.7038028</v>
      </c>
      <c r="H307" s="11" t="n">
        <f aca="false">IF(B307="","",F307*1000/B307)</f>
        <v>20.8031069734586</v>
      </c>
      <c r="I307" s="12" t="n">
        <v>110047.16</v>
      </c>
      <c r="J307" s="12" t="n">
        <f aca="false">F307*24*1000000*Assumptions!$B$3/D307</f>
        <v>60002.1449948132</v>
      </c>
      <c r="K307" s="12" t="n">
        <f aca="false">J307/Assumptions!$B$4</f>
        <v>80002.8599930843</v>
      </c>
      <c r="L307" s="12" t="n">
        <f aca="false">J307/Assumptions!$B$5</f>
        <v>92310.9922997126</v>
      </c>
      <c r="M307" s="12" t="n">
        <f aca="false">E307*24*1000000*Assumptions!$B$3/D307/Assumptions!$B$5</f>
        <v>45612.8946646154</v>
      </c>
      <c r="N307" s="12" t="n">
        <f aca="false">G307*24*1000000*Assumptions!$B$3/D307/Assumptions!$B$5</f>
        <v>187214.041107692</v>
      </c>
      <c r="O307" s="12" t="n">
        <f aca="false">IF(ROW()&lt;8,"",AVERAGE(L301:L307))</f>
        <v>102357.896715429</v>
      </c>
      <c r="P307" s="13" t="n">
        <f aca="false">IF(I307="","",I307/L307)</f>
        <v>1.19213494794533</v>
      </c>
    </row>
    <row r="308" customFormat="false" ht="15" hidden="false" customHeight="false" outlineLevel="0" collapsed="false">
      <c r="A308" s="9" t="n">
        <v>45964</v>
      </c>
      <c r="B308" s="10" t="n">
        <v>1100.99153092931</v>
      </c>
      <c r="C308" s="11" t="n">
        <v>155.973032196072</v>
      </c>
      <c r="D308" s="10" t="n">
        <v>450</v>
      </c>
      <c r="E308" s="11" t="n">
        <v>12.3993245467143</v>
      </c>
      <c r="F308" s="11" t="n">
        <v>25.1022244999297</v>
      </c>
      <c r="G308" s="11" t="n">
        <v>50.8919171314286</v>
      </c>
      <c r="H308" s="11" t="n">
        <f aca="false">IF(B308="","",F308*1000/B308)</f>
        <v>22.7996526719346</v>
      </c>
      <c r="I308" s="12" t="n">
        <v>110601.99</v>
      </c>
      <c r="J308" s="12" t="n">
        <f aca="false">F308*24*1000000*Assumptions!$B$3/D308</f>
        <v>66939.2653331458</v>
      </c>
      <c r="K308" s="12" t="n">
        <f aca="false">J308/Assumptions!$B$4</f>
        <v>89252.3537775278</v>
      </c>
      <c r="L308" s="12" t="n">
        <f aca="false">J308/Assumptions!$B$5</f>
        <v>102983.485127917</v>
      </c>
      <c r="M308" s="12" t="n">
        <f aca="false">E308*24*1000000*Assumptions!$B$3/D308/Assumptions!$B$5</f>
        <v>50869.023781392</v>
      </c>
      <c r="N308" s="12" t="n">
        <f aca="false">G308*24*1000000*Assumptions!$B$3/D308/Assumptions!$B$5</f>
        <v>208787.352334066</v>
      </c>
      <c r="O308" s="12" t="n">
        <f aca="false">IF(ROW()&lt;8,"",AVERAGE(L302:L308))</f>
        <v>102679.433262675</v>
      </c>
      <c r="P308" s="13" t="n">
        <f aca="false">IF(I308="","",I308/L308)</f>
        <v>1.07397792823403</v>
      </c>
    </row>
    <row r="309" customFormat="false" ht="15" hidden="false" customHeight="false" outlineLevel="0" collapsed="false">
      <c r="A309" s="9" t="n">
        <v>45965</v>
      </c>
      <c r="B309" s="10" t="n">
        <v>1015.70345458971</v>
      </c>
      <c r="C309" s="11" t="n">
        <v>155.973032196072</v>
      </c>
      <c r="D309" s="10" t="n">
        <v>409.375</v>
      </c>
      <c r="E309" s="11" t="n">
        <v>12.1361599134286</v>
      </c>
      <c r="F309" s="11" t="n">
        <v>24.5779865498429</v>
      </c>
      <c r="G309" s="11" t="n">
        <v>49.8117814628571</v>
      </c>
      <c r="H309" s="11" t="n">
        <f aca="false">IF(B309="","",F309*1000/B309)</f>
        <v>24.197994442946</v>
      </c>
      <c r="I309" s="12" t="n">
        <v>106533.38</v>
      </c>
      <c r="J309" s="12" t="n">
        <f aca="false">F309*24*1000000*Assumptions!$B$3/D309</f>
        <v>72045.3956880891</v>
      </c>
      <c r="K309" s="12" t="n">
        <f aca="false">J309/Assumptions!$B$4</f>
        <v>96060.5275841188</v>
      </c>
      <c r="L309" s="12" t="n">
        <f aca="false">J309/Assumptions!$B$5</f>
        <v>110839.070289368</v>
      </c>
      <c r="M309" s="12" t="n">
        <f aca="false">E309*24*1000000*Assumptions!$B$3/D309/Assumptions!$B$5</f>
        <v>54730.3042484624</v>
      </c>
      <c r="N309" s="12" t="n">
        <f aca="false">G309*24*1000000*Assumptions!$B$3/D309/Assumptions!$B$5</f>
        <v>224635.632198909</v>
      </c>
      <c r="O309" s="12" t="n">
        <f aca="false">IF(ROW()&lt;8,"",AVERAGE(L303:L309))</f>
        <v>105220.463960806</v>
      </c>
      <c r="P309" s="13" t="n">
        <f aca="false">IF(I309="","",I309/L309)</f>
        <v>0.961153677325812</v>
      </c>
    </row>
    <row r="310" customFormat="false" ht="15" hidden="false" customHeight="false" outlineLevel="0" collapsed="false">
      <c r="A310" s="9" t="n">
        <v>45966</v>
      </c>
      <c r="B310" s="10" t="n">
        <v>1069.97768498764</v>
      </c>
      <c r="C310" s="11" t="n">
        <v>155.973032196072</v>
      </c>
      <c r="D310" s="10" t="n">
        <v>431.25</v>
      </c>
      <c r="E310" s="11" t="n">
        <v>12.3550740833143</v>
      </c>
      <c r="F310" s="11" t="n">
        <v>25.0291057782485</v>
      </c>
      <c r="G310" s="11" t="n">
        <v>50.7102950674286</v>
      </c>
      <c r="H310" s="11" t="n">
        <f aca="false">IF(B310="","",F310*1000/B310)</f>
        <v>23.3921754905924</v>
      </c>
      <c r="I310" s="12" t="n">
        <v>101523.49</v>
      </c>
      <c r="J310" s="12" t="n">
        <f aca="false">F310*24*1000000*Assumptions!$B$3/D310</f>
        <v>69646.2073829524</v>
      </c>
      <c r="K310" s="12" t="n">
        <f aca="false">J310/Assumptions!$B$4</f>
        <v>92861.6098439365</v>
      </c>
      <c r="L310" s="12" t="n">
        <f aca="false">J310/Assumptions!$B$5</f>
        <v>107148.011358388</v>
      </c>
      <c r="M310" s="12" t="n">
        <f aca="false">E310*24*1000000*Assumptions!$B$3/D310/Assumptions!$B$5</f>
        <v>52891.2870456264</v>
      </c>
      <c r="N310" s="12" t="n">
        <f aca="false">G310*24*1000000*Assumptions!$B$3/D310/Assumptions!$B$5</f>
        <v>217087.55079033</v>
      </c>
      <c r="O310" s="12" t="n">
        <f aca="false">IF(ROW()&lt;8,"",AVERAGE(L304:L310))</f>
        <v>102996.578611528</v>
      </c>
      <c r="P310" s="13" t="n">
        <f aca="false">IF(I310="","",I310/L310)</f>
        <v>0.947506992550936</v>
      </c>
    </row>
    <row r="311" customFormat="false" ht="15" hidden="false" customHeight="false" outlineLevel="0" collapsed="false">
      <c r="A311" s="9" t="n">
        <v>45967</v>
      </c>
      <c r="B311" s="10" t="n">
        <v>1085.48460795847</v>
      </c>
      <c r="C311" s="11" t="n">
        <v>155.973032196072</v>
      </c>
      <c r="D311" s="10" t="n">
        <v>437.5</v>
      </c>
      <c r="E311" s="11" t="n">
        <v>12.1089567927429</v>
      </c>
      <c r="F311" s="11" t="n">
        <v>24.5102948541067</v>
      </c>
      <c r="G311" s="11" t="n">
        <v>49.6244122386665</v>
      </c>
      <c r="H311" s="11" t="n">
        <f aca="false">IF(B311="","",F311*1000/B311)</f>
        <v>22.58004827927</v>
      </c>
      <c r="I311" s="12" t="n">
        <v>103883.58</v>
      </c>
      <c r="J311" s="12" t="n">
        <f aca="false">F311*24*1000000*Assumptions!$B$3/D311</f>
        <v>67228.2373141212</v>
      </c>
      <c r="K311" s="12" t="n">
        <f aca="false">J311/Assumptions!$B$4</f>
        <v>89637.6497521616</v>
      </c>
      <c r="L311" s="12" t="n">
        <f aca="false">J311/Assumptions!$B$5</f>
        <v>103428.05740634</v>
      </c>
      <c r="M311" s="12" t="n">
        <f aca="false">E311*24*1000000*Assumptions!$B$3/D311/Assumptions!$B$5</f>
        <v>51097.1363561897</v>
      </c>
      <c r="N311" s="12" t="n">
        <f aca="false">G311*24*1000000*Assumptions!$B$3/D311/Assumptions!$B$5</f>
        <v>209404.113182944</v>
      </c>
      <c r="O311" s="12" t="n">
        <f aca="false">IF(ROW()&lt;8,"",AVERAGE(L305:L311))</f>
        <v>103931.014405746</v>
      </c>
      <c r="P311" s="13" t="n">
        <f aca="false">IF(I311="","",I311/L311)</f>
        <v>1.00440424586019</v>
      </c>
    </row>
    <row r="312" customFormat="false" ht="15" hidden="false" customHeight="false" outlineLevel="0" collapsed="false">
      <c r="A312" s="9" t="n">
        <v>45968</v>
      </c>
      <c r="B312" s="10" t="n">
        <v>1100.99153092931</v>
      </c>
      <c r="C312" s="11" t="n">
        <v>155.973032196072</v>
      </c>
      <c r="D312" s="10" t="n">
        <v>443.75</v>
      </c>
      <c r="E312" s="11" t="n">
        <v>12.1335686170286</v>
      </c>
      <c r="F312" s="11" t="n">
        <v>24.4935925026376</v>
      </c>
      <c r="G312" s="11" t="n">
        <v>49.3668206072379</v>
      </c>
      <c r="H312" s="11" t="n">
        <f aca="false">IF(B312="","",F312*1000/B312)</f>
        <v>22.2468491487518</v>
      </c>
      <c r="I312" s="12" t="n">
        <v>101282.56</v>
      </c>
      <c r="J312" s="12" t="n">
        <f aca="false">F312*24*1000000*Assumptions!$B$3/D312</f>
        <v>66236.1938099495</v>
      </c>
      <c r="K312" s="12" t="n">
        <f aca="false">J312/Assumptions!$B$4</f>
        <v>88314.9250799326</v>
      </c>
      <c r="L312" s="12" t="n">
        <f aca="false">J312/Assumptions!$B$5</f>
        <v>101901.836630691</v>
      </c>
      <c r="M312" s="12" t="n">
        <f aca="false">E312*24*1000000*Assumptions!$B$3/D312/Assumptions!$B$5</f>
        <v>50479.8521011806</v>
      </c>
      <c r="N312" s="12" t="n">
        <f aca="false">G312*24*1000000*Assumptions!$B$3/D312/Assumptions!$B$5</f>
        <v>205383.088983525</v>
      </c>
      <c r="O312" s="12" t="n">
        <f aca="false">IF(ROW()&lt;8,"",AVERAGE(L306:L312))</f>
        <v>104205.451108197</v>
      </c>
      <c r="P312" s="13" t="n">
        <f aca="false">IF(I312="","",I312/L312)</f>
        <v>0.993922811882814</v>
      </c>
    </row>
    <row r="313" customFormat="false" ht="15" hidden="false" customHeight="false" outlineLevel="0" collapsed="false">
      <c r="A313" s="9" t="n">
        <v>45969</v>
      </c>
      <c r="B313" s="10" t="n">
        <v>930.415378250117</v>
      </c>
      <c r="C313" s="11" t="n">
        <v>155.973032196072</v>
      </c>
      <c r="D313" s="10" t="n">
        <v>375</v>
      </c>
      <c r="E313" s="11" t="n">
        <v>11.9120633094571</v>
      </c>
      <c r="F313" s="11" t="n">
        <v>23.9810561660914</v>
      </c>
      <c r="G313" s="11" t="n">
        <v>48.1546223356951</v>
      </c>
      <c r="H313" s="11" t="n">
        <f aca="false">IF(B313="","",F313*1000/B313)</f>
        <v>25.7745698606077</v>
      </c>
      <c r="I313" s="12" t="n">
        <v>103328.81</v>
      </c>
      <c r="J313" s="12" t="n">
        <f aca="false">F313*24*1000000*Assumptions!$B$3/D313</f>
        <v>76739.3797314924</v>
      </c>
      <c r="K313" s="12" t="n">
        <f aca="false">J313/Assumptions!$B$4</f>
        <v>102319.172975323</v>
      </c>
      <c r="L313" s="12" t="n">
        <f aca="false">J313/Assumptions!$B$5</f>
        <v>118060.584202296</v>
      </c>
      <c r="M313" s="12" t="n">
        <f aca="false">E313*24*1000000*Assumptions!$B$3/D313/Assumptions!$B$5</f>
        <v>58644.0039850198</v>
      </c>
      <c r="N313" s="12" t="n">
        <f aca="false">G313*24*1000000*Assumptions!$B$3/D313/Assumptions!$B$5</f>
        <v>237068.909960345</v>
      </c>
      <c r="O313" s="12" t="n">
        <f aca="false">IF(ROW()&lt;8,"",AVERAGE(L307:L313))</f>
        <v>105238.86247353</v>
      </c>
      <c r="P313" s="13" t="n">
        <f aca="false">IF(I313="","",I313/L313)</f>
        <v>0.875218521898441</v>
      </c>
    </row>
    <row r="314" customFormat="false" ht="15" hidden="false" customHeight="false" outlineLevel="0" collapsed="false">
      <c r="A314" s="9" t="n">
        <v>45970</v>
      </c>
      <c r="B314" s="10" t="n">
        <v>1093.23806944389</v>
      </c>
      <c r="C314" s="11" t="n">
        <v>155.973032196072</v>
      </c>
      <c r="D314" s="10" t="n">
        <v>440.625</v>
      </c>
      <c r="E314" s="11" t="n">
        <v>11.7397813330286</v>
      </c>
      <c r="F314" s="11" t="n">
        <v>23.55720097582</v>
      </c>
      <c r="G314" s="11" t="n">
        <v>47.0914231585522</v>
      </c>
      <c r="H314" s="11" t="n">
        <f aca="false">IF(B314="","",F314*1000/B314)</f>
        <v>21.5480979250962</v>
      </c>
      <c r="I314" s="12" t="n">
        <v>102280.42</v>
      </c>
      <c r="J314" s="12" t="n">
        <f aca="false">F314*24*1000000*Assumptions!$B$3/D314</f>
        <v>64155.7813809565</v>
      </c>
      <c r="K314" s="12" t="n">
        <f aca="false">J314/Assumptions!$B$4</f>
        <v>85541.0418412754</v>
      </c>
      <c r="L314" s="12" t="n">
        <f aca="false">J314/Assumptions!$B$5</f>
        <v>98701.2021245485</v>
      </c>
      <c r="M314" s="12" t="n">
        <f aca="false">E314*24*1000000*Assumptions!$B$3/D314/Assumptions!$B$5</f>
        <v>49187.9545213636</v>
      </c>
      <c r="N314" s="12" t="n">
        <f aca="false">G314*24*1000000*Assumptions!$B$3/D314/Assumptions!$B$5</f>
        <v>197306.126490824</v>
      </c>
      <c r="O314" s="12" t="n">
        <f aca="false">IF(ROW()&lt;8,"",AVERAGE(L308:L314))</f>
        <v>106151.749591364</v>
      </c>
      <c r="P314" s="13" t="n">
        <f aca="false">IF(I314="","",I314/L314)</f>
        <v>1.03626316395757</v>
      </c>
    </row>
    <row r="315" customFormat="false" ht="15" hidden="false" customHeight="false" outlineLevel="0" collapsed="false">
      <c r="A315" s="9" t="n">
        <v>45971</v>
      </c>
      <c r="B315" s="10" t="n">
        <v>1085.48460795847</v>
      </c>
      <c r="C315" s="11" t="n">
        <v>155.973032196072</v>
      </c>
      <c r="D315" s="10" t="n">
        <v>437.5</v>
      </c>
      <c r="E315" s="11" t="n">
        <v>11.7151695087429</v>
      </c>
      <c r="F315" s="11" t="n">
        <v>23.4332455537237</v>
      </c>
      <c r="G315" s="11" t="n">
        <v>46.6368483214094</v>
      </c>
      <c r="H315" s="11" t="n">
        <f aca="false">IF(B315="","",F315*1000/B315)</f>
        <v>21.5878192854304</v>
      </c>
      <c r="I315" s="12" t="n">
        <v>104712.19</v>
      </c>
      <c r="J315" s="12" t="n">
        <f aca="false">F315*24*1000000*Assumptions!$B$3/D315</f>
        <v>64274.0449473564</v>
      </c>
      <c r="K315" s="12" t="n">
        <f aca="false">J315/Assumptions!$B$4</f>
        <v>85698.7265964752</v>
      </c>
      <c r="L315" s="12" t="n">
        <f aca="false">J315/Assumptions!$B$5</f>
        <v>98883.1460728561</v>
      </c>
      <c r="M315" s="12" t="n">
        <f aca="false">E315*24*1000000*Assumptions!$B$3/D315/Assumptions!$B$5</f>
        <v>49435.4405643655</v>
      </c>
      <c r="N315" s="12" t="n">
        <f aca="false">G315*24*1000000*Assumptions!$B$3/D315/Assumptions!$B$5</f>
        <v>196797.250059574</v>
      </c>
      <c r="O315" s="12" t="n">
        <f aca="false">IF(ROW()&lt;8,"",AVERAGE(L309:L315))</f>
        <v>105565.986869213</v>
      </c>
      <c r="P315" s="13" t="n">
        <f aca="false">IF(I315="","",I315/L315)</f>
        <v>1.05894881138641</v>
      </c>
    </row>
    <row r="316" customFormat="false" ht="15" hidden="false" customHeight="false" outlineLevel="0" collapsed="false">
      <c r="A316" s="9" t="n">
        <v>45972</v>
      </c>
      <c r="B316" s="10" t="n">
        <v>1186.2796072689</v>
      </c>
      <c r="C316" s="11" t="n">
        <v>155.973032196072</v>
      </c>
      <c r="D316" s="10" t="n">
        <v>478.125</v>
      </c>
      <c r="E316" s="11" t="n">
        <v>11.9858983061714</v>
      </c>
      <c r="F316" s="11" t="n">
        <v>23.8860258804284</v>
      </c>
      <c r="G316" s="11" t="n">
        <v>47.137943772838</v>
      </c>
      <c r="H316" s="11" t="n">
        <f aca="false">IF(B316="","",F316*1000/B316)</f>
        <v>20.1352410798157</v>
      </c>
      <c r="I316" s="12" t="n">
        <v>105962.29</v>
      </c>
      <c r="J316" s="12" t="n">
        <f aca="false">F316*24*1000000*Assumptions!$B$3/D316</f>
        <v>59949.2414253888</v>
      </c>
      <c r="K316" s="12" t="n">
        <f aca="false">J316/Assumptions!$B$4</f>
        <v>79932.3219005184</v>
      </c>
      <c r="L316" s="12" t="n">
        <f aca="false">J316/Assumptions!$B$5</f>
        <v>92229.6021929059</v>
      </c>
      <c r="M316" s="12" t="n">
        <f aca="false">E316*24*1000000*Assumptions!$B$3/D316/Assumptions!$B$5</f>
        <v>46280.391649772</v>
      </c>
      <c r="N316" s="12" t="n">
        <f aca="false">G316*24*1000000*Assumptions!$B$3/D316/Assumptions!$B$5</f>
        <v>182010.763285769</v>
      </c>
      <c r="O316" s="12" t="n">
        <f aca="false">IF(ROW()&lt;8,"",AVERAGE(L310:L316))</f>
        <v>102907.491426861</v>
      </c>
      <c r="P316" s="13" t="n">
        <f aca="false">IF(I316="","",I316/L316)</f>
        <v>1.14889674768813</v>
      </c>
    </row>
    <row r="317" customFormat="false" ht="15" hidden="false" customHeight="false" outlineLevel="0" collapsed="false">
      <c r="A317" s="9" t="n">
        <v>45973</v>
      </c>
      <c r="B317" s="10" t="n">
        <v>1086.61375034943</v>
      </c>
      <c r="C317" s="11" t="n">
        <v>155.027936004972</v>
      </c>
      <c r="D317" s="10" t="n">
        <v>440.625</v>
      </c>
      <c r="E317" s="11" t="n">
        <v>12.0108419068</v>
      </c>
      <c r="F317" s="11" t="n">
        <v>23.8486730083404</v>
      </c>
      <c r="G317" s="11" t="n">
        <v>46.6819657876951</v>
      </c>
      <c r="H317" s="11" t="n">
        <f aca="false">IF(B317="","",F317*1000/B317)</f>
        <v>21.9477003679285</v>
      </c>
      <c r="I317" s="12" t="n">
        <v>103017.87</v>
      </c>
      <c r="J317" s="12" t="n">
        <f aca="false">F317*24*1000000*Assumptions!$B$3/D317</f>
        <v>64949.5775546291</v>
      </c>
      <c r="K317" s="12" t="n">
        <f aca="false">J317/Assumptions!$B$4</f>
        <v>86599.4367395055</v>
      </c>
      <c r="L317" s="12" t="n">
        <f aca="false">J317/Assumptions!$B$5</f>
        <v>99922.4270071217</v>
      </c>
      <c r="M317" s="12" t="n">
        <f aca="false">E317*24*1000000*Assumptions!$B$3/D317/Assumptions!$B$5</f>
        <v>50323.6583983764</v>
      </c>
      <c r="N317" s="12" t="n">
        <f aca="false">G317*24*1000000*Assumptions!$B$3/D317/Assumptions!$B$5</f>
        <v>195590.560419803</v>
      </c>
      <c r="O317" s="12" t="n">
        <f aca="false">IF(ROW()&lt;8,"",AVERAGE(L311:L317))</f>
        <v>101875.265090966</v>
      </c>
      <c r="P317" s="13" t="n">
        <f aca="false">IF(I317="","",I317/L317)</f>
        <v>1.03097846084801</v>
      </c>
    </row>
    <row r="318" customFormat="false" ht="15" hidden="false" customHeight="false" outlineLevel="0" collapsed="false">
      <c r="A318" s="9" t="n">
        <v>45974</v>
      </c>
      <c r="B318" s="10" t="n">
        <v>1086.61375034943</v>
      </c>
      <c r="C318" s="11" t="n">
        <v>155.027936004972</v>
      </c>
      <c r="D318" s="10" t="n">
        <v>468.75</v>
      </c>
      <c r="E318" s="11" t="n">
        <v>12.0900933459429</v>
      </c>
      <c r="F318" s="11" t="n">
        <v>23.9469877117764</v>
      </c>
      <c r="G318" s="11" t="n">
        <v>46.4990334678857</v>
      </c>
      <c r="H318" s="11" t="n">
        <f aca="false">IF(B318="","",F318*1000/B318)</f>
        <v>22.0381784273167</v>
      </c>
      <c r="I318" s="12" t="n">
        <v>101659.07</v>
      </c>
      <c r="J318" s="12" t="n">
        <f aca="false">F318*24*1000000*Assumptions!$B$3/D318</f>
        <v>61304.2885421477</v>
      </c>
      <c r="K318" s="12" t="n">
        <f aca="false">J318/Assumptions!$B$4</f>
        <v>81739.0513895303</v>
      </c>
      <c r="L318" s="12" t="n">
        <f aca="false">J318/Assumptions!$B$5</f>
        <v>94314.2900648426</v>
      </c>
      <c r="M318" s="12" t="n">
        <f aca="false">E318*24*1000000*Assumptions!$B$3/D318/Assumptions!$B$5</f>
        <v>47616.3676394057</v>
      </c>
      <c r="N318" s="12" t="n">
        <f aca="false">G318*24*1000000*Assumptions!$B$3/D318/Assumptions!$B$5</f>
        <v>183134.654888904</v>
      </c>
      <c r="O318" s="12" t="n">
        <f aca="false">IF(ROW()&lt;8,"",AVERAGE(L312:L318))</f>
        <v>100573.298327895</v>
      </c>
      <c r="P318" s="13" t="n">
        <f aca="false">IF(I318="","",I318/L318)</f>
        <v>1.07787557887684</v>
      </c>
    </row>
    <row r="319" customFormat="false" ht="15" hidden="false" customHeight="false" outlineLevel="0" collapsed="false">
      <c r="A319" s="9" t="n">
        <v>45975</v>
      </c>
      <c r="B319" s="10" t="n">
        <v>1086.61375034943</v>
      </c>
      <c r="C319" s="11" t="n">
        <v>155.027936004972</v>
      </c>
      <c r="D319" s="10" t="n">
        <v>450</v>
      </c>
      <c r="E319" s="11" t="n">
        <v>12.0726501698</v>
      </c>
      <c r="F319" s="11" t="n">
        <v>23.8984736005154</v>
      </c>
      <c r="G319" s="11" t="n">
        <v>46.2254761278857</v>
      </c>
      <c r="H319" s="11" t="n">
        <f aca="false">IF(B319="","",F319*1000/B319)</f>
        <v>21.9935313655199</v>
      </c>
      <c r="I319" s="12" t="n">
        <v>99675.15</v>
      </c>
      <c r="J319" s="12" t="n">
        <f aca="false">F319*24*1000000*Assumptions!$B$3/D319</f>
        <v>63729.2629347077</v>
      </c>
      <c r="K319" s="12" t="n">
        <f aca="false">J319/Assumptions!$B$4</f>
        <v>84972.3505796102</v>
      </c>
      <c r="L319" s="12" t="n">
        <f aca="false">J319/Assumptions!$B$5</f>
        <v>98045.0198995502</v>
      </c>
      <c r="M319" s="12" t="n">
        <f aca="false">E319*24*1000000*Assumptions!$B$3/D319/Assumptions!$B$5</f>
        <v>49528.8212094359</v>
      </c>
      <c r="N319" s="12" t="n">
        <f aca="false">G319*24*1000000*Assumptions!$B$3/D319/Assumptions!$B$5</f>
        <v>189642.978986198</v>
      </c>
      <c r="O319" s="12" t="n">
        <f aca="false">IF(ROW()&lt;8,"",AVERAGE(L313:L319))</f>
        <v>100022.32450916</v>
      </c>
      <c r="P319" s="13" t="n">
        <f aca="false">IF(I319="","",I319/L319)</f>
        <v>1.01662634269563</v>
      </c>
    </row>
    <row r="320" customFormat="false" ht="15" hidden="false" customHeight="false" outlineLevel="0" collapsed="false">
      <c r="A320" s="9" t="n">
        <v>45976</v>
      </c>
      <c r="B320" s="10"/>
      <c r="C320" s="11"/>
      <c r="D320" s="10" t="n">
        <v>446.875</v>
      </c>
      <c r="E320" s="11" t="n">
        <v>12.313921818</v>
      </c>
      <c r="F320" s="11" t="n">
        <v>24.3634253994924</v>
      </c>
      <c r="G320" s="11" t="n">
        <v>46.9621244142857</v>
      </c>
      <c r="H320" s="11" t="str">
        <f aca="false">IF(B320="","",F320*1000/B320)</f>
        <v/>
      </c>
      <c r="I320" s="12" t="n">
        <v>94399.23</v>
      </c>
      <c r="J320" s="12" t="n">
        <f aca="false">F320*24*1000000*Assumptions!$B$3/D320</f>
        <v>65423.4640098257</v>
      </c>
      <c r="K320" s="12" t="n">
        <f aca="false">J320/Assumptions!$B$4</f>
        <v>87231.2853464342</v>
      </c>
      <c r="L320" s="12" t="n">
        <f aca="false">J320/Assumptions!$B$5</f>
        <v>100651.483092039</v>
      </c>
      <c r="M320" s="12" t="n">
        <f aca="false">E320*24*1000000*Assumptions!$B$3/D320/Assumptions!$B$5</f>
        <v>50871.9309102959</v>
      </c>
      <c r="N320" s="12" t="n">
        <f aca="false">G320*24*1000000*Assumptions!$B$3/D320/Assumptions!$B$5</f>
        <v>194012.434374241</v>
      </c>
      <c r="O320" s="12" t="n">
        <f aca="false">IF(ROW()&lt;8,"",AVERAGE(L314:L320))</f>
        <v>97535.3100648378</v>
      </c>
      <c r="P320" s="13" t="n">
        <f aca="false">IF(I320="","",I320/L320)</f>
        <v>0.937882156328266</v>
      </c>
    </row>
    <row r="321" customFormat="false" ht="15" hidden="false" customHeight="false" outlineLevel="0" collapsed="false">
      <c r="A321" s="9" t="n">
        <v>45977</v>
      </c>
      <c r="B321" s="10" t="n">
        <v>1203.54296684755</v>
      </c>
      <c r="C321" s="11" t="n">
        <v>152.271405447596</v>
      </c>
      <c r="D321" s="10" t="n">
        <v>496.875</v>
      </c>
      <c r="E321" s="11" t="n">
        <v>12.4889914521429</v>
      </c>
      <c r="F321" s="11" t="n">
        <v>24.6954675345746</v>
      </c>
      <c r="G321" s="11" t="n">
        <v>47.4178003628572</v>
      </c>
      <c r="H321" s="11" t="n">
        <f aca="false">IF(B321="","",F321*1000/B321)</f>
        <v>20.5189745732632</v>
      </c>
      <c r="I321" s="12" t="n">
        <v>95534.16</v>
      </c>
      <c r="J321" s="12" t="n">
        <f aca="false">F321*24*1000000*Assumptions!$B$3/D321</f>
        <v>59641.8838570858</v>
      </c>
      <c r="K321" s="12" t="n">
        <f aca="false">J321/Assumptions!$B$4</f>
        <v>79522.5118094477</v>
      </c>
      <c r="L321" s="12" t="n">
        <f aca="false">J321/Assumptions!$B$5</f>
        <v>91756.7443955166</v>
      </c>
      <c r="M321" s="12" t="n">
        <f aca="false">E321*24*1000000*Assumptions!$B$3/D321/Assumptions!$B$5</f>
        <v>46403.2193287166</v>
      </c>
      <c r="N321" s="12" t="n">
        <f aca="false">G321*24*1000000*Assumptions!$B$3/D321/Assumptions!$B$5</f>
        <v>176182.248082604</v>
      </c>
      <c r="O321" s="12" t="n">
        <f aca="false">IF(ROW()&lt;8,"",AVERAGE(L315:L321))</f>
        <v>96543.2446749761</v>
      </c>
      <c r="P321" s="13" t="n">
        <f aca="false">IF(I321="","",I321/L321)</f>
        <v>1.04116771611034</v>
      </c>
    </row>
    <row r="322" customFormat="false" ht="15" hidden="false" customHeight="false" outlineLevel="0" collapsed="false">
      <c r="A322" s="9" t="n">
        <v>45978</v>
      </c>
      <c r="B322" s="10" t="n">
        <v>938.612125088655</v>
      </c>
      <c r="C322" s="11" t="n">
        <v>152.271405447597</v>
      </c>
      <c r="D322" s="10" t="n">
        <v>387.5</v>
      </c>
      <c r="E322" s="11" t="n">
        <v>12.2558839715714</v>
      </c>
      <c r="F322" s="11" t="n">
        <v>24.1983045700792</v>
      </c>
      <c r="G322" s="11" t="n">
        <v>46.2381831983376</v>
      </c>
      <c r="H322" s="11" t="n">
        <f aca="false">IF(B322="","",F322*1000/B322)</f>
        <v>25.7809418004201</v>
      </c>
      <c r="I322" s="12" t="n">
        <v>94187.75</v>
      </c>
      <c r="J322" s="12" t="n">
        <f aca="false">F322*24*1000000*Assumptions!$B$3/D322</f>
        <v>74936.6851202453</v>
      </c>
      <c r="K322" s="12" t="n">
        <f aca="false">J322/Assumptions!$B$4</f>
        <v>99915.580160327</v>
      </c>
      <c r="L322" s="12" t="n">
        <f aca="false">J322/Assumptions!$B$5</f>
        <v>115287.2078773</v>
      </c>
      <c r="M322" s="12" t="n">
        <f aca="false">E322*24*1000000*Assumptions!$B$3/D322/Assumptions!$B$5</f>
        <v>58390.3156958242</v>
      </c>
      <c r="N322" s="12" t="n">
        <f aca="false">G322*24*1000000*Assumptions!$B$3/D322/Assumptions!$B$5</f>
        <v>220291.096131038</v>
      </c>
      <c r="O322" s="12" t="n">
        <f aca="false">IF(ROW()&lt;8,"",AVERAGE(L316:L322))</f>
        <v>98886.682075611</v>
      </c>
      <c r="P322" s="13" t="n">
        <f aca="false">IF(I322="","",I322/L322)</f>
        <v>0.816983529519108</v>
      </c>
    </row>
    <row r="323" customFormat="false" ht="15" hidden="false" customHeight="false" outlineLevel="0" collapsed="false">
      <c r="A323" s="9" t="n">
        <v>45979</v>
      </c>
      <c r="B323" s="10" t="n">
        <v>1006.7371986838</v>
      </c>
      <c r="C323" s="11" t="n">
        <v>152.271405447596</v>
      </c>
      <c r="D323" s="10" t="n">
        <v>403.125</v>
      </c>
      <c r="E323" s="11" t="n">
        <v>11.9709245338571</v>
      </c>
      <c r="F323" s="11" t="n">
        <v>23.6108691168584</v>
      </c>
      <c r="G323" s="11" t="n">
        <v>45.0604372114791</v>
      </c>
      <c r="H323" s="11" t="n">
        <f aca="false">IF(B323="","",F323*1000/B323)</f>
        <v>23.4528625223416</v>
      </c>
      <c r="I323" s="12" t="n">
        <v>92093.24</v>
      </c>
      <c r="J323" s="12" t="n">
        <f aca="false">F323*24*1000000*Assumptions!$B$3/D323</f>
        <v>70283.5173711134</v>
      </c>
      <c r="K323" s="12" t="n">
        <f aca="false">J323/Assumptions!$B$4</f>
        <v>93711.3564948179</v>
      </c>
      <c r="L323" s="12" t="n">
        <f aca="false">J323/Assumptions!$B$5</f>
        <v>108128.488263251</v>
      </c>
      <c r="M323" s="12" t="n">
        <f aca="false">E323*24*1000000*Assumptions!$B$3/D323/Assumptions!$B$5</f>
        <v>54822.1230888628</v>
      </c>
      <c r="N323" s="12" t="n">
        <f aca="false">G323*24*1000000*Assumptions!$B$3/D323/Assumptions!$B$5</f>
        <v>206359.06844613</v>
      </c>
      <c r="O323" s="12" t="n">
        <f aca="false">IF(ROW()&lt;8,"",AVERAGE(L317:L323))</f>
        <v>101157.951514232</v>
      </c>
      <c r="P323" s="13" t="n">
        <f aca="false">IF(I323="","",I323/L323)</f>
        <v>0.851701910192144</v>
      </c>
    </row>
    <row r="324" customFormat="false" ht="15" hidden="false" customHeight="false" outlineLevel="0" collapsed="false">
      <c r="A324" s="9" t="n">
        <v>45980</v>
      </c>
      <c r="B324" s="10" t="n">
        <v>1037.01500917053</v>
      </c>
      <c r="C324" s="11" t="n">
        <v>152.271405447596</v>
      </c>
      <c r="D324" s="10" t="n">
        <v>440.625</v>
      </c>
      <c r="E324" s="11" t="n">
        <v>11.8936645463429</v>
      </c>
      <c r="F324" s="11" t="n">
        <v>23.3961637265442</v>
      </c>
      <c r="G324" s="11" t="n">
        <v>43.9683822206219</v>
      </c>
      <c r="H324" s="11" t="n">
        <f aca="false">IF(B324="","",F324*1000/B324)</f>
        <v>22.561065673734</v>
      </c>
      <c r="I324" s="12" t="n">
        <v>92979.11</v>
      </c>
      <c r="J324" s="12" t="n">
        <f aca="false">F324*24*1000000*Assumptions!$B$3/D324</f>
        <v>63717.211851014</v>
      </c>
      <c r="K324" s="12" t="n">
        <f aca="false">J324/Assumptions!$B$4</f>
        <v>84956.2824680187</v>
      </c>
      <c r="L324" s="12" t="n">
        <f aca="false">J324/Assumptions!$B$5</f>
        <v>98026.4797707908</v>
      </c>
      <c r="M324" s="12" t="n">
        <f aca="false">E324*24*1000000*Assumptions!$B$3/D324/Assumptions!$B$5</f>
        <v>49832.7025182287</v>
      </c>
      <c r="N324" s="12" t="n">
        <f aca="false">G324*24*1000000*Assumptions!$B$3/D324/Assumptions!$B$5</f>
        <v>184221.044983293</v>
      </c>
      <c r="O324" s="12" t="n">
        <f aca="false">IF(ROW()&lt;8,"",AVERAGE(L318:L324))</f>
        <v>100887.101909042</v>
      </c>
      <c r="P324" s="13" t="n">
        <f aca="false">IF(I324="","",I324/L324)</f>
        <v>0.948510139478713</v>
      </c>
    </row>
    <row r="325" customFormat="false" ht="15" hidden="false" customHeight="false" outlineLevel="0" collapsed="false">
      <c r="A325" s="9" t="n">
        <v>45981</v>
      </c>
      <c r="B325" s="10" t="n">
        <v>991.598293440434</v>
      </c>
      <c r="C325" s="11" t="n">
        <v>152.271405447597</v>
      </c>
      <c r="D325" s="10" t="n">
        <v>409.375</v>
      </c>
      <c r="E325" s="11" t="n">
        <v>11.6654022954857</v>
      </c>
      <c r="F325" s="11" t="n">
        <v>22.8857531907252</v>
      </c>
      <c r="G325" s="11" t="n">
        <v>42.3405173606219</v>
      </c>
      <c r="H325" s="11" t="n">
        <f aca="false">IF(B325="","",F325*1000/B325)</f>
        <v>23.0796617361262</v>
      </c>
      <c r="I325" s="12" t="n">
        <v>91453.07</v>
      </c>
      <c r="J325" s="12" t="n">
        <f aca="false">F325*24*1000000*Assumptions!$B$3/D325</f>
        <v>67084.955917851</v>
      </c>
      <c r="K325" s="12" t="n">
        <f aca="false">J325/Assumptions!$B$4</f>
        <v>89446.607890468</v>
      </c>
      <c r="L325" s="12" t="n">
        <f aca="false">J325/Assumptions!$B$5</f>
        <v>103207.624489002</v>
      </c>
      <c r="M325" s="12" t="n">
        <f aca="false">E325*24*1000000*Assumptions!$B$3/D325/Assumptions!$B$5</f>
        <v>52607.3338986085</v>
      </c>
      <c r="N325" s="12" t="n">
        <f aca="false">G325*24*1000000*Assumptions!$B$3/D325/Assumptions!$B$5</f>
        <v>190942.556271037</v>
      </c>
      <c r="O325" s="12" t="n">
        <f aca="false">IF(ROW()&lt;8,"",AVERAGE(L319:L325))</f>
        <v>102157.57825535</v>
      </c>
      <c r="P325" s="13" t="n">
        <f aca="false">IF(I325="","",I325/L325)</f>
        <v>0.886107692651582</v>
      </c>
    </row>
    <row r="326" customFormat="false" ht="15" hidden="false" customHeight="false" outlineLevel="0" collapsed="false">
      <c r="A326" s="9" t="n">
        <v>45982</v>
      </c>
      <c r="B326" s="10" t="n">
        <v>1142.98734587409</v>
      </c>
      <c r="C326" s="11" t="n">
        <v>152.271405447596</v>
      </c>
      <c r="D326" s="10" t="n">
        <v>471.875</v>
      </c>
      <c r="E326" s="11" t="n">
        <v>11.7494989643429</v>
      </c>
      <c r="F326" s="11" t="n">
        <v>22.9835944922738</v>
      </c>
      <c r="G326" s="11" t="n">
        <v>41.7767014234791</v>
      </c>
      <c r="H326" s="11" t="n">
        <f aca="false">IF(B326="","",F326*1000/B326)</f>
        <v>20.1083542833953</v>
      </c>
      <c r="I326" s="12" t="n">
        <v>86467.17</v>
      </c>
      <c r="J326" s="12" t="n">
        <f aca="false">F326*24*1000000*Assumptions!$B$3/D326</f>
        <v>58448.3462584976</v>
      </c>
      <c r="K326" s="12" t="n">
        <f aca="false">J326/Assumptions!$B$4</f>
        <v>77931.1283446635</v>
      </c>
      <c r="L326" s="12" t="n">
        <f aca="false">J326/Assumptions!$B$5</f>
        <v>89920.5327053809</v>
      </c>
      <c r="M326" s="12" t="n">
        <f aca="false">E326*24*1000000*Assumptions!$B$3/D326/Assumptions!$B$5</f>
        <v>45968.4931462828</v>
      </c>
      <c r="N326" s="12" t="n">
        <f aca="false">G326*24*1000000*Assumptions!$B$3/D326/Assumptions!$B$5</f>
        <v>163446.289827977</v>
      </c>
      <c r="O326" s="12" t="n">
        <f aca="false">IF(ROW()&lt;8,"",AVERAGE(L320:L326))</f>
        <v>100996.937227612</v>
      </c>
      <c r="P326" s="13" t="n">
        <f aca="false">IF(I326="","",I326/L326)</f>
        <v>0.96159539316014</v>
      </c>
    </row>
    <row r="327" customFormat="false" ht="15" hidden="false" customHeight="false" outlineLevel="0" collapsed="false">
      <c r="A327" s="9" t="n">
        <v>45983</v>
      </c>
      <c r="B327" s="10" t="n">
        <v>1082.43172490063</v>
      </c>
      <c r="C327" s="11" t="n">
        <v>152.271405447596</v>
      </c>
      <c r="D327" s="10" t="n">
        <v>446.875</v>
      </c>
      <c r="E327" s="11" t="n">
        <v>11.7494989643429</v>
      </c>
      <c r="F327" s="11" t="n">
        <v>22.9188595782897</v>
      </c>
      <c r="G327" s="11" t="n">
        <v>40.9416826834791</v>
      </c>
      <c r="H327" s="11" t="n">
        <f aca="false">IF(B327="","",F327*1000/B327)</f>
        <v>21.1734921021405</v>
      </c>
      <c r="I327" s="12" t="n">
        <v>85096.82</v>
      </c>
      <c r="J327" s="12" t="n">
        <f aca="false">F327*24*1000000*Assumptions!$B$3/D327</f>
        <v>61544.3501962464</v>
      </c>
      <c r="K327" s="12" t="n">
        <f aca="false">J327/Assumptions!$B$4</f>
        <v>82059.1335949953</v>
      </c>
      <c r="L327" s="12" t="n">
        <f aca="false">J327/Assumptions!$B$5</f>
        <v>94683.615686533</v>
      </c>
      <c r="M327" s="12" t="n">
        <f aca="false">E327*24*1000000*Assumptions!$B$3/D327/Assumptions!$B$5</f>
        <v>48540.1570985224</v>
      </c>
      <c r="N327" s="12" t="n">
        <f aca="false">G327*24*1000000*Assumptions!$B$3/D327/Assumptions!$B$5</f>
        <v>169140.464232985</v>
      </c>
      <c r="O327" s="12" t="n">
        <f aca="false">IF(ROW()&lt;8,"",AVERAGE(L321:L327))</f>
        <v>100144.384741111</v>
      </c>
      <c r="P327" s="13" t="n">
        <f aca="false">IF(I327="","",I327/L327)</f>
        <v>0.898749159323702</v>
      </c>
    </row>
    <row r="328" customFormat="false" ht="15" hidden="false" customHeight="false" outlineLevel="0" collapsed="false">
      <c r="A328" s="9" t="n">
        <v>45984</v>
      </c>
      <c r="B328" s="10" t="n">
        <v>1074.86227227894</v>
      </c>
      <c r="C328" s="11" t="n">
        <v>152.271405447596</v>
      </c>
      <c r="D328" s="10" t="n">
        <v>443.75</v>
      </c>
      <c r="E328" s="11" t="n">
        <v>11.5452643104857</v>
      </c>
      <c r="F328" s="11" t="n">
        <v>22.4509544660632</v>
      </c>
      <c r="G328" s="11" t="n">
        <v>39.3404190720505</v>
      </c>
      <c r="H328" s="11" t="n">
        <f aca="false">IF(B328="","",F328*1000/B328)</f>
        <v>20.8872848597265</v>
      </c>
      <c r="I328" s="12" t="n">
        <v>84677.63</v>
      </c>
      <c r="J328" s="12" t="n">
        <f aca="false">F328*24*1000000*Assumptions!$B$3/D328</f>
        <v>60712.4402462554</v>
      </c>
      <c r="K328" s="12" t="n">
        <f aca="false">J328/Assumptions!$B$4</f>
        <v>80949.9203283406</v>
      </c>
      <c r="L328" s="12" t="n">
        <f aca="false">J328/Assumptions!$B$5</f>
        <v>93403.7542250084</v>
      </c>
      <c r="M328" s="12" t="n">
        <f aca="false">E328*24*1000000*Assumptions!$B$3/D328/Assumptions!$B$5</f>
        <v>48032.3022234726</v>
      </c>
      <c r="N328" s="12" t="n">
        <f aca="false">G328*24*1000000*Assumptions!$B$3/D328/Assumptions!$B$5</f>
        <v>163669.782488271</v>
      </c>
      <c r="O328" s="12" t="n">
        <f aca="false">IF(ROW()&lt;8,"",AVERAGE(L322:L328))</f>
        <v>100379.671859609</v>
      </c>
      <c r="P328" s="13" t="n">
        <f aca="false">IF(I328="","",I328/L328)</f>
        <v>0.906576300948383</v>
      </c>
    </row>
    <row r="329" customFormat="false" ht="15" hidden="false" customHeight="false" outlineLevel="0" collapsed="false">
      <c r="A329" s="9" t="n">
        <v>45985</v>
      </c>
      <c r="B329" s="10" t="n">
        <v>1082.43172490063</v>
      </c>
      <c r="C329" s="11" t="n">
        <v>152.271405447596</v>
      </c>
      <c r="D329" s="10" t="n">
        <v>446.875</v>
      </c>
      <c r="E329" s="11" t="n">
        <v>11.7735265613429</v>
      </c>
      <c r="F329" s="11" t="n">
        <v>22.8599631245488</v>
      </c>
      <c r="G329" s="11" t="n">
        <v>39.4620093337129</v>
      </c>
      <c r="H329" s="11" t="n">
        <f aca="false">IF(B329="","",F329*1000/B329)</f>
        <v>21.1190808608714</v>
      </c>
      <c r="I329" s="12" t="n">
        <v>86786.92</v>
      </c>
      <c r="J329" s="12" t="n">
        <f aca="false">F329*24*1000000*Assumptions!$B$3/D329</f>
        <v>61386.1946841032</v>
      </c>
      <c r="K329" s="12" t="n">
        <f aca="false">J329/Assumptions!$B$4</f>
        <v>81848.2595788042</v>
      </c>
      <c r="L329" s="12" t="n">
        <f aca="false">J329/Assumptions!$B$5</f>
        <v>94440.2995140049</v>
      </c>
      <c r="M329" s="12" t="n">
        <f aca="false">E329*24*1000000*Assumptions!$B$3/D329/Assumptions!$B$5</f>
        <v>48639.42118941</v>
      </c>
      <c r="N329" s="12" t="n">
        <f aca="false">G329*24*1000000*Assumptions!$B$3/D329/Assumptions!$B$5</f>
        <v>163027.558732068</v>
      </c>
      <c r="O329" s="12" t="n">
        <f aca="false">IF(ROW()&lt;8,"",AVERAGE(L323:L329))</f>
        <v>97401.5420934244</v>
      </c>
      <c r="P329" s="13" t="n">
        <f aca="false">IF(I329="","",I329/L329)</f>
        <v>0.918960660296615</v>
      </c>
    </row>
    <row r="330" customFormat="false" ht="15" hidden="false" customHeight="false" outlineLevel="0" collapsed="false">
      <c r="A330" s="9" t="n">
        <v>45986</v>
      </c>
      <c r="B330" s="10" t="n">
        <v>870.48705149351</v>
      </c>
      <c r="C330" s="11" t="n">
        <v>152.271405447597</v>
      </c>
      <c r="D330" s="10" t="n">
        <v>359.375</v>
      </c>
      <c r="E330" s="11" t="n">
        <v>11.5572780931143</v>
      </c>
      <c r="F330" s="11" t="n">
        <v>22.4048167026066</v>
      </c>
      <c r="G330" s="11" t="n">
        <v>38.0734813868571</v>
      </c>
      <c r="H330" s="11" t="n">
        <f aca="false">IF(B330="","",F330*1000/B330)</f>
        <v>25.7382538478501</v>
      </c>
      <c r="I330" s="12" t="n">
        <v>88276.26</v>
      </c>
      <c r="J330" s="12" t="n">
        <f aca="false">F330*24*1000000*Assumptions!$B$3/D330</f>
        <v>74812.6053373993</v>
      </c>
      <c r="K330" s="12" t="n">
        <f aca="false">J330/Assumptions!$B$4</f>
        <v>99750.1404498658</v>
      </c>
      <c r="L330" s="12" t="n">
        <f aca="false">J330/Assumptions!$B$5</f>
        <v>115096.315903691</v>
      </c>
      <c r="M330" s="12" t="n">
        <f aca="false">E330*24*1000000*Assumptions!$B$3/D330/Assumptions!$B$5</f>
        <v>59371.1677291757</v>
      </c>
      <c r="N330" s="12" t="n">
        <f aca="false">G330*24*1000000*Assumptions!$B$3/D330/Assumptions!$B$5</f>
        <v>195588.185318437</v>
      </c>
      <c r="O330" s="12" t="n">
        <f aca="false">IF(ROW()&lt;8,"",AVERAGE(L324:L330))</f>
        <v>98396.9460420587</v>
      </c>
      <c r="P330" s="13" t="n">
        <f aca="false">IF(I330="","",I330/L330)</f>
        <v>0.766977285996423</v>
      </c>
    </row>
    <row r="331" customFormat="false" ht="15" hidden="false" customHeight="false" outlineLevel="0" collapsed="false">
      <c r="A331" s="9" t="n">
        <v>45987</v>
      </c>
      <c r="B331" s="10" t="n">
        <v>1241.39022995596</v>
      </c>
      <c r="C331" s="11" t="n">
        <v>152.271405447596</v>
      </c>
      <c r="D331" s="10" t="n">
        <v>512.5</v>
      </c>
      <c r="E331" s="11" t="n">
        <v>11.8807133019143</v>
      </c>
      <c r="F331" s="11" t="n">
        <v>23.0318247671309</v>
      </c>
      <c r="G331" s="11" t="n">
        <v>39.1389835148571</v>
      </c>
      <c r="H331" s="11" t="n">
        <f aca="false">IF(B331="","",F331*1000/B331)</f>
        <v>18.5532511947899</v>
      </c>
      <c r="I331" s="12" t="n">
        <v>87330.85</v>
      </c>
      <c r="J331" s="12" t="n">
        <f aca="false">F331*24*1000000*Assumptions!$B$3/D331</f>
        <v>53928.1750645016</v>
      </c>
      <c r="K331" s="12" t="n">
        <f aca="false">J331/Assumptions!$B$4</f>
        <v>71904.2334193355</v>
      </c>
      <c r="L331" s="12" t="n">
        <f aca="false">J331/Assumptions!$B$5</f>
        <v>82966.4231761563</v>
      </c>
      <c r="M331" s="12" t="n">
        <f aca="false">E331*24*1000000*Assumptions!$B$3/D331/Assumptions!$B$5</f>
        <v>42797.3162095224</v>
      </c>
      <c r="N331" s="12" t="n">
        <f aca="false">G331*24*1000000*Assumptions!$B$3/D331/Assumptions!$B$5</f>
        <v>140988.458440011</v>
      </c>
      <c r="O331" s="12" t="n">
        <f aca="false">IF(ROW()&lt;8,"",AVERAGE(L325:L331))</f>
        <v>96245.5093856823</v>
      </c>
      <c r="P331" s="13" t="n">
        <f aca="false">IF(I331="","",I331/L331)</f>
        <v>1.05260473643147</v>
      </c>
    </row>
    <row r="332" customFormat="false" ht="15" hidden="false" customHeight="false" outlineLevel="0" collapsed="false">
      <c r="A332" s="9" t="n">
        <v>45988</v>
      </c>
      <c r="B332" s="10" t="n">
        <v>1061.46550763023</v>
      </c>
      <c r="C332" s="11" t="n">
        <v>149.32197658549</v>
      </c>
      <c r="D332" s="10" t="n">
        <v>434.375</v>
      </c>
      <c r="E332" s="11" t="n">
        <v>11.9913682670571</v>
      </c>
      <c r="F332" s="11" t="n">
        <v>23.2463393086419</v>
      </c>
      <c r="G332" s="11" t="n">
        <v>39.5035174234286</v>
      </c>
      <c r="H332" s="11" t="n">
        <f aca="false">IF(B332="","",F332*1000/B332)</f>
        <v>21.9002305223656</v>
      </c>
      <c r="I332" s="12" t="n">
        <v>90517.55</v>
      </c>
      <c r="J332" s="12" t="n">
        <f aca="false">F332*24*1000000*Assumptions!$B$3/D332</f>
        <v>64220.1028382624</v>
      </c>
      <c r="K332" s="12" t="n">
        <f aca="false">J332/Assumptions!$B$4</f>
        <v>85626.8037843499</v>
      </c>
      <c r="L332" s="12" t="n">
        <f aca="false">J332/Assumptions!$B$5</f>
        <v>98800.1582127114</v>
      </c>
      <c r="M332" s="12" t="n">
        <f aca="false">E332*24*1000000*Assumptions!$B$3/D332/Assumptions!$B$5</f>
        <v>50964.9741510785</v>
      </c>
      <c r="N332" s="12" t="n">
        <f aca="false">G332*24*1000000*Assumptions!$B$3/D332/Assumptions!$B$5</f>
        <v>167895.414395092</v>
      </c>
      <c r="O332" s="12" t="n">
        <f aca="false">IF(ROW()&lt;8,"",AVERAGE(L326:L332))</f>
        <v>95615.8713462123</v>
      </c>
      <c r="P332" s="13" t="n">
        <f aca="false">IF(I332="","",I332/L332)</f>
        <v>0.916168067313421</v>
      </c>
    </row>
    <row r="333" customFormat="false" ht="15" hidden="false" customHeight="false" outlineLevel="0" collapsed="false">
      <c r="A333" s="9" t="n">
        <v>45989</v>
      </c>
      <c r="B333" s="10" t="n">
        <v>1113.27048064283</v>
      </c>
      <c r="C333" s="11" t="n">
        <v>149.3012059597</v>
      </c>
      <c r="D333" s="10" t="n">
        <v>456.25</v>
      </c>
      <c r="E333" s="11" t="n">
        <v>11.9442033014857</v>
      </c>
      <c r="F333" s="11" t="n">
        <v>23.1549058067482</v>
      </c>
      <c r="G333" s="11" t="n">
        <v>39.3481404891429</v>
      </c>
      <c r="H333" s="11" t="n">
        <f aca="false">IF(B333="","",F333*1000/B333)</f>
        <v>20.7989937839526</v>
      </c>
      <c r="I333" s="12" t="n">
        <v>91305.47</v>
      </c>
      <c r="J333" s="12" t="n">
        <f aca="false">F333*24*1000000*Assumptions!$B$3/D333</f>
        <v>60900.5741766528</v>
      </c>
      <c r="K333" s="12" t="n">
        <f aca="false">J333/Assumptions!$B$4</f>
        <v>81200.7655688703</v>
      </c>
      <c r="L333" s="12" t="n">
        <f aca="false">J333/Assumptions!$B$5</f>
        <v>93693.1910410042</v>
      </c>
      <c r="M333" s="12" t="n">
        <f aca="false">E333*24*1000000*Assumptions!$B$3/D333/Assumptions!$B$5</f>
        <v>48330.60134637</v>
      </c>
      <c r="N333" s="12" t="n">
        <f aca="false">G333*24*1000000*Assumptions!$B$3/D333/Assumptions!$B$5</f>
        <v>159216.922527196</v>
      </c>
      <c r="O333" s="12" t="n">
        <f aca="false">IF(ROW()&lt;8,"",AVERAGE(L327:L333))</f>
        <v>96154.8225370156</v>
      </c>
      <c r="P333" s="13" t="n">
        <f aca="false">IF(I333="","",I333/L333)</f>
        <v>0.974515532938149</v>
      </c>
    </row>
    <row r="334" customFormat="false" ht="15" hidden="false" customHeight="false" outlineLevel="0" collapsed="false">
      <c r="A334" s="9" t="n">
        <v>45990</v>
      </c>
      <c r="B334" s="10" t="n">
        <v>1016.78703898712</v>
      </c>
      <c r="C334" s="11" t="n">
        <v>149.3012059597</v>
      </c>
      <c r="D334" s="10" t="n">
        <v>453.125</v>
      </c>
      <c r="E334" s="11" t="n">
        <v>11.8400159434857</v>
      </c>
      <c r="F334" s="11" t="n">
        <v>22.9529292998309</v>
      </c>
      <c r="G334" s="11" t="n">
        <v>39.0049130091429</v>
      </c>
      <c r="H334" s="11" t="n">
        <f aca="false">IF(B334="","",F334*1000/B334)</f>
        <v>22.5739790336978</v>
      </c>
      <c r="I334" s="12" t="n">
        <v>90915.26</v>
      </c>
      <c r="J334" s="12" t="n">
        <f aca="false">F334*24*1000000*Assumptions!$B$3/D334</f>
        <v>60785.6886285177</v>
      </c>
      <c r="K334" s="12" t="n">
        <f aca="false">J334/Assumptions!$B$4</f>
        <v>81047.5848380236</v>
      </c>
      <c r="L334" s="12" t="n">
        <f aca="false">J334/Assumptions!$B$5</f>
        <v>93516.4440438733</v>
      </c>
      <c r="M334" s="12" t="n">
        <f aca="false">E334*24*1000000*Assumptions!$B$3/D334/Assumptions!$B$5</f>
        <v>48239.4283532999</v>
      </c>
      <c r="N334" s="12" t="n">
        <f aca="false">G334*24*1000000*Assumptions!$B$3/D334/Assumptions!$B$5</f>
        <v>158916.568652635</v>
      </c>
      <c r="O334" s="12" t="n">
        <f aca="false">IF(ROW()&lt;8,"",AVERAGE(L328:L334))</f>
        <v>95988.0837309214</v>
      </c>
      <c r="P334" s="13" t="n">
        <f aca="false">IF(I334="","",I334/L334)</f>
        <v>0.972184741726781</v>
      </c>
    </row>
    <row r="335" customFormat="false" ht="15" hidden="false" customHeight="false" outlineLevel="0" collapsed="false">
      <c r="A335" s="9" t="n">
        <v>45991</v>
      </c>
      <c r="B335" s="10" t="n">
        <v>1239.44113511569</v>
      </c>
      <c r="C335" s="11" t="n">
        <v>149.3012059597</v>
      </c>
      <c r="D335" s="10" t="n">
        <v>521.875</v>
      </c>
      <c r="E335" s="11" t="n">
        <v>12.1012263277714</v>
      </c>
      <c r="F335" s="11" t="n">
        <v>23.4593089796818</v>
      </c>
      <c r="G335" s="11" t="n">
        <v>39.8654260662857</v>
      </c>
      <c r="H335" s="11" t="n">
        <f aca="false">IF(B335="","",F335*1000/B335)</f>
        <v>18.9273280634599</v>
      </c>
      <c r="I335" s="12" t="n">
        <v>90830.82</v>
      </c>
      <c r="J335" s="12" t="n">
        <f aca="false">F335*24*1000000*Assumptions!$B$3/D335</f>
        <v>53942.3631628611</v>
      </c>
      <c r="K335" s="12" t="n">
        <f aca="false">J335/Assumptions!$B$4</f>
        <v>71923.1508838148</v>
      </c>
      <c r="L335" s="12" t="n">
        <f aca="false">J335/Assumptions!$B$5</f>
        <v>82988.2510197863</v>
      </c>
      <c r="M335" s="12" t="n">
        <f aca="false">E335*24*1000000*Assumptions!$B$3/D335/Assumptions!$B$5</f>
        <v>42808.5758624065</v>
      </c>
      <c r="N335" s="12" t="n">
        <f aca="false">G335*24*1000000*Assumptions!$B$3/D335/Assumptions!$B$5</f>
        <v>141025.551445912</v>
      </c>
      <c r="O335" s="12" t="n">
        <f aca="false">IF(ROW()&lt;8,"",AVERAGE(L329:L335))</f>
        <v>94500.154701604</v>
      </c>
      <c r="P335" s="13" t="n">
        <f aca="false">IF(I335="","",I335/L335)</f>
        <v>1.09450216005087</v>
      </c>
    </row>
    <row r="336" customFormat="false" ht="15" hidden="false" customHeight="false" outlineLevel="0" collapsed="false">
      <c r="A336" s="9" t="n">
        <v>45992</v>
      </c>
      <c r="B336" s="10" t="n">
        <v>987.099826169979</v>
      </c>
      <c r="C336" s="11" t="n">
        <v>149.3012059597</v>
      </c>
      <c r="D336" s="10" t="n">
        <v>415.625</v>
      </c>
      <c r="E336" s="11" t="n">
        <v>11.9499210471143</v>
      </c>
      <c r="F336" s="11" t="n">
        <v>23.1658870436197</v>
      </c>
      <c r="G336" s="11" t="n">
        <v>39.3669766268571</v>
      </c>
      <c r="H336" s="11" t="n">
        <f aca="false">IF(B336="","",F336*1000/B336)</f>
        <v>23.468636534468</v>
      </c>
      <c r="I336" s="12" t="n">
        <v>90376.43</v>
      </c>
      <c r="J336" s="12" t="n">
        <f aca="false">F336*24*1000000*Assumptions!$B$3/D336</f>
        <v>66884.9671033833</v>
      </c>
      <c r="K336" s="12" t="n">
        <f aca="false">J336/Assumptions!$B$4</f>
        <v>89179.9561378444</v>
      </c>
      <c r="L336" s="12" t="n">
        <f aca="false">J336/Assumptions!$B$5</f>
        <v>102899.94938982</v>
      </c>
      <c r="M336" s="12" t="n">
        <f aca="false">E336*24*1000000*Assumptions!$B$3/D336/Assumptions!$B$5</f>
        <v>53080.042592156</v>
      </c>
      <c r="N336" s="12" t="n">
        <f aca="false">G336*24*1000000*Assumptions!$B$3/D336/Assumptions!$B$5</f>
        <v>174863.146613223</v>
      </c>
      <c r="O336" s="12" t="n">
        <f aca="false">IF(ROW()&lt;8,"",AVERAGE(L330:L336))</f>
        <v>95708.6761124348</v>
      </c>
      <c r="P336" s="13" t="n">
        <f aca="false">IF(I336="","",I336/L336)</f>
        <v>0.87829421234818</v>
      </c>
    </row>
    <row r="337" customFormat="false" ht="15" hidden="false" customHeight="false" outlineLevel="0" collapsed="false">
      <c r="A337" s="9" t="n">
        <v>45993</v>
      </c>
      <c r="B337" s="10" t="n">
        <v>942.569006944266</v>
      </c>
      <c r="C337" s="11" t="n">
        <v>149.3012059597</v>
      </c>
      <c r="D337" s="10" t="n">
        <v>396.875</v>
      </c>
      <c r="E337" s="11" t="n">
        <v>12.0643254150571</v>
      </c>
      <c r="F337" s="11" t="n">
        <v>23.3875716656957</v>
      </c>
      <c r="G337" s="11" t="n">
        <v>39.7438623034286</v>
      </c>
      <c r="H337" s="11" t="n">
        <f aca="false">IF(B337="","",F337*1000/B337)</f>
        <v>24.8125829444747</v>
      </c>
      <c r="I337" s="12" t="n">
        <v>86316.42</v>
      </c>
      <c r="J337" s="12" t="n">
        <f aca="false">F337*24*1000000*Assumptions!$B$3/D337</f>
        <v>70715.1773198989</v>
      </c>
      <c r="K337" s="12" t="n">
        <f aca="false">J337/Assumptions!$B$4</f>
        <v>94286.9030931986</v>
      </c>
      <c r="L337" s="12" t="n">
        <f aca="false">J337/Assumptions!$B$5</f>
        <v>108792.580492152</v>
      </c>
      <c r="M337" s="12" t="n">
        <f aca="false">E337*24*1000000*Assumptions!$B$3/D337/Assumptions!$B$5</f>
        <v>56119.9389386062</v>
      </c>
      <c r="N337" s="12" t="n">
        <f aca="false">G337*24*1000000*Assumptions!$B$3/D337/Assumptions!$B$5</f>
        <v>184877.566620431</v>
      </c>
      <c r="O337" s="12" t="n">
        <f aca="false">IF(ROW()&lt;8,"",AVERAGE(L331:L337))</f>
        <v>94808.1424822149</v>
      </c>
      <c r="P337" s="13" t="n">
        <f aca="false">IF(I337="","",I337/L337)</f>
        <v>0.79340355389609</v>
      </c>
    </row>
    <row r="338" customFormat="false" ht="15" hidden="false" customHeight="false" outlineLevel="0" collapsed="false">
      <c r="A338" s="9" t="n">
        <v>45994</v>
      </c>
      <c r="B338" s="10" t="n">
        <v>979.678022965693</v>
      </c>
      <c r="C338" s="11" t="n">
        <v>149.3012059597</v>
      </c>
      <c r="D338" s="10" t="n">
        <v>412.5</v>
      </c>
      <c r="E338" s="11" t="n">
        <v>11.6498881327714</v>
      </c>
      <c r="F338" s="11" t="n">
        <v>22.5840455981613</v>
      </c>
      <c r="G338" s="11" t="n">
        <v>38.3785693662857</v>
      </c>
      <c r="H338" s="11" t="n">
        <f aca="false">IF(B338="","",F338*1000/B338)</f>
        <v>23.0525183465835</v>
      </c>
      <c r="I338" s="12" t="n">
        <v>91320.47</v>
      </c>
      <c r="J338" s="12" t="n">
        <f aca="false">F338*24*1000000*Assumptions!$B$3/D338</f>
        <v>65699.0417401057</v>
      </c>
      <c r="K338" s="12" t="n">
        <f aca="false">J338/Assumptions!$B$4</f>
        <v>87598.7223201409</v>
      </c>
      <c r="L338" s="12" t="n">
        <f aca="false">J338/Assumptions!$B$5</f>
        <v>101075.448830932</v>
      </c>
      <c r="M338" s="12" t="n">
        <f aca="false">E338*24*1000000*Assumptions!$B$3/D338/Assumptions!$B$5</f>
        <v>52139.3594753407</v>
      </c>
      <c r="N338" s="12" t="n">
        <f aca="false">G338*24*1000000*Assumptions!$B$3/D338/Assumptions!$B$5</f>
        <v>171764.226534426</v>
      </c>
      <c r="O338" s="12" t="n">
        <f aca="false">IF(ROW()&lt;8,"",AVERAGE(L332:L338))</f>
        <v>97395.1461471828</v>
      </c>
      <c r="P338" s="13" t="n">
        <f aca="false">IF(I338="","",I338/L338)</f>
        <v>0.903488147282444</v>
      </c>
    </row>
    <row r="339" customFormat="false" ht="15" hidden="false" customHeight="false" outlineLevel="0" collapsed="false">
      <c r="A339" s="9" t="n">
        <v>45995</v>
      </c>
      <c r="B339" s="10" t="n">
        <v>979.678022965693</v>
      </c>
      <c r="C339" s="11" t="n">
        <v>149.3012059597</v>
      </c>
      <c r="D339" s="10" t="n">
        <v>412.5</v>
      </c>
      <c r="E339" s="11" t="n">
        <v>11.5203139486286</v>
      </c>
      <c r="F339" s="11" t="n">
        <v>22.3327521106347</v>
      </c>
      <c r="G339" s="11" t="n">
        <v>37.9517093177143</v>
      </c>
      <c r="H339" s="11" t="n">
        <f aca="false">IF(B339="","",F339*1000/B339)</f>
        <v>22.7960121459382</v>
      </c>
      <c r="I339" s="12" t="n">
        <v>93468.15</v>
      </c>
      <c r="J339" s="12" t="n">
        <f aca="false">F339*24*1000000*Assumptions!$B$3/D339</f>
        <v>64968.0061400281</v>
      </c>
      <c r="K339" s="12" t="n">
        <f aca="false">J339/Assumptions!$B$4</f>
        <v>86624.0081867041</v>
      </c>
      <c r="L339" s="12" t="n">
        <f aca="false">J339/Assumptions!$B$5</f>
        <v>99950.7786769663</v>
      </c>
      <c r="M339" s="12" t="n">
        <f aca="false">E339*24*1000000*Assumptions!$B$3/D339/Assumptions!$B$5</f>
        <v>51559.4470428132</v>
      </c>
      <c r="N339" s="12" t="n">
        <f aca="false">G339*24*1000000*Assumptions!$B$3/D339/Assumptions!$B$5</f>
        <v>169853.803939421</v>
      </c>
      <c r="O339" s="12" t="n">
        <f aca="false">IF(ROW()&lt;8,"",AVERAGE(L333:L339))</f>
        <v>97559.5204992192</v>
      </c>
      <c r="P339" s="13" t="n">
        <f aca="false">IF(I339="","",I339/L339)</f>
        <v>0.935141789160866</v>
      </c>
    </row>
    <row r="340" customFormat="false" ht="15" hidden="false" customHeight="false" outlineLevel="0" collapsed="false">
      <c r="A340" s="9" t="n">
        <v>45996</v>
      </c>
      <c r="B340" s="10" t="n">
        <v>883.194581309981</v>
      </c>
      <c r="C340" s="11" t="n">
        <v>149.3012059597</v>
      </c>
      <c r="D340" s="10" t="n">
        <v>350</v>
      </c>
      <c r="E340" s="11" t="n">
        <v>11.1551505638571</v>
      </c>
      <c r="F340" s="11" t="n">
        <v>21.6247579778885</v>
      </c>
      <c r="G340" s="11" t="n">
        <v>36.7487408314286</v>
      </c>
      <c r="H340" s="11" t="n">
        <f aca="false">IF(B340="","",F340*1000/B340)</f>
        <v>24.4847040907045</v>
      </c>
      <c r="I340" s="12" t="n">
        <v>92141.99</v>
      </c>
      <c r="J340" s="12" t="n">
        <f aca="false">F340*24*1000000*Assumptions!$B$3/D340</f>
        <v>74142.0273527607</v>
      </c>
      <c r="K340" s="12" t="n">
        <f aca="false">J340/Assumptions!$B$4</f>
        <v>98856.0364703476</v>
      </c>
      <c r="L340" s="12" t="n">
        <f aca="false">J340/Assumptions!$B$5</f>
        <v>114064.657465786</v>
      </c>
      <c r="M340" s="12" t="n">
        <f aca="false">E340*24*1000000*Assumptions!$B$3/D340/Assumptions!$B$5</f>
        <v>58840.3546225432</v>
      </c>
      <c r="N340" s="12" t="n">
        <f aca="false">G340*24*1000000*Assumptions!$B$3/D340/Assumptions!$B$5</f>
        <v>193839.512077865</v>
      </c>
      <c r="O340" s="12" t="n">
        <f aca="false">IF(ROW()&lt;8,"",AVERAGE(L334:L340))</f>
        <v>100469.729988474</v>
      </c>
      <c r="P340" s="13" t="n">
        <f aca="false">IF(I340="","",I340/L340)</f>
        <v>0.807804906858538</v>
      </c>
    </row>
    <row r="341" customFormat="false" ht="15" hidden="false" customHeight="false" outlineLevel="0" collapsed="false">
      <c r="A341" s="9" t="n">
        <v>45997</v>
      </c>
      <c r="B341" s="10" t="n">
        <v>1209.75392229855</v>
      </c>
      <c r="C341" s="11" t="n">
        <v>149.3012059597</v>
      </c>
      <c r="D341" s="10" t="n">
        <v>531.25</v>
      </c>
      <c r="E341" s="11" t="n">
        <v>11.4614164421429</v>
      </c>
      <c r="F341" s="11" t="n">
        <v>22.2183553751967</v>
      </c>
      <c r="G341" s="11" t="n">
        <v>37.7576815285714</v>
      </c>
      <c r="H341" s="11" t="n">
        <f aca="false">IF(B341="","",F341*1000/B341)</f>
        <v>18.3660122655205</v>
      </c>
      <c r="I341" s="12" t="n">
        <v>89343.14</v>
      </c>
      <c r="J341" s="12" t="n">
        <f aca="false">F341*24*1000000*Assumptions!$B$3/D341</f>
        <v>50187.3439063266</v>
      </c>
      <c r="K341" s="12" t="n">
        <f aca="false">J341/Assumptions!$B$4</f>
        <v>66916.4585417687</v>
      </c>
      <c r="L341" s="12" t="n">
        <f aca="false">J341/Assumptions!$B$5</f>
        <v>77211.2983174255</v>
      </c>
      <c r="M341" s="12" t="n">
        <f aca="false">E341*24*1000000*Assumptions!$B$3/D341/Assumptions!$B$5</f>
        <v>39829.7186767679</v>
      </c>
      <c r="N341" s="12" t="n">
        <f aca="false">G341*24*1000000*Assumptions!$B$3/D341/Assumptions!$B$5</f>
        <v>131212.214542728</v>
      </c>
      <c r="O341" s="12" t="n">
        <f aca="false">IF(ROW()&lt;8,"",AVERAGE(L335:L341))</f>
        <v>98140.423456124</v>
      </c>
      <c r="P341" s="13" t="n">
        <f aca="false">IF(I341="","",I341/L341)</f>
        <v>1.15712521285031</v>
      </c>
    </row>
    <row r="342" customFormat="false" ht="15" hidden="false" customHeight="false" outlineLevel="0" collapsed="false">
      <c r="A342" s="9" t="n">
        <v>45998</v>
      </c>
      <c r="B342" s="10" t="n">
        <v>1187.48851268569</v>
      </c>
      <c r="C342" s="11" t="n">
        <v>149.3012059597</v>
      </c>
      <c r="D342" s="10" t="n">
        <v>500</v>
      </c>
      <c r="E342" s="11" t="n">
        <v>11.3789600854286</v>
      </c>
      <c r="F342" s="11" t="n">
        <v>22.0583822977128</v>
      </c>
      <c r="G342" s="11" t="n">
        <v>37.4860431257143</v>
      </c>
      <c r="H342" s="11" t="n">
        <f aca="false">IF(B342="","",F342*1000/B342)</f>
        <v>18.5756595218124</v>
      </c>
      <c r="I342" s="12" t="n">
        <v>89230.51</v>
      </c>
      <c r="J342" s="12" t="n">
        <f aca="false">F342*24*1000000*Assumptions!$B$3/D342</f>
        <v>52940.1175145107</v>
      </c>
      <c r="K342" s="12" t="n">
        <f aca="false">J342/Assumptions!$B$4</f>
        <v>70586.8233526809</v>
      </c>
      <c r="L342" s="12" t="n">
        <f aca="false">J342/Assumptions!$B$5</f>
        <v>81446.3346377087</v>
      </c>
      <c r="M342" s="12" t="n">
        <f aca="false">E342*24*1000000*Assumptions!$B$3/D342/Assumptions!$B$5</f>
        <v>42014.6218538901</v>
      </c>
      <c r="N342" s="12" t="n">
        <f aca="false">G342*24*1000000*Assumptions!$B$3/D342/Assumptions!$B$5</f>
        <v>138410.005387253</v>
      </c>
      <c r="O342" s="12" t="n">
        <f aca="false">IF(ROW()&lt;8,"",AVERAGE(L336:L342))</f>
        <v>97920.1496872558</v>
      </c>
      <c r="P342" s="13" t="n">
        <f aca="false">IF(I342="","",I342/L342)</f>
        <v>1.09557428700649</v>
      </c>
    </row>
    <row r="343" customFormat="false" ht="15" hidden="false" customHeight="false" outlineLevel="0" collapsed="false">
      <c r="A343" s="9" t="n">
        <v>45999</v>
      </c>
      <c r="B343" s="10" t="n">
        <v>1098.42687423426</v>
      </c>
      <c r="C343" s="11" t="n">
        <v>149.3012059597</v>
      </c>
      <c r="D343" s="10" t="n">
        <v>462.5</v>
      </c>
      <c r="E343" s="11" t="n">
        <v>11.5556520335143</v>
      </c>
      <c r="F343" s="11" t="n">
        <v>22.4009038032406</v>
      </c>
      <c r="G343" s="11" t="n">
        <v>38.0681246108571</v>
      </c>
      <c r="H343" s="11" t="n">
        <f aca="false">IF(B343="","",F343*1000/B343)</f>
        <v>20.3936232157983</v>
      </c>
      <c r="I343" s="12" t="n">
        <v>90455.3</v>
      </c>
      <c r="J343" s="12" t="n">
        <f aca="false">F343*24*1000000*Assumptions!$B$3/D343</f>
        <v>58121.2639219216</v>
      </c>
      <c r="K343" s="12" t="n">
        <f aca="false">J343/Assumptions!$B$4</f>
        <v>77495.0185625622</v>
      </c>
      <c r="L343" s="12" t="n">
        <f aca="false">J343/Assumptions!$B$5</f>
        <v>89417.3291106487</v>
      </c>
      <c r="M343" s="12" t="n">
        <f aca="false">E343*24*1000000*Assumptions!$B$3/D343/Assumptions!$B$5</f>
        <v>46126.5112356496</v>
      </c>
      <c r="N343" s="12" t="n">
        <f aca="false">G343*24*1000000*Assumptions!$B$3/D343/Assumptions!$B$5</f>
        <v>151955.92360259</v>
      </c>
      <c r="O343" s="12" t="n">
        <f aca="false">IF(ROW()&lt;8,"",AVERAGE(L337:L343))</f>
        <v>95994.0610759455</v>
      </c>
      <c r="P343" s="13" t="n">
        <f aca="false">IF(I343="","",I343/L343)</f>
        <v>1.01160816253041</v>
      </c>
    </row>
    <row r="344" customFormat="false" ht="15" hidden="false" customHeight="false" outlineLevel="0" collapsed="false">
      <c r="A344" s="9" t="n">
        <v>46000</v>
      </c>
      <c r="B344" s="10" t="n">
        <v>957.412613352836</v>
      </c>
      <c r="C344" s="11" t="n">
        <v>149.3012059597</v>
      </c>
      <c r="D344" s="10" t="n">
        <v>390.625</v>
      </c>
      <c r="E344" s="11" t="n">
        <v>11.5792109472286</v>
      </c>
      <c r="F344" s="11" t="n">
        <v>22.4465733126973</v>
      </c>
      <c r="G344" s="11" t="n">
        <v>38.1457354337143</v>
      </c>
      <c r="H344" s="11" t="n">
        <f aca="false">IF(B344="","",F344*1000/B344)</f>
        <v>23.4450361313812</v>
      </c>
      <c r="I344" s="12" t="n">
        <v>90643.57</v>
      </c>
      <c r="J344" s="12" t="n">
        <f aca="false">F344*24*1000000*Assumptions!$B$3/D344</f>
        <v>68955.8732166061</v>
      </c>
      <c r="K344" s="12" t="n">
        <f aca="false">J344/Assumptions!$B$4</f>
        <v>91941.1642888081</v>
      </c>
      <c r="L344" s="12" t="n">
        <f aca="false">J344/Assumptions!$B$5</f>
        <v>106085.958794779</v>
      </c>
      <c r="M344" s="12" t="n">
        <f aca="false">E344*24*1000000*Assumptions!$B$3/D344/Assumptions!$B$5</f>
        <v>54725.132353671</v>
      </c>
      <c r="N344" s="12" t="n">
        <f aca="false">G344*24*1000000*Assumptions!$B$3/D344/Assumptions!$B$5</f>
        <v>180282.614234416</v>
      </c>
      <c r="O344" s="12" t="n">
        <f aca="false">IF(ROW()&lt;8,"",AVERAGE(L338:L344))</f>
        <v>95607.4008334636</v>
      </c>
      <c r="P344" s="13" t="n">
        <f aca="false">IF(I344="","",I344/L344)</f>
        <v>0.85443513005664</v>
      </c>
    </row>
    <row r="345" customFormat="false" ht="15" hidden="false" customHeight="false" outlineLevel="0" collapsed="false">
      <c r="A345" s="9" t="n">
        <v>46001</v>
      </c>
      <c r="B345" s="10" t="n">
        <v>1150.37949666426</v>
      </c>
      <c r="C345" s="11" t="n">
        <v>149.3012059597</v>
      </c>
      <c r="D345" s="10" t="n">
        <v>496.875</v>
      </c>
      <c r="E345" s="11" t="n">
        <v>11.8501386136571</v>
      </c>
      <c r="F345" s="11" t="n">
        <v>22.9717729791204</v>
      </c>
      <c r="G345" s="11" t="n">
        <v>39.0382604194286</v>
      </c>
      <c r="H345" s="11" t="n">
        <f aca="false">IF(B345="","",F345*1000/B345)</f>
        <v>19.9688650968931</v>
      </c>
      <c r="I345" s="12" t="n">
        <v>92703.59</v>
      </c>
      <c r="J345" s="12" t="n">
        <f aca="false">F345*24*1000000*Assumptions!$B$3/D345</f>
        <v>55478.99889297</v>
      </c>
      <c r="K345" s="12" t="n">
        <f aca="false">J345/Assumptions!$B$4</f>
        <v>73971.99852396</v>
      </c>
      <c r="L345" s="12" t="n">
        <f aca="false">J345/Assumptions!$B$5</f>
        <v>85352.3059891846</v>
      </c>
      <c r="M345" s="12" t="n">
        <f aca="false">E345*24*1000000*Assumptions!$B$3/D345/Assumptions!$B$5</f>
        <v>44029.5425993647</v>
      </c>
      <c r="N345" s="12" t="n">
        <f aca="false">G345*24*1000000*Assumptions!$B$3/D345/Assumptions!$B$5</f>
        <v>145047.818104118</v>
      </c>
      <c r="O345" s="12" t="n">
        <f aca="false">IF(ROW()&lt;8,"",AVERAGE(L339:L345))</f>
        <v>93361.2375703569</v>
      </c>
      <c r="P345" s="13" t="n">
        <f aca="false">IF(I345="","",I345/L345)</f>
        <v>1.08612871000517</v>
      </c>
    </row>
    <row r="346" customFormat="false" ht="15" hidden="false" customHeight="false" outlineLevel="0" collapsed="false">
      <c r="A346" s="9" t="n">
        <v>46002</v>
      </c>
      <c r="B346" s="10" t="n">
        <v>1179.90202432266</v>
      </c>
      <c r="C346" s="11" t="n">
        <v>148.347367796635</v>
      </c>
      <c r="D346" s="10" t="n">
        <v>500</v>
      </c>
      <c r="E346" s="11" t="n">
        <v>12.1674863995143</v>
      </c>
      <c r="F346" s="11" t="n">
        <v>23.5869591410557</v>
      </c>
      <c r="G346" s="11" t="n">
        <v>40.0837085708571</v>
      </c>
      <c r="H346" s="11" t="n">
        <f aca="false">IF(B346="","",F346*1000/B346)</f>
        <v>19.990608249525</v>
      </c>
      <c r="I346" s="12" t="n">
        <v>91985.09</v>
      </c>
      <c r="J346" s="12" t="n">
        <f aca="false">F346*24*1000000*Assumptions!$B$3/D346</f>
        <v>56608.7019385336</v>
      </c>
      <c r="K346" s="12" t="n">
        <f aca="false">J346/Assumptions!$B$4</f>
        <v>75478.2692513781</v>
      </c>
      <c r="L346" s="12" t="n">
        <f aca="false">J346/Assumptions!$B$5</f>
        <v>87090.3106746671</v>
      </c>
      <c r="M346" s="12" t="n">
        <f aca="false">E346*24*1000000*Assumptions!$B$3/D346/Assumptions!$B$5</f>
        <v>44926.1036289758</v>
      </c>
      <c r="N346" s="12" t="n">
        <f aca="false">G346*24*1000000*Assumptions!$B$3/D346/Assumptions!$B$5</f>
        <v>148001.385492396</v>
      </c>
      <c r="O346" s="12" t="n">
        <f aca="false">IF(ROW()&lt;8,"",AVERAGE(L340:L346))</f>
        <v>91524.0278557427</v>
      </c>
      <c r="P346" s="13" t="n">
        <f aca="false">IF(I346="","",I346/L346)</f>
        <v>1.05620348908408</v>
      </c>
    </row>
    <row r="347" customFormat="false" ht="15" hidden="false" customHeight="false" outlineLevel="0" collapsed="false">
      <c r="A347" s="9" t="n">
        <v>46003</v>
      </c>
      <c r="B347" s="10" t="n">
        <v>1068.19015438488</v>
      </c>
      <c r="C347" s="11" t="n">
        <v>148.195306640204</v>
      </c>
      <c r="D347" s="10" t="n">
        <v>453.125</v>
      </c>
      <c r="E347" s="11" t="n">
        <v>12.4611008129143</v>
      </c>
      <c r="F347" s="11" t="n">
        <v>24.1561376011497</v>
      </c>
      <c r="G347" s="11" t="n">
        <v>41.0509711748571</v>
      </c>
      <c r="H347" s="11" t="n">
        <f aca="false">IF(B347="","",F347*1000/B347)</f>
        <v>22.6140799950174</v>
      </c>
      <c r="I347" s="12" t="n">
        <v>92497.93</v>
      </c>
      <c r="J347" s="12" t="n">
        <f aca="false">F347*24*1000000*Assumptions!$B$3/D347</f>
        <v>63972.1161299413</v>
      </c>
      <c r="K347" s="12" t="n">
        <f aca="false">J347/Assumptions!$B$4</f>
        <v>85296.1548399217</v>
      </c>
      <c r="L347" s="12" t="n">
        <f aca="false">J347/Assumptions!$B$5</f>
        <v>98418.6401999097</v>
      </c>
      <c r="M347" s="12" t="n">
        <f aca="false">E347*24*1000000*Assumptions!$B$3/D347/Assumptions!$B$5</f>
        <v>50769.896150229</v>
      </c>
      <c r="N347" s="12" t="n">
        <f aca="false">G347*24*1000000*Assumptions!$B$3/D347/Assumptions!$B$5</f>
        <v>167252.763195174</v>
      </c>
      <c r="O347" s="12" t="n">
        <f aca="false">IF(ROW()&lt;8,"",AVERAGE(L341:L347))</f>
        <v>89288.8825320461</v>
      </c>
      <c r="P347" s="13" t="n">
        <f aca="false">IF(I347="","",I347/L347)</f>
        <v>0.939841576881336</v>
      </c>
    </row>
    <row r="348" customFormat="false" ht="15" hidden="false" customHeight="false" outlineLevel="0" collapsed="false">
      <c r="A348" s="9" t="n">
        <v>46004</v>
      </c>
      <c r="B348" s="10" t="n">
        <v>1053.45649708302</v>
      </c>
      <c r="C348" s="11" t="n">
        <v>148.195306640204</v>
      </c>
      <c r="D348" s="10" t="n">
        <v>446.875</v>
      </c>
      <c r="E348" s="11" t="n">
        <v>12.2130345109143</v>
      </c>
      <c r="F348" s="11" t="n">
        <v>23.6752552284535</v>
      </c>
      <c r="G348" s="11" t="n">
        <v>40.2337590548572</v>
      </c>
      <c r="H348" s="11" t="n">
        <f aca="false">IF(B348="","",F348*1000/B348)</f>
        <v>22.473880311156</v>
      </c>
      <c r="I348" s="12" t="n">
        <v>90269.59</v>
      </c>
      <c r="J348" s="12" t="n">
        <f aca="false">F348*24*1000000*Assumptions!$B$3/D348</f>
        <v>63575.5105435396</v>
      </c>
      <c r="K348" s="12" t="n">
        <f aca="false">J348/Assumptions!$B$4</f>
        <v>84767.3473913861</v>
      </c>
      <c r="L348" s="12" t="n">
        <f aca="false">J348/Assumptions!$B$5</f>
        <v>97808.4777592917</v>
      </c>
      <c r="M348" s="12" t="n">
        <f aca="false">E348*24*1000000*Assumptions!$B$3/D348/Assumptions!$B$5</f>
        <v>50455.1398837126</v>
      </c>
      <c r="N348" s="12" t="n">
        <f aca="false">G348*24*1000000*Assumptions!$B$3/D348/Assumptions!$B$5</f>
        <v>166215.852362186</v>
      </c>
      <c r="O348" s="12" t="n">
        <f aca="false">IF(ROW()&lt;8,"",AVERAGE(L342:L348))</f>
        <v>92231.336738027</v>
      </c>
      <c r="P348" s="13" t="n">
        <f aca="false">IF(I348="","",I348/L348)</f>
        <v>0.922921939570054</v>
      </c>
    </row>
    <row r="349" customFormat="false" ht="15" hidden="false" customHeight="false" outlineLevel="0" collapsed="false">
      <c r="A349" s="9" t="n">
        <v>46005</v>
      </c>
      <c r="B349" s="10" t="n">
        <v>942.95406731907</v>
      </c>
      <c r="C349" s="11" t="n">
        <v>148.195306640205</v>
      </c>
      <c r="D349" s="10" t="n">
        <v>400</v>
      </c>
      <c r="E349" s="11" t="n">
        <v>11.8249234052714</v>
      </c>
      <c r="F349" s="11" t="n">
        <v>22.9228927034087</v>
      </c>
      <c r="G349" s="11" t="n">
        <v>38.9551932162857</v>
      </c>
      <c r="H349" s="11" t="n">
        <f aca="false">IF(B349="","",F349*1000/B349)</f>
        <v>24.3096599271067</v>
      </c>
      <c r="I349" s="12" t="n">
        <v>90280.87</v>
      </c>
      <c r="J349" s="12" t="n">
        <f aca="false">F349*24*1000000*Assumptions!$B$3/D349</f>
        <v>68768.6781102259</v>
      </c>
      <c r="K349" s="12" t="n">
        <f aca="false">J349/Assumptions!$B$4</f>
        <v>91691.5708136346</v>
      </c>
      <c r="L349" s="12" t="n">
        <f aca="false">J349/Assumptions!$B$5</f>
        <v>105797.966323425</v>
      </c>
      <c r="M349" s="12" t="n">
        <f aca="false">E349*24*1000000*Assumptions!$B$3/D349/Assumptions!$B$5</f>
        <v>54576.5695627912</v>
      </c>
      <c r="N349" s="12" t="n">
        <f aca="false">G349*24*1000000*Assumptions!$B$3/D349/Assumptions!$B$5</f>
        <v>179793.19945978</v>
      </c>
      <c r="O349" s="12" t="n">
        <f aca="false">IF(ROW()&lt;8,"",AVERAGE(L343:L349))</f>
        <v>95710.1412645578</v>
      </c>
      <c r="P349" s="13" t="n">
        <f aca="false">IF(I349="","",I349/L349)</f>
        <v>0.85333275428009</v>
      </c>
    </row>
    <row r="350" customFormat="false" ht="15" hidden="false" customHeight="false" outlineLevel="0" collapsed="false">
      <c r="A350" s="9" t="n">
        <v>46006</v>
      </c>
      <c r="B350" s="10" t="n">
        <v>987.155039224651</v>
      </c>
      <c r="C350" s="11" t="n">
        <v>148.195306640204</v>
      </c>
      <c r="D350" s="10" t="n">
        <v>418.75</v>
      </c>
      <c r="E350" s="11" t="n">
        <v>11.6483191627</v>
      </c>
      <c r="F350" s="11" t="n">
        <v>22.5805412170872</v>
      </c>
      <c r="G350" s="11" t="n">
        <v>38.373400662</v>
      </c>
      <c r="H350" s="11" t="n">
        <f aca="false">IF(B350="","",F350*1000/B350)</f>
        <v>22.8743614932289</v>
      </c>
      <c r="I350" s="12" t="n">
        <v>88166.45</v>
      </c>
      <c r="J350" s="12" t="n">
        <f aca="false">F350*24*1000000*Assumptions!$B$3/D350</f>
        <v>64708.4166221007</v>
      </c>
      <c r="K350" s="12" t="n">
        <f aca="false">J350/Assumptions!$B$4</f>
        <v>86277.8888294676</v>
      </c>
      <c r="L350" s="12" t="n">
        <f aca="false">J350/Assumptions!$B$5</f>
        <v>99551.4101878473</v>
      </c>
      <c r="M350" s="12" t="n">
        <f aca="false">E350*24*1000000*Assumptions!$B$3/D350/Assumptions!$B$5</f>
        <v>51354.2429216625</v>
      </c>
      <c r="N350" s="12" t="n">
        <f aca="false">G350*24*1000000*Assumptions!$B$3/D350/Assumptions!$B$5</f>
        <v>169177.793963352</v>
      </c>
      <c r="O350" s="12" t="n">
        <f aca="false">IF(ROW()&lt;8,"",AVERAGE(L344:L350))</f>
        <v>97157.8671327291</v>
      </c>
      <c r="P350" s="13" t="n">
        <f aca="false">IF(I350="","",I350/L350)</f>
        <v>0.885637379055058</v>
      </c>
    </row>
    <row r="351" customFormat="false" ht="15" hidden="false" customHeight="false" outlineLevel="0" collapsed="false">
      <c r="A351" s="9" t="n">
        <v>46007</v>
      </c>
      <c r="B351" s="10" t="n">
        <v>1082.92381168674</v>
      </c>
      <c r="C351" s="11" t="n">
        <v>148.195306640204</v>
      </c>
      <c r="D351" s="10" t="n">
        <v>459.375</v>
      </c>
      <c r="E351" s="11" t="n">
        <v>11.8475233672714</v>
      </c>
      <c r="F351" s="11" t="n">
        <v>22.9667032623672</v>
      </c>
      <c r="G351" s="11" t="n">
        <v>39.0296449362857</v>
      </c>
      <c r="H351" s="11" t="n">
        <f aca="false">IF(B351="","",F351*1000/B351)</f>
        <v>21.208050847635</v>
      </c>
      <c r="I351" s="12" t="n">
        <v>86422.9</v>
      </c>
      <c r="J351" s="12" t="n">
        <f aca="false">F351*24*1000000*Assumptions!$B$3/D351</f>
        <v>59994.6534200613</v>
      </c>
      <c r="K351" s="12" t="n">
        <f aca="false">J351/Assumptions!$B$4</f>
        <v>79992.8712267484</v>
      </c>
      <c r="L351" s="12" t="n">
        <f aca="false">J351/Assumptions!$B$5</f>
        <v>92299.4668000943</v>
      </c>
      <c r="M351" s="12" t="n">
        <f aca="false">E351*24*1000000*Assumptions!$B$3/D351/Assumptions!$B$5</f>
        <v>47613.2807224723</v>
      </c>
      <c r="N351" s="12" t="n">
        <f aca="false">G351*24*1000000*Assumptions!$B$3/D351/Assumptions!$B$5</f>
        <v>156853.832083032</v>
      </c>
      <c r="O351" s="12" t="n">
        <f aca="false">IF(ROW()&lt;8,"",AVERAGE(L345:L351))</f>
        <v>95188.3682763456</v>
      </c>
      <c r="P351" s="13" t="n">
        <f aca="false">IF(I351="","",I351/L351)</f>
        <v>0.936331519521971</v>
      </c>
    </row>
    <row r="352" customFormat="false" ht="15" hidden="false" customHeight="false" outlineLevel="0" collapsed="false">
      <c r="A352" s="9" t="n">
        <v>46008</v>
      </c>
      <c r="B352" s="10" t="n">
        <v>1016.62235382837</v>
      </c>
      <c r="C352" s="11" t="n">
        <v>148.195306640204</v>
      </c>
      <c r="D352" s="10" t="n">
        <v>431.25</v>
      </c>
      <c r="E352" s="11" t="n">
        <v>11.6352316461857</v>
      </c>
      <c r="F352" s="11" t="n">
        <v>22.555170757886</v>
      </c>
      <c r="G352" s="11" t="n">
        <v>38.3302860711429</v>
      </c>
      <c r="H352" s="11" t="n">
        <f aca="false">IF(B352="","",F352*1000/B352)</f>
        <v>22.1863808846503</v>
      </c>
      <c r="I352" s="12" t="n">
        <v>87835.39</v>
      </c>
      <c r="J352" s="12" t="n">
        <f aca="false">F352*24*1000000*Assumptions!$B$3/D352</f>
        <v>62762.2142828132</v>
      </c>
      <c r="K352" s="12" t="n">
        <f aca="false">J352/Assumptions!$B$4</f>
        <v>83682.9523770843</v>
      </c>
      <c r="L352" s="12" t="n">
        <f aca="false">J352/Assumptions!$B$5</f>
        <v>96557.2527427896</v>
      </c>
      <c r="M352" s="12" t="n">
        <f aca="false">E352*24*1000000*Assumptions!$B$3/D352/Assumptions!$B$5</f>
        <v>49809.687314775</v>
      </c>
      <c r="N352" s="12" t="n">
        <f aca="false">G352*24*1000000*Assumptions!$B$3/D352/Assumptions!$B$5</f>
        <v>164089.518966765</v>
      </c>
      <c r="O352" s="12" t="n">
        <f aca="false">IF(ROW()&lt;8,"",AVERAGE(L346:L352))</f>
        <v>96789.074955432</v>
      </c>
      <c r="P352" s="13" t="n">
        <f aca="false">IF(I352="","",I352/L352)</f>
        <v>0.909671593846783</v>
      </c>
    </row>
    <row r="353" customFormat="false" ht="15" hidden="false" customHeight="false" outlineLevel="0" collapsed="false">
      <c r="A353" s="9" t="n">
        <v>46009</v>
      </c>
      <c r="B353" s="10" t="n">
        <v>1060.82332573395</v>
      </c>
      <c r="C353" s="11" t="n">
        <v>148.195306640204</v>
      </c>
      <c r="D353" s="10" t="n">
        <v>450</v>
      </c>
      <c r="E353" s="11" t="n">
        <v>11.4466730436143</v>
      </c>
      <c r="F353" s="11" t="n">
        <v>22.1896454629718</v>
      </c>
      <c r="G353" s="11" t="n">
        <v>37.7091119168571</v>
      </c>
      <c r="H353" s="11" t="n">
        <f aca="false">IF(B353="","",F353*1000/B353)</f>
        <v>20.9173807972401</v>
      </c>
      <c r="I353" s="12" t="n">
        <v>86132.82</v>
      </c>
      <c r="J353" s="12" t="n">
        <f aca="false">F353*24*1000000*Assumptions!$B$3/D353</f>
        <v>59172.3879012582</v>
      </c>
      <c r="K353" s="12" t="n">
        <f aca="false">J353/Assumptions!$B$4</f>
        <v>78896.5172016776</v>
      </c>
      <c r="L353" s="12" t="n">
        <f aca="false">J353/Assumptions!$B$5</f>
        <v>91034.4429250126</v>
      </c>
      <c r="M353" s="12" t="n">
        <f aca="false">E353*24*1000000*Assumptions!$B$3/D353/Assumptions!$B$5</f>
        <v>46960.7099225201</v>
      </c>
      <c r="N353" s="12" t="n">
        <f aca="false">G353*24*1000000*Assumptions!$B$3/D353/Assumptions!$B$5</f>
        <v>154704.04888967</v>
      </c>
      <c r="O353" s="12" t="n">
        <f aca="false">IF(ROW()&lt;8,"",AVERAGE(L347:L353))</f>
        <v>97352.5224197671</v>
      </c>
      <c r="P353" s="13" t="n">
        <f aca="false">IF(I353="","",I353/L353)</f>
        <v>0.946156391278737</v>
      </c>
    </row>
    <row r="354" customFormat="false" ht="15" hidden="false" customHeight="false" outlineLevel="0" collapsed="false">
      <c r="A354" s="9" t="n">
        <v>46010</v>
      </c>
      <c r="B354" s="10" t="n">
        <v>1068.19015438488</v>
      </c>
      <c r="C354" s="11" t="n">
        <v>148.195306640204</v>
      </c>
      <c r="D354" s="10" t="n">
        <v>453.125</v>
      </c>
      <c r="E354" s="11" t="n">
        <v>11.4466730436143</v>
      </c>
      <c r="F354" s="11" t="n">
        <v>22.1896454629718</v>
      </c>
      <c r="G354" s="11" t="n">
        <v>37.7091119168571</v>
      </c>
      <c r="H354" s="11" t="n">
        <f aca="false">IF(B354="","",F354*1000/B354)</f>
        <v>20.7731229986385</v>
      </c>
      <c r="I354" s="12" t="n">
        <v>85458.35</v>
      </c>
      <c r="J354" s="12" t="n">
        <f aca="false">F354*24*1000000*Assumptions!$B$3/D354</f>
        <v>58764.3024674564</v>
      </c>
      <c r="K354" s="12" t="n">
        <f aca="false">J354/Assumptions!$B$4</f>
        <v>78352.4032899419</v>
      </c>
      <c r="L354" s="12" t="n">
        <f aca="false">J354/Assumptions!$B$5</f>
        <v>90406.6191807021</v>
      </c>
      <c r="M354" s="12" t="n">
        <f aca="false">E354*24*1000000*Assumptions!$B$3/D354/Assumptions!$B$5</f>
        <v>46636.8429575372</v>
      </c>
      <c r="N354" s="12" t="n">
        <f aca="false">G354*24*1000000*Assumptions!$B$3/D354/Assumptions!$B$5</f>
        <v>153637.124414569</v>
      </c>
      <c r="O354" s="12" t="n">
        <f aca="false">IF(ROW()&lt;8,"",AVERAGE(L348:L354))</f>
        <v>96207.9479884517</v>
      </c>
      <c r="P354" s="13" t="n">
        <f aca="false">IF(I354="","",I354/L354)</f>
        <v>0.945266516704804</v>
      </c>
    </row>
    <row r="355" customFormat="false" ht="15" hidden="false" customHeight="false" outlineLevel="0" collapsed="false">
      <c r="A355" s="9" t="n">
        <v>46011</v>
      </c>
      <c r="B355" s="10" t="n">
        <v>1082.92381168674</v>
      </c>
      <c r="C355" s="11" t="n">
        <v>148.195306640204</v>
      </c>
      <c r="D355" s="10" t="n">
        <v>459.375</v>
      </c>
      <c r="E355" s="11" t="n">
        <v>11.4934418583286</v>
      </c>
      <c r="F355" s="11" t="n">
        <v>22.2803079125132</v>
      </c>
      <c r="G355" s="11" t="n">
        <v>37.8631837997143</v>
      </c>
      <c r="H355" s="11" t="n">
        <f aca="false">IF(B355="","",F355*1000/B355)</f>
        <v>20.5742155376654</v>
      </c>
      <c r="I355" s="12" t="n">
        <v>88098.82</v>
      </c>
      <c r="J355" s="12" t="n">
        <f aca="false">F355*24*1000000*Assumptions!$B$3/D355</f>
        <v>58201.6206694223</v>
      </c>
      <c r="K355" s="12" t="n">
        <f aca="false">J355/Assumptions!$B$4</f>
        <v>77602.160892563</v>
      </c>
      <c r="L355" s="12" t="n">
        <f aca="false">J355/Assumptions!$B$5</f>
        <v>89540.9548760342</v>
      </c>
      <c r="M355" s="12" t="n">
        <f aca="false">E355*24*1000000*Assumptions!$B$3/D355/Assumptions!$B$5</f>
        <v>46190.284391399</v>
      </c>
      <c r="N355" s="12" t="n">
        <f aca="false">G355*24*1000000*Assumptions!$B$3/D355/Assumptions!$B$5</f>
        <v>152166.013386607</v>
      </c>
      <c r="O355" s="12" t="n">
        <f aca="false">IF(ROW()&lt;8,"",AVERAGE(L349:L355))</f>
        <v>95026.8732908435</v>
      </c>
      <c r="P355" s="13" t="n">
        <f aca="false">IF(I355="","",I355/L355)</f>
        <v>0.983894131148916</v>
      </c>
    </row>
    <row r="356" customFormat="false" ht="15" hidden="false" customHeight="false" outlineLevel="0" collapsed="false">
      <c r="A356" s="9" t="n">
        <v>46012</v>
      </c>
      <c r="B356" s="10" t="n">
        <v>1016.62235382837</v>
      </c>
      <c r="C356" s="11" t="n">
        <v>148.195306640204</v>
      </c>
      <c r="D356" s="10" t="n">
        <v>431.25</v>
      </c>
      <c r="E356" s="11" t="n">
        <v>11.6103639586</v>
      </c>
      <c r="F356" s="11" t="n">
        <v>22.5069641594352</v>
      </c>
      <c r="G356" s="11" t="n">
        <v>38.248363716</v>
      </c>
      <c r="H356" s="11" t="n">
        <f aca="false">IF(B356="","",F356*1000/B356)</f>
        <v>22.1389624915083</v>
      </c>
      <c r="I356" s="12" t="n">
        <v>88337.41</v>
      </c>
      <c r="J356" s="12" t="n">
        <f aca="false">F356*24*1000000*Assumptions!$B$3/D356</f>
        <v>62628.0741827763</v>
      </c>
      <c r="K356" s="12" t="n">
        <f aca="false">J356/Assumptions!$B$4</f>
        <v>83504.0989103684</v>
      </c>
      <c r="L356" s="12" t="n">
        <f aca="false">J356/Assumptions!$B$5</f>
        <v>96350.8833581173</v>
      </c>
      <c r="M356" s="12" t="n">
        <f aca="false">E356*24*1000000*Assumptions!$B$3/D356/Assumptions!$B$5</f>
        <v>49703.2303244415</v>
      </c>
      <c r="N356" s="12" t="n">
        <f aca="false">G356*24*1000000*Assumptions!$B$3/D356/Assumptions!$B$5</f>
        <v>163738.814570167</v>
      </c>
      <c r="O356" s="12" t="n">
        <f aca="false">IF(ROW()&lt;8,"",AVERAGE(L350:L356))</f>
        <v>93677.2900100853</v>
      </c>
      <c r="P356" s="13" t="n">
        <f aca="false">IF(I356="","",I356/L356)</f>
        <v>0.916830307322323</v>
      </c>
    </row>
    <row r="357" customFormat="false" ht="15" hidden="false" customHeight="false" outlineLevel="0" collapsed="false">
      <c r="A357" s="9" t="n">
        <v>46013</v>
      </c>
      <c r="B357" s="10" t="n">
        <v>1023.9891824793</v>
      </c>
      <c r="C357" s="11" t="n">
        <v>148.195306640204</v>
      </c>
      <c r="D357" s="10" t="n">
        <v>400</v>
      </c>
      <c r="E357" s="11" t="n">
        <v>11.6688249373143</v>
      </c>
      <c r="F357" s="11" t="n">
        <v>22.6202921444441</v>
      </c>
      <c r="G357" s="11" t="n">
        <v>38.4409534388571</v>
      </c>
      <c r="H357" s="11" t="n">
        <f aca="false">IF(B357="","",F357*1000/B357)</f>
        <v>22.0903624095671</v>
      </c>
      <c r="I357" s="12" t="n">
        <v>88615.72</v>
      </c>
      <c r="J357" s="12" t="n">
        <f aca="false">F357*24*1000000*Assumptions!$B$3/D357</f>
        <v>67860.8764333323</v>
      </c>
      <c r="K357" s="12" t="n">
        <f aca="false">J357/Assumptions!$B$4</f>
        <v>90481.1685777764</v>
      </c>
      <c r="L357" s="12" t="n">
        <f aca="false">J357/Assumptions!$B$5</f>
        <v>104401.348358973</v>
      </c>
      <c r="M357" s="12" t="n">
        <f aca="false">E357*24*1000000*Assumptions!$B$3/D357/Assumptions!$B$5</f>
        <v>53856.1150952967</v>
      </c>
      <c r="N357" s="12" t="n">
        <f aca="false">G357*24*1000000*Assumptions!$B$3/D357/Assumptions!$B$5</f>
        <v>177419.785102418</v>
      </c>
      <c r="O357" s="12" t="n">
        <f aca="false">IF(ROW()&lt;8,"",AVERAGE(L351:L357))</f>
        <v>94370.1383202461</v>
      </c>
      <c r="P357" s="13" t="n">
        <f aca="false">IF(I357="","",I357/L357)</f>
        <v>0.848798616041858</v>
      </c>
    </row>
    <row r="358" customFormat="false" ht="15" hidden="false" customHeight="false" outlineLevel="0" collapsed="false">
      <c r="A358" s="9" t="n">
        <v>46014</v>
      </c>
      <c r="B358" s="10" t="n">
        <v>1068.19015438488</v>
      </c>
      <c r="C358" s="11" t="n">
        <v>148.195306640204</v>
      </c>
      <c r="D358" s="10" t="n">
        <v>487.5</v>
      </c>
      <c r="E358" s="11" t="n">
        <v>11.6454405140857</v>
      </c>
      <c r="F358" s="11" t="n">
        <v>22.5749608889063</v>
      </c>
      <c r="G358" s="11" t="n">
        <v>38.3639174451429</v>
      </c>
      <c r="H358" s="11" t="n">
        <f aca="false">IF(B358="","",F358*1000/B358)</f>
        <v>21.1338410078363</v>
      </c>
      <c r="I358" s="12" t="n">
        <v>88485.37</v>
      </c>
      <c r="J358" s="12" t="n">
        <f aca="false">F358*24*1000000*Assumptions!$B$3/D358</f>
        <v>55569.1344957693</v>
      </c>
      <c r="K358" s="12" t="n">
        <f aca="false">J358/Assumptions!$B$4</f>
        <v>74092.1793276924</v>
      </c>
      <c r="L358" s="12" t="n">
        <f aca="false">J358/Assumptions!$B$5</f>
        <v>85490.9761473373</v>
      </c>
      <c r="M358" s="12" t="n">
        <f aca="false">E358*24*1000000*Assumptions!$B$3/D358/Assumptions!$B$5</f>
        <v>44101.0765030465</v>
      </c>
      <c r="N358" s="12" t="n">
        <f aca="false">G358*24*1000000*Assumptions!$B$3/D358/Assumptions!$B$5</f>
        <v>145283.47434847</v>
      </c>
      <c r="O358" s="12" t="n">
        <f aca="false">IF(ROW()&lt;8,"",AVERAGE(L352:L358))</f>
        <v>93397.4967984237</v>
      </c>
      <c r="P358" s="13" t="n">
        <f aca="false">IF(I358="","",I358/L358)</f>
        <v>1.03502584702626</v>
      </c>
    </row>
    <row r="359" customFormat="false" ht="15" hidden="false" customHeight="false" outlineLevel="0" collapsed="false">
      <c r="A359" s="9" t="n">
        <v>46015</v>
      </c>
      <c r="B359" s="10" t="n">
        <v>1171.32575549791</v>
      </c>
      <c r="C359" s="11" t="n">
        <v>148.195306640204</v>
      </c>
      <c r="D359" s="10" t="n">
        <v>496.875</v>
      </c>
      <c r="E359" s="11" t="n">
        <v>11.8909768468857</v>
      </c>
      <c r="F359" s="11" t="n">
        <v>23.0509388566835</v>
      </c>
      <c r="G359" s="11" t="n">
        <v>39.1727950131429</v>
      </c>
      <c r="H359" s="11" t="n">
        <f aca="false">IF(B359="","",F359*1000/B359)</f>
        <v>19.6793579826007</v>
      </c>
      <c r="I359" s="12" t="n">
        <v>87424.67</v>
      </c>
      <c r="J359" s="12" t="n">
        <f aca="false">F359*24*1000000*Assumptions!$B$3/D359</f>
        <v>55670.191955764</v>
      </c>
      <c r="K359" s="12" t="n">
        <f aca="false">J359/Assumptions!$B$4</f>
        <v>74226.9226076853</v>
      </c>
      <c r="L359" s="12" t="n">
        <f aca="false">J359/Assumptions!$B$5</f>
        <v>85646.4491627138</v>
      </c>
      <c r="M359" s="12" t="n">
        <f aca="false">E359*24*1000000*Assumptions!$B$3/D359/Assumptions!$B$5</f>
        <v>44181.2782699963</v>
      </c>
      <c r="N359" s="12" t="n">
        <f aca="false">G359*24*1000000*Assumptions!$B$3/D359/Assumptions!$B$5</f>
        <v>145547.685389907</v>
      </c>
      <c r="O359" s="12" t="n">
        <f aca="false">IF(ROW()&lt;8,"",AVERAGE(L353:L359))</f>
        <v>91838.8105726986</v>
      </c>
      <c r="P359" s="13" t="n">
        <f aca="false">IF(I359="","",I359/L359)</f>
        <v>1.02076234163436</v>
      </c>
    </row>
    <row r="360" customFormat="false" ht="15" hidden="false" customHeight="false" outlineLevel="0" collapsed="false">
      <c r="A360" s="9" t="n">
        <v>46016</v>
      </c>
      <c r="B360" s="10" t="n">
        <v>1016.97381776831</v>
      </c>
      <c r="C360" s="11" t="n">
        <v>148.246540322168</v>
      </c>
      <c r="D360" s="10" t="n">
        <v>431.25</v>
      </c>
      <c r="E360" s="11" t="n">
        <v>11.8214063443143</v>
      </c>
      <c r="F360" s="11" t="n">
        <v>22.9160747978554</v>
      </c>
      <c r="G360" s="11" t="n">
        <v>38.9436068588571</v>
      </c>
      <c r="H360" s="11" t="n">
        <f aca="false">IF(B360="","",F360*1000/B360)</f>
        <v>22.5335936849813</v>
      </c>
      <c r="I360" s="12" t="n">
        <v>87607.78</v>
      </c>
      <c r="J360" s="12" t="n">
        <f aca="false">F360*24*1000000*Assumptions!$B$3/D360</f>
        <v>63766.469002728</v>
      </c>
      <c r="K360" s="12" t="n">
        <f aca="false">J360/Assumptions!$B$4</f>
        <v>85021.9586703039</v>
      </c>
      <c r="L360" s="12" t="n">
        <f aca="false">J360/Assumptions!$B$5</f>
        <v>98102.2600041968</v>
      </c>
      <c r="M360" s="12" t="n">
        <f aca="false">E360*24*1000000*Assumptions!$B$3/D360/Assumptions!$B$5</f>
        <v>50606.6893669641</v>
      </c>
      <c r="N360" s="12" t="n">
        <f aca="false">G360*24*1000000*Assumptions!$B$3/D360/Assumptions!$B$5</f>
        <v>166715.106285408</v>
      </c>
      <c r="O360" s="12" t="n">
        <f aca="false">IF(ROW()&lt;8,"",AVERAGE(L354:L360))</f>
        <v>92848.4987268678</v>
      </c>
      <c r="P360" s="13" t="n">
        <f aca="false">IF(I360="","",I360/L360)</f>
        <v>0.893025094388775</v>
      </c>
    </row>
    <row r="361" customFormat="false" ht="15" hidden="false" customHeight="false" outlineLevel="0" collapsed="false">
      <c r="A361" s="9" t="n">
        <v>46017</v>
      </c>
      <c r="B361" s="10" t="n">
        <v>1149.71480860432</v>
      </c>
      <c r="C361" s="11" t="n">
        <v>148.25843385548</v>
      </c>
      <c r="D361" s="10" t="n">
        <v>468.75</v>
      </c>
      <c r="E361" s="11" t="n">
        <v>11.9507976261143</v>
      </c>
      <c r="F361" s="11" t="n">
        <v>23.1669028470363</v>
      </c>
      <c r="G361" s="11" t="n">
        <v>39.3698643668571</v>
      </c>
      <c r="H361" s="11" t="n">
        <f aca="false">IF(B361="","",F361*1000/B361)</f>
        <v>20.1501299919407</v>
      </c>
      <c r="I361" s="12" t="n">
        <v>87223.66</v>
      </c>
      <c r="J361" s="12" t="n">
        <f aca="false">F361*24*1000000*Assumptions!$B$3/D361</f>
        <v>59307.2712884129</v>
      </c>
      <c r="K361" s="12" t="n">
        <f aca="false">J361/Assumptions!$B$4</f>
        <v>79076.3617178838</v>
      </c>
      <c r="L361" s="12" t="n">
        <f aca="false">J361/Assumptions!$B$5</f>
        <v>91241.9558283275</v>
      </c>
      <c r="M361" s="12" t="n">
        <f aca="false">E361*24*1000000*Assumptions!$B$3/D361/Assumptions!$B$5</f>
        <v>47067.7568043886</v>
      </c>
      <c r="N361" s="12" t="n">
        <f aca="false">G361*24*1000000*Assumptions!$B$3/D361/Assumptions!$B$5</f>
        <v>155056.696583314</v>
      </c>
      <c r="O361" s="12" t="n">
        <f aca="false">IF(ROW()&lt;8,"",AVERAGE(L355:L361))</f>
        <v>92967.8325336714</v>
      </c>
      <c r="P361" s="13" t="n">
        <f aca="false">IF(I361="","",I361/L361)</f>
        <v>0.955959998973631</v>
      </c>
    </row>
    <row r="362" customFormat="false" ht="15" hidden="false" customHeight="false" outlineLevel="0" collapsed="false">
      <c r="A362" s="9" t="n">
        <v>46018</v>
      </c>
      <c r="B362" s="10" t="n">
        <v>1002.31547416787</v>
      </c>
      <c r="C362" s="11" t="n">
        <v>148.25843385548</v>
      </c>
      <c r="D362" s="10" t="n">
        <v>443.75</v>
      </c>
      <c r="E362" s="11" t="n">
        <v>11.8228606750571</v>
      </c>
      <c r="F362" s="11" t="n">
        <v>22.9188940522751</v>
      </c>
      <c r="G362" s="11" t="n">
        <v>38.9483979034286</v>
      </c>
      <c r="H362" s="11" t="n">
        <f aca="false">IF(B362="","",F362*1000/B362)</f>
        <v>22.865948539109</v>
      </c>
      <c r="I362" s="12" t="n">
        <v>87300.34</v>
      </c>
      <c r="J362" s="12" t="n">
        <f aca="false">F362*24*1000000*Assumptions!$B$3/D362</f>
        <v>61977.8543385468</v>
      </c>
      <c r="K362" s="12" t="n">
        <f aca="false">J362/Assumptions!$B$4</f>
        <v>82637.1391180625</v>
      </c>
      <c r="L362" s="12" t="n">
        <f aca="false">J362/Assumptions!$B$5</f>
        <v>95350.5451362259</v>
      </c>
      <c r="M362" s="12" t="n">
        <f aca="false">E362*24*1000000*Assumptions!$B$3/D362/Assumptions!$B$5</f>
        <v>49187.1993415162</v>
      </c>
      <c r="N362" s="12" t="n">
        <f aca="false">G362*24*1000000*Assumptions!$B$3/D362/Assumptions!$B$5</f>
        <v>162038.838514806</v>
      </c>
      <c r="O362" s="12" t="n">
        <f aca="false">IF(ROW()&lt;8,"",AVERAGE(L356:L362))</f>
        <v>93797.7739994131</v>
      </c>
      <c r="P362" s="13" t="n">
        <f aca="false">IF(I362="","",I362/L362)</f>
        <v>0.915572531601946</v>
      </c>
    </row>
    <row r="363" customFormat="false" ht="15" hidden="false" customHeight="false" outlineLevel="0" collapsed="false">
      <c r="A363" s="9" t="n">
        <v>46019</v>
      </c>
      <c r="B363" s="10" t="n">
        <v>1142.3448418825</v>
      </c>
      <c r="C363" s="11" t="n">
        <v>148.25843385548</v>
      </c>
      <c r="D363" s="10" t="n">
        <v>484.375</v>
      </c>
      <c r="E363" s="11" t="n">
        <v>12.0224001794286</v>
      </c>
      <c r="F363" s="11" t="n">
        <v>23.3057060841195</v>
      </c>
      <c r="G363" s="11" t="n">
        <v>39.6057467657143</v>
      </c>
      <c r="H363" s="11" t="n">
        <f aca="false">IF(B363="","",F363*1000/B363)</f>
        <v>20.4016381303158</v>
      </c>
      <c r="I363" s="12" t="n">
        <v>87790.37</v>
      </c>
      <c r="J363" s="12" t="n">
        <f aca="false">F363*24*1000000*Assumptions!$B$3/D363</f>
        <v>57738.00733098</v>
      </c>
      <c r="K363" s="12" t="n">
        <f aca="false">J363/Assumptions!$B$4</f>
        <v>76984.00977464</v>
      </c>
      <c r="L363" s="12" t="n">
        <f aca="false">J363/Assumptions!$B$5</f>
        <v>88827.7035861231</v>
      </c>
      <c r="M363" s="12" t="n">
        <f aca="false">E363*24*1000000*Assumptions!$B$3/D363/Assumptions!$B$5</f>
        <v>45822.3490709734</v>
      </c>
      <c r="N363" s="12" t="n">
        <f aca="false">G363*24*1000000*Assumptions!$B$3/D363/Assumptions!$B$5</f>
        <v>150953.91323111</v>
      </c>
      <c r="O363" s="12" t="n">
        <f aca="false">IF(ROW()&lt;8,"",AVERAGE(L357:L363))</f>
        <v>92723.0340319853</v>
      </c>
      <c r="P363" s="13" t="n">
        <f aca="false">IF(I363="","",I363/L363)</f>
        <v>0.988321958755611</v>
      </c>
    </row>
    <row r="364" customFormat="false" ht="15" hidden="false" customHeight="false" outlineLevel="0" collapsed="false">
      <c r="A364" s="9" t="n">
        <v>46020</v>
      </c>
      <c r="B364" s="10" t="n">
        <v>1134.97487516068</v>
      </c>
      <c r="C364" s="11" t="n">
        <v>148.25843385548</v>
      </c>
      <c r="D364" s="10" t="n">
        <v>462.5</v>
      </c>
      <c r="E364" s="11" t="n">
        <v>12.1985501817143</v>
      </c>
      <c r="F364" s="11" t="n">
        <v>23.6471770149419</v>
      </c>
      <c r="G364" s="11" t="n">
        <v>40.1860429028571</v>
      </c>
      <c r="H364" s="11" t="n">
        <f aca="false">IF(B364="","",F364*1000/B364)</f>
        <v>20.8349784056622</v>
      </c>
      <c r="I364" s="12" t="n">
        <v>87835.12</v>
      </c>
      <c r="J364" s="12" t="n">
        <f aca="false">F364*24*1000000*Assumptions!$B$3/D364</f>
        <v>61354.8376603897</v>
      </c>
      <c r="K364" s="12" t="n">
        <f aca="false">J364/Assumptions!$B$4</f>
        <v>81806.4502138529</v>
      </c>
      <c r="L364" s="12" t="n">
        <f aca="false">J364/Assumptions!$B$5</f>
        <v>94392.0579390611</v>
      </c>
      <c r="M364" s="12" t="n">
        <f aca="false">E364*24*1000000*Assumptions!$B$3/D364/Assumptions!$B$5</f>
        <v>48692.7574821027</v>
      </c>
      <c r="N364" s="12" t="n">
        <f aca="false">G364*24*1000000*Assumptions!$B$3/D364/Assumptions!$B$5</f>
        <v>160409.984144461</v>
      </c>
      <c r="O364" s="12" t="n">
        <f aca="false">IF(ROW()&lt;8,"",AVERAGE(L358:L364))</f>
        <v>91293.1354005694</v>
      </c>
      <c r="P364" s="13" t="n">
        <f aca="false">IF(I364="","",I364/L364)</f>
        <v>0.93053506743868</v>
      </c>
    </row>
    <row r="365" customFormat="false" ht="15" hidden="false" customHeight="false" outlineLevel="0" collapsed="false">
      <c r="A365" s="9" t="n">
        <v>46021</v>
      </c>
      <c r="B365" s="10" t="n">
        <v>877.026039896886</v>
      </c>
      <c r="C365" s="11" t="n">
        <v>148.258433855481</v>
      </c>
      <c r="D365" s="10" t="n">
        <v>390.625</v>
      </c>
      <c r="E365" s="11" t="n">
        <v>11.8951454617286</v>
      </c>
      <c r="F365" s="11" t="n">
        <v>23.0590198147997</v>
      </c>
      <c r="G365" s="11" t="n">
        <v>39.1865278037143</v>
      </c>
      <c r="H365" s="11" t="n">
        <f aca="false">IF(B365="","",F365*1000/B365)</f>
        <v>26.2922863926718</v>
      </c>
      <c r="I365" s="12" t="n">
        <v>87123.05</v>
      </c>
      <c r="J365" s="12" t="n">
        <f aca="false">F365*24*1000000*Assumptions!$B$3/D365</f>
        <v>70837.3088710646</v>
      </c>
      <c r="K365" s="12" t="n">
        <f aca="false">J365/Assumptions!$B$4</f>
        <v>94449.7451614195</v>
      </c>
      <c r="L365" s="12" t="n">
        <f aca="false">J365/Assumptions!$B$5</f>
        <v>108980.475186253</v>
      </c>
      <c r="M365" s="12" t="n">
        <f aca="false">E365*24*1000000*Assumptions!$B$3/D365/Assumptions!$B$5</f>
        <v>56218.287474508</v>
      </c>
      <c r="N365" s="12" t="n">
        <f aca="false">G365*24*1000000*Assumptions!$B$3/D365/Assumptions!$B$5</f>
        <v>185201.559096939</v>
      </c>
      <c r="O365" s="12" t="n">
        <f aca="false">IF(ROW()&lt;8,"",AVERAGE(L359:L365))</f>
        <v>94648.7781204145</v>
      </c>
      <c r="P365" s="13" t="n">
        <f aca="false">IF(I365="","",I365/L365)</f>
        <v>0.799437237276698</v>
      </c>
    </row>
    <row r="366" customFormat="false" ht="15" hidden="false" customHeight="false" outlineLevel="0" collapsed="false">
      <c r="A366" s="9" t="n">
        <v>46022</v>
      </c>
      <c r="B366" s="10" t="n">
        <v>980.205574002402</v>
      </c>
      <c r="C366" s="11" t="n">
        <v>148.25843385548</v>
      </c>
      <c r="D366" s="10" t="n">
        <v>415.625</v>
      </c>
      <c r="E366" s="11" t="n">
        <v>11.5918105125429</v>
      </c>
      <c r="F366" s="11" t="n">
        <v>22.4709978669976</v>
      </c>
      <c r="G366" s="11" t="n">
        <v>38.1872425525714</v>
      </c>
      <c r="H366" s="11" t="n">
        <f aca="false">IF(B366="","",F366*1000/B366)</f>
        <v>22.9247807429246</v>
      </c>
      <c r="I366" s="12" t="n">
        <v>88423.54</v>
      </c>
      <c r="J366" s="12" t="n">
        <f aca="false">F366*24*1000000*Assumptions!$B$3/D366</f>
        <v>64878.6705332863</v>
      </c>
      <c r="K366" s="12" t="n">
        <f aca="false">J366/Assumptions!$B$4</f>
        <v>86504.8940443817</v>
      </c>
      <c r="L366" s="12" t="n">
        <f aca="false">J366/Assumptions!$B$5</f>
        <v>99813.3392819789</v>
      </c>
      <c r="M366" s="12" t="n">
        <f aca="false">E366*24*1000000*Assumptions!$B$3/D366/Assumptions!$B$5</f>
        <v>51489.3607497566</v>
      </c>
      <c r="N366" s="12" t="n">
        <f aca="false">G366*24*1000000*Assumptions!$B$3/D366/Assumptions!$B$5</f>
        <v>169622.916601358</v>
      </c>
      <c r="O366" s="12" t="n">
        <f aca="false">IF(ROW()&lt;8,"",AVERAGE(L360:L366))</f>
        <v>96672.6195660238</v>
      </c>
      <c r="P366" s="13" t="n">
        <f aca="false">IF(I366="","",I366/L366)</f>
        <v>0.885889006780927</v>
      </c>
    </row>
    <row r="367" customFormat="false" ht="15" hidden="false" customHeight="false" outlineLevel="0" collapsed="false">
      <c r="A367" s="9" t="n">
        <v>46023</v>
      </c>
      <c r="B367" s="10" t="n">
        <v>1112.86497499521</v>
      </c>
      <c r="C367" s="11" t="n">
        <v>148.25843385548</v>
      </c>
      <c r="D367" s="10" t="n">
        <v>471.875</v>
      </c>
      <c r="E367" s="11" t="n">
        <v>11.7439786275429</v>
      </c>
      <c r="F367" s="11" t="n">
        <v>22.7716615485645</v>
      </c>
      <c r="G367" s="11" t="n">
        <v>38.6885344525714</v>
      </c>
      <c r="H367" s="11" t="n">
        <f aca="false">IF(B367="","",F367*1000/B367)</f>
        <v>20.4621962773719</v>
      </c>
      <c r="I367" s="12" t="n">
        <v>87493.87</v>
      </c>
      <c r="J367" s="12" t="n">
        <f aca="false">F367*24*1000000*Assumptions!$B$3/D367</f>
        <v>57909.3909579389</v>
      </c>
      <c r="K367" s="12" t="n">
        <f aca="false">J367/Assumptions!$B$4</f>
        <v>77212.5212772519</v>
      </c>
      <c r="L367" s="12" t="n">
        <f aca="false">J367/Assumptions!$B$5</f>
        <v>89091.3707045214</v>
      </c>
      <c r="M367" s="12" t="n">
        <f aca="false">E367*24*1000000*Assumptions!$B$3/D367/Assumptions!$B$5</f>
        <v>45946.8954964489</v>
      </c>
      <c r="N367" s="12" t="n">
        <f aca="false">G367*24*1000000*Assumptions!$B$3/D367/Assumptions!$B$5</f>
        <v>151364.210186321</v>
      </c>
      <c r="O367" s="12" t="n">
        <f aca="false">IF(ROW()&lt;8,"",AVERAGE(L361:L367))</f>
        <v>95385.3496660702</v>
      </c>
      <c r="P367" s="13" t="n">
        <f aca="false">IF(I367="","",I367/L367)</f>
        <v>0.982068962550597</v>
      </c>
    </row>
    <row r="368" customFormat="false" ht="15" hidden="false" customHeight="false" outlineLevel="0" collapsed="false">
      <c r="A368" s="9" t="n">
        <v>46024</v>
      </c>
      <c r="B368" s="10" t="n">
        <v>1061.27520794245</v>
      </c>
      <c r="C368" s="11" t="n">
        <v>148.25843385548</v>
      </c>
      <c r="D368" s="10" t="n">
        <v>428.125</v>
      </c>
      <c r="E368" s="11" t="n">
        <v>11.6036123481143</v>
      </c>
      <c r="F368" s="11" t="n">
        <v>22.5049769986537</v>
      </c>
      <c r="G368" s="11" t="n">
        <v>38.2261216868571</v>
      </c>
      <c r="H368" s="11" t="n">
        <f aca="false">IF(B368="","",F368*1000/B368)</f>
        <v>21.2055994809162</v>
      </c>
      <c r="I368" s="12" t="n">
        <v>88735</v>
      </c>
      <c r="J368" s="12" t="n">
        <f aca="false">F368*24*1000000*Assumptions!$B$3/D368</f>
        <v>63079.6435582701</v>
      </c>
      <c r="K368" s="12" t="n">
        <f aca="false">J368/Assumptions!$B$4</f>
        <v>84106.1914110269</v>
      </c>
      <c r="L368" s="12" t="n">
        <f aca="false">J368/Assumptions!$B$5</f>
        <v>97045.6054742618</v>
      </c>
      <c r="M368" s="12" t="n">
        <f aca="false">E368*24*1000000*Assumptions!$B$3/D368/Assumptions!$B$5</f>
        <v>50036.9134382469</v>
      </c>
      <c r="N368" s="12" t="n">
        <f aca="false">G368*24*1000000*Assumptions!$B$3/D368/Assumptions!$B$5</f>
        <v>164838.076673253</v>
      </c>
      <c r="O368" s="12" t="n">
        <f aca="false">IF(ROW()&lt;8,"",AVERAGE(L362:L368))</f>
        <v>96214.4424726322</v>
      </c>
      <c r="P368" s="13" t="n">
        <f aca="false">IF(I368="","",I368/L368)</f>
        <v>0.914363917524675</v>
      </c>
    </row>
    <row r="369" customFormat="false" ht="15" hidden="false" customHeight="false" outlineLevel="0" collapsed="false">
      <c r="A369" s="9" t="n">
        <v>46025</v>
      </c>
      <c r="B369" s="10" t="n">
        <v>1142.3448418825</v>
      </c>
      <c r="C369" s="11" t="n">
        <v>148.25843385548</v>
      </c>
      <c r="D369" s="10" t="n">
        <v>506.25</v>
      </c>
      <c r="E369" s="11" t="n">
        <v>11.8258589148857</v>
      </c>
      <c r="F369" s="11" t="n">
        <v>22.941639932171</v>
      </c>
      <c r="G369" s="11" t="n">
        <v>38.9582750931429</v>
      </c>
      <c r="H369" s="11" t="n">
        <f aca="false">IF(B369="","",F369*1000/B369)</f>
        <v>20.0829373854964</v>
      </c>
      <c r="I369" s="12" t="n">
        <v>89944.05</v>
      </c>
      <c r="J369" s="12" t="n">
        <f aca="false">F369*24*1000000*Assumptions!$B$3/D369</f>
        <v>54380.1835429238</v>
      </c>
      <c r="K369" s="12" t="n">
        <f aca="false">J369/Assumptions!$B$4</f>
        <v>72506.911390565</v>
      </c>
      <c r="L369" s="12" t="n">
        <f aca="false">J369/Assumptions!$B$5</f>
        <v>83661.8208352673</v>
      </c>
      <c r="M369" s="12" t="n">
        <f aca="false">E369*24*1000000*Assumptions!$B$3/D369/Assumptions!$B$5</f>
        <v>43125.6393477314</v>
      </c>
      <c r="N369" s="12" t="n">
        <f aca="false">G369*24*1000000*Assumptions!$B$3/D369/Assumptions!$B$5</f>
        <v>142070.063017729</v>
      </c>
      <c r="O369" s="12" t="n">
        <f aca="false">IF(ROW()&lt;8,"",AVERAGE(L363:L369))</f>
        <v>94544.6247153524</v>
      </c>
      <c r="P369" s="13" t="n">
        <f aca="false">IF(I369="","",I369/L369)</f>
        <v>1.07509075348841</v>
      </c>
    </row>
    <row r="370" customFormat="false" ht="15" hidden="false" customHeight="false" outlineLevel="0" collapsed="false">
      <c r="A370" s="9" t="n">
        <v>46026</v>
      </c>
      <c r="B370" s="10" t="n">
        <v>1068.64517466427</v>
      </c>
      <c r="C370" s="11" t="n">
        <v>148.25843385548</v>
      </c>
      <c r="D370" s="10" t="n">
        <v>453.125</v>
      </c>
      <c r="E370" s="11" t="n">
        <v>11.7088871211714</v>
      </c>
      <c r="F370" s="11" t="n">
        <v>22.7203437748257</v>
      </c>
      <c r="G370" s="11" t="n">
        <v>38.5729314702857</v>
      </c>
      <c r="H370" s="11" t="n">
        <f aca="false">IF(B370="","",F370*1000/B370)</f>
        <v>21.2608865070331</v>
      </c>
      <c r="I370" s="12" t="n">
        <v>90590.94</v>
      </c>
      <c r="J370" s="12" t="n">
        <f aca="false">F370*24*1000000*Assumptions!$B$3/D370</f>
        <v>60169.7379967797</v>
      </c>
      <c r="K370" s="12" t="n">
        <f aca="false">J370/Assumptions!$B$4</f>
        <v>80226.3173290396</v>
      </c>
      <c r="L370" s="12" t="n">
        <f aca="false">J370/Assumptions!$B$5</f>
        <v>92568.8276873534</v>
      </c>
      <c r="M370" s="12" t="n">
        <f aca="false">E370*24*1000000*Assumptions!$B$3/D370/Assumptions!$B$5</f>
        <v>47705.1740533669</v>
      </c>
      <c r="N370" s="12" t="n">
        <f aca="false">G370*24*1000000*Assumptions!$B$3/D370/Assumptions!$B$5</f>
        <v>157156.558987689</v>
      </c>
      <c r="O370" s="12" t="n">
        <f aca="false">IF(ROW()&lt;8,"",AVERAGE(L364:L370))</f>
        <v>95079.0710155282</v>
      </c>
      <c r="P370" s="13" t="n">
        <f aca="false">IF(I370="","",I370/L370)</f>
        <v>0.978633328985935</v>
      </c>
    </row>
    <row r="371" customFormat="false" ht="15" hidden="false" customHeight="false" outlineLevel="0" collapsed="false">
      <c r="A371" s="9" t="n">
        <v>46027</v>
      </c>
      <c r="B371" s="10" t="n">
        <v>972.835607280579</v>
      </c>
      <c r="C371" s="11" t="n">
        <v>148.258433855481</v>
      </c>
      <c r="D371" s="10" t="n">
        <v>412.5</v>
      </c>
      <c r="E371" s="11" t="n">
        <v>11.4515490480286</v>
      </c>
      <c r="F371" s="11" t="n">
        <v>22.2264550801806</v>
      </c>
      <c r="G371" s="11" t="n">
        <v>37.7251750817143</v>
      </c>
      <c r="H371" s="11" t="n">
        <f aca="false">IF(B371="","",F371*1000/B371)</f>
        <v>22.8470821933743</v>
      </c>
      <c r="I371" s="12" t="n">
        <v>91467.97</v>
      </c>
      <c r="J371" s="12" t="n">
        <f aca="false">F371*24*1000000*Assumptions!$B$3/D371</f>
        <v>64658.7784150708</v>
      </c>
      <c r="K371" s="12" t="n">
        <f aca="false">J371/Assumptions!$B$4</f>
        <v>86211.7045534277</v>
      </c>
      <c r="L371" s="12" t="n">
        <f aca="false">J371/Assumptions!$B$5</f>
        <v>99475.0437154936</v>
      </c>
      <c r="M371" s="12" t="n">
        <f aca="false">E371*24*1000000*Assumptions!$B$3/D371/Assumptions!$B$5</f>
        <v>51251.6880471209</v>
      </c>
      <c r="N371" s="12" t="n">
        <f aca="false">G371*24*1000000*Assumptions!$B$3/D371/Assumptions!$B$5</f>
        <v>168839.944421658</v>
      </c>
      <c r="O371" s="12" t="n">
        <f aca="false">IF(ROW()&lt;8,"",AVERAGE(L365:L371))</f>
        <v>95805.2118407328</v>
      </c>
      <c r="P371" s="13" t="n">
        <f aca="false">IF(I371="","",I371/L371)</f>
        <v>0.919506708251424</v>
      </c>
    </row>
    <row r="372" customFormat="false" ht="15" hidden="false" customHeight="false" outlineLevel="0" collapsed="false">
      <c r="A372" s="9" t="n">
        <v>46028</v>
      </c>
      <c r="B372" s="10" t="n">
        <v>958.095673836934</v>
      </c>
      <c r="C372" s="11" t="n">
        <v>148.258433855481</v>
      </c>
      <c r="D372" s="10" t="n">
        <v>406.25</v>
      </c>
      <c r="E372" s="11" t="n">
        <v>11.5802181639571</v>
      </c>
      <c r="F372" s="11" t="n">
        <v>22.4807751579095</v>
      </c>
      <c r="G372" s="11" t="n">
        <v>38.1490535374286</v>
      </c>
      <c r="H372" s="11" t="n">
        <f aca="false">IF(B372="","",F372*1000/B372)</f>
        <v>23.4640190659452</v>
      </c>
      <c r="I372" s="12" t="n">
        <v>93882.39</v>
      </c>
      <c r="J372" s="12" t="n">
        <f aca="false">F372*24*1000000*Assumptions!$B$3/D372</f>
        <v>66404.751235671</v>
      </c>
      <c r="K372" s="12" t="n">
        <f aca="false">J372/Assumptions!$B$4</f>
        <v>88539.668314228</v>
      </c>
      <c r="L372" s="12" t="n">
        <f aca="false">J372/Assumptions!$B$5</f>
        <v>102161.155747186</v>
      </c>
      <c r="M372" s="12" t="n">
        <f aca="false">E372*24*1000000*Assumptions!$B$3/D372/Assumptions!$B$5</f>
        <v>52624.8967450833</v>
      </c>
      <c r="N372" s="12" t="n">
        <f aca="false">G372*24*1000000*Assumptions!$B$3/D372/Assumptions!$B$5</f>
        <v>173363.74625293</v>
      </c>
      <c r="O372" s="12" t="n">
        <f aca="false">IF(ROW()&lt;8,"",AVERAGE(L366:L372))</f>
        <v>94831.0233494375</v>
      </c>
      <c r="P372" s="13" t="n">
        <f aca="false">IF(I372="","",I372/L372)</f>
        <v>0.918963663961739</v>
      </c>
    </row>
    <row r="373" customFormat="false" ht="15" hidden="false" customHeight="false" outlineLevel="0" collapsed="false">
      <c r="A373" s="9" t="n">
        <v>46029</v>
      </c>
      <c r="B373" s="10" t="n">
        <v>1083.38510810792</v>
      </c>
      <c r="C373" s="11" t="n">
        <v>148.25843385548</v>
      </c>
      <c r="D373" s="10" t="n">
        <v>459.375</v>
      </c>
      <c r="E373" s="11" t="n">
        <v>11.743978818</v>
      </c>
      <c r="F373" s="11" t="n">
        <v>22.803760727479</v>
      </c>
      <c r="G373" s="11" t="n">
        <v>38.68853508</v>
      </c>
      <c r="H373" s="11" t="n">
        <f aca="false">IF(B373="","",F373*1000/B373)</f>
        <v>21.0486193291919</v>
      </c>
      <c r="I373" s="12" t="n">
        <v>93738.8</v>
      </c>
      <c r="J373" s="12" t="n">
        <f aca="false">F373*24*1000000*Assumptions!$B$3/D373</f>
        <v>59569.007614639</v>
      </c>
      <c r="K373" s="12" t="n">
        <f aca="false">J373/Assumptions!$B$4</f>
        <v>79425.3434861854</v>
      </c>
      <c r="L373" s="12" t="n">
        <f aca="false">J373/Assumptions!$B$5</f>
        <v>91644.6270994447</v>
      </c>
      <c r="M373" s="12" t="n">
        <f aca="false">E373*24*1000000*Assumptions!$B$3/D373/Assumptions!$B$5</f>
        <v>47197.1519216327</v>
      </c>
      <c r="N373" s="12" t="n">
        <f aca="false">G373*24*1000000*Assumptions!$B$3/D373/Assumptions!$B$5</f>
        <v>155482.966726531</v>
      </c>
      <c r="O373" s="12" t="n">
        <f aca="false">IF(ROW()&lt;8,"",AVERAGE(L367:L373))</f>
        <v>93664.0644662183</v>
      </c>
      <c r="P373" s="13" t="n">
        <f aca="false">IF(I373="","",I373/L373)</f>
        <v>1.02285101665898</v>
      </c>
    </row>
    <row r="374" customFormat="false" ht="15" hidden="false" customHeight="false" outlineLevel="0" collapsed="false">
      <c r="A374" s="9" t="n">
        <v>46030</v>
      </c>
      <c r="B374" s="10" t="n">
        <v>965.289669128909</v>
      </c>
      <c r="C374" s="11" t="n">
        <v>147.108446165923</v>
      </c>
      <c r="D374" s="10" t="n">
        <v>412.5</v>
      </c>
      <c r="E374" s="11" t="n">
        <v>11.509051202</v>
      </c>
      <c r="F374" s="11" t="n">
        <v>22.347592232409</v>
      </c>
      <c r="G374" s="11" t="n">
        <v>37.91460612</v>
      </c>
      <c r="H374" s="11" t="n">
        <f aca="false">IF(B374="","",F374*1000/B374)</f>
        <v>23.1511772549848</v>
      </c>
      <c r="I374" s="12" t="n">
        <v>91272.61</v>
      </c>
      <c r="J374" s="12" t="n">
        <f aca="false">F374*24*1000000*Assumptions!$B$3/D374</f>
        <v>65011.1774033717</v>
      </c>
      <c r="K374" s="12" t="n">
        <f aca="false">J374/Assumptions!$B$4</f>
        <v>86681.5698711622</v>
      </c>
      <c r="L374" s="12" t="n">
        <f aca="false">J374/Assumptions!$B$5</f>
        <v>100017.196005187</v>
      </c>
      <c r="M374" s="12" t="n">
        <f aca="false">E374*24*1000000*Assumptions!$B$3/D374/Assumptions!$B$5</f>
        <v>51509.0403446154</v>
      </c>
      <c r="N374" s="12" t="n">
        <f aca="false">G374*24*1000000*Assumptions!$B$3/D374/Assumptions!$B$5</f>
        <v>169687.74766993</v>
      </c>
      <c r="O374" s="12" t="n">
        <f aca="false">IF(ROW()&lt;8,"",AVERAGE(L368:L374))</f>
        <v>95224.8966520277</v>
      </c>
      <c r="P374" s="13" t="n">
        <f aca="false">IF(I374="","",I374/L374)</f>
        <v>0.912569174557407</v>
      </c>
    </row>
    <row r="375" customFormat="false" ht="15" hidden="false" customHeight="false" outlineLevel="0" collapsed="false">
      <c r="A375" s="9" t="n">
        <v>46031</v>
      </c>
      <c r="B375" s="10" t="n">
        <v>1033.92911899837</v>
      </c>
      <c r="C375" s="11" t="n">
        <v>146.472570619932</v>
      </c>
      <c r="D375" s="10" t="n">
        <v>443.75</v>
      </c>
      <c r="E375" s="11" t="n">
        <v>11.4656490347143</v>
      </c>
      <c r="F375" s="11" t="n">
        <v>22.2633164811346</v>
      </c>
      <c r="G375" s="11" t="n">
        <v>37.7716250828571</v>
      </c>
      <c r="H375" s="11" t="n">
        <f aca="false">IF(B375="","",F375*1000/B375)</f>
        <v>21.5327299251447</v>
      </c>
      <c r="I375" s="12" t="n">
        <v>91030.38</v>
      </c>
      <c r="J375" s="12" t="n">
        <f aca="false">F375*24*1000000*Assumptions!$B$3/D375</f>
        <v>60205.0248503922</v>
      </c>
      <c r="K375" s="12" t="n">
        <f aca="false">J375/Assumptions!$B$4</f>
        <v>80273.3664671896</v>
      </c>
      <c r="L375" s="12" t="n">
        <f aca="false">J375/Assumptions!$B$5</f>
        <v>92623.1151544495</v>
      </c>
      <c r="M375" s="12" t="n">
        <f aca="false">E375*24*1000000*Assumptions!$B$3/D375/Assumptions!$B$5</f>
        <v>47701.0750740009</v>
      </c>
      <c r="N375" s="12" t="n">
        <f aca="false">G375*24*1000000*Assumptions!$B$3/D375/Assumptions!$B$5</f>
        <v>157143.055599319</v>
      </c>
      <c r="O375" s="12" t="n">
        <f aca="false">IF(ROW()&lt;8,"",AVERAGE(L369:L375))</f>
        <v>94593.112320626</v>
      </c>
      <c r="P375" s="13" t="n">
        <f aca="false">IF(I375="","",I375/L375)</f>
        <v>0.982804128841989</v>
      </c>
    </row>
    <row r="376" customFormat="false" ht="15" hidden="false" customHeight="false" outlineLevel="0" collapsed="false">
      <c r="A376" s="9" t="n">
        <v>46032</v>
      </c>
      <c r="B376" s="10" t="n">
        <v>1179.5529385756</v>
      </c>
      <c r="C376" s="11" t="n">
        <v>146.472570619932</v>
      </c>
      <c r="D376" s="10" t="n">
        <v>484.375</v>
      </c>
      <c r="E376" s="11" t="n">
        <v>11.5247036048571</v>
      </c>
      <c r="F376" s="11" t="n">
        <v>22.3779851388589</v>
      </c>
      <c r="G376" s="11" t="n">
        <v>37.9661702914286</v>
      </c>
      <c r="H376" s="11" t="n">
        <f aca="false">IF(B376="","",F376*1000/B376)</f>
        <v>18.9715818654837</v>
      </c>
      <c r="I376" s="12" t="n">
        <v>90495.68</v>
      </c>
      <c r="J376" s="12" t="n">
        <f aca="false">F376*24*1000000*Assumptions!$B$3/D376</f>
        <v>55439.6535053019</v>
      </c>
      <c r="K376" s="12" t="n">
        <f aca="false">J376/Assumptions!$B$4</f>
        <v>73919.5380070693</v>
      </c>
      <c r="L376" s="12" t="n">
        <f aca="false">J376/Assumptions!$B$5</f>
        <v>85291.7746235414</v>
      </c>
      <c r="M376" s="12" t="n">
        <f aca="false">E376*24*1000000*Assumptions!$B$3/D376/Assumptions!$B$5</f>
        <v>43925.4211837731</v>
      </c>
      <c r="N376" s="12" t="n">
        <f aca="false">G376*24*1000000*Assumptions!$B$3/D376/Assumptions!$B$5</f>
        <v>144704.807860135</v>
      </c>
      <c r="O376" s="12" t="n">
        <f aca="false">IF(ROW()&lt;8,"",AVERAGE(L370:L376))</f>
        <v>94825.962861808</v>
      </c>
      <c r="P376" s="13" t="n">
        <f aca="false">IF(I376="","",I376/L376)</f>
        <v>1.06101298043601</v>
      </c>
    </row>
    <row r="377" customFormat="false" ht="15" hidden="false" customHeight="false" outlineLevel="0" collapsed="false">
      <c r="A377" s="9" t="n">
        <v>46033</v>
      </c>
      <c r="B377" s="10" t="n">
        <v>888.305299421132</v>
      </c>
      <c r="C377" s="11" t="n">
        <v>146.472570619932</v>
      </c>
      <c r="D377" s="10" t="n">
        <v>403.125</v>
      </c>
      <c r="E377" s="11" t="n">
        <v>11.2384784207143</v>
      </c>
      <c r="F377" s="11" t="n">
        <v>21.8222100719481</v>
      </c>
      <c r="G377" s="11" t="n">
        <v>37.0232502428572</v>
      </c>
      <c r="H377" s="11" t="n">
        <f aca="false">IF(B377="","",F377*1000/B377)</f>
        <v>24.5661149226157</v>
      </c>
      <c r="I377" s="12" t="n">
        <v>90378.79</v>
      </c>
      <c r="J377" s="12" t="n">
        <f aca="false">F377*24*1000000*Assumptions!$B$3/D377</f>
        <v>64959.1369583571</v>
      </c>
      <c r="K377" s="12" t="n">
        <f aca="false">J377/Assumptions!$B$4</f>
        <v>86612.1826111429</v>
      </c>
      <c r="L377" s="12" t="n">
        <f aca="false">J377/Assumptions!$B$5</f>
        <v>99937.1337820879</v>
      </c>
      <c r="M377" s="12" t="n">
        <f aca="false">E377*24*1000000*Assumptions!$B$3/D377/Assumptions!$B$5</f>
        <v>51467.8081521083</v>
      </c>
      <c r="N377" s="12" t="n">
        <f aca="false">G377*24*1000000*Assumptions!$B$3/D377/Assumptions!$B$5</f>
        <v>169551.915244569</v>
      </c>
      <c r="O377" s="12" t="n">
        <f aca="false">IF(ROW()&lt;8,"",AVERAGE(L371:L377))</f>
        <v>95878.5780181986</v>
      </c>
      <c r="P377" s="13" t="n">
        <f aca="false">IF(I377="","",I377/L377)</f>
        <v>0.904356434686932</v>
      </c>
    </row>
    <row r="378" customFormat="false" ht="15" hidden="false" customHeight="false" outlineLevel="0" collapsed="false">
      <c r="A378" s="9" t="n">
        <v>46034</v>
      </c>
      <c r="B378" s="10" t="n">
        <v>1033.92911899837</v>
      </c>
      <c r="C378" s="11" t="n">
        <v>146.472570619932</v>
      </c>
      <c r="D378" s="10" t="n">
        <v>443.75</v>
      </c>
      <c r="E378" s="11" t="n">
        <v>11.3354425328571</v>
      </c>
      <c r="F378" s="11" t="n">
        <v>22.0104892273115</v>
      </c>
      <c r="G378" s="11" t="n">
        <v>37.3426819714286</v>
      </c>
      <c r="H378" s="11" t="n">
        <f aca="false">IF(B378="","",F378*1000/B378)</f>
        <v>21.2881993773755</v>
      </c>
      <c r="I378" s="12" t="n">
        <v>90818.26</v>
      </c>
      <c r="J378" s="12" t="n">
        <f aca="false">F378*24*1000000*Assumptions!$B$3/D378</f>
        <v>59521.3229808986</v>
      </c>
      <c r="K378" s="12" t="n">
        <f aca="false">J378/Assumptions!$B$4</f>
        <v>79361.7639745315</v>
      </c>
      <c r="L378" s="12" t="n">
        <f aca="false">J378/Assumptions!$B$5</f>
        <v>91571.2661244594</v>
      </c>
      <c r="M378" s="12" t="n">
        <f aca="false">E378*24*1000000*Assumptions!$B$3/D378/Assumptions!$B$5</f>
        <v>47159.3708842594</v>
      </c>
      <c r="N378" s="12" t="n">
        <f aca="false">G378*24*1000000*Assumptions!$B$3/D378/Assumptions!$B$5</f>
        <v>155358.503543105</v>
      </c>
      <c r="O378" s="12" t="n">
        <f aca="false">IF(ROW()&lt;8,"",AVERAGE(L372:L378))</f>
        <v>94749.4669337652</v>
      </c>
      <c r="P378" s="13" t="n">
        <f aca="false">IF(I378="","",I378/L378)</f>
        <v>0.991776829606834</v>
      </c>
    </row>
    <row r="379" customFormat="false" ht="15" hidden="false" customHeight="false" outlineLevel="0" collapsed="false">
      <c r="A379" s="9" t="n">
        <v>46035</v>
      </c>
      <c r="B379" s="10" t="n">
        <v>982.960782146335</v>
      </c>
      <c r="C379" s="11" t="n">
        <v>146.472570619932</v>
      </c>
      <c r="D379" s="10" t="n">
        <v>421.875</v>
      </c>
      <c r="E379" s="11" t="n">
        <v>11.3749069511</v>
      </c>
      <c r="F379" s="11" t="n">
        <v>22.0871188913125</v>
      </c>
      <c r="G379" s="11" t="n">
        <v>37.472690766</v>
      </c>
      <c r="H379" s="11" t="n">
        <f aca="false">IF(B379="","",F379*1000/B379)</f>
        <v>22.4699899451577</v>
      </c>
      <c r="I379" s="12" t="n">
        <v>91193.7</v>
      </c>
      <c r="J379" s="12" t="n">
        <f aca="false">F379*24*1000000*Assumptions!$B$3/D379</f>
        <v>62825.5826241779</v>
      </c>
      <c r="K379" s="12" t="n">
        <f aca="false">J379/Assumptions!$B$4</f>
        <v>83767.4434989038</v>
      </c>
      <c r="L379" s="12" t="n">
        <f aca="false">J379/Assumptions!$B$5</f>
        <v>96654.7424987352</v>
      </c>
      <c r="M379" s="12" t="n">
        <f aca="false">E379*24*1000000*Assumptions!$B$3/D379/Assumptions!$B$5</f>
        <v>49777.3705894291</v>
      </c>
      <c r="N379" s="12" t="n">
        <f aca="false">G379*24*1000000*Assumptions!$B$3/D379/Assumptions!$B$5</f>
        <v>163983.057027282</v>
      </c>
      <c r="O379" s="12" t="n">
        <f aca="false">IF(ROW()&lt;8,"",AVERAGE(L373:L379))</f>
        <v>93962.8364697008</v>
      </c>
      <c r="P379" s="13" t="n">
        <f aca="false">IF(I379="","",I379/L379)</f>
        <v>0.943499487375835</v>
      </c>
    </row>
    <row r="380" customFormat="false" ht="15" hidden="false" customHeight="false" outlineLevel="0" collapsed="false">
      <c r="A380" s="9" t="n">
        <v>46036</v>
      </c>
      <c r="B380" s="10" t="n">
        <v>902.867681378856</v>
      </c>
      <c r="C380" s="11" t="n">
        <v>146.472570619932</v>
      </c>
      <c r="D380" s="10" t="n">
        <v>387.5</v>
      </c>
      <c r="E380" s="11" t="n">
        <v>11.0884000491</v>
      </c>
      <c r="F380" s="11" t="n">
        <v>21.5307968013948</v>
      </c>
      <c r="G380" s="11" t="n">
        <v>36.528842646</v>
      </c>
      <c r="H380" s="11" t="n">
        <f aca="false">IF(B380="","",F380*1000/B380)</f>
        <v>23.8471231670549</v>
      </c>
      <c r="I380" s="12" t="n">
        <v>95333.81</v>
      </c>
      <c r="J380" s="12" t="n">
        <f aca="false">F380*24*1000000*Assumptions!$B$3/D380</f>
        <v>66676.0159010937</v>
      </c>
      <c r="K380" s="12" t="n">
        <f aca="false">J380/Assumptions!$B$4</f>
        <v>88901.3545347915</v>
      </c>
      <c r="L380" s="12" t="n">
        <f aca="false">J380/Assumptions!$B$5</f>
        <v>102578.486001683</v>
      </c>
      <c r="M380" s="12" t="n">
        <f aca="false">E380*24*1000000*Assumptions!$B$3/D380/Assumptions!$B$5</f>
        <v>52828.109415067</v>
      </c>
      <c r="N380" s="12" t="n">
        <f aca="false">G380*24*1000000*Assumptions!$B$3/D380/Assumptions!$B$5</f>
        <v>174033.195732804</v>
      </c>
      <c r="O380" s="12" t="n">
        <f aca="false">IF(ROW()&lt;8,"",AVERAGE(L374:L380))</f>
        <v>95524.8163128776</v>
      </c>
      <c r="P380" s="13" t="n">
        <f aca="false">IF(I380="","",I380/L380)</f>
        <v>0.929374313425101</v>
      </c>
    </row>
    <row r="381" customFormat="false" ht="15" hidden="false" customHeight="false" outlineLevel="0" collapsed="false">
      <c r="A381" s="9" t="n">
        <v>46037</v>
      </c>
      <c r="B381" s="10" t="n">
        <v>1012.08554606178</v>
      </c>
      <c r="C381" s="11" t="n">
        <v>146.472570619932</v>
      </c>
      <c r="D381" s="10" t="n">
        <v>434.375</v>
      </c>
      <c r="E381" s="11" t="n">
        <v>11.1633763126286</v>
      </c>
      <c r="F381" s="11" t="n">
        <v>21.6763812579272</v>
      </c>
      <c r="G381" s="11" t="n">
        <v>36.7758391577143</v>
      </c>
      <c r="H381" s="11" t="n">
        <f aca="false">IF(B381="","",F381*1000/B381)</f>
        <v>21.4175386085436</v>
      </c>
      <c r="I381" s="12" t="n">
        <v>96931.94</v>
      </c>
      <c r="J381" s="12" t="n">
        <f aca="false">F381*24*1000000*Assumptions!$B$3/D381</f>
        <v>59882.9525398851</v>
      </c>
      <c r="K381" s="12" t="n">
        <f aca="false">J381/Assumptions!$B$4</f>
        <v>79843.9367198468</v>
      </c>
      <c r="L381" s="12" t="n">
        <f aca="false">J381/Assumptions!$B$5</f>
        <v>92127.619292131</v>
      </c>
      <c r="M381" s="12" t="n">
        <f aca="false">E381*24*1000000*Assumptions!$B$3/D381/Assumptions!$B$5</f>
        <v>47445.8937913599</v>
      </c>
      <c r="N381" s="12" t="n">
        <f aca="false">G381*24*1000000*Assumptions!$B$3/D381/Assumptions!$B$5</f>
        <v>156302.404389179</v>
      </c>
      <c r="O381" s="12" t="n">
        <f aca="false">IF(ROW()&lt;8,"",AVERAGE(L375:L381))</f>
        <v>94397.7339252981</v>
      </c>
      <c r="P381" s="13" t="n">
        <f aca="false">IF(I381="","",I381/L381)</f>
        <v>1.05214853856838</v>
      </c>
    </row>
    <row r="382" customFormat="false" ht="15" hidden="false" customHeight="false" outlineLevel="0" collapsed="false">
      <c r="A382" s="9" t="n">
        <v>46038</v>
      </c>
      <c r="B382" s="10" t="n">
        <v>946.554827252026</v>
      </c>
      <c r="C382" s="11" t="n">
        <v>146.472570619932</v>
      </c>
      <c r="D382" s="10" t="n">
        <v>396.875</v>
      </c>
      <c r="E382" s="11" t="n">
        <v>11.0247008164857</v>
      </c>
      <c r="F382" s="11" t="n">
        <v>21.4071094138772</v>
      </c>
      <c r="G382" s="11" t="n">
        <v>36.3189963891429</v>
      </c>
      <c r="H382" s="11" t="n">
        <f aca="false">IF(B382="","",F382*1000/B382)</f>
        <v>22.6158155846343</v>
      </c>
      <c r="I382" s="12" t="n">
        <v>95559.97</v>
      </c>
      <c r="J382" s="12" t="n">
        <f aca="false">F382*24*1000000*Assumptions!$B$3/D382</f>
        <v>64727.0079915658</v>
      </c>
      <c r="K382" s="12" t="n">
        <f aca="false">J382/Assumptions!$B$4</f>
        <v>86302.6773220878</v>
      </c>
      <c r="L382" s="12" t="n">
        <f aca="false">J382/Assumptions!$B$5</f>
        <v>99580.0122947167</v>
      </c>
      <c r="M382" s="12" t="n">
        <f aca="false">E382*24*1000000*Assumptions!$B$3/D382/Assumptions!$B$5</f>
        <v>51283.8899276864</v>
      </c>
      <c r="N382" s="12" t="n">
        <f aca="false">G382*24*1000000*Assumptions!$B$3/D382/Assumptions!$B$5</f>
        <v>168946.028024602</v>
      </c>
      <c r="O382" s="12" t="n">
        <f aca="false">IF(ROW()&lt;8,"",AVERAGE(L376:L382))</f>
        <v>95391.5763739077</v>
      </c>
      <c r="P382" s="13" t="n">
        <f aca="false">IF(I382="","",I382/L382)</f>
        <v>0.959630028134371</v>
      </c>
    </row>
    <row r="383" customFormat="false" ht="15" hidden="false" customHeight="false" outlineLevel="0" collapsed="false">
      <c r="A383" s="9" t="n">
        <v>46039</v>
      </c>
      <c r="B383" s="10" t="n">
        <v>1084.8974558504</v>
      </c>
      <c r="C383" s="11" t="n">
        <v>146.472570619932</v>
      </c>
      <c r="D383" s="10" t="n">
        <v>475</v>
      </c>
      <c r="E383" s="11" t="n">
        <v>10.8744690157714</v>
      </c>
      <c r="F383" s="11" t="n">
        <v>21.115398223808</v>
      </c>
      <c r="G383" s="11" t="n">
        <v>35.8240833462857</v>
      </c>
      <c r="H383" s="11" t="n">
        <f aca="false">IF(B383="","",F383*1000/B383)</f>
        <v>19.4630359855132</v>
      </c>
      <c r="I383" s="12" t="n">
        <v>95527.94</v>
      </c>
      <c r="J383" s="12" t="n">
        <f aca="false">F383*24*1000000*Assumptions!$B$3/D383</f>
        <v>53344.1639338307</v>
      </c>
      <c r="K383" s="12" t="n">
        <f aca="false">J383/Assumptions!$B$4</f>
        <v>71125.5519117743</v>
      </c>
      <c r="L383" s="12" t="n">
        <f aca="false">J383/Assumptions!$B$5</f>
        <v>82067.9445135857</v>
      </c>
      <c r="M383" s="12" t="n">
        <f aca="false">E383*24*1000000*Assumptions!$B$3/D383/Assumptions!$B$5</f>
        <v>42265.1427333626</v>
      </c>
      <c r="N383" s="12" t="n">
        <f aca="false">G383*24*1000000*Assumptions!$B$3/D383/Assumptions!$B$5</f>
        <v>139235.303694066</v>
      </c>
      <c r="O383" s="12" t="n">
        <f aca="false">IF(ROW()&lt;8,"",AVERAGE(L377:L383))</f>
        <v>94931.0292153426</v>
      </c>
      <c r="P383" s="13" t="n">
        <f aca="false">IF(I383="","",I383/L383)</f>
        <v>1.16401038878446</v>
      </c>
    </row>
    <row r="384" customFormat="false" ht="15" hidden="false" customHeight="false" outlineLevel="0" collapsed="false">
      <c r="A384" s="9" t="n">
        <v>46040</v>
      </c>
      <c r="B384" s="10" t="n">
        <v>1019.36673704064</v>
      </c>
      <c r="C384" s="11" t="n">
        <v>146.472570619932</v>
      </c>
      <c r="D384" s="10" t="n">
        <v>437.5</v>
      </c>
      <c r="E384" s="11" t="n">
        <v>11.0824821806286</v>
      </c>
      <c r="F384" s="11" t="n">
        <v>21.5193058357919</v>
      </c>
      <c r="G384" s="11" t="n">
        <v>36.5093472377143</v>
      </c>
      <c r="H384" s="11" t="n">
        <f aca="false">IF(B384="","",F384*1000/B384)</f>
        <v>21.1104650111159</v>
      </c>
      <c r="I384" s="12" t="n">
        <v>95097.89</v>
      </c>
      <c r="J384" s="12" t="n">
        <f aca="false">F384*24*1000000*Assumptions!$B$3/D384</f>
        <v>59024.3817210292</v>
      </c>
      <c r="K384" s="12" t="n">
        <f aca="false">J384/Assumptions!$B$4</f>
        <v>78699.1756280389</v>
      </c>
      <c r="L384" s="12" t="n">
        <f aca="false">J384/Assumptions!$B$5</f>
        <v>90806.7411092757</v>
      </c>
      <c r="M384" s="12" t="n">
        <f aca="false">E384*24*1000000*Assumptions!$B$3/D384/Assumptions!$B$5</f>
        <v>46765.6390918832</v>
      </c>
      <c r="N384" s="12" t="n">
        <f aca="false">G384*24*1000000*Assumptions!$B$3/D384/Assumptions!$B$5</f>
        <v>154061.421310794</v>
      </c>
      <c r="O384" s="12" t="n">
        <f aca="false">IF(ROW()&lt;8,"",AVERAGE(L378:L384))</f>
        <v>93626.6874049409</v>
      </c>
      <c r="P384" s="13" t="n">
        <f aca="false">IF(I384="","",I384/L384)</f>
        <v>1.04725584068214</v>
      </c>
    </row>
    <row r="385" customFormat="false" ht="15" hidden="false" customHeight="false" outlineLevel="0" collapsed="false">
      <c r="A385" s="9" t="n">
        <v>46041</v>
      </c>
      <c r="B385" s="10" t="n">
        <v>1092.17864682926</v>
      </c>
      <c r="C385" s="11" t="n">
        <v>146.472570619932</v>
      </c>
      <c r="D385" s="10" t="n">
        <v>468.75</v>
      </c>
      <c r="E385" s="11" t="n">
        <v>11.1749326172</v>
      </c>
      <c r="F385" s="11" t="n">
        <v>21.6988206039465</v>
      </c>
      <c r="G385" s="11" t="n">
        <v>36.813909432</v>
      </c>
      <c r="H385" s="11" t="n">
        <f aca="false">IF(B385="","",F385*1000/B385)</f>
        <v>19.8674646010898</v>
      </c>
      <c r="I385" s="12" t="n">
        <v>93665.1</v>
      </c>
      <c r="J385" s="12" t="n">
        <f aca="false">F385*24*1000000*Assumptions!$B$3/D385</f>
        <v>55548.980746103</v>
      </c>
      <c r="K385" s="12" t="n">
        <f aca="false">J385/Assumptions!$B$4</f>
        <v>74065.3076614707</v>
      </c>
      <c r="L385" s="12" t="n">
        <f aca="false">J385/Assumptions!$B$5</f>
        <v>85459.97037862</v>
      </c>
      <c r="M385" s="12" t="n">
        <f aca="false">E385*24*1000000*Assumptions!$B$3/D385/Assumptions!$B$5</f>
        <v>44012.0423077415</v>
      </c>
      <c r="N385" s="12" t="n">
        <f aca="false">G385*24*1000000*Assumptions!$B$3/D385/Assumptions!$B$5</f>
        <v>144990.166378338</v>
      </c>
      <c r="O385" s="12" t="n">
        <f aca="false">IF(ROW()&lt;8,"",AVERAGE(L379:L385))</f>
        <v>92753.6451555352</v>
      </c>
      <c r="P385" s="13" t="n">
        <f aca="false">IF(I385="","",I385/L385)</f>
        <v>1.09601137918757</v>
      </c>
    </row>
    <row r="386" customFormat="false" ht="15" hidden="false" customHeight="false" outlineLevel="0" collapsed="false">
      <c r="A386" s="9" t="n">
        <v>46042</v>
      </c>
      <c r="B386" s="10" t="n">
        <v>968.398400188611</v>
      </c>
      <c r="C386" s="11" t="n">
        <v>146.472570619932</v>
      </c>
      <c r="D386" s="10" t="n">
        <v>415.625</v>
      </c>
      <c r="E386" s="11" t="n">
        <v>11.1518200556714</v>
      </c>
      <c r="F386" s="11" t="n">
        <v>21.6539420043624</v>
      </c>
      <c r="G386" s="11" t="n">
        <v>36.7377690402857</v>
      </c>
      <c r="H386" s="11" t="n">
        <f aca="false">IF(B386="","",F386*1000/B386)</f>
        <v>22.360571847439</v>
      </c>
      <c r="I386" s="12" t="n">
        <v>92553.06</v>
      </c>
      <c r="J386" s="12" t="n">
        <f aca="false">F386*24*1000000*Assumptions!$B$3/D386</f>
        <v>62519.6521028209</v>
      </c>
      <c r="K386" s="12" t="n">
        <f aca="false">J386/Assumptions!$B$4</f>
        <v>83359.5361370945</v>
      </c>
      <c r="L386" s="12" t="n">
        <f aca="false">J386/Assumptions!$B$5</f>
        <v>96184.080158186</v>
      </c>
      <c r="M386" s="12" t="n">
        <f aca="false">E386*24*1000000*Assumptions!$B$3/D386/Assumptions!$B$5</f>
        <v>49534.9786162849</v>
      </c>
      <c r="N386" s="12" t="n">
        <f aca="false">G386*24*1000000*Assumptions!$B$3/D386/Assumptions!$B$5</f>
        <v>163184.538015844</v>
      </c>
      <c r="O386" s="12" t="n">
        <f aca="false">IF(ROW()&lt;8,"",AVERAGE(L380:L386))</f>
        <v>92686.4076783139</v>
      </c>
      <c r="P386" s="13" t="n">
        <f aca="false">IF(I386="","",I386/L386)</f>
        <v>0.962249260457507</v>
      </c>
    </row>
    <row r="387" customFormat="false" ht="15" hidden="false" customHeight="false" outlineLevel="0" collapsed="false">
      <c r="A387" s="9" t="n">
        <v>46043</v>
      </c>
      <c r="B387" s="10" t="n">
        <v>997.523164104058</v>
      </c>
      <c r="C387" s="11" t="n">
        <v>146.472570619932</v>
      </c>
      <c r="D387" s="10" t="n">
        <v>428.125</v>
      </c>
      <c r="E387" s="11" t="n">
        <v>11.3020517611571</v>
      </c>
      <c r="F387" s="11" t="n">
        <v>21.9456530095225</v>
      </c>
      <c r="G387" s="11" t="n">
        <v>37.2326817694286</v>
      </c>
      <c r="H387" s="11" t="n">
        <f aca="false">IF(B387="","",F387*1000/B387)</f>
        <v>22.0001437552915</v>
      </c>
      <c r="I387" s="12" t="n">
        <v>88324.94</v>
      </c>
      <c r="J387" s="12" t="n">
        <f aca="false">F387*24*1000000*Assumptions!$B$3/D387</f>
        <v>61511.9033259609</v>
      </c>
      <c r="K387" s="12" t="n">
        <f aca="false">J387/Assumptions!$B$4</f>
        <v>82015.8711012812</v>
      </c>
      <c r="L387" s="12" t="n">
        <f aca="false">J387/Assumptions!$B$5</f>
        <v>94633.6974245552</v>
      </c>
      <c r="M387" s="12" t="n">
        <f aca="false">E387*24*1000000*Assumptions!$B$3/D387/Assumptions!$B$5</f>
        <v>48736.5286500207</v>
      </c>
      <c r="N387" s="12" t="n">
        <f aca="false">G387*24*1000000*Assumptions!$B$3/D387/Assumptions!$B$5</f>
        <v>160554.180791247</v>
      </c>
      <c r="O387" s="12" t="n">
        <f aca="false">IF(ROW()&lt;8,"",AVERAGE(L381:L387))</f>
        <v>91551.4378815815</v>
      </c>
      <c r="P387" s="13" t="n">
        <f aca="false">IF(I387="","",I387/L387)</f>
        <v>0.933334979016489</v>
      </c>
    </row>
    <row r="388" customFormat="false" ht="15" hidden="false" customHeight="false" outlineLevel="0" collapsed="false">
      <c r="A388" s="9" t="n">
        <v>46044</v>
      </c>
      <c r="B388" s="10" t="n">
        <v>1163.91265695419</v>
      </c>
      <c r="C388" s="11" t="n">
        <v>145.428122097677</v>
      </c>
      <c r="D388" s="10" t="n">
        <v>503.125</v>
      </c>
      <c r="E388" s="11" t="n">
        <v>11.5411277400571</v>
      </c>
      <c r="F388" s="11" t="n">
        <v>22.4098765493476</v>
      </c>
      <c r="G388" s="11" t="n">
        <v>38.0202768034286</v>
      </c>
      <c r="H388" s="11" t="n">
        <f aca="false">IF(B388="","",F388*1000/B388)</f>
        <v>19.2539160180553</v>
      </c>
      <c r="I388" s="12" t="n">
        <v>89374.74</v>
      </c>
      <c r="J388" s="12" t="n">
        <f aca="false">F388*24*1000000*Assumptions!$B$3/D388</f>
        <v>53449.6434468913</v>
      </c>
      <c r="K388" s="12" t="n">
        <f aca="false">J388/Assumptions!$B$4</f>
        <v>71266.1912625217</v>
      </c>
      <c r="L388" s="12" t="n">
        <f aca="false">J388/Assumptions!$B$5</f>
        <v>82230.220687525</v>
      </c>
      <c r="M388" s="12" t="n">
        <f aca="false">E388*24*1000000*Assumptions!$B$3/D388/Assumptions!$B$5</f>
        <v>42348.7152621304</v>
      </c>
      <c r="N388" s="12" t="n">
        <f aca="false">G388*24*1000000*Assumptions!$B$3/D388/Assumptions!$B$5</f>
        <v>139510.619135371</v>
      </c>
      <c r="O388" s="12" t="n">
        <f aca="false">IF(ROW()&lt;8,"",AVERAGE(L382:L388))</f>
        <v>90137.5237952092</v>
      </c>
      <c r="P388" s="13" t="n">
        <f aca="false">IF(I388="","",I388/L388)</f>
        <v>1.08688435045826</v>
      </c>
    </row>
    <row r="389" customFormat="false" ht="15" hidden="false" customHeight="false" outlineLevel="0" collapsed="false">
      <c r="A389" s="9" t="n">
        <v>46045</v>
      </c>
      <c r="B389" s="10" t="n">
        <v>985.93037447046</v>
      </c>
      <c r="C389" s="11" t="n">
        <v>141.668107417558</v>
      </c>
      <c r="D389" s="10" t="n">
        <v>437.5</v>
      </c>
      <c r="E389" s="11" t="n">
        <v>11.6036223947286</v>
      </c>
      <c r="F389" s="11" t="n">
        <v>22.531224958942</v>
      </c>
      <c r="G389" s="11" t="n">
        <v>38.2261547837143</v>
      </c>
      <c r="H389" s="11" t="n">
        <f aca="false">IF(B389="","",F389*1000/B389)</f>
        <v>22.852754659317</v>
      </c>
      <c r="I389" s="12" t="n">
        <v>89461.76</v>
      </c>
      <c r="J389" s="12" t="n">
        <f aca="false">F389*24*1000000*Assumptions!$B$3/D389</f>
        <v>61799.9313159551</v>
      </c>
      <c r="K389" s="12" t="n">
        <f aca="false">J389/Assumptions!$B$4</f>
        <v>82399.9084212735</v>
      </c>
      <c r="L389" s="12" t="n">
        <f aca="false">J389/Assumptions!$B$5</f>
        <v>95076.8174091617</v>
      </c>
      <c r="M389" s="12" t="n">
        <f aca="false">E389*24*1000000*Assumptions!$B$3/D389/Assumptions!$B$5</f>
        <v>48964.7362590744</v>
      </c>
      <c r="N389" s="12" t="n">
        <f aca="false">G389*24*1000000*Assumptions!$B$3/D389/Assumptions!$B$5</f>
        <v>161305.971834575</v>
      </c>
      <c r="O389" s="12" t="n">
        <f aca="false">IF(ROW()&lt;8,"",AVERAGE(L383:L389))</f>
        <v>89494.2102401299</v>
      </c>
      <c r="P389" s="13" t="n">
        <f aca="false">IF(I389="","",I389/L389)</f>
        <v>0.940941887179528</v>
      </c>
    </row>
    <row r="390" customFormat="false" ht="15" hidden="false" customHeight="false" outlineLevel="0" collapsed="false">
      <c r="A390" s="9" t="n">
        <v>46046</v>
      </c>
      <c r="B390" s="10" t="n">
        <v>690.151262129322</v>
      </c>
      <c r="C390" s="11" t="n">
        <v>141.668107417558</v>
      </c>
      <c r="D390" s="10" t="n">
        <v>306.25</v>
      </c>
      <c r="E390" s="11" t="n">
        <v>10.9771039417286</v>
      </c>
      <c r="F390" s="11" t="n">
        <v>21.3146886287108</v>
      </c>
      <c r="G390" s="11" t="n">
        <v>36.1621966037143</v>
      </c>
      <c r="H390" s="11" t="n">
        <f aca="false">IF(B390="","",F390*1000/B390)</f>
        <v>30.8840826617467</v>
      </c>
      <c r="I390" s="12" t="n">
        <v>89506</v>
      </c>
      <c r="J390" s="12" t="n">
        <f aca="false">F390*24*1000000*Assumptions!$B$3/D390</f>
        <v>83518.7799329076</v>
      </c>
      <c r="K390" s="12" t="n">
        <f aca="false">J390/Assumptions!$B$4</f>
        <v>111358.373243877</v>
      </c>
      <c r="L390" s="12" t="n">
        <f aca="false">J390/Assumptions!$B$5</f>
        <v>128490.430666012</v>
      </c>
      <c r="M390" s="12" t="n">
        <f aca="false">E390*24*1000000*Assumptions!$B$3/D390/Assumptions!$B$5</f>
        <v>66172.808691111</v>
      </c>
      <c r="N390" s="12" t="n">
        <f aca="false">G390*24*1000000*Assumptions!$B$3/D390/Assumptions!$B$5</f>
        <v>217995.031331653</v>
      </c>
      <c r="O390" s="12" t="n">
        <f aca="false">IF(ROW()&lt;8,"",AVERAGE(L384:L390))</f>
        <v>96125.9939761908</v>
      </c>
      <c r="P390" s="13" t="n">
        <f aca="false">IF(I390="","",I390/L390)</f>
        <v>0.696596622301431</v>
      </c>
    </row>
    <row r="391" customFormat="false" ht="15" hidden="false" customHeight="false" outlineLevel="0" collapsed="false">
      <c r="A391" s="9" t="n">
        <v>46047</v>
      </c>
      <c r="B391" s="10" t="n">
        <v>760.574860305783</v>
      </c>
      <c r="C391" s="11" t="n">
        <v>141.668107417558</v>
      </c>
      <c r="D391" s="10" t="n">
        <v>337.5</v>
      </c>
      <c r="E391" s="11" t="n">
        <v>10.5663643055143</v>
      </c>
      <c r="F391" s="11" t="n">
        <v>20.5171387922647</v>
      </c>
      <c r="G391" s="11" t="n">
        <v>34.8090849308571</v>
      </c>
      <c r="H391" s="11" t="n">
        <f aca="false">IF(B391="","",F391*1000/B391)</f>
        <v>26.9758308656375</v>
      </c>
      <c r="I391" s="12" t="n">
        <v>89082.07</v>
      </c>
      <c r="J391" s="12" t="n">
        <f aca="false">F391*24*1000000*Assumptions!$B$3/D391</f>
        <v>72949.8268169412</v>
      </c>
      <c r="K391" s="12" t="n">
        <f aca="false">J391/Assumptions!$B$4</f>
        <v>97266.4357559215</v>
      </c>
      <c r="L391" s="12" t="n">
        <f aca="false">J391/Assumptions!$B$5</f>
        <v>112230.502795294</v>
      </c>
      <c r="M391" s="12" t="n">
        <f aca="false">E391*24*1000000*Assumptions!$B$3/D391/Assumptions!$B$5</f>
        <v>57798.9158592234</v>
      </c>
      <c r="N391" s="12" t="n">
        <f aca="false">G391*24*1000000*Assumptions!$B$3/D391/Assumptions!$B$5</f>
        <v>190408.669707253</v>
      </c>
      <c r="O391" s="12" t="n">
        <f aca="false">IF(ROW()&lt;8,"",AVERAGE(L385:L391))</f>
        <v>99186.5313599077</v>
      </c>
      <c r="P391" s="13" t="n">
        <f aca="false">IF(I391="","",I391/L391)</f>
        <v>0.793742055691256</v>
      </c>
    </row>
    <row r="392" customFormat="false" ht="15" hidden="false" customHeight="false" outlineLevel="0" collapsed="false">
      <c r="A392" s="9" t="n">
        <v>46048</v>
      </c>
      <c r="B392" s="10" t="n">
        <v>873.252617388122</v>
      </c>
      <c r="C392" s="11" t="n">
        <v>141.668107417558</v>
      </c>
      <c r="D392" s="10" t="n">
        <v>387.5</v>
      </c>
      <c r="E392" s="11" t="n">
        <v>10.2188973096571</v>
      </c>
      <c r="F392" s="11" t="n">
        <v>19.8424480118217</v>
      </c>
      <c r="G392" s="11" t="n">
        <v>33.6644141794286</v>
      </c>
      <c r="H392" s="11" t="n">
        <f aca="false">IF(B392="","",F392*1000/B392)</f>
        <v>22.7224603931564</v>
      </c>
      <c r="I392" s="12" t="n">
        <v>86570.94</v>
      </c>
      <c r="J392" s="12" t="n">
        <f aca="false">F392*24*1000000*Assumptions!$B$3/D392</f>
        <v>61447.580939835</v>
      </c>
      <c r="K392" s="12" t="n">
        <f aca="false">J392/Assumptions!$B$4</f>
        <v>81930.10791978</v>
      </c>
      <c r="L392" s="12" t="n">
        <f aca="false">J392/Assumptions!$B$5</f>
        <v>94534.7399074385</v>
      </c>
      <c r="M392" s="12" t="n">
        <f aca="false">E392*24*1000000*Assumptions!$B$3/D392/Assumptions!$B$5</f>
        <v>48685.5653462574</v>
      </c>
      <c r="N392" s="12" t="n">
        <f aca="false">G392*24*1000000*Assumptions!$B$3/D392/Assumptions!$B$5</f>
        <v>160386.29087966</v>
      </c>
      <c r="O392" s="12" t="n">
        <f aca="false">IF(ROW()&lt;8,"",AVERAGE(L386:L392))</f>
        <v>100482.927006882</v>
      </c>
      <c r="P392" s="13" t="n">
        <f aca="false">IF(I392="","",I392/L392)</f>
        <v>0.915757954004676</v>
      </c>
    </row>
    <row r="393" customFormat="false" ht="15" hidden="false" customHeight="false" outlineLevel="0" collapsed="false">
      <c r="A393" s="9" t="n">
        <v>46049</v>
      </c>
      <c r="B393" s="10" t="n">
        <v>859.167897752829</v>
      </c>
      <c r="C393" s="11" t="n">
        <v>141.668107417558</v>
      </c>
      <c r="D393" s="10" t="n">
        <v>381.25</v>
      </c>
      <c r="E393" s="11" t="n">
        <v>10.0455329018</v>
      </c>
      <c r="F393" s="11" t="n">
        <v>19.5058192987849</v>
      </c>
      <c r="G393" s="11" t="n">
        <v>33.093294708</v>
      </c>
      <c r="H393" s="11" t="n">
        <f aca="false">IF(B393="","",F393*1000/B393)</f>
        <v>22.7031519098918</v>
      </c>
      <c r="I393" s="12" t="n">
        <v>88245.67</v>
      </c>
      <c r="J393" s="12" t="n">
        <f aca="false">F393*24*1000000*Assumptions!$B$3/D393</f>
        <v>61395.3656617491</v>
      </c>
      <c r="K393" s="12" t="n">
        <f aca="false">J393/Assumptions!$B$4</f>
        <v>81860.4875489988</v>
      </c>
      <c r="L393" s="12" t="n">
        <f aca="false">J393/Assumptions!$B$5</f>
        <v>94454.4087103832</v>
      </c>
      <c r="M393" s="12" t="n">
        <f aca="false">E393*24*1000000*Assumptions!$B$3/D393/Assumptions!$B$5</f>
        <v>48644.1946316671</v>
      </c>
      <c r="N393" s="12" t="n">
        <f aca="false">G393*24*1000000*Assumptions!$B$3/D393/Assumptions!$B$5</f>
        <v>160250.002116923</v>
      </c>
      <c r="O393" s="12" t="n">
        <f aca="false">IF(ROW()&lt;8,"",AVERAGE(L387:L393))</f>
        <v>100235.831085767</v>
      </c>
      <c r="P393" s="13" t="n">
        <f aca="false">IF(I393="","",I393/L393)</f>
        <v>0.934267348711901</v>
      </c>
    </row>
    <row r="394" customFormat="false" ht="15" hidden="false" customHeight="false" outlineLevel="0" collapsed="false">
      <c r="A394" s="9" t="n">
        <v>46050</v>
      </c>
      <c r="B394" s="10" t="n">
        <v>774.659579941076</v>
      </c>
      <c r="C394" s="11" t="n">
        <v>141.668107417558</v>
      </c>
      <c r="D394" s="10" t="n">
        <v>343.75</v>
      </c>
      <c r="E394" s="11" t="n">
        <v>9.69181662617143</v>
      </c>
      <c r="F394" s="11" t="n">
        <v>18.8189940379554</v>
      </c>
      <c r="G394" s="11" t="n">
        <v>31.9280367702857</v>
      </c>
      <c r="H394" s="11" t="n">
        <f aca="false">IF(B394="","",F394*1000/B394)</f>
        <v>24.2932438005696</v>
      </c>
      <c r="I394" s="12" t="n">
        <v>89117.06</v>
      </c>
      <c r="J394" s="12" t="n">
        <f aca="false">F394*24*1000000*Assumptions!$B$3/D394</f>
        <v>65695.3973688624</v>
      </c>
      <c r="K394" s="12" t="n">
        <f aca="false">J394/Assumptions!$B$4</f>
        <v>87593.8631584832</v>
      </c>
      <c r="L394" s="12" t="n">
        <f aca="false">J394/Assumptions!$B$5</f>
        <v>101069.842105942</v>
      </c>
      <c r="M394" s="12" t="n">
        <f aca="false">E394*24*1000000*Assumptions!$B$3/D394/Assumptions!$B$5</f>
        <v>52051.1550272703</v>
      </c>
      <c r="N394" s="12" t="n">
        <f aca="false">G394*24*1000000*Assumptions!$B$3/D394/Assumptions!$B$5</f>
        <v>171473.652025031</v>
      </c>
      <c r="O394" s="12" t="n">
        <f aca="false">IF(ROW()&lt;8,"",AVERAGE(L388:L394))</f>
        <v>101155.280325965</v>
      </c>
      <c r="P394" s="13" t="n">
        <f aca="false">IF(I394="","",I394/L394)</f>
        <v>0.881737402009463</v>
      </c>
    </row>
    <row r="395" customFormat="false" ht="15" hidden="false" customHeight="false" outlineLevel="0" collapsed="false">
      <c r="A395" s="9" t="n">
        <v>46051</v>
      </c>
      <c r="B395" s="10" t="n">
        <v>901.422056658706</v>
      </c>
      <c r="C395" s="11" t="n">
        <v>141.668107417558</v>
      </c>
      <c r="D395" s="10" t="n">
        <v>400</v>
      </c>
      <c r="E395" s="11" t="n">
        <v>9.27710191131429</v>
      </c>
      <c r="F395" s="11" t="n">
        <v>18.0137256298353</v>
      </c>
      <c r="G395" s="11" t="n">
        <v>30.5618298788571</v>
      </c>
      <c r="H395" s="11" t="n">
        <f aca="false">IF(B395="","",F395*1000/B395)</f>
        <v>19.9836752348912</v>
      </c>
      <c r="I395" s="12" t="n">
        <v>89159.85</v>
      </c>
      <c r="J395" s="12" t="n">
        <f aca="false">F395*24*1000000*Assumptions!$B$3/D395</f>
        <v>54041.1768895058</v>
      </c>
      <c r="K395" s="12" t="n">
        <f aca="false">J395/Assumptions!$B$4</f>
        <v>72054.9025193411</v>
      </c>
      <c r="L395" s="12" t="n">
        <f aca="false">J395/Assumptions!$B$5</f>
        <v>83140.2721377013</v>
      </c>
      <c r="M395" s="12" t="n">
        <f aca="false">E395*24*1000000*Assumptions!$B$3/D395/Assumptions!$B$5</f>
        <v>42817.3934368352</v>
      </c>
      <c r="N395" s="12" t="n">
        <f aca="false">G395*24*1000000*Assumptions!$B$3/D395/Assumptions!$B$5</f>
        <v>141054.599440879</v>
      </c>
      <c r="O395" s="12" t="n">
        <f aca="false">IF(ROW()&lt;8,"",AVERAGE(L389:L395))</f>
        <v>101285.28767599</v>
      </c>
      <c r="P395" s="13" t="n">
        <f aca="false">IF(I395="","",I395/L395)</f>
        <v>1.07240267210491</v>
      </c>
    </row>
    <row r="396" customFormat="false" ht="15" hidden="false" customHeight="false" outlineLevel="0" collapsed="false">
      <c r="A396" s="9" t="n">
        <v>46052</v>
      </c>
      <c r="B396" s="10" t="n">
        <v>922.549136111645</v>
      </c>
      <c r="C396" s="11" t="n">
        <v>141.668107417558</v>
      </c>
      <c r="D396" s="10" t="n">
        <v>390.625</v>
      </c>
      <c r="E396" s="11" t="n">
        <v>9.17650678135714</v>
      </c>
      <c r="F396" s="11" t="n">
        <v>17.818395979685</v>
      </c>
      <c r="G396" s="11" t="n">
        <v>30.2304363814286</v>
      </c>
      <c r="H396" s="11" t="n">
        <f aca="false">IF(B396="","",F396*1000/B396)</f>
        <v>19.314305636647</v>
      </c>
      <c r="I396" s="12" t="n">
        <v>84563.4</v>
      </c>
      <c r="J396" s="12" t="n">
        <f aca="false">F396*24*1000000*Assumptions!$B$3/D396</f>
        <v>54738.1124495923</v>
      </c>
      <c r="K396" s="12" t="n">
        <f aca="false">J396/Assumptions!$B$4</f>
        <v>72984.1499327897</v>
      </c>
      <c r="L396" s="12" t="n">
        <f aca="false">J396/Assumptions!$B$5</f>
        <v>84212.4806916804</v>
      </c>
      <c r="M396" s="12" t="n">
        <f aca="false">E396*24*1000000*Assumptions!$B$3/D396/Assumptions!$B$5</f>
        <v>43369.5828189679</v>
      </c>
      <c r="N396" s="12" t="n">
        <f aca="false">G396*24*1000000*Assumptions!$B$3/D396/Assumptions!$B$5</f>
        <v>142873.693174998</v>
      </c>
      <c r="O396" s="12" t="n">
        <f aca="false">IF(ROW()&lt;8,"",AVERAGE(L390:L396))</f>
        <v>99733.2395734931</v>
      </c>
      <c r="P396" s="13" t="n">
        <f aca="false">IF(I396="","",I396/L396)</f>
        <v>1.00416707007604</v>
      </c>
    </row>
    <row r="397" customFormat="false" ht="15" hidden="false" customHeight="false" outlineLevel="0" collapsed="false">
      <c r="A397" s="9" t="n">
        <v>46053</v>
      </c>
      <c r="B397" s="10" t="n">
        <v>971.845654835168</v>
      </c>
      <c r="C397" s="11" t="n">
        <v>141.668107417558</v>
      </c>
      <c r="D397" s="10" t="n">
        <v>450</v>
      </c>
      <c r="E397" s="11" t="n">
        <v>9.62359592511429</v>
      </c>
      <c r="F397" s="11" t="n">
        <v>18.686527131494</v>
      </c>
      <c r="G397" s="11" t="n">
        <v>31.7032953068571</v>
      </c>
      <c r="H397" s="11" t="n">
        <f aca="false">IF(B397="","",F397*1000/B397)</f>
        <v>19.2278753714893</v>
      </c>
      <c r="I397" s="12" t="n">
        <v>84120.31</v>
      </c>
      <c r="J397" s="12" t="n">
        <f aca="false">F397*24*1000000*Assumptions!$B$3/D397</f>
        <v>49830.7390173174</v>
      </c>
      <c r="K397" s="12" t="n">
        <f aca="false">J397/Assumptions!$B$4</f>
        <v>66440.9853564232</v>
      </c>
      <c r="L397" s="12" t="n">
        <f aca="false">J397/Assumptions!$B$5</f>
        <v>76662.6754112576</v>
      </c>
      <c r="M397" s="12" t="n">
        <f aca="false">E397*24*1000000*Assumptions!$B$3/D397/Assumptions!$B$5</f>
        <v>39481.419179956</v>
      </c>
      <c r="N397" s="12" t="n">
        <f aca="false">G397*24*1000000*Assumptions!$B$3/D397/Assumptions!$B$5</f>
        <v>130064.801258901</v>
      </c>
      <c r="O397" s="12" t="n">
        <f aca="false">IF(ROW()&lt;8,"",AVERAGE(L391:L397))</f>
        <v>92329.2745370996</v>
      </c>
      <c r="P397" s="13" t="n">
        <f aca="false">IF(I397="","",I397/L397)</f>
        <v>1.09727855894327</v>
      </c>
    </row>
    <row r="398" customFormat="false" ht="15" hidden="false" customHeight="false" outlineLevel="0" collapsed="false">
      <c r="A398" s="9" t="n">
        <v>46054</v>
      </c>
      <c r="B398" s="10" t="n">
        <v>838.040818299891</v>
      </c>
      <c r="C398" s="11" t="n">
        <v>141.668107417558</v>
      </c>
      <c r="D398" s="10" t="n">
        <v>371.875</v>
      </c>
      <c r="E398" s="11" t="n">
        <v>9.74654550194286</v>
      </c>
      <c r="F398" s="11" t="n">
        <v>18.8367460844068</v>
      </c>
      <c r="G398" s="11" t="n">
        <v>32.1083317165714</v>
      </c>
      <c r="H398" s="11" t="n">
        <f aca="false">IF(B398="","",F398*1000/B398)</f>
        <v>22.477122442103</v>
      </c>
      <c r="I398" s="12" t="n">
        <v>78585.89</v>
      </c>
      <c r="J398" s="12" t="n">
        <f aca="false">F398*24*1000000*Assumptions!$B$3/D398</f>
        <v>60784.12181859</v>
      </c>
      <c r="K398" s="12" t="n">
        <f aca="false">J398/Assumptions!$B$4</f>
        <v>81045.49575812</v>
      </c>
      <c r="L398" s="12" t="n">
        <f aca="false">J398/Assumptions!$B$5</f>
        <v>93514.0335670616</v>
      </c>
      <c r="M398" s="12" t="n">
        <f aca="false">E398*24*1000000*Assumptions!$B$3/D398/Assumptions!$B$5</f>
        <v>48386.2116709251</v>
      </c>
      <c r="N398" s="12" t="n">
        <f aca="false">G398*24*1000000*Assumptions!$B$3/D398/Assumptions!$B$5</f>
        <v>159400.121256153</v>
      </c>
      <c r="O398" s="12" t="n">
        <f aca="false">IF(ROW()&lt;8,"",AVERAGE(L392:L398))</f>
        <v>89655.4932187807</v>
      </c>
      <c r="P398" s="13" t="n">
        <f aca="false">IF(I398="","",I398/L398)</f>
        <v>0.840364670438944</v>
      </c>
    </row>
    <row r="399" customFormat="false" ht="15" hidden="false" customHeight="false" outlineLevel="0" collapsed="false">
      <c r="A399" s="9" t="n">
        <v>46055</v>
      </c>
      <c r="B399" s="10" t="n">
        <v>830.998458482245</v>
      </c>
      <c r="C399" s="11" t="n">
        <v>141.668107417558</v>
      </c>
      <c r="D399" s="10" t="n">
        <v>368.75</v>
      </c>
      <c r="E399" s="11" t="n">
        <v>9.67948214545714</v>
      </c>
      <c r="F399" s="11" t="n">
        <v>18.6187530494909</v>
      </c>
      <c r="G399" s="11" t="n">
        <v>31.8874029274286</v>
      </c>
      <c r="H399" s="11" t="n">
        <f aca="false">IF(B399="","",F399*1000/B399)</f>
        <v>22.405279888842</v>
      </c>
      <c r="I399" s="12" t="n">
        <v>76879.64</v>
      </c>
      <c r="J399" s="12" t="n">
        <f aca="false">F399*24*1000000*Assumptions!$B$3/D399</f>
        <v>60589.8404322416</v>
      </c>
      <c r="K399" s="12" t="n">
        <f aca="false">J399/Assumptions!$B$4</f>
        <v>80786.4539096555</v>
      </c>
      <c r="L399" s="12" t="n">
        <f aca="false">J399/Assumptions!$B$5</f>
        <v>93215.1391265256</v>
      </c>
      <c r="M399" s="12" t="n">
        <f aca="false">E399*24*1000000*Assumptions!$B$3/D399/Assumptions!$B$5</f>
        <v>48460.5103501375</v>
      </c>
      <c r="N399" s="12" t="n">
        <f aca="false">G399*24*1000000*Assumptions!$B$3/D399/Assumptions!$B$5</f>
        <v>159644.885581911</v>
      </c>
      <c r="O399" s="12" t="n">
        <f aca="false">IF(ROW()&lt;8,"",AVERAGE(L393:L399))</f>
        <v>89466.9788215074</v>
      </c>
      <c r="P399" s="13" t="n">
        <f aca="false">IF(I399="","",I399/L399)</f>
        <v>0.824754870511403</v>
      </c>
    </row>
    <row r="400" customFormat="false" ht="15" hidden="false" customHeight="false" outlineLevel="0" collapsed="false">
      <c r="A400" s="9" t="n">
        <v>46056</v>
      </c>
      <c r="B400" s="10" t="n">
        <v>929.591495929291</v>
      </c>
      <c r="C400" s="11" t="n">
        <v>141.668107417558</v>
      </c>
      <c r="D400" s="10" t="n">
        <v>412.5</v>
      </c>
      <c r="E400" s="11" t="n">
        <v>9.79125445917143</v>
      </c>
      <c r="F400" s="11" t="n">
        <v>18.7375987075</v>
      </c>
      <c r="G400" s="11" t="n">
        <v>32.2556177502857</v>
      </c>
      <c r="H400" s="11" t="n">
        <f aca="false">IF(B400="","",F400*1000/B400)</f>
        <v>20.1568095120841</v>
      </c>
      <c r="I400" s="12" t="n">
        <v>78679.78</v>
      </c>
      <c r="J400" s="12" t="n">
        <f aca="false">F400*24*1000000*Assumptions!$B$3/D400</f>
        <v>54509.3780581818</v>
      </c>
      <c r="K400" s="12" t="n">
        <f aca="false">J400/Assumptions!$B$4</f>
        <v>72679.1707442423</v>
      </c>
      <c r="L400" s="12" t="n">
        <f aca="false">J400/Assumptions!$B$5</f>
        <v>83860.5816279719</v>
      </c>
      <c r="M400" s="12" t="n">
        <f aca="false">E400*24*1000000*Assumptions!$B$3/D400/Assumptions!$B$5</f>
        <v>43820.9989781099</v>
      </c>
      <c r="N400" s="12" t="n">
        <f aca="false">G400*24*1000000*Assumptions!$B$3/D400/Assumptions!$B$5</f>
        <v>144360.806714565</v>
      </c>
      <c r="O400" s="12" t="n">
        <f aca="false">IF(ROW()&lt;8,"",AVERAGE(L394:L400))</f>
        <v>87953.5749525915</v>
      </c>
      <c r="P400" s="13" t="n">
        <f aca="false">IF(I400="","",I400/L400)</f>
        <v>0.938221253330255</v>
      </c>
    </row>
    <row r="401" customFormat="false" ht="15" hidden="false" customHeight="false" outlineLevel="0" collapsed="false">
      <c r="A401" s="9" t="n">
        <v>46057</v>
      </c>
      <c r="B401" s="10" t="n">
        <v>1000.01509410575</v>
      </c>
      <c r="C401" s="11" t="n">
        <v>141.668107417558</v>
      </c>
      <c r="D401" s="10" t="n">
        <v>443.75</v>
      </c>
      <c r="E401" s="11" t="n">
        <v>10.1489258313143</v>
      </c>
      <c r="F401" s="11" t="n">
        <v>19.3264781328368</v>
      </c>
      <c r="G401" s="11" t="n">
        <v>33.4339050788571</v>
      </c>
      <c r="H401" s="11" t="n">
        <f aca="false">IF(B401="","",F401*1000/B401)</f>
        <v>19.3261864213352</v>
      </c>
      <c r="I401" s="12" t="n">
        <v>75631.64</v>
      </c>
      <c r="J401" s="12" t="n">
        <f aca="false">F401*24*1000000*Assumptions!$B$3/D401</f>
        <v>52263.1521338686</v>
      </c>
      <c r="K401" s="12" t="n">
        <f aca="false">J401/Assumptions!$B$4</f>
        <v>69684.2028451581</v>
      </c>
      <c r="L401" s="12" t="n">
        <f aca="false">J401/Assumptions!$B$5</f>
        <v>80404.8494367209</v>
      </c>
      <c r="M401" s="12" t="n">
        <f aca="false">E401*24*1000000*Assumptions!$B$3/D401/Assumptions!$B$5</f>
        <v>42223.0500457712</v>
      </c>
      <c r="N401" s="12" t="n">
        <f aca="false">G401*24*1000000*Assumptions!$B$3/D401/Assumptions!$B$5</f>
        <v>139096.636514422</v>
      </c>
      <c r="O401" s="12" t="n">
        <f aca="false">IF(ROW()&lt;8,"",AVERAGE(L395:L401))</f>
        <v>85001.4331427028</v>
      </c>
      <c r="P401" s="13" t="n">
        <f aca="false">IF(I401="","",I401/L401)</f>
        <v>0.940635304087257</v>
      </c>
    </row>
    <row r="402" customFormat="false" ht="15" hidden="false" customHeight="false" outlineLevel="0" collapsed="false">
      <c r="A402" s="9" t="n">
        <v>46058</v>
      </c>
      <c r="B402" s="10" t="n">
        <v>894.37969684106</v>
      </c>
      <c r="C402" s="11" t="n">
        <v>141.668107417558</v>
      </c>
      <c r="D402" s="10" t="n">
        <v>396.875</v>
      </c>
      <c r="E402" s="11" t="n">
        <v>10.1377485364571</v>
      </c>
      <c r="F402" s="11" t="n">
        <v>19.210306753091</v>
      </c>
      <c r="G402" s="11" t="n">
        <v>33.3970833874286</v>
      </c>
      <c r="H402" s="11" t="n">
        <f aca="false">IF(B402="","",F402*1000/B402)</f>
        <v>21.4789164165305</v>
      </c>
      <c r="I402" s="12" t="n">
        <v>73004.18</v>
      </c>
      <c r="J402" s="12" t="n">
        <f aca="false">F402*24*1000000*Assumptions!$B$3/D402</f>
        <v>58084.7070329681</v>
      </c>
      <c r="K402" s="12" t="n">
        <f aca="false">J402/Assumptions!$B$4</f>
        <v>77446.2760439574</v>
      </c>
      <c r="L402" s="12" t="n">
        <f aca="false">J402/Assumptions!$B$5</f>
        <v>89361.0877430278</v>
      </c>
      <c r="M402" s="12" t="n">
        <f aca="false">E402*24*1000000*Assumptions!$B$3/D402/Assumptions!$B$5</f>
        <v>47158.0307449975</v>
      </c>
      <c r="N402" s="12" t="n">
        <f aca="false">G402*24*1000000*Assumptions!$B$3/D402/Assumptions!$B$5</f>
        <v>155354.08868289</v>
      </c>
      <c r="O402" s="12" t="n">
        <f aca="false">IF(ROW()&lt;8,"",AVERAGE(L396:L402))</f>
        <v>85890.1210863208</v>
      </c>
      <c r="P402" s="13" t="n">
        <f aca="false">IF(I402="","",I402/L402)</f>
        <v>0.816957154885304</v>
      </c>
    </row>
    <row r="403" customFormat="false" ht="15" hidden="false" customHeight="false" outlineLevel="0" collapsed="false">
      <c r="A403" s="9" t="n">
        <v>46059</v>
      </c>
      <c r="B403" s="10" t="n">
        <v>1021.14217355869</v>
      </c>
      <c r="C403" s="11" t="n">
        <v>141.668107417558</v>
      </c>
      <c r="D403" s="10" t="n">
        <v>453.125</v>
      </c>
      <c r="E403" s="11" t="n">
        <v>10.2942297756571</v>
      </c>
      <c r="F403" s="11" t="n">
        <v>19.4062956019435</v>
      </c>
      <c r="G403" s="11" t="n">
        <v>33.9125841394286</v>
      </c>
      <c r="H403" s="11" t="n">
        <f aca="false">IF(B403="","",F403*1000/B403)</f>
        <v>19.004499181845</v>
      </c>
      <c r="I403" s="12" t="n">
        <v>62812.06</v>
      </c>
      <c r="J403" s="12" t="n">
        <f aca="false">F403*24*1000000*Assumptions!$B$3/D403</f>
        <v>51393.2242148022</v>
      </c>
      <c r="K403" s="12" t="n">
        <f aca="false">J403/Assumptions!$B$4</f>
        <v>68524.2989530696</v>
      </c>
      <c r="L403" s="12" t="n">
        <f aca="false">J403/Assumptions!$B$5</f>
        <v>79066.4987920034</v>
      </c>
      <c r="M403" s="12" t="n">
        <f aca="false">E403*24*1000000*Assumptions!$B$3/D403/Assumptions!$B$5</f>
        <v>41941.477282253</v>
      </c>
      <c r="N403" s="12" t="n">
        <f aca="false">G403*24*1000000*Assumptions!$B$3/D403/Assumptions!$B$5</f>
        <v>138169.043072049</v>
      </c>
      <c r="O403" s="12" t="n">
        <f aca="false">IF(ROW()&lt;8,"",AVERAGE(L397:L403))</f>
        <v>85154.9808149384</v>
      </c>
      <c r="P403" s="13" t="n">
        <f aca="false">IF(I403="","",I403/L403)</f>
        <v>0.794420658049331</v>
      </c>
    </row>
    <row r="404" customFormat="false" ht="15" hidden="false" customHeight="false" outlineLevel="0" collapsed="false">
      <c r="A404" s="9" t="n">
        <v>46060</v>
      </c>
      <c r="B404" s="10" t="n">
        <v>1116.39672362838</v>
      </c>
      <c r="C404" s="11" t="n">
        <v>135.289579351472</v>
      </c>
      <c r="D404" s="10" t="n">
        <v>518.75</v>
      </c>
      <c r="E404" s="11" t="n">
        <v>10.5174186767571</v>
      </c>
      <c r="F404" s="11" t="n">
        <v>19.7119083736221</v>
      </c>
      <c r="G404" s="11" t="n">
        <v>34.5524874454286</v>
      </c>
      <c r="H404" s="11" t="n">
        <f aca="false">IF(B404="","",F404*1000/B404)</f>
        <v>17.6567235969278</v>
      </c>
      <c r="I404" s="12" t="n">
        <v>70520.32</v>
      </c>
      <c r="J404" s="12" t="n">
        <f aca="false">F404*24*1000000*Assumptions!$B$3/D404</f>
        <v>45598.6314184992</v>
      </c>
      <c r="K404" s="12" t="n">
        <f aca="false">J404/Assumptions!$B$4</f>
        <v>60798.1752246656</v>
      </c>
      <c r="L404" s="12" t="n">
        <f aca="false">J404/Assumptions!$B$5</f>
        <v>70151.7406438449</v>
      </c>
      <c r="M404" s="12" t="n">
        <f aca="false">E404*24*1000000*Assumptions!$B$3/D404/Assumptions!$B$5</f>
        <v>37429.9237430467</v>
      </c>
      <c r="N404" s="12" t="n">
        <f aca="false">G404*24*1000000*Assumptions!$B$3/D404/Assumptions!$B$5</f>
        <v>122967.147164454</v>
      </c>
      <c r="O404" s="12" t="n">
        <f aca="false">IF(ROW()&lt;8,"",AVERAGE(L398:L404))</f>
        <v>84224.8472767366</v>
      </c>
      <c r="P404" s="13" t="n">
        <f aca="false">IF(I404="","",I404/L404)</f>
        <v>1.00525403008924</v>
      </c>
    </row>
    <row r="405" customFormat="false" ht="15" hidden="false" customHeight="false" outlineLevel="0" collapsed="false">
      <c r="A405" s="9" t="n">
        <v>46061</v>
      </c>
      <c r="B405" s="10" t="n">
        <v>1063.64966098269</v>
      </c>
      <c r="C405" s="11" t="n">
        <v>125.864590119494</v>
      </c>
      <c r="D405" s="10" t="n">
        <v>531.25</v>
      </c>
      <c r="E405" s="11" t="n">
        <v>10.8754921198</v>
      </c>
      <c r="F405" s="11" t="n">
        <v>20.3735558284511</v>
      </c>
      <c r="G405" s="11" t="n">
        <v>35.6409293571429</v>
      </c>
      <c r="H405" s="11" t="n">
        <f aca="false">IF(B405="","",F405*1000/B405)</f>
        <v>19.1543856739712</v>
      </c>
      <c r="I405" s="12" t="n">
        <v>69282.65</v>
      </c>
      <c r="J405" s="12" t="n">
        <f aca="false">F405*24*1000000*Assumptions!$B$3/D405</f>
        <v>46020.2672830895</v>
      </c>
      <c r="K405" s="12" t="n">
        <f aca="false">J405/Assumptions!$B$4</f>
        <v>61360.3563774527</v>
      </c>
      <c r="L405" s="12" t="n">
        <f aca="false">J405/Assumptions!$B$5</f>
        <v>70800.4112047531</v>
      </c>
      <c r="M405" s="12" t="n">
        <f aca="false">E405*24*1000000*Assumptions!$B$3/D405/Assumptions!$B$5</f>
        <v>37793.5653755946</v>
      </c>
      <c r="N405" s="12" t="n">
        <f aca="false">G405*24*1000000*Assumptions!$B$3/D405/Assumptions!$B$5</f>
        <v>123856.26129541</v>
      </c>
      <c r="O405" s="12" t="n">
        <f aca="false">IF(ROW()&lt;8,"",AVERAGE(L399:L405))</f>
        <v>80980.0440821211</v>
      </c>
      <c r="P405" s="13" t="n">
        <f aca="false">IF(I405="","",I405/L405)</f>
        <v>0.978562819354767</v>
      </c>
    </row>
    <row r="406" customFormat="false" ht="15" hidden="false" customHeight="false" outlineLevel="0" collapsed="false">
      <c r="A406" s="9" t="n">
        <v>46062</v>
      </c>
      <c r="B406" s="10" t="n">
        <v>1019.85232200105</v>
      </c>
      <c r="C406" s="11" t="n">
        <v>125.864590119494</v>
      </c>
      <c r="D406" s="10" t="n">
        <v>490.625</v>
      </c>
      <c r="E406" s="11" t="n">
        <v>11.175230143</v>
      </c>
      <c r="F406" s="11" t="n">
        <v>20.8892844841335</v>
      </c>
      <c r="G406" s="11" t="n">
        <v>36.4535333262857</v>
      </c>
      <c r="H406" s="11" t="n">
        <f aca="false">IF(B406="","",F406*1000/B406)</f>
        <v>20.4826561978569</v>
      </c>
      <c r="I406" s="12" t="n">
        <v>70284.84</v>
      </c>
      <c r="J406" s="12" t="n">
        <f aca="false">F406*24*1000000*Assumptions!$B$3/D406</f>
        <v>51092.2626873075</v>
      </c>
      <c r="K406" s="12" t="n">
        <f aca="false">J406/Assumptions!$B$4</f>
        <v>68123.01691641</v>
      </c>
      <c r="L406" s="12" t="n">
        <f aca="false">J406/Assumptions!$B$5</f>
        <v>78603.4810573961</v>
      </c>
      <c r="M406" s="12" t="n">
        <f aca="false">E406*24*1000000*Assumptions!$B$3/D406/Assumptions!$B$5</f>
        <v>42050.8414984027</v>
      </c>
      <c r="N406" s="12" t="n">
        <f aca="false">G406*24*1000000*Assumptions!$B$3/D406/Assumptions!$B$5</f>
        <v>137169.591350257</v>
      </c>
      <c r="O406" s="12" t="n">
        <f aca="false">IF(ROW()&lt;8,"",AVERAGE(L400:L406))</f>
        <v>78892.6643579597</v>
      </c>
      <c r="P406" s="13" t="n">
        <f aca="false">IF(I406="","",I406/L406)</f>
        <v>0.894169559089605</v>
      </c>
    </row>
    <row r="407" customFormat="false" ht="15" hidden="false" customHeight="false" outlineLevel="0" collapsed="false">
      <c r="A407" s="9" t="n">
        <v>46063</v>
      </c>
      <c r="B407" s="10" t="n">
        <v>900.973830479453</v>
      </c>
      <c r="C407" s="11" t="n">
        <v>125.864590119494</v>
      </c>
      <c r="D407" s="10" t="n">
        <v>468.75</v>
      </c>
      <c r="E407" s="11" t="n">
        <v>11.1298097648571</v>
      </c>
      <c r="F407" s="11" t="n">
        <v>20.7631765531674</v>
      </c>
      <c r="G407" s="11" t="n">
        <v>36.1494509862857</v>
      </c>
      <c r="H407" s="11" t="n">
        <f aca="false">IF(B407="","",F407*1000/B407)</f>
        <v>23.0452604179616</v>
      </c>
      <c r="I407" s="12" t="n">
        <v>70131.23</v>
      </c>
      <c r="J407" s="12" t="n">
        <f aca="false">F407*24*1000000*Assumptions!$B$3/D407</f>
        <v>53153.7319761085</v>
      </c>
      <c r="K407" s="12" t="n">
        <f aca="false">J407/Assumptions!$B$4</f>
        <v>70871.6426348113</v>
      </c>
      <c r="L407" s="12" t="n">
        <f aca="false">J407/Assumptions!$B$5</f>
        <v>81774.9722709361</v>
      </c>
      <c r="M407" s="12" t="n">
        <f aca="false">E407*24*1000000*Assumptions!$B$3/D407/Assumptions!$B$5</f>
        <v>43834.3276892835</v>
      </c>
      <c r="N407" s="12" t="n">
        <f aca="false">G407*24*1000000*Assumptions!$B$3/D407/Assumptions!$B$5</f>
        <v>142373.222345987</v>
      </c>
      <c r="O407" s="12" t="n">
        <f aca="false">IF(ROW()&lt;8,"",AVERAGE(L401:L407))</f>
        <v>78594.7201640975</v>
      </c>
      <c r="P407" s="13" t="n">
        <f aca="false">IF(I407="","",I407/L407)</f>
        <v>0.857612397197052</v>
      </c>
    </row>
    <row r="408" customFormat="false" ht="15" hidden="false" customHeight="false" outlineLevel="0" collapsed="false">
      <c r="A408" s="9" t="n">
        <v>46064</v>
      </c>
      <c r="B408" s="10" t="n">
        <v>982.31174573107</v>
      </c>
      <c r="C408" s="11" t="n">
        <v>125.864590119494</v>
      </c>
      <c r="D408" s="10" t="n">
        <v>490.625</v>
      </c>
      <c r="E408" s="11" t="n">
        <v>11.1017120034857</v>
      </c>
      <c r="F408" s="11" t="n">
        <v>20.6213207230027</v>
      </c>
      <c r="G408" s="11" t="n">
        <v>35.8042932565714</v>
      </c>
      <c r="H408" s="11" t="n">
        <f aca="false">IF(B408="","",F408*1000/B408)</f>
        <v>20.9926439469128</v>
      </c>
      <c r="I408" s="12" t="n">
        <v>68794.25</v>
      </c>
      <c r="J408" s="12" t="n">
        <f aca="false">F408*24*1000000*Assumptions!$B$3/D408</f>
        <v>50436.8608766434</v>
      </c>
      <c r="K408" s="12" t="n">
        <f aca="false">J408/Assumptions!$B$4</f>
        <v>67249.1478355246</v>
      </c>
      <c r="L408" s="12" t="n">
        <f aca="false">J408/Assumptions!$B$5</f>
        <v>77595.1705794514</v>
      </c>
      <c r="M408" s="12" t="n">
        <f aca="false">E408*24*1000000*Assumptions!$B$3/D408/Assumptions!$B$5</f>
        <v>41774.2029332534</v>
      </c>
      <c r="N408" s="12" t="n">
        <f aca="false">G408*24*1000000*Assumptions!$B$3/D408/Assumptions!$B$5</f>
        <v>134726.590989941</v>
      </c>
      <c r="O408" s="12" t="n">
        <f aca="false">IF(ROW()&lt;8,"",AVERAGE(L402:L408))</f>
        <v>78193.3374702019</v>
      </c>
      <c r="P408" s="13" t="n">
        <f aca="false">IF(I408="","",I408/L408)</f>
        <v>0.886579016274731</v>
      </c>
    </row>
    <row r="409" customFormat="false" ht="15" hidden="false" customHeight="false" outlineLevel="0" collapsed="false">
      <c r="A409" s="9" t="n">
        <v>46065</v>
      </c>
      <c r="B409" s="10" t="n">
        <v>1107.44699996433</v>
      </c>
      <c r="C409" s="11" t="n">
        <v>125.864590119494</v>
      </c>
      <c r="D409" s="10" t="n">
        <v>553.125</v>
      </c>
      <c r="E409" s="11" t="n">
        <v>11.4398802467714</v>
      </c>
      <c r="F409" s="11" t="n">
        <v>21.1146781268315</v>
      </c>
      <c r="G409" s="11" t="n">
        <v>36.5591854119182</v>
      </c>
      <c r="H409" s="11" t="n">
        <f aca="false">IF(B409="","",F409*1000/B409)</f>
        <v>19.0660845417538</v>
      </c>
      <c r="I409" s="12" t="n">
        <v>66979.72</v>
      </c>
      <c r="J409" s="12" t="n">
        <f aca="false">F409*24*1000000*Assumptions!$B$3/D409</f>
        <v>45808.1152582107</v>
      </c>
      <c r="K409" s="12" t="n">
        <f aca="false">J409/Assumptions!$B$4</f>
        <v>61077.4870109476</v>
      </c>
      <c r="L409" s="12" t="n">
        <f aca="false">J409/Assumptions!$B$5</f>
        <v>70474.0234741703</v>
      </c>
      <c r="M409" s="12" t="n">
        <f aca="false">E409*24*1000000*Assumptions!$B$3/D409/Assumptions!$B$5</f>
        <v>38182.6511495891</v>
      </c>
      <c r="N409" s="12" t="n">
        <f aca="false">G409*24*1000000*Assumptions!$B$3/D409/Assumptions!$B$5</f>
        <v>122022.835273156</v>
      </c>
      <c r="O409" s="12" t="n">
        <f aca="false">IF(ROW()&lt;8,"",AVERAGE(L403:L409))</f>
        <v>75495.1854317936</v>
      </c>
      <c r="P409" s="13" t="n">
        <f aca="false">IF(I409="","",I409/L409)</f>
        <v>0.950417142346768</v>
      </c>
    </row>
    <row r="410" customFormat="false" ht="15" hidden="false" customHeight="false" outlineLevel="0" collapsed="false">
      <c r="A410" s="9" t="n">
        <v>46066</v>
      </c>
      <c r="B410" s="10" t="n">
        <v>944.771169461092</v>
      </c>
      <c r="C410" s="11" t="n">
        <v>125.864590119494</v>
      </c>
      <c r="D410" s="10" t="n">
        <v>465.625</v>
      </c>
      <c r="E410" s="11" t="n">
        <v>11.3186686548571</v>
      </c>
      <c r="F410" s="11" t="n">
        <v>20.7672891275525</v>
      </c>
      <c r="G410" s="11" t="n">
        <v>35.8534848729795</v>
      </c>
      <c r="H410" s="11" t="n">
        <f aca="false">IF(B410="","",F410*1000/B410)</f>
        <v>21.9812900719636</v>
      </c>
      <c r="I410" s="12" t="n">
        <v>66205.98</v>
      </c>
      <c r="J410" s="12" t="n">
        <f aca="false">F410*24*1000000*Assumptions!$B$3/D410</f>
        <v>53521.0672817461</v>
      </c>
      <c r="K410" s="12" t="n">
        <f aca="false">J410/Assumptions!$B$4</f>
        <v>71361.4230423281</v>
      </c>
      <c r="L410" s="12" t="n">
        <f aca="false">J410/Assumptions!$B$5</f>
        <v>82340.1035103786</v>
      </c>
      <c r="M410" s="12" t="n">
        <f aca="false">E410*24*1000000*Assumptions!$B$3/D410/Assumptions!$B$5</f>
        <v>44877.3233192064</v>
      </c>
      <c r="N410" s="12" t="n">
        <f aca="false">G410*24*1000000*Assumptions!$B$3/D410/Assumptions!$B$5</f>
        <v>142155.273012123</v>
      </c>
      <c r="O410" s="12" t="n">
        <f aca="false">IF(ROW()&lt;8,"",AVERAGE(L404:L410))</f>
        <v>75962.8432487044</v>
      </c>
      <c r="P410" s="13" t="n">
        <f aca="false">IF(I410="","",I410/L410)</f>
        <v>0.80405509803197</v>
      </c>
    </row>
    <row r="411" customFormat="false" ht="15" hidden="false" customHeight="false" outlineLevel="0" collapsed="false">
      <c r="A411" s="9" t="n">
        <v>46067</v>
      </c>
      <c r="B411" s="10" t="n">
        <v>1038.62261013604</v>
      </c>
      <c r="C411" s="11" t="n">
        <v>125.864590119494</v>
      </c>
      <c r="D411" s="10" t="n">
        <v>525</v>
      </c>
      <c r="E411" s="11" t="n">
        <v>11.2014643447143</v>
      </c>
      <c r="F411" s="11" t="n">
        <v>20.3973993706726</v>
      </c>
      <c r="G411" s="11" t="n">
        <v>35.0285809586938</v>
      </c>
      <c r="H411" s="11" t="n">
        <f aca="false">IF(B411="","",F411*1000/B411)</f>
        <v>19.6388940233075</v>
      </c>
      <c r="I411" s="12" t="n">
        <v>68851.99</v>
      </c>
      <c r="J411" s="12" t="n">
        <f aca="false">F411*24*1000000*Assumptions!$B$3/D411</f>
        <v>46622.627132966</v>
      </c>
      <c r="K411" s="12" t="n">
        <f aca="false">J411/Assumptions!$B$4</f>
        <v>62163.5028439547</v>
      </c>
      <c r="L411" s="12" t="n">
        <f aca="false">J411/Assumptions!$B$5</f>
        <v>71727.1186661016</v>
      </c>
      <c r="M411" s="12" t="n">
        <f aca="false">E411*24*1000000*Assumptions!$B$3/D411/Assumptions!$B$5</f>
        <v>39389.7647286656</v>
      </c>
      <c r="N411" s="12" t="n">
        <f aca="false">G411*24*1000000*Assumptions!$B$3/D411/Assumptions!$B$5</f>
        <v>123177.427547055</v>
      </c>
      <c r="O411" s="12" t="n">
        <f aca="false">IF(ROW()&lt;8,"",AVERAGE(L405:L411))</f>
        <v>76187.8972518839</v>
      </c>
      <c r="P411" s="13" t="n">
        <f aca="false">IF(I411="","",I411/L411)</f>
        <v>0.959915737317072</v>
      </c>
    </row>
    <row r="412" customFormat="false" ht="15" hidden="false" customHeight="false" outlineLevel="0" collapsed="false">
      <c r="A412" s="9" t="n">
        <v>46068</v>
      </c>
      <c r="B412" s="10" t="n">
        <v>1232.58225419758</v>
      </c>
      <c r="C412" s="11" t="n">
        <v>125.864590119495</v>
      </c>
      <c r="D412" s="10" t="n">
        <v>615.625</v>
      </c>
      <c r="E412" s="11" t="n">
        <v>11.4695845776286</v>
      </c>
      <c r="F412" s="11" t="n">
        <v>20.7196682099933</v>
      </c>
      <c r="G412" s="11" t="n">
        <v>35.3691278358366</v>
      </c>
      <c r="H412" s="11" t="n">
        <f aca="false">IF(B412="","",F412*1000/B412)</f>
        <v>16.8099679671941</v>
      </c>
      <c r="I412" s="12" t="n">
        <v>69754.68</v>
      </c>
      <c r="J412" s="12" t="n">
        <f aca="false">F412*24*1000000*Assumptions!$B$3/D412</f>
        <v>40387.5766123728</v>
      </c>
      <c r="K412" s="12" t="n">
        <f aca="false">J412/Assumptions!$B$4</f>
        <v>53850.1021498304</v>
      </c>
      <c r="L412" s="12" t="n">
        <f aca="false">J412/Assumptions!$B$5</f>
        <v>62134.7332498043</v>
      </c>
      <c r="M412" s="12" t="n">
        <f aca="false">E412*24*1000000*Assumptions!$B$3/D412/Assumptions!$B$5</f>
        <v>34395.3180617678</v>
      </c>
      <c r="N412" s="12" t="n">
        <f aca="false">G412*24*1000000*Assumptions!$B$3/D412/Assumptions!$B$5</f>
        <v>106065.951495207</v>
      </c>
      <c r="O412" s="12" t="n">
        <f aca="false">IF(ROW()&lt;8,"",AVERAGE(L406:L412))</f>
        <v>74949.9432583198</v>
      </c>
      <c r="P412" s="13" t="n">
        <f aca="false">IF(I412="","",I412/L412)</f>
        <v>1.12263586486419</v>
      </c>
    </row>
    <row r="413" customFormat="false" ht="15" hidden="false" customHeight="false" outlineLevel="0" collapsed="false">
      <c r="A413" s="9" t="n">
        <v>46069</v>
      </c>
      <c r="B413" s="10" t="n">
        <v>1094.933474541</v>
      </c>
      <c r="C413" s="11" t="n">
        <v>125.864590119494</v>
      </c>
      <c r="D413" s="10" t="n">
        <v>528.125</v>
      </c>
      <c r="E413" s="11" t="n">
        <v>11.5887491679143</v>
      </c>
      <c r="F413" s="11" t="n">
        <v>20.8203991520806</v>
      </c>
      <c r="G413" s="11" t="n">
        <v>35.3734184186938</v>
      </c>
      <c r="H413" s="11" t="n">
        <f aca="false">IF(B413="","",F413*1000/B413)</f>
        <v>19.0152184001942</v>
      </c>
      <c r="I413" s="12" t="n">
        <v>68784.72</v>
      </c>
      <c r="J413" s="12" t="n">
        <f aca="false">F413*24*1000000*Assumptions!$B$3/D413</f>
        <v>47307.889197627</v>
      </c>
      <c r="K413" s="12" t="n">
        <f aca="false">J413/Assumptions!$B$4</f>
        <v>63077.185596836</v>
      </c>
      <c r="L413" s="12" t="n">
        <f aca="false">J413/Assumptions!$B$5</f>
        <v>72781.3679963493</v>
      </c>
      <c r="M413" s="12" t="n">
        <f aca="false">E413*24*1000000*Assumptions!$B$3/D413/Assumptions!$B$5</f>
        <v>40510.5114290313</v>
      </c>
      <c r="N413" s="12" t="n">
        <f aca="false">G413*24*1000000*Assumptions!$B$3/D413/Assumptions!$B$5</f>
        <v>123654.007034851</v>
      </c>
      <c r="O413" s="12" t="n">
        <f aca="false">IF(ROW()&lt;8,"",AVERAGE(L407:L413))</f>
        <v>74118.2128210274</v>
      </c>
      <c r="P413" s="13" t="n">
        <f aca="false">IF(I413="","",I413/L413)</f>
        <v>0.945086934934368</v>
      </c>
    </row>
    <row r="414" customFormat="false" ht="15" hidden="false" customHeight="false" outlineLevel="0" collapsed="false">
      <c r="A414" s="9" t="n">
        <v>46070</v>
      </c>
      <c r="B414" s="10" t="n">
        <v>1032.36584742437</v>
      </c>
      <c r="C414" s="11" t="n">
        <v>125.864590119494</v>
      </c>
      <c r="D414" s="10" t="n">
        <v>534.375</v>
      </c>
      <c r="E414" s="11" t="n">
        <v>11.7972870422</v>
      </c>
      <c r="F414" s="11" t="n">
        <v>21.0929815114216</v>
      </c>
      <c r="G414" s="11" t="n">
        <v>35.683932544408</v>
      </c>
      <c r="H414" s="11" t="n">
        <f aca="false">IF(B414="","",F414*1000/B414)</f>
        <v>20.4316924703059</v>
      </c>
      <c r="I414" s="12" t="n">
        <v>68840.26</v>
      </c>
      <c r="J414" s="12" t="n">
        <f aca="false">F414*24*1000000*Assumptions!$B$3/D414</f>
        <v>47366.695323894</v>
      </c>
      <c r="K414" s="12" t="n">
        <f aca="false">J414/Assumptions!$B$4</f>
        <v>63155.5937651921</v>
      </c>
      <c r="L414" s="12" t="n">
        <f aca="false">J414/Assumptions!$B$5</f>
        <v>72871.838959837</v>
      </c>
      <c r="M414" s="12" t="n">
        <f aca="false">E414*24*1000000*Assumptions!$B$3/D414/Assumptions!$B$5</f>
        <v>40757.1590121889</v>
      </c>
      <c r="N414" s="12" t="n">
        <f aca="false">G414*24*1000000*Assumptions!$B$3/D414/Assumptions!$B$5</f>
        <v>123280.522690533</v>
      </c>
      <c r="O414" s="12" t="n">
        <f aca="false">IF(ROW()&lt;8,"",AVERAGE(L408:L414))</f>
        <v>72846.3366337275</v>
      </c>
      <c r="P414" s="13" t="n">
        <f aca="false">IF(I414="","",I414/L414)</f>
        <v>0.944675762031215</v>
      </c>
    </row>
    <row r="415" customFormat="false" ht="15" hidden="false" customHeight="false" outlineLevel="0" collapsed="false">
      <c r="A415" s="9" t="n">
        <v>46071</v>
      </c>
      <c r="B415" s="10" t="n">
        <v>957.284694884418</v>
      </c>
      <c r="C415" s="11" t="n">
        <v>125.864590119494</v>
      </c>
      <c r="D415" s="10" t="n">
        <v>450</v>
      </c>
      <c r="E415" s="11" t="n">
        <v>11.7575655544286</v>
      </c>
      <c r="F415" s="11" t="n">
        <v>20.959854166456</v>
      </c>
      <c r="G415" s="11" t="n">
        <v>35.3133534798366</v>
      </c>
      <c r="H415" s="11" t="n">
        <f aca="false">IF(B415="","",F415*1000/B415)</f>
        <v>21.8951104916461</v>
      </c>
      <c r="I415" s="12" t="n">
        <v>67459.99</v>
      </c>
      <c r="J415" s="12" t="n">
        <f aca="false">F415*24*1000000*Assumptions!$B$3/D415</f>
        <v>55892.9444438828</v>
      </c>
      <c r="K415" s="12" t="n">
        <f aca="false">J415/Assumptions!$B$4</f>
        <v>74523.925925177</v>
      </c>
      <c r="L415" s="12" t="n">
        <f aca="false">J415/Assumptions!$B$5</f>
        <v>85989.1452982812</v>
      </c>
      <c r="M415" s="12" t="n">
        <f aca="false">E415*24*1000000*Assumptions!$B$3/D415/Assumptions!$B$5</f>
        <v>48236.1663771429</v>
      </c>
      <c r="N415" s="12" t="n">
        <f aca="false">G415*24*1000000*Assumptions!$B$3/D415/Assumptions!$B$5</f>
        <v>144875.296327535</v>
      </c>
      <c r="O415" s="12" t="n">
        <f aca="false">IF(ROW()&lt;8,"",AVERAGE(L409:L415))</f>
        <v>74045.4758792746</v>
      </c>
      <c r="P415" s="13" t="n">
        <f aca="false">IF(I415="","",I415/L415)</f>
        <v>0.78451750818075</v>
      </c>
    </row>
    <row r="416" customFormat="false" ht="15" hidden="false" customHeight="false" outlineLevel="0" collapsed="false">
      <c r="A416" s="9" t="n">
        <v>46072</v>
      </c>
      <c r="B416" s="10" t="n">
        <v>1020.6222524873</v>
      </c>
      <c r="C416" s="11" t="n">
        <v>129.128405963274</v>
      </c>
      <c r="D416" s="10" t="n">
        <v>525</v>
      </c>
      <c r="E416" s="11" t="n">
        <v>11.6270736208</v>
      </c>
      <c r="F416" s="11" t="n">
        <v>20.6976294461009</v>
      </c>
      <c r="G416" s="11" t="n">
        <v>34.715354947347</v>
      </c>
      <c r="H416" s="11" t="n">
        <f aca="false">IF(B416="","",F416*1000/B416)</f>
        <v>20.2794220835965</v>
      </c>
      <c r="I416" s="12" t="n">
        <v>66427.8</v>
      </c>
      <c r="J416" s="12" t="n">
        <f aca="false">F416*24*1000000*Assumptions!$B$3/D416</f>
        <v>47308.8673053736</v>
      </c>
      <c r="K416" s="12" t="n">
        <f aca="false">J416/Assumptions!$B$4</f>
        <v>63078.4897404981</v>
      </c>
      <c r="L416" s="12" t="n">
        <f aca="false">J416/Assumptions!$B$5</f>
        <v>72782.8727774978</v>
      </c>
      <c r="M416" s="12" t="n">
        <f aca="false">E416*24*1000000*Assumptions!$B$3/D416/Assumptions!$B$5</f>
        <v>40886.4127324835</v>
      </c>
      <c r="N416" s="12" t="n">
        <f aca="false">G416*24*1000000*Assumptions!$B$3/D416/Assumptions!$B$5</f>
        <v>122075.97344122</v>
      </c>
      <c r="O416" s="12" t="n">
        <f aca="false">IF(ROW()&lt;8,"",AVERAGE(L410:L416))</f>
        <v>74375.3114940357</v>
      </c>
      <c r="P416" s="13" t="n">
        <f aca="false">IF(I416="","",I416/L416)</f>
        <v>0.912684502067875</v>
      </c>
    </row>
    <row r="417" customFormat="false" ht="15" hidden="false" customHeight="false" outlineLevel="0" collapsed="false">
      <c r="A417" s="9" t="n">
        <v>46073</v>
      </c>
      <c r="B417" s="10" t="n">
        <v>983.397435876668</v>
      </c>
      <c r="C417" s="11" t="n">
        <v>144.398401518101</v>
      </c>
      <c r="D417" s="10" t="n">
        <v>428.125</v>
      </c>
      <c r="E417" s="11" t="n">
        <v>11.6883789817143</v>
      </c>
      <c r="F417" s="11" t="n">
        <v>20.7808417627693</v>
      </c>
      <c r="G417" s="11" t="n">
        <v>34.7179573714286</v>
      </c>
      <c r="H417" s="11" t="n">
        <f aca="false">IF(B417="","",F417*1000/B417)</f>
        <v>21.1316818659831</v>
      </c>
      <c r="I417" s="12" t="n">
        <v>66956.88</v>
      </c>
      <c r="J417" s="12" t="n">
        <f aca="false">F417*24*1000000*Assumptions!$B$3/D417</f>
        <v>58247.0309263021</v>
      </c>
      <c r="K417" s="12" t="n">
        <f aca="false">J417/Assumptions!$B$4</f>
        <v>77662.7079017362</v>
      </c>
      <c r="L417" s="12" t="n">
        <f aca="false">J417/Assumptions!$B$5</f>
        <v>89610.8168096956</v>
      </c>
      <c r="M417" s="12" t="n">
        <f aca="false">E417*24*1000000*Assumptions!$B$3/D417/Assumptions!$B$5</f>
        <v>50402.4427734788</v>
      </c>
      <c r="N417" s="12" t="n">
        <f aca="false">G417*24*1000000*Assumptions!$B$3/D417/Assumptions!$B$5</f>
        <v>149710.226059838</v>
      </c>
      <c r="O417" s="12" t="n">
        <f aca="false">IF(ROW()&lt;8,"",AVERAGE(L411:L417))</f>
        <v>75413.9848225095</v>
      </c>
      <c r="P417" s="13" t="n">
        <f aca="false">IF(I417="","",I417/L417)</f>
        <v>0.747196403110517</v>
      </c>
    </row>
    <row r="418" customFormat="false" ht="15" hidden="false" customHeight="false" outlineLevel="0" collapsed="false">
      <c r="A418" s="9" t="n">
        <v>46074</v>
      </c>
      <c r="B418" s="10" t="n">
        <v>854.191933352726</v>
      </c>
      <c r="C418" s="11" t="n">
        <v>144.398401518101</v>
      </c>
      <c r="D418" s="10" t="n">
        <v>371.875</v>
      </c>
      <c r="E418" s="11" t="n">
        <v>11.3956611770571</v>
      </c>
      <c r="F418" s="11" t="n">
        <v>20.260416955425</v>
      </c>
      <c r="G418" s="11" t="n">
        <v>33.8484985457143</v>
      </c>
      <c r="H418" s="11" t="n">
        <f aca="false">IF(B418="","",F418*1000/B418)</f>
        <v>23.7188109186449</v>
      </c>
      <c r="I418" s="12" t="n">
        <v>67994.8</v>
      </c>
      <c r="J418" s="12" t="n">
        <f aca="false">F418*24*1000000*Assumptions!$B$3/D418</f>
        <v>65378.1521922958</v>
      </c>
      <c r="K418" s="12" t="n">
        <f aca="false">J418/Assumptions!$B$4</f>
        <v>87170.8695897277</v>
      </c>
      <c r="L418" s="12" t="n">
        <f aca="false">J418/Assumptions!$B$5</f>
        <v>100581.772603532</v>
      </c>
      <c r="M418" s="12" t="n">
        <f aca="false">E418*24*1000000*Assumptions!$B$3/D418/Assumptions!$B$5</f>
        <v>56573.1595603095</v>
      </c>
      <c r="N418" s="12" t="n">
        <f aca="false">G418*24*1000000*Assumptions!$B$3/D418/Assumptions!$B$5</f>
        <v>168039.0878029</v>
      </c>
      <c r="O418" s="12" t="n">
        <f aca="false">IF(ROW()&lt;8,"",AVERAGE(L412:L418))</f>
        <v>79536.0782421424</v>
      </c>
      <c r="P418" s="13" t="n">
        <f aca="false">IF(I418="","",I418/L418)</f>
        <v>0.676015129182684</v>
      </c>
    </row>
    <row r="419" customFormat="false" ht="15" hidden="false" customHeight="false" outlineLevel="0" collapsed="false">
      <c r="A419" s="9" t="n">
        <v>46075</v>
      </c>
      <c r="B419" s="10" t="n">
        <v>1177.20568966258</v>
      </c>
      <c r="C419" s="11" t="n">
        <v>144.3984015181</v>
      </c>
      <c r="D419" s="10" t="n">
        <v>512.5</v>
      </c>
      <c r="E419" s="11" t="n">
        <v>11.3077704432</v>
      </c>
      <c r="F419" s="11" t="n">
        <v>20.1041554724977</v>
      </c>
      <c r="G419" s="11" t="n">
        <v>33.58743696</v>
      </c>
      <c r="H419" s="11" t="n">
        <f aca="false">IF(B419="","",F419*1000/B419)</f>
        <v>17.077861285448</v>
      </c>
      <c r="I419" s="12" t="n">
        <v>67966.35</v>
      </c>
      <c r="J419" s="12" t="n">
        <f aca="false">F419*24*1000000*Assumptions!$B$3/D419</f>
        <v>47073.1445209702</v>
      </c>
      <c r="K419" s="12" t="n">
        <f aca="false">J419/Assumptions!$B$4</f>
        <v>62764.1926946269</v>
      </c>
      <c r="L419" s="12" t="n">
        <f aca="false">J419/Assumptions!$B$5</f>
        <v>72420.2223399542</v>
      </c>
      <c r="M419" s="12" t="n">
        <f aca="false">E419*24*1000000*Assumptions!$B$3/D419/Assumptions!$B$5</f>
        <v>40733.4319905141</v>
      </c>
      <c r="N419" s="12" t="n">
        <f aca="false">G419*24*1000000*Assumptions!$B$3/D419/Assumptions!$B$5</f>
        <v>120990.392051032</v>
      </c>
      <c r="O419" s="12" t="n">
        <f aca="false">IF(ROW()&lt;8,"",AVERAGE(L413:L419))</f>
        <v>81005.4338264496</v>
      </c>
      <c r="P419" s="13" t="n">
        <f aca="false">IF(I419="","",I419/L419)</f>
        <v>0.938499604170685</v>
      </c>
    </row>
    <row r="420" customFormat="false" ht="15" hidden="false" customHeight="false" outlineLevel="0" collapsed="false">
      <c r="A420" s="9" t="n">
        <v>46076</v>
      </c>
      <c r="B420" s="10" t="n">
        <v>1062.35635408574</v>
      </c>
      <c r="C420" s="11" t="n">
        <v>144.3984015181</v>
      </c>
      <c r="D420" s="10" t="n">
        <v>456.25</v>
      </c>
      <c r="E420" s="11" t="n">
        <v>11.2560658522714</v>
      </c>
      <c r="F420" s="11" t="n">
        <v>19.9762261839329</v>
      </c>
      <c r="G420" s="11" t="n">
        <v>33.1933254023924</v>
      </c>
      <c r="H420" s="11" t="n">
        <f aca="false">IF(B420="","",F420*1000/B420)</f>
        <v>18.8036962428904</v>
      </c>
      <c r="I420" s="12" t="n">
        <v>67614.9</v>
      </c>
      <c r="J420" s="12" t="n">
        <f aca="false">F420*24*1000000*Assumptions!$B$3/D420</f>
        <v>52540.2113330837</v>
      </c>
      <c r="K420" s="12" t="n">
        <f aca="false">J420/Assumptions!$B$4</f>
        <v>70053.6151107783</v>
      </c>
      <c r="L420" s="12" t="n">
        <f aca="false">J420/Assumptions!$B$5</f>
        <v>80831.0943585904</v>
      </c>
      <c r="M420" s="12" t="n">
        <f aca="false">E420*24*1000000*Assumptions!$B$3/D420/Assumptions!$B$5</f>
        <v>45546.1463358507</v>
      </c>
      <c r="N420" s="12" t="n">
        <f aca="false">G420*24*1000000*Assumptions!$B$3/D420/Assumptions!$B$5</f>
        <v>134312.296675645</v>
      </c>
      <c r="O420" s="12" t="n">
        <f aca="false">IF(ROW()&lt;8,"",AVERAGE(L414:L420))</f>
        <v>82155.3947353412</v>
      </c>
      <c r="P420" s="13" t="n">
        <f aca="false">IF(I420="","",I420/L420)</f>
        <v>0.836496159510603</v>
      </c>
    </row>
    <row r="421" customFormat="false" ht="15" hidden="false" customHeight="false" outlineLevel="0" collapsed="false">
      <c r="A421" s="9" t="n">
        <v>46077</v>
      </c>
      <c r="B421" s="10" t="n">
        <v>1184.38377313613</v>
      </c>
      <c r="C421" s="11" t="n">
        <v>144.3984015181</v>
      </c>
      <c r="D421" s="10" t="n">
        <v>521.875</v>
      </c>
      <c r="E421" s="11" t="n">
        <v>11.4973399764143</v>
      </c>
      <c r="F421" s="11" t="n">
        <v>20.3650500565464</v>
      </c>
      <c r="G421" s="11" t="n">
        <v>33.641818812045</v>
      </c>
      <c r="H421" s="11" t="n">
        <f aca="false">IF(B421="","",F421*1000/B421)</f>
        <v>17.1946378517343</v>
      </c>
      <c r="I421" s="12" t="n">
        <v>64619.94</v>
      </c>
      <c r="J421" s="12" t="n">
        <f aca="false">F421*24*1000000*Assumptions!$B$3/D421</f>
        <v>46827.4204893043</v>
      </c>
      <c r="K421" s="12" t="n">
        <f aca="false">J421/Assumptions!$B$4</f>
        <v>62436.5606524058</v>
      </c>
      <c r="L421" s="12" t="n">
        <f aca="false">J421/Assumptions!$B$5</f>
        <v>72042.1853681605</v>
      </c>
      <c r="M421" s="12" t="n">
        <f aca="false">E421*24*1000000*Assumptions!$B$3/D421/Assumptions!$B$5</f>
        <v>40672.3035554407</v>
      </c>
      <c r="N421" s="12" t="n">
        <f aca="false">G421*24*1000000*Assumptions!$B$3/D421/Assumptions!$B$5</f>
        <v>119009.289947722</v>
      </c>
      <c r="O421" s="12" t="n">
        <f aca="false">IF(ROW()&lt;8,"",AVERAGE(L415:L421))</f>
        <v>82036.8727936731</v>
      </c>
      <c r="P421" s="13" t="n">
        <f aca="false">IF(I421="","",I421/L421)</f>
        <v>0.896973622742977</v>
      </c>
    </row>
    <row r="422" customFormat="false" ht="15" hidden="false" customHeight="false" outlineLevel="0" collapsed="false">
      <c r="A422" s="9" t="n">
        <v>46078</v>
      </c>
      <c r="B422" s="10" t="n">
        <v>1119.78102187416</v>
      </c>
      <c r="C422" s="11" t="n">
        <v>144.3984015181</v>
      </c>
      <c r="D422" s="10" t="n">
        <v>468.75</v>
      </c>
      <c r="E422" s="11" t="n">
        <v>11.7552448182714</v>
      </c>
      <c r="F422" s="11" t="n">
        <v>20.7856311783891</v>
      </c>
      <c r="G422" s="11" t="n">
        <v>34.1543374226755</v>
      </c>
      <c r="H422" s="11" t="n">
        <f aca="false">IF(B422="","",F422*1000/B422)</f>
        <v>18.5622284824942</v>
      </c>
      <c r="I422" s="12" t="n">
        <v>64043.32</v>
      </c>
      <c r="J422" s="12" t="n">
        <f aca="false">F422*24*1000000*Assumptions!$B$3/D422</f>
        <v>53211.215816676</v>
      </c>
      <c r="K422" s="12" t="n">
        <f aca="false">J422/Assumptions!$B$4</f>
        <v>70948.2877555679</v>
      </c>
      <c r="L422" s="12" t="n">
        <f aca="false">J422/Assumptions!$B$5</f>
        <v>81863.4089487323</v>
      </c>
      <c r="M422" s="12" t="n">
        <f aca="false">E422*24*1000000*Assumptions!$B$3/D422/Assumptions!$B$5</f>
        <v>46297.5795919613</v>
      </c>
      <c r="N422" s="12" t="n">
        <f aca="false">G422*24*1000000*Assumptions!$B$3/D422/Assumptions!$B$5</f>
        <v>134515.544310845</v>
      </c>
      <c r="O422" s="12" t="n">
        <f aca="false">IF(ROW()&lt;8,"",AVERAGE(L416:L422))</f>
        <v>81447.4818865947</v>
      </c>
      <c r="P422" s="13" t="n">
        <f aca="false">IF(I422="","",I422/L422)</f>
        <v>0.782319241556478</v>
      </c>
    </row>
    <row r="423" customFormat="false" ht="15" hidden="false" customHeight="false" outlineLevel="0" collapsed="false">
      <c r="A423" s="9" t="n">
        <v>46079</v>
      </c>
      <c r="B423" s="10" t="n">
        <v>1004.93168629733</v>
      </c>
      <c r="C423" s="11" t="n">
        <v>144.398401518101</v>
      </c>
      <c r="D423" s="10" t="n">
        <v>456.25</v>
      </c>
      <c r="E423" s="11" t="n">
        <v>11.7230303257571</v>
      </c>
      <c r="F423" s="11" t="n">
        <v>20.6942995848921</v>
      </c>
      <c r="G423" s="11" t="n">
        <v>33.8311190568298</v>
      </c>
      <c r="H423" s="11" t="n">
        <f aca="false">IF(B423="","",F423*1000/B423)</f>
        <v>20.592742638199</v>
      </c>
      <c r="I423" s="12" t="n">
        <v>67984.76</v>
      </c>
      <c r="J423" s="12" t="n">
        <f aca="false">F423*24*1000000*Assumptions!$B$3/D423</f>
        <v>54428.8427438259</v>
      </c>
      <c r="K423" s="12" t="n">
        <f aca="false">J423/Assumptions!$B$4</f>
        <v>72571.7903251012</v>
      </c>
      <c r="L423" s="12" t="n">
        <f aca="false">J423/Assumptions!$B$5</f>
        <v>83736.6811443476</v>
      </c>
      <c r="M423" s="12" t="n">
        <f aca="false">E423*24*1000000*Assumptions!$B$3/D423/Assumptions!$B$5</f>
        <v>47435.6548481638</v>
      </c>
      <c r="N423" s="12" t="n">
        <f aca="false">G423*24*1000000*Assumptions!$B$3/D423/Assumptions!$B$5</f>
        <v>136893.042337436</v>
      </c>
      <c r="O423" s="12" t="n">
        <f aca="false">IF(ROW()&lt;8,"",AVERAGE(L417:L423))</f>
        <v>83012.3116532875</v>
      </c>
      <c r="P423" s="13" t="n">
        <f aca="false">IF(I423="","",I423/L423)</f>
        <v>0.81188744372142</v>
      </c>
    </row>
    <row r="424" customFormat="false" ht="15" hidden="false" customHeight="false" outlineLevel="0" collapsed="false">
      <c r="A424" s="9" t="n">
        <v>46080</v>
      </c>
      <c r="B424" s="10" t="n">
        <v>1012.10976977088</v>
      </c>
      <c r="C424" s="11" t="n">
        <v>144.398401518101</v>
      </c>
      <c r="D424" s="10" t="n">
        <v>434.375</v>
      </c>
      <c r="E424" s="11" t="n">
        <v>11.7686008793571</v>
      </c>
      <c r="F424" s="11" t="n">
        <v>20.7410192439181</v>
      </c>
      <c r="G424" s="11" t="n">
        <v>33.7373201609323</v>
      </c>
      <c r="H424" s="11" t="n">
        <f aca="false">IF(B424="","",F424*1000/B424)</f>
        <v>20.4928554820823</v>
      </c>
      <c r="I424" s="12" t="n">
        <v>67470.73</v>
      </c>
      <c r="J424" s="12" t="n">
        <f aca="false">F424*24*1000000*Assumptions!$B$3/D424</f>
        <v>57298.9308608961</v>
      </c>
      <c r="K424" s="12" t="n">
        <f aca="false">J424/Assumptions!$B$4</f>
        <v>76398.5744811948</v>
      </c>
      <c r="L424" s="12" t="n">
        <f aca="false">J424/Assumptions!$B$5</f>
        <v>88152.2013244555</v>
      </c>
      <c r="M424" s="12" t="n">
        <f aca="false">E424*24*1000000*Assumptions!$B$3/D424/Assumptions!$B$5</f>
        <v>50018.1819332943</v>
      </c>
      <c r="N424" s="12" t="n">
        <f aca="false">G424*24*1000000*Assumptions!$B$3/D424/Assumptions!$B$5</f>
        <v>143388.278271145</v>
      </c>
      <c r="O424" s="12" t="n">
        <f aca="false">IF(ROW()&lt;8,"",AVERAGE(L418:L424))</f>
        <v>82803.9380125389</v>
      </c>
      <c r="P424" s="13" t="n">
        <f aca="false">IF(I424="","",I424/L424)</f>
        <v>0.765389054229801</v>
      </c>
    </row>
    <row r="425" customFormat="false" ht="15" hidden="false" customHeight="false" outlineLevel="0" collapsed="false">
      <c r="A425" s="9" t="n">
        <v>46081</v>
      </c>
      <c r="B425" s="10" t="n">
        <v>1026.46593671798</v>
      </c>
      <c r="C425" s="11" t="n">
        <v>144.3984015181</v>
      </c>
      <c r="D425" s="10" t="n">
        <v>453.125</v>
      </c>
      <c r="E425" s="11" t="n">
        <v>12.0420242644429</v>
      </c>
      <c r="F425" s="11" t="n">
        <v>21.1369894281506</v>
      </c>
      <c r="G425" s="11" t="n">
        <v>34.1095548723609</v>
      </c>
      <c r="H425" s="11" t="n">
        <f aca="false">IF(B425="","",F425*1000/B425)</f>
        <v>20.5920027855322</v>
      </c>
      <c r="I425" s="12" t="n">
        <v>65866.66</v>
      </c>
      <c r="J425" s="12" t="n">
        <f aca="false">F425*24*1000000*Assumptions!$B$3/D425</f>
        <v>55976.5788993781</v>
      </c>
      <c r="K425" s="12" t="n">
        <f aca="false">J425/Assumptions!$B$4</f>
        <v>74635.4385325041</v>
      </c>
      <c r="L425" s="12" t="n">
        <f aca="false">J425/Assumptions!$B$5</f>
        <v>86117.8136913509</v>
      </c>
      <c r="M425" s="12" t="n">
        <f aca="false">E425*24*1000000*Assumptions!$B$3/D425/Assumptions!$B$5</f>
        <v>49062.4649076505</v>
      </c>
      <c r="N425" s="12" t="n">
        <f aca="false">G425*24*1000000*Assumptions!$B$3/D425/Assumptions!$B$5</f>
        <v>138971.555129831</v>
      </c>
      <c r="O425" s="12" t="n">
        <f aca="false">IF(ROW()&lt;8,"",AVERAGE(L419:L425))</f>
        <v>80737.6581679416</v>
      </c>
      <c r="P425" s="13" t="n">
        <f aca="false">IF(I425="","",I425/L425)</f>
        <v>0.764843615701489</v>
      </c>
    </row>
    <row r="426" customFormat="false" ht="15" hidden="false" customHeight="false" outlineLevel="0" collapsed="false">
      <c r="A426" s="9" t="n">
        <v>46082</v>
      </c>
      <c r="B426" s="10" t="n">
        <v>1069.5344375593</v>
      </c>
      <c r="C426" s="11" t="n">
        <v>144.3984015181</v>
      </c>
      <c r="D426" s="10" t="n">
        <v>465.625</v>
      </c>
      <c r="E426" s="11" t="n">
        <v>11.6396569684</v>
      </c>
      <c r="F426" s="11" t="n">
        <v>20.6199098187052</v>
      </c>
      <c r="G426" s="11" t="n">
        <v>33.1435904437894</v>
      </c>
      <c r="H426" s="11" t="n">
        <f aca="false">IF(B426="","",F426*1000/B426)</f>
        <v>19.2793322913101</v>
      </c>
      <c r="I426" s="12" t="n">
        <v>67006.09</v>
      </c>
      <c r="J426" s="12" t="n">
        <f aca="false">F426*24*1000000*Assumptions!$B$3/D426</f>
        <v>53141.2440965287</v>
      </c>
      <c r="K426" s="12" t="n">
        <f aca="false">J426/Assumptions!$B$4</f>
        <v>70854.992128705</v>
      </c>
      <c r="L426" s="12" t="n">
        <f aca="false">J426/Assumptions!$B$5</f>
        <v>81755.7601485058</v>
      </c>
      <c r="M426" s="12" t="n">
        <f aca="false">E426*24*1000000*Assumptions!$B$3/D426/Assumptions!$B$5</f>
        <v>46150.0080110026</v>
      </c>
      <c r="N426" s="12" t="n">
        <f aca="false">G426*24*1000000*Assumptions!$B$3/D426/Assumptions!$B$5</f>
        <v>131410.828398711</v>
      </c>
      <c r="O426" s="12" t="n">
        <f aca="false">IF(ROW()&lt;8,"",AVERAGE(L420:L426))</f>
        <v>82071.3064263061</v>
      </c>
      <c r="P426" s="13" t="n">
        <f aca="false">IF(I426="","",I426/L426)</f>
        <v>0.819588612206484</v>
      </c>
    </row>
    <row r="427" customFormat="false" ht="15" hidden="false" customHeight="false" outlineLevel="0" collapsed="false">
      <c r="A427" s="9" t="n">
        <v>46083</v>
      </c>
      <c r="B427" s="10" t="n">
        <v>976.219352403116</v>
      </c>
      <c r="C427" s="11" t="n">
        <v>144.398401518101</v>
      </c>
      <c r="D427" s="10" t="n">
        <v>425</v>
      </c>
      <c r="E427" s="11" t="n">
        <v>11.2916634162571</v>
      </c>
      <c r="F427" s="11" t="n">
        <v>20.2182043688903</v>
      </c>
      <c r="G427" s="11" t="n">
        <v>32.5596696442542</v>
      </c>
      <c r="H427" s="11" t="n">
        <f aca="false">IF(B427="","",F427*1000/B427)</f>
        <v>20.7107186710856</v>
      </c>
      <c r="I427" s="12" t="n">
        <v>65762.29</v>
      </c>
      <c r="J427" s="12" t="n">
        <f aca="false">F427*24*1000000*Assumptions!$B$3/D427</f>
        <v>57086.6946886313</v>
      </c>
      <c r="K427" s="12" t="n">
        <f aca="false">J427/Assumptions!$B$4</f>
        <v>76115.5929181751</v>
      </c>
      <c r="L427" s="12" t="n">
        <f aca="false">J427/Assumptions!$B$5</f>
        <v>87825.6841363559</v>
      </c>
      <c r="M427" s="12" t="n">
        <f aca="false">E427*24*1000000*Assumptions!$B$3/D427/Assumptions!$B$5</f>
        <v>49049.7596362301</v>
      </c>
      <c r="N427" s="12" t="n">
        <f aca="false">G427*24*1000000*Assumptions!$B$3/D427/Assumptions!$B$5</f>
        <v>141435.669042914</v>
      </c>
      <c r="O427" s="12" t="n">
        <f aca="false">IF(ROW()&lt;8,"",AVERAGE(L421:L427))</f>
        <v>83070.5335374155</v>
      </c>
      <c r="P427" s="13" t="n">
        <f aca="false">IF(I427="","",I427/L427)</f>
        <v>0.748781983843122</v>
      </c>
    </row>
    <row r="428" customFormat="false" ht="15" hidden="false" customHeight="false" outlineLevel="0" collapsed="false">
      <c r="A428" s="9" t="n">
        <v>46084</v>
      </c>
      <c r="B428" s="10" t="n">
        <v>961.863185456011</v>
      </c>
      <c r="C428" s="11" t="n">
        <v>144.398401518101</v>
      </c>
      <c r="D428" s="10" t="n">
        <v>418.75</v>
      </c>
      <c r="E428" s="11" t="n">
        <v>10.7303168747071</v>
      </c>
      <c r="F428" s="11" t="n">
        <v>19.4252857070095</v>
      </c>
      <c r="G428" s="11" t="n">
        <v>31.2871876541185</v>
      </c>
      <c r="H428" s="11" t="n">
        <f aca="false">IF(B428="","",F428*1000/B428)</f>
        <v>20.1954768627517</v>
      </c>
      <c r="I428" s="12" t="n">
        <v>68775.78</v>
      </c>
      <c r="J428" s="12" t="n">
        <f aca="false">F428*24*1000000*Assumptions!$B$3/D428</f>
        <v>55666.490384266</v>
      </c>
      <c r="K428" s="12" t="n">
        <f aca="false">J428/Assumptions!$B$4</f>
        <v>74221.9871790213</v>
      </c>
      <c r="L428" s="12" t="n">
        <f aca="false">J428/Assumptions!$B$5</f>
        <v>85640.7544373322</v>
      </c>
      <c r="M428" s="12" t="n">
        <f aca="false">E428*24*1000000*Assumptions!$B$3/D428/Assumptions!$B$5</f>
        <v>47307.0227312003</v>
      </c>
      <c r="N428" s="12" t="n">
        <f aca="false">G428*24*1000000*Assumptions!$B$3/D428/Assumptions!$B$5</f>
        <v>137936.625248927</v>
      </c>
      <c r="O428" s="12" t="n">
        <f aca="false">IF(ROW()&lt;8,"",AVERAGE(L422:L428))</f>
        <v>85013.1862615829</v>
      </c>
      <c r="P428" s="13" t="n">
        <f aca="false">IF(I428="","",I428/L428)</f>
        <v>0.803073028161222</v>
      </c>
    </row>
    <row r="429" customFormat="false" ht="15" hidden="false" customHeight="false" outlineLevel="0" collapsed="false">
      <c r="A429" s="9" t="n">
        <v>46085</v>
      </c>
      <c r="B429" s="10" t="n">
        <v>933.150851561802</v>
      </c>
      <c r="C429" s="11" t="n">
        <v>144.398401518101</v>
      </c>
      <c r="D429" s="10" t="n">
        <v>406.25</v>
      </c>
      <c r="E429" s="11" t="n">
        <v>10.2321476598143</v>
      </c>
      <c r="F429" s="11" t="n">
        <v>18.7375767200256</v>
      </c>
      <c r="G429" s="11" t="n">
        <v>30.1839513284777</v>
      </c>
      <c r="H429" s="11" t="n">
        <f aca="false">IF(B429="","",F429*1000/B429)</f>
        <v>20.0799010027851</v>
      </c>
      <c r="I429" s="12" t="n">
        <v>68264.82</v>
      </c>
      <c r="J429" s="12" t="n">
        <f aca="false">F429*24*1000000*Assumptions!$B$3/D429</f>
        <v>55347.9189268449</v>
      </c>
      <c r="K429" s="12" t="n">
        <f aca="false">J429/Assumptions!$B$4</f>
        <v>73797.2252357932</v>
      </c>
      <c r="L429" s="12" t="n">
        <f aca="false">J429/Assumptions!$B$5</f>
        <v>85150.6445028383</v>
      </c>
      <c r="M429" s="12" t="n">
        <f aca="false">E429*24*1000000*Assumptions!$B$3/D429/Assumptions!$B$5</f>
        <v>46498.7538623513</v>
      </c>
      <c r="N429" s="12" t="n">
        <f aca="false">G429*24*1000000*Assumptions!$B$3/D429/Assumptions!$B$5</f>
        <v>137167.30544539</v>
      </c>
      <c r="O429" s="12" t="n">
        <f aca="false">IF(ROW()&lt;8,"",AVERAGE(L423:L429))</f>
        <v>85482.7913407409</v>
      </c>
      <c r="P429" s="13" t="n">
        <f aca="false">IF(I429="","",I429/L429)</f>
        <v>0.801694695308203</v>
      </c>
    </row>
    <row r="430" customFormat="false" ht="15" hidden="false" customHeight="false" outlineLevel="0" collapsed="false">
      <c r="A430" s="9" t="n">
        <v>46086</v>
      </c>
      <c r="B430" s="10" t="n">
        <v>1192.84192370498</v>
      </c>
      <c r="C430" s="11" t="n">
        <v>144.553525351053</v>
      </c>
      <c r="D430" s="10" t="n">
        <v>500</v>
      </c>
      <c r="E430" s="11" t="n">
        <v>10.2724423745286</v>
      </c>
      <c r="F430" s="11" t="n">
        <v>19.0478795169352</v>
      </c>
      <c r="G430" s="11" t="n">
        <v>30.6883435276439</v>
      </c>
      <c r="H430" s="11" t="n">
        <f aca="false">IF(B430="","",F430*1000/B430)</f>
        <v>15.9684859648227</v>
      </c>
      <c r="I430" s="12" t="n">
        <v>72758.05</v>
      </c>
      <c r="J430" s="12" t="n">
        <f aca="false">F430*24*1000000*Assumptions!$B$3/D430</f>
        <v>45714.9108406444</v>
      </c>
      <c r="K430" s="12" t="n">
        <f aca="false">J430/Assumptions!$B$4</f>
        <v>60953.2144541925</v>
      </c>
      <c r="L430" s="12" t="n">
        <f aca="false">J430/Assumptions!$B$5</f>
        <v>70330.6320625298</v>
      </c>
      <c r="M430" s="12" t="n">
        <f aca="false">E430*24*1000000*Assumptions!$B$3/D430/Assumptions!$B$5</f>
        <v>37929.0179982593</v>
      </c>
      <c r="N430" s="12" t="n">
        <f aca="false">G430*24*1000000*Assumptions!$B$3/D430/Assumptions!$B$5</f>
        <v>113310.806871301</v>
      </c>
      <c r="O430" s="12" t="n">
        <f aca="false">IF(ROW()&lt;8,"",AVERAGE(L424:L430))</f>
        <v>83567.6414719098</v>
      </c>
      <c r="P430" s="13" t="n">
        <f aca="false">IF(I430="","",I430/L430)</f>
        <v>1.03451437682676</v>
      </c>
    </row>
    <row r="431" customFormat="false" ht="15" hidden="false" customHeight="false" outlineLevel="0" collapsed="false">
      <c r="A431" s="9" t="n">
        <v>46087</v>
      </c>
      <c r="B431" s="10" t="n">
        <v>1052.67243203648</v>
      </c>
      <c r="C431" s="11" t="n">
        <v>145.042165424852</v>
      </c>
      <c r="D431" s="10" t="n">
        <v>475</v>
      </c>
      <c r="E431" s="11" t="n">
        <v>10.1089927636929</v>
      </c>
      <c r="F431" s="11" t="n">
        <v>18.9721201114159</v>
      </c>
      <c r="G431" s="11" t="n">
        <v>30.570691934415</v>
      </c>
      <c r="H431" s="11" t="n">
        <f aca="false">IF(B431="","",F431*1000/B431)</f>
        <v>18.0228146325755</v>
      </c>
      <c r="I431" s="12" t="n">
        <v>70886.76</v>
      </c>
      <c r="J431" s="12" t="n">
        <f aca="false">F431*24*1000000*Assumptions!$B$3/D431</f>
        <v>47929.5665972613</v>
      </c>
      <c r="K431" s="12" t="n">
        <f aca="false">J431/Assumptions!$B$4</f>
        <v>63906.0887963484</v>
      </c>
      <c r="L431" s="12" t="n">
        <f aca="false">J431/Assumptions!$B$5</f>
        <v>73737.7947650173</v>
      </c>
      <c r="M431" s="12" t="n">
        <f aca="false">E431*24*1000000*Assumptions!$B$3/D431/Assumptions!$B$5</f>
        <v>39290.0123609115</v>
      </c>
      <c r="N431" s="12" t="n">
        <f aca="false">G431*24*1000000*Assumptions!$B$3/D431/Assumptions!$B$5</f>
        <v>118817.264198536</v>
      </c>
      <c r="O431" s="12" t="n">
        <f aca="false">IF(ROW()&lt;8,"",AVERAGE(L425:L431))</f>
        <v>81508.4405348472</v>
      </c>
      <c r="P431" s="13" t="n">
        <f aca="false">IF(I431="","",I431/L431)</f>
        <v>0.961335502721463</v>
      </c>
    </row>
    <row r="432" customFormat="false" ht="15" hidden="false" customHeight="false" outlineLevel="0" collapsed="false">
      <c r="A432" s="9" t="n">
        <v>46088</v>
      </c>
      <c r="B432" s="10" t="n">
        <v>951.731239923392</v>
      </c>
      <c r="C432" s="11" t="n">
        <v>145.042165424853</v>
      </c>
      <c r="D432" s="10" t="n">
        <v>412.5</v>
      </c>
      <c r="E432" s="11" t="n">
        <v>9.78439637665</v>
      </c>
      <c r="F432" s="11" t="n">
        <v>18.6483954136657</v>
      </c>
      <c r="G432" s="11" t="n">
        <v>30.1718449394675</v>
      </c>
      <c r="H432" s="11" t="n">
        <f aca="false">IF(B432="","",F432*1000/B432)</f>
        <v>19.5941822979004</v>
      </c>
      <c r="I432" s="12" t="n">
        <v>68128.59</v>
      </c>
      <c r="J432" s="12" t="n">
        <f aca="false">F432*24*1000000*Assumptions!$B$3/D432</f>
        <v>54249.8775670276</v>
      </c>
      <c r="K432" s="12" t="n">
        <f aca="false">J432/Assumptions!$B$4</f>
        <v>72333.1700893702</v>
      </c>
      <c r="L432" s="12" t="n">
        <f aca="false">J432/Assumptions!$B$5</f>
        <v>83461.3501031194</v>
      </c>
      <c r="M432" s="12" t="n">
        <f aca="false">E432*24*1000000*Assumptions!$B$3/D432/Assumptions!$B$5</f>
        <v>43790.3054619301</v>
      </c>
      <c r="N432" s="12" t="n">
        <f aca="false">G432*24*1000000*Assumptions!$B$3/D432/Assumptions!$B$5</f>
        <v>135034.830498316</v>
      </c>
      <c r="O432" s="12" t="n">
        <f aca="false">IF(ROW()&lt;8,"",AVERAGE(L426:L432))</f>
        <v>81128.9457365284</v>
      </c>
      <c r="P432" s="13" t="n">
        <f aca="false">IF(I432="","",I432/L432)</f>
        <v>0.816289095681112</v>
      </c>
    </row>
    <row r="433" customFormat="false" ht="15" hidden="false" customHeight="false" outlineLevel="0" collapsed="false">
      <c r="A433" s="9" t="n">
        <v>46089</v>
      </c>
      <c r="B433" s="10" t="n">
        <v>966.151410225261</v>
      </c>
      <c r="C433" s="11" t="n">
        <v>145.042165424853</v>
      </c>
      <c r="D433" s="10" t="n">
        <v>418.75</v>
      </c>
      <c r="E433" s="11" t="n">
        <v>9.64268773940714</v>
      </c>
      <c r="F433" s="11" t="n">
        <v>18.3638584394841</v>
      </c>
      <c r="G433" s="11" t="n">
        <v>29.6490287666032</v>
      </c>
      <c r="H433" s="11" t="n">
        <f aca="false">IF(B433="","",F433*1000/B433)</f>
        <v>19.0072262433509</v>
      </c>
      <c r="I433" s="12" t="n">
        <v>67279.51</v>
      </c>
      <c r="J433" s="12" t="n">
        <f aca="false">F433*24*1000000*Assumptions!$B$3/D433</f>
        <v>52624.7883638947</v>
      </c>
      <c r="K433" s="12" t="n">
        <f aca="false">J433/Assumptions!$B$4</f>
        <v>70166.384485193</v>
      </c>
      <c r="L433" s="12" t="n">
        <f aca="false">J433/Assumptions!$B$5</f>
        <v>80961.2128675304</v>
      </c>
      <c r="M433" s="12" t="n">
        <f aca="false">E433*24*1000000*Assumptions!$B$3/D433/Assumptions!$B$5</f>
        <v>42511.9643161004</v>
      </c>
      <c r="N433" s="12" t="n">
        <f aca="false">G433*24*1000000*Assumptions!$B$3/D433/Assumptions!$B$5</f>
        <v>130714.432220156</v>
      </c>
      <c r="O433" s="12" t="n">
        <f aca="false">IF(ROW()&lt;8,"",AVERAGE(L427:L433))</f>
        <v>81015.4389821033</v>
      </c>
      <c r="P433" s="13" t="n">
        <f aca="false">IF(I433="","",I433/L433)</f>
        <v>0.8310091662051</v>
      </c>
    </row>
    <row r="434" customFormat="false" ht="15" hidden="false" customHeight="false" outlineLevel="0" collapsed="false">
      <c r="A434" s="9" t="n">
        <v>46090</v>
      </c>
      <c r="B434" s="10" t="n">
        <v>994.991750829001</v>
      </c>
      <c r="C434" s="11" t="n">
        <v>145.042165424853</v>
      </c>
      <c r="D434" s="10" t="n">
        <v>431.25</v>
      </c>
      <c r="E434" s="11" t="n">
        <v>9.66841939109286</v>
      </c>
      <c r="F434" s="11" t="n">
        <v>18.3992614809431</v>
      </c>
      <c r="G434" s="11" t="n">
        <v>29.647355690096</v>
      </c>
      <c r="H434" s="11" t="n">
        <f aca="false">IF(B434="","",F434*1000/B434)</f>
        <v>18.4918733905214</v>
      </c>
      <c r="I434" s="12" t="n">
        <v>65940.8</v>
      </c>
      <c r="J434" s="12" t="n">
        <f aca="false">F434*24*1000000*Assumptions!$B$3/D434</f>
        <v>51197.9449904503</v>
      </c>
      <c r="K434" s="12" t="n">
        <f aca="false">J434/Assumptions!$B$4</f>
        <v>68263.9266539337</v>
      </c>
      <c r="L434" s="12" t="n">
        <f aca="false">J434/Assumptions!$B$5</f>
        <v>78766.0692160774</v>
      </c>
      <c r="M434" s="12" t="n">
        <f aca="false">E434*24*1000000*Assumptions!$B$3/D434/Assumptions!$B$5</f>
        <v>41389.8890321032</v>
      </c>
      <c r="N434" s="12" t="n">
        <f aca="false">G434*24*1000000*Assumptions!$B$3/D434/Assumptions!$B$5</f>
        <v>126918.445763622</v>
      </c>
      <c r="O434" s="12" t="n">
        <f aca="false">IF(ROW()&lt;8,"",AVERAGE(L428:L434))</f>
        <v>79721.2082792064</v>
      </c>
      <c r="P434" s="13" t="n">
        <f aca="false">IF(I434="","",I434/L434)</f>
        <v>0.837172664019909</v>
      </c>
    </row>
    <row r="435" customFormat="false" ht="15" hidden="false" customHeight="false" outlineLevel="0" collapsed="false">
      <c r="A435" s="9" t="n">
        <v>46091</v>
      </c>
      <c r="B435" s="10" t="n">
        <v>994.991750829001</v>
      </c>
      <c r="C435" s="11" t="n">
        <v>145.042165424853</v>
      </c>
      <c r="D435" s="10" t="n">
        <v>431.25</v>
      </c>
      <c r="E435" s="11" t="n">
        <v>9.71382919525714</v>
      </c>
      <c r="F435" s="11" t="n">
        <v>18.4856775565001</v>
      </c>
      <c r="G435" s="11" t="n">
        <v>29.7866008512147</v>
      </c>
      <c r="H435" s="11" t="n">
        <f aca="false">IF(B435="","",F435*1000/B435)</f>
        <v>18.5787244377637</v>
      </c>
      <c r="I435" s="12" t="n">
        <v>68452.78</v>
      </c>
      <c r="J435" s="12" t="n">
        <f aca="false">F435*24*1000000*Assumptions!$B$3/D435</f>
        <v>51438.4071137393</v>
      </c>
      <c r="K435" s="12" t="n">
        <f aca="false">J435/Assumptions!$B$4</f>
        <v>68584.542818319</v>
      </c>
      <c r="L435" s="12" t="n">
        <f aca="false">J435/Assumptions!$B$5</f>
        <v>79136.0109442143</v>
      </c>
      <c r="M435" s="12" t="n">
        <f aca="false">E435*24*1000000*Assumptions!$B$3/D435/Assumptions!$B$5</f>
        <v>41584.2855181577</v>
      </c>
      <c r="N435" s="12" t="n">
        <f aca="false">G435*24*1000000*Assumptions!$B$3/D435/Assumptions!$B$5</f>
        <v>127514.545450016</v>
      </c>
      <c r="O435" s="12" t="n">
        <f aca="false">IF(ROW()&lt;8,"",AVERAGE(L429:L435))</f>
        <v>78791.959208761</v>
      </c>
      <c r="P435" s="13" t="n">
        <f aca="false">IF(I435="","",I435/L435)</f>
        <v>0.86500164947984</v>
      </c>
    </row>
    <row r="436" customFormat="false" ht="15" hidden="false" customHeight="false" outlineLevel="0" collapsed="false">
      <c r="A436" s="9" t="n">
        <v>46092</v>
      </c>
      <c r="B436" s="10" t="n">
        <v>1002.20183597994</v>
      </c>
      <c r="C436" s="11" t="n">
        <v>145.042165424853</v>
      </c>
      <c r="D436" s="10" t="n">
        <v>434.375</v>
      </c>
      <c r="E436" s="11" t="n">
        <v>9.80847840110714</v>
      </c>
      <c r="F436" s="11" t="n">
        <v>18.6797235551636</v>
      </c>
      <c r="G436" s="11" t="n">
        <v>30.1595558090821</v>
      </c>
      <c r="H436" s="11" t="n">
        <f aca="false">IF(B436="","",F436*1000/B436)</f>
        <v>18.6386842296082</v>
      </c>
      <c r="I436" s="12" t="n">
        <v>69922.38</v>
      </c>
      <c r="J436" s="12" t="n">
        <f aca="false">F436*24*1000000*Assumptions!$B$3/D436</f>
        <v>51604.4161523943</v>
      </c>
      <c r="K436" s="12" t="n">
        <f aca="false">J436/Assumptions!$B$4</f>
        <v>68805.8882031924</v>
      </c>
      <c r="L436" s="12" t="n">
        <f aca="false">J436/Assumptions!$B$5</f>
        <v>79391.409465222</v>
      </c>
      <c r="M436" s="12" t="n">
        <f aca="false">E436*24*1000000*Assumptions!$B$3/D436/Assumptions!$B$5</f>
        <v>41687.3902161056</v>
      </c>
      <c r="N436" s="12" t="n">
        <f aca="false">G436*24*1000000*Assumptions!$B$3/D436/Assumptions!$B$5</f>
        <v>128182.284789015</v>
      </c>
      <c r="O436" s="12" t="n">
        <f aca="false">IF(ROW()&lt;8,"",AVERAGE(L430:L436))</f>
        <v>77969.2113462444</v>
      </c>
      <c r="P436" s="13" t="n">
        <f aca="false">IF(I436="","",I436/L436)</f>
        <v>0.880729797732462</v>
      </c>
    </row>
    <row r="437" customFormat="false" ht="15" hidden="false" customHeight="false" outlineLevel="0" collapsed="false">
      <c r="A437" s="9" t="n">
        <v>46093</v>
      </c>
      <c r="B437" s="10" t="n">
        <v>930.100984470588</v>
      </c>
      <c r="C437" s="11" t="n">
        <v>145.042165424853</v>
      </c>
      <c r="D437" s="10" t="n">
        <v>403.125</v>
      </c>
      <c r="E437" s="11" t="n">
        <v>9.44811624467857</v>
      </c>
      <c r="F437" s="11" t="n">
        <v>18.0068688524967</v>
      </c>
      <c r="G437" s="11" t="n">
        <v>29.1313073500474</v>
      </c>
      <c r="H437" s="11" t="n">
        <f aca="false">IF(B437="","",F437*1000/B437)</f>
        <v>19.3601223449368</v>
      </c>
      <c r="I437" s="12" t="n">
        <v>70197.35</v>
      </c>
      <c r="J437" s="12" t="n">
        <f aca="false">F437*24*1000000*Assumptions!$B$3/D437</f>
        <v>53601.8421655717</v>
      </c>
      <c r="K437" s="12" t="n">
        <f aca="false">J437/Assumptions!$B$4</f>
        <v>71469.1228874289</v>
      </c>
      <c r="L437" s="12" t="n">
        <f aca="false">J437/Assumptions!$B$5</f>
        <v>82464.372562418</v>
      </c>
      <c r="M437" s="12" t="n">
        <f aca="false">E437*24*1000000*Assumptions!$B$3/D437/Assumptions!$B$5</f>
        <v>43268.6540006747</v>
      </c>
      <c r="N437" s="12" t="n">
        <f aca="false">G437*24*1000000*Assumptions!$B$3/D437/Assumptions!$B$5</f>
        <v>133409.922747981</v>
      </c>
      <c r="O437" s="12" t="n">
        <f aca="false">IF(ROW()&lt;8,"",AVERAGE(L431:L437))</f>
        <v>79702.6028462284</v>
      </c>
      <c r="P437" s="13" t="n">
        <f aca="false">IF(I437="","",I437/L437)</f>
        <v>0.851244577734064</v>
      </c>
    </row>
    <row r="438" customFormat="false" ht="15" hidden="false" customHeight="false" outlineLevel="0" collapsed="false">
      <c r="A438" s="9" t="n">
        <v>46094</v>
      </c>
      <c r="B438" s="10" t="n">
        <v>872.420303263109</v>
      </c>
      <c r="C438" s="11" t="n">
        <v>145.042165424853</v>
      </c>
      <c r="D438" s="10" t="n">
        <v>371.875</v>
      </c>
      <c r="E438" s="11" t="n">
        <v>9.20104204764286</v>
      </c>
      <c r="F438" s="11" t="n">
        <v>17.5488026779515</v>
      </c>
      <c r="G438" s="11" t="n">
        <v>28.4456854791738</v>
      </c>
      <c r="H438" s="11" t="n">
        <f aca="false">IF(B438="","",F438*1000/B438)</f>
        <v>20.115078262523</v>
      </c>
      <c r="I438" s="12" t="n">
        <v>70493.61</v>
      </c>
      <c r="J438" s="12" t="n">
        <f aca="false">F438*24*1000000*Assumptions!$B$3/D438</f>
        <v>56628.0691456587</v>
      </c>
      <c r="K438" s="12" t="n">
        <f aca="false">J438/Assumptions!$B$4</f>
        <v>75504.0921942116</v>
      </c>
      <c r="L438" s="12" t="n">
        <f aca="false">J438/Assumptions!$B$5</f>
        <v>87120.1063779365</v>
      </c>
      <c r="M438" s="12" t="n">
        <f aca="false">E438*24*1000000*Assumptions!$B$3/D438/Assumptions!$B$5</f>
        <v>45678.0885105993</v>
      </c>
      <c r="N438" s="12" t="n">
        <f aca="false">G438*24*1000000*Assumptions!$B$3/D438/Assumptions!$B$5</f>
        <v>141217.106968361</v>
      </c>
      <c r="O438" s="12" t="n">
        <f aca="false">IF(ROW()&lt;8,"",AVERAGE(L432:L438))</f>
        <v>81614.361648074</v>
      </c>
      <c r="P438" s="13" t="n">
        <f aca="false">IF(I438="","",I438/L438)</f>
        <v>0.809154315011865</v>
      </c>
    </row>
    <row r="439" customFormat="false" ht="15" hidden="false" customHeight="false" outlineLevel="0" collapsed="false">
      <c r="A439" s="9" t="n">
        <v>46095</v>
      </c>
      <c r="B439" s="10" t="n">
        <v>922.890899319653</v>
      </c>
      <c r="C439" s="11" t="n">
        <v>145.042165424853</v>
      </c>
      <c r="D439" s="10" t="n">
        <v>406.25</v>
      </c>
      <c r="E439" s="11" t="n">
        <v>9.16151015418572</v>
      </c>
      <c r="F439" s="11" t="n">
        <v>17.4863963853955</v>
      </c>
      <c r="G439" s="11" t="n">
        <v>28.4006396169785</v>
      </c>
      <c r="H439" s="11" t="n">
        <f aca="false">IF(B439="","",F439*1000/B439)</f>
        <v>18.9474144758458</v>
      </c>
      <c r="I439" s="12" t="n">
        <v>70966.24</v>
      </c>
      <c r="J439" s="12" t="n">
        <f aca="false">F439*24*1000000*Assumptions!$B$3/D439</f>
        <v>51652.1247076298</v>
      </c>
      <c r="K439" s="12" t="n">
        <f aca="false">J439/Assumptions!$B$4</f>
        <v>68869.4996101731</v>
      </c>
      <c r="L439" s="12" t="n">
        <f aca="false">J439/Assumptions!$B$5</f>
        <v>79464.8072425074</v>
      </c>
      <c r="M439" s="12" t="n">
        <f aca="false">E439*24*1000000*Assumptions!$B$3/D439/Assumptions!$B$5</f>
        <v>41633.3715882523</v>
      </c>
      <c r="N439" s="12" t="n">
        <f aca="false">G439*24*1000000*Assumptions!$B$3/D439/Assumptions!$B$5</f>
        <v>129063.261691358</v>
      </c>
      <c r="O439" s="12" t="n">
        <f aca="false">IF(ROW()&lt;8,"",AVERAGE(L433:L439))</f>
        <v>81043.4269537008</v>
      </c>
      <c r="P439" s="13" t="n">
        <f aca="false">IF(I439="","",I439/L439)</f>
        <v>0.893052439974191</v>
      </c>
    </row>
    <row r="440" customFormat="false" ht="15" hidden="false" customHeight="false" outlineLevel="0" collapsed="false">
      <c r="A440" s="9" t="n">
        <v>46096</v>
      </c>
      <c r="B440" s="10" t="n">
        <v>901.260643866848</v>
      </c>
      <c r="C440" s="11" t="n">
        <v>145.042165424853</v>
      </c>
      <c r="D440" s="10" t="n">
        <v>375</v>
      </c>
      <c r="E440" s="11" t="n">
        <v>9.07256354468571</v>
      </c>
      <c r="F440" s="11" t="n">
        <v>17.3296520017151</v>
      </c>
      <c r="G440" s="11" t="n">
        <v>28.2022825326999</v>
      </c>
      <c r="H440" s="11" t="n">
        <f aca="false">IF(B440="","",F440*1000/B440)</f>
        <v>19.2282356049216</v>
      </c>
      <c r="I440" s="12" t="n">
        <v>71218.64</v>
      </c>
      <c r="J440" s="12" t="n">
        <f aca="false">F440*24*1000000*Assumptions!$B$3/D440</f>
        <v>55454.8864054883</v>
      </c>
      <c r="K440" s="12" t="n">
        <f aca="false">J440/Assumptions!$B$4</f>
        <v>73939.848540651</v>
      </c>
      <c r="L440" s="12" t="n">
        <f aca="false">J440/Assumptions!$B$5</f>
        <v>85315.2098545973</v>
      </c>
      <c r="M440" s="12" t="n">
        <f aca="false">E440*24*1000000*Assumptions!$B$3/D440/Assumptions!$B$5</f>
        <v>44664.9282199912</v>
      </c>
      <c r="N440" s="12" t="n">
        <f aca="false">G440*24*1000000*Assumptions!$B$3/D440/Assumptions!$B$5</f>
        <v>138842.00631483</v>
      </c>
      <c r="O440" s="12" t="n">
        <f aca="false">IF(ROW()&lt;8,"",AVERAGE(L434:L440))</f>
        <v>81665.4265232818</v>
      </c>
      <c r="P440" s="13" t="n">
        <f aca="false">IF(I440="","",I440/L440)</f>
        <v>0.834770729877801</v>
      </c>
    </row>
    <row r="441" customFormat="false" ht="15" hidden="false" customHeight="false" outlineLevel="0" collapsed="false">
      <c r="A441" s="9" t="n">
        <v>46097</v>
      </c>
      <c r="B441" s="10" t="n">
        <v>901.260643866848</v>
      </c>
      <c r="C441" s="11" t="n">
        <v>145.042165424853</v>
      </c>
      <c r="D441" s="10" t="n">
        <v>406.25</v>
      </c>
      <c r="E441" s="11" t="n">
        <v>8.94408506914286</v>
      </c>
      <c r="F441" s="11" t="n">
        <v>17.0976774164133</v>
      </c>
      <c r="G441" s="11" t="n">
        <v>27.8827044663499</v>
      </c>
      <c r="H441" s="11" t="n">
        <f aca="false">IF(B441="","",F441*1000/B441)</f>
        <v>18.97084659445</v>
      </c>
      <c r="I441" s="12" t="n">
        <v>72819.88</v>
      </c>
      <c r="J441" s="12" t="n">
        <f aca="false">F441*24*1000000*Assumptions!$B$3/D441</f>
        <v>50503.9086761745</v>
      </c>
      <c r="K441" s="12" t="n">
        <f aca="false">J441/Assumptions!$B$4</f>
        <v>67338.544901566</v>
      </c>
      <c r="L441" s="12" t="n">
        <f aca="false">J441/Assumptions!$B$5</f>
        <v>77698.3210402685</v>
      </c>
      <c r="M441" s="12" t="n">
        <f aca="false">E441*24*1000000*Assumptions!$B$3/D441/Assumptions!$B$5</f>
        <v>40645.3096633237</v>
      </c>
      <c r="N441" s="12" t="n">
        <f aca="false">G441*24*1000000*Assumptions!$B$3/D441/Assumptions!$B$5</f>
        <v>126709.56822578</v>
      </c>
      <c r="O441" s="12" t="n">
        <f aca="false">IF(ROW()&lt;8,"",AVERAGE(L435:L441))</f>
        <v>81512.8910695948</v>
      </c>
      <c r="P441" s="13" t="n">
        <f aca="false">IF(I441="","",I441/L441)</f>
        <v>0.937213044310955</v>
      </c>
    </row>
    <row r="442" customFormat="false" ht="15" hidden="false" customHeight="false" outlineLevel="0" collapsed="false">
      <c r="A442" s="9" t="n">
        <v>46098</v>
      </c>
      <c r="B442" s="10" t="n">
        <v>915.680814168718</v>
      </c>
      <c r="C442" s="11" t="n">
        <v>145.042165424853</v>
      </c>
      <c r="D442" s="10" t="n">
        <v>396.875</v>
      </c>
      <c r="E442" s="11" t="n">
        <v>8.83537247179286</v>
      </c>
      <c r="F442" s="11" t="n">
        <v>16.903518201416</v>
      </c>
      <c r="G442" s="11" t="n">
        <v>27.6249269571429</v>
      </c>
      <c r="H442" s="11" t="n">
        <f aca="false">IF(B442="","",F442*1000/B442)</f>
        <v>18.4600550102838</v>
      </c>
      <c r="I442" s="12" t="n">
        <v>74859.5</v>
      </c>
      <c r="J442" s="12" t="n">
        <f aca="false">F442*24*1000000*Assumptions!$B$3/D442</f>
        <v>51109.8503097933</v>
      </c>
      <c r="K442" s="12" t="n">
        <f aca="false">J442/Assumptions!$B$4</f>
        <v>68146.4670797244</v>
      </c>
      <c r="L442" s="12" t="n">
        <f aca="false">J442/Assumptions!$B$5</f>
        <v>78630.5389381436</v>
      </c>
      <c r="M442" s="12" t="n">
        <f aca="false">E442*24*1000000*Assumptions!$B$3/D442/Assumptions!$B$5</f>
        <v>41099.7338481945</v>
      </c>
      <c r="N442" s="12" t="n">
        <f aca="false">G442*24*1000000*Assumptions!$B$3/D442/Assumptions!$B$5</f>
        <v>128503.5972325</v>
      </c>
      <c r="O442" s="12" t="n">
        <f aca="false">IF(ROW()&lt;8,"",AVERAGE(L436:L442))</f>
        <v>81440.6807830133</v>
      </c>
      <c r="P442" s="13" t="n">
        <f aca="false">IF(I442="","",I442/L442)</f>
        <v>0.952041039155154</v>
      </c>
    </row>
    <row r="443" customFormat="false" ht="15" hidden="false" customHeight="false" outlineLevel="0" collapsed="false">
      <c r="A443" s="9" t="n">
        <v>46099</v>
      </c>
      <c r="B443" s="10" t="n">
        <v>1002.20183597994</v>
      </c>
      <c r="C443" s="11" t="n">
        <v>145.042165424853</v>
      </c>
      <c r="D443" s="10" t="n">
        <v>434.375</v>
      </c>
      <c r="E443" s="11" t="n">
        <v>8.83537247179286</v>
      </c>
      <c r="F443" s="11" t="n">
        <v>16.903518201416</v>
      </c>
      <c r="G443" s="11" t="n">
        <v>27.6249269571429</v>
      </c>
      <c r="H443" s="11" t="n">
        <f aca="false">IF(B443="","",F443*1000/B443)</f>
        <v>16.8663811964464</v>
      </c>
      <c r="I443" s="12" t="n">
        <v>73927.68</v>
      </c>
      <c r="J443" s="12" t="n">
        <f aca="false">F443*24*1000000*Assumptions!$B$3/D443</f>
        <v>46697.4891319694</v>
      </c>
      <c r="K443" s="12" t="n">
        <f aca="false">J443/Assumptions!$B$4</f>
        <v>62263.3188426259</v>
      </c>
      <c r="L443" s="12" t="n">
        <f aca="false">J443/Assumptions!$B$5</f>
        <v>71842.2909722607</v>
      </c>
      <c r="M443" s="12" t="n">
        <f aca="false">E443*24*1000000*Assumptions!$B$3/D443/Assumptions!$B$5</f>
        <v>37551.5553864799</v>
      </c>
      <c r="N443" s="12" t="n">
        <f aca="false">G443*24*1000000*Assumptions!$B$3/D443/Assumptions!$B$5</f>
        <v>117409.761500198</v>
      </c>
      <c r="O443" s="12" t="n">
        <f aca="false">IF(ROW()&lt;8,"",AVERAGE(L437:L443))</f>
        <v>80362.2352840188</v>
      </c>
      <c r="P443" s="13" t="n">
        <f aca="false">IF(I443="","",I443/L443)</f>
        <v>1.0290273180256</v>
      </c>
    </row>
    <row r="444" customFormat="false" ht="15" hidden="false" customHeight="false" outlineLevel="0" collapsed="false">
      <c r="A444" s="9" t="n">
        <v>46100</v>
      </c>
      <c r="B444" s="10" t="n">
        <v>966.151410225261</v>
      </c>
      <c r="C444" s="11" t="n">
        <v>145.042165424853</v>
      </c>
      <c r="D444" s="10" t="n">
        <v>418.75</v>
      </c>
      <c r="E444" s="11" t="n">
        <v>8.88478727007857</v>
      </c>
      <c r="F444" s="11" t="n">
        <v>16.9980568238576</v>
      </c>
      <c r="G444" s="11" t="n">
        <v>27.7794286714286</v>
      </c>
      <c r="H444" s="11" t="n">
        <f aca="false">IF(B444="","",F444*1000/B444)</f>
        <v>17.5935745101221</v>
      </c>
      <c r="I444" s="12" t="n">
        <v>71263.46</v>
      </c>
      <c r="J444" s="12" t="n">
        <f aca="false">F444*24*1000000*Assumptions!$B$3/D444</f>
        <v>48710.8494056816</v>
      </c>
      <c r="K444" s="12" t="n">
        <f aca="false">J444/Assumptions!$B$4</f>
        <v>64947.7992075755</v>
      </c>
      <c r="L444" s="12" t="n">
        <f aca="false">J444/Assumptions!$B$5</f>
        <v>74939.7683164332</v>
      </c>
      <c r="M444" s="12" t="n">
        <f aca="false">E444*24*1000000*Assumptions!$B$3/D444/Assumptions!$B$5</f>
        <v>39170.5891126311</v>
      </c>
      <c r="N444" s="12" t="n">
        <f aca="false">G444*24*1000000*Assumptions!$B$3/D444/Assumptions!$B$5</f>
        <v>122471.878413646</v>
      </c>
      <c r="O444" s="12" t="n">
        <f aca="false">IF(ROW()&lt;8,"",AVERAGE(L438:L444))</f>
        <v>79287.2918203068</v>
      </c>
      <c r="P444" s="13" t="n">
        <f aca="false">IF(I444="","",I444/L444)</f>
        <v>0.950943158765717</v>
      </c>
    </row>
    <row r="445" customFormat="false" ht="15" hidden="false" customHeight="false" outlineLevel="0" collapsed="false">
      <c r="A445" s="9" t="n">
        <v>46101</v>
      </c>
      <c r="B445" s="10" t="n">
        <v>958.881917817421</v>
      </c>
      <c r="C445" s="11" t="n">
        <v>143.950842771681</v>
      </c>
      <c r="D445" s="10" t="n">
        <v>418.75</v>
      </c>
      <c r="E445" s="11" t="n">
        <v>8.99946897175714</v>
      </c>
      <c r="F445" s="11" t="n">
        <v>17.2174617485376</v>
      </c>
      <c r="G445" s="11" t="n">
        <v>28.1379957428571</v>
      </c>
      <c r="H445" s="11" t="n">
        <f aca="false">IF(B445="","",F445*1000/B445)</f>
        <v>17.9557685139454</v>
      </c>
      <c r="I445" s="12" t="n">
        <v>69911.35</v>
      </c>
      <c r="J445" s="12" t="n">
        <f aca="false">F445*24*1000000*Assumptions!$B$3/D445</f>
        <v>49339.5918764063</v>
      </c>
      <c r="K445" s="12" t="n">
        <f aca="false">J445/Assumptions!$B$4</f>
        <v>65786.122501875</v>
      </c>
      <c r="L445" s="12" t="n">
        <f aca="false">J445/Assumptions!$B$5</f>
        <v>75907.0644252404</v>
      </c>
      <c r="M445" s="12" t="n">
        <f aca="false">E445*24*1000000*Assumptions!$B$3/D445/Assumptions!$B$5</f>
        <v>39676.189266989</v>
      </c>
      <c r="N445" s="12" t="n">
        <f aca="false">G445*24*1000000*Assumptions!$B$3/D445/Assumptions!$B$5</f>
        <v>124052.702241758</v>
      </c>
      <c r="O445" s="12" t="n">
        <f aca="false">IF(ROW()&lt;8,"",AVERAGE(L439:L445))</f>
        <v>77685.4286842073</v>
      </c>
      <c r="P445" s="13" t="n">
        <f aca="false">IF(I445="","",I445/L445)</f>
        <v>0.921012431838338</v>
      </c>
    </row>
    <row r="446" customFormat="false" ht="15" hidden="false" customHeight="false" outlineLevel="0" collapsed="false">
      <c r="A446" s="9" t="n">
        <v>46102</v>
      </c>
      <c r="B446" s="10" t="n">
        <v>917.823292961151</v>
      </c>
      <c r="C446" s="11" t="n">
        <v>133.793147307544</v>
      </c>
      <c r="D446" s="10" t="n">
        <v>425</v>
      </c>
      <c r="E446" s="11" t="n">
        <v>8.99252274004286</v>
      </c>
      <c r="F446" s="11" t="n">
        <v>17.2318644788424</v>
      </c>
      <c r="G446" s="11" t="n">
        <v>28.2736185942857</v>
      </c>
      <c r="H446" s="11" t="n">
        <f aca="false">IF(B446="","",F446*1000/B446)</f>
        <v>18.7747081720356</v>
      </c>
      <c r="I446" s="12" t="n">
        <v>70507.53</v>
      </c>
      <c r="J446" s="12" t="n">
        <f aca="false">F446*24*1000000*Assumptions!$B$3/D446</f>
        <v>48654.6761755549</v>
      </c>
      <c r="K446" s="12" t="n">
        <f aca="false">J446/Assumptions!$B$4</f>
        <v>64872.9015674065</v>
      </c>
      <c r="L446" s="12" t="n">
        <f aca="false">J446/Assumptions!$B$5</f>
        <v>74853.3479623921</v>
      </c>
      <c r="M446" s="12" t="n">
        <f aca="false">E446*24*1000000*Assumptions!$B$3/D446/Assumptions!$B$5</f>
        <v>39062.5422191907</v>
      </c>
      <c r="N446" s="12" t="n">
        <f aca="false">G446*24*1000000*Assumptions!$B$3/D446/Assumptions!$B$5</f>
        <v>122817.528735359</v>
      </c>
      <c r="O446" s="12" t="n">
        <f aca="false">IF(ROW()&lt;8,"",AVERAGE(L440:L446))</f>
        <v>77026.648787048</v>
      </c>
      <c r="P446" s="13" t="n">
        <f aca="false">IF(I446="","",I446/L446)</f>
        <v>0.941942236644171</v>
      </c>
    </row>
    <row r="447" customFormat="false" ht="15" hidden="false" customHeight="false" outlineLevel="0" collapsed="false">
      <c r="A447" s="9" t="n">
        <v>46103</v>
      </c>
      <c r="B447" s="10" t="n">
        <v>1077.44473521526</v>
      </c>
      <c r="C447" s="11" t="n">
        <v>133.793147307544</v>
      </c>
      <c r="D447" s="10" t="n">
        <v>512.5</v>
      </c>
      <c r="E447" s="11" t="n">
        <v>9.23402066575715</v>
      </c>
      <c r="F447" s="11" t="n">
        <v>17.7424637881342</v>
      </c>
      <c r="G447" s="11" t="n">
        <v>29.2465050986145</v>
      </c>
      <c r="H447" s="11" t="n">
        <f aca="false">IF(B447="","",F447*1000/B447)</f>
        <v>16.4671682994389</v>
      </c>
      <c r="I447" s="12" t="n">
        <v>68890.19</v>
      </c>
      <c r="J447" s="12" t="n">
        <f aca="false">F447*24*1000000*Assumptions!$B$3/D447</f>
        <v>41543.3298453873</v>
      </c>
      <c r="K447" s="12" t="n">
        <f aca="false">J447/Assumptions!$B$4</f>
        <v>55391.1064605164</v>
      </c>
      <c r="L447" s="12" t="n">
        <f aca="false">J447/Assumptions!$B$5</f>
        <v>63912.8151467497</v>
      </c>
      <c r="M447" s="12" t="n">
        <f aca="false">E447*24*1000000*Assumptions!$B$3/D447/Assumptions!$B$5</f>
        <v>33263.2639366862</v>
      </c>
      <c r="N447" s="12" t="n">
        <f aca="false">G447*24*1000000*Assumptions!$B$3/D447/Assumptions!$B$5</f>
        <v>105353.264145103</v>
      </c>
      <c r="O447" s="12" t="n">
        <f aca="false">IF(ROW()&lt;8,"",AVERAGE(L441:L447))</f>
        <v>73969.163828784</v>
      </c>
      <c r="P447" s="13" t="n">
        <f aca="false">IF(I447="","",I447/L447)</f>
        <v>1.07787757184255</v>
      </c>
    </row>
    <row r="448" customFormat="false" ht="15" hidden="false" customHeight="false" outlineLevel="0" collapsed="false">
      <c r="A448" s="9" t="n">
        <v>46104</v>
      </c>
      <c r="B448" s="10" t="n">
        <v>1064.14294836076</v>
      </c>
      <c r="C448" s="11" t="n">
        <v>133.793147307544</v>
      </c>
      <c r="D448" s="10" t="n">
        <v>500</v>
      </c>
      <c r="E448" s="11" t="n">
        <v>9.45728576125714</v>
      </c>
      <c r="F448" s="11" t="n">
        <v>18.2175810229368</v>
      </c>
      <c r="G448" s="11" t="n">
        <v>30.1596952949634</v>
      </c>
      <c r="H448" s="11" t="n">
        <f aca="false">IF(B448="","",F448*1000/B448)</f>
        <v>17.1194866732893</v>
      </c>
      <c r="I448" s="12" t="n">
        <v>67849.71</v>
      </c>
      <c r="J448" s="12" t="n">
        <f aca="false">F448*24*1000000*Assumptions!$B$3/D448</f>
        <v>43722.1944550483</v>
      </c>
      <c r="K448" s="12" t="n">
        <f aca="false">J448/Assumptions!$B$4</f>
        <v>58296.2592733977</v>
      </c>
      <c r="L448" s="12" t="n">
        <f aca="false">J448/Assumptions!$B$5</f>
        <v>67264.9145462281</v>
      </c>
      <c r="M448" s="12" t="n">
        <f aca="false">E448*24*1000000*Assumptions!$B$3/D448/Assumptions!$B$5</f>
        <v>34919.2089646418</v>
      </c>
      <c r="N448" s="12" t="n">
        <f aca="false">G448*24*1000000*Assumptions!$B$3/D448/Assumptions!$B$5</f>
        <v>111358.874935249</v>
      </c>
      <c r="O448" s="12" t="n">
        <f aca="false">IF(ROW()&lt;8,"",AVERAGE(L442:L448))</f>
        <v>72478.6771867783</v>
      </c>
      <c r="P448" s="13" t="n">
        <f aca="false">IF(I448="","",I448/L448)</f>
        <v>1.00869391506281</v>
      </c>
    </row>
    <row r="449" customFormat="false" ht="15" hidden="false" customHeight="false" outlineLevel="0" collapsed="false">
      <c r="A449" s="9" t="n">
        <v>46105</v>
      </c>
      <c r="B449" s="10" t="n">
        <v>831.36167840684</v>
      </c>
      <c r="C449" s="11" t="n">
        <v>133.793147307543</v>
      </c>
      <c r="D449" s="10" t="n">
        <v>378.125</v>
      </c>
      <c r="E449" s="11" t="n">
        <v>9.34170827037857</v>
      </c>
      <c r="F449" s="11" t="n">
        <v>18.0339423425742</v>
      </c>
      <c r="G449" s="11" t="n">
        <v>29.9663924088057</v>
      </c>
      <c r="H449" s="11" t="n">
        <f aca="false">IF(B449="","",F449*1000/B449)</f>
        <v>21.6920539050262</v>
      </c>
      <c r="I449" s="12" t="n">
        <v>70885.18</v>
      </c>
      <c r="J449" s="12" t="n">
        <f aca="false">F449*24*1000000*Assumptions!$B$3/D449</f>
        <v>57231.684789657</v>
      </c>
      <c r="K449" s="12" t="n">
        <f aca="false">J449/Assumptions!$B$4</f>
        <v>76308.9130528759</v>
      </c>
      <c r="L449" s="12" t="n">
        <f aca="false">J449/Assumptions!$B$5</f>
        <v>88048.7458302415</v>
      </c>
      <c r="M449" s="12" t="n">
        <f aca="false">E449*24*1000000*Assumptions!$B$3/D449/Assumptions!$B$5</f>
        <v>45609.8661897695</v>
      </c>
      <c r="N449" s="12" t="n">
        <f aca="false">G449*24*1000000*Assumptions!$B$3/D449/Assumptions!$B$5</f>
        <v>146307.624729579</v>
      </c>
      <c r="O449" s="12" t="n">
        <f aca="false">IF(ROW()&lt;8,"",AVERAGE(L443:L449))</f>
        <v>73824.1353142208</v>
      </c>
      <c r="P449" s="13" t="n">
        <f aca="false">IF(I449="","",I449/L449)</f>
        <v>0.805067458163085</v>
      </c>
    </row>
    <row r="450" customFormat="false" ht="15" hidden="false" customHeight="false" outlineLevel="0" collapsed="false">
      <c r="A450" s="9" t="n">
        <v>46106</v>
      </c>
      <c r="B450" s="10" t="n">
        <v>1017.58669436997</v>
      </c>
      <c r="C450" s="11" t="n">
        <v>133.793147307544</v>
      </c>
      <c r="D450" s="10" t="n">
        <v>490.625</v>
      </c>
      <c r="E450" s="11" t="n">
        <v>9.36279649035</v>
      </c>
      <c r="F450" s="11" t="n">
        <v>18.1201631353126</v>
      </c>
      <c r="G450" s="11" t="n">
        <v>30.2380389850414</v>
      </c>
      <c r="H450" s="11" t="n">
        <f aca="false">IF(B450="","",F450*1000/B450)</f>
        <v>17.8069969227846</v>
      </c>
      <c r="I450" s="12" t="n">
        <v>70517.65</v>
      </c>
      <c r="J450" s="12" t="n">
        <f aca="false">F450*24*1000000*Assumptions!$B$3/D450</f>
        <v>44319.3798978347</v>
      </c>
      <c r="K450" s="12" t="n">
        <f aca="false">J450/Assumptions!$B$4</f>
        <v>59092.5065304462</v>
      </c>
      <c r="L450" s="12" t="n">
        <f aca="false">J450/Assumptions!$B$5</f>
        <v>68183.6613812841</v>
      </c>
      <c r="M450" s="12" t="n">
        <f aca="false">E450*24*1000000*Assumptions!$B$3/D450/Assumptions!$B$5</f>
        <v>35230.9049710377</v>
      </c>
      <c r="N450" s="12" t="n">
        <f aca="false">G450*24*1000000*Assumptions!$B$3/D450/Assumptions!$B$5</f>
        <v>113781.54796919</v>
      </c>
      <c r="O450" s="12" t="n">
        <f aca="false">IF(ROW()&lt;8,"",AVERAGE(L444:L450))</f>
        <v>73301.4739440813</v>
      </c>
      <c r="P450" s="13" t="n">
        <f aca="false">IF(I450="","",I450/L450)</f>
        <v>1.0342309076901</v>
      </c>
    </row>
    <row r="451" customFormat="false" ht="15" hidden="false" customHeight="false" outlineLevel="0" collapsed="false">
      <c r="A451" s="9" t="n">
        <v>46107</v>
      </c>
      <c r="B451" s="10" t="n">
        <v>1097.39741549703</v>
      </c>
      <c r="C451" s="11" t="n">
        <v>133.793147307544</v>
      </c>
      <c r="D451" s="10" t="n">
        <v>515.625</v>
      </c>
      <c r="E451" s="11" t="n">
        <v>9.54269725749286</v>
      </c>
      <c r="F451" s="11" t="n">
        <v>18.5138164885139</v>
      </c>
      <c r="G451" s="11" t="n">
        <v>31.0223676245208</v>
      </c>
      <c r="H451" s="11" t="n">
        <f aca="false">IF(B451="","",F451*1000/B451)</f>
        <v>16.8706580014395</v>
      </c>
      <c r="I451" s="12" t="n">
        <v>71301.05</v>
      </c>
      <c r="J451" s="12" t="n">
        <f aca="false">F451*24*1000000*Assumptions!$B$3/D451</f>
        <v>43086.7001914506</v>
      </c>
      <c r="K451" s="12" t="n">
        <f aca="false">J451/Assumptions!$B$4</f>
        <v>57448.9335886008</v>
      </c>
      <c r="L451" s="12" t="n">
        <f aca="false">J451/Assumptions!$B$5</f>
        <v>66287.2310637702</v>
      </c>
      <c r="M451" s="12" t="n">
        <f aca="false">E451*24*1000000*Assumptions!$B$3/D451/Assumptions!$B$5</f>
        <v>34166.8601107437</v>
      </c>
      <c r="N451" s="12" t="n">
        <f aca="false">G451*24*1000000*Assumptions!$B$3/D451/Assumptions!$B$5</f>
        <v>111073.092473809</v>
      </c>
      <c r="O451" s="12" t="n">
        <f aca="false">IF(ROW()&lt;8,"",AVERAGE(L445:L451))</f>
        <v>72065.3971937009</v>
      </c>
      <c r="P451" s="13" t="n">
        <f aca="false">IF(I451="","",I451/L451)</f>
        <v>1.07563777903781</v>
      </c>
    </row>
    <row r="452" customFormat="false" ht="15" hidden="false" customHeight="false" outlineLevel="0" collapsed="false">
      <c r="A452" s="9" t="n">
        <v>46108</v>
      </c>
      <c r="B452" s="10" t="n">
        <v>1010.93580094272</v>
      </c>
      <c r="C452" s="11" t="n">
        <v>133.793147307544</v>
      </c>
      <c r="D452" s="10" t="n">
        <v>475</v>
      </c>
      <c r="E452" s="11" t="n">
        <v>9.61788073045714</v>
      </c>
      <c r="F452" s="11" t="n">
        <v>18.7032305414316</v>
      </c>
      <c r="G452" s="11" t="n">
        <v>31.4618054366586</v>
      </c>
      <c r="H452" s="11" t="n">
        <f aca="false">IF(B452="","",F452*1000/B452)</f>
        <v>18.5009082911007</v>
      </c>
      <c r="I452" s="12" t="n">
        <v>68779.41</v>
      </c>
      <c r="J452" s="12" t="n">
        <f aca="false">F452*24*1000000*Assumptions!$B$3/D452</f>
        <v>47250.2666309851</v>
      </c>
      <c r="K452" s="12" t="n">
        <f aca="false">J452/Assumptions!$B$4</f>
        <v>63000.3555079801</v>
      </c>
      <c r="L452" s="12" t="n">
        <f aca="false">J452/Assumptions!$B$5</f>
        <v>72692.7178938232</v>
      </c>
      <c r="M452" s="12" t="n">
        <f aca="false">E452*24*1000000*Assumptions!$B$3/D452/Assumptions!$B$5</f>
        <v>37381.2368471209</v>
      </c>
      <c r="N452" s="12" t="n">
        <f aca="false">G452*24*1000000*Assumptions!$B$3/D452/Assumptions!$B$5</f>
        <v>122280.701292277</v>
      </c>
      <c r="O452" s="12" t="n">
        <f aca="false">IF(ROW()&lt;8,"",AVERAGE(L446:L452))</f>
        <v>71606.2048320698</v>
      </c>
      <c r="P452" s="13" t="n">
        <f aca="false">IF(I452="","",I452/L452)</f>
        <v>0.946166438575883</v>
      </c>
    </row>
    <row r="453" customFormat="false" ht="15" hidden="false" customHeight="false" outlineLevel="0" collapsed="false">
      <c r="A453" s="9" t="n">
        <v>46109</v>
      </c>
      <c r="B453" s="10" t="n">
        <v>1157.25545634232</v>
      </c>
      <c r="C453" s="11" t="n">
        <v>133.793147307544</v>
      </c>
      <c r="D453" s="10" t="n">
        <v>525</v>
      </c>
      <c r="E453" s="11" t="n">
        <v>9.94607373038572</v>
      </c>
      <c r="F453" s="11" t="n">
        <v>19.3555978325269</v>
      </c>
      <c r="G453" s="11" t="n">
        <v>32.5645483242312</v>
      </c>
      <c r="H453" s="11" t="n">
        <f aca="false">IF(B453="","",F453*1000/B453)</f>
        <v>16.725432337734</v>
      </c>
      <c r="I453" s="12" t="n">
        <v>66329.87</v>
      </c>
      <c r="J453" s="12" t="n">
        <f aca="false">F453*24*1000000*Assumptions!$B$3/D453</f>
        <v>44241.3664743473</v>
      </c>
      <c r="K453" s="12" t="n">
        <f aca="false">J453/Assumptions!$B$4</f>
        <v>58988.488632463</v>
      </c>
      <c r="L453" s="12" t="n">
        <f aca="false">J453/Assumptions!$B$5</f>
        <v>68063.640729765</v>
      </c>
      <c r="M453" s="12" t="n">
        <f aca="false">E453*24*1000000*Assumptions!$B$3/D453/Assumptions!$B$5</f>
        <v>34975.2043266311</v>
      </c>
      <c r="N453" s="12" t="n">
        <f aca="false">G453*24*1000000*Assumptions!$B$3/D453/Assumptions!$B$5</f>
        <v>114512.69740389</v>
      </c>
      <c r="O453" s="12" t="n">
        <f aca="false">IF(ROW()&lt;8,"",AVERAGE(L447:L453))</f>
        <v>70636.2466559802</v>
      </c>
      <c r="P453" s="13" t="n">
        <f aca="false">IF(I453="","",I453/L453)</f>
        <v>0.974527211427778</v>
      </c>
    </row>
    <row r="454" customFormat="false" ht="15" hidden="false" customHeight="false" outlineLevel="0" collapsed="false">
      <c r="A454" s="9" t="n">
        <v>46110</v>
      </c>
      <c r="B454" s="10" t="n">
        <v>957.72865352468</v>
      </c>
      <c r="C454" s="11" t="n">
        <v>133.793147307544</v>
      </c>
      <c r="D454" s="10" t="n">
        <v>468.75</v>
      </c>
      <c r="E454" s="11" t="n">
        <v>9.78197721671428</v>
      </c>
      <c r="F454" s="11" t="n">
        <v>19.0362571348363</v>
      </c>
      <c r="G454" s="11" t="n">
        <v>32.0272781416298</v>
      </c>
      <c r="H454" s="11" t="n">
        <f aca="false">IF(B454="","",F454*1000/B454)</f>
        <v>19.8764619443912</v>
      </c>
      <c r="I454" s="12" t="n">
        <v>66320.1</v>
      </c>
      <c r="J454" s="12" t="n">
        <f aca="false">F454*24*1000000*Assumptions!$B$3/D454</f>
        <v>48732.8182651809</v>
      </c>
      <c r="K454" s="12" t="n">
        <f aca="false">J454/Assumptions!$B$4</f>
        <v>64977.0910202412</v>
      </c>
      <c r="L454" s="12" t="n">
        <f aca="false">J454/Assumptions!$B$5</f>
        <v>74973.5665618167</v>
      </c>
      <c r="M454" s="12" t="n">
        <f aca="false">E454*24*1000000*Assumptions!$B$3/D454/Assumptions!$B$5</f>
        <v>38525.9410381363</v>
      </c>
      <c r="N454" s="12" t="n">
        <f aca="false">G454*24*1000000*Assumptions!$B$3/D454/Assumptions!$B$5</f>
        <v>126138.203142419</v>
      </c>
      <c r="O454" s="12" t="n">
        <f aca="false">IF(ROW()&lt;8,"",AVERAGE(L448:L454))</f>
        <v>72216.3540009898</v>
      </c>
      <c r="P454" s="13" t="n">
        <f aca="false">IF(I454="","",I454/L454)</f>
        <v>0.884579766460999</v>
      </c>
    </row>
    <row r="455" customFormat="false" ht="15" hidden="false" customHeight="false" outlineLevel="0" collapsed="false">
      <c r="A455" s="9" t="n">
        <v>46111</v>
      </c>
      <c r="B455" s="10" t="n">
        <v>904.521506106642</v>
      </c>
      <c r="C455" s="11" t="n">
        <v>133.793147307544</v>
      </c>
      <c r="D455" s="10" t="n">
        <v>425</v>
      </c>
      <c r="E455" s="11" t="n">
        <v>9.56318174635714</v>
      </c>
      <c r="F455" s="11" t="n">
        <v>18.6104693067335</v>
      </c>
      <c r="G455" s="11" t="n">
        <v>31.3109175092125</v>
      </c>
      <c r="H455" s="11" t="n">
        <f aca="false">IF(B455="","",F455*1000/B455)</f>
        <v>20.5749329132472</v>
      </c>
      <c r="I455" s="12" t="n">
        <v>65956.94</v>
      </c>
      <c r="J455" s="12" t="n">
        <f aca="false">F455*24*1000000*Assumptions!$B$3/D455</f>
        <v>52547.2074543062</v>
      </c>
      <c r="K455" s="12" t="n">
        <f aca="false">J455/Assumptions!$B$4</f>
        <v>70062.9432724083</v>
      </c>
      <c r="L455" s="12" t="n">
        <f aca="false">J455/Assumptions!$B$5</f>
        <v>80841.8576220096</v>
      </c>
      <c r="M455" s="12" t="n">
        <f aca="false">E455*24*1000000*Assumptions!$B$3/D455/Assumptions!$B$5</f>
        <v>41541.4229706012</v>
      </c>
      <c r="N455" s="12" t="n">
        <f aca="false">G455*24*1000000*Assumptions!$B$3/D455/Assumptions!$B$5</f>
        <v>136011.225379385</v>
      </c>
      <c r="O455" s="12" t="n">
        <f aca="false">IF(ROW()&lt;8,"",AVERAGE(L449:L455))</f>
        <v>74155.91729753</v>
      </c>
      <c r="P455" s="13" t="n">
        <f aca="false">IF(I455="","",I455/L455)</f>
        <v>0.815876106019153</v>
      </c>
    </row>
    <row r="456" customFormat="false" ht="15" hidden="false" customHeight="false" outlineLevel="0" collapsed="false">
      <c r="A456" s="9" t="n">
        <v>46112</v>
      </c>
      <c r="B456" s="10" t="n">
        <v>904.521506106642</v>
      </c>
      <c r="C456" s="11" t="n">
        <v>133.793147307544</v>
      </c>
      <c r="D456" s="10" t="n">
        <v>425</v>
      </c>
      <c r="E456" s="11" t="n">
        <v>9.66346298418571</v>
      </c>
      <c r="F456" s="11" t="n">
        <v>18.8056220234912</v>
      </c>
      <c r="G456" s="11" t="n">
        <v>31.6392494021589</v>
      </c>
      <c r="H456" s="11" t="n">
        <f aca="false">IF(B456="","",F456*1000/B456)</f>
        <v>20.7906853474793</v>
      </c>
      <c r="I456" s="12" t="n">
        <v>66694.46</v>
      </c>
      <c r="J456" s="12" t="n">
        <f aca="false">F456*24*1000000*Assumptions!$B$3/D456</f>
        <v>53098.2268898576</v>
      </c>
      <c r="K456" s="12" t="n">
        <f aca="false">J456/Assumptions!$B$4</f>
        <v>70797.6358531435</v>
      </c>
      <c r="L456" s="12" t="n">
        <f aca="false">J456/Assumptions!$B$5</f>
        <v>81689.5798305502</v>
      </c>
      <c r="M456" s="12" t="n">
        <f aca="false">E456*24*1000000*Assumptions!$B$3/D456/Assumptions!$B$5</f>
        <v>41977.0337774583</v>
      </c>
      <c r="N456" s="12" t="n">
        <f aca="false">G456*24*1000000*Assumptions!$B$3/D456/Assumptions!$B$5</f>
        <v>137437.463466392</v>
      </c>
      <c r="O456" s="12" t="n">
        <f aca="false">IF(ROW()&lt;8,"",AVERAGE(L450:L456))</f>
        <v>73247.4650118599</v>
      </c>
      <c r="P456" s="13" t="n">
        <f aca="false">IF(I456="","",I456/L456)</f>
        <v>0.816437789719879</v>
      </c>
    </row>
    <row r="457" customFormat="false" ht="15" hidden="false" customHeight="false" outlineLevel="0" collapsed="false">
      <c r="A457" s="9" t="n">
        <v>46113</v>
      </c>
      <c r="B457" s="10" t="n">
        <v>1077.44473521526</v>
      </c>
      <c r="C457" s="11" t="n">
        <v>133.793147307544</v>
      </c>
      <c r="D457" s="10" t="n">
        <v>500</v>
      </c>
      <c r="E457" s="11" t="n">
        <v>9.7455111999</v>
      </c>
      <c r="F457" s="11" t="n">
        <v>18.9572312661521</v>
      </c>
      <c r="G457" s="11" t="n">
        <v>31.9078843588235</v>
      </c>
      <c r="H457" s="11" t="n">
        <f aca="false">IF(B457="","",F457*1000/B457)</f>
        <v>17.5946205374187</v>
      </c>
      <c r="I457" s="12" t="n">
        <v>68216.53</v>
      </c>
      <c r="J457" s="12" t="n">
        <f aca="false">F457*24*1000000*Assumptions!$B$3/D457</f>
        <v>45497.3550387651</v>
      </c>
      <c r="K457" s="12" t="n">
        <f aca="false">J457/Assumptions!$B$4</f>
        <v>60663.1400516868</v>
      </c>
      <c r="L457" s="12" t="n">
        <f aca="false">J457/Assumptions!$B$5</f>
        <v>69995.9308288694</v>
      </c>
      <c r="M457" s="12" t="n">
        <f aca="false">E457*24*1000000*Assumptions!$B$3/D457/Assumptions!$B$5</f>
        <v>35983.4259688615</v>
      </c>
      <c r="N457" s="12" t="n">
        <f aca="false">G457*24*1000000*Assumptions!$B$3/D457/Assumptions!$B$5</f>
        <v>117813.726863348</v>
      </c>
      <c r="O457" s="12" t="n">
        <f aca="false">IF(ROW()&lt;8,"",AVERAGE(L451:L457))</f>
        <v>73506.3606472292</v>
      </c>
      <c r="P457" s="13" t="n">
        <f aca="false">IF(I457="","",I457/L457)</f>
        <v>0.974578510381985</v>
      </c>
    </row>
    <row r="458" customFormat="false" ht="15" hidden="false" customHeight="false" outlineLevel="0" collapsed="false">
      <c r="A458" s="9" t="n">
        <v>46114</v>
      </c>
      <c r="B458" s="10" t="n">
        <v>964.379546951934</v>
      </c>
      <c r="C458" s="11" t="n">
        <v>133.793147307544</v>
      </c>
      <c r="D458" s="10" t="n">
        <v>440.625</v>
      </c>
      <c r="E458" s="11" t="n">
        <v>9.56318166411428</v>
      </c>
      <c r="F458" s="11" t="n">
        <v>18.5951930046326</v>
      </c>
      <c r="G458" s="11" t="n">
        <v>31.3109172399403</v>
      </c>
      <c r="H458" s="11" t="n">
        <f aca="false">IF(B458="","",F458*1000/B458)</f>
        <v>19.2820275620792</v>
      </c>
      <c r="I458" s="12" t="n">
        <v>68099.79</v>
      </c>
      <c r="J458" s="12" t="n">
        <f aca="false">F458*24*1000000*Assumptions!$B$3/D458</f>
        <v>50642.2277572974</v>
      </c>
      <c r="K458" s="12" t="n">
        <f aca="false">J458/Assumptions!$B$4</f>
        <v>67522.9703430632</v>
      </c>
      <c r="L458" s="12" t="n">
        <f aca="false">J458/Assumptions!$B$5</f>
        <v>77911.1196266113</v>
      </c>
      <c r="M458" s="12" t="n">
        <f aca="false">E458*24*1000000*Assumptions!$B$3/D458/Assumptions!$B$5</f>
        <v>40068.3225206752</v>
      </c>
      <c r="N458" s="12" t="n">
        <f aca="false">G458*24*1000000*Assumptions!$B$3/D458/Assumptions!$B$5</f>
        <v>131188.131152614</v>
      </c>
      <c r="O458" s="12" t="n">
        <f aca="false">IF(ROW()&lt;8,"",AVERAGE(L452:L458))</f>
        <v>75166.9161562065</v>
      </c>
      <c r="P458" s="13" t="n">
        <f aca="false">IF(I458="","",I458/L458)</f>
        <v>0.874070226770812</v>
      </c>
    </row>
    <row r="459" customFormat="false" ht="15" hidden="false" customHeight="false" outlineLevel="0" collapsed="false">
      <c r="A459" s="9" t="n">
        <v>46115</v>
      </c>
      <c r="B459" s="10" t="n">
        <v>898.750099889937</v>
      </c>
      <c r="C459" s="11" t="n">
        <v>136.967932957976</v>
      </c>
      <c r="D459" s="10" t="n">
        <v>431.25</v>
      </c>
      <c r="E459" s="11" t="n">
        <v>9.41116976509286</v>
      </c>
      <c r="F459" s="11" t="n">
        <v>18.2926358983197</v>
      </c>
      <c r="G459" s="11" t="n">
        <v>30.8132134257791</v>
      </c>
      <c r="H459" s="11" t="n">
        <f aca="false">IF(B459="","",F459*1000/B459)</f>
        <v>20.3534173743734</v>
      </c>
      <c r="I459" s="12" t="n">
        <v>66891.36</v>
      </c>
      <c r="J459" s="12" t="n">
        <f aca="false">F459*24*1000000*Assumptions!$B$3/D459</f>
        <v>50901.2477170635</v>
      </c>
      <c r="K459" s="12" t="n">
        <f aca="false">J459/Assumptions!$B$4</f>
        <v>67868.330289418</v>
      </c>
      <c r="L459" s="12" t="n">
        <f aca="false">J459/Assumptions!$B$5</f>
        <v>78309.6118724054</v>
      </c>
      <c r="M459" s="12" t="n">
        <f aca="false">E459*24*1000000*Assumptions!$B$3/D459/Assumptions!$B$5</f>
        <v>40288.6197301634</v>
      </c>
      <c r="N459" s="12" t="n">
        <f aca="false">G459*24*1000000*Assumptions!$B$3/D459/Assumptions!$B$5</f>
        <v>131909.408645476</v>
      </c>
      <c r="O459" s="12" t="n">
        <f aca="false">IF(ROW()&lt;8,"",AVERAGE(L453:L459))</f>
        <v>75969.3295817182</v>
      </c>
      <c r="P459" s="13" t="n">
        <f aca="false">IF(I459="","",I459/L459)</f>
        <v>0.8541909275325</v>
      </c>
    </row>
    <row r="460" customFormat="false" ht="15" hidden="false" customHeight="false" outlineLevel="0" collapsed="false">
      <c r="A460" s="9" t="n">
        <v>46116</v>
      </c>
      <c r="B460" s="10" t="n">
        <v>828.96968162955</v>
      </c>
      <c r="C460" s="11" t="n">
        <v>138.966872071213</v>
      </c>
      <c r="D460" s="10" t="n">
        <v>375</v>
      </c>
      <c r="E460" s="11" t="n">
        <v>8.96118381147857</v>
      </c>
      <c r="F460" s="11" t="n">
        <v>17.4107368444676</v>
      </c>
      <c r="G460" s="11" t="n">
        <v>29.3399095142134</v>
      </c>
      <c r="H460" s="11" t="n">
        <f aca="false">IF(B460="","",F460*1000/B460)</f>
        <v>21.0028632292588</v>
      </c>
      <c r="I460" s="12" t="n">
        <v>66931.75</v>
      </c>
      <c r="J460" s="12" t="n">
        <f aca="false">F460*24*1000000*Assumptions!$B$3/D460</f>
        <v>55714.3579022963</v>
      </c>
      <c r="K460" s="12" t="n">
        <f aca="false">J460/Assumptions!$B$4</f>
        <v>74285.8105363951</v>
      </c>
      <c r="L460" s="12" t="n">
        <f aca="false">J460/Assumptions!$B$5</f>
        <v>85714.3967727636</v>
      </c>
      <c r="M460" s="12" t="n">
        <f aca="false">E460*24*1000000*Assumptions!$B$3/D460/Assumptions!$B$5</f>
        <v>44116.5972257407</v>
      </c>
      <c r="N460" s="12" t="n">
        <f aca="false">G460*24*1000000*Assumptions!$B$3/D460/Assumptions!$B$5</f>
        <v>144442.631454589</v>
      </c>
      <c r="O460" s="12" t="n">
        <f aca="false">IF(ROW()&lt;8,"",AVERAGE(L454:L460))</f>
        <v>78490.8661592895</v>
      </c>
      <c r="P460" s="13" t="n">
        <f aca="false">IF(I460="","",I460/L460)</f>
        <v>0.780869404908046</v>
      </c>
    </row>
    <row r="461" customFormat="false" ht="15" hidden="false" customHeight="false" outlineLevel="0" collapsed="false">
      <c r="A461" s="9" t="n">
        <v>46117</v>
      </c>
      <c r="B461" s="10" t="n">
        <v>1098.38482815915</v>
      </c>
      <c r="C461" s="11" t="n">
        <v>138.966872071212</v>
      </c>
      <c r="D461" s="10" t="n">
        <v>496.875</v>
      </c>
      <c r="E461" s="11" t="n">
        <v>9.15398321936429</v>
      </c>
      <c r="F461" s="11" t="n">
        <v>17.7777172359858</v>
      </c>
      <c r="G461" s="11" t="n">
        <v>29.9711561553676</v>
      </c>
      <c r="H461" s="11" t="n">
        <f aca="false">IF(B461="","",F461*1000/B461)</f>
        <v>16.1853266543936</v>
      </c>
      <c r="I461" s="12" t="n">
        <v>67286.12</v>
      </c>
      <c r="J461" s="12" t="n">
        <f aca="false">F461*24*1000000*Assumptions!$B$3/D461</f>
        <v>42934.8642680412</v>
      </c>
      <c r="K461" s="12" t="n">
        <f aca="false">J461/Assumptions!$B$4</f>
        <v>57246.4856907216</v>
      </c>
      <c r="L461" s="12" t="n">
        <f aca="false">J461/Assumptions!$B$5</f>
        <v>66053.637335448</v>
      </c>
      <c r="M461" s="12" t="n">
        <f aca="false">E461*24*1000000*Assumptions!$B$3/D461/Assumptions!$B$5</f>
        <v>34011.8970124421</v>
      </c>
      <c r="N461" s="12" t="n">
        <f aca="false">G461*24*1000000*Assumptions!$B$3/D461/Assumptions!$B$5</f>
        <v>111358.722435038</v>
      </c>
      <c r="O461" s="12" t="n">
        <f aca="false">IF(ROW()&lt;8,"",AVERAGE(L455:L461))</f>
        <v>77216.5905555225</v>
      </c>
      <c r="P461" s="13" t="n">
        <f aca="false">IF(I461="","",I461/L461)</f>
        <v>1.0186588159906</v>
      </c>
    </row>
    <row r="462" customFormat="false" ht="15" hidden="false" customHeight="false" outlineLevel="0" collapsed="false">
      <c r="A462" s="9" t="n">
        <v>46118</v>
      </c>
      <c r="B462" s="10" t="n">
        <v>884.234327071519</v>
      </c>
      <c r="C462" s="11" t="n">
        <v>138.966872071213</v>
      </c>
      <c r="D462" s="10" t="n">
        <v>400</v>
      </c>
      <c r="E462" s="11" t="n">
        <v>9.12617526450714</v>
      </c>
      <c r="F462" s="11" t="n">
        <v>17.7169859502855</v>
      </c>
      <c r="G462" s="11" t="n">
        <v>29.8801098275109</v>
      </c>
      <c r="H462" s="11" t="n">
        <f aca="false">IF(B462="","",F462*1000/B462)</f>
        <v>20.0365281101018</v>
      </c>
      <c r="I462" s="12" t="n">
        <v>68996.55</v>
      </c>
      <c r="J462" s="12" t="n">
        <f aca="false">F462*24*1000000*Assumptions!$B$3/D462</f>
        <v>53150.9578508564</v>
      </c>
      <c r="K462" s="12" t="n">
        <f aca="false">J462/Assumptions!$B$4</f>
        <v>70867.9438011419</v>
      </c>
      <c r="L462" s="12" t="n">
        <f aca="false">J462/Assumptions!$B$5</f>
        <v>81770.7043859329</v>
      </c>
      <c r="M462" s="12" t="n">
        <f aca="false">E462*24*1000000*Assumptions!$B$3/D462/Assumptions!$B$5</f>
        <v>42120.8089131099</v>
      </c>
      <c r="N462" s="12" t="n">
        <f aca="false">G462*24*1000000*Assumptions!$B$3/D462/Assumptions!$B$5</f>
        <v>137908.199203896</v>
      </c>
      <c r="O462" s="12" t="n">
        <f aca="false">IF(ROW()&lt;8,"",AVERAGE(L456:L462))</f>
        <v>77349.2829503687</v>
      </c>
      <c r="P462" s="13" t="n">
        <f aca="false">IF(I462="","",I462/L462)</f>
        <v>0.843780795556771</v>
      </c>
    </row>
    <row r="463" customFormat="false" ht="15" hidden="false" customHeight="false" outlineLevel="0" collapsed="false">
      <c r="A463" s="9" t="n">
        <v>46119</v>
      </c>
      <c r="B463" s="10" t="n">
        <v>953.315133873982</v>
      </c>
      <c r="C463" s="11" t="n">
        <v>138.966872071213</v>
      </c>
      <c r="D463" s="10" t="n">
        <v>431.25</v>
      </c>
      <c r="E463" s="11" t="n">
        <v>9.19305740390714</v>
      </c>
      <c r="F463" s="11" t="n">
        <v>17.8400098770884</v>
      </c>
      <c r="G463" s="11" t="n">
        <v>30.0990893685398</v>
      </c>
      <c r="H463" s="11" t="n">
        <f aca="false">IF(B463="","",F463*1000/B463)</f>
        <v>18.7136543239297</v>
      </c>
      <c r="I463" s="12" t="n">
        <v>68856.54</v>
      </c>
      <c r="J463" s="12" t="n">
        <f aca="false">F463*24*1000000*Assumptions!$B$3/D463</f>
        <v>49641.7666145069</v>
      </c>
      <c r="K463" s="12" t="n">
        <f aca="false">J463/Assumptions!$B$4</f>
        <v>66189.0221526759</v>
      </c>
      <c r="L463" s="12" t="n">
        <f aca="false">J463/Assumptions!$B$5</f>
        <v>76371.9486377029</v>
      </c>
      <c r="M463" s="12" t="n">
        <f aca="false">E463*24*1000000*Assumptions!$B$3/D463/Assumptions!$B$5</f>
        <v>39354.8945719102</v>
      </c>
      <c r="N463" s="12" t="n">
        <f aca="false">G463*24*1000000*Assumptions!$B$3/D463/Assumptions!$B$5</f>
        <v>128852.288935555</v>
      </c>
      <c r="O463" s="12" t="n">
        <f aca="false">IF(ROW()&lt;8,"",AVERAGE(L457:L463))</f>
        <v>76589.6213513905</v>
      </c>
      <c r="P463" s="13" t="n">
        <f aca="false">IF(I463="","",I463/L463)</f>
        <v>0.901594646047924</v>
      </c>
    </row>
    <row r="464" customFormat="false" ht="15" hidden="false" customHeight="false" outlineLevel="0" collapsed="false">
      <c r="A464" s="9" t="n">
        <v>46120</v>
      </c>
      <c r="B464" s="10" t="n">
        <v>1022.39594067644</v>
      </c>
      <c r="C464" s="11" t="n">
        <v>138.966872071212</v>
      </c>
      <c r="D464" s="10" t="n">
        <v>462.5</v>
      </c>
      <c r="E464" s="11" t="n">
        <v>9.11760132328571</v>
      </c>
      <c r="F464" s="11" t="n">
        <v>17.6935801133625</v>
      </c>
      <c r="G464" s="11" t="n">
        <v>29.8520377931782</v>
      </c>
      <c r="H464" s="11" t="n">
        <f aca="false">IF(B464="","",F464*1000/B464)</f>
        <v>17.3059960524256</v>
      </c>
      <c r="I464" s="12" t="n">
        <v>71949.58</v>
      </c>
      <c r="J464" s="12" t="n">
        <f aca="false">F464*24*1000000*Assumptions!$B$3/D464</f>
        <v>45907.6673211568</v>
      </c>
      <c r="K464" s="12" t="n">
        <f aca="false">J464/Assumptions!$B$4</f>
        <v>61210.2230948758</v>
      </c>
      <c r="L464" s="12" t="n">
        <f aca="false">J464/Assumptions!$B$5</f>
        <v>70627.1804940874</v>
      </c>
      <c r="M464" s="12" t="n">
        <f aca="false">E464*24*1000000*Assumptions!$B$3/D464/Assumptions!$B$5</f>
        <v>36394.5832447164</v>
      </c>
      <c r="N464" s="12" t="n">
        <f aca="false">G464*24*1000000*Assumptions!$B$3/D464/Assumptions!$B$5</f>
        <v>119159.901378175</v>
      </c>
      <c r="O464" s="12" t="n">
        <f aca="false">IF(ROW()&lt;8,"",AVERAGE(L458:L464))</f>
        <v>76679.7998749931</v>
      </c>
      <c r="P464" s="13" t="n">
        <f aca="false">IF(I464="","",I464/L464)</f>
        <v>1.01872366271259</v>
      </c>
    </row>
    <row r="465" customFormat="false" ht="15" hidden="false" customHeight="false" outlineLevel="0" collapsed="false">
      <c r="A465" s="9" t="n">
        <v>46121</v>
      </c>
      <c r="B465" s="10" t="n">
        <v>994.763617955459</v>
      </c>
      <c r="C465" s="11" t="n">
        <v>138.966872071212</v>
      </c>
      <c r="D465" s="10" t="n">
        <v>450</v>
      </c>
      <c r="E465" s="11" t="n">
        <v>9.15924931175</v>
      </c>
      <c r="F465" s="11" t="n">
        <v>17.7744020306985</v>
      </c>
      <c r="G465" s="11" t="n">
        <v>29.9883979258011</v>
      </c>
      <c r="H465" s="11" t="n">
        <f aca="false">IF(B465="","",F465*1000/B465)</f>
        <v>17.8679655245437</v>
      </c>
      <c r="I465" s="12" t="n">
        <v>71129.61</v>
      </c>
      <c r="J465" s="12" t="n">
        <f aca="false">F465*24*1000000*Assumptions!$B$3/D465</f>
        <v>47398.4054151961</v>
      </c>
      <c r="K465" s="12" t="n">
        <f aca="false">J465/Assumptions!$B$4</f>
        <v>63197.8738869281</v>
      </c>
      <c r="L465" s="12" t="n">
        <f aca="false">J465/Assumptions!$B$5</f>
        <v>72920.6237156863</v>
      </c>
      <c r="M465" s="12" t="n">
        <f aca="false">E465*24*1000000*Assumptions!$B$3/D465/Assumptions!$B$5</f>
        <v>37576.4074328205</v>
      </c>
      <c r="N465" s="12" t="n">
        <f aca="false">G465*24*1000000*Assumptions!$B$3/D465/Assumptions!$B$5</f>
        <v>123029.324823799</v>
      </c>
      <c r="O465" s="12" t="n">
        <f aca="false">IF(ROW()&lt;8,"",AVERAGE(L459:L465))</f>
        <v>75966.8718877181</v>
      </c>
      <c r="P465" s="13" t="n">
        <f aca="false">IF(I465="","",I465/L465)</f>
        <v>0.975438859071346</v>
      </c>
    </row>
    <row r="466" customFormat="false" ht="15" hidden="false" customHeight="false" outlineLevel="0" collapsed="false">
      <c r="A466" s="9" t="n">
        <v>46122</v>
      </c>
      <c r="B466" s="10" t="n">
        <v>863.510085030781</v>
      </c>
      <c r="C466" s="11" t="n">
        <v>138.966872071213</v>
      </c>
      <c r="D466" s="10" t="n">
        <v>390.625</v>
      </c>
      <c r="E466" s="11" t="n">
        <v>9.1091826977</v>
      </c>
      <c r="F466" s="11" t="n">
        <v>17.6772429627279</v>
      </c>
      <c r="G466" s="11" t="n">
        <v>29.82447427946</v>
      </c>
      <c r="H466" s="11" t="n">
        <f aca="false">IF(B466="","",F466*1000/B466)</f>
        <v>20.4713798589831</v>
      </c>
      <c r="I466" s="12" t="n">
        <v>71771.25</v>
      </c>
      <c r="J466" s="12" t="n">
        <f aca="false">F466*24*1000000*Assumptions!$B$3/D466</f>
        <v>54304.4903815</v>
      </c>
      <c r="K466" s="12" t="n">
        <f aca="false">J466/Assumptions!$B$4</f>
        <v>72405.9871753334</v>
      </c>
      <c r="L466" s="12" t="n">
        <f aca="false">J466/Assumptions!$B$5</f>
        <v>83545.3698176923</v>
      </c>
      <c r="M466" s="12" t="n">
        <f aca="false">E466*24*1000000*Assumptions!$B$3/D466/Assumptions!$B$5</f>
        <v>43051.3988420529</v>
      </c>
      <c r="N466" s="12" t="n">
        <f aca="false">G466*24*1000000*Assumptions!$B$3/D466/Assumptions!$B$5</f>
        <v>140955.053825387</v>
      </c>
      <c r="O466" s="12" t="n">
        <f aca="false">IF(ROW()&lt;8,"",AVERAGE(L460:L466))</f>
        <v>76714.8373084734</v>
      </c>
      <c r="P466" s="13" t="n">
        <f aca="false">IF(I466="","",I466/L466)</f>
        <v>0.85906915196635</v>
      </c>
    </row>
    <row r="467" customFormat="false" ht="15" hidden="false" customHeight="false" outlineLevel="0" collapsed="false">
      <c r="A467" s="9" t="n">
        <v>46123</v>
      </c>
      <c r="B467" s="10" t="n">
        <v>849.693923670288</v>
      </c>
      <c r="C467" s="11" t="n">
        <v>138.966872071213</v>
      </c>
      <c r="D467" s="10" t="n">
        <v>384.375</v>
      </c>
      <c r="E467" s="11" t="n">
        <v>9.13758977806428</v>
      </c>
      <c r="F467" s="11" t="n">
        <v>17.732369627559</v>
      </c>
      <c r="G467" s="11" t="n">
        <v>29.9174822106648</v>
      </c>
      <c r="H467" s="11" t="n">
        <f aca="false">IF(B467="","",F467*1000/B467)</f>
        <v>20.8691260859714</v>
      </c>
      <c r="I467" s="12" t="n">
        <v>72976.07</v>
      </c>
      <c r="J467" s="12" t="n">
        <f aca="false">F467*24*1000000*Assumptions!$B$3/D467</f>
        <v>55359.5929835987</v>
      </c>
      <c r="K467" s="12" t="n">
        <f aca="false">J467/Assumptions!$B$4</f>
        <v>73812.7906447983</v>
      </c>
      <c r="L467" s="12" t="n">
        <f aca="false">J467/Assumptions!$B$5</f>
        <v>85168.6045901519</v>
      </c>
      <c r="M467" s="12" t="n">
        <f aca="false">E467*24*1000000*Assumptions!$B$3/D467/Assumptions!$B$5</f>
        <v>43887.8608477384</v>
      </c>
      <c r="N467" s="12" t="n">
        <f aca="false">G467*24*1000000*Assumptions!$B$3/D467/Assumptions!$B$5</f>
        <v>143693.723188184</v>
      </c>
      <c r="O467" s="12" t="n">
        <f aca="false">IF(ROW()&lt;8,"",AVERAGE(L461:L467))</f>
        <v>76636.8669966717</v>
      </c>
      <c r="P467" s="13" t="n">
        <f aca="false">IF(I467="","",I467/L467)</f>
        <v>0.856842381663704</v>
      </c>
    </row>
    <row r="468" customFormat="false" ht="15" hidden="false" customHeight="false" outlineLevel="0" collapsed="false">
      <c r="A468" s="9" t="n">
        <v>46124</v>
      </c>
      <c r="B468" s="10" t="n">
        <v>1070.75250543817</v>
      </c>
      <c r="C468" s="11" t="n">
        <v>138.966872071212</v>
      </c>
      <c r="D468" s="10" t="n">
        <v>484.375</v>
      </c>
      <c r="E468" s="11" t="n">
        <v>9.09971378970714</v>
      </c>
      <c r="F468" s="11" t="n">
        <v>17.6588676383177</v>
      </c>
      <c r="G468" s="11" t="n">
        <v>29.7934720246739</v>
      </c>
      <c r="H468" s="11" t="n">
        <f aca="false">IF(B468="","",F468*1000/B468)</f>
        <v>16.4920161742619</v>
      </c>
      <c r="I468" s="12" t="n">
        <v>73065.17</v>
      </c>
      <c r="J468" s="12" t="n">
        <f aca="false">F468*24*1000000*Assumptions!$B$3/D468</f>
        <v>43748.4204717033</v>
      </c>
      <c r="K468" s="12" t="n">
        <f aca="false">J468/Assumptions!$B$4</f>
        <v>58331.2272956044</v>
      </c>
      <c r="L468" s="12" t="n">
        <f aca="false">J468/Assumptions!$B$5</f>
        <v>67305.2622641589</v>
      </c>
      <c r="M468" s="12" t="n">
        <f aca="false">E468*24*1000000*Assumptions!$B$3/D468/Assumptions!$B$5</f>
        <v>34682.7801017126</v>
      </c>
      <c r="N468" s="12" t="n">
        <f aca="false">G468*24*1000000*Assumptions!$B$3/D468/Assumptions!$B$5</f>
        <v>113555.268064266</v>
      </c>
      <c r="O468" s="12" t="n">
        <f aca="false">IF(ROW()&lt;8,"",AVERAGE(L462:L468))</f>
        <v>76815.6705579161</v>
      </c>
      <c r="P468" s="13" t="n">
        <f aca="false">IF(I468="","",I468/L468)</f>
        <v>1.08557886177213</v>
      </c>
    </row>
    <row r="469" customFormat="false" ht="15" hidden="false" customHeight="false" outlineLevel="0" collapsed="false">
      <c r="A469" s="9" t="n">
        <v>46125</v>
      </c>
      <c r="B469" s="10" t="n">
        <v>1022.39594067644</v>
      </c>
      <c r="C469" s="11" t="n">
        <v>138.966872071212</v>
      </c>
      <c r="D469" s="10" t="n">
        <v>443.75</v>
      </c>
      <c r="E469" s="11" t="n">
        <v>9.28909396451429</v>
      </c>
      <c r="F469" s="11" t="n">
        <v>18.0263780367243</v>
      </c>
      <c r="G469" s="11" t="n">
        <v>30.4135237175663</v>
      </c>
      <c r="H469" s="11" t="n">
        <f aca="false">IF(B469="","",F469*1000/B469)</f>
        <v>17.6315039208759</v>
      </c>
      <c r="I469" s="12" t="n">
        <v>70768.13</v>
      </c>
      <c r="J469" s="12" t="n">
        <f aca="false">F469*24*1000000*Assumptions!$B$3/D469</f>
        <v>48747.3884936769</v>
      </c>
      <c r="K469" s="12" t="n">
        <f aca="false">J469/Assumptions!$B$4</f>
        <v>64996.5179915692</v>
      </c>
      <c r="L469" s="12" t="n">
        <f aca="false">J469/Assumptions!$B$5</f>
        <v>74995.9822979645</v>
      </c>
      <c r="M469" s="12" t="n">
        <f aca="false">E469*24*1000000*Assumptions!$B$3/D469/Assumptions!$B$5</f>
        <v>38645.8513799944</v>
      </c>
      <c r="N469" s="12" t="n">
        <f aca="false">G469*24*1000000*Assumptions!$B$3/D469/Assumptions!$B$5</f>
        <v>126530.802898651</v>
      </c>
      <c r="O469" s="12" t="n">
        <f aca="false">IF(ROW()&lt;8,"",AVERAGE(L463:L469))</f>
        <v>75847.8531167778</v>
      </c>
      <c r="P469" s="13" t="n">
        <f aca="false">IF(I469="","",I469/L469)</f>
        <v>0.943625616087447</v>
      </c>
    </row>
    <row r="470" customFormat="false" ht="15" hidden="false" customHeight="false" outlineLevel="0" collapsed="false">
      <c r="A470" s="9" t="n">
        <v>46126</v>
      </c>
      <c r="B470" s="10" t="n">
        <v>1132.92523156038</v>
      </c>
      <c r="C470" s="11" t="n">
        <v>138.966872071212</v>
      </c>
      <c r="D470" s="10" t="n">
        <v>531.25</v>
      </c>
      <c r="E470" s="11" t="n">
        <v>9.53528803961429</v>
      </c>
      <c r="F470" s="11" t="n">
        <v>18.5041412593925</v>
      </c>
      <c r="G470" s="11" t="n">
        <v>31.2195904201729</v>
      </c>
      <c r="H470" s="11" t="n">
        <f aca="false">IF(B470="","",F470*1000/B470)</f>
        <v>16.3330648342139</v>
      </c>
      <c r="I470" s="12" t="n">
        <v>74501.01</v>
      </c>
      <c r="J470" s="12" t="n">
        <f aca="false">F470*24*1000000*Assumptions!$B$3/D470</f>
        <v>41797.5896682748</v>
      </c>
      <c r="K470" s="12" t="n">
        <f aca="false">J470/Assumptions!$B$4</f>
        <v>55730.1195576998</v>
      </c>
      <c r="L470" s="12" t="n">
        <f aca="false">J470/Assumptions!$B$5</f>
        <v>64303.9841050382</v>
      </c>
      <c r="M470" s="12" t="n">
        <f aca="false">E470*24*1000000*Assumptions!$B$3/D470/Assumptions!$B$5</f>
        <v>33136.2045901528</v>
      </c>
      <c r="N470" s="12" t="n">
        <f aca="false">G470*24*1000000*Assumptions!$B$3/D470/Assumptions!$B$5</f>
        <v>108491.608337976</v>
      </c>
      <c r="O470" s="12" t="n">
        <f aca="false">IF(ROW()&lt;8,"",AVERAGE(L464:L470))</f>
        <v>74123.8581835399</v>
      </c>
      <c r="P470" s="13" t="n">
        <f aca="false">IF(I470="","",I470/L470)</f>
        <v>1.15857533614566</v>
      </c>
    </row>
    <row r="471" customFormat="false" ht="15" hidden="false" customHeight="false" outlineLevel="0" collapsed="false">
      <c r="A471" s="9" t="n">
        <v>46127</v>
      </c>
      <c r="B471" s="10" t="n">
        <v>863.510085030781</v>
      </c>
      <c r="C471" s="11" t="n">
        <v>138.966872071213</v>
      </c>
      <c r="D471" s="10" t="n">
        <v>390.625</v>
      </c>
      <c r="E471" s="11" t="n">
        <v>9.31750090780714</v>
      </c>
      <c r="F471" s="11" t="n">
        <v>18.0815044355551</v>
      </c>
      <c r="G471" s="11" t="n">
        <v>30.506531199984</v>
      </c>
      <c r="H471" s="11" t="n">
        <f aca="false">IF(B471="","",F471*1000/B471)</f>
        <v>20.9395405438844</v>
      </c>
      <c r="I471" s="12" t="n">
        <v>74195.34</v>
      </c>
      <c r="J471" s="12" t="n">
        <f aca="false">F471*24*1000000*Assumptions!$B$3/D471</f>
        <v>55546.3816260253</v>
      </c>
      <c r="K471" s="12" t="n">
        <f aca="false">J471/Assumptions!$B$4</f>
        <v>74061.8421680338</v>
      </c>
      <c r="L471" s="12" t="n">
        <f aca="false">J471/Assumptions!$B$5</f>
        <v>85455.9717323466</v>
      </c>
      <c r="M471" s="12" t="n">
        <f aca="false">E471*24*1000000*Assumptions!$B$3/D471/Assumptions!$B$5</f>
        <v>44035.9427519747</v>
      </c>
      <c r="N471" s="12" t="n">
        <f aca="false">G471*24*1000000*Assumptions!$B$3/D471/Assumptions!$B$5</f>
        <v>144178.559763617</v>
      </c>
      <c r="O471" s="12" t="n">
        <f aca="false">IF(ROW()&lt;8,"",AVERAGE(L465:L471))</f>
        <v>76242.2569318627</v>
      </c>
      <c r="P471" s="13" t="n">
        <f aca="false">IF(I471="","",I471/L471)</f>
        <v>0.868228849265027</v>
      </c>
    </row>
    <row r="472" customFormat="false" ht="15" hidden="false" customHeight="false" outlineLevel="0" collapsed="false">
      <c r="A472" s="9" t="n">
        <v>46128</v>
      </c>
      <c r="B472" s="10" t="n">
        <v>1050.02826339743</v>
      </c>
      <c r="C472" s="11" t="n">
        <v>138.966872071212</v>
      </c>
      <c r="D472" s="10" t="n">
        <v>462.5</v>
      </c>
      <c r="E472" s="11" t="n">
        <v>9.39325295305715</v>
      </c>
      <c r="F472" s="11" t="n">
        <v>18.2285085470377</v>
      </c>
      <c r="G472" s="11" t="n">
        <v>30.7545517963593</v>
      </c>
      <c r="H472" s="11" t="n">
        <f aca="false">IF(B472="","",F472*1000/B472)</f>
        <v>17.3600170418825</v>
      </c>
      <c r="I472" s="12" t="n">
        <v>74814.99</v>
      </c>
      <c r="J472" s="12" t="n">
        <f aca="false">F472*24*1000000*Assumptions!$B$3/D472</f>
        <v>47295.5897436653</v>
      </c>
      <c r="K472" s="12" t="n">
        <f aca="false">J472/Assumptions!$B$4</f>
        <v>63060.7863248871</v>
      </c>
      <c r="L472" s="12" t="n">
        <f aca="false">J472/Assumptions!$B$5</f>
        <v>72762.4457594851</v>
      </c>
      <c r="M472" s="12" t="n">
        <f aca="false">E472*24*1000000*Assumptions!$B$3/D472/Assumptions!$B$5</f>
        <v>37494.8974425566</v>
      </c>
      <c r="N472" s="12" t="n">
        <f aca="false">G472*24*1000000*Assumptions!$B$3/D472/Assumptions!$B$5</f>
        <v>122762.452076944</v>
      </c>
      <c r="O472" s="12" t="n">
        <f aca="false">IF(ROW()&lt;8,"",AVERAGE(L466:L472))</f>
        <v>76219.6600809768</v>
      </c>
      <c r="P472" s="13" t="n">
        <f aca="false">IF(I472="","",I472/L472)</f>
        <v>1.02820884068822</v>
      </c>
    </row>
    <row r="473" customFormat="false" ht="15" hidden="false" customHeight="false" outlineLevel="0" collapsed="false">
      <c r="A473" s="9" t="n">
        <v>46129</v>
      </c>
      <c r="B473" s="10" t="n">
        <v>968.172577659841</v>
      </c>
      <c r="C473" s="11" t="n">
        <v>138.129851902713</v>
      </c>
      <c r="D473" s="10" t="n">
        <v>453.125</v>
      </c>
      <c r="E473" s="11" t="n">
        <v>9.53556648651429</v>
      </c>
      <c r="F473" s="11" t="n">
        <v>18.5046816123162</v>
      </c>
      <c r="G473" s="11" t="n">
        <v>31.2205020862007</v>
      </c>
      <c r="H473" s="11" t="n">
        <f aca="false">IF(B473="","",F473*1000/B473)</f>
        <v>19.1129991070845</v>
      </c>
      <c r="I473" s="12" t="n">
        <v>75169.74</v>
      </c>
      <c r="J473" s="12" t="n">
        <f aca="false">F473*24*1000000*Assumptions!$B$3/D473</f>
        <v>49005.5016491685</v>
      </c>
      <c r="K473" s="12" t="n">
        <f aca="false">J473/Assumptions!$B$4</f>
        <v>65340.668865558</v>
      </c>
      <c r="L473" s="12" t="n">
        <f aca="false">J473/Assumptions!$B$5</f>
        <v>75393.0794602593</v>
      </c>
      <c r="M473" s="12" t="n">
        <f aca="false">E473*24*1000000*Assumptions!$B$3/D473/Assumptions!$B$5</f>
        <v>38850.4777805993</v>
      </c>
      <c r="N473" s="12" t="n">
        <f aca="false">G473*24*1000000*Assumptions!$B$3/D473/Assumptions!$B$5</f>
        <v>127200.772425476</v>
      </c>
      <c r="O473" s="12" t="n">
        <f aca="false">IF(ROW()&lt;8,"",AVERAGE(L467:L473))</f>
        <v>75055.0471727721</v>
      </c>
      <c r="P473" s="13" t="n">
        <f aca="false">IF(I473="","",I473/L473)</f>
        <v>0.997037666296984</v>
      </c>
    </row>
    <row r="474" customFormat="false" ht="15" hidden="false" customHeight="false" outlineLevel="0" collapsed="false">
      <c r="A474" s="9" t="n">
        <v>46130</v>
      </c>
      <c r="B474" s="10" t="n">
        <v>1031.29005456349</v>
      </c>
      <c r="C474" s="11" t="n">
        <v>135.594876535256</v>
      </c>
      <c r="D474" s="10" t="n">
        <v>478.125</v>
      </c>
      <c r="E474" s="11" t="n">
        <v>9.78448285501429</v>
      </c>
      <c r="F474" s="11" t="n">
        <v>18.9877277065048</v>
      </c>
      <c r="G474" s="11" t="n">
        <v>32.0354818792769</v>
      </c>
      <c r="H474" s="11" t="n">
        <f aca="false">IF(B474="","",F474*1000/B474)</f>
        <v>18.4116268963165</v>
      </c>
      <c r="I474" s="12" t="n">
        <v>77143.43</v>
      </c>
      <c r="J474" s="12" t="n">
        <f aca="false">F474*24*1000000*Assumptions!$B$3/D474</f>
        <v>47655.4734594631</v>
      </c>
      <c r="K474" s="12" t="n">
        <f aca="false">J474/Assumptions!$B$4</f>
        <v>63540.6312792842</v>
      </c>
      <c r="L474" s="12" t="n">
        <f aca="false">J474/Assumptions!$B$5</f>
        <v>73316.1130145587</v>
      </c>
      <c r="M474" s="12" t="n">
        <f aca="false">E474*24*1000000*Assumptions!$B$3/D474/Assumptions!$B$5</f>
        <v>37780.2052923629</v>
      </c>
      <c r="N474" s="12" t="n">
        <f aca="false">G474*24*1000000*Assumptions!$B$3/D474/Assumptions!$B$5</f>
        <v>123696.581615308</v>
      </c>
      <c r="O474" s="12" t="n">
        <f aca="false">IF(ROW()&lt;8,"",AVERAGE(L468:L474))</f>
        <v>73361.8340905445</v>
      </c>
      <c r="P474" s="13" t="n">
        <f aca="false">IF(I474="","",I474/L474)</f>
        <v>1.05220294459257</v>
      </c>
    </row>
    <row r="475" customFormat="false" ht="15" hidden="false" customHeight="false" outlineLevel="0" collapsed="false">
      <c r="A475" s="9" t="n">
        <v>46131</v>
      </c>
      <c r="B475" s="10" t="n">
        <v>1064.99234392831</v>
      </c>
      <c r="C475" s="11" t="n">
        <v>135.594876535256</v>
      </c>
      <c r="D475" s="10" t="n">
        <v>493.75</v>
      </c>
      <c r="E475" s="11" t="n">
        <v>9.77658726658571</v>
      </c>
      <c r="F475" s="11" t="n">
        <v>19.0088881553204</v>
      </c>
      <c r="G475" s="11" t="n">
        <v>32.2507612309576</v>
      </c>
      <c r="H475" s="11" t="n">
        <f aca="false">IF(B475="","",F475*1000/B475)</f>
        <v>17.8488495844061</v>
      </c>
      <c r="I475" s="12" t="n">
        <v>75734.7</v>
      </c>
      <c r="J475" s="12" t="n">
        <f aca="false">F475*24*1000000*Assumptions!$B$3/D475</f>
        <v>46198.8167825509</v>
      </c>
      <c r="K475" s="12" t="n">
        <f aca="false">J475/Assumptions!$B$4</f>
        <v>61598.4223767345</v>
      </c>
      <c r="L475" s="12" t="n">
        <f aca="false">J475/Assumptions!$B$5</f>
        <v>71075.102742386</v>
      </c>
      <c r="M475" s="12" t="n">
        <f aca="false">E475*24*1000000*Assumptions!$B$3/D475/Assumptions!$B$5</f>
        <v>36555.1072090449</v>
      </c>
      <c r="N475" s="12" t="n">
        <f aca="false">G475*24*1000000*Assumptions!$B$3/D475/Assumptions!$B$5</f>
        <v>120587.07217807</v>
      </c>
      <c r="O475" s="12" t="n">
        <f aca="false">IF(ROW()&lt;8,"",AVERAGE(L469:L475))</f>
        <v>73900.3827302912</v>
      </c>
      <c r="P475" s="13" t="n">
        <f aca="false">IF(I475="","",I475/L475)</f>
        <v>1.06555878328453</v>
      </c>
    </row>
    <row r="476" customFormat="false" ht="15" hidden="false" customHeight="false" outlineLevel="0" collapsed="false">
      <c r="A476" s="9" t="n">
        <v>46132</v>
      </c>
      <c r="B476" s="10" t="n">
        <v>876.259523485315</v>
      </c>
      <c r="C476" s="11" t="n">
        <v>135.594876535257</v>
      </c>
      <c r="D476" s="10" t="n">
        <v>406.25</v>
      </c>
      <c r="E476" s="11" t="n">
        <v>9.57627591949286</v>
      </c>
      <c r="F476" s="11" t="n">
        <v>18.6501820943353</v>
      </c>
      <c r="G476" s="11" t="n">
        <v>31.7933180877046</v>
      </c>
      <c r="H476" s="11" t="n">
        <f aca="false">IF(B476="","",F476*1000/B476)</f>
        <v>21.2838566594453</v>
      </c>
      <c r="I476" s="12" t="n">
        <v>73857.03</v>
      </c>
      <c r="J476" s="12" t="n">
        <f aca="false">F476*24*1000000*Assumptions!$B$3/D476</f>
        <v>55089.7686478828</v>
      </c>
      <c r="K476" s="12" t="n">
        <f aca="false">J476/Assumptions!$B$4</f>
        <v>73453.0248638437</v>
      </c>
      <c r="L476" s="12" t="n">
        <f aca="false">J476/Assumptions!$B$5</f>
        <v>84753.490227512</v>
      </c>
      <c r="M476" s="12" t="n">
        <f aca="false">E476*24*1000000*Assumptions!$B$3/D476/Assumptions!$B$5</f>
        <v>43518.224296867</v>
      </c>
      <c r="N476" s="12" t="n">
        <f aca="false">G476*24*1000000*Assumptions!$B$3/D476/Assumptions!$B$5</f>
        <v>144480.877463652</v>
      </c>
      <c r="O476" s="12" t="n">
        <f aca="false">IF(ROW()&lt;8,"",AVERAGE(L470:L476))</f>
        <v>75294.3124345123</v>
      </c>
      <c r="P476" s="13" t="n">
        <f aca="false">IF(I476="","",I476/L476)</f>
        <v>0.87143349261179</v>
      </c>
    </row>
    <row r="477" customFormat="false" ht="15" hidden="false" customHeight="false" outlineLevel="0" collapsed="false">
      <c r="A477" s="9" t="n">
        <v>46133</v>
      </c>
      <c r="B477" s="10" t="n">
        <v>909.961812850135</v>
      </c>
      <c r="C477" s="11" t="n">
        <v>135.594876535257</v>
      </c>
      <c r="D477" s="10" t="n">
        <v>421.875</v>
      </c>
      <c r="E477" s="11" t="n">
        <v>9.27065680192143</v>
      </c>
      <c r="F477" s="11" t="n">
        <v>18.0882707144091</v>
      </c>
      <c r="G477" s="11" t="n">
        <v>30.9987163372805</v>
      </c>
      <c r="H477" s="11" t="n">
        <f aca="false">IF(B477="","",F477*1000/B477)</f>
        <v>19.8780547260043</v>
      </c>
      <c r="I477" s="12" t="n">
        <v>75873.82</v>
      </c>
      <c r="J477" s="12" t="n">
        <f aca="false">F477*24*1000000*Assumptions!$B$3/D477</f>
        <v>51451.0811432081</v>
      </c>
      <c r="K477" s="12" t="n">
        <f aca="false">J477/Assumptions!$B$4</f>
        <v>68601.4415242775</v>
      </c>
      <c r="L477" s="12" t="n">
        <f aca="false">J477/Assumptions!$B$5</f>
        <v>79155.5094510894</v>
      </c>
      <c r="M477" s="12" t="n">
        <f aca="false">E477*24*1000000*Assumptions!$B$3/D477/Assumptions!$B$5</f>
        <v>40569.0280562716</v>
      </c>
      <c r="N477" s="12" t="n">
        <f aca="false">G477*24*1000000*Assumptions!$B$3/D477/Assumptions!$B$5</f>
        <v>135652.502262287</v>
      </c>
      <c r="O477" s="12" t="n">
        <f aca="false">IF(ROW()&lt;8,"",AVERAGE(L471:L477))</f>
        <v>77415.9589125196</v>
      </c>
      <c r="P477" s="13" t="n">
        <f aca="false">IF(I477="","",I477/L477)</f>
        <v>0.958541237699731</v>
      </c>
    </row>
    <row r="478" customFormat="false" ht="15" hidden="false" customHeight="false" outlineLevel="0" collapsed="false">
      <c r="A478" s="9" t="n">
        <v>46134</v>
      </c>
      <c r="B478" s="10" t="n">
        <v>882.99998135828</v>
      </c>
      <c r="C478" s="11" t="n">
        <v>135.594876535257</v>
      </c>
      <c r="D478" s="10" t="n">
        <v>409.375</v>
      </c>
      <c r="E478" s="11" t="n">
        <v>9.29737188627857</v>
      </c>
      <c r="F478" s="11" t="n">
        <v>18.1703621285965</v>
      </c>
      <c r="G478" s="11" t="n">
        <v>31.2861090570735</v>
      </c>
      <c r="H478" s="11" t="n">
        <f aca="false">IF(B478="","",F478*1000/B478)</f>
        <v>20.5779869900403</v>
      </c>
      <c r="I478" s="12" t="n">
        <v>76353.08</v>
      </c>
      <c r="J478" s="12" t="n">
        <f aca="false">F478*24*1000000*Assumptions!$B$3/D478</f>
        <v>53262.7408960386</v>
      </c>
      <c r="K478" s="12" t="n">
        <f aca="false">J478/Assumptions!$B$4</f>
        <v>71016.9878613849</v>
      </c>
      <c r="L478" s="12" t="n">
        <f aca="false">J478/Assumptions!$B$5</f>
        <v>81942.6783015979</v>
      </c>
      <c r="M478" s="12" t="n">
        <f aca="false">E478*24*1000000*Assumptions!$B$3/D478/Assumptions!$B$5</f>
        <v>41928.253720857</v>
      </c>
      <c r="N478" s="12" t="n">
        <f aca="false">G478*24*1000000*Assumptions!$B$3/D478/Assumptions!$B$5</f>
        <v>141090.615125264</v>
      </c>
      <c r="O478" s="12" t="n">
        <f aca="false">IF(ROW()&lt;8,"",AVERAGE(L472:L478))</f>
        <v>76914.0598509841</v>
      </c>
      <c r="P478" s="13" t="n">
        <f aca="false">IF(I478="","",I478/L478)</f>
        <v>0.931786482728514</v>
      </c>
    </row>
    <row r="479" customFormat="false" ht="15" hidden="false" customHeight="false" outlineLevel="0" collapsed="false">
      <c r="A479" s="9" t="n">
        <v>46135</v>
      </c>
      <c r="B479" s="10" t="n">
        <v>815.59540262864</v>
      </c>
      <c r="C479" s="11" t="n">
        <v>135.594876535257</v>
      </c>
      <c r="D479" s="10" t="n">
        <v>378.125</v>
      </c>
      <c r="E479" s="11" t="n">
        <v>8.97603136120714</v>
      </c>
      <c r="F479" s="11" t="n">
        <v>17.5897005480829</v>
      </c>
      <c r="G479" s="11" t="n">
        <v>30.5736188881979</v>
      </c>
      <c r="H479" s="11" t="n">
        <f aca="false">IF(B479="","",F479*1000/B479)</f>
        <v>21.566698992407</v>
      </c>
      <c r="I479" s="12" t="n">
        <v>78206.49</v>
      </c>
      <c r="J479" s="12" t="n">
        <f aca="false">F479*24*1000000*Assumptions!$B$3/D479</f>
        <v>55821.8595906102</v>
      </c>
      <c r="K479" s="12" t="n">
        <f aca="false">J479/Assumptions!$B$4</f>
        <v>74429.1461208137</v>
      </c>
      <c r="L479" s="12" t="n">
        <f aca="false">J479/Assumptions!$B$5</f>
        <v>85879.7839855542</v>
      </c>
      <c r="M479" s="12" t="n">
        <f aca="false">E479*24*1000000*Assumptions!$B$3/D479/Assumptions!$B$5</f>
        <v>43824.4887819904</v>
      </c>
      <c r="N479" s="12" t="n">
        <f aca="false">G479*24*1000000*Assumptions!$B$3/D479/Assumptions!$B$5</f>
        <v>149272.341424895</v>
      </c>
      <c r="O479" s="12" t="n">
        <f aca="false">IF(ROW()&lt;8,"",AVERAGE(L473:L479))</f>
        <v>78787.9653118511</v>
      </c>
      <c r="P479" s="13" t="n">
        <f aca="false">IF(I479="","",I479/L479)</f>
        <v>0.910650753536538</v>
      </c>
    </row>
    <row r="480" customFormat="false" ht="15" hidden="false" customHeight="false" outlineLevel="0" collapsed="false">
      <c r="A480" s="9" t="n">
        <v>46136</v>
      </c>
      <c r="B480" s="10" t="n">
        <v>1004.32822307163</v>
      </c>
      <c r="C480" s="11" t="n">
        <v>135.594876535256</v>
      </c>
      <c r="D480" s="10" t="n">
        <v>465.625</v>
      </c>
      <c r="E480" s="11" t="n">
        <v>9.02673920910714</v>
      </c>
      <c r="F480" s="11" t="n">
        <v>17.7409688680621</v>
      </c>
      <c r="G480" s="11" t="n">
        <v>31.1578447842626</v>
      </c>
      <c r="H480" s="11" t="n">
        <f aca="false">IF(B480="","",F480*1000/B480)</f>
        <v>17.6645129157112</v>
      </c>
      <c r="I480" s="12" t="n">
        <v>78266.65</v>
      </c>
      <c r="J480" s="12" t="n">
        <f aca="false">F480*24*1000000*Assumptions!$B$3/D480</f>
        <v>45721.6915794351</v>
      </c>
      <c r="K480" s="12" t="n">
        <f aca="false">J480/Assumptions!$B$4</f>
        <v>60962.2554392468</v>
      </c>
      <c r="L480" s="12" t="n">
        <f aca="false">J480/Assumptions!$B$5</f>
        <v>70341.0639683617</v>
      </c>
      <c r="M480" s="12" t="n">
        <f aca="false">E480*24*1000000*Assumptions!$B$3/D480/Assumptions!$B$5</f>
        <v>35790.0656303267</v>
      </c>
      <c r="N480" s="12" t="n">
        <f aca="false">G480*24*1000000*Assumptions!$B$3/D480/Assumptions!$B$5</f>
        <v>123537.557017623</v>
      </c>
      <c r="O480" s="12" t="n">
        <f aca="false">IF(ROW()&lt;8,"",AVERAGE(L474:L480))</f>
        <v>78066.2488130086</v>
      </c>
      <c r="P480" s="13" t="n">
        <f aca="false">IF(I480="","",I480/L480)</f>
        <v>1.11267367288051</v>
      </c>
    </row>
    <row r="481" customFormat="false" ht="15" hidden="false" customHeight="false" outlineLevel="0" collapsed="false">
      <c r="A481" s="9" t="n">
        <v>46137</v>
      </c>
      <c r="B481" s="10" t="n">
        <v>943.664102214955</v>
      </c>
      <c r="C481" s="11" t="n">
        <v>135.594876535257</v>
      </c>
      <c r="D481" s="10" t="n">
        <v>425</v>
      </c>
      <c r="E481" s="11" t="n">
        <v>8.90662906764286</v>
      </c>
      <c r="F481" s="11" t="n">
        <v>17.5923671414737</v>
      </c>
      <c r="G481" s="11" t="n">
        <v>31.2209071868319</v>
      </c>
      <c r="H481" s="11" t="n">
        <f aca="false">IF(B481="","",F481*1000/B481)</f>
        <v>18.6426156300544</v>
      </c>
      <c r="I481" s="12" t="n">
        <v>77458.76</v>
      </c>
      <c r="J481" s="12" t="n">
        <f aca="false">F481*24*1000000*Assumptions!$B$3/D481</f>
        <v>49672.5660465141</v>
      </c>
      <c r="K481" s="12" t="n">
        <f aca="false">J481/Assumptions!$B$4</f>
        <v>66230.0880620188</v>
      </c>
      <c r="L481" s="12" t="n">
        <f aca="false">J481/Assumptions!$B$5</f>
        <v>76419.3323792525</v>
      </c>
      <c r="M481" s="12" t="n">
        <f aca="false">E481*24*1000000*Assumptions!$B$3/D481/Assumptions!$B$5</f>
        <v>38689.4294341047</v>
      </c>
      <c r="N481" s="12" t="n">
        <f aca="false">G481*24*1000000*Assumptions!$B$3/D481/Assumptions!$B$5</f>
        <v>135620.23031384</v>
      </c>
      <c r="O481" s="12" t="n">
        <f aca="false">IF(ROW()&lt;8,"",AVERAGE(L475:L481))</f>
        <v>78509.5658651077</v>
      </c>
      <c r="P481" s="13" t="n">
        <f aca="false">IF(I481="","",I481/L481)</f>
        <v>1.01360163179114</v>
      </c>
    </row>
    <row r="482" customFormat="false" ht="15" hidden="false" customHeight="false" outlineLevel="0" collapsed="false">
      <c r="A482" s="9" t="n">
        <v>46138</v>
      </c>
      <c r="B482" s="10" t="n">
        <v>1004.32822307163</v>
      </c>
      <c r="C482" s="11" t="n">
        <v>135.594876535256</v>
      </c>
      <c r="D482" s="10" t="n">
        <v>462.5</v>
      </c>
      <c r="E482" s="11" t="n">
        <v>8.82347591914286</v>
      </c>
      <c r="F482" s="11" t="n">
        <v>17.4844324917125</v>
      </c>
      <c r="G482" s="11" t="n">
        <v>31.1931751096891</v>
      </c>
      <c r="H482" s="11" t="n">
        <f aca="false">IF(B482="","",F482*1000/B482)</f>
        <v>17.4090821009074</v>
      </c>
      <c r="I482" s="12" t="n">
        <v>77636.09</v>
      </c>
      <c r="J482" s="12" t="n">
        <f aca="false">F482*24*1000000*Assumptions!$B$3/D482</f>
        <v>45365.0140325514</v>
      </c>
      <c r="K482" s="12" t="n">
        <f aca="false">J482/Assumptions!$B$4</f>
        <v>60486.6853767352</v>
      </c>
      <c r="L482" s="12" t="n">
        <f aca="false">J482/Assumptions!$B$5</f>
        <v>69792.3292808483</v>
      </c>
      <c r="M482" s="12" t="n">
        <f aca="false">E482*24*1000000*Assumptions!$B$3/D482/Assumptions!$B$5</f>
        <v>35220.5275774517</v>
      </c>
      <c r="N482" s="12" t="n">
        <f aca="false">G482*24*1000000*Assumptions!$B$3/D482/Assumptions!$B$5</f>
        <v>124513.297735141</v>
      </c>
      <c r="O482" s="12" t="n">
        <f aca="false">IF(ROW()&lt;8,"",AVERAGE(L476:L482))</f>
        <v>78326.3125134594</v>
      </c>
      <c r="P482" s="13" t="n">
        <f aca="false">IF(I482="","",I482/L482)</f>
        <v>1.11238714626629</v>
      </c>
    </row>
    <row r="483" customFormat="false" ht="15" hidden="false" customHeight="false" outlineLevel="0" collapsed="false">
      <c r="A483" s="9" t="n">
        <v>46139</v>
      </c>
      <c r="B483" s="10" t="n">
        <v>930.183186469027</v>
      </c>
      <c r="C483" s="11" t="n">
        <v>135.594876535257</v>
      </c>
      <c r="D483" s="10" t="n">
        <v>446.875</v>
      </c>
      <c r="E483" s="11" t="n">
        <v>8.89738986395</v>
      </c>
      <c r="F483" s="11" t="n">
        <v>17.7155267414359</v>
      </c>
      <c r="G483" s="11" t="n">
        <v>31.7663066408319</v>
      </c>
      <c r="H483" s="11" t="n">
        <f aca="false">IF(B483="","",F483*1000/B483)</f>
        <v>19.0452020624926</v>
      </c>
      <c r="I483" s="12" t="n">
        <v>78649.47</v>
      </c>
      <c r="J483" s="12" t="n">
        <f aca="false">F483*24*1000000*Assumptions!$B$3/D483</f>
        <v>47571.7641168628</v>
      </c>
      <c r="K483" s="12" t="n">
        <f aca="false">J483/Assumptions!$B$4</f>
        <v>63429.0188224838</v>
      </c>
      <c r="L483" s="12" t="n">
        <f aca="false">J483/Assumptions!$B$5</f>
        <v>73187.3294105582</v>
      </c>
      <c r="M483" s="12" t="n">
        <f aca="false">E483*24*1000000*Assumptions!$B$3/D483/Assumptions!$B$5</f>
        <v>36757.3717886692</v>
      </c>
      <c r="N483" s="12" t="n">
        <f aca="false">G483*24*1000000*Assumptions!$B$3/D483/Assumptions!$B$5</f>
        <v>131234.661108977</v>
      </c>
      <c r="O483" s="12" t="n">
        <f aca="false">IF(ROW()&lt;8,"",AVERAGE(L477:L483))</f>
        <v>76674.0038253232</v>
      </c>
      <c r="P483" s="13" t="n">
        <f aca="false">IF(I483="","",I483/L483)</f>
        <v>1.0746323254781</v>
      </c>
    </row>
    <row r="484" customFormat="false" ht="15" hidden="false" customHeight="false" outlineLevel="0" collapsed="false">
      <c r="A484" s="9" t="n">
        <v>46140</v>
      </c>
      <c r="B484" s="10" t="n">
        <v>936.923644341991</v>
      </c>
      <c r="C484" s="11" t="n">
        <v>135.594876535257</v>
      </c>
      <c r="D484" s="10" t="n">
        <v>418.75</v>
      </c>
      <c r="E484" s="11" t="n">
        <v>8.93434685691429</v>
      </c>
      <c r="F484" s="11" t="n">
        <v>17.8746006839112</v>
      </c>
      <c r="G484" s="11" t="n">
        <v>32.2146434708319</v>
      </c>
      <c r="H484" s="11" t="n">
        <f aca="false">IF(B484="","",F484*1000/B484)</f>
        <v>19.07796947153</v>
      </c>
      <c r="I484" s="12" t="n">
        <v>77373.46</v>
      </c>
      <c r="J484" s="12" t="n">
        <f aca="false">F484*24*1000000*Assumptions!$B$3/D484</f>
        <v>51222.736288223</v>
      </c>
      <c r="K484" s="12" t="n">
        <f aca="false">J484/Assumptions!$B$4</f>
        <v>68296.9817176307</v>
      </c>
      <c r="L484" s="12" t="n">
        <f aca="false">J484/Assumptions!$B$5</f>
        <v>78804.2096741892</v>
      </c>
      <c r="M484" s="12" t="n">
        <f aca="false">E484*24*1000000*Assumptions!$B$3/D484/Assumptions!$B$5</f>
        <v>39389.0837319757</v>
      </c>
      <c r="N484" s="12" t="n">
        <f aca="false">G484*24*1000000*Assumptions!$B$3/D484/Assumptions!$B$5</f>
        <v>142025.523453495</v>
      </c>
      <c r="O484" s="12" t="n">
        <f aca="false">IF(ROW()&lt;8,"",AVERAGE(L478:L484))</f>
        <v>76623.8181429089</v>
      </c>
      <c r="P484" s="13" t="n">
        <f aca="false">IF(I484="","",I484/L484)</f>
        <v>0.981844248167648</v>
      </c>
    </row>
    <row r="485" customFormat="false" ht="15" hidden="false" customHeight="false" outlineLevel="0" collapsed="false">
      <c r="A485" s="9" t="n">
        <v>46141</v>
      </c>
      <c r="B485" s="10" t="n">
        <v>856.038149866423</v>
      </c>
      <c r="C485" s="11" t="n">
        <v>135.594876535257</v>
      </c>
      <c r="D485" s="10" t="n">
        <v>412.5</v>
      </c>
      <c r="E485" s="11" t="n">
        <v>8.89738985024286</v>
      </c>
      <c r="F485" s="11" t="n">
        <v>17.8809284625938</v>
      </c>
      <c r="G485" s="11" t="n">
        <v>32.3810363502605</v>
      </c>
      <c r="H485" s="11" t="n">
        <f aca="false">IF(B485="","",F485*1000/B485)</f>
        <v>20.8880041916169</v>
      </c>
      <c r="I485" s="12" t="n">
        <v>76347.25</v>
      </c>
      <c r="J485" s="12" t="n">
        <f aca="false">F485*24*1000000*Assumptions!$B$3/D485</f>
        <v>52017.2464366366</v>
      </c>
      <c r="K485" s="12" t="n">
        <f aca="false">J485/Assumptions!$B$4</f>
        <v>69356.3285821821</v>
      </c>
      <c r="L485" s="12" t="n">
        <f aca="false">J485/Assumptions!$B$5</f>
        <v>80026.5329794409</v>
      </c>
      <c r="M485" s="12" t="n">
        <f aca="false">E485*24*1000000*Assumptions!$B$3/D485/Assumptions!$B$5</f>
        <v>39820.486043045</v>
      </c>
      <c r="N485" s="12" t="n">
        <f aca="false">G485*24*1000000*Assumptions!$B$3/D485/Assumptions!$B$5</f>
        <v>144922.120728439</v>
      </c>
      <c r="O485" s="12" t="n">
        <f aca="false">IF(ROW()&lt;8,"",AVERAGE(L479:L485))</f>
        <v>76350.0830968864</v>
      </c>
      <c r="P485" s="13" t="n">
        <f aca="false">IF(I485="","",I485/L485)</f>
        <v>0.95402421119023</v>
      </c>
    </row>
    <row r="486" customFormat="false" ht="15" hidden="false" customHeight="false" outlineLevel="0" collapsed="false">
      <c r="A486" s="9" t="n">
        <v>46142</v>
      </c>
      <c r="B486" s="10" t="n">
        <v>943.664102214955</v>
      </c>
      <c r="C486" s="11" t="n">
        <v>135.594876535257</v>
      </c>
      <c r="D486" s="10" t="n">
        <v>437.5</v>
      </c>
      <c r="E486" s="11" t="n">
        <v>9.07293544688571</v>
      </c>
      <c r="F486" s="11" t="n">
        <v>18.2980409003606</v>
      </c>
      <c r="G486" s="11" t="n">
        <v>33.1533795752561</v>
      </c>
      <c r="H486" s="11" t="n">
        <f aca="false">IF(B486="","",F486*1000/B486)</f>
        <v>19.3904174773754</v>
      </c>
      <c r="I486" s="12" t="n">
        <v>75781.88</v>
      </c>
      <c r="J486" s="12" t="n">
        <f aca="false">F486*24*1000000*Assumptions!$B$3/D486</f>
        <v>50188.9121838462</v>
      </c>
      <c r="K486" s="12" t="n">
        <f aca="false">J486/Assumptions!$B$4</f>
        <v>66918.5495784616</v>
      </c>
      <c r="L486" s="12" t="n">
        <f aca="false">J486/Assumptions!$B$5</f>
        <v>77213.711052071</v>
      </c>
      <c r="M486" s="12" t="n">
        <f aca="false">E486*24*1000000*Assumptions!$B$3/D486/Assumptions!$B$5</f>
        <v>38285.7935341111</v>
      </c>
      <c r="N486" s="12" t="n">
        <f aca="false">G486*24*1000000*Assumptions!$B$3/D486/Assumptions!$B$5</f>
        <v>139899.975350531</v>
      </c>
      <c r="O486" s="12" t="n">
        <f aca="false">IF(ROW()&lt;8,"",AVERAGE(L480:L486))</f>
        <v>75112.0726778174</v>
      </c>
      <c r="P486" s="13" t="n">
        <f aca="false">IF(I486="","",I486/L486)</f>
        <v>0.981456259094898</v>
      </c>
    </row>
    <row r="487" customFormat="false" ht="15" hidden="false" customHeight="false" outlineLevel="0" collapsed="false">
      <c r="A487" s="9" t="n">
        <v>46143</v>
      </c>
      <c r="B487" s="10" t="n">
        <v>1064.99234392831</v>
      </c>
      <c r="C487" s="11" t="n">
        <v>135.594876535256</v>
      </c>
      <c r="D487" s="10" t="n">
        <v>478.125</v>
      </c>
      <c r="E487" s="11" t="n">
        <v>9.15608859538572</v>
      </c>
      <c r="F487" s="11" t="n">
        <v>18.5319822125575</v>
      </c>
      <c r="G487" s="11" t="n">
        <v>33.6137000262857</v>
      </c>
      <c r="H487" s="11" t="n">
        <f aca="false">IF(B487="","",F487*1000/B487)</f>
        <v>17.4010473579565</v>
      </c>
      <c r="I487" s="12" t="n">
        <v>76286.46</v>
      </c>
      <c r="J487" s="12" t="n">
        <f aca="false">F487*24*1000000*Assumptions!$B$3/D487</f>
        <v>46511.6416315169</v>
      </c>
      <c r="K487" s="12" t="n">
        <f aca="false">J487/Assumptions!$B$4</f>
        <v>62015.5221753559</v>
      </c>
      <c r="L487" s="12" t="n">
        <f aca="false">J487/Assumptions!$B$5</f>
        <v>71556.3717407953</v>
      </c>
      <c r="M487" s="12" t="n">
        <f aca="false">E487*24*1000000*Assumptions!$B$3/D487/Assumptions!$B$5</f>
        <v>35353.8262506598</v>
      </c>
      <c r="N487" s="12" t="n">
        <f aca="false">G487*24*1000000*Assumptions!$B$3/D487/Assumptions!$B$5</f>
        <v>129790.455606774</v>
      </c>
      <c r="O487" s="12" t="n">
        <f aca="false">IF(ROW()&lt;8,"",AVERAGE(L481:L487))</f>
        <v>75285.6880738793</v>
      </c>
      <c r="P487" s="13" t="n">
        <f aca="false">IF(I487="","",I487/L487)</f>
        <v>1.06610296391688</v>
      </c>
    </row>
    <row r="488" customFormat="false" ht="15" hidden="false" customHeight="false" outlineLevel="0" collapsed="false">
      <c r="A488" s="9" t="n">
        <v>46144</v>
      </c>
      <c r="B488" s="10" t="n">
        <v>897.607937210035</v>
      </c>
      <c r="C488" s="11" t="n">
        <v>132.770520277053</v>
      </c>
      <c r="D488" s="10" t="n">
        <v>440.625</v>
      </c>
      <c r="E488" s="11" t="n">
        <v>9.0918948105</v>
      </c>
      <c r="F488" s="11" t="n">
        <v>18.4285573158089</v>
      </c>
      <c r="G488" s="11" t="n">
        <v>33.4577475857143</v>
      </c>
      <c r="H488" s="11" t="n">
        <f aca="false">IF(B488="","",F488*1000/B488)</f>
        <v>20.5307423785589</v>
      </c>
      <c r="I488" s="12" t="n">
        <v>78195.88</v>
      </c>
      <c r="J488" s="12" t="n">
        <f aca="false">F488*24*1000000*Assumptions!$B$3/D488</f>
        <v>50188.4114132667</v>
      </c>
      <c r="K488" s="12" t="n">
        <f aca="false">J488/Assumptions!$B$4</f>
        <v>66917.8818843557</v>
      </c>
      <c r="L488" s="12" t="n">
        <f aca="false">J488/Assumptions!$B$5</f>
        <v>77212.940635795</v>
      </c>
      <c r="M488" s="12" t="n">
        <f aca="false">E488*24*1000000*Assumptions!$B$3/D488/Assumptions!$B$5</f>
        <v>38093.7000243535</v>
      </c>
      <c r="N488" s="12" t="n">
        <f aca="false">G488*24*1000000*Assumptions!$B$3/D488/Assumptions!$B$5</f>
        <v>140183.034074351</v>
      </c>
      <c r="O488" s="12" t="n">
        <f aca="false">IF(ROW()&lt;8,"",AVERAGE(L482:L488))</f>
        <v>75399.0606819568</v>
      </c>
      <c r="P488" s="13" t="n">
        <f aca="false">IF(I488="","",I488/L488)</f>
        <v>1.01273024127965</v>
      </c>
    </row>
    <row r="489" customFormat="false" ht="15" hidden="false" customHeight="false" outlineLevel="0" collapsed="false">
      <c r="A489" s="9" t="n">
        <v>46145</v>
      </c>
      <c r="B489" s="10" t="n">
        <v>1000.95334714592</v>
      </c>
      <c r="C489" s="11" t="n">
        <v>132.472011079032</v>
      </c>
      <c r="D489" s="10" t="n">
        <v>450</v>
      </c>
      <c r="E489" s="11" t="n">
        <v>9.08726884168572</v>
      </c>
      <c r="F489" s="11" t="n">
        <v>18.485018242708</v>
      </c>
      <c r="G489" s="11" t="n">
        <v>33.6125617114286</v>
      </c>
      <c r="H489" s="11" t="n">
        <f aca="false">IF(B489="","",F489*1000/B489)</f>
        <v>18.4674123878155</v>
      </c>
      <c r="I489" s="12" t="n">
        <v>78670.21</v>
      </c>
      <c r="J489" s="12" t="n">
        <f aca="false">F489*24*1000000*Assumptions!$B$3/D489</f>
        <v>49293.3819805547</v>
      </c>
      <c r="K489" s="12" t="n">
        <f aca="false">J489/Assumptions!$B$4</f>
        <v>65724.5093074063</v>
      </c>
      <c r="L489" s="12" t="n">
        <f aca="false">J489/Assumptions!$B$5</f>
        <v>75835.9722777765</v>
      </c>
      <c r="M489" s="12" t="n">
        <f aca="false">E489*24*1000000*Assumptions!$B$3/D489/Assumptions!$B$5</f>
        <v>37281.1029402491</v>
      </c>
      <c r="N489" s="12" t="n">
        <f aca="false">G489*24*1000000*Assumptions!$B$3/D489/Assumptions!$B$5</f>
        <v>137897.689072527</v>
      </c>
      <c r="O489" s="12" t="n">
        <f aca="false">IF(ROW()&lt;8,"",AVERAGE(L483:L489))</f>
        <v>76262.4382529466</v>
      </c>
      <c r="P489" s="13" t="n">
        <f aca="false">IF(I489="","",I489/L489)</f>
        <v>1.03737326280782</v>
      </c>
    </row>
    <row r="490" customFormat="false" ht="15" hidden="false" customHeight="false" outlineLevel="0" collapsed="false">
      <c r="A490" s="9" t="n">
        <v>46146</v>
      </c>
      <c r="B490" s="10" t="n">
        <v>981.197688978569</v>
      </c>
      <c r="C490" s="11" t="n">
        <v>132.472011079032</v>
      </c>
      <c r="D490" s="10" t="n">
        <v>465.625</v>
      </c>
      <c r="E490" s="11" t="n">
        <v>9.15719518673572</v>
      </c>
      <c r="F490" s="11" t="n">
        <v>18.6553290527112</v>
      </c>
      <c r="G490" s="11" t="n">
        <v>33.9546521374286</v>
      </c>
      <c r="H490" s="11" t="n">
        <f aca="false">IF(B490="","",F490*1000/B490)</f>
        <v>19.0128138929184</v>
      </c>
      <c r="I490" s="12" t="n">
        <v>78543.1</v>
      </c>
      <c r="J490" s="12" t="n">
        <f aca="false">F490*24*1000000*Assumptions!$B$3/D490</f>
        <v>48078.1634647054</v>
      </c>
      <c r="K490" s="12" t="n">
        <f aca="false">J490/Assumptions!$B$4</f>
        <v>64104.2179529405</v>
      </c>
      <c r="L490" s="12" t="n">
        <f aca="false">J490/Assumptions!$B$5</f>
        <v>73966.405330316</v>
      </c>
      <c r="M490" s="12" t="n">
        <f aca="false">E490*24*1000000*Assumptions!$B$3/D490/Assumptions!$B$5</f>
        <v>36307.3097749769</v>
      </c>
      <c r="N490" s="12" t="n">
        <f aca="false">G490*24*1000000*Assumptions!$B$3/D490/Assumptions!$B$5</f>
        <v>134626.602176278</v>
      </c>
      <c r="O490" s="12" t="n">
        <f aca="false">IF(ROW()&lt;8,"",AVERAGE(L484:L490))</f>
        <v>76373.734812912</v>
      </c>
      <c r="P490" s="13" t="n">
        <f aca="false">IF(I490="","",I490/L490)</f>
        <v>1.06187531554691</v>
      </c>
    </row>
    <row r="491" customFormat="false" ht="15" hidden="false" customHeight="false" outlineLevel="0" collapsed="false">
      <c r="A491" s="9" t="n">
        <v>46147</v>
      </c>
      <c r="B491" s="10" t="n">
        <v>987.782908367688</v>
      </c>
      <c r="C491" s="11" t="n">
        <v>132.472011079032</v>
      </c>
      <c r="D491" s="10" t="n">
        <v>493.75</v>
      </c>
      <c r="E491" s="11" t="n">
        <v>9.22690868727143</v>
      </c>
      <c r="F491" s="11" t="n">
        <v>18.834787927808</v>
      </c>
      <c r="G491" s="11" t="n">
        <v>34.3811888417143</v>
      </c>
      <c r="H491" s="11" t="n">
        <f aca="false">IF(B491="","",F491*1000/B491)</f>
        <v>19.0677402577582</v>
      </c>
      <c r="I491" s="12" t="n">
        <v>79827.87</v>
      </c>
      <c r="J491" s="12" t="n">
        <f aca="false">F491*24*1000000*Assumptions!$B$3/D491</f>
        <v>45775.6871156854</v>
      </c>
      <c r="K491" s="12" t="n">
        <f aca="false">J491/Assumptions!$B$4</f>
        <v>61034.2494875805</v>
      </c>
      <c r="L491" s="12" t="n">
        <f aca="false">J491/Assumptions!$B$5</f>
        <v>70424.1340241313</v>
      </c>
      <c r="M491" s="12" t="n">
        <f aca="false">E491*24*1000000*Assumptions!$B$3/D491/Assumptions!$B$5</f>
        <v>34499.8338452992</v>
      </c>
      <c r="N491" s="12" t="n">
        <f aca="false">G491*24*1000000*Assumptions!$B$3/D491/Assumptions!$B$5</f>
        <v>128552.838512349</v>
      </c>
      <c r="O491" s="12" t="n">
        <f aca="false">IF(ROW()&lt;8,"",AVERAGE(L485:L491))</f>
        <v>75176.581148618</v>
      </c>
      <c r="P491" s="13" t="n">
        <f aca="false">IF(I491="","",I491/L491)</f>
        <v>1.13353001930626</v>
      </c>
    </row>
    <row r="492" customFormat="false" ht="15" hidden="false" customHeight="false" outlineLevel="0" collapsed="false">
      <c r="A492" s="9" t="n">
        <v>46148</v>
      </c>
      <c r="B492" s="10" t="n">
        <v>928.515933865626</v>
      </c>
      <c r="C492" s="11" t="n">
        <v>132.472011079032</v>
      </c>
      <c r="D492" s="10" t="n">
        <v>425</v>
      </c>
      <c r="E492" s="11" t="n">
        <v>9.32625508425</v>
      </c>
      <c r="F492" s="11" t="n">
        <v>19.0722228340414</v>
      </c>
      <c r="G492" s="11" t="n">
        <v>34.9068937482857</v>
      </c>
      <c r="H492" s="11" t="n">
        <f aca="false">IF(B492="","",F492*1000/B492)</f>
        <v>20.5405444736304</v>
      </c>
      <c r="I492" s="12" t="n">
        <v>80928.41</v>
      </c>
      <c r="J492" s="12" t="n">
        <f aca="false">F492*24*1000000*Assumptions!$B$3/D492</f>
        <v>53850.9821196462</v>
      </c>
      <c r="K492" s="12" t="n">
        <f aca="false">J492/Assumptions!$B$4</f>
        <v>71801.3094928616</v>
      </c>
      <c r="L492" s="12" t="n">
        <f aca="false">J492/Assumptions!$B$5</f>
        <v>82847.6647994556</v>
      </c>
      <c r="M492" s="12" t="n">
        <f aca="false">E492*24*1000000*Assumptions!$B$3/D492/Assumptions!$B$5</f>
        <v>40512.23928</v>
      </c>
      <c r="N492" s="12" t="n">
        <f aca="false">G492*24*1000000*Assumptions!$B$3/D492/Assumptions!$B$5</f>
        <v>151631.755648662</v>
      </c>
      <c r="O492" s="12" t="n">
        <f aca="false">IF(ROW()&lt;8,"",AVERAGE(L486:L492))</f>
        <v>75579.5999800487</v>
      </c>
      <c r="P492" s="13" t="n">
        <f aca="false">IF(I492="","",I492/L492)</f>
        <v>0.976833930031686</v>
      </c>
    </row>
    <row r="493" customFormat="false" ht="15" hidden="false" customHeight="false" outlineLevel="0" collapsed="false">
      <c r="A493" s="9" t="n">
        <v>46149</v>
      </c>
      <c r="B493" s="10" t="n">
        <v>935.101153254744</v>
      </c>
      <c r="C493" s="11" t="n">
        <v>132.472011079032</v>
      </c>
      <c r="D493" s="10" t="n">
        <v>459.375</v>
      </c>
      <c r="E493" s="11" t="n">
        <v>9.31451779489286</v>
      </c>
      <c r="F493" s="11" t="n">
        <v>19.0840885824135</v>
      </c>
      <c r="G493" s="11" t="n">
        <v>35.0238930025714</v>
      </c>
      <c r="H493" s="11" t="n">
        <f aca="false">IF(B493="","",F493*1000/B493)</f>
        <v>20.4085820191631</v>
      </c>
      <c r="I493" s="12" t="n">
        <v>81436.54</v>
      </c>
      <c r="J493" s="12" t="n">
        <f aca="false">F493*24*1000000*Assumptions!$B$3/D493</f>
        <v>49852.3130316107</v>
      </c>
      <c r="K493" s="12" t="n">
        <f aca="false">J493/Assumptions!$B$4</f>
        <v>66469.7507088142</v>
      </c>
      <c r="L493" s="12" t="n">
        <f aca="false">J493/Assumptions!$B$5</f>
        <v>76695.8662024779</v>
      </c>
      <c r="M493" s="12" t="n">
        <f aca="false">E493*24*1000000*Assumptions!$B$3/D493/Assumptions!$B$5</f>
        <v>37433.5409025521</v>
      </c>
      <c r="N493" s="12" t="n">
        <f aca="false">G493*24*1000000*Assumptions!$B$3/D493/Assumptions!$B$5</f>
        <v>140755.362773285</v>
      </c>
      <c r="O493" s="12" t="n">
        <f aca="false">IF(ROW()&lt;8,"",AVERAGE(L487:L493))</f>
        <v>75505.6221443925</v>
      </c>
      <c r="P493" s="13" t="n">
        <f aca="false">IF(I493="","",I493/L493)</f>
        <v>1.06181133393822</v>
      </c>
    </row>
    <row r="494" customFormat="false" ht="15" hidden="false" customHeight="false" outlineLevel="0" collapsed="false">
      <c r="A494" s="9" t="n">
        <v>46150</v>
      </c>
      <c r="B494" s="10" t="n">
        <v>968.027250200334</v>
      </c>
      <c r="C494" s="11" t="n">
        <v>132.472011079032</v>
      </c>
      <c r="D494" s="10" t="n">
        <v>459.375</v>
      </c>
      <c r="E494" s="11" t="n">
        <v>9.18160642935</v>
      </c>
      <c r="F494" s="11" t="n">
        <v>18.8601681262411</v>
      </c>
      <c r="G494" s="11" t="n">
        <v>34.6994744734286</v>
      </c>
      <c r="H494" s="11" t="n">
        <f aca="false">IF(B494="","",F494*1000/B494)</f>
        <v>19.4830962892192</v>
      </c>
      <c r="I494" s="12" t="n">
        <v>80015.99</v>
      </c>
      <c r="J494" s="12" t="n">
        <f aca="false">F494*24*1000000*Assumptions!$B$3/D494</f>
        <v>49267.3779624258</v>
      </c>
      <c r="K494" s="12" t="n">
        <f aca="false">J494/Assumptions!$B$4</f>
        <v>65689.8372832345</v>
      </c>
      <c r="L494" s="12" t="n">
        <f aca="false">J494/Assumptions!$B$5</f>
        <v>75795.9660960398</v>
      </c>
      <c r="M494" s="12" t="n">
        <f aca="false">E494*24*1000000*Assumptions!$B$3/D494/Assumptions!$B$5</f>
        <v>36899.3916155981</v>
      </c>
      <c r="N494" s="12" t="n">
        <f aca="false">G494*24*1000000*Assumptions!$B$3/D494/Assumptions!$B$5</f>
        <v>139451.57716166</v>
      </c>
      <c r="O494" s="12" t="n">
        <f aca="false">IF(ROW()&lt;8,"",AVERAGE(L488:L494))</f>
        <v>76111.278480856</v>
      </c>
      <c r="P494" s="13" t="n">
        <f aca="false">IF(I494="","",I494/L494)</f>
        <v>1.05567610153043</v>
      </c>
    </row>
    <row r="495" customFormat="false" ht="15" hidden="false" customHeight="false" outlineLevel="0" collapsed="false">
      <c r="A495" s="9" t="n">
        <v>46151</v>
      </c>
      <c r="B495" s="10" t="n">
        <v>1126.07251553916</v>
      </c>
      <c r="C495" s="11" t="n">
        <v>132.472011079032</v>
      </c>
      <c r="D495" s="10" t="n">
        <v>534.375</v>
      </c>
      <c r="E495" s="11" t="n">
        <v>9.49583015102143</v>
      </c>
      <c r="F495" s="11" t="n">
        <v>19.5497949684569</v>
      </c>
      <c r="G495" s="11" t="n">
        <v>36.0518192682857</v>
      </c>
      <c r="H495" s="11" t="n">
        <f aca="false">IF(B495="","",F495*1000/B495)</f>
        <v>17.3610444253641</v>
      </c>
      <c r="I495" s="12" t="n">
        <v>80197.58</v>
      </c>
      <c r="J495" s="12" t="n">
        <f aca="false">F495*24*1000000*Assumptions!$B$3/D495</f>
        <v>43901.2939642542</v>
      </c>
      <c r="K495" s="12" t="n">
        <f aca="false">J495/Assumptions!$B$4</f>
        <v>58535.0586190056</v>
      </c>
      <c r="L495" s="12" t="n">
        <f aca="false">J495/Assumptions!$B$5</f>
        <v>67540.4522526987</v>
      </c>
      <c r="M495" s="12" t="n">
        <f aca="false">E495*24*1000000*Assumptions!$B$3/D495/Assumptions!$B$5</f>
        <v>32806.1068645275</v>
      </c>
      <c r="N495" s="12" t="n">
        <f aca="false">G495*24*1000000*Assumptions!$B$3/D495/Assumptions!$B$5</f>
        <v>124551.494368167</v>
      </c>
      <c r="O495" s="12" t="n">
        <f aca="false">IF(ROW()&lt;8,"",AVERAGE(L489:L495))</f>
        <v>74729.494426128</v>
      </c>
      <c r="P495" s="13" t="n">
        <f aca="false">IF(I495="","",I495/L495)</f>
        <v>1.18740069580739</v>
      </c>
    </row>
    <row r="496" customFormat="false" ht="15" hidden="false" customHeight="false" outlineLevel="0" collapsed="false">
      <c r="A496" s="9" t="n">
        <v>46152</v>
      </c>
      <c r="B496" s="10" t="n">
        <v>987.782908367688</v>
      </c>
      <c r="C496" s="11" t="n">
        <v>132.472011079032</v>
      </c>
      <c r="D496" s="10" t="n">
        <v>468.75</v>
      </c>
      <c r="E496" s="11" t="n">
        <v>9.47777724076429</v>
      </c>
      <c r="F496" s="11" t="n">
        <v>19.5221092224421</v>
      </c>
      <c r="G496" s="11" t="n">
        <v>36.0687526825714</v>
      </c>
      <c r="H496" s="11" t="n">
        <f aca="false">IF(B496="","",F496*1000/B496)</f>
        <v>19.7635624761947</v>
      </c>
      <c r="I496" s="12" t="n">
        <v>80672.03</v>
      </c>
      <c r="J496" s="12" t="n">
        <f aca="false">F496*24*1000000*Assumptions!$B$3/D496</f>
        <v>49976.5996094518</v>
      </c>
      <c r="K496" s="12" t="n">
        <f aca="false">J496/Assumptions!$B$4</f>
        <v>66635.4661459358</v>
      </c>
      <c r="L496" s="12" t="n">
        <f aca="false">J496/Assumptions!$B$5</f>
        <v>76887.0763222336</v>
      </c>
      <c r="M496" s="12" t="n">
        <f aca="false">E496*24*1000000*Assumptions!$B$3/D496/Assumptions!$B$5</f>
        <v>37327.8611328563</v>
      </c>
      <c r="N496" s="12" t="n">
        <f aca="false">G496*24*1000000*Assumptions!$B$3/D496/Assumptions!$B$5</f>
        <v>142055.395180589</v>
      </c>
      <c r="O496" s="12" t="n">
        <f aca="false">IF(ROW()&lt;8,"",AVERAGE(L490:L496))</f>
        <v>74879.6521467647</v>
      </c>
      <c r="P496" s="13" t="n">
        <f aca="false">IF(I496="","",I496/L496)</f>
        <v>1.04922743663582</v>
      </c>
    </row>
    <row r="497" customFormat="false" ht="15" hidden="false" customHeight="false" outlineLevel="0" collapsed="false">
      <c r="A497" s="9" t="n">
        <v>46153</v>
      </c>
      <c r="B497" s="10" t="n">
        <v>1086.56119920446</v>
      </c>
      <c r="C497" s="11" t="n">
        <v>132.472011079032</v>
      </c>
      <c r="D497" s="10" t="n">
        <v>515.625</v>
      </c>
      <c r="E497" s="11" t="n">
        <v>9.62220049540714</v>
      </c>
      <c r="F497" s="11" t="n">
        <v>19.8290602654124</v>
      </c>
      <c r="G497" s="11" t="n">
        <v>36.7037559282857</v>
      </c>
      <c r="H497" s="11" t="n">
        <f aca="false">IF(B497="","",F497*1000/B497)</f>
        <v>18.2493726813829</v>
      </c>
      <c r="I497" s="12" t="n">
        <v>82146.2</v>
      </c>
      <c r="J497" s="12" t="n">
        <f aca="false">F497*24*1000000*Assumptions!$B$3/D497</f>
        <v>46147.6311631417</v>
      </c>
      <c r="K497" s="12" t="n">
        <f aca="false">J497/Assumptions!$B$4</f>
        <v>61530.1748841889</v>
      </c>
      <c r="L497" s="12" t="n">
        <f aca="false">J497/Assumptions!$B$5</f>
        <v>70996.3556356026</v>
      </c>
      <c r="M497" s="12" t="n">
        <f aca="false">E497*24*1000000*Assumptions!$B$3/D497/Assumptions!$B$5</f>
        <v>34451.5150604787</v>
      </c>
      <c r="N497" s="12" t="n">
        <f aca="false">G497*24*1000000*Assumptions!$B$3/D497/Assumptions!$B$5</f>
        <v>131414.846400575</v>
      </c>
      <c r="O497" s="12" t="n">
        <f aca="false">IF(ROW()&lt;8,"",AVERAGE(L491:L497))</f>
        <v>74455.3593332342</v>
      </c>
      <c r="P497" s="13" t="n">
        <f aca="false">IF(I497="","",I497/L497)</f>
        <v>1.15704812260541</v>
      </c>
    </row>
    <row r="498" customFormat="false" ht="15" hidden="false" customHeight="false" outlineLevel="0" collapsed="false">
      <c r="A498" s="9" t="n">
        <v>46154</v>
      </c>
      <c r="B498" s="10" t="n">
        <v>882.419398141801</v>
      </c>
      <c r="C498" s="11" t="n">
        <v>132.472011079032</v>
      </c>
      <c r="D498" s="10" t="n">
        <v>396.875</v>
      </c>
      <c r="E498" s="11" t="n">
        <v>9.47777724076429</v>
      </c>
      <c r="F498" s="11" t="n">
        <v>19.5314383834524</v>
      </c>
      <c r="G498" s="11" t="n">
        <v>36.1528553425714</v>
      </c>
      <c r="H498" s="11" t="n">
        <f aca="false">IF(B498="","",F498*1000/B498)</f>
        <v>22.1339630844264</v>
      </c>
      <c r="I498" s="12" t="n">
        <v>81738.19</v>
      </c>
      <c r="J498" s="12" t="n">
        <f aca="false">F498*24*1000000*Assumptions!$B$3/D498</f>
        <v>59055.6877105961</v>
      </c>
      <c r="K498" s="12" t="n">
        <f aca="false">J498/Assumptions!$B$4</f>
        <v>78740.9169474615</v>
      </c>
      <c r="L498" s="12" t="n">
        <f aca="false">J498/Assumptions!$B$5</f>
        <v>90854.9041701479</v>
      </c>
      <c r="M498" s="12" t="n">
        <f aca="false">E498*24*1000000*Assumptions!$B$3/D498/Assumptions!$B$5</f>
        <v>44088.0249600665</v>
      </c>
      <c r="N498" s="12" t="n">
        <f aca="false">G498*24*1000000*Assumptions!$B$3/D498/Assumptions!$B$5</f>
        <v>168173.185360962</v>
      </c>
      <c r="O498" s="12" t="n">
        <f aca="false">IF(ROW()&lt;8,"",AVERAGE(L492:L498))</f>
        <v>77374.0407826652</v>
      </c>
      <c r="P498" s="13" t="n">
        <f aca="false">IF(I498="","",I498/L498)</f>
        <v>0.899656333871922</v>
      </c>
    </row>
    <row r="499" customFormat="false" ht="15" hidden="false" customHeight="false" outlineLevel="0" collapsed="false">
      <c r="A499" s="9" t="n">
        <v>46155</v>
      </c>
      <c r="B499" s="10" t="n">
        <v>915.34549508739</v>
      </c>
      <c r="C499" s="11" t="n">
        <v>132.472011079032</v>
      </c>
      <c r="D499" s="10" t="n">
        <v>456.25</v>
      </c>
      <c r="E499" s="11" t="n">
        <v>9.45972428938572</v>
      </c>
      <c r="F499" s="11" t="n">
        <v>19.4942355564041</v>
      </c>
      <c r="G499" s="11" t="n">
        <v>36.0839925994286</v>
      </c>
      <c r="H499" s="11" t="n">
        <f aca="false">IF(B499="","",F499*1000/B499)</f>
        <v>21.2971338811723</v>
      </c>
      <c r="I499" s="12" t="n">
        <v>80491.45</v>
      </c>
      <c r="J499" s="12" t="n">
        <f aca="false">F499*24*1000000*Assumptions!$B$3/D499</f>
        <v>51272.5099565697</v>
      </c>
      <c r="K499" s="12" t="n">
        <f aca="false">J499/Assumptions!$B$4</f>
        <v>68363.3466087596</v>
      </c>
      <c r="L499" s="12" t="n">
        <f aca="false">J499/Assumptions!$B$5</f>
        <v>78880.7845485688</v>
      </c>
      <c r="M499" s="12" t="n">
        <f aca="false">E499*24*1000000*Assumptions!$B$3/D499/Assumptions!$B$5</f>
        <v>38277.4934365028</v>
      </c>
      <c r="N499" s="12" t="n">
        <f aca="false">G499*24*1000000*Assumptions!$B$3/D499/Assumptions!$B$5</f>
        <v>146008.990075665</v>
      </c>
      <c r="O499" s="12" t="n">
        <f aca="false">IF(ROW()&lt;8,"",AVERAGE(L493:L499))</f>
        <v>76807.343603967</v>
      </c>
      <c r="P499" s="13" t="n">
        <f aca="false">IF(I499="","",I499/L499)</f>
        <v>1.02041898366819</v>
      </c>
    </row>
    <row r="500" customFormat="false" ht="15" hidden="false" customHeight="false" outlineLevel="0" collapsed="false">
      <c r="A500" s="9" t="n">
        <v>46156</v>
      </c>
      <c r="B500" s="10" t="n">
        <v>994.368127756805</v>
      </c>
      <c r="C500" s="11" t="n">
        <v>132.472011079032</v>
      </c>
      <c r="D500" s="10" t="n">
        <v>471.875</v>
      </c>
      <c r="E500" s="11" t="n">
        <v>9.54096227588572</v>
      </c>
      <c r="F500" s="11" t="n">
        <v>19.6616476708075</v>
      </c>
      <c r="G500" s="11" t="n">
        <v>36.3938738194286</v>
      </c>
      <c r="H500" s="11" t="n">
        <f aca="false">IF(B500="","",F500*1000/B500)</f>
        <v>19.77300671851</v>
      </c>
      <c r="I500" s="12" t="n">
        <v>79285.66</v>
      </c>
      <c r="J500" s="12" t="n">
        <f aca="false">F500*24*1000000*Assumptions!$B$3/D500</f>
        <v>50000.481493974</v>
      </c>
      <c r="K500" s="12" t="n">
        <f aca="false">J500/Assumptions!$B$4</f>
        <v>66667.308658632</v>
      </c>
      <c r="L500" s="12" t="n">
        <f aca="false">J500/Assumptions!$B$5</f>
        <v>76923.8176830369</v>
      </c>
      <c r="M500" s="12" t="n">
        <f aca="false">E500*24*1000000*Assumptions!$B$3/D500/Assumptions!$B$5</f>
        <v>37327.8605597567</v>
      </c>
      <c r="N500" s="12" t="n">
        <f aca="false">G500*24*1000000*Assumptions!$B$3/D500/Assumptions!$B$5</f>
        <v>142386.6280862</v>
      </c>
      <c r="O500" s="12" t="n">
        <f aca="false">IF(ROW()&lt;8,"",AVERAGE(L494:L500))</f>
        <v>76839.9081011898</v>
      </c>
      <c r="P500" s="13" t="n">
        <f aca="false">IF(I500="","",I500/L500)</f>
        <v>1.03070365444803</v>
      </c>
    </row>
    <row r="501" customFormat="false" ht="15" hidden="false" customHeight="false" outlineLevel="0" collapsed="false">
      <c r="A501" s="9" t="n">
        <v>46157</v>
      </c>
      <c r="B501" s="10" t="n">
        <v>963.695673686733</v>
      </c>
      <c r="C501" s="11" t="n">
        <v>133.698270184942</v>
      </c>
      <c r="D501" s="10" t="n">
        <v>453.125</v>
      </c>
      <c r="E501" s="11" t="n">
        <v>9.53643371002857</v>
      </c>
      <c r="F501" s="11" t="n">
        <v>19.6523153766675</v>
      </c>
      <c r="G501" s="11" t="n">
        <v>36.3765996651429</v>
      </c>
      <c r="H501" s="11" t="n">
        <f aca="false">IF(B501="","",F501*1000/B501)</f>
        <v>20.3926570527034</v>
      </c>
      <c r="I501" s="12" t="n">
        <v>81067.56</v>
      </c>
      <c r="J501" s="12" t="n">
        <f aca="false">F501*24*1000000*Assumptions!$B$3/D501</f>
        <v>52044.7524457953</v>
      </c>
      <c r="K501" s="12" t="n">
        <f aca="false">J501/Assumptions!$B$4</f>
        <v>69393.0032610604</v>
      </c>
      <c r="L501" s="12" t="n">
        <f aca="false">J501/Assumptions!$B$5</f>
        <v>80068.8499166081</v>
      </c>
      <c r="M501" s="12" t="n">
        <f aca="false">E501*24*1000000*Assumptions!$B$3/D501/Assumptions!$B$5</f>
        <v>38854.0110838299</v>
      </c>
      <c r="N501" s="12" t="n">
        <f aca="false">G501*24*1000000*Assumptions!$B$3/D501/Assumptions!$B$5</f>
        <v>148208.108980529</v>
      </c>
      <c r="O501" s="12" t="n">
        <f aca="false">IF(ROW()&lt;8,"",AVERAGE(L495:L501))</f>
        <v>77450.3200755567</v>
      </c>
      <c r="P501" s="13" t="n">
        <f aca="false">IF(I501="","",I501/L501)</f>
        <v>1.01247314135812</v>
      </c>
    </row>
    <row r="502" customFormat="false" ht="15" hidden="false" customHeight="false" outlineLevel="0" collapsed="false">
      <c r="A502" s="9" t="n">
        <v>46158</v>
      </c>
      <c r="B502" s="10" t="n">
        <v>1025.40692315122</v>
      </c>
      <c r="C502" s="11" t="n">
        <v>136.607070854776</v>
      </c>
      <c r="D502" s="10" t="n">
        <v>471.875</v>
      </c>
      <c r="E502" s="11" t="n">
        <v>9.39844979695714</v>
      </c>
      <c r="F502" s="11" t="n">
        <v>19.3679634418625</v>
      </c>
      <c r="G502" s="11" t="n">
        <v>35.8502618622857</v>
      </c>
      <c r="H502" s="11" t="n">
        <f aca="false">IF(B502="","",F502*1000/B502)</f>
        <v>18.8880755576937</v>
      </c>
      <c r="I502" s="12" t="n">
        <v>79063.02</v>
      </c>
      <c r="J502" s="12" t="n">
        <f aca="false">F502*24*1000000*Assumptions!$B$3/D502</f>
        <v>49253.6288852662</v>
      </c>
      <c r="K502" s="12" t="n">
        <f aca="false">J502/Assumptions!$B$4</f>
        <v>65671.5051803549</v>
      </c>
      <c r="L502" s="12" t="n">
        <f aca="false">J502/Assumptions!$B$5</f>
        <v>75774.8136696403</v>
      </c>
      <c r="M502" s="12" t="n">
        <f aca="false">E502*24*1000000*Assumptions!$B$3/D502/Assumptions!$B$5</f>
        <v>36770.2977282888</v>
      </c>
      <c r="N502" s="12" t="n">
        <f aca="false">G502*24*1000000*Assumptions!$B$3/D502/Assumptions!$B$5</f>
        <v>140259.812074556</v>
      </c>
      <c r="O502" s="12" t="n">
        <f aca="false">IF(ROW()&lt;8,"",AVERAGE(L496:L502))</f>
        <v>78626.657420834</v>
      </c>
      <c r="P502" s="13" t="n">
        <f aca="false">IF(I502="","",I502/L502)</f>
        <v>1.04339444956863</v>
      </c>
    </row>
    <row r="503" customFormat="false" ht="15" hidden="false" customHeight="false" outlineLevel="0" collapsed="false">
      <c r="A503" s="9" t="n">
        <v>46159</v>
      </c>
      <c r="B503" s="10" t="n">
        <v>950.70840557067</v>
      </c>
      <c r="C503" s="11" t="n">
        <v>136.607070854776</v>
      </c>
      <c r="D503" s="10" t="n">
        <v>437.5</v>
      </c>
      <c r="E503" s="11" t="n">
        <v>9.34763125017143</v>
      </c>
      <c r="F503" s="11" t="n">
        <v>19.2632385374817</v>
      </c>
      <c r="G503" s="11" t="n">
        <v>35.6564151908572</v>
      </c>
      <c r="H503" s="11" t="n">
        <f aca="false">IF(B503="","",F503*1000/B503)</f>
        <v>20.2619840369653</v>
      </c>
      <c r="I503" s="12" t="n">
        <v>78140.84</v>
      </c>
      <c r="J503" s="12" t="n">
        <f aca="false">F503*24*1000000*Assumptions!$B$3/D503</f>
        <v>52836.3114170925</v>
      </c>
      <c r="K503" s="12" t="n">
        <f aca="false">J503/Assumptions!$B$4</f>
        <v>70448.41522279</v>
      </c>
      <c r="L503" s="12" t="n">
        <f aca="false">J503/Assumptions!$B$5</f>
        <v>81286.6329493731</v>
      </c>
      <c r="M503" s="12" t="n">
        <f aca="false">E503*24*1000000*Assumptions!$B$3/D503/Assumptions!$B$5</f>
        <v>39444.9494512729</v>
      </c>
      <c r="N503" s="12" t="n">
        <f aca="false">G503*24*1000000*Assumptions!$B$3/D503/Assumptions!$B$5</f>
        <v>150462.23553065</v>
      </c>
      <c r="O503" s="12" t="n">
        <f aca="false">IF(ROW()&lt;8,"",AVERAGE(L497:L503))</f>
        <v>79255.1655104254</v>
      </c>
      <c r="P503" s="13" t="n">
        <f aca="false">IF(I503="","",I503/L503)</f>
        <v>0.961299996872396</v>
      </c>
    </row>
    <row r="504" customFormat="false" ht="15" hidden="false" customHeight="false" outlineLevel="0" collapsed="false">
      <c r="A504" s="9" t="n">
        <v>46160</v>
      </c>
      <c r="B504" s="10" t="n">
        <v>950.70840557067</v>
      </c>
      <c r="C504" s="11" t="n">
        <v>136.607070854776</v>
      </c>
      <c r="D504" s="10" t="n">
        <v>437.5</v>
      </c>
      <c r="E504" s="11" t="n">
        <v>9.16141587645714</v>
      </c>
      <c r="F504" s="11" t="n">
        <v>18.8794930657999</v>
      </c>
      <c r="G504" s="11" t="n">
        <v>34.9460991222857</v>
      </c>
      <c r="H504" s="11" t="n">
        <f aca="false">IF(B504="","",F504*1000/B504)</f>
        <v>19.8583424267373</v>
      </c>
      <c r="I504" s="12" t="n">
        <v>77409.45</v>
      </c>
      <c r="J504" s="12" t="n">
        <f aca="false">F504*24*1000000*Assumptions!$B$3/D504</f>
        <v>51783.752409051</v>
      </c>
      <c r="K504" s="12" t="n">
        <f aca="false">J504/Assumptions!$B$4</f>
        <v>69045.003212068</v>
      </c>
      <c r="L504" s="12" t="n">
        <f aca="false">J504/Assumptions!$B$5</f>
        <v>79667.31139854</v>
      </c>
      <c r="M504" s="12" t="n">
        <f aca="false">E504*24*1000000*Assumptions!$B$3/D504/Assumptions!$B$5</f>
        <v>38659.1615006543</v>
      </c>
      <c r="N504" s="12" t="n">
        <f aca="false">G504*24*1000000*Assumptions!$B$3/D504/Assumptions!$B$5</f>
        <v>147464.8578347</v>
      </c>
      <c r="O504" s="12" t="n">
        <f aca="false">IF(ROW()&lt;8,"",AVERAGE(L498:L504))</f>
        <v>80493.8734765593</v>
      </c>
      <c r="P504" s="13" t="n">
        <f aca="false">IF(I504="","",I504/L504)</f>
        <v>0.971658872893991</v>
      </c>
    </row>
    <row r="505" customFormat="false" ht="15" hidden="false" customHeight="false" outlineLevel="0" collapsed="false">
      <c r="A505" s="9" t="n">
        <v>46161</v>
      </c>
      <c r="B505" s="10" t="n">
        <v>964.28995422168</v>
      </c>
      <c r="C505" s="11" t="n">
        <v>136.607070854776</v>
      </c>
      <c r="D505" s="10" t="n">
        <v>443.75</v>
      </c>
      <c r="E505" s="11" t="n">
        <v>9.27363707745714</v>
      </c>
      <c r="F505" s="11" t="n">
        <v>19.1107541955953</v>
      </c>
      <c r="G505" s="11" t="n">
        <v>35.3741654022857</v>
      </c>
      <c r="H505" s="11" t="n">
        <f aca="false">IF(B505="","",F505*1000/B505)</f>
        <v>19.8184727653005</v>
      </c>
      <c r="I505" s="12" t="n">
        <v>76947.45</v>
      </c>
      <c r="J505" s="12" t="n">
        <f aca="false">F505*24*1000000*Assumptions!$B$3/D505</f>
        <v>51679.7859937224</v>
      </c>
      <c r="K505" s="12" t="n">
        <f aca="false">J505/Assumptions!$B$4</f>
        <v>68906.3813249632</v>
      </c>
      <c r="L505" s="12" t="n">
        <f aca="false">J505/Assumptions!$B$5</f>
        <v>79507.3630672653</v>
      </c>
      <c r="M505" s="12" t="n">
        <f aca="false">E505*24*1000000*Assumptions!$B$3/D505/Assumptions!$B$5</f>
        <v>38581.5453710026</v>
      </c>
      <c r="N505" s="12" t="n">
        <f aca="false">G505*24*1000000*Assumptions!$B$3/D505/Assumptions!$B$5</f>
        <v>147168.79213952</v>
      </c>
      <c r="O505" s="12" t="n">
        <f aca="false">IF(ROW()&lt;8,"",AVERAGE(L499:L505))</f>
        <v>78872.7961761475</v>
      </c>
      <c r="P505" s="13" t="n">
        <f aca="false">IF(I505="","",I505/L505)</f>
        <v>0.967802817644706</v>
      </c>
    </row>
    <row r="506" customFormat="false" ht="15" hidden="false" customHeight="false" outlineLevel="0" collapsed="false">
      <c r="A506" s="9" t="n">
        <v>46162</v>
      </c>
      <c r="B506" s="10" t="n">
        <v>1032.19769747673</v>
      </c>
      <c r="C506" s="11" t="n">
        <v>136.607070854776</v>
      </c>
      <c r="D506" s="10" t="n">
        <v>450</v>
      </c>
      <c r="E506" s="11" t="n">
        <v>9.43380805731429</v>
      </c>
      <c r="F506" s="11" t="n">
        <v>19.44082838329</v>
      </c>
      <c r="G506" s="11" t="n">
        <v>35.9851354765714</v>
      </c>
      <c r="H506" s="11" t="n">
        <f aca="false">IF(B506="","",F506*1000/B506)</f>
        <v>18.8344039429795</v>
      </c>
      <c r="I506" s="12" t="n">
        <v>76752.77</v>
      </c>
      <c r="J506" s="12" t="n">
        <f aca="false">F506*24*1000000*Assumptions!$B$3/D506</f>
        <v>51842.2090221067</v>
      </c>
      <c r="K506" s="12" t="n">
        <f aca="false">J506/Assumptions!$B$4</f>
        <v>69122.9453628089</v>
      </c>
      <c r="L506" s="12" t="n">
        <f aca="false">J506/Assumptions!$B$5</f>
        <v>79757.2446493949</v>
      </c>
      <c r="M506" s="12" t="n">
        <f aca="false">E506*24*1000000*Assumptions!$B$3/D506/Assumptions!$B$5</f>
        <v>38702.8022864176</v>
      </c>
      <c r="N506" s="12" t="n">
        <f aca="false">G506*24*1000000*Assumptions!$B$3/D506/Assumptions!$B$5</f>
        <v>147631.325032088</v>
      </c>
      <c r="O506" s="12" t="n">
        <f aca="false">IF(ROW()&lt;8,"",AVERAGE(L500:L506))</f>
        <v>78998.0047619798</v>
      </c>
      <c r="P506" s="13" t="n">
        <f aca="false">IF(I506="","",I506/L506)</f>
        <v>0.962329758724712</v>
      </c>
    </row>
    <row r="507" customFormat="false" ht="15" hidden="false" customHeight="false" outlineLevel="0" collapsed="false">
      <c r="A507" s="9" t="n">
        <v>46163</v>
      </c>
      <c r="B507" s="10" t="n">
        <v>862.428339339108</v>
      </c>
      <c r="C507" s="11" t="n">
        <v>136.607070854776</v>
      </c>
      <c r="D507" s="10" t="n">
        <v>421.875</v>
      </c>
      <c r="E507" s="11" t="n">
        <v>9.25295635713571</v>
      </c>
      <c r="F507" s="11" t="n">
        <v>19.0681361634953</v>
      </c>
      <c r="G507" s="11" t="n">
        <v>35.2952790694286</v>
      </c>
      <c r="H507" s="11" t="n">
        <f aca="false">IF(B507="","",F507*1000/B507)</f>
        <v>22.1098209482628</v>
      </c>
      <c r="I507" s="12" t="n">
        <v>77463.34</v>
      </c>
      <c r="J507" s="12" t="n">
        <f aca="false">F507*24*1000000*Assumptions!$B$3/D507</f>
        <v>54238.2539761644</v>
      </c>
      <c r="K507" s="12" t="n">
        <f aca="false">J507/Assumptions!$B$4</f>
        <v>72317.6719682192</v>
      </c>
      <c r="L507" s="12" t="n">
        <f aca="false">J507/Assumptions!$B$5</f>
        <v>83443.4676556375</v>
      </c>
      <c r="M507" s="12" t="n">
        <f aca="false">E507*24*1000000*Assumptions!$B$3/D507/Assumptions!$B$5</f>
        <v>40491.5696996024</v>
      </c>
      <c r="N507" s="12" t="n">
        <f aca="false">G507*24*1000000*Assumptions!$B$3/D507/Assumptions!$B$5</f>
        <v>154454.554560234</v>
      </c>
      <c r="O507" s="12" t="n">
        <f aca="false">IF(ROW()&lt;8,"",AVERAGE(L501:L507))</f>
        <v>79929.3833294942</v>
      </c>
      <c r="P507" s="13" t="n">
        <f aca="false">IF(I507="","",I507/L507)</f>
        <v>0.928333183847094</v>
      </c>
    </row>
    <row r="508" customFormat="false" ht="15" hidden="false" customHeight="false" outlineLevel="0" collapsed="false">
      <c r="A508" s="9" t="n">
        <v>46164</v>
      </c>
      <c r="B508" s="10" t="n">
        <v>1059.36079477875</v>
      </c>
      <c r="C508" s="11" t="n">
        <v>136.607070854776</v>
      </c>
      <c r="D508" s="10" t="n">
        <v>487.5</v>
      </c>
      <c r="E508" s="11" t="n">
        <v>9.38267706991428</v>
      </c>
      <c r="F508" s="11" t="n">
        <v>19.3354596133222</v>
      </c>
      <c r="G508" s="11" t="n">
        <v>35.7900970045714</v>
      </c>
      <c r="H508" s="11" t="n">
        <f aca="false">IF(B508="","",F508*1000/B508)</f>
        <v>18.2520060291268</v>
      </c>
      <c r="I508" s="12" t="n">
        <v>77538.22</v>
      </c>
      <c r="J508" s="12" t="n">
        <f aca="false">F508*24*1000000*Assumptions!$B$3/D508</f>
        <v>47594.9775097162</v>
      </c>
      <c r="K508" s="12" t="n">
        <f aca="false">J508/Assumptions!$B$4</f>
        <v>63459.970012955</v>
      </c>
      <c r="L508" s="12" t="n">
        <f aca="false">J508/Assumptions!$B$5</f>
        <v>73223.0423226403</v>
      </c>
      <c r="M508" s="12" t="n">
        <f aca="false">E508*24*1000000*Assumptions!$B$3/D508/Assumptions!$B$5</f>
        <v>35532.0315073677</v>
      </c>
      <c r="N508" s="12" t="n">
        <f aca="false">G508*24*1000000*Assumptions!$B$3/D508/Assumptions!$B$5</f>
        <v>135536.462029146</v>
      </c>
      <c r="O508" s="12" t="n">
        <f aca="false">IF(ROW()&lt;8,"",AVERAGE(L502:L508))</f>
        <v>78951.4108160702</v>
      </c>
      <c r="P508" s="13" t="n">
        <f aca="false">IF(I508="","",I508/L508)</f>
        <v>1.05893196377099</v>
      </c>
    </row>
    <row r="509" customFormat="false" ht="15" hidden="false" customHeight="false" outlineLevel="0" collapsed="false">
      <c r="A509" s="9" t="n">
        <v>46165</v>
      </c>
      <c r="B509" s="10" t="n">
        <v>1113.68698938279</v>
      </c>
      <c r="C509" s="11" t="n">
        <v>136.607070854776</v>
      </c>
      <c r="D509" s="10" t="n">
        <v>481.25</v>
      </c>
      <c r="E509" s="11" t="n">
        <v>9.50368386412857</v>
      </c>
      <c r="F509" s="11" t="n">
        <v>19.5848257553128</v>
      </c>
      <c r="G509" s="11" t="n">
        <v>36.2516758131429</v>
      </c>
      <c r="H509" s="11" t="n">
        <f aca="false">IF(B509="","",F509*1000/B509)</f>
        <v>17.5855747099702</v>
      </c>
      <c r="I509" s="12" t="n">
        <v>75460.93</v>
      </c>
      <c r="J509" s="12" t="n">
        <f aca="false">F509*24*1000000*Assumptions!$B$3/D509</f>
        <v>48834.8901950656</v>
      </c>
      <c r="K509" s="12" t="n">
        <f aca="false">J509/Assumptions!$B$4</f>
        <v>65113.1869267542</v>
      </c>
      <c r="L509" s="12" t="n">
        <f aca="false">J509/Assumptions!$B$5</f>
        <v>75130.6003001009</v>
      </c>
      <c r="M509" s="12" t="n">
        <f aca="false">E509*24*1000000*Assumptions!$B$3/D509/Assumptions!$B$5</f>
        <v>36457.6883499038</v>
      </c>
      <c r="N509" s="12" t="n">
        <f aca="false">G509*24*1000000*Assumptions!$B$3/D509/Assumptions!$B$5</f>
        <v>139067.367754714</v>
      </c>
      <c r="O509" s="12" t="n">
        <f aca="false">IF(ROW()&lt;8,"",AVERAGE(L503:L509))</f>
        <v>78859.3803347074</v>
      </c>
      <c r="P509" s="13" t="n">
        <f aca="false">IF(I509="","",I509/L509)</f>
        <v>1.0043967397915</v>
      </c>
    </row>
    <row r="510" customFormat="false" ht="15" hidden="false" customHeight="false" outlineLevel="0" collapsed="false">
      <c r="A510" s="9" t="n">
        <v>46166</v>
      </c>
      <c r="B510" s="10" t="n">
        <v>889.591436641127</v>
      </c>
      <c r="C510" s="11" t="n">
        <v>136.607070854776</v>
      </c>
      <c r="D510" s="10" t="n">
        <v>440.625</v>
      </c>
      <c r="E510" s="11" t="n">
        <v>9.41990991912857</v>
      </c>
      <c r="F510" s="11" t="n">
        <v>19.403729460744</v>
      </c>
      <c r="G510" s="11" t="n">
        <v>35.8558705217143</v>
      </c>
      <c r="H510" s="11" t="n">
        <f aca="false">IF(B510="","",F510*1000/B510)</f>
        <v>21.8119562099289</v>
      </c>
      <c r="I510" s="12" t="n">
        <v>76673.89</v>
      </c>
      <c r="J510" s="12" t="n">
        <f aca="false">F510*24*1000000*Assumptions!$B$3/D510</f>
        <v>52844.1993824517</v>
      </c>
      <c r="K510" s="12" t="n">
        <f aca="false">J510/Assumptions!$B$4</f>
        <v>70458.9325099356</v>
      </c>
      <c r="L510" s="12" t="n">
        <f aca="false">J510/Assumptions!$B$5</f>
        <v>81298.7682806949</v>
      </c>
      <c r="M510" s="12" t="n">
        <f aca="false">E510*24*1000000*Assumptions!$B$3/D510/Assumptions!$B$5</f>
        <v>39468.0350130428</v>
      </c>
      <c r="N510" s="12" t="n">
        <f aca="false">G510*24*1000000*Assumptions!$B$3/D510/Assumptions!$B$5</f>
        <v>150230.81593386</v>
      </c>
      <c r="O510" s="12" t="n">
        <f aca="false">IF(ROW()&lt;8,"",AVERAGE(L504:L510))</f>
        <v>78861.1139534677</v>
      </c>
      <c r="P510" s="13" t="n">
        <f aca="false">IF(I510="","",I510/L510)</f>
        <v>0.94311256642011</v>
      </c>
    </row>
    <row r="511" customFormat="false" ht="15" hidden="false" customHeight="false" outlineLevel="0" collapsed="false">
      <c r="A511" s="9" t="n">
        <v>46167</v>
      </c>
      <c r="B511" s="10" t="n">
        <v>1120.47776370829</v>
      </c>
      <c r="C511" s="11" t="n">
        <v>136.607070854776</v>
      </c>
      <c r="D511" s="10" t="n">
        <v>493.75</v>
      </c>
      <c r="E511" s="11" t="n">
        <v>9.65261526098571</v>
      </c>
      <c r="F511" s="11" t="n">
        <v>19.872626241887</v>
      </c>
      <c r="G511" s="11" t="n">
        <v>36.6474810017143</v>
      </c>
      <c r="H511" s="11" t="n">
        <f aca="false">IF(B511="","",F511*1000/B511)</f>
        <v>17.7358506215396</v>
      </c>
      <c r="I511" s="12" t="n">
        <v>76985.38</v>
      </c>
      <c r="J511" s="12" t="n">
        <f aca="false">F511*24*1000000*Assumptions!$B$3/D511</f>
        <v>48298.0283347127</v>
      </c>
      <c r="K511" s="12" t="n">
        <f aca="false">J511/Assumptions!$B$4</f>
        <v>64397.3711129503</v>
      </c>
      <c r="L511" s="12" t="n">
        <f aca="false">J511/Assumptions!$B$5</f>
        <v>74304.6589764811</v>
      </c>
      <c r="M511" s="12" t="n">
        <f aca="false">E511*24*1000000*Assumptions!$B$3/D511/Assumptions!$B$5</f>
        <v>36091.5702066068</v>
      </c>
      <c r="N511" s="12" t="n">
        <f aca="false">G511*24*1000000*Assumptions!$B$3/D511/Assumptions!$B$5</f>
        <v>137026.608614005</v>
      </c>
      <c r="O511" s="12" t="n">
        <f aca="false">IF(ROW()&lt;8,"",AVERAGE(L505:L511))</f>
        <v>78095.0207503164</v>
      </c>
      <c r="P511" s="13" t="n">
        <f aca="false">IF(I511="","",I511/L511)</f>
        <v>1.03607742852797</v>
      </c>
    </row>
    <row r="512" customFormat="false" ht="15" hidden="false" customHeight="false" outlineLevel="0" collapsed="false">
      <c r="A512" s="9" t="n">
        <v>46168</v>
      </c>
      <c r="B512" s="10" t="n">
        <v>943.917631245165</v>
      </c>
      <c r="C512" s="11" t="n">
        <v>136.607070854776</v>
      </c>
      <c r="D512" s="10" t="n">
        <v>443.75</v>
      </c>
      <c r="E512" s="11" t="n">
        <v>9.62469056239286</v>
      </c>
      <c r="F512" s="11" t="n">
        <v>19.8061053936645</v>
      </c>
      <c r="G512" s="11" t="n">
        <v>36.4600553845714</v>
      </c>
      <c r="H512" s="11" t="n">
        <f aca="false">IF(B512="","",F512*1000/B512)</f>
        <v>20.982874710728</v>
      </c>
      <c r="I512" s="12" t="n">
        <v>77284.84</v>
      </c>
      <c r="J512" s="12" t="n">
        <f aca="false">F512*24*1000000*Assumptions!$B$3/D512</f>
        <v>53560.1723321631</v>
      </c>
      <c r="K512" s="12" t="n">
        <f aca="false">J512/Assumptions!$B$4</f>
        <v>71413.5631095508</v>
      </c>
      <c r="L512" s="12" t="n">
        <f aca="false">J512/Assumptions!$B$5</f>
        <v>82400.2651264048</v>
      </c>
      <c r="M512" s="12" t="n">
        <f aca="false">E512*24*1000000*Assumptions!$B$3/D512/Assumptions!$B$5</f>
        <v>40042.049577019</v>
      </c>
      <c r="N512" s="12" t="n">
        <f aca="false">G512*24*1000000*Assumptions!$B$3/D512/Assumptions!$B$5</f>
        <v>151686.470939062</v>
      </c>
      <c r="O512" s="12" t="n">
        <f aca="false">IF(ROW()&lt;8,"",AVERAGE(L506:L512))</f>
        <v>78508.2924730506</v>
      </c>
      <c r="P512" s="13" t="n">
        <f aca="false">IF(I512="","",I512/L512)</f>
        <v>0.937919797726894</v>
      </c>
    </row>
    <row r="513" customFormat="false" ht="15" hidden="false" customHeight="false" outlineLevel="0" collapsed="false">
      <c r="A513" s="9" t="n">
        <v>46169</v>
      </c>
      <c r="B513" s="10" t="n">
        <v>950.70840557067</v>
      </c>
      <c r="C513" s="11" t="n">
        <v>136.607070854776</v>
      </c>
      <c r="D513" s="10" t="n">
        <v>450</v>
      </c>
      <c r="E513" s="11" t="n">
        <v>9.51299201475</v>
      </c>
      <c r="F513" s="11" t="n">
        <v>19.5313062970962</v>
      </c>
      <c r="G513" s="11" t="n">
        <v>35.871004176</v>
      </c>
      <c r="H513" s="11" t="n">
        <f aca="false">IF(B513="","",F513*1000/B513)</f>
        <v>20.54395036654</v>
      </c>
      <c r="I513" s="12" t="n">
        <v>75823.27</v>
      </c>
      <c r="J513" s="12" t="n">
        <f aca="false">F513*24*1000000*Assumptions!$B$3/D513</f>
        <v>52083.4834589232</v>
      </c>
      <c r="K513" s="12" t="n">
        <f aca="false">J513/Assumptions!$B$4</f>
        <v>69444.6446118977</v>
      </c>
      <c r="L513" s="12" t="n">
        <f aca="false">J513/Assumptions!$B$5</f>
        <v>80128.4360906511</v>
      </c>
      <c r="M513" s="12" t="n">
        <f aca="false">E513*24*1000000*Assumptions!$B$3/D513/Assumptions!$B$5</f>
        <v>39027.6595476923</v>
      </c>
      <c r="N513" s="12" t="n">
        <f aca="false">G513*24*1000000*Assumptions!$B$3/D513/Assumptions!$B$5</f>
        <v>147163.094055385</v>
      </c>
      <c r="O513" s="12" t="n">
        <f aca="false">IF(ROW()&lt;8,"",AVERAGE(L507:L513))</f>
        <v>78561.3198218015</v>
      </c>
      <c r="P513" s="13" t="n">
        <f aca="false">IF(I513="","",I513/L513)</f>
        <v>0.946271682055786</v>
      </c>
    </row>
    <row r="514" customFormat="false" ht="15" hidden="false" customHeight="false" outlineLevel="0" collapsed="false">
      <c r="A514" s="9" t="n">
        <v>46170</v>
      </c>
      <c r="B514" s="10" t="n">
        <v>1100.10544073178</v>
      </c>
      <c r="C514" s="11" t="n">
        <v>136.607070854776</v>
      </c>
      <c r="D514" s="10" t="n">
        <v>478.125</v>
      </c>
      <c r="E514" s="11" t="n">
        <v>9.83877947964286</v>
      </c>
      <c r="F514" s="11" t="n">
        <v>20.1510505927082</v>
      </c>
      <c r="G514" s="11" t="n">
        <v>36.9251266174286</v>
      </c>
      <c r="H514" s="11" t="n">
        <f aca="false">IF(B514="","",F514*1000/B514)</f>
        <v>18.3173810860385</v>
      </c>
      <c r="I514" s="12" t="n">
        <v>74348.35</v>
      </c>
      <c r="J514" s="12" t="n">
        <f aca="false">F514*24*1000000*Assumptions!$B$3/D514</f>
        <v>50575.1858013069</v>
      </c>
      <c r="K514" s="12" t="n">
        <f aca="false">J514/Assumptions!$B$4</f>
        <v>67433.5810684092</v>
      </c>
      <c r="L514" s="12" t="n">
        <f aca="false">J514/Assumptions!$B$5</f>
        <v>77807.9781558568</v>
      </c>
      <c r="M514" s="12" t="n">
        <f aca="false">E514*24*1000000*Assumptions!$B$3/D514/Assumptions!$B$5</f>
        <v>37989.8574176255</v>
      </c>
      <c r="N514" s="12" t="n">
        <f aca="false">G514*24*1000000*Assumptions!$B$3/D514/Assumptions!$B$5</f>
        <v>142576.657828985</v>
      </c>
      <c r="O514" s="12" t="n">
        <f aca="false">IF(ROW()&lt;8,"",AVERAGE(L508:L514))</f>
        <v>77756.2498932614</v>
      </c>
      <c r="P514" s="13" t="n">
        <f aca="false">IF(I514="","",I514/L514)</f>
        <v>0.95553633139102</v>
      </c>
    </row>
    <row r="515" customFormat="false" ht="15" hidden="false" customHeight="false" outlineLevel="0" collapsed="false">
      <c r="A515" s="9" t="n">
        <v>46171</v>
      </c>
      <c r="B515" s="10" t="n">
        <v>959.580184862885</v>
      </c>
      <c r="C515" s="11" t="n">
        <v>137.881854768832</v>
      </c>
      <c r="D515" s="10" t="n">
        <v>465.625</v>
      </c>
      <c r="E515" s="11" t="n">
        <v>9.70280883059286</v>
      </c>
      <c r="F515" s="11" t="n">
        <v>19.7899354616776</v>
      </c>
      <c r="G515" s="11" t="n">
        <v>36.1595691102857</v>
      </c>
      <c r="H515" s="11" t="n">
        <f aca="false">IF(B515="","",F515*1000/B515)</f>
        <v>20.6235349310651</v>
      </c>
      <c r="I515" s="12" t="n">
        <v>73539.08</v>
      </c>
      <c r="J515" s="12" t="n">
        <f aca="false">F515*24*1000000*Assumptions!$B$3/D515</f>
        <v>51002.2497804309</v>
      </c>
      <c r="K515" s="12" t="n">
        <f aca="false">J515/Assumptions!$B$4</f>
        <v>68002.9997072412</v>
      </c>
      <c r="L515" s="12" t="n">
        <f aca="false">J515/Assumptions!$B$5</f>
        <v>78464.9996622013</v>
      </c>
      <c r="M515" s="12" t="n">
        <f aca="false">E515*24*1000000*Assumptions!$B$3/D515/Assumptions!$B$5</f>
        <v>38470.6101285251</v>
      </c>
      <c r="N515" s="12" t="n">
        <f aca="false">G515*24*1000000*Assumptions!$B$3/D515/Assumptions!$B$5</f>
        <v>143368.864618996</v>
      </c>
      <c r="O515" s="12" t="n">
        <f aca="false">IF(ROW()&lt;8,"",AVERAGE(L509:L515))</f>
        <v>78505.1009417701</v>
      </c>
      <c r="P515" s="13" t="n">
        <f aca="false">IF(I515="","",I515/L515)</f>
        <v>0.937221440344003</v>
      </c>
    </row>
    <row r="516" customFormat="false" ht="15" hidden="false" customHeight="false" outlineLevel="0" collapsed="false">
      <c r="A516" s="9" t="n">
        <v>46172</v>
      </c>
      <c r="B516" s="10" t="n">
        <v>980.866173425555</v>
      </c>
      <c r="C516" s="11" t="n">
        <v>138.955357012248</v>
      </c>
      <c r="D516" s="10" t="n">
        <v>443.75</v>
      </c>
      <c r="E516" s="11" t="n">
        <v>9.52074946259286</v>
      </c>
      <c r="F516" s="11" t="n">
        <v>19.3320979060253</v>
      </c>
      <c r="G516" s="11" t="n">
        <v>35.2128833331429</v>
      </c>
      <c r="H516" s="11" t="n">
        <f aca="false">IF(B516="","",F516*1000/B516)</f>
        <v>19.7092105220739</v>
      </c>
      <c r="I516" s="12" t="n">
        <v>73372.1</v>
      </c>
      <c r="J516" s="12" t="n">
        <f aca="false">F516*24*1000000*Assumptions!$B$3/D516</f>
        <v>52278.3492669981</v>
      </c>
      <c r="K516" s="12" t="n">
        <f aca="false">J516/Assumptions!$B$4</f>
        <v>69704.4656893308</v>
      </c>
      <c r="L516" s="12" t="n">
        <f aca="false">J516/Assumptions!$B$5</f>
        <v>80428.2296415356</v>
      </c>
      <c r="M516" s="12" t="n">
        <f aca="false">E516*24*1000000*Assumptions!$B$3/D516/Assumptions!$B$5</f>
        <v>39609.6185659334</v>
      </c>
      <c r="N516" s="12" t="n">
        <f aca="false">G516*24*1000000*Assumptions!$B$3/D516/Assumptions!$B$5</f>
        <v>146497.802816109</v>
      </c>
      <c r="O516" s="12" t="n">
        <f aca="false">IF(ROW()&lt;8,"",AVERAGE(L510:L516))</f>
        <v>79261.9051334037</v>
      </c>
      <c r="P516" s="13" t="n">
        <f aca="false">IF(I516="","",I516/L516)</f>
        <v>0.912267997530415</v>
      </c>
    </row>
    <row r="517" customFormat="false" ht="15" hidden="false" customHeight="false" outlineLevel="0" collapsed="false">
      <c r="A517" s="9" t="n">
        <v>46173</v>
      </c>
      <c r="B517" s="10" t="n">
        <v>994.681189952675</v>
      </c>
      <c r="C517" s="11" t="n">
        <v>138.955357012248</v>
      </c>
      <c r="D517" s="10" t="n">
        <v>450</v>
      </c>
      <c r="E517" s="11" t="n">
        <v>9.66479755273572</v>
      </c>
      <c r="F517" s="11" t="n">
        <v>19.5535840411257</v>
      </c>
      <c r="G517" s="11" t="n">
        <v>35.5828283845714</v>
      </c>
      <c r="H517" s="11" t="n">
        <f aca="false">IF(B517="","",F517*1000/B517)</f>
        <v>19.6581419641162</v>
      </c>
      <c r="I517" s="12" t="n">
        <v>73754.51</v>
      </c>
      <c r="J517" s="12" t="n">
        <f aca="false">F517*24*1000000*Assumptions!$B$3/D517</f>
        <v>52142.8907763351</v>
      </c>
      <c r="K517" s="12" t="n">
        <f aca="false">J517/Assumptions!$B$4</f>
        <v>69523.8543684468</v>
      </c>
      <c r="L517" s="12" t="n">
        <f aca="false">J517/Assumptions!$B$5</f>
        <v>80219.8319635925</v>
      </c>
      <c r="M517" s="12" t="n">
        <f aca="false">E517*24*1000000*Assumptions!$B$3/D517/Assumptions!$B$5</f>
        <v>39650.4514984029</v>
      </c>
      <c r="N517" s="12" t="n">
        <f aca="false">G517*24*1000000*Assumptions!$B$3/D517/Assumptions!$B$5</f>
        <v>145980.834398242</v>
      </c>
      <c r="O517" s="12" t="n">
        <f aca="false">IF(ROW()&lt;8,"",AVERAGE(L511:L517))</f>
        <v>79107.7713738176</v>
      </c>
      <c r="P517" s="13" t="n">
        <f aca="false">IF(I517="","",I517/L517)</f>
        <v>0.919404942576709</v>
      </c>
    </row>
    <row r="518" customFormat="false" ht="15" hidden="false" customHeight="false" outlineLevel="0" collapsed="false">
      <c r="A518" s="9" t="n">
        <v>46174</v>
      </c>
      <c r="B518" s="10" t="n">
        <v>932.513615580633</v>
      </c>
      <c r="C518" s="11" t="n">
        <v>138.955357012248</v>
      </c>
      <c r="D518" s="10" t="n">
        <v>421.875</v>
      </c>
      <c r="E518" s="11" t="n">
        <v>9.40715233859286</v>
      </c>
      <c r="F518" s="11" t="n">
        <v>18.9103958899202</v>
      </c>
      <c r="G518" s="11" t="n">
        <v>34.3936706129439</v>
      </c>
      <c r="H518" s="11" t="n">
        <f aca="false">IF(B518="","",F518*1000/B518)</f>
        <v>20.2789488260132</v>
      </c>
      <c r="I518" s="12" t="n">
        <v>73570.59</v>
      </c>
      <c r="J518" s="12" t="n">
        <f aca="false">F518*24*1000000*Assumptions!$B$3/D518</f>
        <v>53789.5705313285</v>
      </c>
      <c r="K518" s="12" t="n">
        <f aca="false">J518/Assumptions!$B$4</f>
        <v>71719.4273751047</v>
      </c>
      <c r="L518" s="12" t="n">
        <f aca="false">J518/Assumptions!$B$5</f>
        <v>82753.1854328131</v>
      </c>
      <c r="M518" s="12" t="n">
        <f aca="false">E518*24*1000000*Assumptions!$B$3/D518/Assumptions!$B$5</f>
        <v>41166.3418577739</v>
      </c>
      <c r="N518" s="12" t="n">
        <f aca="false">G518*24*1000000*Assumptions!$B$3/D518/Assumptions!$B$5</f>
        <v>150509.054306216</v>
      </c>
      <c r="O518" s="12" t="n">
        <f aca="false">IF(ROW()&lt;8,"",AVERAGE(L512:L518))</f>
        <v>80314.7037247222</v>
      </c>
      <c r="P518" s="13" t="n">
        <f aca="false">IF(I518="","",I518/L518)</f>
        <v>0.889036350869316</v>
      </c>
    </row>
    <row r="519" customFormat="false" ht="15" hidden="false" customHeight="false" outlineLevel="0" collapsed="false">
      <c r="A519" s="9" t="n">
        <v>46175</v>
      </c>
      <c r="B519" s="10" t="n">
        <v>759.825908991627</v>
      </c>
      <c r="C519" s="11" t="n">
        <v>138.955357012247</v>
      </c>
      <c r="D519" s="10" t="n">
        <v>343.75</v>
      </c>
      <c r="E519" s="11" t="n">
        <v>9.1548151744</v>
      </c>
      <c r="F519" s="11" t="n">
        <v>18.2992262043388</v>
      </c>
      <c r="G519" s="11" t="n">
        <v>33.2656292787765</v>
      </c>
      <c r="H519" s="11" t="n">
        <f aca="false">IF(B519="","",F519*1000/B519)</f>
        <v>24.0834459417472</v>
      </c>
      <c r="I519" s="12" t="n">
        <v>71325.64</v>
      </c>
      <c r="J519" s="12" t="n">
        <f aca="false">F519*24*1000000*Assumptions!$B$3/D519</f>
        <v>63880.9351133281</v>
      </c>
      <c r="K519" s="12" t="n">
        <f aca="false">J519/Assumptions!$B$4</f>
        <v>85174.5801511042</v>
      </c>
      <c r="L519" s="12" t="n">
        <f aca="false">J519/Assumptions!$B$5</f>
        <v>98278.3617128125</v>
      </c>
      <c r="M519" s="12" t="n">
        <f aca="false">E519*24*1000000*Assumptions!$B$3/D519/Assumptions!$B$5</f>
        <v>49167.1192583161</v>
      </c>
      <c r="N519" s="12" t="n">
        <f aca="false">G519*24*1000000*Assumptions!$B$3/D519/Assumptions!$B$5</f>
        <v>178657.365637065</v>
      </c>
      <c r="O519" s="12" t="n">
        <f aca="false">IF(ROW()&lt;8,"",AVERAGE(L513:L519))</f>
        <v>82583.0032370661</v>
      </c>
      <c r="P519" s="13" t="n">
        <f aca="false">IF(I519="","",I519/L519)</f>
        <v>0.725751210713368</v>
      </c>
    </row>
    <row r="520" customFormat="false" ht="15" hidden="false" customHeight="false" outlineLevel="0" collapsed="false">
      <c r="A520" s="9" t="n">
        <v>46176</v>
      </c>
      <c r="B520" s="10" t="n">
        <v>746.010892464507</v>
      </c>
      <c r="C520" s="11" t="n">
        <v>138.955357012247</v>
      </c>
      <c r="D520" s="10" t="n">
        <v>337.5</v>
      </c>
      <c r="E520" s="11" t="n">
        <v>8.8742333869</v>
      </c>
      <c r="F520" s="11" t="n">
        <v>17.6532304031247</v>
      </c>
      <c r="G520" s="11" t="n">
        <v>31.9746696130622</v>
      </c>
      <c r="H520" s="11" t="n">
        <f aca="false">IF(B520="","",F520*1000/B520)</f>
        <v>23.6635022108134</v>
      </c>
      <c r="I520" s="12" t="n">
        <v>66676.55</v>
      </c>
      <c r="J520" s="12" t="n">
        <f aca="false">F520*24*1000000*Assumptions!$B$3/D520</f>
        <v>62767.0414333324</v>
      </c>
      <c r="K520" s="12" t="n">
        <f aca="false">J520/Assumptions!$B$4</f>
        <v>83689.3885777765</v>
      </c>
      <c r="L520" s="12" t="n">
        <f aca="false">J520/Assumptions!$B$5</f>
        <v>96564.6791282036</v>
      </c>
      <c r="M520" s="12" t="n">
        <f aca="false">E520*24*1000000*Assumptions!$B$3/D520/Assumptions!$B$5</f>
        <v>48542.8151078291</v>
      </c>
      <c r="N520" s="12" t="n">
        <f aca="false">G520*24*1000000*Assumptions!$B$3/D520/Assumptions!$B$5</f>
        <v>174904.175661195</v>
      </c>
      <c r="O520" s="12" t="n">
        <f aca="false">IF(ROW()&lt;8,"",AVERAGE(L514:L520))</f>
        <v>84931.0379567165</v>
      </c>
      <c r="P520" s="13" t="n">
        <f aca="false">IF(I520="","",I520/L520)</f>
        <v>0.690485906461484</v>
      </c>
    </row>
    <row r="521" customFormat="false" ht="15" hidden="false" customHeight="false" outlineLevel="0" collapsed="false">
      <c r="A521" s="9" t="n">
        <v>46177</v>
      </c>
      <c r="B521" s="10" t="n">
        <v>980.866173425555</v>
      </c>
      <c r="C521" s="11" t="n">
        <v>138.955357012248</v>
      </c>
      <c r="D521" s="10" t="n">
        <v>443.75</v>
      </c>
      <c r="E521" s="11" t="n">
        <v>8.71079037497143</v>
      </c>
      <c r="F521" s="11" t="n">
        <v>17.22025584172</v>
      </c>
      <c r="G521" s="11" t="n">
        <v>31.0353624559193</v>
      </c>
      <c r="H521" s="11" t="n">
        <f aca="false">IF(B521="","",F521*1000/B521)</f>
        <v>17.5561726036288</v>
      </c>
      <c r="I521" s="12" t="n">
        <v>64012.8</v>
      </c>
      <c r="J521" s="12" t="n">
        <f aca="false">F521*24*1000000*Assumptions!$B$3/D521</f>
        <v>46567.4524170455</v>
      </c>
      <c r="K521" s="12" t="n">
        <f aca="false">J521/Assumptions!$B$4</f>
        <v>62089.9365560607</v>
      </c>
      <c r="L521" s="12" t="n">
        <f aca="false">J521/Assumptions!$B$5</f>
        <v>71642.2344877623</v>
      </c>
      <c r="M521" s="12" t="n">
        <f aca="false">E521*24*1000000*Assumptions!$B$3/D521/Assumptions!$B$5</f>
        <v>36239.9079522105</v>
      </c>
      <c r="N521" s="12" t="n">
        <f aca="false">G521*24*1000000*Assumptions!$B$3/D521/Assumptions!$B$5</f>
        <v>129117.867638928</v>
      </c>
      <c r="O521" s="12" t="n">
        <f aca="false">IF(ROW()&lt;8,"",AVERAGE(L515:L521))</f>
        <v>84050.217432703</v>
      </c>
      <c r="P521" s="13" t="n">
        <f aca="false">IF(I521="","",I521/L521)</f>
        <v>0.893506469440654</v>
      </c>
    </row>
    <row r="522" customFormat="false" ht="15" hidden="false" customHeight="false" outlineLevel="0" collapsed="false">
      <c r="A522" s="9" t="n">
        <v>46178</v>
      </c>
      <c r="B522" s="10" t="n">
        <v>932.513615580633</v>
      </c>
      <c r="C522" s="11" t="n">
        <v>138.955357012248</v>
      </c>
      <c r="D522" s="10" t="n">
        <v>421.875</v>
      </c>
      <c r="E522" s="11" t="n">
        <v>8.672889796</v>
      </c>
      <c r="F522" s="11" t="n">
        <v>17.0497055077067</v>
      </c>
      <c r="G522" s="11" t="n">
        <v>30.4469768513877</v>
      </c>
      <c r="H522" s="11" t="n">
        <f aca="false">IF(B522="","",F522*1000/B522)</f>
        <v>18.2835995344589</v>
      </c>
      <c r="I522" s="12" t="n">
        <v>63812.6</v>
      </c>
      <c r="J522" s="12" t="n">
        <f aca="false">F522*24*1000000*Assumptions!$B$3/D522</f>
        <v>48496.9401108101</v>
      </c>
      <c r="K522" s="12" t="n">
        <f aca="false">J522/Assumptions!$B$4</f>
        <v>64662.5868144135</v>
      </c>
      <c r="L522" s="12" t="n">
        <f aca="false">J522/Assumptions!$B$5</f>
        <v>74610.677093554</v>
      </c>
      <c r="M522" s="12" t="n">
        <f aca="false">E522*24*1000000*Assumptions!$B$3/D522/Assumptions!$B$5</f>
        <v>37953.1587654017</v>
      </c>
      <c r="N522" s="12" t="n">
        <f aca="false">G522*24*1000000*Assumptions!$B$3/D522/Assumptions!$B$5</f>
        <v>133238.052546243</v>
      </c>
      <c r="O522" s="12" t="n">
        <f aca="false">IF(ROW()&lt;8,"",AVERAGE(L516:L522))</f>
        <v>83499.5999228962</v>
      </c>
      <c r="P522" s="13" t="n">
        <f aca="false">IF(I522="","",I522/L522)</f>
        <v>0.855274372057845</v>
      </c>
    </row>
    <row r="523" customFormat="false" ht="15" hidden="false" customHeight="false" outlineLevel="0" collapsed="false">
      <c r="A523" s="9" t="n">
        <v>46179</v>
      </c>
      <c r="B523" s="10" t="n">
        <v>842.71600815435</v>
      </c>
      <c r="C523" s="11" t="n">
        <v>138.955357012248</v>
      </c>
      <c r="D523" s="10" t="n">
        <v>381.25</v>
      </c>
      <c r="E523" s="11" t="n">
        <v>8.48352538440714</v>
      </c>
      <c r="F523" s="11" t="n">
        <v>16.5854626658255</v>
      </c>
      <c r="G523" s="11" t="n">
        <v>29.3526710710672</v>
      </c>
      <c r="H523" s="11" t="n">
        <f aca="false">IF(B523="","",F523*1000/B523)</f>
        <v>19.6809631065982</v>
      </c>
      <c r="I523" s="12" t="n">
        <v>61039.24</v>
      </c>
      <c r="J523" s="12" t="n">
        <f aca="false">F523*24*1000000*Assumptions!$B$3/D523</f>
        <v>52203.4234727621</v>
      </c>
      <c r="K523" s="12" t="n">
        <f aca="false">J523/Assumptions!$B$4</f>
        <v>69604.5646303495</v>
      </c>
      <c r="L523" s="12" t="n">
        <f aca="false">J523/Assumptions!$B$5</f>
        <v>80312.9591888648</v>
      </c>
      <c r="M523" s="12" t="n">
        <f aca="false">E523*24*1000000*Assumptions!$B$3/D523/Assumptions!$B$5</f>
        <v>41080.3751275201</v>
      </c>
      <c r="N523" s="12" t="n">
        <f aca="false">G523*24*1000000*Assumptions!$B$3/D523/Assumptions!$B$5</f>
        <v>142136.515653087</v>
      </c>
      <c r="O523" s="12" t="n">
        <f aca="false">IF(ROW()&lt;8,"",AVERAGE(L517:L523))</f>
        <v>83483.1327153718</v>
      </c>
      <c r="P523" s="13" t="n">
        <f aca="false">IF(I523="","",I523/L523)</f>
        <v>0.760017319950315</v>
      </c>
    </row>
    <row r="524" customFormat="false" ht="15" hidden="false" customHeight="false" outlineLevel="0" collapsed="false">
      <c r="A524" s="9" t="n">
        <v>46180</v>
      </c>
      <c r="B524" s="10" t="n">
        <v>808.178466836549</v>
      </c>
      <c r="C524" s="11" t="n">
        <v>138.955357012247</v>
      </c>
      <c r="D524" s="10" t="n">
        <v>365.625</v>
      </c>
      <c r="E524" s="11" t="n">
        <v>8.22788346919286</v>
      </c>
      <c r="F524" s="11" t="n">
        <v>15.9922225499343</v>
      </c>
      <c r="G524" s="11" t="n">
        <v>28.0346850405356</v>
      </c>
      <c r="H524" s="11" t="n">
        <f aca="false">IF(B524="","",F524*1000/B524)</f>
        <v>19.7879839740505</v>
      </c>
      <c r="I524" s="12" t="n">
        <v>60861.29</v>
      </c>
      <c r="J524" s="12" t="n">
        <f aca="false">F524*24*1000000*Assumptions!$B$3/D524</f>
        <v>52487.2945228614</v>
      </c>
      <c r="K524" s="12" t="n">
        <f aca="false">J524/Assumptions!$B$4</f>
        <v>69983.0593638152</v>
      </c>
      <c r="L524" s="12" t="n">
        <f aca="false">J524/Assumptions!$B$5</f>
        <v>80749.6838813253</v>
      </c>
      <c r="M524" s="12" t="n">
        <f aca="false">E524*24*1000000*Assumptions!$B$3/D524/Assumptions!$B$5</f>
        <v>41545.1315209738</v>
      </c>
      <c r="N524" s="12" t="n">
        <f aca="false">G524*24*1000000*Assumptions!$B$3/D524/Assumptions!$B$5</f>
        <v>141555.806121837</v>
      </c>
      <c r="O524" s="12" t="n">
        <f aca="false">IF(ROW()&lt;8,"",AVERAGE(L518:L524))</f>
        <v>83558.8258464765</v>
      </c>
      <c r="P524" s="13" t="n">
        <f aca="false">IF(I524="","",I524/L524)</f>
        <v>0.753703136342249</v>
      </c>
    </row>
    <row r="525" customFormat="false" ht="15" hidden="false" customHeight="false" outlineLevel="0" collapsed="false">
      <c r="A525" s="9" t="n">
        <v>46181</v>
      </c>
      <c r="B525" s="10" t="n">
        <v>877.253549472152</v>
      </c>
      <c r="C525" s="11" t="n">
        <v>138.955357012248</v>
      </c>
      <c r="D525" s="10" t="n">
        <v>396.875</v>
      </c>
      <c r="E525" s="11" t="n">
        <v>8.15213775664286</v>
      </c>
      <c r="F525" s="11" t="n">
        <v>15.7819503832912</v>
      </c>
      <c r="G525" s="11" t="n">
        <v>27.3714300384489</v>
      </c>
      <c r="H525" s="11" t="n">
        <f aca="false">IF(B525="","",F525*1000/B525)</f>
        <v>17.9901812797307</v>
      </c>
      <c r="I525" s="12" t="n">
        <v>63274.63</v>
      </c>
      <c r="J525" s="12" t="n">
        <f aca="false">F525*24*1000000*Assumptions!$B$3/D525</f>
        <v>47718.6531274318</v>
      </c>
      <c r="K525" s="12" t="n">
        <f aca="false">J525/Assumptions!$B$4</f>
        <v>63624.8708365757</v>
      </c>
      <c r="L525" s="12" t="n">
        <f aca="false">J525/Assumptions!$B$5</f>
        <v>73413.3125037412</v>
      </c>
      <c r="M525" s="12" t="n">
        <f aca="false">E525*24*1000000*Assumptions!$B$3/D525/Assumptions!$B$5</f>
        <v>37921.5130048559</v>
      </c>
      <c r="N525" s="12" t="n">
        <f aca="false">G525*24*1000000*Assumptions!$B$3/D525/Assumptions!$B$5</f>
        <v>127324.398967467</v>
      </c>
      <c r="O525" s="12" t="n">
        <f aca="false">IF(ROW()&lt;8,"",AVERAGE(L519:L525))</f>
        <v>82224.5582851805</v>
      </c>
      <c r="P525" s="13" t="n">
        <f aca="false">IF(I525="","",I525/L525)</f>
        <v>0.861895858421802</v>
      </c>
    </row>
    <row r="526" customFormat="false" ht="15" hidden="false" customHeight="false" outlineLevel="0" collapsed="false">
      <c r="A526" s="9" t="n">
        <v>46182</v>
      </c>
      <c r="B526" s="10" t="n">
        <v>856.531024681471</v>
      </c>
      <c r="C526" s="11" t="n">
        <v>138.955357012248</v>
      </c>
      <c r="D526" s="10" t="n">
        <v>387.5</v>
      </c>
      <c r="E526" s="11" t="n">
        <v>8.28469281871429</v>
      </c>
      <c r="F526" s="11" t="n">
        <v>15.9686670099652</v>
      </c>
      <c r="G526" s="11" t="n">
        <v>27.3158849897592</v>
      </c>
      <c r="H526" s="11" t="n">
        <f aca="false">IF(B526="","",F526*1000/B526)</f>
        <v>18.6434192689094</v>
      </c>
      <c r="I526" s="12" t="n">
        <v>63090.31</v>
      </c>
      <c r="J526" s="12" t="n">
        <f aca="false">F526*24*1000000*Assumptions!$B$3/D526</f>
        <v>49451.3559018278</v>
      </c>
      <c r="K526" s="12" t="n">
        <f aca="false">J526/Assumptions!$B$4</f>
        <v>65935.1412024371</v>
      </c>
      <c r="L526" s="12" t="n">
        <f aca="false">J526/Assumptions!$B$5</f>
        <v>76079.0090797351</v>
      </c>
      <c r="M526" s="12" t="n">
        <f aca="false">E526*24*1000000*Assumptions!$B$3/D526/Assumptions!$B$5</f>
        <v>39470.4968038001</v>
      </c>
      <c r="N526" s="12" t="n">
        <f aca="false">G526*24*1000000*Assumptions!$B$3/D526/Assumptions!$B$5</f>
        <v>130140.196477265</v>
      </c>
      <c r="O526" s="12" t="n">
        <f aca="false">IF(ROW()&lt;8,"",AVERAGE(L520:L526))</f>
        <v>79053.2221947409</v>
      </c>
      <c r="P526" s="13" t="n">
        <f aca="false">IF(I526="","",I526/L526)</f>
        <v>0.829273550788204</v>
      </c>
    </row>
    <row r="527" customFormat="false" ht="15" hidden="false" customHeight="false" outlineLevel="0" collapsed="false">
      <c r="A527" s="9" t="n">
        <v>46183</v>
      </c>
      <c r="B527" s="10" t="n">
        <v>870.346041208591</v>
      </c>
      <c r="C527" s="11" t="n">
        <v>138.955357012248</v>
      </c>
      <c r="D527" s="10" t="n">
        <v>393.75</v>
      </c>
      <c r="E527" s="11" t="n">
        <v>8.45512078503571</v>
      </c>
      <c r="F527" s="11" t="n">
        <v>16.2426822193011</v>
      </c>
      <c r="G527" s="11" t="n">
        <v>27.5290309611877</v>
      </c>
      <c r="H527" s="11" t="n">
        <f aca="false">IF(B527="","",F527*1000/B527)</f>
        <v>18.6623267645889</v>
      </c>
      <c r="I527" s="12" t="n">
        <v>61642.38</v>
      </c>
      <c r="J527" s="12" t="n">
        <f aca="false">F527*24*1000000*Assumptions!$B$3/D527</f>
        <v>49501.5077159653</v>
      </c>
      <c r="K527" s="12" t="n">
        <f aca="false">J527/Assumptions!$B$4</f>
        <v>66002.0102879537</v>
      </c>
      <c r="L527" s="12" t="n">
        <f aca="false">J527/Assumptions!$B$5</f>
        <v>76156.1657168696</v>
      </c>
      <c r="M527" s="12" t="n">
        <f aca="false">E527*24*1000000*Assumptions!$B$3/D527/Assumptions!$B$5</f>
        <v>39643.057160607</v>
      </c>
      <c r="N527" s="12" t="n">
        <f aca="false">G527*24*1000000*Assumptions!$B$3/D527/Assumptions!$B$5</f>
        <v>129073.844799708</v>
      </c>
      <c r="O527" s="12" t="n">
        <f aca="false">IF(ROW()&lt;8,"",AVERAGE(L521:L527))</f>
        <v>76137.7202788361</v>
      </c>
      <c r="P527" s="13" t="n">
        <f aca="false">IF(I527="","",I527/L527)</f>
        <v>0.80942073986723</v>
      </c>
    </row>
    <row r="528" customFormat="false" ht="15" hidden="false" customHeight="false" outlineLevel="0" collapsed="false">
      <c r="A528" s="9" t="n">
        <v>46184</v>
      </c>
      <c r="B528" s="10" t="n">
        <v>932.513615580633</v>
      </c>
      <c r="C528" s="11" t="n">
        <v>138.955357012248</v>
      </c>
      <c r="D528" s="10" t="n">
        <v>421.875</v>
      </c>
      <c r="E528" s="11" t="n">
        <v>8.38884318546429</v>
      </c>
      <c r="F528" s="11" t="n">
        <v>16.0507460026552</v>
      </c>
      <c r="G528" s="11" t="n">
        <v>26.9014343040449</v>
      </c>
      <c r="H528" s="11" t="n">
        <f aca="false">IF(B528="","",F528*1000/B528)</f>
        <v>17.2123449293135</v>
      </c>
      <c r="I528" s="12" t="n">
        <v>61450.38</v>
      </c>
      <c r="J528" s="12" t="n">
        <f aca="false">F528*24*1000000*Assumptions!$B$3/D528</f>
        <v>45655.4552964413</v>
      </c>
      <c r="K528" s="12" t="n">
        <f aca="false">J528/Assumptions!$B$4</f>
        <v>60873.9403952551</v>
      </c>
      <c r="L528" s="12" t="n">
        <f aca="false">J528/Assumptions!$B$5</f>
        <v>70239.1619945251</v>
      </c>
      <c r="M528" s="12" t="n">
        <f aca="false">E528*24*1000000*Assumptions!$B$3/D528/Assumptions!$B$5</f>
        <v>36710.151375707</v>
      </c>
      <c r="N528" s="12" t="n">
        <f aca="false">G528*24*1000000*Assumptions!$B$3/D528/Assumptions!$B$5</f>
        <v>117722.515928812</v>
      </c>
      <c r="O528" s="12" t="n">
        <f aca="false">IF(ROW()&lt;8,"",AVERAGE(L522:L528))</f>
        <v>75937.2813512307</v>
      </c>
      <c r="P528" s="13" t="n">
        <f aca="false">IF(I528="","",I528/L528)</f>
        <v>0.874873478769434</v>
      </c>
    </row>
    <row r="529" customFormat="false" ht="15" hidden="false" customHeight="false" outlineLevel="0" collapsed="false">
      <c r="A529" s="9" t="n">
        <v>46185</v>
      </c>
      <c r="B529" s="10" t="n">
        <v>1015.40371474336</v>
      </c>
      <c r="C529" s="11" t="n">
        <v>138.955357012248</v>
      </c>
      <c r="D529" s="10" t="n">
        <v>459.375</v>
      </c>
      <c r="E529" s="11" t="n">
        <v>8.50246182967857</v>
      </c>
      <c r="F529" s="11" t="n">
        <v>16.2222219316009</v>
      </c>
      <c r="G529" s="11" t="n">
        <v>26.9843529146994</v>
      </c>
      <c r="H529" s="11" t="n">
        <f aca="false">IF(B529="","",F529*1000/B529)</f>
        <v>15.9761301796115</v>
      </c>
      <c r="I529" s="12" t="n">
        <v>63547.89</v>
      </c>
      <c r="J529" s="12" t="n">
        <f aca="false">F529*24*1000000*Assumptions!$B$3/D529</f>
        <v>42376.4164743861</v>
      </c>
      <c r="K529" s="12" t="n">
        <f aca="false">J529/Assumptions!$B$4</f>
        <v>56501.8886325148</v>
      </c>
      <c r="L529" s="12" t="n">
        <f aca="false">J529/Assumptions!$B$5</f>
        <v>65194.486883671</v>
      </c>
      <c r="M529" s="12" t="n">
        <f aca="false">E529*24*1000000*Assumptions!$B$3/D529/Assumptions!$B$5</f>
        <v>34170.0192841085</v>
      </c>
      <c r="N529" s="12" t="n">
        <f aca="false">G529*24*1000000*Assumptions!$B$3/D529/Assumptions!$B$5</f>
        <v>108445.751117159</v>
      </c>
      <c r="O529" s="12" t="n">
        <f aca="false">IF(ROW()&lt;8,"",AVERAGE(L523:L529))</f>
        <v>74592.1113212474</v>
      </c>
      <c r="P529" s="13" t="n">
        <f aca="false">IF(I529="","",I529/L529)</f>
        <v>0.974743310939634</v>
      </c>
    </row>
    <row r="530" customFormat="false" ht="15" hidden="false" customHeight="false" outlineLevel="0" collapsed="false">
      <c r="A530" s="9" t="n">
        <v>46186</v>
      </c>
      <c r="B530" s="10" t="n">
        <v>856.531024681471</v>
      </c>
      <c r="C530" s="11" t="n">
        <v>138.955357012248</v>
      </c>
      <c r="D530" s="10" t="n">
        <v>387.5</v>
      </c>
      <c r="E530" s="11" t="n">
        <v>8.5185317687</v>
      </c>
      <c r="F530" s="11" t="n">
        <v>16.1952403659792</v>
      </c>
      <c r="G530" s="11" t="n">
        <v>26.7177619064484</v>
      </c>
      <c r="H530" s="11" t="n">
        <f aca="false">IF(B530="","",F530*1000/B530)</f>
        <v>18.9079436696434</v>
      </c>
      <c r="I530" s="12" t="n">
        <v>63539.65</v>
      </c>
      <c r="J530" s="12" t="n">
        <f aca="false">F530*24*1000000*Assumptions!$B$3/D530</f>
        <v>50153.0024236775</v>
      </c>
      <c r="K530" s="12" t="n">
        <f aca="false">J530/Assumptions!$B$4</f>
        <v>66870.6698982367</v>
      </c>
      <c r="L530" s="12" t="n">
        <f aca="false">J530/Assumptions!$B$5</f>
        <v>77158.4652671962</v>
      </c>
      <c r="M530" s="12" t="n">
        <f aca="false">E530*24*1000000*Assumptions!$B$3/D530/Assumptions!$B$5</f>
        <v>40584.5682280496</v>
      </c>
      <c r="N530" s="12" t="n">
        <f aca="false">G530*24*1000000*Assumptions!$B$3/D530/Assumptions!$B$5</f>
        <v>127290.577817322</v>
      </c>
      <c r="O530" s="12" t="n">
        <f aca="false">IF(ROW()&lt;8,"",AVERAGE(L524:L530))</f>
        <v>74141.4693324376</v>
      </c>
      <c r="P530" s="13" t="n">
        <f aca="false">IF(I530="","",I530/L530)</f>
        <v>0.82349551380999</v>
      </c>
    </row>
    <row r="531" customFormat="false" ht="15" hidden="false" customHeight="false" outlineLevel="0" collapsed="false">
      <c r="A531" s="9" t="n">
        <v>46187</v>
      </c>
      <c r="B531" s="10" t="n">
        <v>908.119306016577</v>
      </c>
      <c r="C531" s="11" t="n">
        <v>125.124954924434</v>
      </c>
      <c r="D531" s="10" t="n">
        <v>456.25</v>
      </c>
      <c r="E531" s="11" t="n">
        <v>8.6536111382</v>
      </c>
      <c r="F531" s="11" t="n">
        <v>16.3938239152393</v>
      </c>
      <c r="G531" s="11" t="n">
        <v>26.82128793698</v>
      </c>
      <c r="H531" s="11" t="n">
        <f aca="false">IF(B531="","",F531*1000/B531)</f>
        <v>18.0525001578813</v>
      </c>
      <c r="I531" s="12" t="n">
        <v>64427.29</v>
      </c>
      <c r="J531" s="12" t="n">
        <f aca="false">F531*24*1000000*Assumptions!$B$3/D531</f>
        <v>43118.0026263828</v>
      </c>
      <c r="K531" s="12" t="n">
        <f aca="false">J531/Assumptions!$B$4</f>
        <v>57490.6701685104</v>
      </c>
      <c r="L531" s="12" t="n">
        <f aca="false">J531/Assumptions!$B$5</f>
        <v>66335.3886559735</v>
      </c>
      <c r="M531" s="12" t="n">
        <f aca="false">E531*24*1000000*Assumptions!$B$3/D531/Assumptions!$B$5</f>
        <v>35015.6657225374</v>
      </c>
      <c r="N531" s="12" t="n">
        <f aca="false">G531*24*1000000*Assumptions!$B$3/D531/Assumptions!$B$5</f>
        <v>108528.709881984</v>
      </c>
      <c r="O531" s="12" t="n">
        <f aca="false">IF(ROW()&lt;8,"",AVERAGE(L525:L531))</f>
        <v>72082.2843002445</v>
      </c>
      <c r="P531" s="13" t="n">
        <f aca="false">IF(I531="","",I531/L531)</f>
        <v>0.971235584887138</v>
      </c>
    </row>
    <row r="532" customFormat="false" ht="15" hidden="false" customHeight="false" outlineLevel="0" collapsed="false">
      <c r="A532" s="9" t="n">
        <v>46188</v>
      </c>
      <c r="B532" s="10" t="n">
        <v>931.566968218184</v>
      </c>
      <c r="C532" s="11" t="n">
        <v>124.932866006548</v>
      </c>
      <c r="D532" s="10" t="n">
        <v>468.75</v>
      </c>
      <c r="E532" s="11" t="n">
        <v>8.72805933260714</v>
      </c>
      <c r="F532" s="11" t="n">
        <v>16.5077823581732</v>
      </c>
      <c r="G532" s="11" t="n">
        <v>26.826782126301</v>
      </c>
      <c r="H532" s="11" t="n">
        <f aca="false">IF(B532="","",F532*1000/B532)</f>
        <v>17.7204462173533</v>
      </c>
      <c r="I532" s="12" t="n">
        <v>65713.21</v>
      </c>
      <c r="J532" s="12" t="n">
        <f aca="false">F532*24*1000000*Assumptions!$B$3/D532</f>
        <v>42259.9228369234</v>
      </c>
      <c r="K532" s="12" t="n">
        <f aca="false">J532/Assumptions!$B$4</f>
        <v>56346.5637825645</v>
      </c>
      <c r="L532" s="12" t="n">
        <f aca="false">J532/Assumptions!$B$5</f>
        <v>65015.265902959</v>
      </c>
      <c r="M532" s="12" t="n">
        <f aca="false">E532*24*1000000*Assumptions!$B$3/D532/Assumptions!$B$5</f>
        <v>34375.1259868835</v>
      </c>
      <c r="N532" s="12" t="n">
        <f aca="false">G532*24*1000000*Assumptions!$B$3/D532/Assumptions!$B$5</f>
        <v>105656.249605124</v>
      </c>
      <c r="O532" s="12" t="n">
        <f aca="false">IF(ROW()&lt;8,"",AVERAGE(L526:L532))</f>
        <v>70882.5633572757</v>
      </c>
      <c r="P532" s="13" t="n">
        <f aca="false">IF(I532="","",I532/L532)</f>
        <v>1.0107350802515</v>
      </c>
    </row>
    <row r="533" customFormat="false" ht="15" hidden="false" customHeight="false" outlineLevel="0" collapsed="false">
      <c r="A533" s="9" t="n">
        <v>46189</v>
      </c>
      <c r="B533" s="10" t="n">
        <v>1006.09232567564</v>
      </c>
      <c r="C533" s="11" t="n">
        <v>124.932866006548</v>
      </c>
      <c r="D533" s="10" t="n">
        <v>506.25</v>
      </c>
      <c r="E533" s="11" t="n">
        <v>8.93306521164286</v>
      </c>
      <c r="F533" s="11" t="n">
        <v>16.8829770247834</v>
      </c>
      <c r="G533" s="11" t="n">
        <v>27.3847167079817</v>
      </c>
      <c r="H533" s="11" t="n">
        <f aca="false">IF(B533="","",F533*1000/B533)</f>
        <v>16.780743271693</v>
      </c>
      <c r="I533" s="12" t="n">
        <v>66285.33</v>
      </c>
      <c r="J533" s="12" t="n">
        <f aca="false">F533*24*1000000*Assumptions!$B$3/D533</f>
        <v>40018.9085031903</v>
      </c>
      <c r="K533" s="12" t="n">
        <f aca="false">J533/Assumptions!$B$4</f>
        <v>53358.5446709204</v>
      </c>
      <c r="L533" s="12" t="n">
        <f aca="false">J533/Assumptions!$B$5</f>
        <v>61567.5515433697</v>
      </c>
      <c r="M533" s="12" t="n">
        <f aca="false">E533*24*1000000*Assumptions!$B$3/D533/Assumptions!$B$5</f>
        <v>32576.4201450224</v>
      </c>
      <c r="N533" s="12" t="n">
        <f aca="false">G533*24*1000000*Assumptions!$B$3/D533/Assumptions!$B$5</f>
        <v>99864.493977825</v>
      </c>
      <c r="O533" s="12" t="n">
        <f aca="false">IF(ROW()&lt;8,"",AVERAGE(L527:L533))</f>
        <v>68809.4979949377</v>
      </c>
      <c r="P533" s="13" t="n">
        <f aca="false">IF(I533="","",I533/L533)</f>
        <v>1.07662767705334</v>
      </c>
    </row>
    <row r="534" customFormat="false" ht="15" hidden="false" customHeight="false" outlineLevel="0" collapsed="false">
      <c r="A534" s="9" t="n">
        <v>46190</v>
      </c>
      <c r="B534" s="10" t="n">
        <v>819.778932032002</v>
      </c>
      <c r="C534" s="11" t="n">
        <v>124.932866006548</v>
      </c>
      <c r="D534" s="10" t="n">
        <v>396.875</v>
      </c>
      <c r="E534" s="11" t="n">
        <v>8.86375215157857</v>
      </c>
      <c r="F534" s="11" t="n">
        <v>16.739182454644</v>
      </c>
      <c r="G534" s="11" t="n">
        <v>27.1003361559379</v>
      </c>
      <c r="H534" s="11" t="n">
        <f aca="false">IF(B534="","",F534*1000/B534)</f>
        <v>20.4191420401013</v>
      </c>
      <c r="I534" s="12" t="n">
        <v>65611.77</v>
      </c>
      <c r="J534" s="12" t="n">
        <f aca="false">F534*24*1000000*Assumptions!$B$3/D534</f>
        <v>50612.9611227032</v>
      </c>
      <c r="K534" s="12" t="n">
        <f aca="false">J534/Assumptions!$B$4</f>
        <v>67483.9481636042</v>
      </c>
      <c r="L534" s="12" t="n">
        <f aca="false">J534/Assumptions!$B$5</f>
        <v>77866.0940349279</v>
      </c>
      <c r="M534" s="12" t="n">
        <f aca="false">E534*24*1000000*Assumptions!$B$3/D534/Assumptions!$B$5</f>
        <v>41231.7483489542</v>
      </c>
      <c r="N534" s="12" t="n">
        <f aca="false">G534*24*1000000*Assumptions!$B$3/D534/Assumptions!$B$5</f>
        <v>126063.344444338</v>
      </c>
      <c r="O534" s="12" t="n">
        <f aca="false">IF(ROW()&lt;8,"",AVERAGE(L528:L534))</f>
        <v>69053.7734689461</v>
      </c>
      <c r="P534" s="13" t="n">
        <f aca="false">IF(I534="","",I534/L534)</f>
        <v>0.84262310589984</v>
      </c>
    </row>
    <row r="535" customFormat="false" ht="15" hidden="false" customHeight="false" outlineLevel="0" collapsed="false">
      <c r="A535" s="9" t="n">
        <v>46191</v>
      </c>
      <c r="B535" s="10" t="n">
        <v>1024.72366504</v>
      </c>
      <c r="C535" s="11" t="n">
        <v>124.932866006548</v>
      </c>
      <c r="D535" s="10" t="n">
        <v>531.25</v>
      </c>
      <c r="E535" s="11" t="n">
        <v>8.9901457844</v>
      </c>
      <c r="F535" s="11" t="n">
        <v>16.9795626881341</v>
      </c>
      <c r="G535" s="11" t="n">
        <v>27.4955220845093</v>
      </c>
      <c r="H535" s="11" t="n">
        <f aca="false">IF(B535="","",F535*1000/B535)</f>
        <v>16.5698941748079</v>
      </c>
      <c r="I535" s="12" t="n">
        <v>64428.91</v>
      </c>
      <c r="J535" s="12" t="n">
        <f aca="false">F535*24*1000000*Assumptions!$B$3/D535</f>
        <v>38353.8357190794</v>
      </c>
      <c r="K535" s="12" t="n">
        <f aca="false">J535/Assumptions!$B$4</f>
        <v>51138.4476254392</v>
      </c>
      <c r="L535" s="12" t="n">
        <f aca="false">J535/Assumptions!$B$5</f>
        <v>59005.901106276</v>
      </c>
      <c r="M535" s="12" t="n">
        <f aca="false">E535*24*1000000*Assumptions!$B$3/D535/Assumptions!$B$5</f>
        <v>31241.7735856072</v>
      </c>
      <c r="N535" s="12" t="n">
        <f aca="false">G535*24*1000000*Assumptions!$B$3/D535/Assumptions!$B$5</f>
        <v>95550.0495968467</v>
      </c>
      <c r="O535" s="12" t="n">
        <f aca="false">IF(ROW()&lt;8,"",AVERAGE(L529:L535))</f>
        <v>67449.0219134819</v>
      </c>
      <c r="P535" s="13" t="n">
        <f aca="false">IF(I535="","",I535/L535)</f>
        <v>1.09190621263383</v>
      </c>
    </row>
    <row r="536" customFormat="false" ht="15" hidden="false" customHeight="false" outlineLevel="0" collapsed="false">
      <c r="A536" s="9" t="n">
        <v>46192</v>
      </c>
      <c r="B536" s="10" t="n">
        <v>937.777414672972</v>
      </c>
      <c r="C536" s="11" t="n">
        <v>124.932866006548</v>
      </c>
      <c r="D536" s="10" t="n">
        <v>471.875</v>
      </c>
      <c r="E536" s="11" t="n">
        <v>8.88374230604286</v>
      </c>
      <c r="F536" s="11" t="n">
        <v>16.792029815661</v>
      </c>
      <c r="G536" s="11" t="n">
        <v>27.2466491309579</v>
      </c>
      <c r="H536" s="11" t="n">
        <f aca="false">IF(B536="","",F536*1000/B536)</f>
        <v>17.9061998646202</v>
      </c>
      <c r="I536" s="12" t="n">
        <v>62900.98</v>
      </c>
      <c r="J536" s="12" t="n">
        <f aca="false">F536*24*1000000*Assumptions!$B$3/D536</f>
        <v>42702.9102596942</v>
      </c>
      <c r="K536" s="12" t="n">
        <f aca="false">J536/Assumptions!$B$4</f>
        <v>56937.2136795923</v>
      </c>
      <c r="L536" s="12" t="n">
        <f aca="false">J536/Assumptions!$B$5</f>
        <v>65696.7850149142</v>
      </c>
      <c r="M536" s="12" t="n">
        <f aca="false">E536*24*1000000*Assumptions!$B$3/D536/Assumptions!$B$5</f>
        <v>34756.5669436623</v>
      </c>
      <c r="N536" s="12" t="n">
        <f aca="false">G536*24*1000000*Assumptions!$B$3/D536/Assumptions!$B$5</f>
        <v>106599.21819957</v>
      </c>
      <c r="O536" s="12" t="n">
        <f aca="false">IF(ROW()&lt;8,"",AVERAGE(L530:L536))</f>
        <v>67520.7787893738</v>
      </c>
      <c r="P536" s="13" t="n">
        <f aca="false">IF(I536="","",I536/L536)</f>
        <v>0.957443807725454</v>
      </c>
    </row>
    <row r="537" customFormat="false" ht="15" hidden="false" customHeight="false" outlineLevel="0" collapsed="false">
      <c r="A537" s="9" t="n">
        <v>46193</v>
      </c>
      <c r="B537" s="10" t="n">
        <v>962.619200492123</v>
      </c>
      <c r="C537" s="11" t="n">
        <v>124.932866006548</v>
      </c>
      <c r="D537" s="10" t="n">
        <v>484.375</v>
      </c>
      <c r="E537" s="11" t="n">
        <v>9.03202535504286</v>
      </c>
      <c r="F537" s="11" t="n">
        <v>17.1046727518989</v>
      </c>
      <c r="G537" s="11" t="n">
        <v>27.8567505252436</v>
      </c>
      <c r="H537" s="11" t="n">
        <f aca="false">IF(B537="","",F537*1000/B537)</f>
        <v>17.7688879913827</v>
      </c>
      <c r="I537" s="12" t="n">
        <v>63486.22</v>
      </c>
      <c r="J537" s="12" t="n">
        <f aca="false">F537*24*1000000*Assumptions!$B$3/D537</f>
        <v>42375.4473337367</v>
      </c>
      <c r="K537" s="12" t="n">
        <f aca="false">J537/Assumptions!$B$4</f>
        <v>56500.5964449823</v>
      </c>
      <c r="L537" s="12" t="n">
        <f aca="false">J537/Assumptions!$B$5</f>
        <v>65192.9958980565</v>
      </c>
      <c r="M537" s="12" t="n">
        <f aca="false">E537*24*1000000*Assumptions!$B$3/D537/Assumptions!$B$5</f>
        <v>34424.7914276572</v>
      </c>
      <c r="N537" s="12" t="n">
        <f aca="false">G537*24*1000000*Assumptions!$B$3/D537/Assumptions!$B$5</f>
        <v>106173.619867926</v>
      </c>
      <c r="O537" s="12" t="n">
        <f aca="false">IF(ROW()&lt;8,"",AVERAGE(L531:L537))</f>
        <v>65811.4260223538</v>
      </c>
      <c r="P537" s="13" t="n">
        <f aca="false">IF(I537="","",I537/L537)</f>
        <v>0.973819643129679</v>
      </c>
    </row>
    <row r="538" customFormat="false" ht="15" hidden="false" customHeight="false" outlineLevel="0" collapsed="false">
      <c r="A538" s="9" t="n">
        <v>46194</v>
      </c>
      <c r="B538" s="10" t="n">
        <v>832.199824941577</v>
      </c>
      <c r="C538" s="11" t="n">
        <v>124.932866006548</v>
      </c>
      <c r="D538" s="10" t="n">
        <v>418.75</v>
      </c>
      <c r="E538" s="11" t="n">
        <v>8.92987232461429</v>
      </c>
      <c r="F538" s="11" t="n">
        <v>16.9429012840253</v>
      </c>
      <c r="G538" s="11" t="n">
        <v>27.6927945595293</v>
      </c>
      <c r="H538" s="11" t="n">
        <f aca="false">IF(B538="","",F538*1000/B538)</f>
        <v>20.3591742947251</v>
      </c>
      <c r="I538" s="12" t="n">
        <v>64250.43</v>
      </c>
      <c r="J538" s="12" t="n">
        <f aca="false">F538*24*1000000*Assumptions!$B$3/D538</f>
        <v>48552.7917392963</v>
      </c>
      <c r="K538" s="12" t="n">
        <f aca="false">J538/Assumptions!$B$4</f>
        <v>64737.0556523951</v>
      </c>
      <c r="L538" s="12" t="n">
        <f aca="false">J538/Assumptions!$B$5</f>
        <v>74696.6026758405</v>
      </c>
      <c r="M538" s="12" t="n">
        <f aca="false">E538*24*1000000*Assumptions!$B$3/D538/Assumptions!$B$5</f>
        <v>39369.3567468644</v>
      </c>
      <c r="N538" s="12" t="n">
        <f aca="false">G538*24*1000000*Assumptions!$B$3/D538/Assumptions!$B$5</f>
        <v>122089.932386444</v>
      </c>
      <c r="O538" s="12" t="n">
        <f aca="false">IF(ROW()&lt;8,"",AVERAGE(L532:L538))</f>
        <v>67005.8851680491</v>
      </c>
      <c r="P538" s="13" t="n">
        <f aca="false">IF(I538="","",I538/L538)</f>
        <v>0.860151970750617</v>
      </c>
    </row>
    <row r="539" customFormat="false" ht="15" hidden="false" customHeight="false" outlineLevel="0" collapsed="false">
      <c r="A539" s="9" t="n">
        <v>46195</v>
      </c>
      <c r="B539" s="10" t="n">
        <v>968.829646946911</v>
      </c>
      <c r="C539" s="11" t="n">
        <v>124.932866006548</v>
      </c>
      <c r="D539" s="10" t="n">
        <v>487.5</v>
      </c>
      <c r="E539" s="11" t="n">
        <v>8.98094874387857</v>
      </c>
      <c r="F539" s="11" t="n">
        <v>17.0691344069325</v>
      </c>
      <c r="G539" s="11" t="n">
        <v>28.0954679519226</v>
      </c>
      <c r="H539" s="11" t="n">
        <f aca="false">IF(B539="","",F539*1000/B539)</f>
        <v>17.618303135874</v>
      </c>
      <c r="I539" s="12" t="n">
        <v>63234.7</v>
      </c>
      <c r="J539" s="12" t="n">
        <f aca="false">F539*24*1000000*Assumptions!$B$3/D539</f>
        <v>42016.3308478338</v>
      </c>
      <c r="K539" s="12" t="n">
        <f aca="false">J539/Assumptions!$B$4</f>
        <v>56021.7744637785</v>
      </c>
      <c r="L539" s="12" t="n">
        <f aca="false">J539/Assumptions!$B$5</f>
        <v>64640.5089966675</v>
      </c>
      <c r="M539" s="12" t="n">
        <f aca="false">E539*24*1000000*Assumptions!$B$3/D539/Assumptions!$B$5</f>
        <v>34010.6934679425</v>
      </c>
      <c r="N539" s="12" t="n">
        <f aca="false">G539*24*1000000*Assumptions!$B$3/D539/Assumptions!$B$5</f>
        <v>106397.038397813</v>
      </c>
      <c r="O539" s="12" t="n">
        <f aca="false">IF(ROW()&lt;8,"",AVERAGE(L533:L539))</f>
        <v>66952.3484671503</v>
      </c>
      <c r="P539" s="13" t="n">
        <f aca="false">IF(I539="","",I539/L539)</f>
        <v>0.978251888506325</v>
      </c>
    </row>
    <row r="540" customFormat="false" ht="15" hidden="false" customHeight="false" outlineLevel="0" collapsed="false">
      <c r="A540" s="9" t="n">
        <v>46196</v>
      </c>
      <c r="B540" s="10" t="n">
        <v>1074.40723667831</v>
      </c>
      <c r="C540" s="11" t="n">
        <v>124.932866006548</v>
      </c>
      <c r="D540" s="10" t="n">
        <v>540.625</v>
      </c>
      <c r="E540" s="11" t="n">
        <v>9.07458902177143</v>
      </c>
      <c r="F540" s="11" t="n">
        <v>17.2619163965106</v>
      </c>
      <c r="G540" s="11" t="n">
        <v>28.4712889416704</v>
      </c>
      <c r="H540" s="11" t="n">
        <f aca="false">IF(B540="","",F540*1000/B540)</f>
        <v>16.0664558160261</v>
      </c>
      <c r="I540" s="12" t="n">
        <v>63952.2</v>
      </c>
      <c r="J540" s="12" t="n">
        <f aca="false">F540*24*1000000*Assumptions!$B$3/D540</f>
        <v>38315.4676084398</v>
      </c>
      <c r="K540" s="12" t="n">
        <f aca="false">J540/Assumptions!$B$4</f>
        <v>51087.2901445864</v>
      </c>
      <c r="L540" s="12" t="n">
        <f aca="false">J540/Assumptions!$B$5</f>
        <v>58946.8732437535</v>
      </c>
      <c r="M540" s="12" t="n">
        <f aca="false">E540*24*1000000*Assumptions!$B$3/D540/Assumptions!$B$5</f>
        <v>30988.3698031145</v>
      </c>
      <c r="N540" s="12" t="n">
        <f aca="false">G540*24*1000000*Assumptions!$B$3/D540/Assumptions!$B$5</f>
        <v>97225.2107923651</v>
      </c>
      <c r="O540" s="12" t="n">
        <f aca="false">IF(ROW()&lt;8,"",AVERAGE(L534:L540))</f>
        <v>66577.9658529195</v>
      </c>
      <c r="P540" s="13" t="n">
        <f aca="false">IF(I540="","",I540/L540)</f>
        <v>1.08491250647933</v>
      </c>
    </row>
    <row r="541" customFormat="false" ht="15" hidden="false" customHeight="false" outlineLevel="0" collapsed="false">
      <c r="A541" s="9" t="n">
        <v>46197</v>
      </c>
      <c r="B541" s="10" t="n">
        <v>962.619200492123</v>
      </c>
      <c r="C541" s="11" t="n">
        <v>124.932866006548</v>
      </c>
      <c r="D541" s="10" t="n">
        <v>484.375</v>
      </c>
      <c r="E541" s="11" t="n">
        <v>9.27038220672857</v>
      </c>
      <c r="F541" s="11" t="n">
        <v>17.6462556940617</v>
      </c>
      <c r="G541" s="11" t="n">
        <v>29.1511258508571</v>
      </c>
      <c r="H541" s="11" t="n">
        <f aca="false">IF(B541="","",F541*1000/B541)</f>
        <v>18.3315018909247</v>
      </c>
      <c r="I541" s="12" t="n">
        <v>62653.71</v>
      </c>
      <c r="J541" s="12" t="n">
        <f aca="false">F541*24*1000000*Assumptions!$B$3/D541</f>
        <v>43717.1753969013</v>
      </c>
      <c r="K541" s="12" t="n">
        <f aca="false">J541/Assumptions!$B$4</f>
        <v>58289.5671958684</v>
      </c>
      <c r="L541" s="12" t="n">
        <f aca="false">J541/Assumptions!$B$5</f>
        <v>67257.1929183097</v>
      </c>
      <c r="M541" s="12" t="n">
        <f aca="false">E541*24*1000000*Assumptions!$B$3/D541/Assumptions!$B$5</f>
        <v>35333.2681626181</v>
      </c>
      <c r="N541" s="12" t="n">
        <f aca="false">G541*24*1000000*Assumptions!$B$3/D541/Assumptions!$B$5</f>
        <v>111107.020612696</v>
      </c>
      <c r="O541" s="12" t="n">
        <f aca="false">IF(ROW()&lt;8,"",AVERAGE(L535:L541))</f>
        <v>65062.4085505454</v>
      </c>
      <c r="P541" s="13" t="n">
        <f aca="false">IF(I541="","",I541/L541)</f>
        <v>0.931554043239642</v>
      </c>
    </row>
    <row r="542" customFormat="false" ht="15" hidden="false" customHeight="false" outlineLevel="0" collapsed="false">
      <c r="A542" s="9" t="n">
        <v>46198</v>
      </c>
      <c r="B542" s="10" t="n">
        <v>1055.77589731394</v>
      </c>
      <c r="C542" s="11" t="n">
        <v>124.932866006548</v>
      </c>
      <c r="D542" s="10" t="n">
        <v>531.25</v>
      </c>
      <c r="E542" s="11" t="n">
        <v>9.31294596940714</v>
      </c>
      <c r="F542" s="11" t="n">
        <v>17.7272050819581</v>
      </c>
      <c r="G542" s="11" t="n">
        <v>29.2842069222857</v>
      </c>
      <c r="H542" s="11" t="n">
        <f aca="false">IF(B542="","",F542*1000/B542)</f>
        <v>16.7906893186886</v>
      </c>
      <c r="I542" s="12" t="n">
        <v>60984.24</v>
      </c>
      <c r="J542" s="12" t="n">
        <f aca="false">F542*24*1000000*Assumptions!$B$3/D542</f>
        <v>40042.6279498347</v>
      </c>
      <c r="K542" s="12" t="n">
        <f aca="false">J542/Assumptions!$B$4</f>
        <v>53390.1705997797</v>
      </c>
      <c r="L542" s="12" t="n">
        <f aca="false">J542/Assumptions!$B$5</f>
        <v>61604.0429997458</v>
      </c>
      <c r="M542" s="12" t="n">
        <f aca="false">E542*24*1000000*Assumptions!$B$3/D542/Assumptions!$B$5</f>
        <v>32363.5407443651</v>
      </c>
      <c r="N542" s="12" t="n">
        <f aca="false">G542*24*1000000*Assumptions!$B$3/D542/Assumptions!$B$5</f>
        <v>101765.931748034</v>
      </c>
      <c r="O542" s="12" t="n">
        <f aca="false">IF(ROW()&lt;8,"",AVERAGE(L536:L542))</f>
        <v>65433.571678184</v>
      </c>
      <c r="P542" s="13" t="n">
        <f aca="false">IF(I542="","",I542/L542)</f>
        <v>0.98993892333092</v>
      </c>
    </row>
    <row r="543" customFormat="false" ht="15" hidden="false" customHeight="false" outlineLevel="0" collapsed="false">
      <c r="A543" s="9" t="n">
        <v>46199</v>
      </c>
      <c r="B543" s="10" t="n">
        <v>962.619200492123</v>
      </c>
      <c r="C543" s="11" t="n">
        <v>124.932866006548</v>
      </c>
      <c r="D543" s="10" t="n">
        <v>484.375</v>
      </c>
      <c r="E543" s="11" t="n">
        <v>9.34699697955</v>
      </c>
      <c r="F543" s="11" t="n">
        <v>17.7919645922752</v>
      </c>
      <c r="G543" s="11" t="n">
        <v>29.3906717794286</v>
      </c>
      <c r="H543" s="11" t="n">
        <f aca="false">IF(B543="","",F543*1000/B543)</f>
        <v>18.4828690131875</v>
      </c>
      <c r="I543" s="12" t="n">
        <v>59709.65</v>
      </c>
      <c r="J543" s="12" t="n">
        <f aca="false">F543*24*1000000*Assumptions!$B$3/D543</f>
        <v>44078.1574415076</v>
      </c>
      <c r="K543" s="12" t="n">
        <f aca="false">J543/Assumptions!$B$4</f>
        <v>58770.8765886767</v>
      </c>
      <c r="L543" s="12" t="n">
        <f aca="false">J543/Assumptions!$B$5</f>
        <v>67812.5499100116</v>
      </c>
      <c r="M543" s="12" t="n">
        <f aca="false">E543*24*1000000*Assumptions!$B$3/D543/Assumptions!$B$5</f>
        <v>35625.278810394</v>
      </c>
      <c r="N543" s="12" t="n">
        <f aca="false">G543*24*1000000*Assumptions!$B$3/D543/Assumptions!$B$5</f>
        <v>112020.029412413</v>
      </c>
      <c r="O543" s="12" t="n">
        <f aca="false">IF(ROW()&lt;8,"",AVERAGE(L537:L543))</f>
        <v>65735.823806055</v>
      </c>
      <c r="P543" s="13" t="n">
        <f aca="false">IF(I543="","",I543/L543)</f>
        <v>0.880510319686189</v>
      </c>
    </row>
    <row r="544" customFormat="false" ht="15" hidden="false" customHeight="false" outlineLevel="0" collapsed="false">
      <c r="A544" s="9" t="n">
        <v>46200</v>
      </c>
      <c r="B544" s="10" t="n">
        <v>1111.77105364124</v>
      </c>
      <c r="C544" s="11" t="n">
        <v>133.125104579158</v>
      </c>
      <c r="D544" s="10" t="n">
        <v>525</v>
      </c>
      <c r="E544" s="11" t="n">
        <v>9.55448625019286</v>
      </c>
      <c r="F544" s="11" t="n">
        <v>18.1865756040046</v>
      </c>
      <c r="G544" s="11" t="n">
        <v>30.0394136365714</v>
      </c>
      <c r="H544" s="11" t="n">
        <f aca="false">IF(B544="","",F544*1000/B544)</f>
        <v>16.3582021176397</v>
      </c>
      <c r="I544" s="12" t="n">
        <v>60023.84</v>
      </c>
      <c r="J544" s="12" t="n">
        <f aca="false">F544*24*1000000*Assumptions!$B$3/D544</f>
        <v>41569.3156662963</v>
      </c>
      <c r="K544" s="12" t="n">
        <f aca="false">J544/Assumptions!$B$4</f>
        <v>55425.7542217284</v>
      </c>
      <c r="L544" s="12" t="n">
        <f aca="false">J544/Assumptions!$B$5</f>
        <v>63952.7933327635</v>
      </c>
      <c r="M544" s="12" t="n">
        <f aca="false">E544*24*1000000*Assumptions!$B$3/D544/Assumptions!$B$5</f>
        <v>33598.1934072716</v>
      </c>
      <c r="N544" s="12" t="n">
        <f aca="false">G544*24*1000000*Assumptions!$B$3/D544/Assumptions!$B$5</f>
        <v>105633.102897834</v>
      </c>
      <c r="O544" s="12" t="n">
        <f aca="false">IF(ROW()&lt;8,"",AVERAGE(L538:L544))</f>
        <v>65558.6520110132</v>
      </c>
      <c r="P544" s="13" t="n">
        <f aca="false">IF(I544="","",I544/L544)</f>
        <v>0.938564789307636</v>
      </c>
    </row>
    <row r="545" customFormat="false" ht="15" hidden="false" customHeight="false" outlineLevel="0" collapsed="false">
      <c r="A545" s="9" t="n">
        <v>46201</v>
      </c>
      <c r="B545" s="10" t="n">
        <v>858.457140405019</v>
      </c>
      <c r="C545" s="11" t="n">
        <v>133.869853540305</v>
      </c>
      <c r="D545" s="10" t="n">
        <v>403.125</v>
      </c>
      <c r="E545" s="11" t="n">
        <v>9.59047757494286</v>
      </c>
      <c r="F545" s="11" t="n">
        <v>18.2424880602739</v>
      </c>
      <c r="G545" s="11" t="n">
        <v>30.0810882796292</v>
      </c>
      <c r="H545" s="11" t="n">
        <f aca="false">IF(B545="","",F545*1000/B545)</f>
        <v>21.2503189753505</v>
      </c>
      <c r="I545" s="12" t="n">
        <v>59941.43</v>
      </c>
      <c r="J545" s="12" t="n">
        <f aca="false">F545*24*1000000*Assumptions!$B$3/D545</f>
        <v>54303.2202724434</v>
      </c>
      <c r="K545" s="12" t="n">
        <f aca="false">J545/Assumptions!$B$4</f>
        <v>72404.2936965911</v>
      </c>
      <c r="L545" s="12" t="n">
        <f aca="false">J545/Assumptions!$B$5</f>
        <v>83543.415803759</v>
      </c>
      <c r="M545" s="12" t="n">
        <f aca="false">E545*24*1000000*Assumptions!$B$3/D545/Assumptions!$B$5</f>
        <v>43920.6128655702</v>
      </c>
      <c r="N545" s="12" t="n">
        <f aca="false">G545*24*1000000*Assumptions!$B$3/D545/Assumptions!$B$5</f>
        <v>137759.545609751</v>
      </c>
      <c r="O545" s="12" t="n">
        <f aca="false">IF(ROW()&lt;8,"",AVERAGE(L539:L545))</f>
        <v>66822.4824578587</v>
      </c>
      <c r="P545" s="13" t="n">
        <f aca="false">IF(I545="","",I545/L545)</f>
        <v>0.717488379225487</v>
      </c>
    </row>
    <row r="546" customFormat="false" ht="15" hidden="false" customHeight="false" outlineLevel="0" collapsed="false">
      <c r="A546" s="9" t="n">
        <v>46202</v>
      </c>
      <c r="B546" s="10" t="n">
        <v>831.838314345948</v>
      </c>
      <c r="C546" s="11" t="n">
        <v>133.869853540305</v>
      </c>
      <c r="D546" s="10" t="n">
        <v>390.625</v>
      </c>
      <c r="E546" s="11" t="n">
        <v>9.40270165672143</v>
      </c>
      <c r="F546" s="11" t="n">
        <v>17.8577310878212</v>
      </c>
      <c r="G546" s="11" t="n">
        <v>29.2592379251801</v>
      </c>
      <c r="H546" s="11" t="n">
        <f aca="false">IF(B546="","",F546*1000/B546)</f>
        <v>21.4677910116008</v>
      </c>
      <c r="I546" s="12" t="n">
        <v>59496.75</v>
      </c>
      <c r="J546" s="12" t="n">
        <f aca="false">F546*24*1000000*Assumptions!$B$3/D546</f>
        <v>54858.9499017866</v>
      </c>
      <c r="K546" s="12" t="n">
        <f aca="false">J546/Assumptions!$B$4</f>
        <v>73145.2665357154</v>
      </c>
      <c r="L546" s="12" t="n">
        <f aca="false">J546/Assumptions!$B$5</f>
        <v>84398.384464287</v>
      </c>
      <c r="M546" s="12" t="n">
        <f aca="false">E546*24*1000000*Assumptions!$B$3/D546/Assumptions!$B$5</f>
        <v>44438.6145991511</v>
      </c>
      <c r="N546" s="12" t="n">
        <f aca="false">G546*24*1000000*Assumptions!$B$3/D546/Assumptions!$B$5</f>
        <v>138283.65985562</v>
      </c>
      <c r="O546" s="12" t="n">
        <f aca="false">IF(ROW()&lt;8,"",AVERAGE(L540:L546))</f>
        <v>69645.03609609</v>
      </c>
      <c r="P546" s="13" t="n">
        <f aca="false">IF(I546="","",I546/L546)</f>
        <v>0.704951289976124</v>
      </c>
    </row>
    <row r="547" customFormat="false" ht="15" hidden="false" customHeight="false" outlineLevel="0" collapsed="false">
      <c r="A547" s="9" t="n">
        <v>46203</v>
      </c>
      <c r="B547" s="10" t="n">
        <v>991.551270700371</v>
      </c>
      <c r="C547" s="11" t="n">
        <v>133.869853540305</v>
      </c>
      <c r="D547" s="10" t="n">
        <v>465.625</v>
      </c>
      <c r="E547" s="11" t="n">
        <v>9.28912975386429</v>
      </c>
      <c r="F547" s="11" t="n">
        <v>17.606187540586</v>
      </c>
      <c r="G547" s="11" t="n">
        <v>28.7341605594658</v>
      </c>
      <c r="H547" s="11" t="n">
        <f aca="false">IF(B547="","",F547*1000/B547)</f>
        <v>17.756204909253</v>
      </c>
      <c r="I547" s="12" t="n">
        <v>60136.19</v>
      </c>
      <c r="J547" s="12" t="n">
        <f aca="false">F547*24*1000000*Assumptions!$B$3/D547</f>
        <v>45374.3356750673</v>
      </c>
      <c r="K547" s="12" t="n">
        <f aca="false">J547/Assumptions!$B$4</f>
        <v>60499.114233423</v>
      </c>
      <c r="L547" s="12" t="n">
        <f aca="false">J547/Assumptions!$B$5</f>
        <v>69806.6702693343</v>
      </c>
      <c r="M547" s="12" t="n">
        <f aca="false">E547*24*1000000*Assumptions!$B$3/D547/Assumptions!$B$5</f>
        <v>36830.4163705099</v>
      </c>
      <c r="N547" s="12" t="n">
        <f aca="false">G547*24*1000000*Assumptions!$B$3/D547/Assumptions!$B$5</f>
        <v>113927.905573927</v>
      </c>
      <c r="O547" s="12" t="n">
        <f aca="false">IF(ROW()&lt;8,"",AVERAGE(L541:L547))</f>
        <v>71196.435671173</v>
      </c>
      <c r="P547" s="13" t="n">
        <f aca="false">IF(I547="","",I547/L547)</f>
        <v>0.861467675910873</v>
      </c>
    </row>
    <row r="548" customFormat="false" ht="15" hidden="false" customHeight="false" outlineLevel="0" collapsed="false">
      <c r="A548" s="9" t="n">
        <v>46204</v>
      </c>
      <c r="B548" s="10" t="n">
        <v>951.623031611765</v>
      </c>
      <c r="C548" s="11" t="n">
        <v>133.869853540305</v>
      </c>
      <c r="D548" s="10" t="n">
        <v>425</v>
      </c>
      <c r="E548" s="11" t="n">
        <v>9.27405716026429</v>
      </c>
      <c r="F548" s="11" t="n">
        <v>17.5018901625902</v>
      </c>
      <c r="G548" s="11" t="n">
        <v>28.1976280246087</v>
      </c>
      <c r="H548" s="11" t="n">
        <f aca="false">IF(B548="","",F548*1000/B548)</f>
        <v>18.3916210318567</v>
      </c>
      <c r="I548" s="12" t="n">
        <v>58534.28</v>
      </c>
      <c r="J548" s="12" t="n">
        <f aca="false">F548*24*1000000*Assumptions!$B$3/D548</f>
        <v>49417.1016355487</v>
      </c>
      <c r="K548" s="12" t="n">
        <f aca="false">J548/Assumptions!$B$4</f>
        <v>65889.4688473983</v>
      </c>
      <c r="L548" s="12" t="n">
        <f aca="false">J548/Assumptions!$B$5</f>
        <v>76026.3102085365</v>
      </c>
      <c r="M548" s="12" t="n">
        <f aca="false">E548*24*1000000*Assumptions!$B$3/D548/Assumptions!$B$5</f>
        <v>40285.4971667589</v>
      </c>
      <c r="N548" s="12" t="n">
        <f aca="false">G548*24*1000000*Assumptions!$B$3/D548/Assumptions!$B$5</f>
        <v>122487.433953051</v>
      </c>
      <c r="O548" s="12" t="n">
        <f aca="false">IF(ROW()&lt;8,"",AVERAGE(L542:L548))</f>
        <v>72449.166712634</v>
      </c>
      <c r="P548" s="13" t="n">
        <f aca="false">IF(I548="","",I548/L548)</f>
        <v>0.769921358006765</v>
      </c>
    </row>
    <row r="549" customFormat="false" ht="15" hidden="false" customHeight="false" outlineLevel="0" collapsed="false">
      <c r="A549" s="9" t="n">
        <v>46205</v>
      </c>
      <c r="B549" s="10" t="n">
        <v>951.623031611765</v>
      </c>
      <c r="C549" s="11" t="n">
        <v>133.869853540305</v>
      </c>
      <c r="D549" s="10" t="n">
        <v>425</v>
      </c>
      <c r="E549" s="11" t="n">
        <v>9.27405716026429</v>
      </c>
      <c r="F549" s="11" t="n">
        <v>17.5018901625902</v>
      </c>
      <c r="G549" s="11" t="n">
        <v>28.1976280246087</v>
      </c>
      <c r="H549" s="11" t="n">
        <f aca="false">IF(B549="","",F549*1000/B549)</f>
        <v>18.3916210318567</v>
      </c>
      <c r="I549" s="12" t="n">
        <v>59963.86</v>
      </c>
      <c r="J549" s="12" t="n">
        <f aca="false">F549*24*1000000*Assumptions!$B$3/D549</f>
        <v>49417.1016355487</v>
      </c>
      <c r="K549" s="12" t="n">
        <f aca="false">J549/Assumptions!$B$4</f>
        <v>65889.4688473983</v>
      </c>
      <c r="L549" s="12" t="n">
        <f aca="false">J549/Assumptions!$B$5</f>
        <v>76026.3102085365</v>
      </c>
      <c r="M549" s="12" t="n">
        <f aca="false">E549*24*1000000*Assumptions!$B$3/D549/Assumptions!$B$5</f>
        <v>40285.4971667589</v>
      </c>
      <c r="N549" s="12" t="n">
        <f aca="false">G549*24*1000000*Assumptions!$B$3/D549/Assumptions!$B$5</f>
        <v>122487.433953051</v>
      </c>
      <c r="O549" s="12" t="n">
        <f aca="false">IF(ROW()&lt;8,"",AVERAGE(L543:L549))</f>
        <v>74509.4905996041</v>
      </c>
      <c r="P549" s="13" t="n">
        <f aca="false">IF(I549="","",I549/L549)</f>
        <v>0.788725111550489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2026-07-02T13:26:20Z</dcterms:created>
  <dc:creator>openpyxl</dc:creator>
  <dc:description/>
  <dc:language>en-US</dc:language>
  <cp:lastModifiedBy/>
  <dcterms:modified xsi:type="dcterms:W3CDTF">2026-07-02T13:26:30Z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