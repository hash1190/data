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Breakdown" sheetId="1" state="visible" r:id="rId3"/>
    <sheet name="Monthly Summary" sheetId="2" state="visible" r:id="rId4"/>
    <sheet name="Reconciliation" sheetId="3" state="visible" r:id="rId5"/>
    <sheet name="Notes &amp; Methodolo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<sst xmlns="http://schemas.openxmlformats.org/spreadsheetml/2006/main" count="3418" uniqueCount="1219">
  <si>
    <t xml:space="preserve">VOLUME ($)</t>
  </si>
  <si>
    <t xml:space="preserve">FEES — 21Shares proxy ($)</t>
  </si>
  <si>
    <t xml:space="preserve">HIP-3 SPLIT — retained / 1x basis ($)</t>
  </si>
  <si>
    <t xml:space="preserve">HIP-3 SPLIT — total / 2x basis ($)</t>
  </si>
  <si>
    <t xml:space="preserve">REVENUE — DefiLlama ($)</t>
  </si>
  <si>
    <t xml:space="preserve">CROSS-CHECK — DefiLlama ($)</t>
  </si>
  <si>
    <t xml:space="preserve">FLAGS</t>
  </si>
  <si>
    <t xml:space="preserve">Date</t>
  </si>
  <si>
    <t xml:space="preserve">Core volume</t>
  </si>
  <si>
    <t xml:space="preserve">HIP-3 volume</t>
  </si>
  <si>
    <t xml:space="preserve">Total volume</t>
  </si>
  <si>
    <t xml:space="preserve">Core+HIP3 fee proxy</t>
  </si>
  <si>
    <t xml:space="preserve">HyperEVM fees</t>
  </si>
  <si>
    <t xml:space="preserve">Total fees (21S)</t>
  </si>
  <si>
    <t xml:space="preserve">HIP-3 vol share %</t>
  </si>
  <si>
    <t xml:space="preserve">Core vol share %</t>
  </si>
  <si>
    <t xml:space="preserve">HIP-3 fees (retained 1x)</t>
  </si>
  <si>
    <t xml:space="preserve">Core fees (retained basis)</t>
  </si>
  <si>
    <t xml:space="preserve">HIP-3 fees (total 2x)</t>
  </si>
  <si>
    <t xml:space="preserve">Core fees (2x basis)</t>
  </si>
  <si>
    <t xml:space="preserve">Revenue (DefiLlama)</t>
  </si>
  <si>
    <t xml:space="preserve">Total fees (DefiLlama)</t>
  </si>
  <si>
    <t xml:space="preserve">21S vs DL fee diff %</t>
  </si>
  <si>
    <t xml:space="preserve">Row source</t>
  </si>
  <si>
    <t xml:space="preserve">Day status</t>
  </si>
  <si>
    <t xml:space="preserve">2023-05-20</t>
  </si>
  <si>
    <t xml:space="preserve">historical_core_plus_hip3</t>
  </si>
  <si>
    <t xml:space="preserve">complete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</si>
  <si>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</si>
  <si>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</si>
  <si>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</si>
  <si>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</si>
  <si>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</si>
  <si>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</si>
  <si>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</si>
  <si>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</si>
  <si>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</si>
  <si>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</si>
  <si>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</si>
  <si>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</si>
  <si>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</si>
  <si>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</si>
  <si>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</si>
  <si>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</si>
  <si>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</si>
  <si>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</si>
  <si>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</si>
  <si>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</si>
  <si>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</si>
  <si>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</si>
  <si>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</si>
  <si>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</si>
  <si>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</si>
  <si>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</si>
  <si>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</si>
  <si>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</si>
  <si>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</si>
  <si>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</si>
  <si>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</si>
  <si>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</si>
  <si>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</si>
  <si>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</si>
  <si>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</si>
  <si>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</si>
  <si>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</si>
  <si>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</si>
  <si>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</si>
  <si>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</si>
  <si>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</si>
  <si>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</si>
  <si>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</si>
  <si>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</si>
  <si>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</si>
  <si>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</si>
  <si>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</si>
  <si>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</si>
  <si>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</si>
  <si>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</si>
  <si>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</si>
  <si>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</si>
  <si>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</si>
  <si>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</si>
  <si>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</si>
  <si>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</si>
  <si>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</si>
  <si>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</si>
  <si>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</si>
  <si>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</si>
  <si>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</si>
  <si>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</si>
  <si>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</si>
  <si>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</si>
  <si>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</si>
  <si>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</si>
  <si>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</si>
  <si>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</si>
  <si>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</si>
  <si>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</si>
  <si>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</si>
  <si>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</si>
  <si>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</si>
  <si>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</si>
  <si>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</si>
  <si>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</si>
  <si>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</si>
  <si>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</si>
  <si>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</si>
  <si>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</si>
  <si>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</si>
  <si>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</si>
  <si>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</si>
  <si>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</si>
  <si>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</si>
  <si>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</si>
  <si>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</si>
  <si>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</si>
  <si>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</si>
  <si>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</si>
  <si>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</si>
  <si>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</si>
  <si>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</si>
  <si>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</si>
  <si>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</si>
  <si>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</si>
  <si>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</si>
  <si>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</si>
  <si>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</si>
  <si>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</si>
  <si>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</si>
  <si>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</si>
  <si>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</si>
  <si>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</si>
  <si>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</si>
  <si>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</si>
  <si>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</si>
  <si>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</si>
  <si>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</si>
  <si>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</si>
  <si>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</si>
  <si>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</si>
  <si>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</si>
  <si>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</si>
  <si>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</si>
  <si>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</si>
  <si>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</si>
  <si>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</si>
  <si>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</si>
  <si>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</si>
  <si>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</si>
  <si>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</si>
  <si>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</si>
  <si>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</si>
  <si>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</si>
  <si>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</si>
  <si>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</si>
  <si>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</si>
  <si>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</si>
  <si>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</si>
  <si>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</si>
  <si>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</si>
  <si>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</si>
  <si>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</si>
  <si>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</si>
  <si>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</si>
  <si>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</si>
  <si>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</si>
  <si>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</si>
  <si>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</si>
  <si>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</si>
  <si>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</si>
  <si>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</si>
  <si>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</si>
  <si>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</si>
  <si>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</si>
  <si>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</si>
  <si>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</si>
  <si>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</si>
  <si>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</si>
  <si>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</si>
  <si>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</si>
  <si>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</si>
  <si>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</si>
  <si>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</si>
  <si>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</si>
  <si>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</si>
  <si>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</si>
  <si>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</si>
  <si>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</si>
  <si>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</si>
  <si>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</si>
  <si>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</si>
  <si>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</si>
  <si>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</si>
  <si>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</si>
  <si>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</si>
  <si>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</si>
  <si>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</si>
  <si>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</si>
  <si>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</si>
  <si>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</si>
  <si>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</si>
  <si>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</si>
  <si>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</si>
  <si>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</si>
  <si>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</si>
  <si>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</si>
  <si>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</si>
  <si>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</si>
  <si>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</si>
  <si>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</si>
  <si>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</si>
  <si>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</si>
  <si>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</si>
  <si>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</si>
  <si>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</si>
  <si>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</si>
  <si>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</si>
  <si>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</si>
  <si>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</si>
  <si>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</si>
  <si>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</si>
  <si>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</si>
  <si>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</si>
  <si>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</si>
  <si>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</si>
  <si>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</si>
  <si>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</si>
  <si>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</si>
  <si>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</si>
  <si>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</si>
  <si>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</si>
  <si>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</si>
  <si>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</si>
  <si>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</si>
  <si>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</si>
  <si>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</si>
  <si>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</si>
  <si>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</si>
  <si>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</si>
  <si>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</si>
  <si>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</si>
  <si>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</si>
  <si>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</si>
  <si>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</si>
  <si>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</si>
  <si>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</si>
  <si>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</si>
  <si>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</si>
  <si>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</si>
  <si>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</si>
  <si>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</si>
  <si>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</si>
  <si>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</si>
  <si>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</si>
  <si>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</si>
  <si>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</si>
  <si>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</si>
  <si>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</si>
  <si>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</si>
  <si>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</si>
  <si>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</si>
  <si>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</si>
  <si>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</si>
  <si>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</si>
  <si>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</si>
  <si>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</si>
  <si>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</si>
  <si>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</si>
  <si>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</si>
  <si>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</si>
  <si>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</si>
  <si>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</si>
  <si>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</si>
  <si>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</si>
  <si>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</si>
  <si>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</si>
  <si>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</si>
  <si>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</si>
  <si>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</si>
  <si>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</si>
  <si>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</si>
  <si>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</si>
  <si>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</si>
  <si>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</si>
  <si>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</si>
  <si>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</si>
  <si>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</si>
  <si>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</si>
  <si>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</si>
  <si>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</si>
  <si>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</si>
  <si>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</si>
  <si>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</si>
  <si>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</si>
  <si>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</si>
  <si>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</si>
  <si>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</si>
  <si>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</si>
  <si>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</si>
  <si>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</si>
  <si>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</si>
  <si>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</si>
  <si>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</si>
  <si>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</si>
  <si>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</si>
  <si>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</si>
  <si>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</si>
  <si>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</si>
  <si>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</si>
  <si>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</si>
  <si>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</si>
  <si>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</si>
  <si>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</si>
  <si>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</si>
  <si>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</si>
  <si>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</si>
  <si>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</si>
  <si>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</si>
  <si>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</si>
  <si>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</si>
  <si>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</si>
  <si>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</si>
  <si>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</si>
  <si>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</si>
  <si>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</si>
  <si>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</si>
  <si>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</si>
  <si>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</si>
  <si>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</si>
  <si>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</si>
  <si>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</si>
  <si>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</si>
  <si>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</si>
  <si>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</si>
  <si>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</si>
  <si>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</si>
  <si>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</si>
  <si>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</si>
  <si>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</si>
  <si>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</si>
  <si>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</si>
  <si>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</si>
  <si>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</si>
  <si>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</si>
  <si>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</si>
  <si>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</si>
  <si>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</si>
  <si>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</si>
  <si>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</si>
  <si>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</si>
  <si>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</si>
  <si>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</si>
  <si>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</si>
  <si>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</si>
  <si>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</si>
  <si>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</si>
  <si>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</si>
  <si>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</si>
  <si>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</si>
  <si>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</si>
  <si>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</si>
  <si>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</si>
  <si>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</si>
  <si>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</si>
  <si>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</si>
  <si>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</si>
  <si>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</si>
  <si>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</si>
  <si>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</si>
  <si>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</si>
  <si>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</si>
  <si>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</si>
  <si>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</si>
  <si>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</si>
  <si>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</si>
  <si>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</si>
  <si>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</si>
  <si>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</si>
  <si>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</si>
  <si>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</si>
  <si>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</si>
  <si>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</si>
  <si>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</si>
  <si>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</si>
  <si>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</si>
  <si>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</si>
  <si>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</si>
  <si>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</si>
  <si>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</si>
  <si>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</si>
  <si>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</si>
  <si>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</si>
  <si>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</si>
  <si>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</si>
  <si>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</si>
  <si>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</si>
  <si>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</si>
  <si>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</si>
  <si>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</si>
  <si>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</si>
  <si>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</si>
  <si>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</si>
  <si>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</si>
  <si>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</si>
  <si>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</si>
  <si>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</si>
  <si>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</si>
  <si>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</si>
  <si>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</si>
  <si>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</si>
  <si>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</si>
  <si>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</si>
  <si>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</si>
  <si>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</si>
  <si>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</si>
  <si>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</si>
  <si>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</si>
  <si>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</si>
  <si>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</si>
  <si>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</si>
  <si>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</si>
  <si>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</si>
  <si>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</si>
  <si>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</si>
  <si>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</si>
  <si>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</si>
  <si>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</si>
  <si>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</si>
  <si>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</si>
  <si>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</si>
  <si>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</si>
  <si>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</si>
  <si>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</si>
  <si>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</si>
  <si>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</si>
  <si>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</si>
  <si>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</si>
  <si>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</si>
  <si>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</si>
  <si>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</si>
  <si>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</si>
  <si>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</si>
  <si>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</si>
  <si>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</si>
  <si>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</si>
  <si>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</si>
  <si>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</si>
  <si>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</si>
  <si>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</si>
  <si>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</si>
  <si>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</si>
  <si>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</si>
  <si>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</si>
  <si>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</si>
  <si>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</si>
  <si>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</si>
  <si>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</si>
  <si>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</si>
  <si>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</si>
  <si>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</si>
  <si>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</si>
  <si>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</si>
  <si>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</si>
  <si>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</si>
  <si>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</si>
  <si>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</si>
  <si>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</si>
  <si>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</si>
  <si>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</si>
  <si>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</si>
  <si>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</si>
  <si>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</si>
  <si>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</si>
  <si>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</si>
  <si>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</si>
  <si>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</si>
  <si>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</si>
  <si>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</si>
  <si>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</si>
  <si>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</si>
  <si>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</si>
  <si>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</si>
  <si>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</si>
  <si>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</si>
  <si>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</si>
  <si>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</si>
  <si>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</si>
  <si>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</si>
  <si>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</si>
  <si>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</si>
  <si>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</si>
  <si>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</si>
  <si>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</si>
  <si>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</si>
  <si>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</si>
  <si>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</si>
  <si>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</si>
  <si>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</si>
  <si>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</si>
  <si>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</si>
  <si>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</si>
  <si>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</si>
  <si>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</si>
  <si>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</si>
  <si>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</si>
  <si>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</si>
  <si>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</si>
  <si>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</si>
  <si>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</si>
  <si>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</si>
  <si>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</si>
  <si>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</si>
  <si>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</si>
  <si>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</si>
  <si>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</si>
  <si>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</si>
  <si>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</si>
  <si>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</si>
  <si>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</si>
  <si>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</si>
  <si>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</si>
  <si>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</si>
  <si>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</si>
  <si>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</si>
  <si>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</si>
  <si>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</si>
  <si>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</si>
  <si>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</si>
  <si>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</si>
  <si>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</si>
  <si>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</si>
  <si>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</si>
  <si>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</si>
  <si>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</si>
  <si>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</si>
  <si>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</si>
  <si>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</si>
  <si>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</si>
  <si>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</si>
  <si>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</si>
  <si>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</si>
  <si>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</si>
  <si>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</si>
  <si>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</si>
  <si>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</si>
  <si>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</si>
  <si>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</si>
  <si>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</si>
  <si>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</si>
  <si>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</si>
  <si>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</si>
  <si>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</si>
  <si>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</si>
  <si>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</si>
  <si>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</si>
  <si>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</si>
  <si>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</si>
  <si>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</si>
  <si>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</si>
  <si>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</si>
  <si>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</si>
  <si>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</si>
  <si>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</si>
  <si>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</si>
  <si>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</si>
  <si>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</si>
  <si>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</si>
  <si>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</si>
  <si>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</si>
  <si>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</si>
  <si>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</si>
  <si>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</si>
  <si>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</si>
  <si>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</si>
  <si>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</si>
  <si>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</si>
  <si>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</si>
  <si>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</si>
  <si>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</si>
  <si>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</si>
  <si>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</si>
  <si>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</si>
  <si>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</si>
  <si>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</si>
  <si>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</si>
  <si>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</si>
  <si>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</si>
  <si>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</si>
  <si>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</si>
  <si>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</si>
  <si>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</si>
  <si>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</si>
  <si>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</si>
  <si>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</si>
  <si>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</si>
  <si>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</si>
  <si>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</si>
  <si>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</si>
  <si>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</si>
  <si>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</si>
  <si>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</si>
  <si>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</si>
  <si>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</si>
  <si>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</si>
  <si>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</si>
  <si>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</si>
  <si>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</si>
  <si>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</si>
  <si>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</si>
  <si>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</si>
  <si>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</si>
  <si>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</si>
  <si>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</si>
  <si>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</si>
  <si>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</si>
  <si>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</si>
  <si>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</si>
  <si>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</si>
  <si>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</si>
  <si>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</si>
  <si>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</si>
  <si>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</si>
  <si>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</si>
  <si>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</si>
  <si>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</si>
  <si>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</si>
  <si>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</si>
  <si>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</si>
  <si>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</si>
  <si>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</si>
  <si>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</si>
  <si>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</si>
  <si>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</si>
  <si>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</si>
  <si>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</si>
  <si>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</si>
  <si>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</si>
  <si>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</si>
  <si>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</si>
  <si>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</si>
  <si>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</si>
  <si>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</si>
  <si>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</si>
  <si>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</si>
  <si>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</si>
  <si>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</si>
  <si>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</si>
  <si>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</si>
  <si>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</si>
  <si>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</si>
  <si>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</si>
  <si>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</si>
  <si>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</si>
  <si>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</si>
  <si>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</si>
  <si>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</si>
  <si>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</si>
  <si>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</si>
  <si>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</si>
  <si>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</si>
  <si>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</si>
  <si>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</si>
  <si>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</si>
  <si>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</si>
  <si>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</si>
  <si>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</si>
  <si>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</si>
  <si>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</si>
  <si>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</si>
  <si>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</si>
  <si>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</si>
  <si>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</si>
  <si>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</si>
  <si>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</si>
  <si>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</si>
  <si>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</si>
  <si>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</si>
  <si>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</si>
  <si>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</si>
  <si>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</si>
  <si>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</si>
  <si>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</si>
  <si>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</si>
  <si>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</si>
  <si>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</si>
  <si>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</si>
  <si>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</si>
  <si>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</si>
  <si>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</si>
  <si>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</si>
  <si>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</si>
  <si>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</si>
  <si>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</si>
  <si>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</si>
  <si>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</si>
  <si>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</si>
  <si>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</si>
  <si>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</si>
  <si>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</si>
  <si>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</si>
  <si>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</si>
  <si>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</si>
  <si>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</si>
  <si>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</si>
  <si>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</si>
  <si>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</si>
  <si>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</si>
  <si>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</si>
  <si>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</si>
  <si>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</si>
  <si>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</si>
  <si>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</si>
  <si>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</si>
  <si>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</si>
  <si>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</si>
  <si>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</si>
  <si>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</si>
  <si>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</si>
  <si>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</si>
  <si>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</si>
  <si>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</si>
  <si>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</si>
  <si>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</si>
  <si>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</si>
  <si>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</si>
  <si>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</si>
  <si>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</si>
  <si>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</si>
  <si>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</si>
  <si>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</si>
  <si>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</si>
  <si>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</si>
  <si>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</si>
  <si>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</si>
  <si>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</si>
  <si>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</si>
  <si>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</si>
  <si>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</si>
  <si>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</si>
  <si>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</si>
  <si>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</si>
  <si>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</si>
  <si>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</si>
  <si>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</si>
  <si>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</si>
  <si>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</si>
  <si>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</si>
  <si>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</si>
  <si>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</si>
  <si>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</si>
  <si>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</si>
  <si>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</si>
  <si>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</si>
  <si>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</si>
  <si>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</si>
  <si>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</si>
  <si>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</si>
  <si>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</si>
  <si>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</si>
  <si>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</si>
  <si>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</si>
  <si>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</si>
  <si>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</si>
  <si>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</si>
  <si>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</si>
  <si>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</si>
  <si>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</si>
  <si>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</si>
  <si>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</si>
  <si>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</si>
  <si>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</si>
  <si>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</si>
  <si>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</si>
  <si>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</si>
  <si>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</si>
  <si>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</si>
  <si>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</si>
  <si>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</si>
  <si>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</si>
  <si>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</si>
  <si>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</si>
  <si>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</si>
  <si>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</si>
  <si>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</si>
  <si>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</si>
  <si>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</si>
  <si>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</si>
  <si>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</si>
  <si>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</si>
  <si>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</si>
  <si>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</si>
  <si>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</si>
  <si>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</si>
  <si>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</si>
  <si>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</si>
  <si>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</si>
  <si>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</si>
  <si>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</si>
  <si>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</si>
  <si>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</si>
  <si>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</si>
  <si>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</si>
  <si>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</si>
  <si>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</si>
  <si>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</si>
  <si>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</si>
  <si>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</si>
  <si>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</si>
  <si>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</si>
  <si>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</si>
  <si>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</si>
  <si>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</si>
  <si>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</si>
  <si>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</si>
  <si>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</si>
  <si>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</si>
  <si>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</si>
  <si>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</si>
  <si>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</si>
  <si>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</si>
  <si>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</si>
  <si>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</si>
  <si>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</si>
  <si>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</si>
  <si>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</si>
  <si>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</si>
  <si>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</si>
  <si>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</si>
  <si>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</si>
  <si>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</si>
  <si>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</si>
  <si>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</si>
  <si>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</si>
  <si>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</si>
  <si>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</si>
  <si>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</si>
  <si>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</si>
  <si>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</si>
  <si>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</si>
  <si>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</si>
  <si>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</si>
  <si>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</si>
  <si>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</si>
  <si>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</si>
  <si>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</si>
  <si>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</si>
  <si>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</si>
  <si>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</si>
  <si>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</si>
  <si>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</si>
  <si>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</si>
  <si>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</si>
  <si>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</si>
  <si>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</si>
  <si>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</si>
  <si>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</si>
  <si>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</si>
  <si>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</si>
  <si>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</si>
  <si>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</si>
  <si>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</si>
  <si>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</si>
  <si>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</si>
  <si>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</si>
  <si>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</si>
  <si>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</si>
  <si>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</si>
  <si>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</si>
  <si>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</si>
  <si>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</si>
  <si>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</si>
  <si>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</si>
  <si>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</si>
  <si>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</si>
  <si>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</si>
  <si>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</si>
  <si>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</si>
  <si>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</si>
  <si>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</si>
  <si>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</si>
  <si>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</si>
  <si>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</si>
  <si>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</si>
  <si>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</si>
  <si>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</si>
  <si>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</si>
  <si>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</si>
  <si>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</si>
  <si>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</si>
  <si>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</si>
  <si>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</si>
  <si>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</si>
  <si>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</si>
  <si>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</si>
  <si>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</si>
  <si>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</si>
  <si>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</si>
  <si>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</si>
  <si>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</si>
  <si>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</si>
  <si>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</si>
  <si>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</si>
  <si>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</si>
  <si>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</si>
  <si>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</si>
  <si>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</si>
  <si>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</si>
  <si>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</si>
  <si>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</si>
  <si>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</si>
  <si>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</si>
  <si>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</si>
  <si>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</si>
  <si>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</si>
  <si>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</si>
  <si>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</si>
  <si>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</si>
  <si>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</si>
  <si>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</si>
  <si>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</si>
  <si>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</si>
  <si>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</si>
  <si>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</si>
  <si>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</si>
  <si>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</si>
  <si>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</si>
  <si>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</si>
  <si>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</si>
  <si>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</si>
  <si>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</si>
  <si>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</si>
  <si>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</si>
  <si>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</si>
  <si>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</si>
  <si>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</si>
  <si>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</si>
  <si>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</si>
  <si>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</si>
  <si>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</si>
  <si>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</si>
  <si>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</si>
  <si>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</si>
  <si>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</si>
  <si>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</si>
  <si>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</si>
  <si>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</si>
  <si>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</si>
  <si>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</si>
  <si>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</si>
  <si>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</si>
  <si>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</si>
  <si>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</si>
  <si>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</si>
  <si>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</si>
  <si>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</si>
  <si>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</si>
  <si>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</si>
  <si>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</si>
  <si>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</si>
  <si>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</si>
  <si>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</si>
  <si>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</si>
  <si>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</si>
  <si>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</si>
  <si>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</si>
  <si>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</si>
  <si>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</si>
  <si>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</si>
  <si>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</si>
  <si>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</si>
  <si>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</si>
  <si>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</si>
  <si>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</si>
  <si>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</si>
  <si>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</si>
  <si>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</si>
  <si>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</si>
  <si>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</si>
  <si>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</si>
  <si>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</si>
  <si>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</si>
  <si>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</si>
  <si>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</si>
  <si>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</si>
  <si>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</si>
  <si>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</si>
  <si>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</si>
  <si>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</si>
  <si>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</si>
  <si>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</si>
  <si>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</si>
  <si>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</si>
  <si>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</si>
  <si>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</si>
  <si>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</si>
  <si>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</si>
  <si>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</si>
  <si>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</si>
  <si>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</si>
  <si>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</si>
  <si>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</si>
  <si>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</si>
  <si>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</si>
  <si>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</si>
  <si>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</si>
  <si>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</si>
  <si>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</si>
  <si>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</si>
  <si>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</si>
  <si>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</si>
  <si>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</si>
  <si>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</si>
  <si>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</si>
  <si>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</si>
  <si>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</si>
  <si>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</si>
  <si>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</si>
  <si>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</si>
  <si>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</si>
  <si>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</si>
  <si>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</si>
  <si>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</si>
  <si>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</si>
  <si>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</si>
  <si>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</si>
  <si>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</si>
  <si>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</si>
  <si>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</si>
  <si>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</si>
  <si>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</si>
  <si>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</si>
  <si>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</si>
  <si>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</si>
  <si>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</si>
  <si>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</si>
  <si>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</si>
  <si>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</si>
  <si>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</si>
  <si>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</si>
  <si>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</si>
  <si>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</si>
  <si>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</si>
  <si>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</si>
  <si>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</si>
  <si>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</si>
  <si>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</si>
  <si>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</si>
  <si>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</si>
  <si>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</si>
  <si>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</si>
  <si>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</si>
  <si>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</si>
  <si>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</si>
  <si>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</si>
  <si>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</si>
  <si>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</si>
  <si>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</si>
  <si>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</si>
  <si>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</si>
  <si>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</si>
  <si>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</si>
  <si>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</si>
  <si>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</si>
  <si>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</si>
  <si>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</si>
  <si>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</si>
  <si>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</si>
  <si>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</si>
  <si>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</si>
  <si>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</si>
  <si>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</si>
  <si>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</si>
  <si>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</si>
  <si>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</si>
  <si>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</si>
  <si>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</si>
  <si>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</si>
  <si>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</si>
  <si>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</si>
  <si>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</si>
  <si>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</si>
  <si>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</si>
  <si>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</si>
  <si>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</si>
  <si>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</si>
  <si>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</si>
  <si>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</si>
  <si>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</si>
  <si>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</si>
  <si>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</si>
  <si>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</si>
  <si>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</si>
  <si>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</si>
  <si>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</si>
  <si>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</si>
  <si>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</si>
  <si>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</si>
  <si>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</si>
  <si>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</si>
  <si>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</si>
  <si>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</si>
  <si>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</si>
  <si>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</si>
  <si>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</si>
  <si>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</si>
  <si>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</si>
  <si>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</si>
  <si>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</si>
  <si>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</si>
  <si>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</si>
  <si>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</si>
  <si>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</si>
  <si>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</si>
  <si>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</si>
  <si>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</si>
  <si>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</si>
  <si>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</si>
  <si>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</si>
  <si>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</si>
  <si>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</si>
  <si>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</si>
  <si>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</si>
  <si>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live_official_api</t>
  </si>
  <si>
    <t xml:space="preserve">PARTIAL — rolling 24h</t>
  </si>
  <si>
    <t xml:space="preserve">Month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</si>
  <si>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</si>
  <si>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</si>
  <si>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</si>
  <si>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</si>
  <si>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</si>
  <si>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</si>
  <si>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</si>
  <si>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</si>
  <si>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</si>
  <si>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</si>
  <si>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</si>
  <si>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</si>
  <si>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</si>
  <si>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</si>
  <si>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</si>
  <si>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</si>
  <si>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</si>
  <si>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</si>
  <si>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</si>
  <si>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</si>
  <si>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</si>
  <si>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</si>
  <si>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</si>
  <si>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</si>
  <si>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</si>
  <si>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</si>
  <si>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</si>
  <si>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</si>
  <si>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</si>
  <si>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</si>
  <si>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</si>
  <si>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</si>
  <si>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</si>
  <si>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</si>
  <si>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</si>
  <si>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</si>
  <si>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</si>
  <si>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TOTAL</t>
  </si>
  <si>
    <t xml:space="preserve">Reconciliation &amp; Validation Checks</t>
  </si>
  <si>
    <t xml:space="preserve">Check</t>
  </si>
  <si>
    <t xml:space="preserve">Result</t>
  </si>
  <si>
    <t xml:space="preserve">Daily rows (21Shares)</t>
  </si>
  <si>
    <t xml:space="preserve">Date range</t>
  </si>
  <si>
    <t xml:space="preserve">2023-05-20  to  2026-05-18</t>
  </si>
  <si>
    <t xml:space="preserve">First day with HIP-3 volume</t>
  </si>
  <si>
    <t xml:space="preserve">Partial / rolling-snapshot rows (excluded from clean totals)</t>
  </si>
  <si>
    <t xml:space="preserve">1  (2026-05-18)</t>
  </si>
  <si>
    <t xml:space="preserve">INTERNAL CONSISTENCY</t>
  </si>
  <si>
    <t xml:space="preserve">Total fees (21S) sum</t>
  </si>
  <si>
    <t xml:space="preserve">  proxy + HyperEVM sum</t>
  </si>
  <si>
    <t xml:space="preserve">  difference (should be 0)</t>
  </si>
  <si>
    <t xml:space="preserve">HIP-3 retained + Core retained sum</t>
  </si>
  <si>
    <t xml:space="preserve">  vs fee proxy sum (should match)</t>
  </si>
  <si>
    <t xml:space="preserve">HIP-3 total(2x) + Core(2x) sum</t>
  </si>
  <si>
    <t xml:space="preserve">CROSS-SOURCE (overlap period 2024-12-23 to 2026-05-18)</t>
  </si>
  <si>
    <t xml:space="preserve">21Shares total fees (proxy), overlap</t>
  </si>
  <si>
    <t xml:space="preserve">DefiLlama total fees, overlap</t>
  </si>
  <si>
    <t xml:space="preserve">  ratio 21S / DL</t>
  </si>
  <si>
    <t xml:space="preserve">DefiLlama total revenue, overlap</t>
  </si>
  <si>
    <t xml:space="preserve">  implied revenue/fee ratio (DL)</t>
  </si>
  <si>
    <t xml:space="preserve">Hyperliquid — Fees &amp; Revenue Breakdown by Category</t>
  </si>
  <si>
    <t xml:space="preserve">SOURCES</t>
  </si>
  <si>
    <t xml:space="preserve">21Shares</t>
  </si>
  <si>
    <t xml:space="preserve">Dune query 6874521 'Hyperliquid Daily Fees (Core + HIP-3 Trading Proxy + HyperEVM)'.</t>
  </si>
  <si>
    <t xml:space="preserve">Provides daily core vs HIP-3 VOLUME split, a blended trading-fee PROXY, and HyperEVM fees.</t>
  </si>
  <si>
    <t xml:space="preserve">DefiLlama</t>
  </si>
  <si>
    <t xml:space="preserve">api.llama.fi/summary/fees/hyperliquid — daily fees and daily revenue. Used for revenue</t>
  </si>
  <si>
    <t xml:space="preserve">and as an independent cross-check on the 21Shares fee proxy. Retrieved 2026-05-19.</t>
  </si>
  <si>
    <t xml:space="preserve">KEY METHODOLOGY POINTS</t>
  </si>
  <si>
    <t xml:space="preserve">Fee proxy</t>
  </si>
  <si>
    <t xml:space="preserve">21Shares 'total fees' is a PROXY: a flat fee rate applied to trading volume, NOT actual</t>
  </si>
  <si>
    <t xml:space="preserve">collected fees. It will not exactly equal DefiLlama's on-chain fees. Treat as an estimate.</t>
  </si>
  <si>
    <t xml:space="preserve">HIP-3 split</t>
  </si>
  <si>
    <t xml:space="preserve">The 21Shares proxy is blended across core + HIP-3. It is split here by volume share.</t>
  </si>
  <si>
    <t xml:space="preserve">Two bases are shown because HIP-3 markets charge ~2x the standard fee rate:</t>
  </si>
  <si>
    <t xml:space="preserve">  retained / 1x</t>
  </si>
  <si>
    <t xml:space="preserve">Proxy apportioned by RAW volume share. Equals HIP-3 fees on a core-equivalent rate</t>
  </si>
  <si>
    <t xml:space="preserve">Equals the portion retained by Hyperliquid (HL keeps ~half of the 2x HIP-3 fee).</t>
  </si>
  <si>
    <t xml:space="preserve">  total / 2x</t>
  </si>
  <si>
    <t xml:space="preserve">Proxy apportioned by 2x-weighted HIP-3 volume. Approximates TOTAL HIP-3 fees paid by</t>
  </si>
  <si>
    <t xml:space="preserve">users (incl. the HIP-3 builder/deployer's half). Use for gross user-paid fee figures.</t>
  </si>
  <si>
    <t xml:space="preserve">Revenue</t>
  </si>
  <si>
    <t xml:space="preserve">Hyperliquid protocol revenue (Assistance Fund HYPE buybacks, ~97-99% of perp/spot</t>
  </si>
  <si>
    <t xml:space="preserve">fees; 1-3% to HLP). Sourced from DefiLlama; the 21Shares query has no revenue series.</t>
  </si>
  <si>
    <t xml:space="preserve">HIP-3 start</t>
  </si>
  <si>
    <t xml:space="preserve">HIP-3 volume first appears 2025-10-13 in the data. Earlier rows are core-only.</t>
  </si>
  <si>
    <t xml:space="preserve">Partial day</t>
  </si>
  <si>
    <t xml:space="preserve">2026-05-18 is flagged 'rolling_24h_snapshot' (live API), not a completed day.</t>
  </si>
  <si>
    <t xml:space="preserve">It is highlighted yellow on the Daily Breakdown tab; exclude it from clean period totals.</t>
  </si>
  <si>
    <t xml:space="preserve">CAVEATS</t>
  </si>
  <si>
    <t xml:space="preserve">21Shares fees are volume-derived estimates; DefiLlama fees are on-chain actuals. A gap</t>
  </si>
  <si>
    <t xml:space="preserve">between them is expected, not an error. The Reconciliation tab shows the ratio.</t>
  </si>
  <si>
    <t xml:space="preserve">The HIP-3 2x split is an approximation: it assumes a uniform 2x multiple and uniform</t>
  </si>
  <si>
    <t xml:space="preserve">rate across markets. Actual per-market HIP-3 fee scales vary (deployers set 0-300%).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</si>
</sst>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"/>
    <numFmt numFmtId="168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E56CF"/>
        <bgColor rgb="FF8B7DD8"/>
      </patternFill>
    </fill>
    <fill>
      <patternFill patternType="solid">
        <fgColor rgb="FF8B7DD8"/>
        <bgColor rgb="FF969696"/>
      </patternFill>
    </fill>
    <fill>
      <patternFill patternType="solid">
        <fgColor rgb="FFFFF2CC"/>
        <bgColor rgb="FFEDEAFB"/>
      </patternFill>
    </fill>
    <fill>
      <patternFill patternType="solid">
        <fgColor rgb="FFEDEA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B7DD8"/>
      <rgbColor rgb="FF993366"/>
      <rgbColor rgb="FFFFF2CC"/>
      <rgbColor rgb="FFEDEA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56C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7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15" min="10" style="1" width="16"/>
    <col collapsed="false" customWidth="true" hidden="false" outlineLevel="0" max="16" min="16" style="1" width="14"/>
    <col collapsed="false" customWidth="true" hidden="false" outlineLevel="0" max="17" min="17" style="1" width="22"/>
    <col collapsed="false" customWidth="true" hidden="false" outlineLevel="0" max="18" min="18" style="1" width="18"/>
  </cols>
  <sheetData>
    <row r="1" customFormat="false" ht="15" hidden="false" customHeight="true" outlineLevel="0" collapsed="false">
      <c r="B1" s="2" t="s">
        <v>0</v>
      </c>
      <c r="C1" s="2"/>
      <c r="D1" s="2"/>
      <c r="E1" s="2" t="s">
        <v>1</v>
      </c>
      <c r="F1" s="2"/>
      <c r="G1" s="2"/>
      <c r="H1" s="2"/>
      <c r="I1" s="2"/>
      <c r="J1" s="2" t="s">
        <v>2</v>
      </c>
      <c r="K1" s="2"/>
      <c r="L1" s="2" t="s">
        <v>3</v>
      </c>
      <c r="M1" s="2"/>
      <c r="N1" s="3" t="s">
        <v>4</v>
      </c>
      <c r="O1" s="2" t="s">
        <v>5</v>
      </c>
      <c r="P1" s="2"/>
      <c r="Q1" s="2" t="s">
        <v>6</v>
      </c>
      <c r="R1" s="2"/>
    </row>
    <row r="2" customFormat="false" ht="26.25" hidden="false" customHeight="tru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</row>
    <row r="3" customFormat="false" ht="15" hidden="false" customHeight="true" outlineLevel="0" collapsed="false">
      <c r="A3" s="5" t="s">
        <v>25</v>
      </c>
      <c r="B3" s="6" t="n">
        <v>148964338.67</v>
      </c>
      <c r="C3" s="6" t="n">
        <v>0</v>
      </c>
      <c r="D3" s="6" t="n">
        <v>148964338.67</v>
      </c>
      <c r="E3" s="6" t="n">
        <v>55116.81</v>
      </c>
      <c r="F3" s="6" t="n">
        <v>0</v>
      </c>
      <c r="G3" s="6" t="n">
        <f aca="false">E3+F3</f>
        <v>55116.81</v>
      </c>
      <c r="H3" s="7" t="n">
        <f aca="false">IF(D3=0,0,C3/D3)</f>
        <v>0</v>
      </c>
      <c r="I3" s="7" t="n">
        <f aca="false">IF(D3=0,0,B3/D3)</f>
        <v>1</v>
      </c>
      <c r="J3" s="6" t="n">
        <f aca="false">E3*H3</f>
        <v>0</v>
      </c>
      <c r="K3" s="6" t="n">
        <f aca="false">E3*I3</f>
        <v>55116.81</v>
      </c>
      <c r="L3" s="6" t="n">
        <v>0</v>
      </c>
      <c r="M3" s="6" t="n">
        <v>55116.81</v>
      </c>
      <c r="N3" s="6"/>
      <c r="O3" s="6"/>
      <c r="P3" s="7"/>
      <c r="Q3" s="5" t="s">
        <v>26</v>
      </c>
      <c r="R3" s="5" t="s">
        <v>27</v>
      </c>
    </row>
    <row r="4" customFormat="false" ht="15" hidden="false" customHeight="true" outlineLevel="0" collapsed="false">
      <c r="A4" s="5" t="s">
        <v>28</v>
      </c>
      <c r="B4" s="6" t="n">
        <v>178173809.7</v>
      </c>
      <c r="C4" s="6" t="n">
        <v>0</v>
      </c>
      <c r="D4" s="6" t="n">
        <v>178173809.7</v>
      </c>
      <c r="E4" s="6" t="n">
        <v>65924.31</v>
      </c>
      <c r="F4" s="6" t="n">
        <v>0</v>
      </c>
      <c r="G4" s="6" t="n">
        <f aca="false">E4+F4</f>
        <v>65924.31</v>
      </c>
      <c r="H4" s="7" t="n">
        <f aca="false">IF(D4=0,0,C4/D4)</f>
        <v>0</v>
      </c>
      <c r="I4" s="7" t="n">
        <f aca="false">IF(D4=0,0,B4/D4)</f>
        <v>1</v>
      </c>
      <c r="J4" s="6" t="n">
        <f aca="false">E4*H4</f>
        <v>0</v>
      </c>
      <c r="K4" s="6" t="n">
        <f aca="false">E4*I4</f>
        <v>65924.31</v>
      </c>
      <c r="L4" s="6" t="n">
        <v>0</v>
      </c>
      <c r="M4" s="6" t="n">
        <v>65924.31</v>
      </c>
      <c r="N4" s="6"/>
      <c r="O4" s="6"/>
      <c r="P4" s="7"/>
      <c r="Q4" s="5" t="s">
        <v>26</v>
      </c>
      <c r="R4" s="5" t="s">
        <v>27</v>
      </c>
    </row>
    <row r="5" customFormat="false" ht="15" hidden="false" customHeight="true" outlineLevel="0" collapsed="false">
      <c r="A5" s="5" t="s">
        <v>29</v>
      </c>
      <c r="B5" s="6" t="n">
        <v>203812892.81</v>
      </c>
      <c r="C5" s="6" t="n">
        <v>0</v>
      </c>
      <c r="D5" s="6" t="n">
        <v>203812892.81</v>
      </c>
      <c r="E5" s="6" t="n">
        <v>75410.77</v>
      </c>
      <c r="F5" s="6" t="n">
        <v>0</v>
      </c>
      <c r="G5" s="6" t="n">
        <f aca="false">E5+F5</f>
        <v>75410.77</v>
      </c>
      <c r="H5" s="7" t="n">
        <f aca="false">IF(D5=0,0,C5/D5)</f>
        <v>0</v>
      </c>
      <c r="I5" s="7" t="n">
        <f aca="false">IF(D5=0,0,B5/D5)</f>
        <v>1</v>
      </c>
      <c r="J5" s="6" t="n">
        <f aca="false">E5*H5</f>
        <v>0</v>
      </c>
      <c r="K5" s="6" t="n">
        <f aca="false">E5*I5</f>
        <v>75410.77</v>
      </c>
      <c r="L5" s="6" t="n">
        <v>0</v>
      </c>
      <c r="M5" s="6" t="n">
        <v>75410.77</v>
      </c>
      <c r="N5" s="6"/>
      <c r="O5" s="6"/>
      <c r="P5" s="7"/>
      <c r="Q5" s="5" t="s">
        <v>26</v>
      </c>
      <c r="R5" s="5" t="s">
        <v>27</v>
      </c>
    </row>
    <row r="6" customFormat="false" ht="15" hidden="false" customHeight="true" outlineLevel="0" collapsed="false">
      <c r="A6" s="5" t="s">
        <v>30</v>
      </c>
      <c r="B6" s="6" t="n">
        <v>238463179.25</v>
      </c>
      <c r="C6" s="6" t="n">
        <v>0</v>
      </c>
      <c r="D6" s="6" t="n">
        <v>238463179.25</v>
      </c>
      <c r="E6" s="6" t="n">
        <v>88231.38</v>
      </c>
      <c r="F6" s="6" t="n">
        <v>0</v>
      </c>
      <c r="G6" s="6" t="n">
        <f aca="false">E6+F6</f>
        <v>88231.38</v>
      </c>
      <c r="H6" s="7" t="n">
        <f aca="false">IF(D6=0,0,C6/D6)</f>
        <v>0</v>
      </c>
      <c r="I6" s="7" t="n">
        <f aca="false">IF(D6=0,0,B6/D6)</f>
        <v>1</v>
      </c>
      <c r="J6" s="6" t="n">
        <f aca="false">E6*H6</f>
        <v>0</v>
      </c>
      <c r="K6" s="6" t="n">
        <f aca="false">E6*I6</f>
        <v>88231.38</v>
      </c>
      <c r="L6" s="6" t="n">
        <v>0</v>
      </c>
      <c r="M6" s="6" t="n">
        <v>88231.38</v>
      </c>
      <c r="N6" s="6"/>
      <c r="O6" s="6"/>
      <c r="P6" s="7"/>
      <c r="Q6" s="5" t="s">
        <v>26</v>
      </c>
      <c r="R6" s="5" t="s">
        <v>27</v>
      </c>
    </row>
    <row r="7" customFormat="false" ht="15" hidden="false" customHeight="true" outlineLevel="0" collapsed="false">
      <c r="A7" s="5" t="s">
        <v>31</v>
      </c>
      <c r="B7" s="6" t="n">
        <v>469491974.06</v>
      </c>
      <c r="C7" s="6" t="n">
        <v>0</v>
      </c>
      <c r="D7" s="6" t="n">
        <v>469491974.06</v>
      </c>
      <c r="E7" s="6" t="n">
        <v>173712.03</v>
      </c>
      <c r="F7" s="6" t="n">
        <v>0</v>
      </c>
      <c r="G7" s="6" t="n">
        <f aca="false">E7+F7</f>
        <v>173712.03</v>
      </c>
      <c r="H7" s="7" t="n">
        <f aca="false">IF(D7=0,0,C7/D7)</f>
        <v>0</v>
      </c>
      <c r="I7" s="7" t="n">
        <f aca="false">IF(D7=0,0,B7/D7)</f>
        <v>1</v>
      </c>
      <c r="J7" s="6" t="n">
        <f aca="false">E7*H7</f>
        <v>0</v>
      </c>
      <c r="K7" s="6" t="n">
        <f aca="false">E7*I7</f>
        <v>173712.03</v>
      </c>
      <c r="L7" s="6" t="n">
        <v>0</v>
      </c>
      <c r="M7" s="6" t="n">
        <v>173712.03</v>
      </c>
      <c r="N7" s="6"/>
      <c r="O7" s="6"/>
      <c r="P7" s="7"/>
      <c r="Q7" s="5" t="s">
        <v>26</v>
      </c>
      <c r="R7" s="5" t="s">
        <v>27</v>
      </c>
    </row>
    <row r="8" customFormat="false" ht="15" hidden="false" customHeight="true" outlineLevel="0" collapsed="false">
      <c r="A8" s="5" t="s">
        <v>32</v>
      </c>
      <c r="B8" s="6" t="n">
        <v>651811236.34</v>
      </c>
      <c r="C8" s="6" t="n">
        <v>0</v>
      </c>
      <c r="D8" s="6" t="n">
        <v>651811236.34</v>
      </c>
      <c r="E8" s="6" t="n">
        <v>241170.16</v>
      </c>
      <c r="F8" s="6" t="n">
        <v>0</v>
      </c>
      <c r="G8" s="6" t="n">
        <f aca="false">E8+F8</f>
        <v>241170.16</v>
      </c>
      <c r="H8" s="7" t="n">
        <f aca="false">IF(D8=0,0,C8/D8)</f>
        <v>0</v>
      </c>
      <c r="I8" s="7" t="n">
        <f aca="false">IF(D8=0,0,B8/D8)</f>
        <v>1</v>
      </c>
      <c r="J8" s="6" t="n">
        <f aca="false">E8*H8</f>
        <v>0</v>
      </c>
      <c r="K8" s="6" t="n">
        <f aca="false">E8*I8</f>
        <v>241170.16</v>
      </c>
      <c r="L8" s="6" t="n">
        <v>0</v>
      </c>
      <c r="M8" s="6" t="n">
        <v>241170.16</v>
      </c>
      <c r="N8" s="6"/>
      <c r="O8" s="6"/>
      <c r="P8" s="7"/>
      <c r="Q8" s="5" t="s">
        <v>26</v>
      </c>
      <c r="R8" s="5" t="s">
        <v>27</v>
      </c>
    </row>
    <row r="9" customFormat="false" ht="15" hidden="false" customHeight="true" outlineLevel="0" collapsed="false">
      <c r="A9" s="5" t="s">
        <v>33</v>
      </c>
      <c r="B9" s="6" t="n">
        <v>635543236.41</v>
      </c>
      <c r="C9" s="6" t="n">
        <v>0</v>
      </c>
      <c r="D9" s="6" t="n">
        <v>635543236.41</v>
      </c>
      <c r="E9" s="6" t="n">
        <v>235151</v>
      </c>
      <c r="F9" s="6" t="n">
        <v>0</v>
      </c>
      <c r="G9" s="6" t="n">
        <f aca="false">E9+F9</f>
        <v>235151</v>
      </c>
      <c r="H9" s="7" t="n">
        <f aca="false">IF(D9=0,0,C9/D9)</f>
        <v>0</v>
      </c>
      <c r="I9" s="7" t="n">
        <f aca="false">IF(D9=0,0,B9/D9)</f>
        <v>1</v>
      </c>
      <c r="J9" s="6" t="n">
        <f aca="false">E9*H9</f>
        <v>0</v>
      </c>
      <c r="K9" s="6" t="n">
        <f aca="false">E9*I9</f>
        <v>235151</v>
      </c>
      <c r="L9" s="6" t="n">
        <v>0</v>
      </c>
      <c r="M9" s="6" t="n">
        <v>235151</v>
      </c>
      <c r="N9" s="6"/>
      <c r="O9" s="6"/>
      <c r="P9" s="7"/>
      <c r="Q9" s="5" t="s">
        <v>26</v>
      </c>
      <c r="R9" s="5" t="s">
        <v>27</v>
      </c>
    </row>
    <row r="10" customFormat="false" ht="15" hidden="false" customHeight="true" outlineLevel="0" collapsed="false">
      <c r="A10" s="5" t="s">
        <v>34</v>
      </c>
      <c r="B10" s="6" t="n">
        <v>629266368.53</v>
      </c>
      <c r="C10" s="6" t="n">
        <v>0</v>
      </c>
      <c r="D10" s="6" t="n">
        <v>629266368.53</v>
      </c>
      <c r="E10" s="6" t="n">
        <v>232828.56</v>
      </c>
      <c r="F10" s="6" t="n">
        <v>0</v>
      </c>
      <c r="G10" s="6" t="n">
        <f aca="false">E10+F10</f>
        <v>232828.56</v>
      </c>
      <c r="H10" s="7" t="n">
        <f aca="false">IF(D10=0,0,C10/D10)</f>
        <v>0</v>
      </c>
      <c r="I10" s="7" t="n">
        <f aca="false">IF(D10=0,0,B10/D10)</f>
        <v>1</v>
      </c>
      <c r="J10" s="6" t="n">
        <f aca="false">E10*H10</f>
        <v>0</v>
      </c>
      <c r="K10" s="6" t="n">
        <f aca="false">E10*I10</f>
        <v>232828.56</v>
      </c>
      <c r="L10" s="6" t="n">
        <v>0</v>
      </c>
      <c r="M10" s="6" t="n">
        <v>232828.56</v>
      </c>
      <c r="N10" s="6"/>
      <c r="O10" s="6"/>
      <c r="P10" s="7"/>
      <c r="Q10" s="5" t="s">
        <v>26</v>
      </c>
      <c r="R10" s="5" t="s">
        <v>27</v>
      </c>
    </row>
    <row r="11" customFormat="false" ht="15" hidden="false" customHeight="true" outlineLevel="0" collapsed="false">
      <c r="A11" s="5" t="s">
        <v>35</v>
      </c>
      <c r="B11" s="6" t="n">
        <v>1030286919.82</v>
      </c>
      <c r="C11" s="6" t="n">
        <v>0</v>
      </c>
      <c r="D11" s="6" t="n">
        <v>1030286919.82</v>
      </c>
      <c r="E11" s="6" t="n">
        <v>381206.16</v>
      </c>
      <c r="F11" s="6" t="n">
        <v>0</v>
      </c>
      <c r="G11" s="6" t="n">
        <f aca="false">E11+F11</f>
        <v>381206.16</v>
      </c>
      <c r="H11" s="7" t="n">
        <f aca="false">IF(D11=0,0,C11/D11)</f>
        <v>0</v>
      </c>
      <c r="I11" s="7" t="n">
        <f aca="false">IF(D11=0,0,B11/D11)</f>
        <v>1</v>
      </c>
      <c r="J11" s="6" t="n">
        <f aca="false">E11*H11</f>
        <v>0</v>
      </c>
      <c r="K11" s="6" t="n">
        <f aca="false">E11*I11</f>
        <v>381206.16</v>
      </c>
      <c r="L11" s="6" t="n">
        <v>0</v>
      </c>
      <c r="M11" s="6" t="n">
        <v>381206.16</v>
      </c>
      <c r="N11" s="6"/>
      <c r="O11" s="6"/>
      <c r="P11" s="7"/>
      <c r="Q11" s="5" t="s">
        <v>26</v>
      </c>
      <c r="R11" s="5" t="s">
        <v>27</v>
      </c>
    </row>
    <row r="12" customFormat="false" ht="15" hidden="false" customHeight="true" outlineLevel="0" collapsed="false">
      <c r="A12" s="5" t="s">
        <v>36</v>
      </c>
      <c r="B12" s="6" t="n">
        <v>1665369748.92</v>
      </c>
      <c r="C12" s="6" t="n">
        <v>0</v>
      </c>
      <c r="D12" s="6" t="n">
        <v>1665369748.92</v>
      </c>
      <c r="E12" s="6" t="n">
        <v>616186.81</v>
      </c>
      <c r="F12" s="6" t="n">
        <v>0</v>
      </c>
      <c r="G12" s="6" t="n">
        <f aca="false">E12+F12</f>
        <v>616186.81</v>
      </c>
      <c r="H12" s="7" t="n">
        <f aca="false">IF(D12=0,0,C12/D12)</f>
        <v>0</v>
      </c>
      <c r="I12" s="7" t="n">
        <f aca="false">IF(D12=0,0,B12/D12)</f>
        <v>1</v>
      </c>
      <c r="J12" s="6" t="n">
        <f aca="false">E12*H12</f>
        <v>0</v>
      </c>
      <c r="K12" s="6" t="n">
        <f aca="false">E12*I12</f>
        <v>616186.81</v>
      </c>
      <c r="L12" s="6" t="n">
        <v>0</v>
      </c>
      <c r="M12" s="6" t="n">
        <v>616186.81</v>
      </c>
      <c r="N12" s="6"/>
      <c r="O12" s="6"/>
      <c r="P12" s="7"/>
      <c r="Q12" s="5" t="s">
        <v>26</v>
      </c>
      <c r="R12" s="5" t="s">
        <v>27</v>
      </c>
    </row>
    <row r="13" customFormat="false" ht="15" hidden="false" customHeight="true" outlineLevel="0" collapsed="false">
      <c r="A13" s="5" t="s">
        <v>37</v>
      </c>
      <c r="B13" s="6" t="n">
        <v>790485041.09</v>
      </c>
      <c r="C13" s="6" t="n">
        <v>0</v>
      </c>
      <c r="D13" s="6" t="n">
        <v>790485041.09</v>
      </c>
      <c r="E13" s="6" t="n">
        <v>292479.47</v>
      </c>
      <c r="F13" s="6" t="n">
        <v>0</v>
      </c>
      <c r="G13" s="6" t="n">
        <f aca="false">E13+F13</f>
        <v>292479.47</v>
      </c>
      <c r="H13" s="7" t="n">
        <f aca="false">IF(D13=0,0,C13/D13)</f>
        <v>0</v>
      </c>
      <c r="I13" s="7" t="n">
        <f aca="false">IF(D13=0,0,B13/D13)</f>
        <v>1</v>
      </c>
      <c r="J13" s="6" t="n">
        <f aca="false">E13*H13</f>
        <v>0</v>
      </c>
      <c r="K13" s="6" t="n">
        <f aca="false">E13*I13</f>
        <v>292479.47</v>
      </c>
      <c r="L13" s="6" t="n">
        <v>0</v>
      </c>
      <c r="M13" s="6" t="n">
        <v>292479.47</v>
      </c>
      <c r="N13" s="6"/>
      <c r="O13" s="6"/>
      <c r="P13" s="7"/>
      <c r="Q13" s="5" t="s">
        <v>26</v>
      </c>
      <c r="R13" s="5" t="s">
        <v>27</v>
      </c>
    </row>
    <row r="14" customFormat="false" ht="15" hidden="false" customHeight="true" outlineLevel="0" collapsed="false">
      <c r="A14" s="5" t="s">
        <v>38</v>
      </c>
      <c r="B14" s="6" t="n">
        <v>697861679.63</v>
      </c>
      <c r="C14" s="6" t="n">
        <v>0</v>
      </c>
      <c r="D14" s="6" t="n">
        <v>697861679.63</v>
      </c>
      <c r="E14" s="6" t="n">
        <v>258208.82</v>
      </c>
      <c r="F14" s="6" t="n">
        <v>0</v>
      </c>
      <c r="G14" s="6" t="n">
        <f aca="false">E14+F14</f>
        <v>258208.82</v>
      </c>
      <c r="H14" s="7" t="n">
        <f aca="false">IF(D14=0,0,C14/D14)</f>
        <v>0</v>
      </c>
      <c r="I14" s="7" t="n">
        <f aca="false">IF(D14=0,0,B14/D14)</f>
        <v>1</v>
      </c>
      <c r="J14" s="6" t="n">
        <f aca="false">E14*H14</f>
        <v>0</v>
      </c>
      <c r="K14" s="6" t="n">
        <f aca="false">E14*I14</f>
        <v>258208.82</v>
      </c>
      <c r="L14" s="6" t="n">
        <v>0</v>
      </c>
      <c r="M14" s="6" t="n">
        <v>258208.82</v>
      </c>
      <c r="N14" s="6"/>
      <c r="O14" s="6"/>
      <c r="P14" s="7"/>
      <c r="Q14" s="5" t="s">
        <v>26</v>
      </c>
      <c r="R14" s="5" t="s">
        <v>27</v>
      </c>
    </row>
    <row r="15" customFormat="false" ht="15" hidden="false" customHeight="true" outlineLevel="0" collapsed="false">
      <c r="A15" s="5" t="s">
        <v>39</v>
      </c>
      <c r="B15" s="6" t="n">
        <v>695491624.04</v>
      </c>
      <c r="C15" s="6" t="n">
        <v>0</v>
      </c>
      <c r="D15" s="6" t="n">
        <v>695491624.04</v>
      </c>
      <c r="E15" s="6" t="n">
        <v>257331.9</v>
      </c>
      <c r="F15" s="6" t="n">
        <v>0</v>
      </c>
      <c r="G15" s="6" t="n">
        <f aca="false">E15+F15</f>
        <v>257331.9</v>
      </c>
      <c r="H15" s="7" t="n">
        <f aca="false">IF(D15=0,0,C15/D15)</f>
        <v>0</v>
      </c>
      <c r="I15" s="7" t="n">
        <f aca="false">IF(D15=0,0,B15/D15)</f>
        <v>1</v>
      </c>
      <c r="J15" s="6" t="n">
        <f aca="false">E15*H15</f>
        <v>0</v>
      </c>
      <c r="K15" s="6" t="n">
        <f aca="false">E15*I15</f>
        <v>257331.9</v>
      </c>
      <c r="L15" s="6" t="n">
        <v>0</v>
      </c>
      <c r="M15" s="6" t="n">
        <v>257331.9</v>
      </c>
      <c r="N15" s="6"/>
      <c r="O15" s="6"/>
      <c r="P15" s="7"/>
      <c r="Q15" s="5" t="s">
        <v>26</v>
      </c>
      <c r="R15" s="5" t="s">
        <v>27</v>
      </c>
    </row>
    <row r="16" customFormat="false" ht="15" hidden="false" customHeight="true" outlineLevel="0" collapsed="false">
      <c r="A16" s="5" t="s">
        <v>40</v>
      </c>
      <c r="B16" s="6" t="n">
        <v>828299584.35</v>
      </c>
      <c r="C16" s="6" t="n">
        <v>0</v>
      </c>
      <c r="D16" s="6" t="n">
        <v>828299584.35</v>
      </c>
      <c r="E16" s="6" t="n">
        <v>306470.85</v>
      </c>
      <c r="F16" s="6" t="n">
        <v>0</v>
      </c>
      <c r="G16" s="6" t="n">
        <f aca="false">E16+F16</f>
        <v>306470.85</v>
      </c>
      <c r="H16" s="7" t="n">
        <f aca="false">IF(D16=0,0,C16/D16)</f>
        <v>0</v>
      </c>
      <c r="I16" s="7" t="n">
        <f aca="false">IF(D16=0,0,B16/D16)</f>
        <v>1</v>
      </c>
      <c r="J16" s="6" t="n">
        <f aca="false">E16*H16</f>
        <v>0</v>
      </c>
      <c r="K16" s="6" t="n">
        <f aca="false">E16*I16</f>
        <v>306470.85</v>
      </c>
      <c r="L16" s="6" t="n">
        <v>0</v>
      </c>
      <c r="M16" s="6" t="n">
        <v>306470.85</v>
      </c>
      <c r="N16" s="6"/>
      <c r="O16" s="6"/>
      <c r="P16" s="7"/>
      <c r="Q16" s="5" t="s">
        <v>26</v>
      </c>
      <c r="R16" s="5" t="s">
        <v>27</v>
      </c>
    </row>
    <row r="17" customFormat="false" ht="15" hidden="false" customHeight="true" outlineLevel="0" collapsed="false">
      <c r="A17" s="5" t="s">
        <v>41</v>
      </c>
      <c r="B17" s="6" t="n">
        <v>360207214.07</v>
      </c>
      <c r="C17" s="6" t="n">
        <v>0</v>
      </c>
      <c r="D17" s="6" t="n">
        <v>360207214.07</v>
      </c>
      <c r="E17" s="6" t="n">
        <v>133276.67</v>
      </c>
      <c r="F17" s="6" t="n">
        <v>0</v>
      </c>
      <c r="G17" s="6" t="n">
        <f aca="false">E17+F17</f>
        <v>133276.67</v>
      </c>
      <c r="H17" s="7" t="n">
        <f aca="false">IF(D17=0,0,C17/D17)</f>
        <v>0</v>
      </c>
      <c r="I17" s="7" t="n">
        <f aca="false">IF(D17=0,0,B17/D17)</f>
        <v>1</v>
      </c>
      <c r="J17" s="6" t="n">
        <f aca="false">E17*H17</f>
        <v>0</v>
      </c>
      <c r="K17" s="6" t="n">
        <f aca="false">E17*I17</f>
        <v>133276.67</v>
      </c>
      <c r="L17" s="6" t="n">
        <v>0</v>
      </c>
      <c r="M17" s="6" t="n">
        <v>133276.67</v>
      </c>
      <c r="N17" s="6"/>
      <c r="O17" s="6"/>
      <c r="P17" s="7"/>
      <c r="Q17" s="5" t="s">
        <v>26</v>
      </c>
      <c r="R17" s="5" t="s">
        <v>27</v>
      </c>
    </row>
    <row r="18" customFormat="false" ht="15" hidden="false" customHeight="true" outlineLevel="0" collapsed="false">
      <c r="A18" s="5" t="s">
        <v>42</v>
      </c>
      <c r="B18" s="6" t="n">
        <v>436589484.58</v>
      </c>
      <c r="C18" s="6" t="n">
        <v>0</v>
      </c>
      <c r="D18" s="6" t="n">
        <v>436589484.58</v>
      </c>
      <c r="E18" s="6" t="n">
        <v>161538.11</v>
      </c>
      <c r="F18" s="6" t="n">
        <v>0</v>
      </c>
      <c r="G18" s="6" t="n">
        <f aca="false">E18+F18</f>
        <v>161538.11</v>
      </c>
      <c r="H18" s="7" t="n">
        <f aca="false">IF(D18=0,0,C18/D18)</f>
        <v>0</v>
      </c>
      <c r="I18" s="7" t="n">
        <f aca="false">IF(D18=0,0,B18/D18)</f>
        <v>1</v>
      </c>
      <c r="J18" s="6" t="n">
        <f aca="false">E18*H18</f>
        <v>0</v>
      </c>
      <c r="K18" s="6" t="n">
        <f aca="false">E18*I18</f>
        <v>161538.11</v>
      </c>
      <c r="L18" s="6" t="n">
        <v>0</v>
      </c>
      <c r="M18" s="6" t="n">
        <v>161538.11</v>
      </c>
      <c r="N18" s="6"/>
      <c r="O18" s="6"/>
      <c r="P18" s="7"/>
      <c r="Q18" s="5" t="s">
        <v>26</v>
      </c>
      <c r="R18" s="5" t="s">
        <v>27</v>
      </c>
    </row>
    <row r="19" customFormat="false" ht="15" hidden="false" customHeight="true" outlineLevel="0" collapsed="false">
      <c r="A19" s="5" t="s">
        <v>43</v>
      </c>
      <c r="B19" s="6" t="n">
        <v>1181883017.58</v>
      </c>
      <c r="C19" s="6" t="n">
        <v>0</v>
      </c>
      <c r="D19" s="6" t="n">
        <v>1181883017.58</v>
      </c>
      <c r="E19" s="6" t="n">
        <v>437296.72</v>
      </c>
      <c r="F19" s="6" t="n">
        <v>0</v>
      </c>
      <c r="G19" s="6" t="n">
        <f aca="false">E19+F19</f>
        <v>437296.72</v>
      </c>
      <c r="H19" s="7" t="n">
        <f aca="false">IF(D19=0,0,C19/D19)</f>
        <v>0</v>
      </c>
      <c r="I19" s="7" t="n">
        <f aca="false">IF(D19=0,0,B19/D19)</f>
        <v>1</v>
      </c>
      <c r="J19" s="6" t="n">
        <f aca="false">E19*H19</f>
        <v>0</v>
      </c>
      <c r="K19" s="6" t="n">
        <f aca="false">E19*I19</f>
        <v>437296.72</v>
      </c>
      <c r="L19" s="6" t="n">
        <v>0</v>
      </c>
      <c r="M19" s="6" t="n">
        <v>437296.72</v>
      </c>
      <c r="N19" s="6"/>
      <c r="O19" s="6"/>
      <c r="P19" s="7"/>
      <c r="Q19" s="5" t="s">
        <v>26</v>
      </c>
      <c r="R19" s="5" t="s">
        <v>27</v>
      </c>
    </row>
    <row r="20" customFormat="false" ht="15" hidden="false" customHeight="true" outlineLevel="0" collapsed="false">
      <c r="A20" s="5" t="s">
        <v>44</v>
      </c>
      <c r="B20" s="6" t="n">
        <v>1680305322.52</v>
      </c>
      <c r="C20" s="6" t="n">
        <v>0</v>
      </c>
      <c r="D20" s="6" t="n">
        <v>1680305322.52</v>
      </c>
      <c r="E20" s="6" t="n">
        <v>621712.97</v>
      </c>
      <c r="F20" s="6" t="n">
        <v>0</v>
      </c>
      <c r="G20" s="6" t="n">
        <f aca="false">E20+F20</f>
        <v>621712.97</v>
      </c>
      <c r="H20" s="7" t="n">
        <f aca="false">IF(D20=0,0,C20/D20)</f>
        <v>0</v>
      </c>
      <c r="I20" s="7" t="n">
        <f aca="false">IF(D20=0,0,B20/D20)</f>
        <v>1</v>
      </c>
      <c r="J20" s="6" t="n">
        <f aca="false">E20*H20</f>
        <v>0</v>
      </c>
      <c r="K20" s="6" t="n">
        <f aca="false">E20*I20</f>
        <v>621712.97</v>
      </c>
      <c r="L20" s="6" t="n">
        <v>0</v>
      </c>
      <c r="M20" s="6" t="n">
        <v>621712.97</v>
      </c>
      <c r="N20" s="6"/>
      <c r="O20" s="6"/>
      <c r="P20" s="7"/>
      <c r="Q20" s="5" t="s">
        <v>26</v>
      </c>
      <c r="R20" s="5" t="s">
        <v>27</v>
      </c>
    </row>
    <row r="21" customFormat="false" ht="15" hidden="false" customHeight="true" outlineLevel="0" collapsed="false">
      <c r="A21" s="5" t="s">
        <v>45</v>
      </c>
      <c r="B21" s="6" t="n">
        <v>1243360390.2</v>
      </c>
      <c r="C21" s="6" t="n">
        <v>0</v>
      </c>
      <c r="D21" s="6" t="n">
        <v>1243360390.2</v>
      </c>
      <c r="E21" s="6" t="n">
        <v>460043.34</v>
      </c>
      <c r="F21" s="6" t="n">
        <v>0</v>
      </c>
      <c r="G21" s="6" t="n">
        <f aca="false">E21+F21</f>
        <v>460043.34</v>
      </c>
      <c r="H21" s="7" t="n">
        <f aca="false">IF(D21=0,0,C21/D21)</f>
        <v>0</v>
      </c>
      <c r="I21" s="7" t="n">
        <f aca="false">IF(D21=0,0,B21/D21)</f>
        <v>1</v>
      </c>
      <c r="J21" s="6" t="n">
        <f aca="false">E21*H21</f>
        <v>0</v>
      </c>
      <c r="K21" s="6" t="n">
        <f aca="false">E21*I21</f>
        <v>460043.34</v>
      </c>
      <c r="L21" s="6" t="n">
        <v>0</v>
      </c>
      <c r="M21" s="6" t="n">
        <v>460043.34</v>
      </c>
      <c r="N21" s="6"/>
      <c r="O21" s="6"/>
      <c r="P21" s="7"/>
      <c r="Q21" s="5" t="s">
        <v>26</v>
      </c>
      <c r="R21" s="5" t="s">
        <v>27</v>
      </c>
    </row>
    <row r="22" customFormat="false" ht="15" hidden="false" customHeight="true" outlineLevel="0" collapsed="false">
      <c r="A22" s="5" t="s">
        <v>46</v>
      </c>
      <c r="B22" s="6" t="n">
        <v>1755930919.59</v>
      </c>
      <c r="C22" s="6" t="n">
        <v>0</v>
      </c>
      <c r="D22" s="6" t="n">
        <v>1755930919.59</v>
      </c>
      <c r="E22" s="6" t="n">
        <v>649694.44</v>
      </c>
      <c r="F22" s="6" t="n">
        <v>0</v>
      </c>
      <c r="G22" s="6" t="n">
        <f aca="false">E22+F22</f>
        <v>649694.44</v>
      </c>
      <c r="H22" s="7" t="n">
        <f aca="false">IF(D22=0,0,C22/D22)</f>
        <v>0</v>
      </c>
      <c r="I22" s="7" t="n">
        <f aca="false">IF(D22=0,0,B22/D22)</f>
        <v>1</v>
      </c>
      <c r="J22" s="6" t="n">
        <f aca="false">E22*H22</f>
        <v>0</v>
      </c>
      <c r="K22" s="6" t="n">
        <f aca="false">E22*I22</f>
        <v>649694.44</v>
      </c>
      <c r="L22" s="6" t="n">
        <v>0</v>
      </c>
      <c r="M22" s="6" t="n">
        <v>649694.44</v>
      </c>
      <c r="N22" s="6"/>
      <c r="O22" s="6"/>
      <c r="P22" s="7"/>
      <c r="Q22" s="5" t="s">
        <v>26</v>
      </c>
      <c r="R22" s="5" t="s">
        <v>27</v>
      </c>
    </row>
    <row r="23" customFormat="false" ht="15" hidden="false" customHeight="true" outlineLevel="0" collapsed="false">
      <c r="A23" s="5" t="s">
        <v>47</v>
      </c>
      <c r="B23" s="6" t="n">
        <v>1942628206.48</v>
      </c>
      <c r="C23" s="6" t="n">
        <v>0</v>
      </c>
      <c r="D23" s="6" t="n">
        <v>1942628206.48</v>
      </c>
      <c r="E23" s="6" t="n">
        <v>718772.44</v>
      </c>
      <c r="F23" s="6" t="n">
        <v>0</v>
      </c>
      <c r="G23" s="6" t="n">
        <f aca="false">E23+F23</f>
        <v>718772.44</v>
      </c>
      <c r="H23" s="7" t="n">
        <f aca="false">IF(D23=0,0,C23/D23)</f>
        <v>0</v>
      </c>
      <c r="I23" s="7" t="n">
        <f aca="false">IF(D23=0,0,B23/D23)</f>
        <v>1</v>
      </c>
      <c r="J23" s="6" t="n">
        <f aca="false">E23*H23</f>
        <v>0</v>
      </c>
      <c r="K23" s="6" t="n">
        <f aca="false">E23*I23</f>
        <v>718772.44</v>
      </c>
      <c r="L23" s="6" t="n">
        <v>0</v>
      </c>
      <c r="M23" s="6" t="n">
        <v>718772.44</v>
      </c>
      <c r="N23" s="6"/>
      <c r="O23" s="6"/>
      <c r="P23" s="7"/>
      <c r="Q23" s="5" t="s">
        <v>26</v>
      </c>
      <c r="R23" s="5" t="s">
        <v>27</v>
      </c>
    </row>
    <row r="24" customFormat="false" ht="15" hidden="false" customHeight="true" outlineLevel="0" collapsed="false">
      <c r="A24" s="5" t="s">
        <v>48</v>
      </c>
      <c r="B24" s="6" t="n">
        <v>3671784735.35</v>
      </c>
      <c r="C24" s="6" t="n">
        <v>0</v>
      </c>
      <c r="D24" s="6" t="n">
        <v>3671784735.35</v>
      </c>
      <c r="E24" s="6" t="n">
        <v>1358560.35</v>
      </c>
      <c r="F24" s="6" t="n">
        <v>0</v>
      </c>
      <c r="G24" s="6" t="n">
        <f aca="false">E24+F24</f>
        <v>1358560.35</v>
      </c>
      <c r="H24" s="7" t="n">
        <f aca="false">IF(D24=0,0,C24/D24)</f>
        <v>0</v>
      </c>
      <c r="I24" s="7" t="n">
        <f aca="false">IF(D24=0,0,B24/D24)</f>
        <v>1</v>
      </c>
      <c r="J24" s="6" t="n">
        <f aca="false">E24*H24</f>
        <v>0</v>
      </c>
      <c r="K24" s="6" t="n">
        <f aca="false">E24*I24</f>
        <v>1358560.35</v>
      </c>
      <c r="L24" s="6" t="n">
        <v>0</v>
      </c>
      <c r="M24" s="6" t="n">
        <v>1358560.35</v>
      </c>
      <c r="N24" s="6"/>
      <c r="O24" s="6"/>
      <c r="P24" s="7"/>
      <c r="Q24" s="5" t="s">
        <v>26</v>
      </c>
      <c r="R24" s="5" t="s">
        <v>27</v>
      </c>
    </row>
    <row r="25" customFormat="false" ht="15" hidden="false" customHeight="true" outlineLevel="0" collapsed="false">
      <c r="A25" s="5" t="s">
        <v>49</v>
      </c>
      <c r="B25" s="6" t="n">
        <v>2026034415.52</v>
      </c>
      <c r="C25" s="6" t="n">
        <v>0</v>
      </c>
      <c r="D25" s="6" t="n">
        <v>2026034415.52</v>
      </c>
      <c r="E25" s="6" t="n">
        <v>749632.73</v>
      </c>
      <c r="F25" s="6" t="n">
        <v>0</v>
      </c>
      <c r="G25" s="6" t="n">
        <f aca="false">E25+F25</f>
        <v>749632.73</v>
      </c>
      <c r="H25" s="7" t="n">
        <f aca="false">IF(D25=0,0,C25/D25)</f>
        <v>0</v>
      </c>
      <c r="I25" s="7" t="n">
        <f aca="false">IF(D25=0,0,B25/D25)</f>
        <v>1</v>
      </c>
      <c r="J25" s="6" t="n">
        <f aca="false">E25*H25</f>
        <v>0</v>
      </c>
      <c r="K25" s="6" t="n">
        <f aca="false">E25*I25</f>
        <v>749632.73</v>
      </c>
      <c r="L25" s="6" t="n">
        <v>0</v>
      </c>
      <c r="M25" s="6" t="n">
        <v>749632.73</v>
      </c>
      <c r="N25" s="6"/>
      <c r="O25" s="6"/>
      <c r="P25" s="7"/>
      <c r="Q25" s="5" t="s">
        <v>26</v>
      </c>
      <c r="R25" s="5" t="s">
        <v>27</v>
      </c>
    </row>
    <row r="26" customFormat="false" ht="15" hidden="false" customHeight="true" outlineLevel="0" collapsed="false">
      <c r="A26" s="5" t="s">
        <v>50</v>
      </c>
      <c r="B26" s="6" t="n">
        <v>2373508641.05</v>
      </c>
      <c r="C26" s="6" t="n">
        <v>0</v>
      </c>
      <c r="D26" s="6" t="n">
        <v>2373508641.05</v>
      </c>
      <c r="E26" s="6" t="n">
        <v>878198.2</v>
      </c>
      <c r="F26" s="6" t="n">
        <v>0</v>
      </c>
      <c r="G26" s="6" t="n">
        <f aca="false">E26+F26</f>
        <v>878198.2</v>
      </c>
      <c r="H26" s="7" t="n">
        <f aca="false">IF(D26=0,0,C26/D26)</f>
        <v>0</v>
      </c>
      <c r="I26" s="7" t="n">
        <f aca="false">IF(D26=0,0,B26/D26)</f>
        <v>1</v>
      </c>
      <c r="J26" s="6" t="n">
        <f aca="false">E26*H26</f>
        <v>0</v>
      </c>
      <c r="K26" s="6" t="n">
        <f aca="false">E26*I26</f>
        <v>878198.2</v>
      </c>
      <c r="L26" s="6" t="n">
        <v>0</v>
      </c>
      <c r="M26" s="6" t="n">
        <v>878198.2</v>
      </c>
      <c r="N26" s="6"/>
      <c r="O26" s="6"/>
      <c r="P26" s="7"/>
      <c r="Q26" s="5" t="s">
        <v>26</v>
      </c>
      <c r="R26" s="5" t="s">
        <v>27</v>
      </c>
    </row>
    <row r="27" customFormat="false" ht="15" hidden="false" customHeight="true" outlineLevel="0" collapsed="false">
      <c r="A27" s="5" t="s">
        <v>51</v>
      </c>
      <c r="B27" s="6" t="n">
        <v>531069565.5</v>
      </c>
      <c r="C27" s="6" t="n">
        <v>0</v>
      </c>
      <c r="D27" s="6" t="n">
        <v>531069565.5</v>
      </c>
      <c r="E27" s="6" t="n">
        <v>196495.74</v>
      </c>
      <c r="F27" s="6" t="n">
        <v>0</v>
      </c>
      <c r="G27" s="6" t="n">
        <f aca="false">E27+F27</f>
        <v>196495.74</v>
      </c>
      <c r="H27" s="7" t="n">
        <f aca="false">IF(D27=0,0,C27/D27)</f>
        <v>0</v>
      </c>
      <c r="I27" s="7" t="n">
        <f aca="false">IF(D27=0,0,B27/D27)</f>
        <v>1</v>
      </c>
      <c r="J27" s="6" t="n">
        <f aca="false">E27*H27</f>
        <v>0</v>
      </c>
      <c r="K27" s="6" t="n">
        <f aca="false">E27*I27</f>
        <v>196495.74</v>
      </c>
      <c r="L27" s="6" t="n">
        <v>0</v>
      </c>
      <c r="M27" s="6" t="n">
        <v>196495.74</v>
      </c>
      <c r="N27" s="6"/>
      <c r="O27" s="6"/>
      <c r="P27" s="7"/>
      <c r="Q27" s="5" t="s">
        <v>26</v>
      </c>
      <c r="R27" s="5" t="s">
        <v>27</v>
      </c>
    </row>
    <row r="28" customFormat="false" ht="15" hidden="false" customHeight="true" outlineLevel="0" collapsed="false">
      <c r="A28" s="5" t="s">
        <v>52</v>
      </c>
      <c r="B28" s="6" t="n">
        <v>70568858.43</v>
      </c>
      <c r="C28" s="6" t="n">
        <v>0</v>
      </c>
      <c r="D28" s="6" t="n">
        <v>70568858.43</v>
      </c>
      <c r="E28" s="6" t="n">
        <v>26110.48</v>
      </c>
      <c r="F28" s="6" t="n">
        <v>0</v>
      </c>
      <c r="G28" s="6" t="n">
        <f aca="false">E28+F28</f>
        <v>26110.48</v>
      </c>
      <c r="H28" s="7" t="n">
        <f aca="false">IF(D28=0,0,C28/D28)</f>
        <v>0</v>
      </c>
      <c r="I28" s="7" t="n">
        <f aca="false">IF(D28=0,0,B28/D28)</f>
        <v>1</v>
      </c>
      <c r="J28" s="6" t="n">
        <f aca="false">E28*H28</f>
        <v>0</v>
      </c>
      <c r="K28" s="6" t="n">
        <f aca="false">E28*I28</f>
        <v>26110.48</v>
      </c>
      <c r="L28" s="6" t="n">
        <v>0</v>
      </c>
      <c r="M28" s="6" t="n">
        <v>26110.48</v>
      </c>
      <c r="N28" s="6"/>
      <c r="O28" s="6"/>
      <c r="P28" s="7"/>
      <c r="Q28" s="5" t="s">
        <v>26</v>
      </c>
      <c r="R28" s="5" t="s">
        <v>27</v>
      </c>
    </row>
    <row r="29" customFormat="false" ht="15" hidden="false" customHeight="true" outlineLevel="0" collapsed="false">
      <c r="A29" s="5" t="s">
        <v>53</v>
      </c>
      <c r="B29" s="6" t="n">
        <v>95830879.85</v>
      </c>
      <c r="C29" s="6" t="n">
        <v>0</v>
      </c>
      <c r="D29" s="6" t="n">
        <v>95830879.85</v>
      </c>
      <c r="E29" s="6" t="n">
        <v>35457.43</v>
      </c>
      <c r="F29" s="6" t="n">
        <v>0</v>
      </c>
      <c r="G29" s="6" t="n">
        <f aca="false">E29+F29</f>
        <v>35457.43</v>
      </c>
      <c r="H29" s="7" t="n">
        <f aca="false">IF(D29=0,0,C29/D29)</f>
        <v>0</v>
      </c>
      <c r="I29" s="7" t="n">
        <f aca="false">IF(D29=0,0,B29/D29)</f>
        <v>1</v>
      </c>
      <c r="J29" s="6" t="n">
        <f aca="false">E29*H29</f>
        <v>0</v>
      </c>
      <c r="K29" s="6" t="n">
        <f aca="false">E29*I29</f>
        <v>35457.43</v>
      </c>
      <c r="L29" s="6" t="n">
        <v>0</v>
      </c>
      <c r="M29" s="6" t="n">
        <v>35457.43</v>
      </c>
      <c r="N29" s="6"/>
      <c r="O29" s="6"/>
      <c r="P29" s="7"/>
      <c r="Q29" s="5" t="s">
        <v>26</v>
      </c>
      <c r="R29" s="5" t="s">
        <v>27</v>
      </c>
    </row>
    <row r="30" customFormat="false" ht="15" hidden="false" customHeight="true" outlineLevel="0" collapsed="false">
      <c r="A30" s="5" t="s">
        <v>54</v>
      </c>
      <c r="B30" s="6" t="n">
        <v>16587189.4</v>
      </c>
      <c r="C30" s="6" t="n">
        <v>0</v>
      </c>
      <c r="D30" s="6" t="n">
        <v>16587189.4</v>
      </c>
      <c r="E30" s="6" t="n">
        <v>6137.26</v>
      </c>
      <c r="F30" s="6" t="n">
        <v>0</v>
      </c>
      <c r="G30" s="6" t="n">
        <f aca="false">E30+F30</f>
        <v>6137.26</v>
      </c>
      <c r="H30" s="7" t="n">
        <f aca="false">IF(D30=0,0,C30/D30)</f>
        <v>0</v>
      </c>
      <c r="I30" s="7" t="n">
        <f aca="false">IF(D30=0,0,B30/D30)</f>
        <v>1</v>
      </c>
      <c r="J30" s="6" t="n">
        <f aca="false">E30*H30</f>
        <v>0</v>
      </c>
      <c r="K30" s="6" t="n">
        <f aca="false">E30*I30</f>
        <v>6137.26</v>
      </c>
      <c r="L30" s="6" t="n">
        <v>0</v>
      </c>
      <c r="M30" s="6" t="n">
        <v>6137.26</v>
      </c>
      <c r="N30" s="6"/>
      <c r="O30" s="6"/>
      <c r="P30" s="7"/>
      <c r="Q30" s="5" t="s">
        <v>26</v>
      </c>
      <c r="R30" s="5" t="s">
        <v>27</v>
      </c>
    </row>
    <row r="31" customFormat="false" ht="15" hidden="false" customHeight="true" outlineLevel="0" collapsed="false">
      <c r="A31" s="5" t="s">
        <v>55</v>
      </c>
      <c r="B31" s="6" t="n">
        <v>9952192.19</v>
      </c>
      <c r="C31" s="6" t="n">
        <v>0</v>
      </c>
      <c r="D31" s="6" t="n">
        <v>9952192.19</v>
      </c>
      <c r="E31" s="6" t="n">
        <v>3682.31</v>
      </c>
      <c r="F31" s="6" t="n">
        <v>0</v>
      </c>
      <c r="G31" s="6" t="n">
        <f aca="false">E31+F31</f>
        <v>3682.31</v>
      </c>
      <c r="H31" s="7" t="n">
        <f aca="false">IF(D31=0,0,C31/D31)</f>
        <v>0</v>
      </c>
      <c r="I31" s="7" t="n">
        <f aca="false">IF(D31=0,0,B31/D31)</f>
        <v>1</v>
      </c>
      <c r="J31" s="6" t="n">
        <f aca="false">E31*H31</f>
        <v>0</v>
      </c>
      <c r="K31" s="6" t="n">
        <f aca="false">E31*I31</f>
        <v>3682.31</v>
      </c>
      <c r="L31" s="6" t="n">
        <v>0</v>
      </c>
      <c r="M31" s="6" t="n">
        <v>3682.31</v>
      </c>
      <c r="N31" s="6"/>
      <c r="O31" s="6"/>
      <c r="P31" s="7"/>
      <c r="Q31" s="5" t="s">
        <v>26</v>
      </c>
      <c r="R31" s="5" t="s">
        <v>27</v>
      </c>
    </row>
    <row r="32" customFormat="false" ht="15" hidden="false" customHeight="true" outlineLevel="0" collapsed="false">
      <c r="A32" s="5" t="s">
        <v>56</v>
      </c>
      <c r="B32" s="6" t="n">
        <v>9641694</v>
      </c>
      <c r="C32" s="6" t="n">
        <v>0</v>
      </c>
      <c r="D32" s="6" t="n">
        <v>9641694</v>
      </c>
      <c r="E32" s="6" t="n">
        <v>3567.43</v>
      </c>
      <c r="F32" s="6" t="n">
        <v>0</v>
      </c>
      <c r="G32" s="6" t="n">
        <f aca="false">E32+F32</f>
        <v>3567.43</v>
      </c>
      <c r="H32" s="7" t="n">
        <f aca="false">IF(D32=0,0,C32/D32)</f>
        <v>0</v>
      </c>
      <c r="I32" s="7" t="n">
        <f aca="false">IF(D32=0,0,B32/D32)</f>
        <v>1</v>
      </c>
      <c r="J32" s="6" t="n">
        <f aca="false">E32*H32</f>
        <v>0</v>
      </c>
      <c r="K32" s="6" t="n">
        <f aca="false">E32*I32</f>
        <v>3567.43</v>
      </c>
      <c r="L32" s="6" t="n">
        <v>0</v>
      </c>
      <c r="M32" s="6" t="n">
        <v>3567.43</v>
      </c>
      <c r="N32" s="6"/>
      <c r="O32" s="6"/>
      <c r="P32" s="7"/>
      <c r="Q32" s="5" t="s">
        <v>26</v>
      </c>
      <c r="R32" s="5" t="s">
        <v>27</v>
      </c>
    </row>
    <row r="33" customFormat="false" ht="15" hidden="false" customHeight="true" outlineLevel="0" collapsed="false">
      <c r="A33" s="5" t="s">
        <v>57</v>
      </c>
      <c r="B33" s="6" t="n">
        <v>17453853.87</v>
      </c>
      <c r="C33" s="6" t="n">
        <v>0</v>
      </c>
      <c r="D33" s="6" t="n">
        <v>17453853.87</v>
      </c>
      <c r="E33" s="6" t="n">
        <v>6457.93</v>
      </c>
      <c r="F33" s="6" t="n">
        <v>0</v>
      </c>
      <c r="G33" s="6" t="n">
        <f aca="false">E33+F33</f>
        <v>6457.93</v>
      </c>
      <c r="H33" s="7" t="n">
        <f aca="false">IF(D33=0,0,C33/D33)</f>
        <v>0</v>
      </c>
      <c r="I33" s="7" t="n">
        <f aca="false">IF(D33=0,0,B33/D33)</f>
        <v>1</v>
      </c>
      <c r="J33" s="6" t="n">
        <f aca="false">E33*H33</f>
        <v>0</v>
      </c>
      <c r="K33" s="6" t="n">
        <f aca="false">E33*I33</f>
        <v>6457.93</v>
      </c>
      <c r="L33" s="6" t="n">
        <v>0</v>
      </c>
      <c r="M33" s="6" t="n">
        <v>6457.93</v>
      </c>
      <c r="N33" s="6"/>
      <c r="O33" s="6"/>
      <c r="P33" s="7"/>
      <c r="Q33" s="5" t="s">
        <v>26</v>
      </c>
      <c r="R33" s="5" t="s">
        <v>27</v>
      </c>
    </row>
    <row r="34" customFormat="false" ht="15" hidden="false" customHeight="true" outlineLevel="0" collapsed="false">
      <c r="A34" s="5" t="s">
        <v>58</v>
      </c>
      <c r="B34" s="6" t="n">
        <v>27580830</v>
      </c>
      <c r="C34" s="6" t="n">
        <v>0</v>
      </c>
      <c r="D34" s="6" t="n">
        <v>27580830</v>
      </c>
      <c r="E34" s="6" t="n">
        <v>10204.91</v>
      </c>
      <c r="F34" s="6" t="n">
        <v>0</v>
      </c>
      <c r="G34" s="6" t="n">
        <f aca="false">E34+F34</f>
        <v>10204.91</v>
      </c>
      <c r="H34" s="7" t="n">
        <f aca="false">IF(D34=0,0,C34/D34)</f>
        <v>0</v>
      </c>
      <c r="I34" s="7" t="n">
        <f aca="false">IF(D34=0,0,B34/D34)</f>
        <v>1</v>
      </c>
      <c r="J34" s="6" t="n">
        <f aca="false">E34*H34</f>
        <v>0</v>
      </c>
      <c r="K34" s="6" t="n">
        <f aca="false">E34*I34</f>
        <v>10204.91</v>
      </c>
      <c r="L34" s="6" t="n">
        <v>0</v>
      </c>
      <c r="M34" s="6" t="n">
        <v>10204.91</v>
      </c>
      <c r="N34" s="6"/>
      <c r="O34" s="6"/>
      <c r="P34" s="7"/>
      <c r="Q34" s="5" t="s">
        <v>26</v>
      </c>
      <c r="R34" s="5" t="s">
        <v>27</v>
      </c>
    </row>
    <row r="35" customFormat="false" ht="15" hidden="false" customHeight="true" outlineLevel="0" collapsed="false">
      <c r="A35" s="5" t="s">
        <v>59</v>
      </c>
      <c r="B35" s="6" t="n">
        <v>61364794.97</v>
      </c>
      <c r="C35" s="6" t="n">
        <v>0</v>
      </c>
      <c r="D35" s="6" t="n">
        <v>61364794.97</v>
      </c>
      <c r="E35" s="6" t="n">
        <v>22704.97</v>
      </c>
      <c r="F35" s="6" t="n">
        <v>0</v>
      </c>
      <c r="G35" s="6" t="n">
        <f aca="false">E35+F35</f>
        <v>22704.97</v>
      </c>
      <c r="H35" s="7" t="n">
        <f aca="false">IF(D35=0,0,C35/D35)</f>
        <v>0</v>
      </c>
      <c r="I35" s="7" t="n">
        <f aca="false">IF(D35=0,0,B35/D35)</f>
        <v>1</v>
      </c>
      <c r="J35" s="6" t="n">
        <f aca="false">E35*H35</f>
        <v>0</v>
      </c>
      <c r="K35" s="6" t="n">
        <f aca="false">E35*I35</f>
        <v>22704.97</v>
      </c>
      <c r="L35" s="6" t="n">
        <v>0</v>
      </c>
      <c r="M35" s="6" t="n">
        <v>22704.97</v>
      </c>
      <c r="N35" s="6"/>
      <c r="O35" s="6"/>
      <c r="P35" s="7"/>
      <c r="Q35" s="5" t="s">
        <v>26</v>
      </c>
      <c r="R35" s="5" t="s">
        <v>27</v>
      </c>
    </row>
    <row r="36" customFormat="false" ht="15" hidden="false" customHeight="true" outlineLevel="0" collapsed="false">
      <c r="A36" s="5" t="s">
        <v>60</v>
      </c>
      <c r="B36" s="6" t="n">
        <v>43955291.81</v>
      </c>
      <c r="C36" s="6" t="n">
        <v>0</v>
      </c>
      <c r="D36" s="6" t="n">
        <v>43955291.81</v>
      </c>
      <c r="E36" s="6" t="n">
        <v>16263.46</v>
      </c>
      <c r="F36" s="6" t="n">
        <v>0</v>
      </c>
      <c r="G36" s="6" t="n">
        <f aca="false">E36+F36</f>
        <v>16263.46</v>
      </c>
      <c r="H36" s="7" t="n">
        <f aca="false">IF(D36=0,0,C36/D36)</f>
        <v>0</v>
      </c>
      <c r="I36" s="7" t="n">
        <f aca="false">IF(D36=0,0,B36/D36)</f>
        <v>1</v>
      </c>
      <c r="J36" s="6" t="n">
        <f aca="false">E36*H36</f>
        <v>0</v>
      </c>
      <c r="K36" s="6" t="n">
        <f aca="false">E36*I36</f>
        <v>16263.46</v>
      </c>
      <c r="L36" s="6" t="n">
        <v>0</v>
      </c>
      <c r="M36" s="6" t="n">
        <v>16263.46</v>
      </c>
      <c r="N36" s="6"/>
      <c r="O36" s="6"/>
      <c r="P36" s="7"/>
      <c r="Q36" s="5" t="s">
        <v>26</v>
      </c>
      <c r="R36" s="5" t="s">
        <v>27</v>
      </c>
    </row>
    <row r="37" customFormat="false" ht="15" hidden="false" customHeight="true" outlineLevel="0" collapsed="false">
      <c r="A37" s="5" t="s">
        <v>61</v>
      </c>
      <c r="B37" s="6" t="n">
        <v>47863456.18</v>
      </c>
      <c r="C37" s="6" t="n">
        <v>0</v>
      </c>
      <c r="D37" s="6" t="n">
        <v>47863456.18</v>
      </c>
      <c r="E37" s="6" t="n">
        <v>17709.48</v>
      </c>
      <c r="F37" s="6" t="n">
        <v>0</v>
      </c>
      <c r="G37" s="6" t="n">
        <f aca="false">E37+F37</f>
        <v>17709.48</v>
      </c>
      <c r="H37" s="7" t="n">
        <f aca="false">IF(D37=0,0,C37/D37)</f>
        <v>0</v>
      </c>
      <c r="I37" s="7" t="n">
        <f aca="false">IF(D37=0,0,B37/D37)</f>
        <v>1</v>
      </c>
      <c r="J37" s="6" t="n">
        <f aca="false">E37*H37</f>
        <v>0</v>
      </c>
      <c r="K37" s="6" t="n">
        <f aca="false">E37*I37</f>
        <v>17709.48</v>
      </c>
      <c r="L37" s="6" t="n">
        <v>0</v>
      </c>
      <c r="M37" s="6" t="n">
        <v>17709.48</v>
      </c>
      <c r="N37" s="6"/>
      <c r="O37" s="6"/>
      <c r="P37" s="7"/>
      <c r="Q37" s="5" t="s">
        <v>26</v>
      </c>
      <c r="R37" s="5" t="s">
        <v>27</v>
      </c>
    </row>
    <row r="38" customFormat="false" ht="15" hidden="false" customHeight="true" outlineLevel="0" collapsed="false">
      <c r="A38" s="5" t="s">
        <v>62</v>
      </c>
      <c r="B38" s="6" t="n">
        <v>33718306.41</v>
      </c>
      <c r="C38" s="6" t="n">
        <v>0</v>
      </c>
      <c r="D38" s="6" t="n">
        <v>33718306.41</v>
      </c>
      <c r="E38" s="6" t="n">
        <v>12475.77</v>
      </c>
      <c r="F38" s="6" t="n">
        <v>0</v>
      </c>
      <c r="G38" s="6" t="n">
        <f aca="false">E38+F38</f>
        <v>12475.77</v>
      </c>
      <c r="H38" s="7" t="n">
        <f aca="false">IF(D38=0,0,C38/D38)</f>
        <v>0</v>
      </c>
      <c r="I38" s="7" t="n">
        <f aca="false">IF(D38=0,0,B38/D38)</f>
        <v>1</v>
      </c>
      <c r="J38" s="6" t="n">
        <f aca="false">E38*H38</f>
        <v>0</v>
      </c>
      <c r="K38" s="6" t="n">
        <f aca="false">E38*I38</f>
        <v>12475.77</v>
      </c>
      <c r="L38" s="6" t="n">
        <v>0</v>
      </c>
      <c r="M38" s="6" t="n">
        <v>12475.77</v>
      </c>
      <c r="N38" s="6"/>
      <c r="O38" s="6"/>
      <c r="P38" s="7"/>
      <c r="Q38" s="5" t="s">
        <v>26</v>
      </c>
      <c r="R38" s="5" t="s">
        <v>27</v>
      </c>
    </row>
    <row r="39" customFormat="false" ht="15" hidden="false" customHeight="true" outlineLevel="0" collapsed="false">
      <c r="A39" s="5" t="s">
        <v>63</v>
      </c>
      <c r="B39" s="6" t="n">
        <v>36663557.62</v>
      </c>
      <c r="C39" s="6" t="n">
        <v>0</v>
      </c>
      <c r="D39" s="6" t="n">
        <v>36663557.62</v>
      </c>
      <c r="E39" s="6" t="n">
        <v>13565.52</v>
      </c>
      <c r="F39" s="6" t="n">
        <v>0</v>
      </c>
      <c r="G39" s="6" t="n">
        <f aca="false">E39+F39</f>
        <v>13565.52</v>
      </c>
      <c r="H39" s="7" t="n">
        <f aca="false">IF(D39=0,0,C39/D39)</f>
        <v>0</v>
      </c>
      <c r="I39" s="7" t="n">
        <f aca="false">IF(D39=0,0,B39/D39)</f>
        <v>1</v>
      </c>
      <c r="J39" s="6" t="n">
        <f aca="false">E39*H39</f>
        <v>0</v>
      </c>
      <c r="K39" s="6" t="n">
        <f aca="false">E39*I39</f>
        <v>13565.52</v>
      </c>
      <c r="L39" s="6" t="n">
        <v>0</v>
      </c>
      <c r="M39" s="6" t="n">
        <v>13565.52</v>
      </c>
      <c r="N39" s="6"/>
      <c r="O39" s="6"/>
      <c r="P39" s="7"/>
      <c r="Q39" s="5" t="s">
        <v>26</v>
      </c>
      <c r="R39" s="5" t="s">
        <v>27</v>
      </c>
    </row>
    <row r="40" customFormat="false" ht="15" hidden="false" customHeight="true" outlineLevel="0" collapsed="false">
      <c r="A40" s="5" t="s">
        <v>64</v>
      </c>
      <c r="B40" s="6" t="n">
        <v>33825401.27</v>
      </c>
      <c r="C40" s="6" t="n">
        <v>0</v>
      </c>
      <c r="D40" s="6" t="n">
        <v>33825401.27</v>
      </c>
      <c r="E40" s="6" t="n">
        <v>12515.4</v>
      </c>
      <c r="F40" s="6" t="n">
        <v>0</v>
      </c>
      <c r="G40" s="6" t="n">
        <f aca="false">E40+F40</f>
        <v>12515.4</v>
      </c>
      <c r="H40" s="7" t="n">
        <f aca="false">IF(D40=0,0,C40/D40)</f>
        <v>0</v>
      </c>
      <c r="I40" s="7" t="n">
        <f aca="false">IF(D40=0,0,B40/D40)</f>
        <v>1</v>
      </c>
      <c r="J40" s="6" t="n">
        <f aca="false">E40*H40</f>
        <v>0</v>
      </c>
      <c r="K40" s="6" t="n">
        <f aca="false">E40*I40</f>
        <v>12515.4</v>
      </c>
      <c r="L40" s="6" t="n">
        <v>0</v>
      </c>
      <c r="M40" s="6" t="n">
        <v>12515.4</v>
      </c>
      <c r="N40" s="6"/>
      <c r="O40" s="6"/>
      <c r="P40" s="7"/>
      <c r="Q40" s="5" t="s">
        <v>26</v>
      </c>
      <c r="R40" s="5" t="s">
        <v>27</v>
      </c>
    </row>
    <row r="41" customFormat="false" ht="15" hidden="false" customHeight="true" outlineLevel="0" collapsed="false">
      <c r="A41" s="5" t="s">
        <v>65</v>
      </c>
      <c r="B41" s="6" t="n">
        <v>39412414.67</v>
      </c>
      <c r="C41" s="6" t="n">
        <v>0</v>
      </c>
      <c r="D41" s="6" t="n">
        <v>39412414.67</v>
      </c>
      <c r="E41" s="6" t="n">
        <v>14582.59</v>
      </c>
      <c r="F41" s="6" t="n">
        <v>0</v>
      </c>
      <c r="G41" s="6" t="n">
        <f aca="false">E41+F41</f>
        <v>14582.59</v>
      </c>
      <c r="H41" s="7" t="n">
        <f aca="false">IF(D41=0,0,C41/D41)</f>
        <v>0</v>
      </c>
      <c r="I41" s="7" t="n">
        <f aca="false">IF(D41=0,0,B41/D41)</f>
        <v>1</v>
      </c>
      <c r="J41" s="6" t="n">
        <f aca="false">E41*H41</f>
        <v>0</v>
      </c>
      <c r="K41" s="6" t="n">
        <f aca="false">E41*I41</f>
        <v>14582.59</v>
      </c>
      <c r="L41" s="6" t="n">
        <v>0</v>
      </c>
      <c r="M41" s="6" t="n">
        <v>14582.59</v>
      </c>
      <c r="N41" s="6"/>
      <c r="O41" s="6"/>
      <c r="P41" s="7"/>
      <c r="Q41" s="5" t="s">
        <v>26</v>
      </c>
      <c r="R41" s="5" t="s">
        <v>27</v>
      </c>
    </row>
    <row r="42" customFormat="false" ht="15" hidden="false" customHeight="true" outlineLevel="0" collapsed="false">
      <c r="A42" s="5" t="s">
        <v>66</v>
      </c>
      <c r="B42" s="6" t="n">
        <v>36420297.35</v>
      </c>
      <c r="C42" s="6" t="n">
        <v>0</v>
      </c>
      <c r="D42" s="6" t="n">
        <v>36420297.35</v>
      </c>
      <c r="E42" s="6" t="n">
        <v>13475.51</v>
      </c>
      <c r="F42" s="6" t="n">
        <v>0</v>
      </c>
      <c r="G42" s="6" t="n">
        <f aca="false">E42+F42</f>
        <v>13475.51</v>
      </c>
      <c r="H42" s="7" t="n">
        <f aca="false">IF(D42=0,0,C42/D42)</f>
        <v>0</v>
      </c>
      <c r="I42" s="7" t="n">
        <f aca="false">IF(D42=0,0,B42/D42)</f>
        <v>1</v>
      </c>
      <c r="J42" s="6" t="n">
        <f aca="false">E42*H42</f>
        <v>0</v>
      </c>
      <c r="K42" s="6" t="n">
        <f aca="false">E42*I42</f>
        <v>13475.51</v>
      </c>
      <c r="L42" s="6" t="n">
        <v>0</v>
      </c>
      <c r="M42" s="6" t="n">
        <v>13475.51</v>
      </c>
      <c r="N42" s="6"/>
      <c r="O42" s="6"/>
      <c r="P42" s="7"/>
      <c r="Q42" s="5" t="s">
        <v>26</v>
      </c>
      <c r="R42" s="5" t="s">
        <v>27</v>
      </c>
    </row>
    <row r="43" customFormat="false" ht="15" hidden="false" customHeight="true" outlineLevel="0" collapsed="false">
      <c r="A43" s="5" t="s">
        <v>67</v>
      </c>
      <c r="B43" s="6" t="n">
        <v>35097287.47</v>
      </c>
      <c r="C43" s="6" t="n">
        <v>0</v>
      </c>
      <c r="D43" s="6" t="n">
        <v>35097287.47</v>
      </c>
      <c r="E43" s="6" t="n">
        <v>12986</v>
      </c>
      <c r="F43" s="6" t="n">
        <v>0</v>
      </c>
      <c r="G43" s="6" t="n">
        <f aca="false">E43+F43</f>
        <v>12986</v>
      </c>
      <c r="H43" s="7" t="n">
        <f aca="false">IF(D43=0,0,C43/D43)</f>
        <v>0</v>
      </c>
      <c r="I43" s="7" t="n">
        <f aca="false">IF(D43=0,0,B43/D43)</f>
        <v>1</v>
      </c>
      <c r="J43" s="6" t="n">
        <f aca="false">E43*H43</f>
        <v>0</v>
      </c>
      <c r="K43" s="6" t="n">
        <f aca="false">E43*I43</f>
        <v>12986</v>
      </c>
      <c r="L43" s="6" t="n">
        <v>0</v>
      </c>
      <c r="M43" s="6" t="n">
        <v>12986</v>
      </c>
      <c r="N43" s="6"/>
      <c r="O43" s="6"/>
      <c r="P43" s="7"/>
      <c r="Q43" s="5" t="s">
        <v>26</v>
      </c>
      <c r="R43" s="5" t="s">
        <v>27</v>
      </c>
    </row>
    <row r="44" customFormat="false" ht="15" hidden="false" customHeight="true" outlineLevel="0" collapsed="false">
      <c r="A44" s="5" t="s">
        <v>68</v>
      </c>
      <c r="B44" s="6" t="n">
        <v>38893210</v>
      </c>
      <c r="C44" s="6" t="n">
        <v>0</v>
      </c>
      <c r="D44" s="6" t="n">
        <v>38893210</v>
      </c>
      <c r="E44" s="6" t="n">
        <v>14390.49</v>
      </c>
      <c r="F44" s="6" t="n">
        <v>0</v>
      </c>
      <c r="G44" s="6" t="n">
        <f aca="false">E44+F44</f>
        <v>14390.49</v>
      </c>
      <c r="H44" s="7" t="n">
        <f aca="false">IF(D44=0,0,C44/D44)</f>
        <v>0</v>
      </c>
      <c r="I44" s="7" t="n">
        <f aca="false">IF(D44=0,0,B44/D44)</f>
        <v>1</v>
      </c>
      <c r="J44" s="6" t="n">
        <f aca="false">E44*H44</f>
        <v>0</v>
      </c>
      <c r="K44" s="6" t="n">
        <f aca="false">E44*I44</f>
        <v>14390.49</v>
      </c>
      <c r="L44" s="6" t="n">
        <v>0</v>
      </c>
      <c r="M44" s="6" t="n">
        <v>14390.49</v>
      </c>
      <c r="N44" s="6"/>
      <c r="O44" s="6"/>
      <c r="P44" s="7"/>
      <c r="Q44" s="5" t="s">
        <v>26</v>
      </c>
      <c r="R44" s="5" t="s">
        <v>27</v>
      </c>
    </row>
    <row r="45" customFormat="false" ht="15" hidden="false" customHeight="true" outlineLevel="0" collapsed="false">
      <c r="A45" s="5" t="s">
        <v>69</v>
      </c>
      <c r="B45" s="6" t="n">
        <v>36096499.01</v>
      </c>
      <c r="C45" s="6" t="n">
        <v>0</v>
      </c>
      <c r="D45" s="6" t="n">
        <v>36096499.01</v>
      </c>
      <c r="E45" s="6" t="n">
        <v>13355.7</v>
      </c>
      <c r="F45" s="6" t="n">
        <v>0</v>
      </c>
      <c r="G45" s="6" t="n">
        <f aca="false">E45+F45</f>
        <v>13355.7</v>
      </c>
      <c r="H45" s="7" t="n">
        <f aca="false">IF(D45=0,0,C45/D45)</f>
        <v>0</v>
      </c>
      <c r="I45" s="7" t="n">
        <f aca="false">IF(D45=0,0,B45/D45)</f>
        <v>1</v>
      </c>
      <c r="J45" s="6" t="n">
        <f aca="false">E45*H45</f>
        <v>0</v>
      </c>
      <c r="K45" s="6" t="n">
        <f aca="false">E45*I45</f>
        <v>13355.7</v>
      </c>
      <c r="L45" s="6" t="n">
        <v>0</v>
      </c>
      <c r="M45" s="6" t="n">
        <v>13355.7</v>
      </c>
      <c r="N45" s="6"/>
      <c r="O45" s="6"/>
      <c r="P45" s="7"/>
      <c r="Q45" s="5" t="s">
        <v>26</v>
      </c>
      <c r="R45" s="5" t="s">
        <v>27</v>
      </c>
    </row>
    <row r="46" customFormat="false" ht="15" hidden="false" customHeight="true" outlineLevel="0" collapsed="false">
      <c r="A46" s="5" t="s">
        <v>70</v>
      </c>
      <c r="B46" s="6" t="n">
        <v>40130798.83</v>
      </c>
      <c r="C46" s="6" t="n">
        <v>0</v>
      </c>
      <c r="D46" s="6" t="n">
        <v>40130798.83</v>
      </c>
      <c r="E46" s="6" t="n">
        <v>14848.4</v>
      </c>
      <c r="F46" s="6" t="n">
        <v>0</v>
      </c>
      <c r="G46" s="6" t="n">
        <f aca="false">E46+F46</f>
        <v>14848.4</v>
      </c>
      <c r="H46" s="7" t="n">
        <f aca="false">IF(D46=0,0,C46/D46)</f>
        <v>0</v>
      </c>
      <c r="I46" s="7" t="n">
        <f aca="false">IF(D46=0,0,B46/D46)</f>
        <v>1</v>
      </c>
      <c r="J46" s="6" t="n">
        <f aca="false">E46*H46</f>
        <v>0</v>
      </c>
      <c r="K46" s="6" t="n">
        <f aca="false">E46*I46</f>
        <v>14848.4</v>
      </c>
      <c r="L46" s="6" t="n">
        <v>0</v>
      </c>
      <c r="M46" s="6" t="n">
        <v>14848.4</v>
      </c>
      <c r="N46" s="6"/>
      <c r="O46" s="6"/>
      <c r="P46" s="7"/>
      <c r="Q46" s="5" t="s">
        <v>26</v>
      </c>
      <c r="R46" s="5" t="s">
        <v>27</v>
      </c>
    </row>
    <row r="47" customFormat="false" ht="15" hidden="false" customHeight="true" outlineLevel="0" collapsed="false">
      <c r="A47" s="5" t="s">
        <v>71</v>
      </c>
      <c r="B47" s="6" t="n">
        <v>26975342.24</v>
      </c>
      <c r="C47" s="6" t="n">
        <v>0</v>
      </c>
      <c r="D47" s="6" t="n">
        <v>26975342.24</v>
      </c>
      <c r="E47" s="6" t="n">
        <v>9980.88</v>
      </c>
      <c r="F47" s="6" t="n">
        <v>0</v>
      </c>
      <c r="G47" s="6" t="n">
        <f aca="false">E47+F47</f>
        <v>9980.88</v>
      </c>
      <c r="H47" s="7" t="n">
        <f aca="false">IF(D47=0,0,C47/D47)</f>
        <v>0</v>
      </c>
      <c r="I47" s="7" t="n">
        <f aca="false">IF(D47=0,0,B47/D47)</f>
        <v>1</v>
      </c>
      <c r="J47" s="6" t="n">
        <f aca="false">E47*H47</f>
        <v>0</v>
      </c>
      <c r="K47" s="6" t="n">
        <f aca="false">E47*I47</f>
        <v>9980.88</v>
      </c>
      <c r="L47" s="6" t="n">
        <v>0</v>
      </c>
      <c r="M47" s="6" t="n">
        <v>9980.88</v>
      </c>
      <c r="N47" s="6"/>
      <c r="O47" s="6"/>
      <c r="P47" s="7"/>
      <c r="Q47" s="5" t="s">
        <v>26</v>
      </c>
      <c r="R47" s="5" t="s">
        <v>27</v>
      </c>
    </row>
    <row r="48" customFormat="false" ht="15" hidden="false" customHeight="true" outlineLevel="0" collapsed="false">
      <c r="A48" s="5" t="s">
        <v>72</v>
      </c>
      <c r="B48" s="6" t="n">
        <v>27964915.15</v>
      </c>
      <c r="C48" s="6" t="n">
        <v>0</v>
      </c>
      <c r="D48" s="6" t="n">
        <v>27964915.15</v>
      </c>
      <c r="E48" s="6" t="n">
        <v>10347.02</v>
      </c>
      <c r="F48" s="6" t="n">
        <v>0</v>
      </c>
      <c r="G48" s="6" t="n">
        <f aca="false">E48+F48</f>
        <v>10347.02</v>
      </c>
      <c r="H48" s="7" t="n">
        <f aca="false">IF(D48=0,0,C48/D48)</f>
        <v>0</v>
      </c>
      <c r="I48" s="7" t="n">
        <f aca="false">IF(D48=0,0,B48/D48)</f>
        <v>1</v>
      </c>
      <c r="J48" s="6" t="n">
        <f aca="false">E48*H48</f>
        <v>0</v>
      </c>
      <c r="K48" s="6" t="n">
        <f aca="false">E48*I48</f>
        <v>10347.02</v>
      </c>
      <c r="L48" s="6" t="n">
        <v>0</v>
      </c>
      <c r="M48" s="6" t="n">
        <v>10347.02</v>
      </c>
      <c r="N48" s="6"/>
      <c r="O48" s="6"/>
      <c r="P48" s="7"/>
      <c r="Q48" s="5" t="s">
        <v>26</v>
      </c>
      <c r="R48" s="5" t="s">
        <v>27</v>
      </c>
    </row>
    <row r="49" customFormat="false" ht="15" hidden="false" customHeight="true" outlineLevel="0" collapsed="false">
      <c r="A49" s="5" t="s">
        <v>73</v>
      </c>
      <c r="B49" s="6" t="n">
        <v>51666494.66</v>
      </c>
      <c r="C49" s="6" t="n">
        <v>0</v>
      </c>
      <c r="D49" s="6" t="n">
        <v>51666494.66</v>
      </c>
      <c r="E49" s="6" t="n">
        <v>19116.6</v>
      </c>
      <c r="F49" s="6" t="n">
        <v>0</v>
      </c>
      <c r="G49" s="6" t="n">
        <f aca="false">E49+F49</f>
        <v>19116.6</v>
      </c>
      <c r="H49" s="7" t="n">
        <f aca="false">IF(D49=0,0,C49/D49)</f>
        <v>0</v>
      </c>
      <c r="I49" s="7" t="n">
        <f aca="false">IF(D49=0,0,B49/D49)</f>
        <v>1</v>
      </c>
      <c r="J49" s="6" t="n">
        <f aca="false">E49*H49</f>
        <v>0</v>
      </c>
      <c r="K49" s="6" t="n">
        <f aca="false">E49*I49</f>
        <v>19116.6</v>
      </c>
      <c r="L49" s="6" t="n">
        <v>0</v>
      </c>
      <c r="M49" s="6" t="n">
        <v>19116.6</v>
      </c>
      <c r="N49" s="6"/>
      <c r="O49" s="6"/>
      <c r="P49" s="7"/>
      <c r="Q49" s="5" t="s">
        <v>26</v>
      </c>
      <c r="R49" s="5" t="s">
        <v>27</v>
      </c>
    </row>
    <row r="50" customFormat="false" ht="15" hidden="false" customHeight="true" outlineLevel="0" collapsed="false">
      <c r="A50" s="5" t="s">
        <v>74</v>
      </c>
      <c r="B50" s="6" t="n">
        <v>52236295.34</v>
      </c>
      <c r="C50" s="6" t="n">
        <v>0</v>
      </c>
      <c r="D50" s="6" t="n">
        <v>52236295.34</v>
      </c>
      <c r="E50" s="6" t="n">
        <v>19327.43</v>
      </c>
      <c r="F50" s="6" t="n">
        <v>0</v>
      </c>
      <c r="G50" s="6" t="n">
        <f aca="false">E50+F50</f>
        <v>19327.43</v>
      </c>
      <c r="H50" s="7" t="n">
        <f aca="false">IF(D50=0,0,C50/D50)</f>
        <v>0</v>
      </c>
      <c r="I50" s="7" t="n">
        <f aca="false">IF(D50=0,0,B50/D50)</f>
        <v>1</v>
      </c>
      <c r="J50" s="6" t="n">
        <f aca="false">E50*H50</f>
        <v>0</v>
      </c>
      <c r="K50" s="6" t="n">
        <f aca="false">E50*I50</f>
        <v>19327.43</v>
      </c>
      <c r="L50" s="6" t="n">
        <v>0</v>
      </c>
      <c r="M50" s="6" t="n">
        <v>19327.43</v>
      </c>
      <c r="N50" s="6"/>
      <c r="O50" s="6"/>
      <c r="P50" s="7"/>
      <c r="Q50" s="5" t="s">
        <v>26</v>
      </c>
      <c r="R50" s="5" t="s">
        <v>27</v>
      </c>
    </row>
    <row r="51" customFormat="false" ht="15" hidden="false" customHeight="true" outlineLevel="0" collapsed="false">
      <c r="A51" s="5" t="s">
        <v>75</v>
      </c>
      <c r="B51" s="6" t="n">
        <v>52464368.59</v>
      </c>
      <c r="C51" s="6" t="n">
        <v>0</v>
      </c>
      <c r="D51" s="6" t="n">
        <v>52464368.59</v>
      </c>
      <c r="E51" s="6" t="n">
        <v>19411.82</v>
      </c>
      <c r="F51" s="6" t="n">
        <v>0</v>
      </c>
      <c r="G51" s="6" t="n">
        <f aca="false">E51+F51</f>
        <v>19411.82</v>
      </c>
      <c r="H51" s="7" t="n">
        <f aca="false">IF(D51=0,0,C51/D51)</f>
        <v>0</v>
      </c>
      <c r="I51" s="7" t="n">
        <f aca="false">IF(D51=0,0,B51/D51)</f>
        <v>1</v>
      </c>
      <c r="J51" s="6" t="n">
        <f aca="false">E51*H51</f>
        <v>0</v>
      </c>
      <c r="K51" s="6" t="n">
        <f aca="false">E51*I51</f>
        <v>19411.82</v>
      </c>
      <c r="L51" s="6" t="n">
        <v>0</v>
      </c>
      <c r="M51" s="6" t="n">
        <v>19411.82</v>
      </c>
      <c r="N51" s="6"/>
      <c r="O51" s="6"/>
      <c r="P51" s="7"/>
      <c r="Q51" s="5" t="s">
        <v>26</v>
      </c>
      <c r="R51" s="5" t="s">
        <v>27</v>
      </c>
    </row>
    <row r="52" customFormat="false" ht="15" hidden="false" customHeight="true" outlineLevel="0" collapsed="false">
      <c r="A52" s="5" t="s">
        <v>76</v>
      </c>
      <c r="B52" s="6" t="n">
        <v>61768431.32</v>
      </c>
      <c r="C52" s="6" t="n">
        <v>0</v>
      </c>
      <c r="D52" s="6" t="n">
        <v>61768431.32</v>
      </c>
      <c r="E52" s="6" t="n">
        <v>22854.32</v>
      </c>
      <c r="F52" s="6" t="n">
        <v>0</v>
      </c>
      <c r="G52" s="6" t="n">
        <f aca="false">E52+F52</f>
        <v>22854.32</v>
      </c>
      <c r="H52" s="7" t="n">
        <f aca="false">IF(D52=0,0,C52/D52)</f>
        <v>0</v>
      </c>
      <c r="I52" s="7" t="n">
        <f aca="false">IF(D52=0,0,B52/D52)</f>
        <v>1</v>
      </c>
      <c r="J52" s="6" t="n">
        <f aca="false">E52*H52</f>
        <v>0</v>
      </c>
      <c r="K52" s="6" t="n">
        <f aca="false">E52*I52</f>
        <v>22854.32</v>
      </c>
      <c r="L52" s="6" t="n">
        <v>0</v>
      </c>
      <c r="M52" s="6" t="n">
        <v>22854.32</v>
      </c>
      <c r="N52" s="6"/>
      <c r="O52" s="6"/>
      <c r="P52" s="7"/>
      <c r="Q52" s="5" t="s">
        <v>26</v>
      </c>
      <c r="R52" s="5" t="s">
        <v>27</v>
      </c>
    </row>
    <row r="53" customFormat="false" ht="15" hidden="false" customHeight="true" outlineLevel="0" collapsed="false">
      <c r="A53" s="5" t="s">
        <v>77</v>
      </c>
      <c r="B53" s="6" t="n">
        <v>58842855.87</v>
      </c>
      <c r="C53" s="6" t="n">
        <v>0</v>
      </c>
      <c r="D53" s="6" t="n">
        <v>58842855.87</v>
      </c>
      <c r="E53" s="6" t="n">
        <v>21771.86</v>
      </c>
      <c r="F53" s="6" t="n">
        <v>0</v>
      </c>
      <c r="G53" s="6" t="n">
        <f aca="false">E53+F53</f>
        <v>21771.86</v>
      </c>
      <c r="H53" s="7" t="n">
        <f aca="false">IF(D53=0,0,C53/D53)</f>
        <v>0</v>
      </c>
      <c r="I53" s="7" t="n">
        <f aca="false">IF(D53=0,0,B53/D53)</f>
        <v>1</v>
      </c>
      <c r="J53" s="6" t="n">
        <f aca="false">E53*H53</f>
        <v>0</v>
      </c>
      <c r="K53" s="6" t="n">
        <f aca="false">E53*I53</f>
        <v>21771.86</v>
      </c>
      <c r="L53" s="6" t="n">
        <v>0</v>
      </c>
      <c r="M53" s="6" t="n">
        <v>21771.86</v>
      </c>
      <c r="N53" s="6"/>
      <c r="O53" s="6"/>
      <c r="P53" s="7"/>
      <c r="Q53" s="5" t="s">
        <v>26</v>
      </c>
      <c r="R53" s="5" t="s">
        <v>27</v>
      </c>
    </row>
    <row r="54" customFormat="false" ht="15" hidden="false" customHeight="true" outlineLevel="0" collapsed="false">
      <c r="A54" s="5" t="s">
        <v>78</v>
      </c>
      <c r="B54" s="6" t="n">
        <v>95782243.09</v>
      </c>
      <c r="C54" s="6" t="n">
        <v>0</v>
      </c>
      <c r="D54" s="6" t="n">
        <v>95782243.09</v>
      </c>
      <c r="E54" s="6" t="n">
        <v>35439.43</v>
      </c>
      <c r="F54" s="6" t="n">
        <v>0</v>
      </c>
      <c r="G54" s="6" t="n">
        <f aca="false">E54+F54</f>
        <v>35439.43</v>
      </c>
      <c r="H54" s="7" t="n">
        <f aca="false">IF(D54=0,0,C54/D54)</f>
        <v>0</v>
      </c>
      <c r="I54" s="7" t="n">
        <f aca="false">IF(D54=0,0,B54/D54)</f>
        <v>1</v>
      </c>
      <c r="J54" s="6" t="n">
        <f aca="false">E54*H54</f>
        <v>0</v>
      </c>
      <c r="K54" s="6" t="n">
        <f aca="false">E54*I54</f>
        <v>35439.43</v>
      </c>
      <c r="L54" s="6" t="n">
        <v>0</v>
      </c>
      <c r="M54" s="6" t="n">
        <v>35439.43</v>
      </c>
      <c r="N54" s="6"/>
      <c r="O54" s="6"/>
      <c r="P54" s="7"/>
      <c r="Q54" s="5" t="s">
        <v>26</v>
      </c>
      <c r="R54" s="5" t="s">
        <v>27</v>
      </c>
    </row>
    <row r="55" customFormat="false" ht="15" hidden="false" customHeight="true" outlineLevel="0" collapsed="false">
      <c r="A55" s="5" t="s">
        <v>79</v>
      </c>
      <c r="B55" s="6" t="n">
        <v>65723684.32</v>
      </c>
      <c r="C55" s="6" t="n">
        <v>0</v>
      </c>
      <c r="D55" s="6" t="n">
        <v>65723684.32</v>
      </c>
      <c r="E55" s="6" t="n">
        <v>24317.76</v>
      </c>
      <c r="F55" s="6" t="n">
        <v>0</v>
      </c>
      <c r="G55" s="6" t="n">
        <f aca="false">E55+F55</f>
        <v>24317.76</v>
      </c>
      <c r="H55" s="7" t="n">
        <f aca="false">IF(D55=0,0,C55/D55)</f>
        <v>0</v>
      </c>
      <c r="I55" s="7" t="n">
        <f aca="false">IF(D55=0,0,B55/D55)</f>
        <v>1</v>
      </c>
      <c r="J55" s="6" t="n">
        <f aca="false">E55*H55</f>
        <v>0</v>
      </c>
      <c r="K55" s="6" t="n">
        <f aca="false">E55*I55</f>
        <v>24317.76</v>
      </c>
      <c r="L55" s="6" t="n">
        <v>0</v>
      </c>
      <c r="M55" s="6" t="n">
        <v>24317.76</v>
      </c>
      <c r="N55" s="6"/>
      <c r="O55" s="6"/>
      <c r="P55" s="7"/>
      <c r="Q55" s="5" t="s">
        <v>26</v>
      </c>
      <c r="R55" s="5" t="s">
        <v>27</v>
      </c>
    </row>
    <row r="56" customFormat="false" ht="15" hidden="false" customHeight="true" outlineLevel="0" collapsed="false">
      <c r="A56" s="5" t="s">
        <v>80</v>
      </c>
      <c r="B56" s="6" t="n">
        <v>50362844.7</v>
      </c>
      <c r="C56" s="6" t="n">
        <v>0</v>
      </c>
      <c r="D56" s="6" t="n">
        <v>50362844.7</v>
      </c>
      <c r="E56" s="6" t="n">
        <v>18634.25</v>
      </c>
      <c r="F56" s="6" t="n">
        <v>0</v>
      </c>
      <c r="G56" s="6" t="n">
        <f aca="false">E56+F56</f>
        <v>18634.25</v>
      </c>
      <c r="H56" s="7" t="n">
        <f aca="false">IF(D56=0,0,C56/D56)</f>
        <v>0</v>
      </c>
      <c r="I56" s="7" t="n">
        <f aca="false">IF(D56=0,0,B56/D56)</f>
        <v>1</v>
      </c>
      <c r="J56" s="6" t="n">
        <f aca="false">E56*H56</f>
        <v>0</v>
      </c>
      <c r="K56" s="6" t="n">
        <f aca="false">E56*I56</f>
        <v>18634.25</v>
      </c>
      <c r="L56" s="6" t="n">
        <v>0</v>
      </c>
      <c r="M56" s="6" t="n">
        <v>18634.25</v>
      </c>
      <c r="N56" s="6"/>
      <c r="O56" s="6"/>
      <c r="P56" s="7"/>
      <c r="Q56" s="5" t="s">
        <v>26</v>
      </c>
      <c r="R56" s="5" t="s">
        <v>27</v>
      </c>
    </row>
    <row r="57" customFormat="false" ht="15" hidden="false" customHeight="true" outlineLevel="0" collapsed="false">
      <c r="A57" s="5" t="s">
        <v>81</v>
      </c>
      <c r="B57" s="6" t="n">
        <v>31025762.63</v>
      </c>
      <c r="C57" s="6" t="n">
        <v>0</v>
      </c>
      <c r="D57" s="6" t="n">
        <v>31025762.63</v>
      </c>
      <c r="E57" s="6" t="n">
        <v>11479.53</v>
      </c>
      <c r="F57" s="6" t="n">
        <v>0</v>
      </c>
      <c r="G57" s="6" t="n">
        <f aca="false">E57+F57</f>
        <v>11479.53</v>
      </c>
      <c r="H57" s="7" t="n">
        <f aca="false">IF(D57=0,0,C57/D57)</f>
        <v>0</v>
      </c>
      <c r="I57" s="7" t="n">
        <f aca="false">IF(D57=0,0,B57/D57)</f>
        <v>1</v>
      </c>
      <c r="J57" s="6" t="n">
        <f aca="false">E57*H57</f>
        <v>0</v>
      </c>
      <c r="K57" s="6" t="n">
        <f aca="false">E57*I57</f>
        <v>11479.53</v>
      </c>
      <c r="L57" s="6" t="n">
        <v>0</v>
      </c>
      <c r="M57" s="6" t="n">
        <v>11479.53</v>
      </c>
      <c r="N57" s="6"/>
      <c r="O57" s="6"/>
      <c r="P57" s="7"/>
      <c r="Q57" s="5" t="s">
        <v>26</v>
      </c>
      <c r="R57" s="5" t="s">
        <v>27</v>
      </c>
    </row>
    <row r="58" customFormat="false" ht="15" hidden="false" customHeight="true" outlineLevel="0" collapsed="false">
      <c r="A58" s="5" t="s">
        <v>82</v>
      </c>
      <c r="B58" s="6" t="n">
        <v>56820053.59</v>
      </c>
      <c r="C58" s="6" t="n">
        <v>0</v>
      </c>
      <c r="D58" s="6" t="n">
        <v>56820053.59</v>
      </c>
      <c r="E58" s="6" t="n">
        <v>21023.42</v>
      </c>
      <c r="F58" s="6" t="n">
        <v>0</v>
      </c>
      <c r="G58" s="6" t="n">
        <f aca="false">E58+F58</f>
        <v>21023.42</v>
      </c>
      <c r="H58" s="7" t="n">
        <f aca="false">IF(D58=0,0,C58/D58)</f>
        <v>0</v>
      </c>
      <c r="I58" s="7" t="n">
        <f aca="false">IF(D58=0,0,B58/D58)</f>
        <v>1</v>
      </c>
      <c r="J58" s="6" t="n">
        <f aca="false">E58*H58</f>
        <v>0</v>
      </c>
      <c r="K58" s="6" t="n">
        <f aca="false">E58*I58</f>
        <v>21023.42</v>
      </c>
      <c r="L58" s="6" t="n">
        <v>0</v>
      </c>
      <c r="M58" s="6" t="n">
        <v>21023.42</v>
      </c>
      <c r="N58" s="6"/>
      <c r="O58" s="6"/>
      <c r="P58" s="7"/>
      <c r="Q58" s="5" t="s">
        <v>26</v>
      </c>
      <c r="R58" s="5" t="s">
        <v>27</v>
      </c>
    </row>
    <row r="59" customFormat="false" ht="15" hidden="false" customHeight="true" outlineLevel="0" collapsed="false">
      <c r="A59" s="5" t="s">
        <v>83</v>
      </c>
      <c r="B59" s="6" t="n">
        <v>31952872.71</v>
      </c>
      <c r="C59" s="6" t="n">
        <v>0</v>
      </c>
      <c r="D59" s="6" t="n">
        <v>31952872.71</v>
      </c>
      <c r="E59" s="6" t="n">
        <v>11822.56</v>
      </c>
      <c r="F59" s="6" t="n">
        <v>0</v>
      </c>
      <c r="G59" s="6" t="n">
        <f aca="false">E59+F59</f>
        <v>11822.56</v>
      </c>
      <c r="H59" s="7" t="n">
        <f aca="false">IF(D59=0,0,C59/D59)</f>
        <v>0</v>
      </c>
      <c r="I59" s="7" t="n">
        <f aca="false">IF(D59=0,0,B59/D59)</f>
        <v>1</v>
      </c>
      <c r="J59" s="6" t="n">
        <f aca="false">E59*H59</f>
        <v>0</v>
      </c>
      <c r="K59" s="6" t="n">
        <f aca="false">E59*I59</f>
        <v>11822.56</v>
      </c>
      <c r="L59" s="6" t="n">
        <v>0</v>
      </c>
      <c r="M59" s="6" t="n">
        <v>11822.56</v>
      </c>
      <c r="N59" s="6"/>
      <c r="O59" s="6"/>
      <c r="P59" s="7"/>
      <c r="Q59" s="5" t="s">
        <v>26</v>
      </c>
      <c r="R59" s="5" t="s">
        <v>27</v>
      </c>
    </row>
    <row r="60" customFormat="false" ht="15" hidden="false" customHeight="true" outlineLevel="0" collapsed="false">
      <c r="A60" s="5" t="s">
        <v>84</v>
      </c>
      <c r="B60" s="6" t="n">
        <v>27396746.37</v>
      </c>
      <c r="C60" s="6" t="n">
        <v>0</v>
      </c>
      <c r="D60" s="6" t="n">
        <v>27396746.37</v>
      </c>
      <c r="E60" s="6" t="n">
        <v>10136.8</v>
      </c>
      <c r="F60" s="6" t="n">
        <v>0</v>
      </c>
      <c r="G60" s="6" t="n">
        <f aca="false">E60+F60</f>
        <v>10136.8</v>
      </c>
      <c r="H60" s="7" t="n">
        <f aca="false">IF(D60=0,0,C60/D60)</f>
        <v>0</v>
      </c>
      <c r="I60" s="7" t="n">
        <f aca="false">IF(D60=0,0,B60/D60)</f>
        <v>1</v>
      </c>
      <c r="J60" s="6" t="n">
        <f aca="false">E60*H60</f>
        <v>0</v>
      </c>
      <c r="K60" s="6" t="n">
        <f aca="false">E60*I60</f>
        <v>10136.8</v>
      </c>
      <c r="L60" s="6" t="n">
        <v>0</v>
      </c>
      <c r="M60" s="6" t="n">
        <v>10136.8</v>
      </c>
      <c r="N60" s="6"/>
      <c r="O60" s="6"/>
      <c r="P60" s="7"/>
      <c r="Q60" s="5" t="s">
        <v>26</v>
      </c>
      <c r="R60" s="5" t="s">
        <v>27</v>
      </c>
    </row>
    <row r="61" customFormat="false" ht="15" hidden="false" customHeight="true" outlineLevel="0" collapsed="false">
      <c r="A61" s="5" t="s">
        <v>85</v>
      </c>
      <c r="B61" s="6" t="n">
        <v>55087949.03</v>
      </c>
      <c r="C61" s="6" t="n">
        <v>0</v>
      </c>
      <c r="D61" s="6" t="n">
        <v>55087949.03</v>
      </c>
      <c r="E61" s="6" t="n">
        <v>20382.54</v>
      </c>
      <c r="F61" s="6" t="n">
        <v>0</v>
      </c>
      <c r="G61" s="6" t="n">
        <f aca="false">E61+F61</f>
        <v>20382.54</v>
      </c>
      <c r="H61" s="7" t="n">
        <f aca="false">IF(D61=0,0,C61/D61)</f>
        <v>0</v>
      </c>
      <c r="I61" s="7" t="n">
        <f aca="false">IF(D61=0,0,B61/D61)</f>
        <v>1</v>
      </c>
      <c r="J61" s="6" t="n">
        <f aca="false">E61*H61</f>
        <v>0</v>
      </c>
      <c r="K61" s="6" t="n">
        <f aca="false">E61*I61</f>
        <v>20382.54</v>
      </c>
      <c r="L61" s="6" t="n">
        <v>0</v>
      </c>
      <c r="M61" s="6" t="n">
        <v>20382.54</v>
      </c>
      <c r="N61" s="6"/>
      <c r="O61" s="6"/>
      <c r="P61" s="7"/>
      <c r="Q61" s="5" t="s">
        <v>26</v>
      </c>
      <c r="R61" s="5" t="s">
        <v>27</v>
      </c>
    </row>
    <row r="62" customFormat="false" ht="15" hidden="false" customHeight="true" outlineLevel="0" collapsed="false">
      <c r="A62" s="5" t="s">
        <v>86</v>
      </c>
      <c r="B62" s="6" t="n">
        <v>54940167.15</v>
      </c>
      <c r="C62" s="6" t="n">
        <v>0</v>
      </c>
      <c r="D62" s="6" t="n">
        <v>54940167.15</v>
      </c>
      <c r="E62" s="6" t="n">
        <v>20327.86</v>
      </c>
      <c r="F62" s="6" t="n">
        <v>0</v>
      </c>
      <c r="G62" s="6" t="n">
        <f aca="false">E62+F62</f>
        <v>20327.86</v>
      </c>
      <c r="H62" s="7" t="n">
        <f aca="false">IF(D62=0,0,C62/D62)</f>
        <v>0</v>
      </c>
      <c r="I62" s="7" t="n">
        <f aca="false">IF(D62=0,0,B62/D62)</f>
        <v>1</v>
      </c>
      <c r="J62" s="6" t="n">
        <f aca="false">E62*H62</f>
        <v>0</v>
      </c>
      <c r="K62" s="6" t="n">
        <f aca="false">E62*I62</f>
        <v>20327.86</v>
      </c>
      <c r="L62" s="6" t="n">
        <v>0</v>
      </c>
      <c r="M62" s="6" t="n">
        <v>20327.86</v>
      </c>
      <c r="N62" s="6"/>
      <c r="O62" s="6"/>
      <c r="P62" s="7"/>
      <c r="Q62" s="5" t="s">
        <v>26</v>
      </c>
      <c r="R62" s="5" t="s">
        <v>27</v>
      </c>
    </row>
    <row r="63" customFormat="false" ht="15" hidden="false" customHeight="true" outlineLevel="0" collapsed="false">
      <c r="A63" s="5" t="s">
        <v>87</v>
      </c>
      <c r="B63" s="6" t="n">
        <v>46673377.74</v>
      </c>
      <c r="C63" s="6" t="n">
        <v>0</v>
      </c>
      <c r="D63" s="6" t="n">
        <v>46673377.74</v>
      </c>
      <c r="E63" s="6" t="n">
        <v>17269.15</v>
      </c>
      <c r="F63" s="6" t="n">
        <v>0</v>
      </c>
      <c r="G63" s="6" t="n">
        <f aca="false">E63+F63</f>
        <v>17269.15</v>
      </c>
      <c r="H63" s="7" t="n">
        <f aca="false">IF(D63=0,0,C63/D63)</f>
        <v>0</v>
      </c>
      <c r="I63" s="7" t="n">
        <f aca="false">IF(D63=0,0,B63/D63)</f>
        <v>1</v>
      </c>
      <c r="J63" s="6" t="n">
        <f aca="false">E63*H63</f>
        <v>0</v>
      </c>
      <c r="K63" s="6" t="n">
        <f aca="false">E63*I63</f>
        <v>17269.15</v>
      </c>
      <c r="L63" s="6" t="n">
        <v>0</v>
      </c>
      <c r="M63" s="6" t="n">
        <v>17269.15</v>
      </c>
      <c r="N63" s="6"/>
      <c r="O63" s="6"/>
      <c r="P63" s="7"/>
      <c r="Q63" s="5" t="s">
        <v>26</v>
      </c>
      <c r="R63" s="5" t="s">
        <v>27</v>
      </c>
    </row>
    <row r="64" customFormat="false" ht="15" hidden="false" customHeight="true" outlineLevel="0" collapsed="false">
      <c r="A64" s="5" t="s">
        <v>88</v>
      </c>
      <c r="B64" s="6" t="n">
        <v>49633624.74</v>
      </c>
      <c r="C64" s="6" t="n">
        <v>0</v>
      </c>
      <c r="D64" s="6" t="n">
        <v>49633624.74</v>
      </c>
      <c r="E64" s="6" t="n">
        <v>18364.44</v>
      </c>
      <c r="F64" s="6" t="n">
        <v>0</v>
      </c>
      <c r="G64" s="6" t="n">
        <f aca="false">E64+F64</f>
        <v>18364.44</v>
      </c>
      <c r="H64" s="7" t="n">
        <f aca="false">IF(D64=0,0,C64/D64)</f>
        <v>0</v>
      </c>
      <c r="I64" s="7" t="n">
        <f aca="false">IF(D64=0,0,B64/D64)</f>
        <v>1</v>
      </c>
      <c r="J64" s="6" t="n">
        <f aca="false">E64*H64</f>
        <v>0</v>
      </c>
      <c r="K64" s="6" t="n">
        <f aca="false">E64*I64</f>
        <v>18364.44</v>
      </c>
      <c r="L64" s="6" t="n">
        <v>0</v>
      </c>
      <c r="M64" s="6" t="n">
        <v>18364.44</v>
      </c>
      <c r="N64" s="6"/>
      <c r="O64" s="6"/>
      <c r="P64" s="7"/>
      <c r="Q64" s="5" t="s">
        <v>26</v>
      </c>
      <c r="R64" s="5" t="s">
        <v>27</v>
      </c>
    </row>
    <row r="65" customFormat="false" ht="15" hidden="false" customHeight="true" outlineLevel="0" collapsed="false">
      <c r="A65" s="5" t="s">
        <v>89</v>
      </c>
      <c r="B65" s="6" t="n">
        <v>39391632.68</v>
      </c>
      <c r="C65" s="6" t="n">
        <v>0</v>
      </c>
      <c r="D65" s="6" t="n">
        <v>39391632.68</v>
      </c>
      <c r="E65" s="6" t="n">
        <v>14574.9</v>
      </c>
      <c r="F65" s="6" t="n">
        <v>0</v>
      </c>
      <c r="G65" s="6" t="n">
        <f aca="false">E65+F65</f>
        <v>14574.9</v>
      </c>
      <c r="H65" s="7" t="n">
        <f aca="false">IF(D65=0,0,C65/D65)</f>
        <v>0</v>
      </c>
      <c r="I65" s="7" t="n">
        <f aca="false">IF(D65=0,0,B65/D65)</f>
        <v>1</v>
      </c>
      <c r="J65" s="6" t="n">
        <f aca="false">E65*H65</f>
        <v>0</v>
      </c>
      <c r="K65" s="6" t="n">
        <f aca="false">E65*I65</f>
        <v>14574.9</v>
      </c>
      <c r="L65" s="6" t="n">
        <v>0</v>
      </c>
      <c r="M65" s="6" t="n">
        <v>14574.9</v>
      </c>
      <c r="N65" s="6"/>
      <c r="O65" s="6"/>
      <c r="P65" s="7"/>
      <c r="Q65" s="5" t="s">
        <v>26</v>
      </c>
      <c r="R65" s="5" t="s">
        <v>27</v>
      </c>
    </row>
    <row r="66" customFormat="false" ht="15" hidden="false" customHeight="true" outlineLevel="0" collapsed="false">
      <c r="A66" s="5" t="s">
        <v>90</v>
      </c>
      <c r="B66" s="6" t="n">
        <v>28310371.76</v>
      </c>
      <c r="C66" s="6" t="n">
        <v>0</v>
      </c>
      <c r="D66" s="6" t="n">
        <v>28310371.76</v>
      </c>
      <c r="E66" s="6" t="n">
        <v>10474.84</v>
      </c>
      <c r="F66" s="6" t="n">
        <v>0</v>
      </c>
      <c r="G66" s="6" t="n">
        <f aca="false">E66+F66</f>
        <v>10474.84</v>
      </c>
      <c r="H66" s="7" t="n">
        <f aca="false">IF(D66=0,0,C66/D66)</f>
        <v>0</v>
      </c>
      <c r="I66" s="7" t="n">
        <f aca="false">IF(D66=0,0,B66/D66)</f>
        <v>1</v>
      </c>
      <c r="J66" s="6" t="n">
        <f aca="false">E66*H66</f>
        <v>0</v>
      </c>
      <c r="K66" s="6" t="n">
        <f aca="false">E66*I66</f>
        <v>10474.84</v>
      </c>
      <c r="L66" s="6" t="n">
        <v>0</v>
      </c>
      <c r="M66" s="6" t="n">
        <v>10474.84</v>
      </c>
      <c r="N66" s="6"/>
      <c r="O66" s="6"/>
      <c r="P66" s="7"/>
      <c r="Q66" s="5" t="s">
        <v>26</v>
      </c>
      <c r="R66" s="5" t="s">
        <v>27</v>
      </c>
    </row>
    <row r="67" customFormat="false" ht="15" hidden="false" customHeight="true" outlineLevel="0" collapsed="false">
      <c r="A67" s="5" t="s">
        <v>91</v>
      </c>
      <c r="B67" s="6" t="n">
        <v>26423941.14</v>
      </c>
      <c r="C67" s="6" t="n">
        <v>0</v>
      </c>
      <c r="D67" s="6" t="n">
        <v>26423941.14</v>
      </c>
      <c r="E67" s="6" t="n">
        <v>9776.86</v>
      </c>
      <c r="F67" s="6" t="n">
        <v>0</v>
      </c>
      <c r="G67" s="6" t="n">
        <f aca="false">E67+F67</f>
        <v>9776.86</v>
      </c>
      <c r="H67" s="7" t="n">
        <f aca="false">IF(D67=0,0,C67/D67)</f>
        <v>0</v>
      </c>
      <c r="I67" s="7" t="n">
        <f aca="false">IF(D67=0,0,B67/D67)</f>
        <v>1</v>
      </c>
      <c r="J67" s="6" t="n">
        <f aca="false">E67*H67</f>
        <v>0</v>
      </c>
      <c r="K67" s="6" t="n">
        <f aca="false">E67*I67</f>
        <v>9776.86</v>
      </c>
      <c r="L67" s="6" t="n">
        <v>0</v>
      </c>
      <c r="M67" s="6" t="n">
        <v>9776.86</v>
      </c>
      <c r="N67" s="6"/>
      <c r="O67" s="6"/>
      <c r="P67" s="7"/>
      <c r="Q67" s="5" t="s">
        <v>26</v>
      </c>
      <c r="R67" s="5" t="s">
        <v>27</v>
      </c>
    </row>
    <row r="68" customFormat="false" ht="15" hidden="false" customHeight="true" outlineLevel="0" collapsed="false">
      <c r="A68" s="5" t="s">
        <v>92</v>
      </c>
      <c r="B68" s="6" t="n">
        <v>55533797.57</v>
      </c>
      <c r="C68" s="6" t="n">
        <v>0</v>
      </c>
      <c r="D68" s="6" t="n">
        <v>55533797.57</v>
      </c>
      <c r="E68" s="6" t="n">
        <v>20547.51</v>
      </c>
      <c r="F68" s="6" t="n">
        <v>0</v>
      </c>
      <c r="G68" s="6" t="n">
        <f aca="false">E68+F68</f>
        <v>20547.51</v>
      </c>
      <c r="H68" s="7" t="n">
        <f aca="false">IF(D68=0,0,C68/D68)</f>
        <v>0</v>
      </c>
      <c r="I68" s="7" t="n">
        <f aca="false">IF(D68=0,0,B68/D68)</f>
        <v>1</v>
      </c>
      <c r="J68" s="6" t="n">
        <f aca="false">E68*H68</f>
        <v>0</v>
      </c>
      <c r="K68" s="6" t="n">
        <f aca="false">E68*I68</f>
        <v>20547.51</v>
      </c>
      <c r="L68" s="6" t="n">
        <v>0</v>
      </c>
      <c r="M68" s="6" t="n">
        <v>20547.51</v>
      </c>
      <c r="N68" s="6"/>
      <c r="O68" s="6"/>
      <c r="P68" s="7"/>
      <c r="Q68" s="5" t="s">
        <v>26</v>
      </c>
      <c r="R68" s="5" t="s">
        <v>27</v>
      </c>
    </row>
    <row r="69" customFormat="false" ht="15" hidden="false" customHeight="true" outlineLevel="0" collapsed="false">
      <c r="A69" s="5" t="s">
        <v>93</v>
      </c>
      <c r="B69" s="6" t="n">
        <v>38941116.96</v>
      </c>
      <c r="C69" s="6" t="n">
        <v>0</v>
      </c>
      <c r="D69" s="6" t="n">
        <v>38941116.96</v>
      </c>
      <c r="E69" s="6" t="n">
        <v>14408.21</v>
      </c>
      <c r="F69" s="6" t="n">
        <v>0</v>
      </c>
      <c r="G69" s="6" t="n">
        <f aca="false">E69+F69</f>
        <v>14408.21</v>
      </c>
      <c r="H69" s="7" t="n">
        <f aca="false">IF(D69=0,0,C69/D69)</f>
        <v>0</v>
      </c>
      <c r="I69" s="7" t="n">
        <f aca="false">IF(D69=0,0,B69/D69)</f>
        <v>1</v>
      </c>
      <c r="J69" s="6" t="n">
        <f aca="false">E69*H69</f>
        <v>0</v>
      </c>
      <c r="K69" s="6" t="n">
        <f aca="false">E69*I69</f>
        <v>14408.21</v>
      </c>
      <c r="L69" s="6" t="n">
        <v>0</v>
      </c>
      <c r="M69" s="6" t="n">
        <v>14408.21</v>
      </c>
      <c r="N69" s="6"/>
      <c r="O69" s="6"/>
      <c r="P69" s="7"/>
      <c r="Q69" s="5" t="s">
        <v>26</v>
      </c>
      <c r="R69" s="5" t="s">
        <v>27</v>
      </c>
    </row>
    <row r="70" customFormat="false" ht="15" hidden="false" customHeight="true" outlineLevel="0" collapsed="false">
      <c r="A70" s="5" t="s">
        <v>94</v>
      </c>
      <c r="B70" s="6" t="n">
        <v>54402040.36</v>
      </c>
      <c r="C70" s="6" t="n">
        <v>0</v>
      </c>
      <c r="D70" s="6" t="n">
        <v>54402040.36</v>
      </c>
      <c r="E70" s="6" t="n">
        <v>20128.75</v>
      </c>
      <c r="F70" s="6" t="n">
        <v>0</v>
      </c>
      <c r="G70" s="6" t="n">
        <f aca="false">E70+F70</f>
        <v>20128.75</v>
      </c>
      <c r="H70" s="7" t="n">
        <f aca="false">IF(D70=0,0,C70/D70)</f>
        <v>0</v>
      </c>
      <c r="I70" s="7" t="n">
        <f aca="false">IF(D70=0,0,B70/D70)</f>
        <v>1</v>
      </c>
      <c r="J70" s="6" t="n">
        <f aca="false">E70*H70</f>
        <v>0</v>
      </c>
      <c r="K70" s="6" t="n">
        <f aca="false">E70*I70</f>
        <v>20128.75</v>
      </c>
      <c r="L70" s="6" t="n">
        <v>0</v>
      </c>
      <c r="M70" s="6" t="n">
        <v>20128.75</v>
      </c>
      <c r="N70" s="6"/>
      <c r="O70" s="6"/>
      <c r="P70" s="7"/>
      <c r="Q70" s="5" t="s">
        <v>26</v>
      </c>
      <c r="R70" s="5" t="s">
        <v>27</v>
      </c>
    </row>
    <row r="71" customFormat="false" ht="15" hidden="false" customHeight="true" outlineLevel="0" collapsed="false">
      <c r="A71" s="5" t="s">
        <v>95</v>
      </c>
      <c r="B71" s="6" t="n">
        <v>48029275.21</v>
      </c>
      <c r="C71" s="6" t="n">
        <v>0</v>
      </c>
      <c r="D71" s="6" t="n">
        <v>48029275.21</v>
      </c>
      <c r="E71" s="6" t="n">
        <v>17770.83</v>
      </c>
      <c r="F71" s="6" t="n">
        <v>0</v>
      </c>
      <c r="G71" s="6" t="n">
        <f aca="false">E71+F71</f>
        <v>17770.83</v>
      </c>
      <c r="H71" s="7" t="n">
        <f aca="false">IF(D71=0,0,C71/D71)</f>
        <v>0</v>
      </c>
      <c r="I71" s="7" t="n">
        <f aca="false">IF(D71=0,0,B71/D71)</f>
        <v>1</v>
      </c>
      <c r="J71" s="6" t="n">
        <f aca="false">E71*H71</f>
        <v>0</v>
      </c>
      <c r="K71" s="6" t="n">
        <f aca="false">E71*I71</f>
        <v>17770.83</v>
      </c>
      <c r="L71" s="6" t="n">
        <v>0</v>
      </c>
      <c r="M71" s="6" t="n">
        <v>17770.83</v>
      </c>
      <c r="N71" s="6"/>
      <c r="O71" s="6"/>
      <c r="P71" s="7"/>
      <c r="Q71" s="5" t="s">
        <v>26</v>
      </c>
      <c r="R71" s="5" t="s">
        <v>27</v>
      </c>
    </row>
    <row r="72" customFormat="false" ht="15" hidden="false" customHeight="true" outlineLevel="0" collapsed="false">
      <c r="A72" s="5" t="s">
        <v>96</v>
      </c>
      <c r="B72" s="6" t="n">
        <v>35982685.74</v>
      </c>
      <c r="C72" s="6" t="n">
        <v>0</v>
      </c>
      <c r="D72" s="6" t="n">
        <v>35982685.74</v>
      </c>
      <c r="E72" s="6" t="n">
        <v>13313.59</v>
      </c>
      <c r="F72" s="6" t="n">
        <v>0</v>
      </c>
      <c r="G72" s="6" t="n">
        <f aca="false">E72+F72</f>
        <v>13313.59</v>
      </c>
      <c r="H72" s="7" t="n">
        <f aca="false">IF(D72=0,0,C72/D72)</f>
        <v>0</v>
      </c>
      <c r="I72" s="7" t="n">
        <f aca="false">IF(D72=0,0,B72/D72)</f>
        <v>1</v>
      </c>
      <c r="J72" s="6" t="n">
        <f aca="false">E72*H72</f>
        <v>0</v>
      </c>
      <c r="K72" s="6" t="n">
        <f aca="false">E72*I72</f>
        <v>13313.59</v>
      </c>
      <c r="L72" s="6" t="n">
        <v>0</v>
      </c>
      <c r="M72" s="6" t="n">
        <v>13313.59</v>
      </c>
      <c r="N72" s="6"/>
      <c r="O72" s="6"/>
      <c r="P72" s="7"/>
      <c r="Q72" s="5" t="s">
        <v>26</v>
      </c>
      <c r="R72" s="5" t="s">
        <v>27</v>
      </c>
    </row>
    <row r="73" customFormat="false" ht="15" hidden="false" customHeight="true" outlineLevel="0" collapsed="false">
      <c r="A73" s="5" t="s">
        <v>97</v>
      </c>
      <c r="B73" s="6" t="n">
        <v>23141288.29</v>
      </c>
      <c r="C73" s="6" t="n">
        <v>0</v>
      </c>
      <c r="D73" s="6" t="n">
        <v>23141288.29</v>
      </c>
      <c r="E73" s="6" t="n">
        <v>8562.28</v>
      </c>
      <c r="F73" s="6" t="n">
        <v>0</v>
      </c>
      <c r="G73" s="6" t="n">
        <f aca="false">E73+F73</f>
        <v>8562.28</v>
      </c>
      <c r="H73" s="7" t="n">
        <f aca="false">IF(D73=0,0,C73/D73)</f>
        <v>0</v>
      </c>
      <c r="I73" s="7" t="n">
        <f aca="false">IF(D73=0,0,B73/D73)</f>
        <v>1</v>
      </c>
      <c r="J73" s="6" t="n">
        <f aca="false">E73*H73</f>
        <v>0</v>
      </c>
      <c r="K73" s="6" t="n">
        <f aca="false">E73*I73</f>
        <v>8562.28</v>
      </c>
      <c r="L73" s="6" t="n">
        <v>0</v>
      </c>
      <c r="M73" s="6" t="n">
        <v>8562.28</v>
      </c>
      <c r="N73" s="6"/>
      <c r="O73" s="6"/>
      <c r="P73" s="7"/>
      <c r="Q73" s="5" t="s">
        <v>26</v>
      </c>
      <c r="R73" s="5" t="s">
        <v>27</v>
      </c>
    </row>
    <row r="74" customFormat="false" ht="15" hidden="false" customHeight="true" outlineLevel="0" collapsed="false">
      <c r="A74" s="5" t="s">
        <v>98</v>
      </c>
      <c r="B74" s="6" t="n">
        <v>39932922.03</v>
      </c>
      <c r="C74" s="6" t="n">
        <v>0</v>
      </c>
      <c r="D74" s="6" t="n">
        <v>39932922.03</v>
      </c>
      <c r="E74" s="6" t="n">
        <v>14775.18</v>
      </c>
      <c r="F74" s="6" t="n">
        <v>0</v>
      </c>
      <c r="G74" s="6" t="n">
        <f aca="false">E74+F74</f>
        <v>14775.18</v>
      </c>
      <c r="H74" s="7" t="n">
        <f aca="false">IF(D74=0,0,C74/D74)</f>
        <v>0</v>
      </c>
      <c r="I74" s="7" t="n">
        <f aca="false">IF(D74=0,0,B74/D74)</f>
        <v>1</v>
      </c>
      <c r="J74" s="6" t="n">
        <f aca="false">E74*H74</f>
        <v>0</v>
      </c>
      <c r="K74" s="6" t="n">
        <f aca="false">E74*I74</f>
        <v>14775.18</v>
      </c>
      <c r="L74" s="6" t="n">
        <v>0</v>
      </c>
      <c r="M74" s="6" t="n">
        <v>14775.18</v>
      </c>
      <c r="N74" s="6"/>
      <c r="O74" s="6"/>
      <c r="P74" s="7"/>
      <c r="Q74" s="5" t="s">
        <v>26</v>
      </c>
      <c r="R74" s="5" t="s">
        <v>27</v>
      </c>
    </row>
    <row r="75" customFormat="false" ht="15" hidden="false" customHeight="true" outlineLevel="0" collapsed="false">
      <c r="A75" s="5" t="s">
        <v>99</v>
      </c>
      <c r="B75" s="6" t="n">
        <v>52459811.79</v>
      </c>
      <c r="C75" s="6" t="n">
        <v>0</v>
      </c>
      <c r="D75" s="6" t="n">
        <v>52459811.79</v>
      </c>
      <c r="E75" s="6" t="n">
        <v>19410.13</v>
      </c>
      <c r="F75" s="6" t="n">
        <v>0</v>
      </c>
      <c r="G75" s="6" t="n">
        <f aca="false">E75+F75</f>
        <v>19410.13</v>
      </c>
      <c r="H75" s="7" t="n">
        <f aca="false">IF(D75=0,0,C75/D75)</f>
        <v>0</v>
      </c>
      <c r="I75" s="7" t="n">
        <f aca="false">IF(D75=0,0,B75/D75)</f>
        <v>1</v>
      </c>
      <c r="J75" s="6" t="n">
        <f aca="false">E75*H75</f>
        <v>0</v>
      </c>
      <c r="K75" s="6" t="n">
        <f aca="false">E75*I75</f>
        <v>19410.13</v>
      </c>
      <c r="L75" s="6" t="n">
        <v>0</v>
      </c>
      <c r="M75" s="6" t="n">
        <v>19410.13</v>
      </c>
      <c r="N75" s="6"/>
      <c r="O75" s="6"/>
      <c r="P75" s="7"/>
      <c r="Q75" s="5" t="s">
        <v>26</v>
      </c>
      <c r="R75" s="5" t="s">
        <v>27</v>
      </c>
    </row>
    <row r="76" customFormat="false" ht="15" hidden="false" customHeight="true" outlineLevel="0" collapsed="false">
      <c r="A76" s="5" t="s">
        <v>100</v>
      </c>
      <c r="B76" s="6" t="n">
        <v>71930659.39</v>
      </c>
      <c r="C76" s="6" t="n">
        <v>0</v>
      </c>
      <c r="D76" s="6" t="n">
        <v>71930659.39</v>
      </c>
      <c r="E76" s="6" t="n">
        <v>26614.34</v>
      </c>
      <c r="F76" s="6" t="n">
        <v>0</v>
      </c>
      <c r="G76" s="6" t="n">
        <f aca="false">E76+F76</f>
        <v>26614.34</v>
      </c>
      <c r="H76" s="7" t="n">
        <f aca="false">IF(D76=0,0,C76/D76)</f>
        <v>0</v>
      </c>
      <c r="I76" s="7" t="n">
        <f aca="false">IF(D76=0,0,B76/D76)</f>
        <v>1</v>
      </c>
      <c r="J76" s="6" t="n">
        <f aca="false">E76*H76</f>
        <v>0</v>
      </c>
      <c r="K76" s="6" t="n">
        <f aca="false">E76*I76</f>
        <v>26614.34</v>
      </c>
      <c r="L76" s="6" t="n">
        <v>0</v>
      </c>
      <c r="M76" s="6" t="n">
        <v>26614.34</v>
      </c>
      <c r="N76" s="6"/>
      <c r="O76" s="6"/>
      <c r="P76" s="7"/>
      <c r="Q76" s="5" t="s">
        <v>26</v>
      </c>
      <c r="R76" s="5" t="s">
        <v>27</v>
      </c>
    </row>
    <row r="77" customFormat="false" ht="15" hidden="false" customHeight="true" outlineLevel="0" collapsed="false">
      <c r="A77" s="5" t="s">
        <v>101</v>
      </c>
      <c r="B77" s="6" t="n">
        <v>69247816.5</v>
      </c>
      <c r="C77" s="6" t="n">
        <v>0</v>
      </c>
      <c r="D77" s="6" t="n">
        <v>69247816.5</v>
      </c>
      <c r="E77" s="6" t="n">
        <v>25621.69</v>
      </c>
      <c r="F77" s="6" t="n">
        <v>0</v>
      </c>
      <c r="G77" s="6" t="n">
        <f aca="false">E77+F77</f>
        <v>25621.69</v>
      </c>
      <c r="H77" s="7" t="n">
        <f aca="false">IF(D77=0,0,C77/D77)</f>
        <v>0</v>
      </c>
      <c r="I77" s="7" t="n">
        <f aca="false">IF(D77=0,0,B77/D77)</f>
        <v>1</v>
      </c>
      <c r="J77" s="6" t="n">
        <f aca="false">E77*H77</f>
        <v>0</v>
      </c>
      <c r="K77" s="6" t="n">
        <f aca="false">E77*I77</f>
        <v>25621.69</v>
      </c>
      <c r="L77" s="6" t="n">
        <v>0</v>
      </c>
      <c r="M77" s="6" t="n">
        <v>25621.69</v>
      </c>
      <c r="N77" s="6"/>
      <c r="O77" s="6"/>
      <c r="P77" s="7"/>
      <c r="Q77" s="5" t="s">
        <v>26</v>
      </c>
      <c r="R77" s="5" t="s">
        <v>27</v>
      </c>
    </row>
    <row r="78" customFormat="false" ht="15" hidden="false" customHeight="true" outlineLevel="0" collapsed="false">
      <c r="A78" s="5" t="s">
        <v>102</v>
      </c>
      <c r="B78" s="6" t="n">
        <v>92423674.7</v>
      </c>
      <c r="C78" s="6" t="n">
        <v>0</v>
      </c>
      <c r="D78" s="6" t="n">
        <v>92423674.7</v>
      </c>
      <c r="E78" s="6" t="n">
        <v>34196.76</v>
      </c>
      <c r="F78" s="6" t="n">
        <v>0</v>
      </c>
      <c r="G78" s="6" t="n">
        <f aca="false">E78+F78</f>
        <v>34196.76</v>
      </c>
      <c r="H78" s="7" t="n">
        <f aca="false">IF(D78=0,0,C78/D78)</f>
        <v>0</v>
      </c>
      <c r="I78" s="7" t="n">
        <f aca="false">IF(D78=0,0,B78/D78)</f>
        <v>1</v>
      </c>
      <c r="J78" s="6" t="n">
        <f aca="false">E78*H78</f>
        <v>0</v>
      </c>
      <c r="K78" s="6" t="n">
        <f aca="false">E78*I78</f>
        <v>34196.76</v>
      </c>
      <c r="L78" s="6" t="n">
        <v>0</v>
      </c>
      <c r="M78" s="6" t="n">
        <v>34196.76</v>
      </c>
      <c r="N78" s="6"/>
      <c r="O78" s="6"/>
      <c r="P78" s="7"/>
      <c r="Q78" s="5" t="s">
        <v>26</v>
      </c>
      <c r="R78" s="5" t="s">
        <v>27</v>
      </c>
    </row>
    <row r="79" customFormat="false" ht="15" hidden="false" customHeight="true" outlineLevel="0" collapsed="false">
      <c r="A79" s="5" t="s">
        <v>103</v>
      </c>
      <c r="B79" s="6" t="n">
        <v>60172149.05</v>
      </c>
      <c r="C79" s="6" t="n">
        <v>0</v>
      </c>
      <c r="D79" s="6" t="n">
        <v>60172149.05</v>
      </c>
      <c r="E79" s="6" t="n">
        <v>22263.7</v>
      </c>
      <c r="F79" s="6" t="n">
        <v>0</v>
      </c>
      <c r="G79" s="6" t="n">
        <f aca="false">E79+F79</f>
        <v>22263.7</v>
      </c>
      <c r="H79" s="7" t="n">
        <f aca="false">IF(D79=0,0,C79/D79)</f>
        <v>0</v>
      </c>
      <c r="I79" s="7" t="n">
        <f aca="false">IF(D79=0,0,B79/D79)</f>
        <v>1</v>
      </c>
      <c r="J79" s="6" t="n">
        <f aca="false">E79*H79</f>
        <v>0</v>
      </c>
      <c r="K79" s="6" t="n">
        <f aca="false">E79*I79</f>
        <v>22263.7</v>
      </c>
      <c r="L79" s="6" t="n">
        <v>0</v>
      </c>
      <c r="M79" s="6" t="n">
        <v>22263.7</v>
      </c>
      <c r="N79" s="6"/>
      <c r="O79" s="6"/>
      <c r="P79" s="7"/>
      <c r="Q79" s="5" t="s">
        <v>26</v>
      </c>
      <c r="R79" s="5" t="s">
        <v>27</v>
      </c>
    </row>
    <row r="80" customFormat="false" ht="15" hidden="false" customHeight="true" outlineLevel="0" collapsed="false">
      <c r="A80" s="5" t="s">
        <v>104</v>
      </c>
      <c r="B80" s="6" t="n">
        <v>37531968.22</v>
      </c>
      <c r="C80" s="6" t="n">
        <v>0</v>
      </c>
      <c r="D80" s="6" t="n">
        <v>37531968.22</v>
      </c>
      <c r="E80" s="6" t="n">
        <v>13886.83</v>
      </c>
      <c r="F80" s="6" t="n">
        <v>0</v>
      </c>
      <c r="G80" s="6" t="n">
        <f aca="false">E80+F80</f>
        <v>13886.83</v>
      </c>
      <c r="H80" s="7" t="n">
        <f aca="false">IF(D80=0,0,C80/D80)</f>
        <v>0</v>
      </c>
      <c r="I80" s="7" t="n">
        <f aca="false">IF(D80=0,0,B80/D80)</f>
        <v>1</v>
      </c>
      <c r="J80" s="6" t="n">
        <f aca="false">E80*H80</f>
        <v>0</v>
      </c>
      <c r="K80" s="6" t="n">
        <f aca="false">E80*I80</f>
        <v>13886.83</v>
      </c>
      <c r="L80" s="6" t="n">
        <v>0</v>
      </c>
      <c r="M80" s="6" t="n">
        <v>13886.83</v>
      </c>
      <c r="N80" s="6"/>
      <c r="O80" s="6"/>
      <c r="P80" s="7"/>
      <c r="Q80" s="5" t="s">
        <v>26</v>
      </c>
      <c r="R80" s="5" t="s">
        <v>27</v>
      </c>
    </row>
    <row r="81" customFormat="false" ht="15" hidden="false" customHeight="true" outlineLevel="0" collapsed="false">
      <c r="A81" s="5" t="s">
        <v>105</v>
      </c>
      <c r="B81" s="6" t="n">
        <v>38116020.81</v>
      </c>
      <c r="C81" s="6" t="n">
        <v>0</v>
      </c>
      <c r="D81" s="6" t="n">
        <v>38116020.81</v>
      </c>
      <c r="E81" s="6" t="n">
        <v>14102.93</v>
      </c>
      <c r="F81" s="6" t="n">
        <v>0</v>
      </c>
      <c r="G81" s="6" t="n">
        <f aca="false">E81+F81</f>
        <v>14102.93</v>
      </c>
      <c r="H81" s="7" t="n">
        <f aca="false">IF(D81=0,0,C81/D81)</f>
        <v>0</v>
      </c>
      <c r="I81" s="7" t="n">
        <f aca="false">IF(D81=0,0,B81/D81)</f>
        <v>1</v>
      </c>
      <c r="J81" s="6" t="n">
        <f aca="false">E81*H81</f>
        <v>0</v>
      </c>
      <c r="K81" s="6" t="n">
        <f aca="false">E81*I81</f>
        <v>14102.93</v>
      </c>
      <c r="L81" s="6" t="n">
        <v>0</v>
      </c>
      <c r="M81" s="6" t="n">
        <v>14102.93</v>
      </c>
      <c r="N81" s="6"/>
      <c r="O81" s="6"/>
      <c r="P81" s="7"/>
      <c r="Q81" s="5" t="s">
        <v>26</v>
      </c>
      <c r="R81" s="5" t="s">
        <v>27</v>
      </c>
    </row>
    <row r="82" customFormat="false" ht="15" hidden="false" customHeight="true" outlineLevel="0" collapsed="false">
      <c r="A82" s="5" t="s">
        <v>106</v>
      </c>
      <c r="B82" s="6" t="n">
        <v>64554006.57</v>
      </c>
      <c r="C82" s="6" t="n">
        <v>0</v>
      </c>
      <c r="D82" s="6" t="n">
        <v>64554006.57</v>
      </c>
      <c r="E82" s="6" t="n">
        <v>23884.98</v>
      </c>
      <c r="F82" s="6" t="n">
        <v>0</v>
      </c>
      <c r="G82" s="6" t="n">
        <f aca="false">E82+F82</f>
        <v>23884.98</v>
      </c>
      <c r="H82" s="7" t="n">
        <f aca="false">IF(D82=0,0,C82/D82)</f>
        <v>0</v>
      </c>
      <c r="I82" s="7" t="n">
        <f aca="false">IF(D82=0,0,B82/D82)</f>
        <v>1</v>
      </c>
      <c r="J82" s="6" t="n">
        <f aca="false">E82*H82</f>
        <v>0</v>
      </c>
      <c r="K82" s="6" t="n">
        <f aca="false">E82*I82</f>
        <v>23884.98</v>
      </c>
      <c r="L82" s="6" t="n">
        <v>0</v>
      </c>
      <c r="M82" s="6" t="n">
        <v>23884.98</v>
      </c>
      <c r="N82" s="6"/>
      <c r="O82" s="6"/>
      <c r="P82" s="7"/>
      <c r="Q82" s="5" t="s">
        <v>26</v>
      </c>
      <c r="R82" s="5" t="s">
        <v>27</v>
      </c>
    </row>
    <row r="83" customFormat="false" ht="15" hidden="false" customHeight="true" outlineLevel="0" collapsed="false">
      <c r="A83" s="5" t="s">
        <v>107</v>
      </c>
      <c r="B83" s="6" t="n">
        <v>56200711.92</v>
      </c>
      <c r="C83" s="6" t="n">
        <v>0</v>
      </c>
      <c r="D83" s="6" t="n">
        <v>56200711.92</v>
      </c>
      <c r="E83" s="6" t="n">
        <v>20794.26</v>
      </c>
      <c r="F83" s="6" t="n">
        <v>0</v>
      </c>
      <c r="G83" s="6" t="n">
        <f aca="false">E83+F83</f>
        <v>20794.26</v>
      </c>
      <c r="H83" s="7" t="n">
        <f aca="false">IF(D83=0,0,C83/D83)</f>
        <v>0</v>
      </c>
      <c r="I83" s="7" t="n">
        <f aca="false">IF(D83=0,0,B83/D83)</f>
        <v>1</v>
      </c>
      <c r="J83" s="6" t="n">
        <f aca="false">E83*H83</f>
        <v>0</v>
      </c>
      <c r="K83" s="6" t="n">
        <f aca="false">E83*I83</f>
        <v>20794.26</v>
      </c>
      <c r="L83" s="6" t="n">
        <v>0</v>
      </c>
      <c r="M83" s="6" t="n">
        <v>20794.26</v>
      </c>
      <c r="N83" s="6"/>
      <c r="O83" s="6"/>
      <c r="P83" s="7"/>
      <c r="Q83" s="5" t="s">
        <v>26</v>
      </c>
      <c r="R83" s="5" t="s">
        <v>27</v>
      </c>
    </row>
    <row r="84" customFormat="false" ht="15" hidden="false" customHeight="true" outlineLevel="0" collapsed="false">
      <c r="A84" s="5" t="s">
        <v>108</v>
      </c>
      <c r="B84" s="6" t="n">
        <v>46968072.57</v>
      </c>
      <c r="C84" s="6" t="n">
        <v>0</v>
      </c>
      <c r="D84" s="6" t="n">
        <v>46968072.57</v>
      </c>
      <c r="E84" s="6" t="n">
        <v>17378.19</v>
      </c>
      <c r="F84" s="6" t="n">
        <v>0</v>
      </c>
      <c r="G84" s="6" t="n">
        <f aca="false">E84+F84</f>
        <v>17378.19</v>
      </c>
      <c r="H84" s="7" t="n">
        <f aca="false">IF(D84=0,0,C84/D84)</f>
        <v>0</v>
      </c>
      <c r="I84" s="7" t="n">
        <f aca="false">IF(D84=0,0,B84/D84)</f>
        <v>1</v>
      </c>
      <c r="J84" s="6" t="n">
        <f aca="false">E84*H84</f>
        <v>0</v>
      </c>
      <c r="K84" s="6" t="n">
        <f aca="false">E84*I84</f>
        <v>17378.19</v>
      </c>
      <c r="L84" s="6" t="n">
        <v>0</v>
      </c>
      <c r="M84" s="6" t="n">
        <v>17378.19</v>
      </c>
      <c r="N84" s="6"/>
      <c r="O84" s="6"/>
      <c r="P84" s="7"/>
      <c r="Q84" s="5" t="s">
        <v>26</v>
      </c>
      <c r="R84" s="5" t="s">
        <v>27</v>
      </c>
    </row>
    <row r="85" customFormat="false" ht="15" hidden="false" customHeight="true" outlineLevel="0" collapsed="false">
      <c r="A85" s="5" t="s">
        <v>109</v>
      </c>
      <c r="B85" s="6" t="n">
        <v>39915194.28</v>
      </c>
      <c r="C85" s="6" t="n">
        <v>0</v>
      </c>
      <c r="D85" s="6" t="n">
        <v>39915194.28</v>
      </c>
      <c r="E85" s="6" t="n">
        <v>14768.62</v>
      </c>
      <c r="F85" s="6" t="n">
        <v>0</v>
      </c>
      <c r="G85" s="6" t="n">
        <f aca="false">E85+F85</f>
        <v>14768.62</v>
      </c>
      <c r="H85" s="7" t="n">
        <f aca="false">IF(D85=0,0,C85/D85)</f>
        <v>0</v>
      </c>
      <c r="I85" s="7" t="n">
        <f aca="false">IF(D85=0,0,B85/D85)</f>
        <v>1</v>
      </c>
      <c r="J85" s="6" t="n">
        <f aca="false">E85*H85</f>
        <v>0</v>
      </c>
      <c r="K85" s="6" t="n">
        <f aca="false">E85*I85</f>
        <v>14768.62</v>
      </c>
      <c r="L85" s="6" t="n">
        <v>0</v>
      </c>
      <c r="M85" s="6" t="n">
        <v>14768.62</v>
      </c>
      <c r="N85" s="6"/>
      <c r="O85" s="6"/>
      <c r="P85" s="7"/>
      <c r="Q85" s="5" t="s">
        <v>26</v>
      </c>
      <c r="R85" s="5" t="s">
        <v>27</v>
      </c>
    </row>
    <row r="86" customFormat="false" ht="15" hidden="false" customHeight="true" outlineLevel="0" collapsed="false">
      <c r="A86" s="5" t="s">
        <v>110</v>
      </c>
      <c r="B86" s="6" t="n">
        <v>28511042.63</v>
      </c>
      <c r="C86" s="6" t="n">
        <v>0</v>
      </c>
      <c r="D86" s="6" t="n">
        <v>28511042.63</v>
      </c>
      <c r="E86" s="6" t="n">
        <v>10549.09</v>
      </c>
      <c r="F86" s="6" t="n">
        <v>0</v>
      </c>
      <c r="G86" s="6" t="n">
        <f aca="false">E86+F86</f>
        <v>10549.09</v>
      </c>
      <c r="H86" s="7" t="n">
        <f aca="false">IF(D86=0,0,C86/D86)</f>
        <v>0</v>
      </c>
      <c r="I86" s="7" t="n">
        <f aca="false">IF(D86=0,0,B86/D86)</f>
        <v>1</v>
      </c>
      <c r="J86" s="6" t="n">
        <f aca="false">E86*H86</f>
        <v>0</v>
      </c>
      <c r="K86" s="6" t="n">
        <f aca="false">E86*I86</f>
        <v>10549.09</v>
      </c>
      <c r="L86" s="6" t="n">
        <v>0</v>
      </c>
      <c r="M86" s="6" t="n">
        <v>10549.09</v>
      </c>
      <c r="N86" s="6"/>
      <c r="O86" s="6"/>
      <c r="P86" s="7"/>
      <c r="Q86" s="5" t="s">
        <v>26</v>
      </c>
      <c r="R86" s="5" t="s">
        <v>27</v>
      </c>
    </row>
    <row r="87" customFormat="false" ht="15" hidden="false" customHeight="true" outlineLevel="0" collapsed="false">
      <c r="A87" s="5" t="s">
        <v>111</v>
      </c>
      <c r="B87" s="6" t="n">
        <v>32194687.88</v>
      </c>
      <c r="C87" s="6" t="n">
        <v>0</v>
      </c>
      <c r="D87" s="6" t="n">
        <v>32194687.88</v>
      </c>
      <c r="E87" s="6" t="n">
        <v>11912.03</v>
      </c>
      <c r="F87" s="6" t="n">
        <v>0</v>
      </c>
      <c r="G87" s="6" t="n">
        <f aca="false">E87+F87</f>
        <v>11912.03</v>
      </c>
      <c r="H87" s="7" t="n">
        <f aca="false">IF(D87=0,0,C87/D87)</f>
        <v>0</v>
      </c>
      <c r="I87" s="7" t="n">
        <f aca="false">IF(D87=0,0,B87/D87)</f>
        <v>1</v>
      </c>
      <c r="J87" s="6" t="n">
        <f aca="false">E87*H87</f>
        <v>0</v>
      </c>
      <c r="K87" s="6" t="n">
        <f aca="false">E87*I87</f>
        <v>11912.03</v>
      </c>
      <c r="L87" s="6" t="n">
        <v>0</v>
      </c>
      <c r="M87" s="6" t="n">
        <v>11912.03</v>
      </c>
      <c r="N87" s="6"/>
      <c r="O87" s="6"/>
      <c r="P87" s="7"/>
      <c r="Q87" s="5" t="s">
        <v>26</v>
      </c>
      <c r="R87" s="5" t="s">
        <v>27</v>
      </c>
    </row>
    <row r="88" customFormat="false" ht="15" hidden="false" customHeight="true" outlineLevel="0" collapsed="false">
      <c r="A88" s="5" t="s">
        <v>112</v>
      </c>
      <c r="B88" s="6" t="n">
        <v>29034576.42</v>
      </c>
      <c r="C88" s="6" t="n">
        <v>0</v>
      </c>
      <c r="D88" s="6" t="n">
        <v>29034576.42</v>
      </c>
      <c r="E88" s="6" t="n">
        <v>10742.79</v>
      </c>
      <c r="F88" s="6" t="n">
        <v>0</v>
      </c>
      <c r="G88" s="6" t="n">
        <f aca="false">E88+F88</f>
        <v>10742.79</v>
      </c>
      <c r="H88" s="7" t="n">
        <f aca="false">IF(D88=0,0,C88/D88)</f>
        <v>0</v>
      </c>
      <c r="I88" s="7" t="n">
        <f aca="false">IF(D88=0,0,B88/D88)</f>
        <v>1</v>
      </c>
      <c r="J88" s="6" t="n">
        <f aca="false">E88*H88</f>
        <v>0</v>
      </c>
      <c r="K88" s="6" t="n">
        <f aca="false">E88*I88</f>
        <v>10742.79</v>
      </c>
      <c r="L88" s="6" t="n">
        <v>0</v>
      </c>
      <c r="M88" s="6" t="n">
        <v>10742.79</v>
      </c>
      <c r="N88" s="6"/>
      <c r="O88" s="6"/>
      <c r="P88" s="7"/>
      <c r="Q88" s="5" t="s">
        <v>26</v>
      </c>
      <c r="R88" s="5" t="s">
        <v>27</v>
      </c>
    </row>
    <row r="89" customFormat="false" ht="15" hidden="false" customHeight="true" outlineLevel="0" collapsed="false">
      <c r="A89" s="5" t="s">
        <v>113</v>
      </c>
      <c r="B89" s="6" t="n">
        <v>39468106.89</v>
      </c>
      <c r="C89" s="6" t="n">
        <v>0</v>
      </c>
      <c r="D89" s="6" t="n">
        <v>39468106.89</v>
      </c>
      <c r="E89" s="6" t="n">
        <v>14603.2</v>
      </c>
      <c r="F89" s="6" t="n">
        <v>0</v>
      </c>
      <c r="G89" s="6" t="n">
        <f aca="false">E89+F89</f>
        <v>14603.2</v>
      </c>
      <c r="H89" s="7" t="n">
        <f aca="false">IF(D89=0,0,C89/D89)</f>
        <v>0</v>
      </c>
      <c r="I89" s="7" t="n">
        <f aca="false">IF(D89=0,0,B89/D89)</f>
        <v>1</v>
      </c>
      <c r="J89" s="6" t="n">
        <f aca="false">E89*H89</f>
        <v>0</v>
      </c>
      <c r="K89" s="6" t="n">
        <f aca="false">E89*I89</f>
        <v>14603.2</v>
      </c>
      <c r="L89" s="6" t="n">
        <v>0</v>
      </c>
      <c r="M89" s="6" t="n">
        <v>14603.2</v>
      </c>
      <c r="N89" s="6"/>
      <c r="O89" s="6"/>
      <c r="P89" s="7"/>
      <c r="Q89" s="5" t="s">
        <v>26</v>
      </c>
      <c r="R89" s="5" t="s">
        <v>27</v>
      </c>
    </row>
    <row r="90" customFormat="false" ht="15" hidden="false" customHeight="true" outlineLevel="0" collapsed="false">
      <c r="A90" s="5" t="s">
        <v>114</v>
      </c>
      <c r="B90" s="6" t="n">
        <v>52924576.09</v>
      </c>
      <c r="C90" s="6" t="n">
        <v>0</v>
      </c>
      <c r="D90" s="6" t="n">
        <v>52924576.09</v>
      </c>
      <c r="E90" s="6" t="n">
        <v>19582.09</v>
      </c>
      <c r="F90" s="6" t="n">
        <v>0</v>
      </c>
      <c r="G90" s="6" t="n">
        <f aca="false">E90+F90</f>
        <v>19582.09</v>
      </c>
      <c r="H90" s="7" t="n">
        <f aca="false">IF(D90=0,0,C90/D90)</f>
        <v>0</v>
      </c>
      <c r="I90" s="7" t="n">
        <f aca="false">IF(D90=0,0,B90/D90)</f>
        <v>1</v>
      </c>
      <c r="J90" s="6" t="n">
        <f aca="false">E90*H90</f>
        <v>0</v>
      </c>
      <c r="K90" s="6" t="n">
        <f aca="false">E90*I90</f>
        <v>19582.09</v>
      </c>
      <c r="L90" s="6" t="n">
        <v>0</v>
      </c>
      <c r="M90" s="6" t="n">
        <v>19582.09</v>
      </c>
      <c r="N90" s="6"/>
      <c r="O90" s="6"/>
      <c r="P90" s="7"/>
      <c r="Q90" s="5" t="s">
        <v>26</v>
      </c>
      <c r="R90" s="5" t="s">
        <v>27</v>
      </c>
    </row>
    <row r="91" customFormat="false" ht="15" hidden="false" customHeight="true" outlineLevel="0" collapsed="false">
      <c r="A91" s="5" t="s">
        <v>115</v>
      </c>
      <c r="B91" s="6" t="n">
        <v>117476947.38</v>
      </c>
      <c r="C91" s="6" t="n">
        <v>0</v>
      </c>
      <c r="D91" s="6" t="n">
        <v>117476947.38</v>
      </c>
      <c r="E91" s="6" t="n">
        <v>43466.47</v>
      </c>
      <c r="F91" s="6" t="n">
        <v>0</v>
      </c>
      <c r="G91" s="6" t="n">
        <f aca="false">E91+F91</f>
        <v>43466.47</v>
      </c>
      <c r="H91" s="7" t="n">
        <f aca="false">IF(D91=0,0,C91/D91)</f>
        <v>0</v>
      </c>
      <c r="I91" s="7" t="n">
        <f aca="false">IF(D91=0,0,B91/D91)</f>
        <v>1</v>
      </c>
      <c r="J91" s="6" t="n">
        <f aca="false">E91*H91</f>
        <v>0</v>
      </c>
      <c r="K91" s="6" t="n">
        <f aca="false">E91*I91</f>
        <v>43466.47</v>
      </c>
      <c r="L91" s="6" t="n">
        <v>0</v>
      </c>
      <c r="M91" s="6" t="n">
        <v>43466.47</v>
      </c>
      <c r="N91" s="6"/>
      <c r="O91" s="6"/>
      <c r="P91" s="7"/>
      <c r="Q91" s="5" t="s">
        <v>26</v>
      </c>
      <c r="R91" s="5" t="s">
        <v>27</v>
      </c>
    </row>
    <row r="92" customFormat="false" ht="15" hidden="false" customHeight="true" outlineLevel="0" collapsed="false">
      <c r="A92" s="5" t="s">
        <v>116</v>
      </c>
      <c r="B92" s="6" t="n">
        <v>171884792.43</v>
      </c>
      <c r="C92" s="6" t="n">
        <v>0</v>
      </c>
      <c r="D92" s="6" t="n">
        <v>171884792.43</v>
      </c>
      <c r="E92" s="6" t="n">
        <v>63597.37</v>
      </c>
      <c r="F92" s="6" t="n">
        <v>0</v>
      </c>
      <c r="G92" s="6" t="n">
        <f aca="false">E92+F92</f>
        <v>63597.37</v>
      </c>
      <c r="H92" s="7" t="n">
        <f aca="false">IF(D92=0,0,C92/D92)</f>
        <v>0</v>
      </c>
      <c r="I92" s="7" t="n">
        <f aca="false">IF(D92=0,0,B92/D92)</f>
        <v>1</v>
      </c>
      <c r="J92" s="6" t="n">
        <f aca="false">E92*H92</f>
        <v>0</v>
      </c>
      <c r="K92" s="6" t="n">
        <f aca="false">E92*I92</f>
        <v>63597.37</v>
      </c>
      <c r="L92" s="6" t="n">
        <v>0</v>
      </c>
      <c r="M92" s="6" t="n">
        <v>63597.37</v>
      </c>
      <c r="N92" s="6"/>
      <c r="O92" s="6"/>
      <c r="P92" s="7"/>
      <c r="Q92" s="5" t="s">
        <v>26</v>
      </c>
      <c r="R92" s="5" t="s">
        <v>27</v>
      </c>
    </row>
    <row r="93" customFormat="false" ht="15" hidden="false" customHeight="true" outlineLevel="0" collapsed="false">
      <c r="A93" s="5" t="s">
        <v>117</v>
      </c>
      <c r="B93" s="6" t="n">
        <v>223653015.56</v>
      </c>
      <c r="C93" s="6" t="n">
        <v>0</v>
      </c>
      <c r="D93" s="6" t="n">
        <v>223653015.56</v>
      </c>
      <c r="E93" s="6" t="n">
        <v>82751.62</v>
      </c>
      <c r="F93" s="6" t="n">
        <v>0</v>
      </c>
      <c r="G93" s="6" t="n">
        <f aca="false">E93+F93</f>
        <v>82751.62</v>
      </c>
      <c r="H93" s="7" t="n">
        <f aca="false">IF(D93=0,0,C93/D93)</f>
        <v>0</v>
      </c>
      <c r="I93" s="7" t="n">
        <f aca="false">IF(D93=0,0,B93/D93)</f>
        <v>1</v>
      </c>
      <c r="J93" s="6" t="n">
        <f aca="false">E93*H93</f>
        <v>0</v>
      </c>
      <c r="K93" s="6" t="n">
        <f aca="false">E93*I93</f>
        <v>82751.62</v>
      </c>
      <c r="L93" s="6" t="n">
        <v>0</v>
      </c>
      <c r="M93" s="6" t="n">
        <v>82751.62</v>
      </c>
      <c r="N93" s="6"/>
      <c r="O93" s="6"/>
      <c r="P93" s="7"/>
      <c r="Q93" s="5" t="s">
        <v>26</v>
      </c>
      <c r="R93" s="5" t="s">
        <v>27</v>
      </c>
    </row>
    <row r="94" customFormat="false" ht="15" hidden="false" customHeight="true" outlineLevel="0" collapsed="false">
      <c r="A94" s="5" t="s">
        <v>118</v>
      </c>
      <c r="B94" s="6" t="n">
        <v>110356800.81</v>
      </c>
      <c r="C94" s="6" t="n">
        <v>0</v>
      </c>
      <c r="D94" s="6" t="n">
        <v>110356800.81</v>
      </c>
      <c r="E94" s="6" t="n">
        <v>40832.02</v>
      </c>
      <c r="F94" s="6" t="n">
        <v>0</v>
      </c>
      <c r="G94" s="6" t="n">
        <f aca="false">E94+F94</f>
        <v>40832.02</v>
      </c>
      <c r="H94" s="7" t="n">
        <f aca="false">IF(D94=0,0,C94/D94)</f>
        <v>0</v>
      </c>
      <c r="I94" s="7" t="n">
        <f aca="false">IF(D94=0,0,B94/D94)</f>
        <v>1</v>
      </c>
      <c r="J94" s="6" t="n">
        <f aca="false">E94*H94</f>
        <v>0</v>
      </c>
      <c r="K94" s="6" t="n">
        <f aca="false">E94*I94</f>
        <v>40832.02</v>
      </c>
      <c r="L94" s="6" t="n">
        <v>0</v>
      </c>
      <c r="M94" s="6" t="n">
        <v>40832.02</v>
      </c>
      <c r="N94" s="6"/>
      <c r="O94" s="6"/>
      <c r="P94" s="7"/>
      <c r="Q94" s="5" t="s">
        <v>26</v>
      </c>
      <c r="R94" s="5" t="s">
        <v>27</v>
      </c>
    </row>
    <row r="95" customFormat="false" ht="15" hidden="false" customHeight="true" outlineLevel="0" collapsed="false">
      <c r="A95" s="5" t="s">
        <v>119</v>
      </c>
      <c r="B95" s="6" t="n">
        <v>71677565.33</v>
      </c>
      <c r="C95" s="6" t="n">
        <v>0</v>
      </c>
      <c r="D95" s="6" t="n">
        <v>71677565.33</v>
      </c>
      <c r="E95" s="6" t="n">
        <v>26520.7</v>
      </c>
      <c r="F95" s="6" t="n">
        <v>0</v>
      </c>
      <c r="G95" s="6" t="n">
        <f aca="false">E95+F95</f>
        <v>26520.7</v>
      </c>
      <c r="H95" s="7" t="n">
        <f aca="false">IF(D95=0,0,C95/D95)</f>
        <v>0</v>
      </c>
      <c r="I95" s="7" t="n">
        <f aca="false">IF(D95=0,0,B95/D95)</f>
        <v>1</v>
      </c>
      <c r="J95" s="6" t="n">
        <f aca="false">E95*H95</f>
        <v>0</v>
      </c>
      <c r="K95" s="6" t="n">
        <f aca="false">E95*I95</f>
        <v>26520.7</v>
      </c>
      <c r="L95" s="6" t="n">
        <v>0</v>
      </c>
      <c r="M95" s="6" t="n">
        <v>26520.7</v>
      </c>
      <c r="N95" s="6"/>
      <c r="O95" s="6"/>
      <c r="P95" s="7"/>
      <c r="Q95" s="5" t="s">
        <v>26</v>
      </c>
      <c r="R95" s="5" t="s">
        <v>27</v>
      </c>
    </row>
    <row r="96" customFormat="false" ht="15" hidden="false" customHeight="true" outlineLevel="0" collapsed="false">
      <c r="A96" s="5" t="s">
        <v>120</v>
      </c>
      <c r="B96" s="6" t="n">
        <v>55489186.66</v>
      </c>
      <c r="C96" s="6" t="n">
        <v>0</v>
      </c>
      <c r="D96" s="6" t="n">
        <v>55489186.66</v>
      </c>
      <c r="E96" s="6" t="n">
        <v>20531</v>
      </c>
      <c r="F96" s="6" t="n">
        <v>0</v>
      </c>
      <c r="G96" s="6" t="n">
        <f aca="false">E96+F96</f>
        <v>20531</v>
      </c>
      <c r="H96" s="7" t="n">
        <f aca="false">IF(D96=0,0,C96/D96)</f>
        <v>0</v>
      </c>
      <c r="I96" s="7" t="n">
        <f aca="false">IF(D96=0,0,B96/D96)</f>
        <v>1</v>
      </c>
      <c r="J96" s="6" t="n">
        <f aca="false">E96*H96</f>
        <v>0</v>
      </c>
      <c r="K96" s="6" t="n">
        <f aca="false">E96*I96</f>
        <v>20531</v>
      </c>
      <c r="L96" s="6" t="n">
        <v>0</v>
      </c>
      <c r="M96" s="6" t="n">
        <v>20531</v>
      </c>
      <c r="N96" s="6"/>
      <c r="O96" s="6"/>
      <c r="P96" s="7"/>
      <c r="Q96" s="5" t="s">
        <v>26</v>
      </c>
      <c r="R96" s="5" t="s">
        <v>27</v>
      </c>
    </row>
    <row r="97" customFormat="false" ht="15" hidden="false" customHeight="true" outlineLevel="0" collapsed="false">
      <c r="A97" s="5" t="s">
        <v>121</v>
      </c>
      <c r="B97" s="6" t="n">
        <v>49098518.21</v>
      </c>
      <c r="C97" s="6" t="n">
        <v>0</v>
      </c>
      <c r="D97" s="6" t="n">
        <v>49098518.21</v>
      </c>
      <c r="E97" s="6" t="n">
        <v>18166.45</v>
      </c>
      <c r="F97" s="6" t="n">
        <v>0</v>
      </c>
      <c r="G97" s="6" t="n">
        <f aca="false">E97+F97</f>
        <v>18166.45</v>
      </c>
      <c r="H97" s="7" t="n">
        <f aca="false">IF(D97=0,0,C97/D97)</f>
        <v>0</v>
      </c>
      <c r="I97" s="7" t="n">
        <f aca="false">IF(D97=0,0,B97/D97)</f>
        <v>1</v>
      </c>
      <c r="J97" s="6" t="n">
        <f aca="false">E97*H97</f>
        <v>0</v>
      </c>
      <c r="K97" s="6" t="n">
        <f aca="false">E97*I97</f>
        <v>18166.45</v>
      </c>
      <c r="L97" s="6" t="n">
        <v>0</v>
      </c>
      <c r="M97" s="6" t="n">
        <v>18166.45</v>
      </c>
      <c r="N97" s="6"/>
      <c r="O97" s="6"/>
      <c r="P97" s="7"/>
      <c r="Q97" s="5" t="s">
        <v>26</v>
      </c>
      <c r="R97" s="5" t="s">
        <v>27</v>
      </c>
    </row>
    <row r="98" customFormat="false" ht="15" hidden="false" customHeight="true" outlineLevel="0" collapsed="false">
      <c r="A98" s="5" t="s">
        <v>122</v>
      </c>
      <c r="B98" s="6" t="n">
        <v>41485315.16</v>
      </c>
      <c r="C98" s="6" t="n">
        <v>0</v>
      </c>
      <c r="D98" s="6" t="n">
        <v>41485315.16</v>
      </c>
      <c r="E98" s="6" t="n">
        <v>15349.57</v>
      </c>
      <c r="F98" s="6" t="n">
        <v>0</v>
      </c>
      <c r="G98" s="6" t="n">
        <f aca="false">E98+F98</f>
        <v>15349.57</v>
      </c>
      <c r="H98" s="7" t="n">
        <f aca="false">IF(D98=0,0,C98/D98)</f>
        <v>0</v>
      </c>
      <c r="I98" s="7" t="n">
        <f aca="false">IF(D98=0,0,B98/D98)</f>
        <v>1</v>
      </c>
      <c r="J98" s="6" t="n">
        <f aca="false">E98*H98</f>
        <v>0</v>
      </c>
      <c r="K98" s="6" t="n">
        <f aca="false">E98*I98</f>
        <v>15349.57</v>
      </c>
      <c r="L98" s="6" t="n">
        <v>0</v>
      </c>
      <c r="M98" s="6" t="n">
        <v>15349.57</v>
      </c>
      <c r="N98" s="6"/>
      <c r="O98" s="6"/>
      <c r="P98" s="7"/>
      <c r="Q98" s="5" t="s">
        <v>26</v>
      </c>
      <c r="R98" s="5" t="s">
        <v>27</v>
      </c>
    </row>
    <row r="99" customFormat="false" ht="15" hidden="false" customHeight="true" outlineLevel="0" collapsed="false">
      <c r="A99" s="5" t="s">
        <v>123</v>
      </c>
      <c r="B99" s="6" t="n">
        <v>37893525.79</v>
      </c>
      <c r="C99" s="6" t="n">
        <v>0</v>
      </c>
      <c r="D99" s="6" t="n">
        <v>37893525.79</v>
      </c>
      <c r="E99" s="6" t="n">
        <v>14020.6</v>
      </c>
      <c r="F99" s="6" t="n">
        <v>0</v>
      </c>
      <c r="G99" s="6" t="n">
        <f aca="false">E99+F99</f>
        <v>14020.6</v>
      </c>
      <c r="H99" s="7" t="n">
        <f aca="false">IF(D99=0,0,C99/D99)</f>
        <v>0</v>
      </c>
      <c r="I99" s="7" t="n">
        <f aca="false">IF(D99=0,0,B99/D99)</f>
        <v>1</v>
      </c>
      <c r="J99" s="6" t="n">
        <f aca="false">E99*H99</f>
        <v>0</v>
      </c>
      <c r="K99" s="6" t="n">
        <f aca="false">E99*I99</f>
        <v>14020.6</v>
      </c>
      <c r="L99" s="6" t="n">
        <v>0</v>
      </c>
      <c r="M99" s="6" t="n">
        <v>14020.6</v>
      </c>
      <c r="N99" s="6"/>
      <c r="O99" s="6"/>
      <c r="P99" s="7"/>
      <c r="Q99" s="5" t="s">
        <v>26</v>
      </c>
      <c r="R99" s="5" t="s">
        <v>27</v>
      </c>
    </row>
    <row r="100" customFormat="false" ht="15" hidden="false" customHeight="true" outlineLevel="0" collapsed="false">
      <c r="A100" s="5" t="s">
        <v>124</v>
      </c>
      <c r="B100" s="6" t="n">
        <v>43338369.84</v>
      </c>
      <c r="C100" s="6" t="n">
        <v>0</v>
      </c>
      <c r="D100" s="6" t="n">
        <v>43338369.84</v>
      </c>
      <c r="E100" s="6" t="n">
        <v>16035.2</v>
      </c>
      <c r="F100" s="6" t="n">
        <v>0</v>
      </c>
      <c r="G100" s="6" t="n">
        <f aca="false">E100+F100</f>
        <v>16035.2</v>
      </c>
      <c r="H100" s="7" t="n">
        <f aca="false">IF(D100=0,0,C100/D100)</f>
        <v>0</v>
      </c>
      <c r="I100" s="7" t="n">
        <f aca="false">IF(D100=0,0,B100/D100)</f>
        <v>1</v>
      </c>
      <c r="J100" s="6" t="n">
        <f aca="false">E100*H100</f>
        <v>0</v>
      </c>
      <c r="K100" s="6" t="n">
        <f aca="false">E100*I100</f>
        <v>16035.2</v>
      </c>
      <c r="L100" s="6" t="n">
        <v>0</v>
      </c>
      <c r="M100" s="6" t="n">
        <v>16035.2</v>
      </c>
      <c r="N100" s="6"/>
      <c r="O100" s="6"/>
      <c r="P100" s="7"/>
      <c r="Q100" s="5" t="s">
        <v>26</v>
      </c>
      <c r="R100" s="5" t="s">
        <v>27</v>
      </c>
    </row>
    <row r="101" customFormat="false" ht="15" hidden="false" customHeight="true" outlineLevel="0" collapsed="false">
      <c r="A101" s="5" t="s">
        <v>125</v>
      </c>
      <c r="B101" s="6" t="n">
        <v>20062553.83</v>
      </c>
      <c r="C101" s="6" t="n">
        <v>0</v>
      </c>
      <c r="D101" s="6" t="n">
        <v>20062553.83</v>
      </c>
      <c r="E101" s="6" t="n">
        <v>7423.14</v>
      </c>
      <c r="F101" s="6" t="n">
        <v>0</v>
      </c>
      <c r="G101" s="6" t="n">
        <f aca="false">E101+F101</f>
        <v>7423.14</v>
      </c>
      <c r="H101" s="7" t="n">
        <f aca="false">IF(D101=0,0,C101/D101)</f>
        <v>0</v>
      </c>
      <c r="I101" s="7" t="n">
        <f aca="false">IF(D101=0,0,B101/D101)</f>
        <v>1</v>
      </c>
      <c r="J101" s="6" t="n">
        <f aca="false">E101*H101</f>
        <v>0</v>
      </c>
      <c r="K101" s="6" t="n">
        <f aca="false">E101*I101</f>
        <v>7423.14</v>
      </c>
      <c r="L101" s="6" t="n">
        <v>0</v>
      </c>
      <c r="M101" s="6" t="n">
        <v>7423.14</v>
      </c>
      <c r="N101" s="6"/>
      <c r="O101" s="6"/>
      <c r="P101" s="7"/>
      <c r="Q101" s="5" t="s">
        <v>26</v>
      </c>
      <c r="R101" s="5" t="s">
        <v>27</v>
      </c>
    </row>
    <row r="102" customFormat="false" ht="15" hidden="false" customHeight="true" outlineLevel="0" collapsed="false">
      <c r="A102" s="5" t="s">
        <v>126</v>
      </c>
      <c r="B102" s="6" t="n">
        <v>24796036.39</v>
      </c>
      <c r="C102" s="6" t="n">
        <v>0</v>
      </c>
      <c r="D102" s="6" t="n">
        <v>24796036.39</v>
      </c>
      <c r="E102" s="6" t="n">
        <v>9174.53</v>
      </c>
      <c r="F102" s="6" t="n">
        <v>0</v>
      </c>
      <c r="G102" s="6" t="n">
        <f aca="false">E102+F102</f>
        <v>9174.53</v>
      </c>
      <c r="H102" s="7" t="n">
        <f aca="false">IF(D102=0,0,C102/D102)</f>
        <v>0</v>
      </c>
      <c r="I102" s="7" t="n">
        <f aca="false">IF(D102=0,0,B102/D102)</f>
        <v>1</v>
      </c>
      <c r="J102" s="6" t="n">
        <f aca="false">E102*H102</f>
        <v>0</v>
      </c>
      <c r="K102" s="6" t="n">
        <f aca="false">E102*I102</f>
        <v>9174.53</v>
      </c>
      <c r="L102" s="6" t="n">
        <v>0</v>
      </c>
      <c r="M102" s="6" t="n">
        <v>9174.53</v>
      </c>
      <c r="N102" s="6"/>
      <c r="O102" s="6"/>
      <c r="P102" s="7"/>
      <c r="Q102" s="5" t="s">
        <v>26</v>
      </c>
      <c r="R102" s="5" t="s">
        <v>27</v>
      </c>
    </row>
    <row r="103" customFormat="false" ht="15" hidden="false" customHeight="true" outlineLevel="0" collapsed="false">
      <c r="A103" s="5" t="s">
        <v>127</v>
      </c>
      <c r="B103" s="6" t="n">
        <v>38579302.98</v>
      </c>
      <c r="C103" s="6" t="n">
        <v>0</v>
      </c>
      <c r="D103" s="6" t="n">
        <v>38579302.98</v>
      </c>
      <c r="E103" s="6" t="n">
        <v>14274.34</v>
      </c>
      <c r="F103" s="6" t="n">
        <v>0</v>
      </c>
      <c r="G103" s="6" t="n">
        <f aca="false">E103+F103</f>
        <v>14274.34</v>
      </c>
      <c r="H103" s="7" t="n">
        <f aca="false">IF(D103=0,0,C103/D103)</f>
        <v>0</v>
      </c>
      <c r="I103" s="7" t="n">
        <f aca="false">IF(D103=0,0,B103/D103)</f>
        <v>1</v>
      </c>
      <c r="J103" s="6" t="n">
        <f aca="false">E103*H103</f>
        <v>0</v>
      </c>
      <c r="K103" s="6" t="n">
        <f aca="false">E103*I103</f>
        <v>14274.34</v>
      </c>
      <c r="L103" s="6" t="n">
        <v>0</v>
      </c>
      <c r="M103" s="6" t="n">
        <v>14274.34</v>
      </c>
      <c r="N103" s="6"/>
      <c r="O103" s="6"/>
      <c r="P103" s="7"/>
      <c r="Q103" s="5" t="s">
        <v>26</v>
      </c>
      <c r="R103" s="5" t="s">
        <v>27</v>
      </c>
    </row>
    <row r="104" customFormat="false" ht="15" hidden="false" customHeight="true" outlineLevel="0" collapsed="false">
      <c r="A104" s="5" t="s">
        <v>128</v>
      </c>
      <c r="B104" s="6" t="n">
        <v>60277200.66</v>
      </c>
      <c r="C104" s="6" t="n">
        <v>0</v>
      </c>
      <c r="D104" s="6" t="n">
        <v>60277200.66</v>
      </c>
      <c r="E104" s="6" t="n">
        <v>22302.56</v>
      </c>
      <c r="F104" s="6" t="n">
        <v>0</v>
      </c>
      <c r="G104" s="6" t="n">
        <f aca="false">E104+F104</f>
        <v>22302.56</v>
      </c>
      <c r="H104" s="7" t="n">
        <f aca="false">IF(D104=0,0,C104/D104)</f>
        <v>0</v>
      </c>
      <c r="I104" s="7" t="n">
        <f aca="false">IF(D104=0,0,B104/D104)</f>
        <v>1</v>
      </c>
      <c r="J104" s="6" t="n">
        <f aca="false">E104*H104</f>
        <v>0</v>
      </c>
      <c r="K104" s="6" t="n">
        <f aca="false">E104*I104</f>
        <v>22302.56</v>
      </c>
      <c r="L104" s="6" t="n">
        <v>0</v>
      </c>
      <c r="M104" s="6" t="n">
        <v>22302.56</v>
      </c>
      <c r="N104" s="6"/>
      <c r="O104" s="6"/>
      <c r="P104" s="7"/>
      <c r="Q104" s="5" t="s">
        <v>26</v>
      </c>
      <c r="R104" s="5" t="s">
        <v>27</v>
      </c>
    </row>
    <row r="105" customFormat="false" ht="15" hidden="false" customHeight="true" outlineLevel="0" collapsed="false">
      <c r="A105" s="5" t="s">
        <v>129</v>
      </c>
      <c r="B105" s="6" t="n">
        <v>44674112.02</v>
      </c>
      <c r="C105" s="6" t="n">
        <v>0</v>
      </c>
      <c r="D105" s="6" t="n">
        <v>44674112.02</v>
      </c>
      <c r="E105" s="6" t="n">
        <v>16529.42</v>
      </c>
      <c r="F105" s="6" t="n">
        <v>0</v>
      </c>
      <c r="G105" s="6" t="n">
        <f aca="false">E105+F105</f>
        <v>16529.42</v>
      </c>
      <c r="H105" s="7" t="n">
        <f aca="false">IF(D105=0,0,C105/D105)</f>
        <v>0</v>
      </c>
      <c r="I105" s="7" t="n">
        <f aca="false">IF(D105=0,0,B105/D105)</f>
        <v>1</v>
      </c>
      <c r="J105" s="6" t="n">
        <f aca="false">E105*H105</f>
        <v>0</v>
      </c>
      <c r="K105" s="6" t="n">
        <f aca="false">E105*I105</f>
        <v>16529.42</v>
      </c>
      <c r="L105" s="6" t="n">
        <v>0</v>
      </c>
      <c r="M105" s="6" t="n">
        <v>16529.42</v>
      </c>
      <c r="N105" s="6"/>
      <c r="O105" s="6"/>
      <c r="P105" s="7"/>
      <c r="Q105" s="5" t="s">
        <v>26</v>
      </c>
      <c r="R105" s="5" t="s">
        <v>27</v>
      </c>
    </row>
    <row r="106" customFormat="false" ht="15" hidden="false" customHeight="true" outlineLevel="0" collapsed="false">
      <c r="A106" s="5" t="s">
        <v>130</v>
      </c>
      <c r="B106" s="6" t="n">
        <v>61708715.35</v>
      </c>
      <c r="C106" s="6" t="n">
        <v>0</v>
      </c>
      <c r="D106" s="6" t="n">
        <v>61708715.35</v>
      </c>
      <c r="E106" s="6" t="n">
        <v>22832.22</v>
      </c>
      <c r="F106" s="6" t="n">
        <v>0</v>
      </c>
      <c r="G106" s="6" t="n">
        <f aca="false">E106+F106</f>
        <v>22832.22</v>
      </c>
      <c r="H106" s="7" t="n">
        <f aca="false">IF(D106=0,0,C106/D106)</f>
        <v>0</v>
      </c>
      <c r="I106" s="7" t="n">
        <f aca="false">IF(D106=0,0,B106/D106)</f>
        <v>1</v>
      </c>
      <c r="J106" s="6" t="n">
        <f aca="false">E106*H106</f>
        <v>0</v>
      </c>
      <c r="K106" s="6" t="n">
        <f aca="false">E106*I106</f>
        <v>22832.22</v>
      </c>
      <c r="L106" s="6" t="n">
        <v>0</v>
      </c>
      <c r="M106" s="6" t="n">
        <v>22832.22</v>
      </c>
      <c r="N106" s="6"/>
      <c r="O106" s="6"/>
      <c r="P106" s="7"/>
      <c r="Q106" s="5" t="s">
        <v>26</v>
      </c>
      <c r="R106" s="5" t="s">
        <v>27</v>
      </c>
    </row>
    <row r="107" customFormat="false" ht="15" hidden="false" customHeight="true" outlineLevel="0" collapsed="false">
      <c r="A107" s="5" t="s">
        <v>131</v>
      </c>
      <c r="B107" s="6" t="n">
        <v>61375999.13</v>
      </c>
      <c r="C107" s="6" t="n">
        <v>0</v>
      </c>
      <c r="D107" s="6" t="n">
        <v>61375999.13</v>
      </c>
      <c r="E107" s="6" t="n">
        <v>22709.12</v>
      </c>
      <c r="F107" s="6" t="n">
        <v>0</v>
      </c>
      <c r="G107" s="6" t="n">
        <f aca="false">E107+F107</f>
        <v>22709.12</v>
      </c>
      <c r="H107" s="7" t="n">
        <f aca="false">IF(D107=0,0,C107/D107)</f>
        <v>0</v>
      </c>
      <c r="I107" s="7" t="n">
        <f aca="false">IF(D107=0,0,B107/D107)</f>
        <v>1</v>
      </c>
      <c r="J107" s="6" t="n">
        <f aca="false">E107*H107</f>
        <v>0</v>
      </c>
      <c r="K107" s="6" t="n">
        <f aca="false">E107*I107</f>
        <v>22709.12</v>
      </c>
      <c r="L107" s="6" t="n">
        <v>0</v>
      </c>
      <c r="M107" s="6" t="n">
        <v>22709.12</v>
      </c>
      <c r="N107" s="6"/>
      <c r="O107" s="6"/>
      <c r="P107" s="7"/>
      <c r="Q107" s="5" t="s">
        <v>26</v>
      </c>
      <c r="R107" s="5" t="s">
        <v>27</v>
      </c>
    </row>
    <row r="108" customFormat="false" ht="15" hidden="false" customHeight="true" outlineLevel="0" collapsed="false">
      <c r="A108" s="5" t="s">
        <v>132</v>
      </c>
      <c r="B108" s="6" t="n">
        <v>73777072.44</v>
      </c>
      <c r="C108" s="6" t="n">
        <v>0</v>
      </c>
      <c r="D108" s="6" t="n">
        <v>73777072.44</v>
      </c>
      <c r="E108" s="6" t="n">
        <v>27297.52</v>
      </c>
      <c r="F108" s="6" t="n">
        <v>0</v>
      </c>
      <c r="G108" s="6" t="n">
        <f aca="false">E108+F108</f>
        <v>27297.52</v>
      </c>
      <c r="H108" s="7" t="n">
        <f aca="false">IF(D108=0,0,C108/D108)</f>
        <v>0</v>
      </c>
      <c r="I108" s="7" t="n">
        <f aca="false">IF(D108=0,0,B108/D108)</f>
        <v>1</v>
      </c>
      <c r="J108" s="6" t="n">
        <f aca="false">E108*H108</f>
        <v>0</v>
      </c>
      <c r="K108" s="6" t="n">
        <f aca="false">E108*I108</f>
        <v>27297.52</v>
      </c>
      <c r="L108" s="6" t="n">
        <v>0</v>
      </c>
      <c r="M108" s="6" t="n">
        <v>27297.52</v>
      </c>
      <c r="N108" s="6"/>
      <c r="O108" s="6"/>
      <c r="P108" s="7"/>
      <c r="Q108" s="5" t="s">
        <v>26</v>
      </c>
      <c r="R108" s="5" t="s">
        <v>27</v>
      </c>
    </row>
    <row r="109" customFormat="false" ht="15" hidden="false" customHeight="true" outlineLevel="0" collapsed="false">
      <c r="A109" s="5" t="s">
        <v>133</v>
      </c>
      <c r="B109" s="6" t="n">
        <v>38801975.2</v>
      </c>
      <c r="C109" s="6" t="n">
        <v>0</v>
      </c>
      <c r="D109" s="6" t="n">
        <v>38801975.2</v>
      </c>
      <c r="E109" s="6" t="n">
        <v>14356.73</v>
      </c>
      <c r="F109" s="6" t="n">
        <v>0</v>
      </c>
      <c r="G109" s="6" t="n">
        <f aca="false">E109+F109</f>
        <v>14356.73</v>
      </c>
      <c r="H109" s="7" t="n">
        <f aca="false">IF(D109=0,0,C109/D109)</f>
        <v>0</v>
      </c>
      <c r="I109" s="7" t="n">
        <f aca="false">IF(D109=0,0,B109/D109)</f>
        <v>1</v>
      </c>
      <c r="J109" s="6" t="n">
        <f aca="false">E109*H109</f>
        <v>0</v>
      </c>
      <c r="K109" s="6" t="n">
        <f aca="false">E109*I109</f>
        <v>14356.73</v>
      </c>
      <c r="L109" s="6" t="n">
        <v>0</v>
      </c>
      <c r="M109" s="6" t="n">
        <v>14356.73</v>
      </c>
      <c r="N109" s="6"/>
      <c r="O109" s="6"/>
      <c r="P109" s="7"/>
      <c r="Q109" s="5" t="s">
        <v>26</v>
      </c>
      <c r="R109" s="5" t="s">
        <v>27</v>
      </c>
    </row>
    <row r="110" customFormat="false" ht="15" hidden="false" customHeight="true" outlineLevel="0" collapsed="false">
      <c r="A110" s="5" t="s">
        <v>134</v>
      </c>
      <c r="B110" s="6" t="n">
        <v>60382613.3</v>
      </c>
      <c r="C110" s="6" t="n">
        <v>0</v>
      </c>
      <c r="D110" s="6" t="n">
        <v>60382613.3</v>
      </c>
      <c r="E110" s="6" t="n">
        <v>22341.57</v>
      </c>
      <c r="F110" s="6" t="n">
        <v>0</v>
      </c>
      <c r="G110" s="6" t="n">
        <f aca="false">E110+F110</f>
        <v>22341.57</v>
      </c>
      <c r="H110" s="7" t="n">
        <f aca="false">IF(D110=0,0,C110/D110)</f>
        <v>0</v>
      </c>
      <c r="I110" s="7" t="n">
        <f aca="false">IF(D110=0,0,B110/D110)</f>
        <v>1</v>
      </c>
      <c r="J110" s="6" t="n">
        <f aca="false">E110*H110</f>
        <v>0</v>
      </c>
      <c r="K110" s="6" t="n">
        <f aca="false">E110*I110</f>
        <v>22341.57</v>
      </c>
      <c r="L110" s="6" t="n">
        <v>0</v>
      </c>
      <c r="M110" s="6" t="n">
        <v>22341.57</v>
      </c>
      <c r="N110" s="6"/>
      <c r="O110" s="6"/>
      <c r="P110" s="7"/>
      <c r="Q110" s="5" t="s">
        <v>26</v>
      </c>
      <c r="R110" s="5" t="s">
        <v>27</v>
      </c>
    </row>
    <row r="111" customFormat="false" ht="15" hidden="false" customHeight="true" outlineLevel="0" collapsed="false">
      <c r="A111" s="5" t="s">
        <v>135</v>
      </c>
      <c r="B111" s="6" t="n">
        <v>62234103.71</v>
      </c>
      <c r="C111" s="6" t="n">
        <v>0</v>
      </c>
      <c r="D111" s="6" t="n">
        <v>62234103.71</v>
      </c>
      <c r="E111" s="6" t="n">
        <v>23026.62</v>
      </c>
      <c r="F111" s="6" t="n">
        <v>0</v>
      </c>
      <c r="G111" s="6" t="n">
        <f aca="false">E111+F111</f>
        <v>23026.62</v>
      </c>
      <c r="H111" s="7" t="n">
        <f aca="false">IF(D111=0,0,C111/D111)</f>
        <v>0</v>
      </c>
      <c r="I111" s="7" t="n">
        <f aca="false">IF(D111=0,0,B111/D111)</f>
        <v>1</v>
      </c>
      <c r="J111" s="6" t="n">
        <f aca="false">E111*H111</f>
        <v>0</v>
      </c>
      <c r="K111" s="6" t="n">
        <f aca="false">E111*I111</f>
        <v>23026.62</v>
      </c>
      <c r="L111" s="6" t="n">
        <v>0</v>
      </c>
      <c r="M111" s="6" t="n">
        <v>23026.62</v>
      </c>
      <c r="N111" s="6"/>
      <c r="O111" s="6"/>
      <c r="P111" s="7"/>
      <c r="Q111" s="5" t="s">
        <v>26</v>
      </c>
      <c r="R111" s="5" t="s">
        <v>27</v>
      </c>
    </row>
    <row r="112" customFormat="false" ht="15" hidden="false" customHeight="true" outlineLevel="0" collapsed="false">
      <c r="A112" s="5" t="s">
        <v>136</v>
      </c>
      <c r="B112" s="6" t="n">
        <v>56969709.28</v>
      </c>
      <c r="C112" s="6" t="n">
        <v>0</v>
      </c>
      <c r="D112" s="6" t="n">
        <v>56969709.28</v>
      </c>
      <c r="E112" s="6" t="n">
        <v>21078.79</v>
      </c>
      <c r="F112" s="6" t="n">
        <v>0</v>
      </c>
      <c r="G112" s="6" t="n">
        <f aca="false">E112+F112</f>
        <v>21078.79</v>
      </c>
      <c r="H112" s="7" t="n">
        <f aca="false">IF(D112=0,0,C112/D112)</f>
        <v>0</v>
      </c>
      <c r="I112" s="7" t="n">
        <f aca="false">IF(D112=0,0,B112/D112)</f>
        <v>1</v>
      </c>
      <c r="J112" s="6" t="n">
        <f aca="false">E112*H112</f>
        <v>0</v>
      </c>
      <c r="K112" s="6" t="n">
        <f aca="false">E112*I112</f>
        <v>21078.79</v>
      </c>
      <c r="L112" s="6" t="n">
        <v>0</v>
      </c>
      <c r="M112" s="6" t="n">
        <v>21078.79</v>
      </c>
      <c r="N112" s="6"/>
      <c r="O112" s="6"/>
      <c r="P112" s="7"/>
      <c r="Q112" s="5" t="s">
        <v>26</v>
      </c>
      <c r="R112" s="5" t="s">
        <v>27</v>
      </c>
    </row>
    <row r="113" customFormat="false" ht="15" hidden="false" customHeight="true" outlineLevel="0" collapsed="false">
      <c r="A113" s="5" t="s">
        <v>137</v>
      </c>
      <c r="B113" s="6" t="n">
        <v>61103497.63</v>
      </c>
      <c r="C113" s="6" t="n">
        <v>0</v>
      </c>
      <c r="D113" s="6" t="n">
        <v>61103497.63</v>
      </c>
      <c r="E113" s="6" t="n">
        <v>22608.29</v>
      </c>
      <c r="F113" s="6" t="n">
        <v>0</v>
      </c>
      <c r="G113" s="6" t="n">
        <f aca="false">E113+F113</f>
        <v>22608.29</v>
      </c>
      <c r="H113" s="7" t="n">
        <f aca="false">IF(D113=0,0,C113/D113)</f>
        <v>0</v>
      </c>
      <c r="I113" s="7" t="n">
        <f aca="false">IF(D113=0,0,B113/D113)</f>
        <v>1</v>
      </c>
      <c r="J113" s="6" t="n">
        <f aca="false">E113*H113</f>
        <v>0</v>
      </c>
      <c r="K113" s="6" t="n">
        <f aca="false">E113*I113</f>
        <v>22608.29</v>
      </c>
      <c r="L113" s="6" t="n">
        <v>0</v>
      </c>
      <c r="M113" s="6" t="n">
        <v>22608.29</v>
      </c>
      <c r="N113" s="6"/>
      <c r="O113" s="6"/>
      <c r="P113" s="7"/>
      <c r="Q113" s="5" t="s">
        <v>26</v>
      </c>
      <c r="R113" s="5" t="s">
        <v>27</v>
      </c>
    </row>
    <row r="114" customFormat="false" ht="15" hidden="false" customHeight="true" outlineLevel="0" collapsed="false">
      <c r="A114" s="5" t="s">
        <v>138</v>
      </c>
      <c r="B114" s="6" t="n">
        <v>34915571.56</v>
      </c>
      <c r="C114" s="6" t="n">
        <v>0</v>
      </c>
      <c r="D114" s="6" t="n">
        <v>34915571.56</v>
      </c>
      <c r="E114" s="6" t="n">
        <v>12918.76</v>
      </c>
      <c r="F114" s="6" t="n">
        <v>0</v>
      </c>
      <c r="G114" s="6" t="n">
        <f aca="false">E114+F114</f>
        <v>12918.76</v>
      </c>
      <c r="H114" s="7" t="n">
        <f aca="false">IF(D114=0,0,C114/D114)</f>
        <v>0</v>
      </c>
      <c r="I114" s="7" t="n">
        <f aca="false">IF(D114=0,0,B114/D114)</f>
        <v>1</v>
      </c>
      <c r="J114" s="6" t="n">
        <f aca="false">E114*H114</f>
        <v>0</v>
      </c>
      <c r="K114" s="6" t="n">
        <f aca="false">E114*I114</f>
        <v>12918.76</v>
      </c>
      <c r="L114" s="6" t="n">
        <v>0</v>
      </c>
      <c r="M114" s="6" t="n">
        <v>12918.76</v>
      </c>
      <c r="N114" s="6"/>
      <c r="O114" s="6"/>
      <c r="P114" s="7"/>
      <c r="Q114" s="5" t="s">
        <v>26</v>
      </c>
      <c r="R114" s="5" t="s">
        <v>27</v>
      </c>
    </row>
    <row r="115" customFormat="false" ht="15" hidden="false" customHeight="true" outlineLevel="0" collapsed="false">
      <c r="A115" s="5" t="s">
        <v>139</v>
      </c>
      <c r="B115" s="6" t="n">
        <v>20027355.62</v>
      </c>
      <c r="C115" s="6" t="n">
        <v>0</v>
      </c>
      <c r="D115" s="6" t="n">
        <v>20027355.62</v>
      </c>
      <c r="E115" s="6" t="n">
        <v>7410.12</v>
      </c>
      <c r="F115" s="6" t="n">
        <v>0</v>
      </c>
      <c r="G115" s="6" t="n">
        <f aca="false">E115+F115</f>
        <v>7410.12</v>
      </c>
      <c r="H115" s="7" t="n">
        <f aca="false">IF(D115=0,0,C115/D115)</f>
        <v>0</v>
      </c>
      <c r="I115" s="7" t="n">
        <f aca="false">IF(D115=0,0,B115/D115)</f>
        <v>1</v>
      </c>
      <c r="J115" s="6" t="n">
        <f aca="false">E115*H115</f>
        <v>0</v>
      </c>
      <c r="K115" s="6" t="n">
        <f aca="false">E115*I115</f>
        <v>7410.12</v>
      </c>
      <c r="L115" s="6" t="n">
        <v>0</v>
      </c>
      <c r="M115" s="6" t="n">
        <v>7410.12</v>
      </c>
      <c r="N115" s="6"/>
      <c r="O115" s="6"/>
      <c r="P115" s="7"/>
      <c r="Q115" s="5" t="s">
        <v>26</v>
      </c>
      <c r="R115" s="5" t="s">
        <v>27</v>
      </c>
    </row>
    <row r="116" customFormat="false" ht="15" hidden="false" customHeight="true" outlineLevel="0" collapsed="false">
      <c r="A116" s="5" t="s">
        <v>140</v>
      </c>
      <c r="B116" s="6" t="n">
        <v>40578461.29</v>
      </c>
      <c r="C116" s="6" t="n">
        <v>0</v>
      </c>
      <c r="D116" s="6" t="n">
        <v>40578461.29</v>
      </c>
      <c r="E116" s="6" t="n">
        <v>15014.03</v>
      </c>
      <c r="F116" s="6" t="n">
        <v>0</v>
      </c>
      <c r="G116" s="6" t="n">
        <f aca="false">E116+F116</f>
        <v>15014.03</v>
      </c>
      <c r="H116" s="7" t="n">
        <f aca="false">IF(D116=0,0,C116/D116)</f>
        <v>0</v>
      </c>
      <c r="I116" s="7" t="n">
        <f aca="false">IF(D116=0,0,B116/D116)</f>
        <v>1</v>
      </c>
      <c r="J116" s="6" t="n">
        <f aca="false">E116*H116</f>
        <v>0</v>
      </c>
      <c r="K116" s="6" t="n">
        <f aca="false">E116*I116</f>
        <v>15014.03</v>
      </c>
      <c r="L116" s="6" t="n">
        <v>0</v>
      </c>
      <c r="M116" s="6" t="n">
        <v>15014.03</v>
      </c>
      <c r="N116" s="6"/>
      <c r="O116" s="6"/>
      <c r="P116" s="7"/>
      <c r="Q116" s="5" t="s">
        <v>26</v>
      </c>
      <c r="R116" s="5" t="s">
        <v>27</v>
      </c>
    </row>
    <row r="117" customFormat="false" ht="15" hidden="false" customHeight="true" outlineLevel="0" collapsed="false">
      <c r="A117" s="5" t="s">
        <v>141</v>
      </c>
      <c r="B117" s="6" t="n">
        <v>84638825.98</v>
      </c>
      <c r="C117" s="6" t="n">
        <v>0</v>
      </c>
      <c r="D117" s="6" t="n">
        <v>84638825.98</v>
      </c>
      <c r="E117" s="6" t="n">
        <v>31316.37</v>
      </c>
      <c r="F117" s="6" t="n">
        <v>0</v>
      </c>
      <c r="G117" s="6" t="n">
        <f aca="false">E117+F117</f>
        <v>31316.37</v>
      </c>
      <c r="H117" s="7" t="n">
        <f aca="false">IF(D117=0,0,C117/D117)</f>
        <v>0</v>
      </c>
      <c r="I117" s="7" t="n">
        <f aca="false">IF(D117=0,0,B117/D117)</f>
        <v>1</v>
      </c>
      <c r="J117" s="6" t="n">
        <f aca="false">E117*H117</f>
        <v>0</v>
      </c>
      <c r="K117" s="6" t="n">
        <f aca="false">E117*I117</f>
        <v>31316.37</v>
      </c>
      <c r="L117" s="6" t="n">
        <v>0</v>
      </c>
      <c r="M117" s="6" t="n">
        <v>31316.37</v>
      </c>
      <c r="N117" s="6"/>
      <c r="O117" s="6"/>
      <c r="P117" s="7"/>
      <c r="Q117" s="5" t="s">
        <v>26</v>
      </c>
      <c r="R117" s="5" t="s">
        <v>27</v>
      </c>
    </row>
    <row r="118" customFormat="false" ht="15" hidden="false" customHeight="true" outlineLevel="0" collapsed="false">
      <c r="A118" s="5" t="s">
        <v>142</v>
      </c>
      <c r="B118" s="6" t="n">
        <v>77842549.11</v>
      </c>
      <c r="C118" s="6" t="n">
        <v>0</v>
      </c>
      <c r="D118" s="6" t="n">
        <v>77842549.11</v>
      </c>
      <c r="E118" s="6" t="n">
        <v>28801.74</v>
      </c>
      <c r="F118" s="6" t="n">
        <v>0</v>
      </c>
      <c r="G118" s="6" t="n">
        <f aca="false">E118+F118</f>
        <v>28801.74</v>
      </c>
      <c r="H118" s="7" t="n">
        <f aca="false">IF(D118=0,0,C118/D118)</f>
        <v>0</v>
      </c>
      <c r="I118" s="7" t="n">
        <f aca="false">IF(D118=0,0,B118/D118)</f>
        <v>1</v>
      </c>
      <c r="J118" s="6" t="n">
        <f aca="false">E118*H118</f>
        <v>0</v>
      </c>
      <c r="K118" s="6" t="n">
        <f aca="false">E118*I118</f>
        <v>28801.74</v>
      </c>
      <c r="L118" s="6" t="n">
        <v>0</v>
      </c>
      <c r="M118" s="6" t="n">
        <v>28801.74</v>
      </c>
      <c r="N118" s="6"/>
      <c r="O118" s="6"/>
      <c r="P118" s="7"/>
      <c r="Q118" s="5" t="s">
        <v>26</v>
      </c>
      <c r="R118" s="5" t="s">
        <v>27</v>
      </c>
    </row>
    <row r="119" customFormat="false" ht="15" hidden="false" customHeight="true" outlineLevel="0" collapsed="false">
      <c r="A119" s="5" t="s">
        <v>143</v>
      </c>
      <c r="B119" s="6" t="n">
        <v>56599669.78</v>
      </c>
      <c r="C119" s="6" t="n">
        <v>0</v>
      </c>
      <c r="D119" s="6" t="n">
        <v>56599669.78</v>
      </c>
      <c r="E119" s="6" t="n">
        <v>20941.88</v>
      </c>
      <c r="F119" s="6" t="n">
        <v>0</v>
      </c>
      <c r="G119" s="6" t="n">
        <f aca="false">E119+F119</f>
        <v>20941.88</v>
      </c>
      <c r="H119" s="7" t="n">
        <f aca="false">IF(D119=0,0,C119/D119)</f>
        <v>0</v>
      </c>
      <c r="I119" s="7" t="n">
        <f aca="false">IF(D119=0,0,B119/D119)</f>
        <v>1</v>
      </c>
      <c r="J119" s="6" t="n">
        <f aca="false">E119*H119</f>
        <v>0</v>
      </c>
      <c r="K119" s="6" t="n">
        <f aca="false">E119*I119</f>
        <v>20941.88</v>
      </c>
      <c r="L119" s="6" t="n">
        <v>0</v>
      </c>
      <c r="M119" s="6" t="n">
        <v>20941.88</v>
      </c>
      <c r="N119" s="6"/>
      <c r="O119" s="6"/>
      <c r="P119" s="7"/>
      <c r="Q119" s="5" t="s">
        <v>26</v>
      </c>
      <c r="R119" s="5" t="s">
        <v>27</v>
      </c>
    </row>
    <row r="120" customFormat="false" ht="15" hidden="false" customHeight="true" outlineLevel="0" collapsed="false">
      <c r="A120" s="5" t="s">
        <v>144</v>
      </c>
      <c r="B120" s="6" t="n">
        <v>48566779.79</v>
      </c>
      <c r="C120" s="6" t="n">
        <v>0</v>
      </c>
      <c r="D120" s="6" t="n">
        <v>48566779.79</v>
      </c>
      <c r="E120" s="6" t="n">
        <v>17969.71</v>
      </c>
      <c r="F120" s="6" t="n">
        <v>0</v>
      </c>
      <c r="G120" s="6" t="n">
        <f aca="false">E120+F120</f>
        <v>17969.71</v>
      </c>
      <c r="H120" s="7" t="n">
        <f aca="false">IF(D120=0,0,C120/D120)</f>
        <v>0</v>
      </c>
      <c r="I120" s="7" t="n">
        <f aca="false">IF(D120=0,0,B120/D120)</f>
        <v>1</v>
      </c>
      <c r="J120" s="6" t="n">
        <f aca="false">E120*H120</f>
        <v>0</v>
      </c>
      <c r="K120" s="6" t="n">
        <f aca="false">E120*I120</f>
        <v>17969.71</v>
      </c>
      <c r="L120" s="6" t="n">
        <v>0</v>
      </c>
      <c r="M120" s="6" t="n">
        <v>17969.71</v>
      </c>
      <c r="N120" s="6"/>
      <c r="O120" s="6"/>
      <c r="P120" s="7"/>
      <c r="Q120" s="5" t="s">
        <v>26</v>
      </c>
      <c r="R120" s="5" t="s">
        <v>27</v>
      </c>
    </row>
    <row r="121" customFormat="false" ht="15" hidden="false" customHeight="true" outlineLevel="0" collapsed="false">
      <c r="A121" s="5" t="s">
        <v>145</v>
      </c>
      <c r="B121" s="6" t="n">
        <v>44663801.13</v>
      </c>
      <c r="C121" s="6" t="n">
        <v>0</v>
      </c>
      <c r="D121" s="6" t="n">
        <v>44663801.13</v>
      </c>
      <c r="E121" s="6" t="n">
        <v>16525.61</v>
      </c>
      <c r="F121" s="6" t="n">
        <v>0</v>
      </c>
      <c r="G121" s="6" t="n">
        <f aca="false">E121+F121</f>
        <v>16525.61</v>
      </c>
      <c r="H121" s="7" t="n">
        <f aca="false">IF(D121=0,0,C121/D121)</f>
        <v>0</v>
      </c>
      <c r="I121" s="7" t="n">
        <f aca="false">IF(D121=0,0,B121/D121)</f>
        <v>1</v>
      </c>
      <c r="J121" s="6" t="n">
        <f aca="false">E121*H121</f>
        <v>0</v>
      </c>
      <c r="K121" s="6" t="n">
        <f aca="false">E121*I121</f>
        <v>16525.61</v>
      </c>
      <c r="L121" s="6" t="n">
        <v>0</v>
      </c>
      <c r="M121" s="6" t="n">
        <v>16525.61</v>
      </c>
      <c r="N121" s="6"/>
      <c r="O121" s="6"/>
      <c r="P121" s="7"/>
      <c r="Q121" s="5" t="s">
        <v>26</v>
      </c>
      <c r="R121" s="5" t="s">
        <v>27</v>
      </c>
    </row>
    <row r="122" customFormat="false" ht="15" hidden="false" customHeight="true" outlineLevel="0" collapsed="false">
      <c r="A122" s="5" t="s">
        <v>146</v>
      </c>
      <c r="B122" s="6" t="n">
        <v>38562452.24</v>
      </c>
      <c r="C122" s="6" t="n">
        <v>0</v>
      </c>
      <c r="D122" s="6" t="n">
        <v>38562452.24</v>
      </c>
      <c r="E122" s="6" t="n">
        <v>14268.11</v>
      </c>
      <c r="F122" s="6" t="n">
        <v>0</v>
      </c>
      <c r="G122" s="6" t="n">
        <f aca="false">E122+F122</f>
        <v>14268.11</v>
      </c>
      <c r="H122" s="7" t="n">
        <f aca="false">IF(D122=0,0,C122/D122)</f>
        <v>0</v>
      </c>
      <c r="I122" s="7" t="n">
        <f aca="false">IF(D122=0,0,B122/D122)</f>
        <v>1</v>
      </c>
      <c r="J122" s="6" t="n">
        <f aca="false">E122*H122</f>
        <v>0</v>
      </c>
      <c r="K122" s="6" t="n">
        <f aca="false">E122*I122</f>
        <v>14268.11</v>
      </c>
      <c r="L122" s="6" t="n">
        <v>0</v>
      </c>
      <c r="M122" s="6" t="n">
        <v>14268.11</v>
      </c>
      <c r="N122" s="6"/>
      <c r="O122" s="6"/>
      <c r="P122" s="7"/>
      <c r="Q122" s="5" t="s">
        <v>26</v>
      </c>
      <c r="R122" s="5" t="s">
        <v>27</v>
      </c>
    </row>
    <row r="123" customFormat="false" ht="15" hidden="false" customHeight="true" outlineLevel="0" collapsed="false">
      <c r="A123" s="5" t="s">
        <v>147</v>
      </c>
      <c r="B123" s="6" t="n">
        <v>47793256.02</v>
      </c>
      <c r="C123" s="6" t="n">
        <v>0</v>
      </c>
      <c r="D123" s="6" t="n">
        <v>47793256.02</v>
      </c>
      <c r="E123" s="6" t="n">
        <v>17683.5</v>
      </c>
      <c r="F123" s="6" t="n">
        <v>0</v>
      </c>
      <c r="G123" s="6" t="n">
        <f aca="false">E123+F123</f>
        <v>17683.5</v>
      </c>
      <c r="H123" s="7" t="n">
        <f aca="false">IF(D123=0,0,C123/D123)</f>
        <v>0</v>
      </c>
      <c r="I123" s="7" t="n">
        <f aca="false">IF(D123=0,0,B123/D123)</f>
        <v>1</v>
      </c>
      <c r="J123" s="6" t="n">
        <f aca="false">E123*H123</f>
        <v>0</v>
      </c>
      <c r="K123" s="6" t="n">
        <f aca="false">E123*I123</f>
        <v>17683.5</v>
      </c>
      <c r="L123" s="6" t="n">
        <v>0</v>
      </c>
      <c r="M123" s="6" t="n">
        <v>17683.5</v>
      </c>
      <c r="N123" s="6"/>
      <c r="O123" s="6"/>
      <c r="P123" s="7"/>
      <c r="Q123" s="5" t="s">
        <v>26</v>
      </c>
      <c r="R123" s="5" t="s">
        <v>27</v>
      </c>
    </row>
    <row r="124" customFormat="false" ht="15" hidden="false" customHeight="true" outlineLevel="0" collapsed="false">
      <c r="A124" s="5" t="s">
        <v>148</v>
      </c>
      <c r="B124" s="6" t="n">
        <v>71258142.62</v>
      </c>
      <c r="C124" s="6" t="n">
        <v>0</v>
      </c>
      <c r="D124" s="6" t="n">
        <v>71258142.62</v>
      </c>
      <c r="E124" s="6" t="n">
        <v>26365.51</v>
      </c>
      <c r="F124" s="6" t="n">
        <v>0</v>
      </c>
      <c r="G124" s="6" t="n">
        <f aca="false">E124+F124</f>
        <v>26365.51</v>
      </c>
      <c r="H124" s="7" t="n">
        <f aca="false">IF(D124=0,0,C124/D124)</f>
        <v>0</v>
      </c>
      <c r="I124" s="7" t="n">
        <f aca="false">IF(D124=0,0,B124/D124)</f>
        <v>1</v>
      </c>
      <c r="J124" s="6" t="n">
        <f aca="false">E124*H124</f>
        <v>0</v>
      </c>
      <c r="K124" s="6" t="n">
        <f aca="false">E124*I124</f>
        <v>26365.51</v>
      </c>
      <c r="L124" s="6" t="n">
        <v>0</v>
      </c>
      <c r="M124" s="6" t="n">
        <v>26365.51</v>
      </c>
      <c r="N124" s="6"/>
      <c r="O124" s="6"/>
      <c r="P124" s="7"/>
      <c r="Q124" s="5" t="s">
        <v>26</v>
      </c>
      <c r="R124" s="5" t="s">
        <v>27</v>
      </c>
    </row>
    <row r="125" customFormat="false" ht="15" hidden="false" customHeight="true" outlineLevel="0" collapsed="false">
      <c r="A125" s="5" t="s">
        <v>149</v>
      </c>
      <c r="B125" s="6" t="n">
        <v>31532210.87</v>
      </c>
      <c r="C125" s="6" t="n">
        <v>0</v>
      </c>
      <c r="D125" s="6" t="n">
        <v>31532210.87</v>
      </c>
      <c r="E125" s="6" t="n">
        <v>11666.92</v>
      </c>
      <c r="F125" s="6" t="n">
        <v>0</v>
      </c>
      <c r="G125" s="6" t="n">
        <f aca="false">E125+F125</f>
        <v>11666.92</v>
      </c>
      <c r="H125" s="7" t="n">
        <f aca="false">IF(D125=0,0,C125/D125)</f>
        <v>0</v>
      </c>
      <c r="I125" s="7" t="n">
        <f aca="false">IF(D125=0,0,B125/D125)</f>
        <v>1</v>
      </c>
      <c r="J125" s="6" t="n">
        <f aca="false">E125*H125</f>
        <v>0</v>
      </c>
      <c r="K125" s="6" t="n">
        <f aca="false">E125*I125</f>
        <v>11666.92</v>
      </c>
      <c r="L125" s="6" t="n">
        <v>0</v>
      </c>
      <c r="M125" s="6" t="n">
        <v>11666.92</v>
      </c>
      <c r="N125" s="6"/>
      <c r="O125" s="6"/>
      <c r="P125" s="7"/>
      <c r="Q125" s="5" t="s">
        <v>26</v>
      </c>
      <c r="R125" s="5" t="s">
        <v>27</v>
      </c>
    </row>
    <row r="126" customFormat="false" ht="15" hidden="false" customHeight="true" outlineLevel="0" collapsed="false">
      <c r="A126" s="5" t="s">
        <v>150</v>
      </c>
      <c r="B126" s="6" t="n">
        <v>38348153.12</v>
      </c>
      <c r="C126" s="6" t="n">
        <v>0</v>
      </c>
      <c r="D126" s="6" t="n">
        <v>38348153.12</v>
      </c>
      <c r="E126" s="6" t="n">
        <v>14188.82</v>
      </c>
      <c r="F126" s="6" t="n">
        <v>0</v>
      </c>
      <c r="G126" s="6" t="n">
        <f aca="false">E126+F126</f>
        <v>14188.82</v>
      </c>
      <c r="H126" s="7" t="n">
        <f aca="false">IF(D126=0,0,C126/D126)</f>
        <v>0</v>
      </c>
      <c r="I126" s="7" t="n">
        <f aca="false">IF(D126=0,0,B126/D126)</f>
        <v>1</v>
      </c>
      <c r="J126" s="6" t="n">
        <f aca="false">E126*H126</f>
        <v>0</v>
      </c>
      <c r="K126" s="6" t="n">
        <f aca="false">E126*I126</f>
        <v>14188.82</v>
      </c>
      <c r="L126" s="6" t="n">
        <v>0</v>
      </c>
      <c r="M126" s="6" t="n">
        <v>14188.82</v>
      </c>
      <c r="N126" s="6"/>
      <c r="O126" s="6"/>
      <c r="P126" s="7"/>
      <c r="Q126" s="5" t="s">
        <v>26</v>
      </c>
      <c r="R126" s="5" t="s">
        <v>27</v>
      </c>
    </row>
    <row r="127" customFormat="false" ht="15" hidden="false" customHeight="true" outlineLevel="0" collapsed="false">
      <c r="A127" s="5" t="s">
        <v>151</v>
      </c>
      <c r="B127" s="6" t="n">
        <v>63998600.02</v>
      </c>
      <c r="C127" s="6" t="n">
        <v>0</v>
      </c>
      <c r="D127" s="6" t="n">
        <v>63998600.02</v>
      </c>
      <c r="E127" s="6" t="n">
        <v>23679.48</v>
      </c>
      <c r="F127" s="6" t="n">
        <v>0</v>
      </c>
      <c r="G127" s="6" t="n">
        <f aca="false">E127+F127</f>
        <v>23679.48</v>
      </c>
      <c r="H127" s="7" t="n">
        <f aca="false">IF(D127=0,0,C127/D127)</f>
        <v>0</v>
      </c>
      <c r="I127" s="7" t="n">
        <f aca="false">IF(D127=0,0,B127/D127)</f>
        <v>1</v>
      </c>
      <c r="J127" s="6" t="n">
        <f aca="false">E127*H127</f>
        <v>0</v>
      </c>
      <c r="K127" s="6" t="n">
        <f aca="false">E127*I127</f>
        <v>23679.48</v>
      </c>
      <c r="L127" s="6" t="n">
        <v>0</v>
      </c>
      <c r="M127" s="6" t="n">
        <v>23679.48</v>
      </c>
      <c r="N127" s="6"/>
      <c r="O127" s="6"/>
      <c r="P127" s="7"/>
      <c r="Q127" s="5" t="s">
        <v>26</v>
      </c>
      <c r="R127" s="5" t="s">
        <v>27</v>
      </c>
    </row>
    <row r="128" customFormat="false" ht="15" hidden="false" customHeight="true" outlineLevel="0" collapsed="false">
      <c r="A128" s="5" t="s">
        <v>152</v>
      </c>
      <c r="B128" s="6" t="n">
        <v>31462561.21</v>
      </c>
      <c r="C128" s="6" t="n">
        <v>0</v>
      </c>
      <c r="D128" s="6" t="n">
        <v>31462561.21</v>
      </c>
      <c r="E128" s="6" t="n">
        <v>11641.15</v>
      </c>
      <c r="F128" s="6" t="n">
        <v>0</v>
      </c>
      <c r="G128" s="6" t="n">
        <f aca="false">E128+F128</f>
        <v>11641.15</v>
      </c>
      <c r="H128" s="7" t="n">
        <f aca="false">IF(D128=0,0,C128/D128)</f>
        <v>0</v>
      </c>
      <c r="I128" s="7" t="n">
        <f aca="false">IF(D128=0,0,B128/D128)</f>
        <v>1</v>
      </c>
      <c r="J128" s="6" t="n">
        <f aca="false">E128*H128</f>
        <v>0</v>
      </c>
      <c r="K128" s="6" t="n">
        <f aca="false">E128*I128</f>
        <v>11641.15</v>
      </c>
      <c r="L128" s="6" t="n">
        <v>0</v>
      </c>
      <c r="M128" s="6" t="n">
        <v>11641.15</v>
      </c>
      <c r="N128" s="6"/>
      <c r="O128" s="6"/>
      <c r="P128" s="7"/>
      <c r="Q128" s="5" t="s">
        <v>26</v>
      </c>
      <c r="R128" s="5" t="s">
        <v>27</v>
      </c>
    </row>
    <row r="129" customFormat="false" ht="15" hidden="false" customHeight="true" outlineLevel="0" collapsed="false">
      <c r="A129" s="5" t="s">
        <v>153</v>
      </c>
      <c r="B129" s="6" t="n">
        <v>27973790.49</v>
      </c>
      <c r="C129" s="6" t="n">
        <v>0</v>
      </c>
      <c r="D129" s="6" t="n">
        <v>27973790.49</v>
      </c>
      <c r="E129" s="6" t="n">
        <v>10350.3</v>
      </c>
      <c r="F129" s="6" t="n">
        <v>0</v>
      </c>
      <c r="G129" s="6" t="n">
        <f aca="false">E129+F129</f>
        <v>10350.3</v>
      </c>
      <c r="H129" s="7" t="n">
        <f aca="false">IF(D129=0,0,C129/D129)</f>
        <v>0</v>
      </c>
      <c r="I129" s="7" t="n">
        <f aca="false">IF(D129=0,0,B129/D129)</f>
        <v>1</v>
      </c>
      <c r="J129" s="6" t="n">
        <f aca="false">E129*H129</f>
        <v>0</v>
      </c>
      <c r="K129" s="6" t="n">
        <f aca="false">E129*I129</f>
        <v>10350.3</v>
      </c>
      <c r="L129" s="6" t="n">
        <v>0</v>
      </c>
      <c r="M129" s="6" t="n">
        <v>10350.3</v>
      </c>
      <c r="N129" s="6"/>
      <c r="O129" s="6"/>
      <c r="P129" s="7"/>
      <c r="Q129" s="5" t="s">
        <v>26</v>
      </c>
      <c r="R129" s="5" t="s">
        <v>27</v>
      </c>
    </row>
    <row r="130" customFormat="false" ht="15" hidden="false" customHeight="true" outlineLevel="0" collapsed="false">
      <c r="A130" s="5" t="s">
        <v>154</v>
      </c>
      <c r="B130" s="6" t="n">
        <v>20496216.66</v>
      </c>
      <c r="C130" s="6" t="n">
        <v>0</v>
      </c>
      <c r="D130" s="6" t="n">
        <v>20496216.66</v>
      </c>
      <c r="E130" s="6" t="n">
        <v>7583.6</v>
      </c>
      <c r="F130" s="6" t="n">
        <v>0</v>
      </c>
      <c r="G130" s="6" t="n">
        <f aca="false">E130+F130</f>
        <v>7583.6</v>
      </c>
      <c r="H130" s="7" t="n">
        <f aca="false">IF(D130=0,0,C130/D130)</f>
        <v>0</v>
      </c>
      <c r="I130" s="7" t="n">
        <f aca="false">IF(D130=0,0,B130/D130)</f>
        <v>1</v>
      </c>
      <c r="J130" s="6" t="n">
        <f aca="false">E130*H130</f>
        <v>0</v>
      </c>
      <c r="K130" s="6" t="n">
        <f aca="false">E130*I130</f>
        <v>7583.6</v>
      </c>
      <c r="L130" s="6" t="n">
        <v>0</v>
      </c>
      <c r="M130" s="6" t="n">
        <v>7583.6</v>
      </c>
      <c r="N130" s="6"/>
      <c r="O130" s="6"/>
      <c r="P130" s="7"/>
      <c r="Q130" s="5" t="s">
        <v>26</v>
      </c>
      <c r="R130" s="5" t="s">
        <v>27</v>
      </c>
    </row>
    <row r="131" customFormat="false" ht="15" hidden="false" customHeight="true" outlineLevel="0" collapsed="false">
      <c r="A131" s="5" t="s">
        <v>155</v>
      </c>
      <c r="B131" s="6" t="n">
        <v>34526168.77</v>
      </c>
      <c r="C131" s="6" t="n">
        <v>0</v>
      </c>
      <c r="D131" s="6" t="n">
        <v>34526168.77</v>
      </c>
      <c r="E131" s="6" t="n">
        <v>12774.68</v>
      </c>
      <c r="F131" s="6" t="n">
        <v>0</v>
      </c>
      <c r="G131" s="6" t="n">
        <f aca="false">E131+F131</f>
        <v>12774.68</v>
      </c>
      <c r="H131" s="7" t="n">
        <f aca="false">IF(D131=0,0,C131/D131)</f>
        <v>0</v>
      </c>
      <c r="I131" s="7" t="n">
        <f aca="false">IF(D131=0,0,B131/D131)</f>
        <v>1</v>
      </c>
      <c r="J131" s="6" t="n">
        <f aca="false">E131*H131</f>
        <v>0</v>
      </c>
      <c r="K131" s="6" t="n">
        <f aca="false">E131*I131</f>
        <v>12774.68</v>
      </c>
      <c r="L131" s="6" t="n">
        <v>0</v>
      </c>
      <c r="M131" s="6" t="n">
        <v>12774.68</v>
      </c>
      <c r="N131" s="6"/>
      <c r="O131" s="6"/>
      <c r="P131" s="7"/>
      <c r="Q131" s="5" t="s">
        <v>26</v>
      </c>
      <c r="R131" s="5" t="s">
        <v>27</v>
      </c>
    </row>
    <row r="132" customFormat="false" ht="15" hidden="false" customHeight="true" outlineLevel="0" collapsed="false">
      <c r="A132" s="5" t="s">
        <v>156</v>
      </c>
      <c r="B132" s="6" t="n">
        <v>27706774.09</v>
      </c>
      <c r="C132" s="6" t="n">
        <v>0</v>
      </c>
      <c r="D132" s="6" t="n">
        <v>27706774.09</v>
      </c>
      <c r="E132" s="6" t="n">
        <v>10251.51</v>
      </c>
      <c r="F132" s="6" t="n">
        <v>0</v>
      </c>
      <c r="G132" s="6" t="n">
        <f aca="false">E132+F132</f>
        <v>10251.51</v>
      </c>
      <c r="H132" s="7" t="n">
        <f aca="false">IF(D132=0,0,C132/D132)</f>
        <v>0</v>
      </c>
      <c r="I132" s="7" t="n">
        <f aca="false">IF(D132=0,0,B132/D132)</f>
        <v>1</v>
      </c>
      <c r="J132" s="6" t="n">
        <f aca="false">E132*H132</f>
        <v>0</v>
      </c>
      <c r="K132" s="6" t="n">
        <f aca="false">E132*I132</f>
        <v>10251.51</v>
      </c>
      <c r="L132" s="6" t="n">
        <v>0</v>
      </c>
      <c r="M132" s="6" t="n">
        <v>10251.51</v>
      </c>
      <c r="N132" s="6"/>
      <c r="O132" s="6"/>
      <c r="P132" s="7"/>
      <c r="Q132" s="5" t="s">
        <v>26</v>
      </c>
      <c r="R132" s="5" t="s">
        <v>27</v>
      </c>
    </row>
    <row r="133" customFormat="false" ht="15" hidden="false" customHeight="true" outlineLevel="0" collapsed="false">
      <c r="A133" s="5" t="s">
        <v>157</v>
      </c>
      <c r="B133" s="6" t="n">
        <v>36889392.14</v>
      </c>
      <c r="C133" s="6" t="n">
        <v>0</v>
      </c>
      <c r="D133" s="6" t="n">
        <v>36889392.14</v>
      </c>
      <c r="E133" s="6" t="n">
        <v>13649.08</v>
      </c>
      <c r="F133" s="6" t="n">
        <v>0</v>
      </c>
      <c r="G133" s="6" t="n">
        <f aca="false">E133+F133</f>
        <v>13649.08</v>
      </c>
      <c r="H133" s="7" t="n">
        <f aca="false">IF(D133=0,0,C133/D133)</f>
        <v>0</v>
      </c>
      <c r="I133" s="7" t="n">
        <f aca="false">IF(D133=0,0,B133/D133)</f>
        <v>1</v>
      </c>
      <c r="J133" s="6" t="n">
        <f aca="false">E133*H133</f>
        <v>0</v>
      </c>
      <c r="K133" s="6" t="n">
        <f aca="false">E133*I133</f>
        <v>13649.08</v>
      </c>
      <c r="L133" s="6" t="n">
        <v>0</v>
      </c>
      <c r="M133" s="6" t="n">
        <v>13649.08</v>
      </c>
      <c r="N133" s="6"/>
      <c r="O133" s="6"/>
      <c r="P133" s="7"/>
      <c r="Q133" s="5" t="s">
        <v>26</v>
      </c>
      <c r="R133" s="5" t="s">
        <v>27</v>
      </c>
    </row>
    <row r="134" customFormat="false" ht="15" hidden="false" customHeight="true" outlineLevel="0" collapsed="false">
      <c r="A134" s="5" t="s">
        <v>158</v>
      </c>
      <c r="B134" s="6" t="n">
        <v>32475861.72</v>
      </c>
      <c r="C134" s="6" t="n">
        <v>0</v>
      </c>
      <c r="D134" s="6" t="n">
        <v>32475861.72</v>
      </c>
      <c r="E134" s="6" t="n">
        <v>12016.07</v>
      </c>
      <c r="F134" s="6" t="n">
        <v>0</v>
      </c>
      <c r="G134" s="6" t="n">
        <f aca="false">E134+F134</f>
        <v>12016.07</v>
      </c>
      <c r="H134" s="7" t="n">
        <f aca="false">IF(D134=0,0,C134/D134)</f>
        <v>0</v>
      </c>
      <c r="I134" s="7" t="n">
        <f aca="false">IF(D134=0,0,B134/D134)</f>
        <v>1</v>
      </c>
      <c r="J134" s="6" t="n">
        <f aca="false">E134*H134</f>
        <v>0</v>
      </c>
      <c r="K134" s="6" t="n">
        <f aca="false">E134*I134</f>
        <v>12016.07</v>
      </c>
      <c r="L134" s="6" t="n">
        <v>0</v>
      </c>
      <c r="M134" s="6" t="n">
        <v>12016.07</v>
      </c>
      <c r="N134" s="6"/>
      <c r="O134" s="6"/>
      <c r="P134" s="7"/>
      <c r="Q134" s="5" t="s">
        <v>26</v>
      </c>
      <c r="R134" s="5" t="s">
        <v>27</v>
      </c>
    </row>
    <row r="135" customFormat="false" ht="15" hidden="false" customHeight="true" outlineLevel="0" collapsed="false">
      <c r="A135" s="5" t="s">
        <v>159</v>
      </c>
      <c r="B135" s="6" t="n">
        <v>25885134.4</v>
      </c>
      <c r="C135" s="6" t="n">
        <v>0</v>
      </c>
      <c r="D135" s="6" t="n">
        <v>25885134.4</v>
      </c>
      <c r="E135" s="6" t="n">
        <v>9577.5</v>
      </c>
      <c r="F135" s="6" t="n">
        <v>0</v>
      </c>
      <c r="G135" s="6" t="n">
        <f aca="false">E135+F135</f>
        <v>9577.5</v>
      </c>
      <c r="H135" s="7" t="n">
        <f aca="false">IF(D135=0,0,C135/D135)</f>
        <v>0</v>
      </c>
      <c r="I135" s="7" t="n">
        <f aca="false">IF(D135=0,0,B135/D135)</f>
        <v>1</v>
      </c>
      <c r="J135" s="6" t="n">
        <f aca="false">E135*H135</f>
        <v>0</v>
      </c>
      <c r="K135" s="6" t="n">
        <f aca="false">E135*I135</f>
        <v>9577.5</v>
      </c>
      <c r="L135" s="6" t="n">
        <v>0</v>
      </c>
      <c r="M135" s="6" t="n">
        <v>9577.5</v>
      </c>
      <c r="N135" s="6"/>
      <c r="O135" s="6"/>
      <c r="P135" s="7"/>
      <c r="Q135" s="5" t="s">
        <v>26</v>
      </c>
      <c r="R135" s="5" t="s">
        <v>27</v>
      </c>
    </row>
    <row r="136" customFormat="false" ht="15" hidden="false" customHeight="true" outlineLevel="0" collapsed="false">
      <c r="A136" s="5" t="s">
        <v>160</v>
      </c>
      <c r="B136" s="6" t="n">
        <v>16861057.85</v>
      </c>
      <c r="C136" s="6" t="n">
        <v>0</v>
      </c>
      <c r="D136" s="6" t="n">
        <v>16861057.85</v>
      </c>
      <c r="E136" s="6" t="n">
        <v>6238.59</v>
      </c>
      <c r="F136" s="6" t="n">
        <v>0</v>
      </c>
      <c r="G136" s="6" t="n">
        <f aca="false">E136+F136</f>
        <v>6238.59</v>
      </c>
      <c r="H136" s="7" t="n">
        <f aca="false">IF(D136=0,0,C136/D136)</f>
        <v>0</v>
      </c>
      <c r="I136" s="7" t="n">
        <f aca="false">IF(D136=0,0,B136/D136)</f>
        <v>1</v>
      </c>
      <c r="J136" s="6" t="n">
        <f aca="false">E136*H136</f>
        <v>0</v>
      </c>
      <c r="K136" s="6" t="n">
        <f aca="false">E136*I136</f>
        <v>6238.59</v>
      </c>
      <c r="L136" s="6" t="n">
        <v>0</v>
      </c>
      <c r="M136" s="6" t="n">
        <v>6238.59</v>
      </c>
      <c r="N136" s="6"/>
      <c r="O136" s="6"/>
      <c r="P136" s="7"/>
      <c r="Q136" s="5" t="s">
        <v>26</v>
      </c>
      <c r="R136" s="5" t="s">
        <v>27</v>
      </c>
    </row>
    <row r="137" customFormat="false" ht="15" hidden="false" customHeight="true" outlineLevel="0" collapsed="false">
      <c r="A137" s="5" t="s">
        <v>161</v>
      </c>
      <c r="B137" s="6" t="n">
        <v>19761680.89</v>
      </c>
      <c r="C137" s="6" t="n">
        <v>0</v>
      </c>
      <c r="D137" s="6" t="n">
        <v>19761680.89</v>
      </c>
      <c r="E137" s="6" t="n">
        <v>7311.82</v>
      </c>
      <c r="F137" s="6" t="n">
        <v>0</v>
      </c>
      <c r="G137" s="6" t="n">
        <f aca="false">E137+F137</f>
        <v>7311.82</v>
      </c>
      <c r="H137" s="7" t="n">
        <f aca="false">IF(D137=0,0,C137/D137)</f>
        <v>0</v>
      </c>
      <c r="I137" s="7" t="n">
        <f aca="false">IF(D137=0,0,B137/D137)</f>
        <v>1</v>
      </c>
      <c r="J137" s="6" t="n">
        <f aca="false">E137*H137</f>
        <v>0</v>
      </c>
      <c r="K137" s="6" t="n">
        <f aca="false">E137*I137</f>
        <v>7311.82</v>
      </c>
      <c r="L137" s="6" t="n">
        <v>0</v>
      </c>
      <c r="M137" s="6" t="n">
        <v>7311.82</v>
      </c>
      <c r="N137" s="6"/>
      <c r="O137" s="6"/>
      <c r="P137" s="7"/>
      <c r="Q137" s="5" t="s">
        <v>26</v>
      </c>
      <c r="R137" s="5" t="s">
        <v>27</v>
      </c>
    </row>
    <row r="138" customFormat="false" ht="15" hidden="false" customHeight="true" outlineLevel="0" collapsed="false">
      <c r="A138" s="5" t="s">
        <v>162</v>
      </c>
      <c r="B138" s="6" t="n">
        <v>23617841.35</v>
      </c>
      <c r="C138" s="6" t="n">
        <v>0</v>
      </c>
      <c r="D138" s="6" t="n">
        <v>23617841.35</v>
      </c>
      <c r="E138" s="6" t="n">
        <v>8738.6</v>
      </c>
      <c r="F138" s="6" t="n">
        <v>0</v>
      </c>
      <c r="G138" s="6" t="n">
        <f aca="false">E138+F138</f>
        <v>8738.6</v>
      </c>
      <c r="H138" s="7" t="n">
        <f aca="false">IF(D138=0,0,C138/D138)</f>
        <v>0</v>
      </c>
      <c r="I138" s="7" t="n">
        <f aca="false">IF(D138=0,0,B138/D138)</f>
        <v>1</v>
      </c>
      <c r="J138" s="6" t="n">
        <f aca="false">E138*H138</f>
        <v>0</v>
      </c>
      <c r="K138" s="6" t="n">
        <f aca="false">E138*I138</f>
        <v>8738.6</v>
      </c>
      <c r="L138" s="6" t="n">
        <v>0</v>
      </c>
      <c r="M138" s="6" t="n">
        <v>8738.6</v>
      </c>
      <c r="N138" s="6"/>
      <c r="O138" s="6"/>
      <c r="P138" s="7"/>
      <c r="Q138" s="5" t="s">
        <v>26</v>
      </c>
      <c r="R138" s="5" t="s">
        <v>27</v>
      </c>
    </row>
    <row r="139" customFormat="false" ht="15" hidden="false" customHeight="true" outlineLevel="0" collapsed="false">
      <c r="A139" s="5" t="s">
        <v>163</v>
      </c>
      <c r="B139" s="6" t="n">
        <v>22745912.62</v>
      </c>
      <c r="C139" s="6" t="n">
        <v>0</v>
      </c>
      <c r="D139" s="6" t="n">
        <v>22745912.62</v>
      </c>
      <c r="E139" s="6" t="n">
        <v>8415.99</v>
      </c>
      <c r="F139" s="6" t="n">
        <v>0</v>
      </c>
      <c r="G139" s="6" t="n">
        <f aca="false">E139+F139</f>
        <v>8415.99</v>
      </c>
      <c r="H139" s="7" t="n">
        <f aca="false">IF(D139=0,0,C139/D139)</f>
        <v>0</v>
      </c>
      <c r="I139" s="7" t="n">
        <f aca="false">IF(D139=0,0,B139/D139)</f>
        <v>1</v>
      </c>
      <c r="J139" s="6" t="n">
        <f aca="false">E139*H139</f>
        <v>0</v>
      </c>
      <c r="K139" s="6" t="n">
        <f aca="false">E139*I139</f>
        <v>8415.99</v>
      </c>
      <c r="L139" s="6" t="n">
        <v>0</v>
      </c>
      <c r="M139" s="6" t="n">
        <v>8415.99</v>
      </c>
      <c r="N139" s="6"/>
      <c r="O139" s="6"/>
      <c r="P139" s="7"/>
      <c r="Q139" s="5" t="s">
        <v>26</v>
      </c>
      <c r="R139" s="5" t="s">
        <v>27</v>
      </c>
    </row>
    <row r="140" customFormat="false" ht="15" hidden="false" customHeight="true" outlineLevel="0" collapsed="false">
      <c r="A140" s="5" t="s">
        <v>164</v>
      </c>
      <c r="B140" s="6" t="n">
        <v>25781119.68</v>
      </c>
      <c r="C140" s="6" t="n">
        <v>0</v>
      </c>
      <c r="D140" s="6" t="n">
        <v>25781119.68</v>
      </c>
      <c r="E140" s="6" t="n">
        <v>9539.01</v>
      </c>
      <c r="F140" s="6" t="n">
        <v>0</v>
      </c>
      <c r="G140" s="6" t="n">
        <f aca="false">E140+F140</f>
        <v>9539.01</v>
      </c>
      <c r="H140" s="7" t="n">
        <f aca="false">IF(D140=0,0,C140/D140)</f>
        <v>0</v>
      </c>
      <c r="I140" s="7" t="n">
        <f aca="false">IF(D140=0,0,B140/D140)</f>
        <v>1</v>
      </c>
      <c r="J140" s="6" t="n">
        <f aca="false">E140*H140</f>
        <v>0</v>
      </c>
      <c r="K140" s="6" t="n">
        <f aca="false">E140*I140</f>
        <v>9539.01</v>
      </c>
      <c r="L140" s="6" t="n">
        <v>0</v>
      </c>
      <c r="M140" s="6" t="n">
        <v>9539.01</v>
      </c>
      <c r="N140" s="6"/>
      <c r="O140" s="6"/>
      <c r="P140" s="7"/>
      <c r="Q140" s="5" t="s">
        <v>26</v>
      </c>
      <c r="R140" s="5" t="s">
        <v>27</v>
      </c>
    </row>
    <row r="141" customFormat="false" ht="15" hidden="false" customHeight="true" outlineLevel="0" collapsed="false">
      <c r="A141" s="5" t="s">
        <v>165</v>
      </c>
      <c r="B141" s="6" t="n">
        <v>24682035.34</v>
      </c>
      <c r="C141" s="6" t="n">
        <v>0</v>
      </c>
      <c r="D141" s="6" t="n">
        <v>24682035.34</v>
      </c>
      <c r="E141" s="6" t="n">
        <v>9132.35</v>
      </c>
      <c r="F141" s="6" t="n">
        <v>0</v>
      </c>
      <c r="G141" s="6" t="n">
        <f aca="false">E141+F141</f>
        <v>9132.35</v>
      </c>
      <c r="H141" s="7" t="n">
        <f aca="false">IF(D141=0,0,C141/D141)</f>
        <v>0</v>
      </c>
      <c r="I141" s="7" t="n">
        <f aca="false">IF(D141=0,0,B141/D141)</f>
        <v>1</v>
      </c>
      <c r="J141" s="6" t="n">
        <f aca="false">E141*H141</f>
        <v>0</v>
      </c>
      <c r="K141" s="6" t="n">
        <f aca="false">E141*I141</f>
        <v>9132.35</v>
      </c>
      <c r="L141" s="6" t="n">
        <v>0</v>
      </c>
      <c r="M141" s="6" t="n">
        <v>9132.35</v>
      </c>
      <c r="N141" s="6"/>
      <c r="O141" s="6"/>
      <c r="P141" s="7"/>
      <c r="Q141" s="5" t="s">
        <v>26</v>
      </c>
      <c r="R141" s="5" t="s">
        <v>27</v>
      </c>
    </row>
    <row r="142" customFormat="false" ht="15" hidden="false" customHeight="true" outlineLevel="0" collapsed="false">
      <c r="A142" s="5" t="s">
        <v>166</v>
      </c>
      <c r="B142" s="6" t="n">
        <v>72406587.32</v>
      </c>
      <c r="C142" s="6" t="n">
        <v>0</v>
      </c>
      <c r="D142" s="6" t="n">
        <v>72406587.32</v>
      </c>
      <c r="E142" s="6" t="n">
        <v>26790.44</v>
      </c>
      <c r="F142" s="6" t="n">
        <v>0</v>
      </c>
      <c r="G142" s="6" t="n">
        <f aca="false">E142+F142</f>
        <v>26790.44</v>
      </c>
      <c r="H142" s="7" t="n">
        <f aca="false">IF(D142=0,0,C142/D142)</f>
        <v>0</v>
      </c>
      <c r="I142" s="7" t="n">
        <f aca="false">IF(D142=0,0,B142/D142)</f>
        <v>1</v>
      </c>
      <c r="J142" s="6" t="n">
        <f aca="false">E142*H142</f>
        <v>0</v>
      </c>
      <c r="K142" s="6" t="n">
        <f aca="false">E142*I142</f>
        <v>26790.44</v>
      </c>
      <c r="L142" s="6" t="n">
        <v>0</v>
      </c>
      <c r="M142" s="6" t="n">
        <v>26790.44</v>
      </c>
      <c r="N142" s="6"/>
      <c r="O142" s="6"/>
      <c r="P142" s="7"/>
      <c r="Q142" s="5" t="s">
        <v>26</v>
      </c>
      <c r="R142" s="5" t="s">
        <v>27</v>
      </c>
    </row>
    <row r="143" customFormat="false" ht="15" hidden="false" customHeight="true" outlineLevel="0" collapsed="false">
      <c r="A143" s="5" t="s">
        <v>167</v>
      </c>
      <c r="B143" s="6" t="n">
        <v>18651190.43</v>
      </c>
      <c r="C143" s="6" t="n">
        <v>0</v>
      </c>
      <c r="D143" s="6" t="n">
        <v>18651190.43</v>
      </c>
      <c r="E143" s="6" t="n">
        <v>6900.94</v>
      </c>
      <c r="F143" s="6" t="n">
        <v>0</v>
      </c>
      <c r="G143" s="6" t="n">
        <f aca="false">E143+F143</f>
        <v>6900.94</v>
      </c>
      <c r="H143" s="7" t="n">
        <f aca="false">IF(D143=0,0,C143/D143)</f>
        <v>0</v>
      </c>
      <c r="I143" s="7" t="n">
        <f aca="false">IF(D143=0,0,B143/D143)</f>
        <v>1</v>
      </c>
      <c r="J143" s="6" t="n">
        <f aca="false">E143*H143</f>
        <v>0</v>
      </c>
      <c r="K143" s="6" t="n">
        <f aca="false">E143*I143</f>
        <v>6900.94</v>
      </c>
      <c r="L143" s="6" t="n">
        <v>0</v>
      </c>
      <c r="M143" s="6" t="n">
        <v>6900.94</v>
      </c>
      <c r="N143" s="6"/>
      <c r="O143" s="6"/>
      <c r="P143" s="7"/>
      <c r="Q143" s="5" t="s">
        <v>26</v>
      </c>
      <c r="R143" s="5" t="s">
        <v>27</v>
      </c>
    </row>
    <row r="144" customFormat="false" ht="15" hidden="false" customHeight="true" outlineLevel="0" collapsed="false">
      <c r="A144" s="5" t="s">
        <v>168</v>
      </c>
      <c r="B144" s="6" t="n">
        <v>16980086.25</v>
      </c>
      <c r="C144" s="6" t="n">
        <v>0</v>
      </c>
      <c r="D144" s="6" t="n">
        <v>16980086.25</v>
      </c>
      <c r="E144" s="6" t="n">
        <v>6282.63</v>
      </c>
      <c r="F144" s="6" t="n">
        <v>0</v>
      </c>
      <c r="G144" s="6" t="n">
        <f aca="false">E144+F144</f>
        <v>6282.63</v>
      </c>
      <c r="H144" s="7" t="n">
        <f aca="false">IF(D144=0,0,C144/D144)</f>
        <v>0</v>
      </c>
      <c r="I144" s="7" t="n">
        <f aca="false">IF(D144=0,0,B144/D144)</f>
        <v>1</v>
      </c>
      <c r="J144" s="6" t="n">
        <f aca="false">E144*H144</f>
        <v>0</v>
      </c>
      <c r="K144" s="6" t="n">
        <f aca="false">E144*I144</f>
        <v>6282.63</v>
      </c>
      <c r="L144" s="6" t="n">
        <v>0</v>
      </c>
      <c r="M144" s="6" t="n">
        <v>6282.63</v>
      </c>
      <c r="N144" s="6"/>
      <c r="O144" s="6"/>
      <c r="P144" s="7"/>
      <c r="Q144" s="5" t="s">
        <v>26</v>
      </c>
      <c r="R144" s="5" t="s">
        <v>27</v>
      </c>
    </row>
    <row r="145" customFormat="false" ht="15" hidden="false" customHeight="true" outlineLevel="0" collapsed="false">
      <c r="A145" s="5" t="s">
        <v>169</v>
      </c>
      <c r="B145" s="6" t="n">
        <v>24635905.18</v>
      </c>
      <c r="C145" s="6" t="n">
        <v>0</v>
      </c>
      <c r="D145" s="6" t="n">
        <v>24635905.18</v>
      </c>
      <c r="E145" s="6" t="n">
        <v>9115.28</v>
      </c>
      <c r="F145" s="6" t="n">
        <v>0</v>
      </c>
      <c r="G145" s="6" t="n">
        <f aca="false">E145+F145</f>
        <v>9115.28</v>
      </c>
      <c r="H145" s="7" t="n">
        <f aca="false">IF(D145=0,0,C145/D145)</f>
        <v>0</v>
      </c>
      <c r="I145" s="7" t="n">
        <f aca="false">IF(D145=0,0,B145/D145)</f>
        <v>1</v>
      </c>
      <c r="J145" s="6" t="n">
        <f aca="false">E145*H145</f>
        <v>0</v>
      </c>
      <c r="K145" s="6" t="n">
        <f aca="false">E145*I145</f>
        <v>9115.28</v>
      </c>
      <c r="L145" s="6" t="n">
        <v>0</v>
      </c>
      <c r="M145" s="6" t="n">
        <v>9115.28</v>
      </c>
      <c r="N145" s="6"/>
      <c r="O145" s="6"/>
      <c r="P145" s="7"/>
      <c r="Q145" s="5" t="s">
        <v>26</v>
      </c>
      <c r="R145" s="5" t="s">
        <v>27</v>
      </c>
    </row>
    <row r="146" customFormat="false" ht="15" hidden="false" customHeight="true" outlineLevel="0" collapsed="false">
      <c r="A146" s="5" t="s">
        <v>170</v>
      </c>
      <c r="B146" s="6" t="n">
        <v>20360488.17</v>
      </c>
      <c r="C146" s="6" t="n">
        <v>0</v>
      </c>
      <c r="D146" s="6" t="n">
        <v>20360488.17</v>
      </c>
      <c r="E146" s="6" t="n">
        <v>7533.38</v>
      </c>
      <c r="F146" s="6" t="n">
        <v>0</v>
      </c>
      <c r="G146" s="6" t="n">
        <f aca="false">E146+F146</f>
        <v>7533.38</v>
      </c>
      <c r="H146" s="7" t="n">
        <f aca="false">IF(D146=0,0,C146/D146)</f>
        <v>0</v>
      </c>
      <c r="I146" s="7" t="n">
        <f aca="false">IF(D146=0,0,B146/D146)</f>
        <v>1</v>
      </c>
      <c r="J146" s="6" t="n">
        <f aca="false">E146*H146</f>
        <v>0</v>
      </c>
      <c r="K146" s="6" t="n">
        <f aca="false">E146*I146</f>
        <v>7533.38</v>
      </c>
      <c r="L146" s="6" t="n">
        <v>0</v>
      </c>
      <c r="M146" s="6" t="n">
        <v>7533.38</v>
      </c>
      <c r="N146" s="6"/>
      <c r="O146" s="6"/>
      <c r="P146" s="7"/>
      <c r="Q146" s="5" t="s">
        <v>26</v>
      </c>
      <c r="R146" s="5" t="s">
        <v>27</v>
      </c>
    </row>
    <row r="147" customFormat="false" ht="15" hidden="false" customHeight="true" outlineLevel="0" collapsed="false">
      <c r="A147" s="5" t="s">
        <v>171</v>
      </c>
      <c r="B147" s="6" t="n">
        <v>27353167.72</v>
      </c>
      <c r="C147" s="6" t="n">
        <v>0</v>
      </c>
      <c r="D147" s="6" t="n">
        <v>27353167.72</v>
      </c>
      <c r="E147" s="6" t="n">
        <v>10120.67</v>
      </c>
      <c r="F147" s="6" t="n">
        <v>0</v>
      </c>
      <c r="G147" s="6" t="n">
        <f aca="false">E147+F147</f>
        <v>10120.67</v>
      </c>
      <c r="H147" s="7" t="n">
        <f aca="false">IF(D147=0,0,C147/D147)</f>
        <v>0</v>
      </c>
      <c r="I147" s="7" t="n">
        <f aca="false">IF(D147=0,0,B147/D147)</f>
        <v>1</v>
      </c>
      <c r="J147" s="6" t="n">
        <f aca="false">E147*H147</f>
        <v>0</v>
      </c>
      <c r="K147" s="6" t="n">
        <f aca="false">E147*I147</f>
        <v>10120.67</v>
      </c>
      <c r="L147" s="6" t="n">
        <v>0</v>
      </c>
      <c r="M147" s="6" t="n">
        <v>10120.67</v>
      </c>
      <c r="N147" s="6"/>
      <c r="O147" s="6"/>
      <c r="P147" s="7"/>
      <c r="Q147" s="5" t="s">
        <v>26</v>
      </c>
      <c r="R147" s="5" t="s">
        <v>27</v>
      </c>
    </row>
    <row r="148" customFormat="false" ht="15" hidden="false" customHeight="true" outlineLevel="0" collapsed="false">
      <c r="A148" s="5" t="s">
        <v>172</v>
      </c>
      <c r="B148" s="6" t="n">
        <v>22649071.72</v>
      </c>
      <c r="C148" s="6" t="n">
        <v>0</v>
      </c>
      <c r="D148" s="6" t="n">
        <v>22649071.72</v>
      </c>
      <c r="E148" s="6" t="n">
        <v>8380.16</v>
      </c>
      <c r="F148" s="6" t="n">
        <v>0</v>
      </c>
      <c r="G148" s="6" t="n">
        <f aca="false">E148+F148</f>
        <v>8380.16</v>
      </c>
      <c r="H148" s="7" t="n">
        <f aca="false">IF(D148=0,0,C148/D148)</f>
        <v>0</v>
      </c>
      <c r="I148" s="7" t="n">
        <f aca="false">IF(D148=0,0,B148/D148)</f>
        <v>1</v>
      </c>
      <c r="J148" s="6" t="n">
        <f aca="false">E148*H148</f>
        <v>0</v>
      </c>
      <c r="K148" s="6" t="n">
        <f aca="false">E148*I148</f>
        <v>8380.16</v>
      </c>
      <c r="L148" s="6" t="n">
        <v>0</v>
      </c>
      <c r="M148" s="6" t="n">
        <v>8380.16</v>
      </c>
      <c r="N148" s="6"/>
      <c r="O148" s="6"/>
      <c r="P148" s="7"/>
      <c r="Q148" s="5" t="s">
        <v>26</v>
      </c>
      <c r="R148" s="5" t="s">
        <v>27</v>
      </c>
    </row>
    <row r="149" customFormat="false" ht="15" hidden="false" customHeight="true" outlineLevel="0" collapsed="false">
      <c r="A149" s="5" t="s">
        <v>173</v>
      </c>
      <c r="B149" s="6" t="n">
        <v>42670868.86</v>
      </c>
      <c r="C149" s="6" t="n">
        <v>0</v>
      </c>
      <c r="D149" s="6" t="n">
        <v>42670868.86</v>
      </c>
      <c r="E149" s="6" t="n">
        <v>15788.22</v>
      </c>
      <c r="F149" s="6" t="n">
        <v>0</v>
      </c>
      <c r="G149" s="6" t="n">
        <f aca="false">E149+F149</f>
        <v>15788.22</v>
      </c>
      <c r="H149" s="7" t="n">
        <f aca="false">IF(D149=0,0,C149/D149)</f>
        <v>0</v>
      </c>
      <c r="I149" s="7" t="n">
        <f aca="false">IF(D149=0,0,B149/D149)</f>
        <v>1</v>
      </c>
      <c r="J149" s="6" t="n">
        <f aca="false">E149*H149</f>
        <v>0</v>
      </c>
      <c r="K149" s="6" t="n">
        <f aca="false">E149*I149</f>
        <v>15788.22</v>
      </c>
      <c r="L149" s="6" t="n">
        <v>0</v>
      </c>
      <c r="M149" s="6" t="n">
        <v>15788.22</v>
      </c>
      <c r="N149" s="6"/>
      <c r="O149" s="6"/>
      <c r="P149" s="7"/>
      <c r="Q149" s="5" t="s">
        <v>26</v>
      </c>
      <c r="R149" s="5" t="s">
        <v>27</v>
      </c>
    </row>
    <row r="150" customFormat="false" ht="15" hidden="false" customHeight="true" outlineLevel="0" collapsed="false">
      <c r="A150" s="5" t="s">
        <v>174</v>
      </c>
      <c r="B150" s="6" t="n">
        <v>24195150.99</v>
      </c>
      <c r="C150" s="6" t="n">
        <v>0</v>
      </c>
      <c r="D150" s="6" t="n">
        <v>24195150.99</v>
      </c>
      <c r="E150" s="6" t="n">
        <v>8952.21</v>
      </c>
      <c r="F150" s="6" t="n">
        <v>0</v>
      </c>
      <c r="G150" s="6" t="n">
        <f aca="false">E150+F150</f>
        <v>8952.21</v>
      </c>
      <c r="H150" s="7" t="n">
        <f aca="false">IF(D150=0,0,C150/D150)</f>
        <v>0</v>
      </c>
      <c r="I150" s="7" t="n">
        <f aca="false">IF(D150=0,0,B150/D150)</f>
        <v>1</v>
      </c>
      <c r="J150" s="6" t="n">
        <f aca="false">E150*H150</f>
        <v>0</v>
      </c>
      <c r="K150" s="6" t="n">
        <f aca="false">E150*I150</f>
        <v>8952.21</v>
      </c>
      <c r="L150" s="6" t="n">
        <v>0</v>
      </c>
      <c r="M150" s="6" t="n">
        <v>8952.21</v>
      </c>
      <c r="N150" s="6"/>
      <c r="O150" s="6"/>
      <c r="P150" s="7"/>
      <c r="Q150" s="5" t="s">
        <v>26</v>
      </c>
      <c r="R150" s="5" t="s">
        <v>27</v>
      </c>
    </row>
    <row r="151" customFormat="false" ht="15" hidden="false" customHeight="true" outlineLevel="0" collapsed="false">
      <c r="A151" s="5" t="s">
        <v>175</v>
      </c>
      <c r="B151" s="6" t="n">
        <v>29268237.74</v>
      </c>
      <c r="C151" s="6" t="n">
        <v>0</v>
      </c>
      <c r="D151" s="6" t="n">
        <v>29268237.74</v>
      </c>
      <c r="E151" s="6" t="n">
        <v>10829.25</v>
      </c>
      <c r="F151" s="6" t="n">
        <v>0</v>
      </c>
      <c r="G151" s="6" t="n">
        <f aca="false">E151+F151</f>
        <v>10829.25</v>
      </c>
      <c r="H151" s="7" t="n">
        <f aca="false">IF(D151=0,0,C151/D151)</f>
        <v>0</v>
      </c>
      <c r="I151" s="7" t="n">
        <f aca="false">IF(D151=0,0,B151/D151)</f>
        <v>1</v>
      </c>
      <c r="J151" s="6" t="n">
        <f aca="false">E151*H151</f>
        <v>0</v>
      </c>
      <c r="K151" s="6" t="n">
        <f aca="false">E151*I151</f>
        <v>10829.25</v>
      </c>
      <c r="L151" s="6" t="n">
        <v>0</v>
      </c>
      <c r="M151" s="6" t="n">
        <v>10829.25</v>
      </c>
      <c r="N151" s="6"/>
      <c r="O151" s="6"/>
      <c r="P151" s="7"/>
      <c r="Q151" s="5" t="s">
        <v>26</v>
      </c>
      <c r="R151" s="5" t="s">
        <v>27</v>
      </c>
    </row>
    <row r="152" customFormat="false" ht="15" hidden="false" customHeight="true" outlineLevel="0" collapsed="false">
      <c r="A152" s="5" t="s">
        <v>176</v>
      </c>
      <c r="B152" s="6" t="n">
        <v>35897320.92</v>
      </c>
      <c r="C152" s="6" t="n">
        <v>0</v>
      </c>
      <c r="D152" s="6" t="n">
        <v>35897320.92</v>
      </c>
      <c r="E152" s="6" t="n">
        <v>13282.01</v>
      </c>
      <c r="F152" s="6" t="n">
        <v>0</v>
      </c>
      <c r="G152" s="6" t="n">
        <f aca="false">E152+F152</f>
        <v>13282.01</v>
      </c>
      <c r="H152" s="7" t="n">
        <f aca="false">IF(D152=0,0,C152/D152)</f>
        <v>0</v>
      </c>
      <c r="I152" s="7" t="n">
        <f aca="false">IF(D152=0,0,B152/D152)</f>
        <v>1</v>
      </c>
      <c r="J152" s="6" t="n">
        <f aca="false">E152*H152</f>
        <v>0</v>
      </c>
      <c r="K152" s="6" t="n">
        <f aca="false">E152*I152</f>
        <v>13282.01</v>
      </c>
      <c r="L152" s="6" t="n">
        <v>0</v>
      </c>
      <c r="M152" s="6" t="n">
        <v>13282.01</v>
      </c>
      <c r="N152" s="6"/>
      <c r="O152" s="6"/>
      <c r="P152" s="7"/>
      <c r="Q152" s="5" t="s">
        <v>26</v>
      </c>
      <c r="R152" s="5" t="s">
        <v>27</v>
      </c>
    </row>
    <row r="153" customFormat="false" ht="15" hidden="false" customHeight="true" outlineLevel="0" collapsed="false">
      <c r="A153" s="5" t="s">
        <v>177</v>
      </c>
      <c r="B153" s="6" t="n">
        <v>19105504.41</v>
      </c>
      <c r="C153" s="6" t="n">
        <v>0</v>
      </c>
      <c r="D153" s="6" t="n">
        <v>19105504.41</v>
      </c>
      <c r="E153" s="6" t="n">
        <v>7069.04</v>
      </c>
      <c r="F153" s="6" t="n">
        <v>0</v>
      </c>
      <c r="G153" s="6" t="n">
        <f aca="false">E153+F153</f>
        <v>7069.04</v>
      </c>
      <c r="H153" s="7" t="n">
        <f aca="false">IF(D153=0,0,C153/D153)</f>
        <v>0</v>
      </c>
      <c r="I153" s="7" t="n">
        <f aca="false">IF(D153=0,0,B153/D153)</f>
        <v>1</v>
      </c>
      <c r="J153" s="6" t="n">
        <f aca="false">E153*H153</f>
        <v>0</v>
      </c>
      <c r="K153" s="6" t="n">
        <f aca="false">E153*I153</f>
        <v>7069.04</v>
      </c>
      <c r="L153" s="6" t="n">
        <v>0</v>
      </c>
      <c r="M153" s="6" t="n">
        <v>7069.04</v>
      </c>
      <c r="N153" s="6"/>
      <c r="O153" s="6"/>
      <c r="P153" s="7"/>
      <c r="Q153" s="5" t="s">
        <v>26</v>
      </c>
      <c r="R153" s="5" t="s">
        <v>27</v>
      </c>
    </row>
    <row r="154" customFormat="false" ht="15" hidden="false" customHeight="true" outlineLevel="0" collapsed="false">
      <c r="A154" s="5" t="s">
        <v>178</v>
      </c>
      <c r="B154" s="6" t="n">
        <v>22224715.07</v>
      </c>
      <c r="C154" s="6" t="n">
        <v>0</v>
      </c>
      <c r="D154" s="6" t="n">
        <v>22224715.07</v>
      </c>
      <c r="E154" s="6" t="n">
        <v>8223.14</v>
      </c>
      <c r="F154" s="6" t="n">
        <v>0</v>
      </c>
      <c r="G154" s="6" t="n">
        <f aca="false">E154+F154</f>
        <v>8223.14</v>
      </c>
      <c r="H154" s="7" t="n">
        <f aca="false">IF(D154=0,0,C154/D154)</f>
        <v>0</v>
      </c>
      <c r="I154" s="7" t="n">
        <f aca="false">IF(D154=0,0,B154/D154)</f>
        <v>1</v>
      </c>
      <c r="J154" s="6" t="n">
        <f aca="false">E154*H154</f>
        <v>0</v>
      </c>
      <c r="K154" s="6" t="n">
        <f aca="false">E154*I154</f>
        <v>8223.14</v>
      </c>
      <c r="L154" s="6" t="n">
        <v>0</v>
      </c>
      <c r="M154" s="6" t="n">
        <v>8223.14</v>
      </c>
      <c r="N154" s="6"/>
      <c r="O154" s="6"/>
      <c r="P154" s="7"/>
      <c r="Q154" s="5" t="s">
        <v>26</v>
      </c>
      <c r="R154" s="5" t="s">
        <v>27</v>
      </c>
    </row>
    <row r="155" customFormat="false" ht="15" hidden="false" customHeight="true" outlineLevel="0" collapsed="false">
      <c r="A155" s="5" t="s">
        <v>179</v>
      </c>
      <c r="B155" s="6" t="n">
        <v>27824935.7</v>
      </c>
      <c r="C155" s="6" t="n">
        <v>0</v>
      </c>
      <c r="D155" s="6" t="n">
        <v>27824935.7</v>
      </c>
      <c r="E155" s="6" t="n">
        <v>10295.23</v>
      </c>
      <c r="F155" s="6" t="n">
        <v>0</v>
      </c>
      <c r="G155" s="6" t="n">
        <f aca="false">E155+F155</f>
        <v>10295.23</v>
      </c>
      <c r="H155" s="7" t="n">
        <f aca="false">IF(D155=0,0,C155/D155)</f>
        <v>0</v>
      </c>
      <c r="I155" s="7" t="n">
        <f aca="false">IF(D155=0,0,B155/D155)</f>
        <v>1</v>
      </c>
      <c r="J155" s="6" t="n">
        <f aca="false">E155*H155</f>
        <v>0</v>
      </c>
      <c r="K155" s="6" t="n">
        <f aca="false">E155*I155</f>
        <v>10295.23</v>
      </c>
      <c r="L155" s="6" t="n">
        <v>0</v>
      </c>
      <c r="M155" s="6" t="n">
        <v>10295.23</v>
      </c>
      <c r="N155" s="6"/>
      <c r="O155" s="6"/>
      <c r="P155" s="7"/>
      <c r="Q155" s="5" t="s">
        <v>26</v>
      </c>
      <c r="R155" s="5" t="s">
        <v>27</v>
      </c>
    </row>
    <row r="156" customFormat="false" ht="15" hidden="false" customHeight="true" outlineLevel="0" collapsed="false">
      <c r="A156" s="5" t="s">
        <v>180</v>
      </c>
      <c r="B156" s="6" t="n">
        <v>27964784.77</v>
      </c>
      <c r="C156" s="6" t="n">
        <v>0</v>
      </c>
      <c r="D156" s="6" t="n">
        <v>27964784.77</v>
      </c>
      <c r="E156" s="6" t="n">
        <v>10346.97</v>
      </c>
      <c r="F156" s="6" t="n">
        <v>0</v>
      </c>
      <c r="G156" s="6" t="n">
        <f aca="false">E156+F156</f>
        <v>10346.97</v>
      </c>
      <c r="H156" s="7" t="n">
        <f aca="false">IF(D156=0,0,C156/D156)</f>
        <v>0</v>
      </c>
      <c r="I156" s="7" t="n">
        <f aca="false">IF(D156=0,0,B156/D156)</f>
        <v>1</v>
      </c>
      <c r="J156" s="6" t="n">
        <f aca="false">E156*H156</f>
        <v>0</v>
      </c>
      <c r="K156" s="6" t="n">
        <f aca="false">E156*I156</f>
        <v>10346.97</v>
      </c>
      <c r="L156" s="6" t="n">
        <v>0</v>
      </c>
      <c r="M156" s="6" t="n">
        <v>10346.97</v>
      </c>
      <c r="N156" s="6"/>
      <c r="O156" s="6"/>
      <c r="P156" s="7"/>
      <c r="Q156" s="5" t="s">
        <v>26</v>
      </c>
      <c r="R156" s="5" t="s">
        <v>27</v>
      </c>
    </row>
    <row r="157" customFormat="false" ht="15" hidden="false" customHeight="true" outlineLevel="0" collapsed="false">
      <c r="A157" s="5" t="s">
        <v>181</v>
      </c>
      <c r="B157" s="6" t="n">
        <v>27973377.98</v>
      </c>
      <c r="C157" s="6" t="n">
        <v>0</v>
      </c>
      <c r="D157" s="6" t="n">
        <v>27973377.98</v>
      </c>
      <c r="E157" s="6" t="n">
        <v>10350.15</v>
      </c>
      <c r="F157" s="6" t="n">
        <v>0</v>
      </c>
      <c r="G157" s="6" t="n">
        <f aca="false">E157+F157</f>
        <v>10350.15</v>
      </c>
      <c r="H157" s="7" t="n">
        <f aca="false">IF(D157=0,0,C157/D157)</f>
        <v>0</v>
      </c>
      <c r="I157" s="7" t="n">
        <f aca="false">IF(D157=0,0,B157/D157)</f>
        <v>1</v>
      </c>
      <c r="J157" s="6" t="n">
        <f aca="false">E157*H157</f>
        <v>0</v>
      </c>
      <c r="K157" s="6" t="n">
        <f aca="false">E157*I157</f>
        <v>10350.15</v>
      </c>
      <c r="L157" s="6" t="n">
        <v>0</v>
      </c>
      <c r="M157" s="6" t="n">
        <v>10350.15</v>
      </c>
      <c r="N157" s="6"/>
      <c r="O157" s="6"/>
      <c r="P157" s="7"/>
      <c r="Q157" s="5" t="s">
        <v>26</v>
      </c>
      <c r="R157" s="5" t="s">
        <v>27</v>
      </c>
    </row>
    <row r="158" customFormat="false" ht="15" hidden="false" customHeight="true" outlineLevel="0" collapsed="false">
      <c r="A158" s="5" t="s">
        <v>182</v>
      </c>
      <c r="B158" s="6" t="n">
        <v>75287332.73</v>
      </c>
      <c r="C158" s="6" t="n">
        <v>0</v>
      </c>
      <c r="D158" s="6" t="n">
        <v>75287332.73</v>
      </c>
      <c r="E158" s="6" t="n">
        <v>27856.31</v>
      </c>
      <c r="F158" s="6" t="n">
        <v>0</v>
      </c>
      <c r="G158" s="6" t="n">
        <f aca="false">E158+F158</f>
        <v>27856.31</v>
      </c>
      <c r="H158" s="7" t="n">
        <f aca="false">IF(D158=0,0,C158/D158)</f>
        <v>0</v>
      </c>
      <c r="I158" s="7" t="n">
        <f aca="false">IF(D158=0,0,B158/D158)</f>
        <v>1</v>
      </c>
      <c r="J158" s="6" t="n">
        <f aca="false">E158*H158</f>
        <v>0</v>
      </c>
      <c r="K158" s="6" t="n">
        <f aca="false">E158*I158</f>
        <v>27856.31</v>
      </c>
      <c r="L158" s="6" t="n">
        <v>0</v>
      </c>
      <c r="M158" s="6" t="n">
        <v>27856.31</v>
      </c>
      <c r="N158" s="6"/>
      <c r="O158" s="6"/>
      <c r="P158" s="7"/>
      <c r="Q158" s="5" t="s">
        <v>26</v>
      </c>
      <c r="R158" s="5" t="s">
        <v>27</v>
      </c>
    </row>
    <row r="159" customFormat="false" ht="15" hidden="false" customHeight="true" outlineLevel="0" collapsed="false">
      <c r="A159" s="5" t="s">
        <v>183</v>
      </c>
      <c r="B159" s="6" t="n">
        <v>130936730.61</v>
      </c>
      <c r="C159" s="6" t="n">
        <v>0</v>
      </c>
      <c r="D159" s="6" t="n">
        <v>130936730.61</v>
      </c>
      <c r="E159" s="6" t="n">
        <v>48446.59</v>
      </c>
      <c r="F159" s="6" t="n">
        <v>0</v>
      </c>
      <c r="G159" s="6" t="n">
        <f aca="false">E159+F159</f>
        <v>48446.59</v>
      </c>
      <c r="H159" s="7" t="n">
        <f aca="false">IF(D159=0,0,C159/D159)</f>
        <v>0</v>
      </c>
      <c r="I159" s="7" t="n">
        <f aca="false">IF(D159=0,0,B159/D159)</f>
        <v>1</v>
      </c>
      <c r="J159" s="6" t="n">
        <f aca="false">E159*H159</f>
        <v>0</v>
      </c>
      <c r="K159" s="6" t="n">
        <f aca="false">E159*I159</f>
        <v>48446.59</v>
      </c>
      <c r="L159" s="6" t="n">
        <v>0</v>
      </c>
      <c r="M159" s="6" t="n">
        <v>48446.59</v>
      </c>
      <c r="N159" s="6"/>
      <c r="O159" s="6"/>
      <c r="P159" s="7"/>
      <c r="Q159" s="5" t="s">
        <v>26</v>
      </c>
      <c r="R159" s="5" t="s">
        <v>27</v>
      </c>
    </row>
    <row r="160" customFormat="false" ht="15" hidden="false" customHeight="true" outlineLevel="0" collapsed="false">
      <c r="A160" s="5" t="s">
        <v>184</v>
      </c>
      <c r="B160" s="6" t="n">
        <v>157037130.16</v>
      </c>
      <c r="C160" s="6" t="n">
        <v>0</v>
      </c>
      <c r="D160" s="6" t="n">
        <v>157037130.16</v>
      </c>
      <c r="E160" s="6" t="n">
        <v>58103.74</v>
      </c>
      <c r="F160" s="6" t="n">
        <v>0</v>
      </c>
      <c r="G160" s="6" t="n">
        <f aca="false">E160+F160</f>
        <v>58103.74</v>
      </c>
      <c r="H160" s="7" t="n">
        <f aca="false">IF(D160=0,0,C160/D160)</f>
        <v>0</v>
      </c>
      <c r="I160" s="7" t="n">
        <f aca="false">IF(D160=0,0,B160/D160)</f>
        <v>1</v>
      </c>
      <c r="J160" s="6" t="n">
        <f aca="false">E160*H160</f>
        <v>0</v>
      </c>
      <c r="K160" s="6" t="n">
        <f aca="false">E160*I160</f>
        <v>58103.74</v>
      </c>
      <c r="L160" s="6" t="n">
        <v>0</v>
      </c>
      <c r="M160" s="6" t="n">
        <v>58103.74</v>
      </c>
      <c r="N160" s="6"/>
      <c r="O160" s="6"/>
      <c r="P160" s="7"/>
      <c r="Q160" s="5" t="s">
        <v>26</v>
      </c>
      <c r="R160" s="5" t="s">
        <v>27</v>
      </c>
    </row>
    <row r="161" customFormat="false" ht="15" hidden="false" customHeight="true" outlineLevel="0" collapsed="false">
      <c r="A161" s="5" t="s">
        <v>185</v>
      </c>
      <c r="B161" s="6" t="n">
        <v>170840222.11</v>
      </c>
      <c r="C161" s="6" t="n">
        <v>0</v>
      </c>
      <c r="D161" s="6" t="n">
        <v>170840222.11</v>
      </c>
      <c r="E161" s="6" t="n">
        <v>63210.88</v>
      </c>
      <c r="F161" s="6" t="n">
        <v>0</v>
      </c>
      <c r="G161" s="6" t="n">
        <f aca="false">E161+F161</f>
        <v>63210.88</v>
      </c>
      <c r="H161" s="7" t="n">
        <f aca="false">IF(D161=0,0,C161/D161)</f>
        <v>0</v>
      </c>
      <c r="I161" s="7" t="n">
        <f aca="false">IF(D161=0,0,B161/D161)</f>
        <v>1</v>
      </c>
      <c r="J161" s="6" t="n">
        <f aca="false">E161*H161</f>
        <v>0</v>
      </c>
      <c r="K161" s="6" t="n">
        <f aca="false">E161*I161</f>
        <v>63210.88</v>
      </c>
      <c r="L161" s="6" t="n">
        <v>0</v>
      </c>
      <c r="M161" s="6" t="n">
        <v>63210.88</v>
      </c>
      <c r="N161" s="6"/>
      <c r="O161" s="6"/>
      <c r="P161" s="7"/>
      <c r="Q161" s="5" t="s">
        <v>26</v>
      </c>
      <c r="R161" s="5" t="s">
        <v>27</v>
      </c>
    </row>
    <row r="162" customFormat="false" ht="15" hidden="false" customHeight="true" outlineLevel="0" collapsed="false">
      <c r="A162" s="5" t="s">
        <v>186</v>
      </c>
      <c r="B162" s="6" t="n">
        <v>154743720.37</v>
      </c>
      <c r="C162" s="6" t="n">
        <v>0</v>
      </c>
      <c r="D162" s="6" t="n">
        <v>154743720.37</v>
      </c>
      <c r="E162" s="6" t="n">
        <v>57255.18</v>
      </c>
      <c r="F162" s="6" t="n">
        <v>0</v>
      </c>
      <c r="G162" s="6" t="n">
        <f aca="false">E162+F162</f>
        <v>57255.18</v>
      </c>
      <c r="H162" s="7" t="n">
        <f aca="false">IF(D162=0,0,C162/D162)</f>
        <v>0</v>
      </c>
      <c r="I162" s="7" t="n">
        <f aca="false">IF(D162=0,0,B162/D162)</f>
        <v>1</v>
      </c>
      <c r="J162" s="6" t="n">
        <f aca="false">E162*H162</f>
        <v>0</v>
      </c>
      <c r="K162" s="6" t="n">
        <f aca="false">E162*I162</f>
        <v>57255.18</v>
      </c>
      <c r="L162" s="6" t="n">
        <v>0</v>
      </c>
      <c r="M162" s="6" t="n">
        <v>57255.18</v>
      </c>
      <c r="N162" s="6"/>
      <c r="O162" s="6"/>
      <c r="P162" s="7"/>
      <c r="Q162" s="5" t="s">
        <v>26</v>
      </c>
      <c r="R162" s="5" t="s">
        <v>27</v>
      </c>
    </row>
    <row r="163" customFormat="false" ht="15" hidden="false" customHeight="true" outlineLevel="0" collapsed="false">
      <c r="A163" s="5" t="s">
        <v>187</v>
      </c>
      <c r="B163" s="6" t="n">
        <v>121159075.14</v>
      </c>
      <c r="C163" s="6" t="n">
        <v>0</v>
      </c>
      <c r="D163" s="6" t="n">
        <v>121159075.14</v>
      </c>
      <c r="E163" s="6" t="n">
        <v>44828.86</v>
      </c>
      <c r="F163" s="6" t="n">
        <v>0</v>
      </c>
      <c r="G163" s="6" t="n">
        <f aca="false">E163+F163</f>
        <v>44828.86</v>
      </c>
      <c r="H163" s="7" t="n">
        <f aca="false">IF(D163=0,0,C163/D163)</f>
        <v>0</v>
      </c>
      <c r="I163" s="7" t="n">
        <f aca="false">IF(D163=0,0,B163/D163)</f>
        <v>1</v>
      </c>
      <c r="J163" s="6" t="n">
        <f aca="false">E163*H163</f>
        <v>0</v>
      </c>
      <c r="K163" s="6" t="n">
        <f aca="false">E163*I163</f>
        <v>44828.86</v>
      </c>
      <c r="L163" s="6" t="n">
        <v>0</v>
      </c>
      <c r="M163" s="6" t="n">
        <v>44828.86</v>
      </c>
      <c r="N163" s="6"/>
      <c r="O163" s="6"/>
      <c r="P163" s="7"/>
      <c r="Q163" s="5" t="s">
        <v>26</v>
      </c>
      <c r="R163" s="5" t="s">
        <v>27</v>
      </c>
    </row>
    <row r="164" customFormat="false" ht="15" hidden="false" customHeight="true" outlineLevel="0" collapsed="false">
      <c r="A164" s="5" t="s">
        <v>188</v>
      </c>
      <c r="B164" s="6" t="n">
        <v>50015398.48</v>
      </c>
      <c r="C164" s="6" t="n">
        <v>0</v>
      </c>
      <c r="D164" s="6" t="n">
        <v>50015398.48</v>
      </c>
      <c r="E164" s="6" t="n">
        <v>18505.7</v>
      </c>
      <c r="F164" s="6" t="n">
        <v>0</v>
      </c>
      <c r="G164" s="6" t="n">
        <f aca="false">E164+F164</f>
        <v>18505.7</v>
      </c>
      <c r="H164" s="7" t="n">
        <f aca="false">IF(D164=0,0,C164/D164)</f>
        <v>0</v>
      </c>
      <c r="I164" s="7" t="n">
        <f aca="false">IF(D164=0,0,B164/D164)</f>
        <v>1</v>
      </c>
      <c r="J164" s="6" t="n">
        <f aca="false">E164*H164</f>
        <v>0</v>
      </c>
      <c r="K164" s="6" t="n">
        <f aca="false">E164*I164</f>
        <v>18505.7</v>
      </c>
      <c r="L164" s="6" t="n">
        <v>0</v>
      </c>
      <c r="M164" s="6" t="n">
        <v>18505.7</v>
      </c>
      <c r="N164" s="6"/>
      <c r="O164" s="6"/>
      <c r="P164" s="7"/>
      <c r="Q164" s="5" t="s">
        <v>26</v>
      </c>
      <c r="R164" s="5" t="s">
        <v>27</v>
      </c>
    </row>
    <row r="165" customFormat="false" ht="15" hidden="false" customHeight="true" outlineLevel="0" collapsed="false">
      <c r="A165" s="5" t="s">
        <v>189</v>
      </c>
      <c r="B165" s="6" t="n">
        <v>50192102.47</v>
      </c>
      <c r="C165" s="6" t="n">
        <v>0</v>
      </c>
      <c r="D165" s="6" t="n">
        <v>50192102.47</v>
      </c>
      <c r="E165" s="6" t="n">
        <v>18571.08</v>
      </c>
      <c r="F165" s="6" t="n">
        <v>0</v>
      </c>
      <c r="G165" s="6" t="n">
        <f aca="false">E165+F165</f>
        <v>18571.08</v>
      </c>
      <c r="H165" s="7" t="n">
        <f aca="false">IF(D165=0,0,C165/D165)</f>
        <v>0</v>
      </c>
      <c r="I165" s="7" t="n">
        <f aca="false">IF(D165=0,0,B165/D165)</f>
        <v>1</v>
      </c>
      <c r="J165" s="6" t="n">
        <f aca="false">E165*H165</f>
        <v>0</v>
      </c>
      <c r="K165" s="6" t="n">
        <f aca="false">E165*I165</f>
        <v>18571.08</v>
      </c>
      <c r="L165" s="6" t="n">
        <v>0</v>
      </c>
      <c r="M165" s="6" t="n">
        <v>18571.08</v>
      </c>
      <c r="N165" s="6"/>
      <c r="O165" s="6"/>
      <c r="P165" s="7"/>
      <c r="Q165" s="5" t="s">
        <v>26</v>
      </c>
      <c r="R165" s="5" t="s">
        <v>27</v>
      </c>
    </row>
    <row r="166" customFormat="false" ht="15" hidden="false" customHeight="true" outlineLevel="0" collapsed="false">
      <c r="A166" s="5" t="s">
        <v>190</v>
      </c>
      <c r="B166" s="6" t="n">
        <v>72297328.93</v>
      </c>
      <c r="C166" s="6" t="n">
        <v>0</v>
      </c>
      <c r="D166" s="6" t="n">
        <v>72297328.93</v>
      </c>
      <c r="E166" s="6" t="n">
        <v>26750.01</v>
      </c>
      <c r="F166" s="6" t="n">
        <v>0</v>
      </c>
      <c r="G166" s="6" t="n">
        <f aca="false">E166+F166</f>
        <v>26750.01</v>
      </c>
      <c r="H166" s="7" t="n">
        <f aca="false">IF(D166=0,0,C166/D166)</f>
        <v>0</v>
      </c>
      <c r="I166" s="7" t="n">
        <f aca="false">IF(D166=0,0,B166/D166)</f>
        <v>1</v>
      </c>
      <c r="J166" s="6" t="n">
        <f aca="false">E166*H166</f>
        <v>0</v>
      </c>
      <c r="K166" s="6" t="n">
        <f aca="false">E166*I166</f>
        <v>26750.01</v>
      </c>
      <c r="L166" s="6" t="n">
        <v>0</v>
      </c>
      <c r="M166" s="6" t="n">
        <v>26750.01</v>
      </c>
      <c r="N166" s="6"/>
      <c r="O166" s="6"/>
      <c r="P166" s="7"/>
      <c r="Q166" s="5" t="s">
        <v>26</v>
      </c>
      <c r="R166" s="5" t="s">
        <v>27</v>
      </c>
    </row>
    <row r="167" customFormat="false" ht="15" hidden="false" customHeight="true" outlineLevel="0" collapsed="false">
      <c r="A167" s="5" t="s">
        <v>191</v>
      </c>
      <c r="B167" s="6" t="n">
        <v>87393596.91</v>
      </c>
      <c r="C167" s="6" t="n">
        <v>0</v>
      </c>
      <c r="D167" s="6" t="n">
        <v>87393596.91</v>
      </c>
      <c r="E167" s="6" t="n">
        <v>32335.63</v>
      </c>
      <c r="F167" s="6" t="n">
        <v>0</v>
      </c>
      <c r="G167" s="6" t="n">
        <f aca="false">E167+F167</f>
        <v>32335.63</v>
      </c>
      <c r="H167" s="7" t="n">
        <f aca="false">IF(D167=0,0,C167/D167)</f>
        <v>0</v>
      </c>
      <c r="I167" s="7" t="n">
        <f aca="false">IF(D167=0,0,B167/D167)</f>
        <v>1</v>
      </c>
      <c r="J167" s="6" t="n">
        <f aca="false">E167*H167</f>
        <v>0</v>
      </c>
      <c r="K167" s="6" t="n">
        <f aca="false">E167*I167</f>
        <v>32335.63</v>
      </c>
      <c r="L167" s="6" t="n">
        <v>0</v>
      </c>
      <c r="M167" s="6" t="n">
        <v>32335.63</v>
      </c>
      <c r="N167" s="6"/>
      <c r="O167" s="6"/>
      <c r="P167" s="7"/>
      <c r="Q167" s="5" t="s">
        <v>26</v>
      </c>
      <c r="R167" s="5" t="s">
        <v>27</v>
      </c>
    </row>
    <row r="168" customFormat="false" ht="15" hidden="false" customHeight="true" outlineLevel="0" collapsed="false">
      <c r="A168" s="5" t="s">
        <v>192</v>
      </c>
      <c r="B168" s="6" t="n">
        <v>99978310.46</v>
      </c>
      <c r="C168" s="6" t="n">
        <v>0</v>
      </c>
      <c r="D168" s="6" t="n">
        <v>99978310.46</v>
      </c>
      <c r="E168" s="6" t="n">
        <v>36991.97</v>
      </c>
      <c r="F168" s="6" t="n">
        <v>0</v>
      </c>
      <c r="G168" s="6" t="n">
        <f aca="false">E168+F168</f>
        <v>36991.97</v>
      </c>
      <c r="H168" s="7" t="n">
        <f aca="false">IF(D168=0,0,C168/D168)</f>
        <v>0</v>
      </c>
      <c r="I168" s="7" t="n">
        <f aca="false">IF(D168=0,0,B168/D168)</f>
        <v>1</v>
      </c>
      <c r="J168" s="6" t="n">
        <f aca="false">E168*H168</f>
        <v>0</v>
      </c>
      <c r="K168" s="6" t="n">
        <f aca="false">E168*I168</f>
        <v>36991.97</v>
      </c>
      <c r="L168" s="6" t="n">
        <v>0</v>
      </c>
      <c r="M168" s="6" t="n">
        <v>36991.97</v>
      </c>
      <c r="N168" s="6"/>
      <c r="O168" s="6"/>
      <c r="P168" s="7"/>
      <c r="Q168" s="5" t="s">
        <v>26</v>
      </c>
      <c r="R168" s="5" t="s">
        <v>27</v>
      </c>
    </row>
    <row r="169" customFormat="false" ht="15" hidden="false" customHeight="true" outlineLevel="0" collapsed="false">
      <c r="A169" s="5" t="s">
        <v>193</v>
      </c>
      <c r="B169" s="6" t="n">
        <v>135396059.23</v>
      </c>
      <c r="C169" s="6" t="n">
        <v>0</v>
      </c>
      <c r="D169" s="6" t="n">
        <v>135396059.23</v>
      </c>
      <c r="E169" s="6" t="n">
        <v>50096.54</v>
      </c>
      <c r="F169" s="6" t="n">
        <v>0</v>
      </c>
      <c r="G169" s="6" t="n">
        <f aca="false">E169+F169</f>
        <v>50096.54</v>
      </c>
      <c r="H169" s="7" t="n">
        <f aca="false">IF(D169=0,0,C169/D169)</f>
        <v>0</v>
      </c>
      <c r="I169" s="7" t="n">
        <f aca="false">IF(D169=0,0,B169/D169)</f>
        <v>1</v>
      </c>
      <c r="J169" s="6" t="n">
        <f aca="false">E169*H169</f>
        <v>0</v>
      </c>
      <c r="K169" s="6" t="n">
        <f aca="false">E169*I169</f>
        <v>50096.54</v>
      </c>
      <c r="L169" s="6" t="n">
        <v>0</v>
      </c>
      <c r="M169" s="6" t="n">
        <v>50096.54</v>
      </c>
      <c r="N169" s="6"/>
      <c r="O169" s="6"/>
      <c r="P169" s="7"/>
      <c r="Q169" s="5" t="s">
        <v>26</v>
      </c>
      <c r="R169" s="5" t="s">
        <v>27</v>
      </c>
    </row>
    <row r="170" customFormat="false" ht="15" hidden="false" customHeight="true" outlineLevel="0" collapsed="false">
      <c r="A170" s="5" t="s">
        <v>194</v>
      </c>
      <c r="B170" s="6" t="n">
        <v>66130813.72</v>
      </c>
      <c r="C170" s="6" t="n">
        <v>0</v>
      </c>
      <c r="D170" s="6" t="n">
        <v>66130813.72</v>
      </c>
      <c r="E170" s="6" t="n">
        <v>24468.4</v>
      </c>
      <c r="F170" s="6" t="n">
        <v>0</v>
      </c>
      <c r="G170" s="6" t="n">
        <f aca="false">E170+F170</f>
        <v>24468.4</v>
      </c>
      <c r="H170" s="7" t="n">
        <f aca="false">IF(D170=0,0,C170/D170)</f>
        <v>0</v>
      </c>
      <c r="I170" s="7" t="n">
        <f aca="false">IF(D170=0,0,B170/D170)</f>
        <v>1</v>
      </c>
      <c r="J170" s="6" t="n">
        <f aca="false">E170*H170</f>
        <v>0</v>
      </c>
      <c r="K170" s="6" t="n">
        <f aca="false">E170*I170</f>
        <v>24468.4</v>
      </c>
      <c r="L170" s="6" t="n">
        <v>0</v>
      </c>
      <c r="M170" s="6" t="n">
        <v>24468.4</v>
      </c>
      <c r="N170" s="6"/>
      <c r="O170" s="6"/>
      <c r="P170" s="7"/>
      <c r="Q170" s="5" t="s">
        <v>26</v>
      </c>
      <c r="R170" s="5" t="s">
        <v>27</v>
      </c>
    </row>
    <row r="171" customFormat="false" ht="15" hidden="false" customHeight="true" outlineLevel="0" collapsed="false">
      <c r="A171" s="5" t="s">
        <v>195</v>
      </c>
      <c r="B171" s="6" t="n">
        <v>58679128.2</v>
      </c>
      <c r="C171" s="6" t="n">
        <v>0</v>
      </c>
      <c r="D171" s="6" t="n">
        <v>58679128.2</v>
      </c>
      <c r="E171" s="6" t="n">
        <v>21711.28</v>
      </c>
      <c r="F171" s="6" t="n">
        <v>0</v>
      </c>
      <c r="G171" s="6" t="n">
        <f aca="false">E171+F171</f>
        <v>21711.28</v>
      </c>
      <c r="H171" s="7" t="n">
        <f aca="false">IF(D171=0,0,C171/D171)</f>
        <v>0</v>
      </c>
      <c r="I171" s="7" t="n">
        <f aca="false">IF(D171=0,0,B171/D171)</f>
        <v>1</v>
      </c>
      <c r="J171" s="6" t="n">
        <f aca="false">E171*H171</f>
        <v>0</v>
      </c>
      <c r="K171" s="6" t="n">
        <f aca="false">E171*I171</f>
        <v>21711.28</v>
      </c>
      <c r="L171" s="6" t="n">
        <v>0</v>
      </c>
      <c r="M171" s="6" t="n">
        <v>21711.28</v>
      </c>
      <c r="N171" s="6"/>
      <c r="O171" s="6"/>
      <c r="P171" s="7"/>
      <c r="Q171" s="5" t="s">
        <v>26</v>
      </c>
      <c r="R171" s="5" t="s">
        <v>27</v>
      </c>
    </row>
    <row r="172" customFormat="false" ht="15" hidden="false" customHeight="true" outlineLevel="0" collapsed="false">
      <c r="A172" s="5" t="s">
        <v>196</v>
      </c>
      <c r="B172" s="6" t="n">
        <v>73028784.15</v>
      </c>
      <c r="C172" s="6" t="n">
        <v>0</v>
      </c>
      <c r="D172" s="6" t="n">
        <v>73028784.15</v>
      </c>
      <c r="E172" s="6" t="n">
        <v>27020.65</v>
      </c>
      <c r="F172" s="6" t="n">
        <v>0</v>
      </c>
      <c r="G172" s="6" t="n">
        <f aca="false">E172+F172</f>
        <v>27020.65</v>
      </c>
      <c r="H172" s="7" t="n">
        <f aca="false">IF(D172=0,0,C172/D172)</f>
        <v>0</v>
      </c>
      <c r="I172" s="7" t="n">
        <f aca="false">IF(D172=0,0,B172/D172)</f>
        <v>1</v>
      </c>
      <c r="J172" s="6" t="n">
        <f aca="false">E172*H172</f>
        <v>0</v>
      </c>
      <c r="K172" s="6" t="n">
        <f aca="false">E172*I172</f>
        <v>27020.65</v>
      </c>
      <c r="L172" s="6" t="n">
        <v>0</v>
      </c>
      <c r="M172" s="6" t="n">
        <v>27020.65</v>
      </c>
      <c r="N172" s="6"/>
      <c r="O172" s="6"/>
      <c r="P172" s="7"/>
      <c r="Q172" s="5" t="s">
        <v>26</v>
      </c>
      <c r="R172" s="5" t="s">
        <v>27</v>
      </c>
    </row>
    <row r="173" customFormat="false" ht="15" hidden="false" customHeight="true" outlineLevel="0" collapsed="false">
      <c r="A173" s="5" t="s">
        <v>197</v>
      </c>
      <c r="B173" s="6" t="n">
        <v>188389375.7</v>
      </c>
      <c r="C173" s="6" t="n">
        <v>0</v>
      </c>
      <c r="D173" s="6" t="n">
        <v>188389375.7</v>
      </c>
      <c r="E173" s="6" t="n">
        <v>69704.07</v>
      </c>
      <c r="F173" s="6" t="n">
        <v>0</v>
      </c>
      <c r="G173" s="6" t="n">
        <f aca="false">E173+F173</f>
        <v>69704.07</v>
      </c>
      <c r="H173" s="7" t="n">
        <f aca="false">IF(D173=0,0,C173/D173)</f>
        <v>0</v>
      </c>
      <c r="I173" s="7" t="n">
        <f aca="false">IF(D173=0,0,B173/D173)</f>
        <v>1</v>
      </c>
      <c r="J173" s="6" t="n">
        <f aca="false">E173*H173</f>
        <v>0</v>
      </c>
      <c r="K173" s="6" t="n">
        <f aca="false">E173*I173</f>
        <v>69704.07</v>
      </c>
      <c r="L173" s="6" t="n">
        <v>0</v>
      </c>
      <c r="M173" s="6" t="n">
        <v>69704.07</v>
      </c>
      <c r="N173" s="6"/>
      <c r="O173" s="6"/>
      <c r="P173" s="7"/>
      <c r="Q173" s="5" t="s">
        <v>26</v>
      </c>
      <c r="R173" s="5" t="s">
        <v>27</v>
      </c>
    </row>
    <row r="174" customFormat="false" ht="15" hidden="false" customHeight="true" outlineLevel="0" collapsed="false">
      <c r="A174" s="5" t="s">
        <v>198</v>
      </c>
      <c r="B174" s="6" t="n">
        <v>160375586.47</v>
      </c>
      <c r="C174" s="6" t="n">
        <v>0</v>
      </c>
      <c r="D174" s="6" t="n">
        <v>160375586.47</v>
      </c>
      <c r="E174" s="6" t="n">
        <v>59338.97</v>
      </c>
      <c r="F174" s="6" t="n">
        <v>0</v>
      </c>
      <c r="G174" s="6" t="n">
        <f aca="false">E174+F174</f>
        <v>59338.97</v>
      </c>
      <c r="H174" s="7" t="n">
        <f aca="false">IF(D174=0,0,C174/D174)</f>
        <v>0</v>
      </c>
      <c r="I174" s="7" t="n">
        <f aca="false">IF(D174=0,0,B174/D174)</f>
        <v>1</v>
      </c>
      <c r="J174" s="6" t="n">
        <f aca="false">E174*H174</f>
        <v>0</v>
      </c>
      <c r="K174" s="6" t="n">
        <f aca="false">E174*I174</f>
        <v>59338.97</v>
      </c>
      <c r="L174" s="6" t="n">
        <v>0</v>
      </c>
      <c r="M174" s="6" t="n">
        <v>59338.97</v>
      </c>
      <c r="N174" s="6"/>
      <c r="O174" s="6"/>
      <c r="P174" s="7"/>
      <c r="Q174" s="5" t="s">
        <v>26</v>
      </c>
      <c r="R174" s="5" t="s">
        <v>27</v>
      </c>
    </row>
    <row r="175" customFormat="false" ht="15" hidden="false" customHeight="true" outlineLevel="0" collapsed="false">
      <c r="A175" s="5" t="s">
        <v>199</v>
      </c>
      <c r="B175" s="6" t="n">
        <v>98034531.27</v>
      </c>
      <c r="C175" s="6" t="n">
        <v>0</v>
      </c>
      <c r="D175" s="6" t="n">
        <v>98034531.27</v>
      </c>
      <c r="E175" s="6" t="n">
        <v>36272.78</v>
      </c>
      <c r="F175" s="6" t="n">
        <v>0</v>
      </c>
      <c r="G175" s="6" t="n">
        <f aca="false">E175+F175</f>
        <v>36272.78</v>
      </c>
      <c r="H175" s="7" t="n">
        <f aca="false">IF(D175=0,0,C175/D175)</f>
        <v>0</v>
      </c>
      <c r="I175" s="7" t="n">
        <f aca="false">IF(D175=0,0,B175/D175)</f>
        <v>1</v>
      </c>
      <c r="J175" s="6" t="n">
        <f aca="false">E175*H175</f>
        <v>0</v>
      </c>
      <c r="K175" s="6" t="n">
        <f aca="false">E175*I175</f>
        <v>36272.78</v>
      </c>
      <c r="L175" s="6" t="n">
        <v>0</v>
      </c>
      <c r="M175" s="6" t="n">
        <v>36272.78</v>
      </c>
      <c r="N175" s="6"/>
      <c r="O175" s="6"/>
      <c r="P175" s="7"/>
      <c r="Q175" s="5" t="s">
        <v>26</v>
      </c>
      <c r="R175" s="5" t="s">
        <v>27</v>
      </c>
    </row>
    <row r="176" customFormat="false" ht="15" hidden="false" customHeight="true" outlineLevel="0" collapsed="false">
      <c r="A176" s="5" t="s">
        <v>200</v>
      </c>
      <c r="B176" s="6" t="n">
        <v>237343596.52</v>
      </c>
      <c r="C176" s="6" t="n">
        <v>0</v>
      </c>
      <c r="D176" s="6" t="n">
        <v>237343596.52</v>
      </c>
      <c r="E176" s="6" t="n">
        <v>87817.13</v>
      </c>
      <c r="F176" s="6" t="n">
        <v>0</v>
      </c>
      <c r="G176" s="6" t="n">
        <f aca="false">E176+F176</f>
        <v>87817.13</v>
      </c>
      <c r="H176" s="7" t="n">
        <f aca="false">IF(D176=0,0,C176/D176)</f>
        <v>0</v>
      </c>
      <c r="I176" s="7" t="n">
        <f aca="false">IF(D176=0,0,B176/D176)</f>
        <v>1</v>
      </c>
      <c r="J176" s="6" t="n">
        <f aca="false">E176*H176</f>
        <v>0</v>
      </c>
      <c r="K176" s="6" t="n">
        <f aca="false">E176*I176</f>
        <v>87817.13</v>
      </c>
      <c r="L176" s="6" t="n">
        <v>0</v>
      </c>
      <c r="M176" s="6" t="n">
        <v>87817.13</v>
      </c>
      <c r="N176" s="6"/>
      <c r="O176" s="6"/>
      <c r="P176" s="7"/>
      <c r="Q176" s="5" t="s">
        <v>26</v>
      </c>
      <c r="R176" s="5" t="s">
        <v>27</v>
      </c>
    </row>
    <row r="177" customFormat="false" ht="15" hidden="false" customHeight="true" outlineLevel="0" collapsed="false">
      <c r="A177" s="5" t="s">
        <v>201</v>
      </c>
      <c r="B177" s="6" t="n">
        <v>128304145.64</v>
      </c>
      <c r="C177" s="6" t="n">
        <v>0</v>
      </c>
      <c r="D177" s="6" t="n">
        <v>128304145.64</v>
      </c>
      <c r="E177" s="6" t="n">
        <v>47472.53</v>
      </c>
      <c r="F177" s="6" t="n">
        <v>0</v>
      </c>
      <c r="G177" s="6" t="n">
        <f aca="false">E177+F177</f>
        <v>47472.53</v>
      </c>
      <c r="H177" s="7" t="n">
        <f aca="false">IF(D177=0,0,C177/D177)</f>
        <v>0</v>
      </c>
      <c r="I177" s="7" t="n">
        <f aca="false">IF(D177=0,0,B177/D177)</f>
        <v>1</v>
      </c>
      <c r="J177" s="6" t="n">
        <f aca="false">E177*H177</f>
        <v>0</v>
      </c>
      <c r="K177" s="6" t="n">
        <f aca="false">E177*I177</f>
        <v>47472.53</v>
      </c>
      <c r="L177" s="6" t="n">
        <v>0</v>
      </c>
      <c r="M177" s="6" t="n">
        <v>47472.53</v>
      </c>
      <c r="N177" s="6"/>
      <c r="O177" s="6"/>
      <c r="P177" s="7"/>
      <c r="Q177" s="5" t="s">
        <v>26</v>
      </c>
      <c r="R177" s="5" t="s">
        <v>27</v>
      </c>
    </row>
    <row r="178" customFormat="false" ht="15" hidden="false" customHeight="true" outlineLevel="0" collapsed="false">
      <c r="A178" s="5" t="s">
        <v>202</v>
      </c>
      <c r="B178" s="6" t="n">
        <v>125205713.01</v>
      </c>
      <c r="C178" s="6" t="n">
        <v>0</v>
      </c>
      <c r="D178" s="6" t="n">
        <v>125205713.01</v>
      </c>
      <c r="E178" s="6" t="n">
        <v>46326.11</v>
      </c>
      <c r="F178" s="6" t="n">
        <v>0</v>
      </c>
      <c r="G178" s="6" t="n">
        <f aca="false">E178+F178</f>
        <v>46326.11</v>
      </c>
      <c r="H178" s="7" t="n">
        <f aca="false">IF(D178=0,0,C178/D178)</f>
        <v>0</v>
      </c>
      <c r="I178" s="7" t="n">
        <f aca="false">IF(D178=0,0,B178/D178)</f>
        <v>1</v>
      </c>
      <c r="J178" s="6" t="n">
        <f aca="false">E178*H178</f>
        <v>0</v>
      </c>
      <c r="K178" s="6" t="n">
        <f aca="false">E178*I178</f>
        <v>46326.11</v>
      </c>
      <c r="L178" s="6" t="n">
        <v>0</v>
      </c>
      <c r="M178" s="6" t="n">
        <v>46326.11</v>
      </c>
      <c r="N178" s="6"/>
      <c r="O178" s="6"/>
      <c r="P178" s="7"/>
      <c r="Q178" s="5" t="s">
        <v>26</v>
      </c>
      <c r="R178" s="5" t="s">
        <v>27</v>
      </c>
    </row>
    <row r="179" customFormat="false" ht="15" hidden="false" customHeight="true" outlineLevel="0" collapsed="false">
      <c r="A179" s="5" t="s">
        <v>203</v>
      </c>
      <c r="B179" s="6" t="n">
        <v>121572456.93</v>
      </c>
      <c r="C179" s="6" t="n">
        <v>0</v>
      </c>
      <c r="D179" s="6" t="n">
        <v>121572456.93</v>
      </c>
      <c r="E179" s="6" t="n">
        <v>44981.81</v>
      </c>
      <c r="F179" s="6" t="n">
        <v>0</v>
      </c>
      <c r="G179" s="6" t="n">
        <f aca="false">E179+F179</f>
        <v>44981.81</v>
      </c>
      <c r="H179" s="7" t="n">
        <f aca="false">IF(D179=0,0,C179/D179)</f>
        <v>0</v>
      </c>
      <c r="I179" s="7" t="n">
        <f aca="false">IF(D179=0,0,B179/D179)</f>
        <v>1</v>
      </c>
      <c r="J179" s="6" t="n">
        <f aca="false">E179*H179</f>
        <v>0</v>
      </c>
      <c r="K179" s="6" t="n">
        <f aca="false">E179*I179</f>
        <v>44981.81</v>
      </c>
      <c r="L179" s="6" t="n">
        <v>0</v>
      </c>
      <c r="M179" s="6" t="n">
        <v>44981.81</v>
      </c>
      <c r="N179" s="6"/>
      <c r="O179" s="6"/>
      <c r="P179" s="7"/>
      <c r="Q179" s="5" t="s">
        <v>26</v>
      </c>
      <c r="R179" s="5" t="s">
        <v>27</v>
      </c>
    </row>
    <row r="180" customFormat="false" ht="15" hidden="false" customHeight="true" outlineLevel="0" collapsed="false">
      <c r="A180" s="5" t="s">
        <v>204</v>
      </c>
      <c r="B180" s="6" t="n">
        <v>141181255.41</v>
      </c>
      <c r="C180" s="6" t="n">
        <v>0</v>
      </c>
      <c r="D180" s="6" t="n">
        <v>141181255.41</v>
      </c>
      <c r="E180" s="6" t="n">
        <v>52237.06</v>
      </c>
      <c r="F180" s="6" t="n">
        <v>0</v>
      </c>
      <c r="G180" s="6" t="n">
        <f aca="false">E180+F180</f>
        <v>52237.06</v>
      </c>
      <c r="H180" s="7" t="n">
        <f aca="false">IF(D180=0,0,C180/D180)</f>
        <v>0</v>
      </c>
      <c r="I180" s="7" t="n">
        <f aca="false">IF(D180=0,0,B180/D180)</f>
        <v>1</v>
      </c>
      <c r="J180" s="6" t="n">
        <f aca="false">E180*H180</f>
        <v>0</v>
      </c>
      <c r="K180" s="6" t="n">
        <f aca="false">E180*I180</f>
        <v>52237.06</v>
      </c>
      <c r="L180" s="6" t="n">
        <v>0</v>
      </c>
      <c r="M180" s="6" t="n">
        <v>52237.06</v>
      </c>
      <c r="N180" s="6"/>
      <c r="O180" s="6"/>
      <c r="P180" s="7"/>
      <c r="Q180" s="5" t="s">
        <v>26</v>
      </c>
      <c r="R180" s="5" t="s">
        <v>27</v>
      </c>
    </row>
    <row r="181" customFormat="false" ht="15" hidden="false" customHeight="true" outlineLevel="0" collapsed="false">
      <c r="A181" s="5" t="s">
        <v>205</v>
      </c>
      <c r="B181" s="6" t="n">
        <v>124288568.77</v>
      </c>
      <c r="C181" s="6" t="n">
        <v>0</v>
      </c>
      <c r="D181" s="6" t="n">
        <v>124288568.77</v>
      </c>
      <c r="E181" s="6" t="n">
        <v>45986.77</v>
      </c>
      <c r="F181" s="6" t="n">
        <v>0</v>
      </c>
      <c r="G181" s="6" t="n">
        <f aca="false">E181+F181</f>
        <v>45986.77</v>
      </c>
      <c r="H181" s="7" t="n">
        <f aca="false">IF(D181=0,0,C181/D181)</f>
        <v>0</v>
      </c>
      <c r="I181" s="7" t="n">
        <f aca="false">IF(D181=0,0,B181/D181)</f>
        <v>1</v>
      </c>
      <c r="J181" s="6" t="n">
        <f aca="false">E181*H181</f>
        <v>0</v>
      </c>
      <c r="K181" s="6" t="n">
        <f aca="false">E181*I181</f>
        <v>45986.77</v>
      </c>
      <c r="L181" s="6" t="n">
        <v>0</v>
      </c>
      <c r="M181" s="6" t="n">
        <v>45986.77</v>
      </c>
      <c r="N181" s="6"/>
      <c r="O181" s="6"/>
      <c r="P181" s="7"/>
      <c r="Q181" s="5" t="s">
        <v>26</v>
      </c>
      <c r="R181" s="5" t="s">
        <v>27</v>
      </c>
    </row>
    <row r="182" customFormat="false" ht="15" hidden="false" customHeight="true" outlineLevel="0" collapsed="false">
      <c r="A182" s="5" t="s">
        <v>206</v>
      </c>
      <c r="B182" s="6" t="n">
        <v>117572100.37</v>
      </c>
      <c r="C182" s="6" t="n">
        <v>0</v>
      </c>
      <c r="D182" s="6" t="n">
        <v>117572100.37</v>
      </c>
      <c r="E182" s="6" t="n">
        <v>43501.68</v>
      </c>
      <c r="F182" s="6" t="n">
        <v>0</v>
      </c>
      <c r="G182" s="6" t="n">
        <f aca="false">E182+F182</f>
        <v>43501.68</v>
      </c>
      <c r="H182" s="7" t="n">
        <f aca="false">IF(D182=0,0,C182/D182)</f>
        <v>0</v>
      </c>
      <c r="I182" s="7" t="n">
        <f aca="false">IF(D182=0,0,B182/D182)</f>
        <v>1</v>
      </c>
      <c r="J182" s="6" t="n">
        <f aca="false">E182*H182</f>
        <v>0</v>
      </c>
      <c r="K182" s="6" t="n">
        <f aca="false">E182*I182</f>
        <v>43501.68</v>
      </c>
      <c r="L182" s="6" t="n">
        <v>0</v>
      </c>
      <c r="M182" s="6" t="n">
        <v>43501.68</v>
      </c>
      <c r="N182" s="6"/>
      <c r="O182" s="6"/>
      <c r="P182" s="7"/>
      <c r="Q182" s="5" t="s">
        <v>26</v>
      </c>
      <c r="R182" s="5" t="s">
        <v>27</v>
      </c>
    </row>
    <row r="183" customFormat="false" ht="15" hidden="false" customHeight="true" outlineLevel="0" collapsed="false">
      <c r="A183" s="5" t="s">
        <v>207</v>
      </c>
      <c r="B183" s="6" t="n">
        <v>161975986.77</v>
      </c>
      <c r="C183" s="6" t="n">
        <v>0</v>
      </c>
      <c r="D183" s="6" t="n">
        <v>161975986.77</v>
      </c>
      <c r="E183" s="6" t="n">
        <v>59931.12</v>
      </c>
      <c r="F183" s="6" t="n">
        <v>0</v>
      </c>
      <c r="G183" s="6" t="n">
        <f aca="false">E183+F183</f>
        <v>59931.12</v>
      </c>
      <c r="H183" s="7" t="n">
        <f aca="false">IF(D183=0,0,C183/D183)</f>
        <v>0</v>
      </c>
      <c r="I183" s="7" t="n">
        <f aca="false">IF(D183=0,0,B183/D183)</f>
        <v>1</v>
      </c>
      <c r="J183" s="6" t="n">
        <f aca="false">E183*H183</f>
        <v>0</v>
      </c>
      <c r="K183" s="6" t="n">
        <f aca="false">E183*I183</f>
        <v>59931.12</v>
      </c>
      <c r="L183" s="6" t="n">
        <v>0</v>
      </c>
      <c r="M183" s="6" t="n">
        <v>59931.12</v>
      </c>
      <c r="N183" s="6"/>
      <c r="O183" s="6"/>
      <c r="P183" s="7"/>
      <c r="Q183" s="5" t="s">
        <v>26</v>
      </c>
      <c r="R183" s="5" t="s">
        <v>27</v>
      </c>
    </row>
    <row r="184" customFormat="false" ht="15" hidden="false" customHeight="true" outlineLevel="0" collapsed="false">
      <c r="A184" s="5" t="s">
        <v>208</v>
      </c>
      <c r="B184" s="6" t="n">
        <v>128840816.35</v>
      </c>
      <c r="C184" s="6" t="n">
        <v>0</v>
      </c>
      <c r="D184" s="6" t="n">
        <v>128840816.35</v>
      </c>
      <c r="E184" s="6" t="n">
        <v>47671.1</v>
      </c>
      <c r="F184" s="6" t="n">
        <v>0</v>
      </c>
      <c r="G184" s="6" t="n">
        <f aca="false">E184+F184</f>
        <v>47671.1</v>
      </c>
      <c r="H184" s="7" t="n">
        <f aca="false">IF(D184=0,0,C184/D184)</f>
        <v>0</v>
      </c>
      <c r="I184" s="7" t="n">
        <f aca="false">IF(D184=0,0,B184/D184)</f>
        <v>1</v>
      </c>
      <c r="J184" s="6" t="n">
        <f aca="false">E184*H184</f>
        <v>0</v>
      </c>
      <c r="K184" s="6" t="n">
        <f aca="false">E184*I184</f>
        <v>47671.1</v>
      </c>
      <c r="L184" s="6" t="n">
        <v>0</v>
      </c>
      <c r="M184" s="6" t="n">
        <v>47671.1</v>
      </c>
      <c r="N184" s="6"/>
      <c r="O184" s="6"/>
      <c r="P184" s="7"/>
      <c r="Q184" s="5" t="s">
        <v>26</v>
      </c>
      <c r="R184" s="5" t="s">
        <v>27</v>
      </c>
    </row>
    <row r="185" customFormat="false" ht="15" hidden="false" customHeight="true" outlineLevel="0" collapsed="false">
      <c r="A185" s="5" t="s">
        <v>209</v>
      </c>
      <c r="B185" s="6" t="n">
        <v>74233353.58</v>
      </c>
      <c r="C185" s="6" t="n">
        <v>0</v>
      </c>
      <c r="D185" s="6" t="n">
        <v>74233353.58</v>
      </c>
      <c r="E185" s="6" t="n">
        <v>27466.34</v>
      </c>
      <c r="F185" s="6" t="n">
        <v>0</v>
      </c>
      <c r="G185" s="6" t="n">
        <f aca="false">E185+F185</f>
        <v>27466.34</v>
      </c>
      <c r="H185" s="7" t="n">
        <f aca="false">IF(D185=0,0,C185/D185)</f>
        <v>0</v>
      </c>
      <c r="I185" s="7" t="n">
        <f aca="false">IF(D185=0,0,B185/D185)</f>
        <v>1</v>
      </c>
      <c r="J185" s="6" t="n">
        <f aca="false">E185*H185</f>
        <v>0</v>
      </c>
      <c r="K185" s="6" t="n">
        <f aca="false">E185*I185</f>
        <v>27466.34</v>
      </c>
      <c r="L185" s="6" t="n">
        <v>0</v>
      </c>
      <c r="M185" s="6" t="n">
        <v>27466.34</v>
      </c>
      <c r="N185" s="6"/>
      <c r="O185" s="6"/>
      <c r="P185" s="7"/>
      <c r="Q185" s="5" t="s">
        <v>26</v>
      </c>
      <c r="R185" s="5" t="s">
        <v>27</v>
      </c>
    </row>
    <row r="186" customFormat="false" ht="15" hidden="false" customHeight="true" outlineLevel="0" collapsed="false">
      <c r="A186" s="5" t="s">
        <v>210</v>
      </c>
      <c r="B186" s="6" t="n">
        <v>78105064.1</v>
      </c>
      <c r="C186" s="6" t="n">
        <v>0</v>
      </c>
      <c r="D186" s="6" t="n">
        <v>78105064.1</v>
      </c>
      <c r="E186" s="6" t="n">
        <v>28898.87</v>
      </c>
      <c r="F186" s="6" t="n">
        <v>0</v>
      </c>
      <c r="G186" s="6" t="n">
        <f aca="false">E186+F186</f>
        <v>28898.87</v>
      </c>
      <c r="H186" s="7" t="n">
        <f aca="false">IF(D186=0,0,C186/D186)</f>
        <v>0</v>
      </c>
      <c r="I186" s="7" t="n">
        <f aca="false">IF(D186=0,0,B186/D186)</f>
        <v>1</v>
      </c>
      <c r="J186" s="6" t="n">
        <f aca="false">E186*H186</f>
        <v>0</v>
      </c>
      <c r="K186" s="6" t="n">
        <f aca="false">E186*I186</f>
        <v>28898.87</v>
      </c>
      <c r="L186" s="6" t="n">
        <v>0</v>
      </c>
      <c r="M186" s="6" t="n">
        <v>28898.87</v>
      </c>
      <c r="N186" s="6"/>
      <c r="O186" s="6"/>
      <c r="P186" s="7"/>
      <c r="Q186" s="5" t="s">
        <v>26</v>
      </c>
      <c r="R186" s="5" t="s">
        <v>27</v>
      </c>
    </row>
    <row r="187" customFormat="false" ht="15" hidden="false" customHeight="true" outlineLevel="0" collapsed="false">
      <c r="A187" s="5" t="s">
        <v>211</v>
      </c>
      <c r="B187" s="6" t="n">
        <v>139628651.28</v>
      </c>
      <c r="C187" s="6" t="n">
        <v>0</v>
      </c>
      <c r="D187" s="6" t="n">
        <v>139628651.28</v>
      </c>
      <c r="E187" s="6" t="n">
        <v>51662.6</v>
      </c>
      <c r="F187" s="6" t="n">
        <v>0</v>
      </c>
      <c r="G187" s="6" t="n">
        <f aca="false">E187+F187</f>
        <v>51662.6</v>
      </c>
      <c r="H187" s="7" t="n">
        <f aca="false">IF(D187=0,0,C187/D187)</f>
        <v>0</v>
      </c>
      <c r="I187" s="7" t="n">
        <f aca="false">IF(D187=0,0,B187/D187)</f>
        <v>1</v>
      </c>
      <c r="J187" s="6" t="n">
        <f aca="false">E187*H187</f>
        <v>0</v>
      </c>
      <c r="K187" s="6" t="n">
        <f aca="false">E187*I187</f>
        <v>51662.6</v>
      </c>
      <c r="L187" s="6" t="n">
        <v>0</v>
      </c>
      <c r="M187" s="6" t="n">
        <v>51662.6</v>
      </c>
      <c r="N187" s="6"/>
      <c r="O187" s="6"/>
      <c r="P187" s="7"/>
      <c r="Q187" s="5" t="s">
        <v>26</v>
      </c>
      <c r="R187" s="5" t="s">
        <v>27</v>
      </c>
    </row>
    <row r="188" customFormat="false" ht="15" hidden="false" customHeight="true" outlineLevel="0" collapsed="false">
      <c r="A188" s="5" t="s">
        <v>212</v>
      </c>
      <c r="B188" s="6" t="n">
        <v>431623690.97</v>
      </c>
      <c r="C188" s="6" t="n">
        <v>0</v>
      </c>
      <c r="D188" s="6" t="n">
        <v>431623690.97</v>
      </c>
      <c r="E188" s="6" t="n">
        <v>159700.77</v>
      </c>
      <c r="F188" s="6" t="n">
        <v>0</v>
      </c>
      <c r="G188" s="6" t="n">
        <f aca="false">E188+F188</f>
        <v>159700.77</v>
      </c>
      <c r="H188" s="7" t="n">
        <f aca="false">IF(D188=0,0,C188/D188)</f>
        <v>0</v>
      </c>
      <c r="I188" s="7" t="n">
        <f aca="false">IF(D188=0,0,B188/D188)</f>
        <v>1</v>
      </c>
      <c r="J188" s="6" t="n">
        <f aca="false">E188*H188</f>
        <v>0</v>
      </c>
      <c r="K188" s="6" t="n">
        <f aca="false">E188*I188</f>
        <v>159700.77</v>
      </c>
      <c r="L188" s="6" t="n">
        <v>0</v>
      </c>
      <c r="M188" s="6" t="n">
        <v>159700.77</v>
      </c>
      <c r="N188" s="6"/>
      <c r="O188" s="6"/>
      <c r="P188" s="7"/>
      <c r="Q188" s="5" t="s">
        <v>26</v>
      </c>
      <c r="R188" s="5" t="s">
        <v>27</v>
      </c>
    </row>
    <row r="189" customFormat="false" ht="15" hidden="false" customHeight="true" outlineLevel="0" collapsed="false">
      <c r="A189" s="5" t="s">
        <v>213</v>
      </c>
      <c r="B189" s="6" t="n">
        <v>137349475.57</v>
      </c>
      <c r="C189" s="6" t="n">
        <v>0</v>
      </c>
      <c r="D189" s="6" t="n">
        <v>137349475.57</v>
      </c>
      <c r="E189" s="6" t="n">
        <v>50819.31</v>
      </c>
      <c r="F189" s="6" t="n">
        <v>0</v>
      </c>
      <c r="G189" s="6" t="n">
        <f aca="false">E189+F189</f>
        <v>50819.31</v>
      </c>
      <c r="H189" s="7" t="n">
        <f aca="false">IF(D189=0,0,C189/D189)</f>
        <v>0</v>
      </c>
      <c r="I189" s="7" t="n">
        <f aca="false">IF(D189=0,0,B189/D189)</f>
        <v>1</v>
      </c>
      <c r="J189" s="6" t="n">
        <f aca="false">E189*H189</f>
        <v>0</v>
      </c>
      <c r="K189" s="6" t="n">
        <f aca="false">E189*I189</f>
        <v>50819.31</v>
      </c>
      <c r="L189" s="6" t="n">
        <v>0</v>
      </c>
      <c r="M189" s="6" t="n">
        <v>50819.31</v>
      </c>
      <c r="N189" s="6"/>
      <c r="O189" s="6"/>
      <c r="P189" s="7"/>
      <c r="Q189" s="5" t="s">
        <v>26</v>
      </c>
      <c r="R189" s="5" t="s">
        <v>27</v>
      </c>
    </row>
    <row r="190" customFormat="false" ht="15" hidden="false" customHeight="true" outlineLevel="0" collapsed="false">
      <c r="A190" s="5" t="s">
        <v>214</v>
      </c>
      <c r="B190" s="6" t="n">
        <v>96407516.61</v>
      </c>
      <c r="C190" s="6" t="n">
        <v>0</v>
      </c>
      <c r="D190" s="6" t="n">
        <v>96407516.61</v>
      </c>
      <c r="E190" s="6" t="n">
        <v>35670.78</v>
      </c>
      <c r="F190" s="6" t="n">
        <v>0</v>
      </c>
      <c r="G190" s="6" t="n">
        <f aca="false">E190+F190</f>
        <v>35670.78</v>
      </c>
      <c r="H190" s="7" t="n">
        <f aca="false">IF(D190=0,0,C190/D190)</f>
        <v>0</v>
      </c>
      <c r="I190" s="7" t="n">
        <f aca="false">IF(D190=0,0,B190/D190)</f>
        <v>1</v>
      </c>
      <c r="J190" s="6" t="n">
        <f aca="false">E190*H190</f>
        <v>0</v>
      </c>
      <c r="K190" s="6" t="n">
        <f aca="false">E190*I190</f>
        <v>35670.78</v>
      </c>
      <c r="L190" s="6" t="n">
        <v>0</v>
      </c>
      <c r="M190" s="6" t="n">
        <v>35670.78</v>
      </c>
      <c r="N190" s="6"/>
      <c r="O190" s="6"/>
      <c r="P190" s="7"/>
      <c r="Q190" s="5" t="s">
        <v>26</v>
      </c>
      <c r="R190" s="5" t="s">
        <v>27</v>
      </c>
    </row>
    <row r="191" customFormat="false" ht="15" hidden="false" customHeight="true" outlineLevel="0" collapsed="false">
      <c r="A191" s="5" t="s">
        <v>215</v>
      </c>
      <c r="B191" s="6" t="n">
        <v>132540165.71</v>
      </c>
      <c r="C191" s="6" t="n">
        <v>0</v>
      </c>
      <c r="D191" s="6" t="n">
        <v>132540165.71</v>
      </c>
      <c r="E191" s="6" t="n">
        <v>49039.86</v>
      </c>
      <c r="F191" s="6" t="n">
        <v>0</v>
      </c>
      <c r="G191" s="6" t="n">
        <f aca="false">E191+F191</f>
        <v>49039.86</v>
      </c>
      <c r="H191" s="7" t="n">
        <f aca="false">IF(D191=0,0,C191/D191)</f>
        <v>0</v>
      </c>
      <c r="I191" s="7" t="n">
        <f aca="false">IF(D191=0,0,B191/D191)</f>
        <v>1</v>
      </c>
      <c r="J191" s="6" t="n">
        <f aca="false">E191*H191</f>
        <v>0</v>
      </c>
      <c r="K191" s="6" t="n">
        <f aca="false">E191*I191</f>
        <v>49039.86</v>
      </c>
      <c r="L191" s="6" t="n">
        <v>0</v>
      </c>
      <c r="M191" s="6" t="n">
        <v>49039.86</v>
      </c>
      <c r="N191" s="6"/>
      <c r="O191" s="6"/>
      <c r="P191" s="7"/>
      <c r="Q191" s="5" t="s">
        <v>26</v>
      </c>
      <c r="R191" s="5" t="s">
        <v>27</v>
      </c>
    </row>
    <row r="192" customFormat="false" ht="15" hidden="false" customHeight="true" outlineLevel="0" collapsed="false">
      <c r="A192" s="5" t="s">
        <v>216</v>
      </c>
      <c r="B192" s="6" t="n">
        <v>83141660.8</v>
      </c>
      <c r="C192" s="6" t="n">
        <v>0</v>
      </c>
      <c r="D192" s="6" t="n">
        <v>83141660.8</v>
      </c>
      <c r="E192" s="6" t="n">
        <v>30762.41</v>
      </c>
      <c r="F192" s="6" t="n">
        <v>0</v>
      </c>
      <c r="G192" s="6" t="n">
        <f aca="false">E192+F192</f>
        <v>30762.41</v>
      </c>
      <c r="H192" s="7" t="n">
        <f aca="false">IF(D192=0,0,C192/D192)</f>
        <v>0</v>
      </c>
      <c r="I192" s="7" t="n">
        <f aca="false">IF(D192=0,0,B192/D192)</f>
        <v>1</v>
      </c>
      <c r="J192" s="6" t="n">
        <f aca="false">E192*H192</f>
        <v>0</v>
      </c>
      <c r="K192" s="6" t="n">
        <f aca="false">E192*I192</f>
        <v>30762.41</v>
      </c>
      <c r="L192" s="6" t="n">
        <v>0</v>
      </c>
      <c r="M192" s="6" t="n">
        <v>30762.41</v>
      </c>
      <c r="N192" s="6"/>
      <c r="O192" s="6"/>
      <c r="P192" s="7"/>
      <c r="Q192" s="5" t="s">
        <v>26</v>
      </c>
      <c r="R192" s="5" t="s">
        <v>27</v>
      </c>
    </row>
    <row r="193" customFormat="false" ht="15" hidden="false" customHeight="true" outlineLevel="0" collapsed="false">
      <c r="A193" s="5" t="s">
        <v>217</v>
      </c>
      <c r="B193" s="6" t="n">
        <v>129484428.04</v>
      </c>
      <c r="C193" s="6" t="n">
        <v>0</v>
      </c>
      <c r="D193" s="6" t="n">
        <v>129484428.04</v>
      </c>
      <c r="E193" s="6" t="n">
        <v>47909.24</v>
      </c>
      <c r="F193" s="6" t="n">
        <v>0</v>
      </c>
      <c r="G193" s="6" t="n">
        <f aca="false">E193+F193</f>
        <v>47909.24</v>
      </c>
      <c r="H193" s="7" t="n">
        <f aca="false">IF(D193=0,0,C193/D193)</f>
        <v>0</v>
      </c>
      <c r="I193" s="7" t="n">
        <f aca="false">IF(D193=0,0,B193/D193)</f>
        <v>1</v>
      </c>
      <c r="J193" s="6" t="n">
        <f aca="false">E193*H193</f>
        <v>0</v>
      </c>
      <c r="K193" s="6" t="n">
        <f aca="false">E193*I193</f>
        <v>47909.24</v>
      </c>
      <c r="L193" s="6" t="n">
        <v>0</v>
      </c>
      <c r="M193" s="6" t="n">
        <v>47909.24</v>
      </c>
      <c r="N193" s="6"/>
      <c r="O193" s="6"/>
      <c r="P193" s="7"/>
      <c r="Q193" s="5" t="s">
        <v>26</v>
      </c>
      <c r="R193" s="5" t="s">
        <v>27</v>
      </c>
    </row>
    <row r="194" customFormat="false" ht="15" hidden="false" customHeight="true" outlineLevel="0" collapsed="false">
      <c r="A194" s="5" t="s">
        <v>218</v>
      </c>
      <c r="B194" s="6" t="n">
        <v>126816249.5</v>
      </c>
      <c r="C194" s="6" t="n">
        <v>0</v>
      </c>
      <c r="D194" s="6" t="n">
        <v>126816249.5</v>
      </c>
      <c r="E194" s="6" t="n">
        <v>46922.01</v>
      </c>
      <c r="F194" s="6" t="n">
        <v>0</v>
      </c>
      <c r="G194" s="6" t="n">
        <f aca="false">E194+F194</f>
        <v>46922.01</v>
      </c>
      <c r="H194" s="7" t="n">
        <f aca="false">IF(D194=0,0,C194/D194)</f>
        <v>0</v>
      </c>
      <c r="I194" s="7" t="n">
        <f aca="false">IF(D194=0,0,B194/D194)</f>
        <v>1</v>
      </c>
      <c r="J194" s="6" t="n">
        <f aca="false">E194*H194</f>
        <v>0</v>
      </c>
      <c r="K194" s="6" t="n">
        <f aca="false">E194*I194</f>
        <v>46922.01</v>
      </c>
      <c r="L194" s="6" t="n">
        <v>0</v>
      </c>
      <c r="M194" s="6" t="n">
        <v>46922.01</v>
      </c>
      <c r="N194" s="6"/>
      <c r="O194" s="6"/>
      <c r="P194" s="7"/>
      <c r="Q194" s="5" t="s">
        <v>26</v>
      </c>
      <c r="R194" s="5" t="s">
        <v>27</v>
      </c>
    </row>
    <row r="195" customFormat="false" ht="15" hidden="false" customHeight="true" outlineLevel="0" collapsed="false">
      <c r="A195" s="5" t="s">
        <v>219</v>
      </c>
      <c r="B195" s="6" t="n">
        <v>130827558.27</v>
      </c>
      <c r="C195" s="6" t="n">
        <v>0</v>
      </c>
      <c r="D195" s="6" t="n">
        <v>130827558.27</v>
      </c>
      <c r="E195" s="6" t="n">
        <v>48406.2</v>
      </c>
      <c r="F195" s="6" t="n">
        <v>0</v>
      </c>
      <c r="G195" s="6" t="n">
        <f aca="false">E195+F195</f>
        <v>48406.2</v>
      </c>
      <c r="H195" s="7" t="n">
        <f aca="false">IF(D195=0,0,C195/D195)</f>
        <v>0</v>
      </c>
      <c r="I195" s="7" t="n">
        <f aca="false">IF(D195=0,0,B195/D195)</f>
        <v>1</v>
      </c>
      <c r="J195" s="6" t="n">
        <f aca="false">E195*H195</f>
        <v>0</v>
      </c>
      <c r="K195" s="6" t="n">
        <f aca="false">E195*I195</f>
        <v>48406.2</v>
      </c>
      <c r="L195" s="6" t="n">
        <v>0</v>
      </c>
      <c r="M195" s="6" t="n">
        <v>48406.2</v>
      </c>
      <c r="N195" s="6"/>
      <c r="O195" s="6"/>
      <c r="P195" s="7"/>
      <c r="Q195" s="5" t="s">
        <v>26</v>
      </c>
      <c r="R195" s="5" t="s">
        <v>27</v>
      </c>
    </row>
    <row r="196" customFormat="false" ht="15" hidden="false" customHeight="true" outlineLevel="0" collapsed="false">
      <c r="A196" s="5" t="s">
        <v>220</v>
      </c>
      <c r="B196" s="6" t="n">
        <v>114768775.52</v>
      </c>
      <c r="C196" s="6" t="n">
        <v>0</v>
      </c>
      <c r="D196" s="6" t="n">
        <v>114768775.52</v>
      </c>
      <c r="E196" s="6" t="n">
        <v>42464.45</v>
      </c>
      <c r="F196" s="6" t="n">
        <v>0</v>
      </c>
      <c r="G196" s="6" t="n">
        <f aca="false">E196+F196</f>
        <v>42464.45</v>
      </c>
      <c r="H196" s="7" t="n">
        <f aca="false">IF(D196=0,0,C196/D196)</f>
        <v>0</v>
      </c>
      <c r="I196" s="7" t="n">
        <f aca="false">IF(D196=0,0,B196/D196)</f>
        <v>1</v>
      </c>
      <c r="J196" s="6" t="n">
        <f aca="false">E196*H196</f>
        <v>0</v>
      </c>
      <c r="K196" s="6" t="n">
        <f aca="false">E196*I196</f>
        <v>42464.45</v>
      </c>
      <c r="L196" s="6" t="n">
        <v>0</v>
      </c>
      <c r="M196" s="6" t="n">
        <v>42464.45</v>
      </c>
      <c r="N196" s="6"/>
      <c r="O196" s="6"/>
      <c r="P196" s="7"/>
      <c r="Q196" s="5" t="s">
        <v>26</v>
      </c>
      <c r="R196" s="5" t="s">
        <v>27</v>
      </c>
    </row>
    <row r="197" customFormat="false" ht="15" hidden="false" customHeight="true" outlineLevel="0" collapsed="false">
      <c r="A197" s="5" t="s">
        <v>221</v>
      </c>
      <c r="B197" s="6" t="n">
        <v>106269237.57</v>
      </c>
      <c r="C197" s="6" t="n">
        <v>0</v>
      </c>
      <c r="D197" s="6" t="n">
        <v>106269237.57</v>
      </c>
      <c r="E197" s="6" t="n">
        <v>39319.62</v>
      </c>
      <c r="F197" s="6" t="n">
        <v>0</v>
      </c>
      <c r="G197" s="6" t="n">
        <f aca="false">E197+F197</f>
        <v>39319.62</v>
      </c>
      <c r="H197" s="7" t="n">
        <f aca="false">IF(D197=0,0,C197/D197)</f>
        <v>0</v>
      </c>
      <c r="I197" s="7" t="n">
        <f aca="false">IF(D197=0,0,B197/D197)</f>
        <v>1</v>
      </c>
      <c r="J197" s="6" t="n">
        <f aca="false">E197*H197</f>
        <v>0</v>
      </c>
      <c r="K197" s="6" t="n">
        <f aca="false">E197*I197</f>
        <v>39319.62</v>
      </c>
      <c r="L197" s="6" t="n">
        <v>0</v>
      </c>
      <c r="M197" s="6" t="n">
        <v>39319.62</v>
      </c>
      <c r="N197" s="6"/>
      <c r="O197" s="6"/>
      <c r="P197" s="7"/>
      <c r="Q197" s="5" t="s">
        <v>26</v>
      </c>
      <c r="R197" s="5" t="s">
        <v>27</v>
      </c>
    </row>
    <row r="198" customFormat="false" ht="15" hidden="false" customHeight="true" outlineLevel="0" collapsed="false">
      <c r="A198" s="5" t="s">
        <v>222</v>
      </c>
      <c r="B198" s="6" t="n">
        <v>143317195.67</v>
      </c>
      <c r="C198" s="6" t="n">
        <v>0</v>
      </c>
      <c r="D198" s="6" t="n">
        <v>143317195.67</v>
      </c>
      <c r="E198" s="6" t="n">
        <v>53027.36</v>
      </c>
      <c r="F198" s="6" t="n">
        <v>0</v>
      </c>
      <c r="G198" s="6" t="n">
        <f aca="false">E198+F198</f>
        <v>53027.36</v>
      </c>
      <c r="H198" s="7" t="n">
        <f aca="false">IF(D198=0,0,C198/D198)</f>
        <v>0</v>
      </c>
      <c r="I198" s="7" t="n">
        <f aca="false">IF(D198=0,0,B198/D198)</f>
        <v>1</v>
      </c>
      <c r="J198" s="6" t="n">
        <f aca="false">E198*H198</f>
        <v>0</v>
      </c>
      <c r="K198" s="6" t="n">
        <f aca="false">E198*I198</f>
        <v>53027.36</v>
      </c>
      <c r="L198" s="6" t="n">
        <v>0</v>
      </c>
      <c r="M198" s="6" t="n">
        <v>53027.36</v>
      </c>
      <c r="N198" s="6"/>
      <c r="O198" s="6"/>
      <c r="P198" s="7"/>
      <c r="Q198" s="5" t="s">
        <v>26</v>
      </c>
      <c r="R198" s="5" t="s">
        <v>27</v>
      </c>
    </row>
    <row r="199" customFormat="false" ht="15" hidden="false" customHeight="true" outlineLevel="0" collapsed="false">
      <c r="A199" s="5" t="s">
        <v>223</v>
      </c>
      <c r="B199" s="6" t="n">
        <v>203606540.77</v>
      </c>
      <c r="C199" s="6" t="n">
        <v>0</v>
      </c>
      <c r="D199" s="6" t="n">
        <v>203606540.77</v>
      </c>
      <c r="E199" s="6" t="n">
        <v>75334.42</v>
      </c>
      <c r="F199" s="6" t="n">
        <v>0</v>
      </c>
      <c r="G199" s="6" t="n">
        <f aca="false">E199+F199</f>
        <v>75334.42</v>
      </c>
      <c r="H199" s="7" t="n">
        <f aca="false">IF(D199=0,0,C199/D199)</f>
        <v>0</v>
      </c>
      <c r="I199" s="7" t="n">
        <f aca="false">IF(D199=0,0,B199/D199)</f>
        <v>1</v>
      </c>
      <c r="J199" s="6" t="n">
        <f aca="false">E199*H199</f>
        <v>0</v>
      </c>
      <c r="K199" s="6" t="n">
        <f aca="false">E199*I199</f>
        <v>75334.42</v>
      </c>
      <c r="L199" s="6" t="n">
        <v>0</v>
      </c>
      <c r="M199" s="6" t="n">
        <v>75334.42</v>
      </c>
      <c r="N199" s="6"/>
      <c r="O199" s="6"/>
      <c r="P199" s="7"/>
      <c r="Q199" s="5" t="s">
        <v>26</v>
      </c>
      <c r="R199" s="5" t="s">
        <v>27</v>
      </c>
    </row>
    <row r="200" customFormat="false" ht="15" hidden="false" customHeight="true" outlineLevel="0" collapsed="false">
      <c r="A200" s="5" t="s">
        <v>224</v>
      </c>
      <c r="B200" s="6" t="n">
        <v>219698560.42</v>
      </c>
      <c r="C200" s="6" t="n">
        <v>0</v>
      </c>
      <c r="D200" s="6" t="n">
        <v>219698560.42</v>
      </c>
      <c r="E200" s="6" t="n">
        <v>81288.47</v>
      </c>
      <c r="F200" s="6" t="n">
        <v>0</v>
      </c>
      <c r="G200" s="6" t="n">
        <f aca="false">E200+F200</f>
        <v>81288.47</v>
      </c>
      <c r="H200" s="7" t="n">
        <f aca="false">IF(D200=0,0,C200/D200)</f>
        <v>0</v>
      </c>
      <c r="I200" s="7" t="n">
        <f aca="false">IF(D200=0,0,B200/D200)</f>
        <v>1</v>
      </c>
      <c r="J200" s="6" t="n">
        <f aca="false">E200*H200</f>
        <v>0</v>
      </c>
      <c r="K200" s="6" t="n">
        <f aca="false">E200*I200</f>
        <v>81288.47</v>
      </c>
      <c r="L200" s="6" t="n">
        <v>0</v>
      </c>
      <c r="M200" s="6" t="n">
        <v>81288.47</v>
      </c>
      <c r="N200" s="6"/>
      <c r="O200" s="6"/>
      <c r="P200" s="7"/>
      <c r="Q200" s="5" t="s">
        <v>26</v>
      </c>
      <c r="R200" s="5" t="s">
        <v>27</v>
      </c>
    </row>
    <row r="201" customFormat="false" ht="15" hidden="false" customHeight="true" outlineLevel="0" collapsed="false">
      <c r="A201" s="5" t="s">
        <v>225</v>
      </c>
      <c r="B201" s="6" t="n">
        <v>391276417.79</v>
      </c>
      <c r="C201" s="6" t="n">
        <v>0</v>
      </c>
      <c r="D201" s="6" t="n">
        <v>391276417.79</v>
      </c>
      <c r="E201" s="6" t="n">
        <v>144772.27</v>
      </c>
      <c r="F201" s="6" t="n">
        <v>0</v>
      </c>
      <c r="G201" s="6" t="n">
        <f aca="false">E201+F201</f>
        <v>144772.27</v>
      </c>
      <c r="H201" s="7" t="n">
        <f aca="false">IF(D201=0,0,C201/D201)</f>
        <v>0</v>
      </c>
      <c r="I201" s="7" t="n">
        <f aca="false">IF(D201=0,0,B201/D201)</f>
        <v>1</v>
      </c>
      <c r="J201" s="6" t="n">
        <f aca="false">E201*H201</f>
        <v>0</v>
      </c>
      <c r="K201" s="6" t="n">
        <f aca="false">E201*I201</f>
        <v>144772.27</v>
      </c>
      <c r="L201" s="6" t="n">
        <v>0</v>
      </c>
      <c r="M201" s="6" t="n">
        <v>144772.27</v>
      </c>
      <c r="N201" s="6"/>
      <c r="O201" s="6"/>
      <c r="P201" s="7"/>
      <c r="Q201" s="5" t="s">
        <v>26</v>
      </c>
      <c r="R201" s="5" t="s">
        <v>27</v>
      </c>
    </row>
    <row r="202" customFormat="false" ht="15" hidden="false" customHeight="true" outlineLevel="0" collapsed="false">
      <c r="A202" s="5" t="s">
        <v>226</v>
      </c>
      <c r="B202" s="6" t="n">
        <v>364237787.23</v>
      </c>
      <c r="C202" s="6" t="n">
        <v>0</v>
      </c>
      <c r="D202" s="6" t="n">
        <v>364237787.23</v>
      </c>
      <c r="E202" s="6" t="n">
        <v>134767.98</v>
      </c>
      <c r="F202" s="6" t="n">
        <v>0</v>
      </c>
      <c r="G202" s="6" t="n">
        <f aca="false">E202+F202</f>
        <v>134767.98</v>
      </c>
      <c r="H202" s="7" t="n">
        <f aca="false">IF(D202=0,0,C202/D202)</f>
        <v>0</v>
      </c>
      <c r="I202" s="7" t="n">
        <f aca="false">IF(D202=0,0,B202/D202)</f>
        <v>1</v>
      </c>
      <c r="J202" s="6" t="n">
        <f aca="false">E202*H202</f>
        <v>0</v>
      </c>
      <c r="K202" s="6" t="n">
        <f aca="false">E202*I202</f>
        <v>134767.98</v>
      </c>
      <c r="L202" s="6" t="n">
        <v>0</v>
      </c>
      <c r="M202" s="6" t="n">
        <v>134767.98</v>
      </c>
      <c r="N202" s="6"/>
      <c r="O202" s="6"/>
      <c r="P202" s="7"/>
      <c r="Q202" s="5" t="s">
        <v>26</v>
      </c>
      <c r="R202" s="5" t="s">
        <v>27</v>
      </c>
    </row>
    <row r="203" customFormat="false" ht="15" hidden="false" customHeight="true" outlineLevel="0" collapsed="false">
      <c r="A203" s="5" t="s">
        <v>227</v>
      </c>
      <c r="B203" s="6" t="n">
        <v>357723524.69</v>
      </c>
      <c r="C203" s="6" t="n">
        <v>0</v>
      </c>
      <c r="D203" s="6" t="n">
        <v>357723524.69</v>
      </c>
      <c r="E203" s="6" t="n">
        <v>132357.7</v>
      </c>
      <c r="F203" s="6" t="n">
        <v>0</v>
      </c>
      <c r="G203" s="6" t="n">
        <f aca="false">E203+F203</f>
        <v>132357.7</v>
      </c>
      <c r="H203" s="7" t="n">
        <f aca="false">IF(D203=0,0,C203/D203)</f>
        <v>0</v>
      </c>
      <c r="I203" s="7" t="n">
        <f aca="false">IF(D203=0,0,B203/D203)</f>
        <v>1</v>
      </c>
      <c r="J203" s="6" t="n">
        <f aca="false">E203*H203</f>
        <v>0</v>
      </c>
      <c r="K203" s="6" t="n">
        <f aca="false">E203*I203</f>
        <v>132357.7</v>
      </c>
      <c r="L203" s="6" t="n">
        <v>0</v>
      </c>
      <c r="M203" s="6" t="n">
        <v>132357.7</v>
      </c>
      <c r="N203" s="6"/>
      <c r="O203" s="6"/>
      <c r="P203" s="7"/>
      <c r="Q203" s="5" t="s">
        <v>26</v>
      </c>
      <c r="R203" s="5" t="s">
        <v>27</v>
      </c>
    </row>
    <row r="204" customFormat="false" ht="15" hidden="false" customHeight="true" outlineLevel="0" collapsed="false">
      <c r="A204" s="5" t="s">
        <v>228</v>
      </c>
      <c r="B204" s="6" t="n">
        <v>366405352.41</v>
      </c>
      <c r="C204" s="6" t="n">
        <v>0</v>
      </c>
      <c r="D204" s="6" t="n">
        <v>366405352.41</v>
      </c>
      <c r="E204" s="6" t="n">
        <v>135569.98</v>
      </c>
      <c r="F204" s="6" t="n">
        <v>0</v>
      </c>
      <c r="G204" s="6" t="n">
        <f aca="false">E204+F204</f>
        <v>135569.98</v>
      </c>
      <c r="H204" s="7" t="n">
        <f aca="false">IF(D204=0,0,C204/D204)</f>
        <v>0</v>
      </c>
      <c r="I204" s="7" t="n">
        <f aca="false">IF(D204=0,0,B204/D204)</f>
        <v>1</v>
      </c>
      <c r="J204" s="6" t="n">
        <f aca="false">E204*H204</f>
        <v>0</v>
      </c>
      <c r="K204" s="6" t="n">
        <f aca="false">E204*I204</f>
        <v>135569.98</v>
      </c>
      <c r="L204" s="6" t="n">
        <v>0</v>
      </c>
      <c r="M204" s="6" t="n">
        <v>135569.98</v>
      </c>
      <c r="N204" s="6"/>
      <c r="O204" s="6"/>
      <c r="P204" s="7"/>
      <c r="Q204" s="5" t="s">
        <v>26</v>
      </c>
      <c r="R204" s="5" t="s">
        <v>27</v>
      </c>
    </row>
    <row r="205" customFormat="false" ht="15" hidden="false" customHeight="true" outlineLevel="0" collapsed="false">
      <c r="A205" s="5" t="s">
        <v>229</v>
      </c>
      <c r="B205" s="6" t="n">
        <v>276904561.44</v>
      </c>
      <c r="C205" s="6" t="n">
        <v>0</v>
      </c>
      <c r="D205" s="6" t="n">
        <v>276904561.44</v>
      </c>
      <c r="E205" s="6" t="n">
        <v>102454.69</v>
      </c>
      <c r="F205" s="6" t="n">
        <v>0</v>
      </c>
      <c r="G205" s="6" t="n">
        <f aca="false">E205+F205</f>
        <v>102454.69</v>
      </c>
      <c r="H205" s="7" t="n">
        <f aca="false">IF(D205=0,0,C205/D205)</f>
        <v>0</v>
      </c>
      <c r="I205" s="7" t="n">
        <f aca="false">IF(D205=0,0,B205/D205)</f>
        <v>1</v>
      </c>
      <c r="J205" s="6" t="n">
        <f aca="false">E205*H205</f>
        <v>0</v>
      </c>
      <c r="K205" s="6" t="n">
        <f aca="false">E205*I205</f>
        <v>102454.69</v>
      </c>
      <c r="L205" s="6" t="n">
        <v>0</v>
      </c>
      <c r="M205" s="6" t="n">
        <v>102454.69</v>
      </c>
      <c r="N205" s="6"/>
      <c r="O205" s="6"/>
      <c r="P205" s="7"/>
      <c r="Q205" s="5" t="s">
        <v>26</v>
      </c>
      <c r="R205" s="5" t="s">
        <v>27</v>
      </c>
    </row>
    <row r="206" customFormat="false" ht="15" hidden="false" customHeight="true" outlineLevel="0" collapsed="false">
      <c r="A206" s="5" t="s">
        <v>230</v>
      </c>
      <c r="B206" s="6" t="n">
        <v>420426305.3</v>
      </c>
      <c r="C206" s="6" t="n">
        <v>0</v>
      </c>
      <c r="D206" s="6" t="n">
        <v>420426305.3</v>
      </c>
      <c r="E206" s="6" t="n">
        <v>155557.73</v>
      </c>
      <c r="F206" s="6" t="n">
        <v>0</v>
      </c>
      <c r="G206" s="6" t="n">
        <f aca="false">E206+F206</f>
        <v>155557.73</v>
      </c>
      <c r="H206" s="7" t="n">
        <f aca="false">IF(D206=0,0,C206/D206)</f>
        <v>0</v>
      </c>
      <c r="I206" s="7" t="n">
        <f aca="false">IF(D206=0,0,B206/D206)</f>
        <v>1</v>
      </c>
      <c r="J206" s="6" t="n">
        <f aca="false">E206*H206</f>
        <v>0</v>
      </c>
      <c r="K206" s="6" t="n">
        <f aca="false">E206*I206</f>
        <v>155557.73</v>
      </c>
      <c r="L206" s="6" t="n">
        <v>0</v>
      </c>
      <c r="M206" s="6" t="n">
        <v>155557.73</v>
      </c>
      <c r="N206" s="6"/>
      <c r="O206" s="6"/>
      <c r="P206" s="7"/>
      <c r="Q206" s="5" t="s">
        <v>26</v>
      </c>
      <c r="R206" s="5" t="s">
        <v>27</v>
      </c>
    </row>
    <row r="207" customFormat="false" ht="15" hidden="false" customHeight="true" outlineLevel="0" collapsed="false">
      <c r="A207" s="5" t="s">
        <v>231</v>
      </c>
      <c r="B207" s="6" t="n">
        <v>225304526.35</v>
      </c>
      <c r="C207" s="6" t="n">
        <v>0</v>
      </c>
      <c r="D207" s="6" t="n">
        <v>225304526.35</v>
      </c>
      <c r="E207" s="6" t="n">
        <v>83362.67</v>
      </c>
      <c r="F207" s="6" t="n">
        <v>0</v>
      </c>
      <c r="G207" s="6" t="n">
        <f aca="false">E207+F207</f>
        <v>83362.67</v>
      </c>
      <c r="H207" s="7" t="n">
        <f aca="false">IF(D207=0,0,C207/D207)</f>
        <v>0</v>
      </c>
      <c r="I207" s="7" t="n">
        <f aca="false">IF(D207=0,0,B207/D207)</f>
        <v>1</v>
      </c>
      <c r="J207" s="6" t="n">
        <f aca="false">E207*H207</f>
        <v>0</v>
      </c>
      <c r="K207" s="6" t="n">
        <f aca="false">E207*I207</f>
        <v>83362.67</v>
      </c>
      <c r="L207" s="6" t="n">
        <v>0</v>
      </c>
      <c r="M207" s="6" t="n">
        <v>83362.67</v>
      </c>
      <c r="N207" s="6"/>
      <c r="O207" s="6"/>
      <c r="P207" s="7"/>
      <c r="Q207" s="5" t="s">
        <v>26</v>
      </c>
      <c r="R207" s="5" t="s">
        <v>27</v>
      </c>
    </row>
    <row r="208" customFormat="false" ht="15" hidden="false" customHeight="true" outlineLevel="0" collapsed="false">
      <c r="A208" s="5" t="s">
        <v>232</v>
      </c>
      <c r="B208" s="6" t="n">
        <v>998574499.93</v>
      </c>
      <c r="C208" s="6" t="n">
        <v>0</v>
      </c>
      <c r="D208" s="6" t="n">
        <v>998574499.93</v>
      </c>
      <c r="E208" s="6" t="n">
        <v>369472.56</v>
      </c>
      <c r="F208" s="6" t="n">
        <v>0</v>
      </c>
      <c r="G208" s="6" t="n">
        <f aca="false">E208+F208</f>
        <v>369472.56</v>
      </c>
      <c r="H208" s="7" t="n">
        <f aca="false">IF(D208=0,0,C208/D208)</f>
        <v>0</v>
      </c>
      <c r="I208" s="7" t="n">
        <f aca="false">IF(D208=0,0,B208/D208)</f>
        <v>1</v>
      </c>
      <c r="J208" s="6" t="n">
        <f aca="false">E208*H208</f>
        <v>0</v>
      </c>
      <c r="K208" s="6" t="n">
        <f aca="false">E208*I208</f>
        <v>369472.56</v>
      </c>
      <c r="L208" s="6" t="n">
        <v>0</v>
      </c>
      <c r="M208" s="6" t="n">
        <v>369472.56</v>
      </c>
      <c r="N208" s="6"/>
      <c r="O208" s="6"/>
      <c r="P208" s="7"/>
      <c r="Q208" s="5" t="s">
        <v>26</v>
      </c>
      <c r="R208" s="5" t="s">
        <v>27</v>
      </c>
    </row>
    <row r="209" customFormat="false" ht="15" hidden="false" customHeight="true" outlineLevel="0" collapsed="false">
      <c r="A209" s="5" t="s">
        <v>233</v>
      </c>
      <c r="B209" s="6" t="n">
        <v>374478039.65</v>
      </c>
      <c r="C209" s="6" t="n">
        <v>0</v>
      </c>
      <c r="D209" s="6" t="n">
        <v>374478039.65</v>
      </c>
      <c r="E209" s="6" t="n">
        <v>138556.87</v>
      </c>
      <c r="F209" s="6" t="n">
        <v>0</v>
      </c>
      <c r="G209" s="6" t="n">
        <f aca="false">E209+F209</f>
        <v>138556.87</v>
      </c>
      <c r="H209" s="7" t="n">
        <f aca="false">IF(D209=0,0,C209/D209)</f>
        <v>0</v>
      </c>
      <c r="I209" s="7" t="n">
        <f aca="false">IF(D209=0,0,B209/D209)</f>
        <v>1</v>
      </c>
      <c r="J209" s="6" t="n">
        <f aca="false">E209*H209</f>
        <v>0</v>
      </c>
      <c r="K209" s="6" t="n">
        <f aca="false">E209*I209</f>
        <v>138556.87</v>
      </c>
      <c r="L209" s="6" t="n">
        <v>0</v>
      </c>
      <c r="M209" s="6" t="n">
        <v>138556.87</v>
      </c>
      <c r="N209" s="6"/>
      <c r="O209" s="6"/>
      <c r="P209" s="7"/>
      <c r="Q209" s="5" t="s">
        <v>26</v>
      </c>
      <c r="R209" s="5" t="s">
        <v>27</v>
      </c>
    </row>
    <row r="210" customFormat="false" ht="15" hidden="false" customHeight="true" outlineLevel="0" collapsed="false">
      <c r="A210" s="5" t="s">
        <v>234</v>
      </c>
      <c r="B210" s="6" t="n">
        <v>378069087.57</v>
      </c>
      <c r="C210" s="6" t="n">
        <v>0</v>
      </c>
      <c r="D210" s="6" t="n">
        <v>378069087.57</v>
      </c>
      <c r="E210" s="6" t="n">
        <v>139885.56</v>
      </c>
      <c r="F210" s="6" t="n">
        <v>0</v>
      </c>
      <c r="G210" s="6" t="n">
        <f aca="false">E210+F210</f>
        <v>139885.56</v>
      </c>
      <c r="H210" s="7" t="n">
        <f aca="false">IF(D210=0,0,C210/D210)</f>
        <v>0</v>
      </c>
      <c r="I210" s="7" t="n">
        <f aca="false">IF(D210=0,0,B210/D210)</f>
        <v>1</v>
      </c>
      <c r="J210" s="6" t="n">
        <f aca="false">E210*H210</f>
        <v>0</v>
      </c>
      <c r="K210" s="6" t="n">
        <f aca="false">E210*I210</f>
        <v>139885.56</v>
      </c>
      <c r="L210" s="6" t="n">
        <v>0</v>
      </c>
      <c r="M210" s="6" t="n">
        <v>139885.56</v>
      </c>
      <c r="N210" s="6"/>
      <c r="O210" s="6"/>
      <c r="P210" s="7"/>
      <c r="Q210" s="5" t="s">
        <v>26</v>
      </c>
      <c r="R210" s="5" t="s">
        <v>27</v>
      </c>
    </row>
    <row r="211" customFormat="false" ht="15" hidden="false" customHeight="true" outlineLevel="0" collapsed="false">
      <c r="A211" s="5" t="s">
        <v>235</v>
      </c>
      <c r="B211" s="6" t="n">
        <v>429353967.67</v>
      </c>
      <c r="C211" s="6" t="n">
        <v>0</v>
      </c>
      <c r="D211" s="6" t="n">
        <v>429353967.67</v>
      </c>
      <c r="E211" s="6" t="n">
        <v>158860.97</v>
      </c>
      <c r="F211" s="6" t="n">
        <v>0</v>
      </c>
      <c r="G211" s="6" t="n">
        <f aca="false">E211+F211</f>
        <v>158860.97</v>
      </c>
      <c r="H211" s="7" t="n">
        <f aca="false">IF(D211=0,0,C211/D211)</f>
        <v>0</v>
      </c>
      <c r="I211" s="7" t="n">
        <f aca="false">IF(D211=0,0,B211/D211)</f>
        <v>1</v>
      </c>
      <c r="J211" s="6" t="n">
        <f aca="false">E211*H211</f>
        <v>0</v>
      </c>
      <c r="K211" s="6" t="n">
        <f aca="false">E211*I211</f>
        <v>158860.97</v>
      </c>
      <c r="L211" s="6" t="n">
        <v>0</v>
      </c>
      <c r="M211" s="6" t="n">
        <v>158860.97</v>
      </c>
      <c r="N211" s="6"/>
      <c r="O211" s="6"/>
      <c r="P211" s="7"/>
      <c r="Q211" s="5" t="s">
        <v>26</v>
      </c>
      <c r="R211" s="5" t="s">
        <v>27</v>
      </c>
    </row>
    <row r="212" customFormat="false" ht="15" hidden="false" customHeight="true" outlineLevel="0" collapsed="false">
      <c r="A212" s="5" t="s">
        <v>236</v>
      </c>
      <c r="B212" s="6" t="n">
        <v>297849877.87</v>
      </c>
      <c r="C212" s="6" t="n">
        <v>0</v>
      </c>
      <c r="D212" s="6" t="n">
        <v>297849877.87</v>
      </c>
      <c r="E212" s="6" t="n">
        <v>110204.45</v>
      </c>
      <c r="F212" s="6" t="n">
        <v>0</v>
      </c>
      <c r="G212" s="6" t="n">
        <f aca="false">E212+F212</f>
        <v>110204.45</v>
      </c>
      <c r="H212" s="7" t="n">
        <f aca="false">IF(D212=0,0,C212/D212)</f>
        <v>0</v>
      </c>
      <c r="I212" s="7" t="n">
        <f aca="false">IF(D212=0,0,B212/D212)</f>
        <v>1</v>
      </c>
      <c r="J212" s="6" t="n">
        <f aca="false">E212*H212</f>
        <v>0</v>
      </c>
      <c r="K212" s="6" t="n">
        <f aca="false">E212*I212</f>
        <v>110204.45</v>
      </c>
      <c r="L212" s="6" t="n">
        <v>0</v>
      </c>
      <c r="M212" s="6" t="n">
        <v>110204.45</v>
      </c>
      <c r="N212" s="6"/>
      <c r="O212" s="6"/>
      <c r="P212" s="7"/>
      <c r="Q212" s="5" t="s">
        <v>26</v>
      </c>
      <c r="R212" s="5" t="s">
        <v>27</v>
      </c>
    </row>
    <row r="213" customFormat="false" ht="15" hidden="false" customHeight="true" outlineLevel="0" collapsed="false">
      <c r="A213" s="5" t="s">
        <v>237</v>
      </c>
      <c r="B213" s="6" t="n">
        <v>214925917.74</v>
      </c>
      <c r="C213" s="6" t="n">
        <v>0</v>
      </c>
      <c r="D213" s="6" t="n">
        <v>214925917.74</v>
      </c>
      <c r="E213" s="6" t="n">
        <v>79522.59</v>
      </c>
      <c r="F213" s="6" t="n">
        <v>0</v>
      </c>
      <c r="G213" s="6" t="n">
        <f aca="false">E213+F213</f>
        <v>79522.59</v>
      </c>
      <c r="H213" s="7" t="n">
        <f aca="false">IF(D213=0,0,C213/D213)</f>
        <v>0</v>
      </c>
      <c r="I213" s="7" t="n">
        <f aca="false">IF(D213=0,0,B213/D213)</f>
        <v>1</v>
      </c>
      <c r="J213" s="6" t="n">
        <f aca="false">E213*H213</f>
        <v>0</v>
      </c>
      <c r="K213" s="6" t="n">
        <f aca="false">E213*I213</f>
        <v>79522.59</v>
      </c>
      <c r="L213" s="6" t="n">
        <v>0</v>
      </c>
      <c r="M213" s="6" t="n">
        <v>79522.59</v>
      </c>
      <c r="N213" s="6"/>
      <c r="O213" s="6"/>
      <c r="P213" s="7"/>
      <c r="Q213" s="5" t="s">
        <v>26</v>
      </c>
      <c r="R213" s="5" t="s">
        <v>27</v>
      </c>
    </row>
    <row r="214" customFormat="false" ht="15" hidden="false" customHeight="true" outlineLevel="0" collapsed="false">
      <c r="A214" s="5" t="s">
        <v>238</v>
      </c>
      <c r="B214" s="6" t="n">
        <v>212845397.09</v>
      </c>
      <c r="C214" s="6" t="n">
        <v>0</v>
      </c>
      <c r="D214" s="6" t="n">
        <v>212845397.09</v>
      </c>
      <c r="E214" s="6" t="n">
        <v>78752.8</v>
      </c>
      <c r="F214" s="6" t="n">
        <v>0</v>
      </c>
      <c r="G214" s="6" t="n">
        <f aca="false">E214+F214</f>
        <v>78752.8</v>
      </c>
      <c r="H214" s="7" t="n">
        <f aca="false">IF(D214=0,0,C214/D214)</f>
        <v>0</v>
      </c>
      <c r="I214" s="7" t="n">
        <f aca="false">IF(D214=0,0,B214/D214)</f>
        <v>1</v>
      </c>
      <c r="J214" s="6" t="n">
        <f aca="false">E214*H214</f>
        <v>0</v>
      </c>
      <c r="K214" s="6" t="n">
        <f aca="false">E214*I214</f>
        <v>78752.8</v>
      </c>
      <c r="L214" s="6" t="n">
        <v>0</v>
      </c>
      <c r="M214" s="6" t="n">
        <v>78752.8</v>
      </c>
      <c r="N214" s="6"/>
      <c r="O214" s="6"/>
      <c r="P214" s="7"/>
      <c r="Q214" s="5" t="s">
        <v>26</v>
      </c>
      <c r="R214" s="5" t="s">
        <v>27</v>
      </c>
    </row>
    <row r="215" customFormat="false" ht="15" hidden="false" customHeight="true" outlineLevel="0" collapsed="false">
      <c r="A215" s="5" t="s">
        <v>239</v>
      </c>
      <c r="B215" s="6" t="n">
        <v>355925648.38</v>
      </c>
      <c r="C215" s="6" t="n">
        <v>0</v>
      </c>
      <c r="D215" s="6" t="n">
        <v>355925648.38</v>
      </c>
      <c r="E215" s="6" t="n">
        <v>131692.49</v>
      </c>
      <c r="F215" s="6" t="n">
        <v>0</v>
      </c>
      <c r="G215" s="6" t="n">
        <f aca="false">E215+F215</f>
        <v>131692.49</v>
      </c>
      <c r="H215" s="7" t="n">
        <f aca="false">IF(D215=0,0,C215/D215)</f>
        <v>0</v>
      </c>
      <c r="I215" s="7" t="n">
        <f aca="false">IF(D215=0,0,B215/D215)</f>
        <v>1</v>
      </c>
      <c r="J215" s="6" t="n">
        <f aca="false">E215*H215</f>
        <v>0</v>
      </c>
      <c r="K215" s="6" t="n">
        <f aca="false">E215*I215</f>
        <v>131692.49</v>
      </c>
      <c r="L215" s="6" t="n">
        <v>0</v>
      </c>
      <c r="M215" s="6" t="n">
        <v>131692.49</v>
      </c>
      <c r="N215" s="6"/>
      <c r="O215" s="6"/>
      <c r="P215" s="7"/>
      <c r="Q215" s="5" t="s">
        <v>26</v>
      </c>
      <c r="R215" s="5" t="s">
        <v>27</v>
      </c>
    </row>
    <row r="216" customFormat="false" ht="15" hidden="false" customHeight="true" outlineLevel="0" collapsed="false">
      <c r="A216" s="5" t="s">
        <v>240</v>
      </c>
      <c r="B216" s="6" t="n">
        <v>256377965.68</v>
      </c>
      <c r="C216" s="6" t="n">
        <v>0</v>
      </c>
      <c r="D216" s="6" t="n">
        <v>256377965.68</v>
      </c>
      <c r="E216" s="6" t="n">
        <v>94859.85</v>
      </c>
      <c r="F216" s="6" t="n">
        <v>0</v>
      </c>
      <c r="G216" s="6" t="n">
        <f aca="false">E216+F216</f>
        <v>94859.85</v>
      </c>
      <c r="H216" s="7" t="n">
        <f aca="false">IF(D216=0,0,C216/D216)</f>
        <v>0</v>
      </c>
      <c r="I216" s="7" t="n">
        <f aca="false">IF(D216=0,0,B216/D216)</f>
        <v>1</v>
      </c>
      <c r="J216" s="6" t="n">
        <f aca="false">E216*H216</f>
        <v>0</v>
      </c>
      <c r="K216" s="6" t="n">
        <f aca="false">E216*I216</f>
        <v>94859.85</v>
      </c>
      <c r="L216" s="6" t="n">
        <v>0</v>
      </c>
      <c r="M216" s="6" t="n">
        <v>94859.85</v>
      </c>
      <c r="N216" s="6"/>
      <c r="O216" s="6"/>
      <c r="P216" s="7"/>
      <c r="Q216" s="5" t="s">
        <v>26</v>
      </c>
      <c r="R216" s="5" t="s">
        <v>27</v>
      </c>
    </row>
    <row r="217" customFormat="false" ht="15" hidden="false" customHeight="true" outlineLevel="0" collapsed="false">
      <c r="A217" s="5" t="s">
        <v>241</v>
      </c>
      <c r="B217" s="6" t="n">
        <v>347076656.26</v>
      </c>
      <c r="C217" s="6" t="n">
        <v>0</v>
      </c>
      <c r="D217" s="6" t="n">
        <v>347076656.26</v>
      </c>
      <c r="E217" s="6" t="n">
        <v>128418.36</v>
      </c>
      <c r="F217" s="6" t="n">
        <v>0</v>
      </c>
      <c r="G217" s="6" t="n">
        <f aca="false">E217+F217</f>
        <v>128418.36</v>
      </c>
      <c r="H217" s="7" t="n">
        <f aca="false">IF(D217=0,0,C217/D217)</f>
        <v>0</v>
      </c>
      <c r="I217" s="7" t="n">
        <f aca="false">IF(D217=0,0,B217/D217)</f>
        <v>1</v>
      </c>
      <c r="J217" s="6" t="n">
        <f aca="false">E217*H217</f>
        <v>0</v>
      </c>
      <c r="K217" s="6" t="n">
        <f aca="false">E217*I217</f>
        <v>128418.36</v>
      </c>
      <c r="L217" s="6" t="n">
        <v>0</v>
      </c>
      <c r="M217" s="6" t="n">
        <v>128418.36</v>
      </c>
      <c r="N217" s="6"/>
      <c r="O217" s="6"/>
      <c r="P217" s="7"/>
      <c r="Q217" s="5" t="s">
        <v>26</v>
      </c>
      <c r="R217" s="5" t="s">
        <v>27</v>
      </c>
    </row>
    <row r="218" customFormat="false" ht="15" hidden="false" customHeight="true" outlineLevel="0" collapsed="false">
      <c r="A218" s="5" t="s">
        <v>242</v>
      </c>
      <c r="B218" s="6" t="n">
        <v>251448211.55</v>
      </c>
      <c r="C218" s="6" t="n">
        <v>0</v>
      </c>
      <c r="D218" s="6" t="n">
        <v>251448211.55</v>
      </c>
      <c r="E218" s="6" t="n">
        <v>93035.84</v>
      </c>
      <c r="F218" s="6" t="n">
        <v>0</v>
      </c>
      <c r="G218" s="6" t="n">
        <f aca="false">E218+F218</f>
        <v>93035.84</v>
      </c>
      <c r="H218" s="7" t="n">
        <f aca="false">IF(D218=0,0,C218/D218)</f>
        <v>0</v>
      </c>
      <c r="I218" s="7" t="n">
        <f aca="false">IF(D218=0,0,B218/D218)</f>
        <v>1</v>
      </c>
      <c r="J218" s="6" t="n">
        <f aca="false">E218*H218</f>
        <v>0</v>
      </c>
      <c r="K218" s="6" t="n">
        <f aca="false">E218*I218</f>
        <v>93035.84</v>
      </c>
      <c r="L218" s="6" t="n">
        <v>0</v>
      </c>
      <c r="M218" s="6" t="n">
        <v>93035.84</v>
      </c>
      <c r="N218" s="6"/>
      <c r="O218" s="6"/>
      <c r="P218" s="7"/>
      <c r="Q218" s="5" t="s">
        <v>26</v>
      </c>
      <c r="R218" s="5" t="s">
        <v>27</v>
      </c>
    </row>
    <row r="219" customFormat="false" ht="15" hidden="false" customHeight="true" outlineLevel="0" collapsed="false">
      <c r="A219" s="5" t="s">
        <v>243</v>
      </c>
      <c r="B219" s="6" t="n">
        <v>307616846.87</v>
      </c>
      <c r="C219" s="6" t="n">
        <v>0</v>
      </c>
      <c r="D219" s="6" t="n">
        <v>307616846.87</v>
      </c>
      <c r="E219" s="6" t="n">
        <v>113818.23</v>
      </c>
      <c r="F219" s="6" t="n">
        <v>0</v>
      </c>
      <c r="G219" s="6" t="n">
        <f aca="false">E219+F219</f>
        <v>113818.23</v>
      </c>
      <c r="H219" s="7" t="n">
        <f aca="false">IF(D219=0,0,C219/D219)</f>
        <v>0</v>
      </c>
      <c r="I219" s="7" t="n">
        <f aca="false">IF(D219=0,0,B219/D219)</f>
        <v>1</v>
      </c>
      <c r="J219" s="6" t="n">
        <f aca="false">E219*H219</f>
        <v>0</v>
      </c>
      <c r="K219" s="6" t="n">
        <f aca="false">E219*I219</f>
        <v>113818.23</v>
      </c>
      <c r="L219" s="6" t="n">
        <v>0</v>
      </c>
      <c r="M219" s="6" t="n">
        <v>113818.23</v>
      </c>
      <c r="N219" s="6"/>
      <c r="O219" s="6"/>
      <c r="P219" s="7"/>
      <c r="Q219" s="5" t="s">
        <v>26</v>
      </c>
      <c r="R219" s="5" t="s">
        <v>27</v>
      </c>
    </row>
    <row r="220" customFormat="false" ht="15" hidden="false" customHeight="true" outlineLevel="0" collapsed="false">
      <c r="A220" s="5" t="s">
        <v>244</v>
      </c>
      <c r="B220" s="6" t="n">
        <v>210086175.48</v>
      </c>
      <c r="C220" s="6" t="n">
        <v>0</v>
      </c>
      <c r="D220" s="6" t="n">
        <v>210086175.48</v>
      </c>
      <c r="E220" s="6" t="n">
        <v>77731.88</v>
      </c>
      <c r="F220" s="6" t="n">
        <v>0</v>
      </c>
      <c r="G220" s="6" t="n">
        <f aca="false">E220+F220</f>
        <v>77731.88</v>
      </c>
      <c r="H220" s="7" t="n">
        <f aca="false">IF(D220=0,0,C220/D220)</f>
        <v>0</v>
      </c>
      <c r="I220" s="7" t="n">
        <f aca="false">IF(D220=0,0,B220/D220)</f>
        <v>1</v>
      </c>
      <c r="J220" s="6" t="n">
        <f aca="false">E220*H220</f>
        <v>0</v>
      </c>
      <c r="K220" s="6" t="n">
        <f aca="false">E220*I220</f>
        <v>77731.88</v>
      </c>
      <c r="L220" s="6" t="n">
        <v>0</v>
      </c>
      <c r="M220" s="6" t="n">
        <v>77731.88</v>
      </c>
      <c r="N220" s="6"/>
      <c r="O220" s="6"/>
      <c r="P220" s="7"/>
      <c r="Q220" s="5" t="s">
        <v>26</v>
      </c>
      <c r="R220" s="5" t="s">
        <v>27</v>
      </c>
    </row>
    <row r="221" customFormat="false" ht="15" hidden="false" customHeight="true" outlineLevel="0" collapsed="false">
      <c r="A221" s="5" t="s">
        <v>245</v>
      </c>
      <c r="B221" s="6" t="n">
        <v>288838605.28</v>
      </c>
      <c r="C221" s="6" t="n">
        <v>0</v>
      </c>
      <c r="D221" s="6" t="n">
        <v>288838605.28</v>
      </c>
      <c r="E221" s="6" t="n">
        <v>106870.28</v>
      </c>
      <c r="F221" s="6" t="n">
        <v>0</v>
      </c>
      <c r="G221" s="6" t="n">
        <f aca="false">E221+F221</f>
        <v>106870.28</v>
      </c>
      <c r="H221" s="7" t="n">
        <f aca="false">IF(D221=0,0,C221/D221)</f>
        <v>0</v>
      </c>
      <c r="I221" s="7" t="n">
        <f aca="false">IF(D221=0,0,B221/D221)</f>
        <v>1</v>
      </c>
      <c r="J221" s="6" t="n">
        <f aca="false">E221*H221</f>
        <v>0</v>
      </c>
      <c r="K221" s="6" t="n">
        <f aca="false">E221*I221</f>
        <v>106870.28</v>
      </c>
      <c r="L221" s="6" t="n">
        <v>0</v>
      </c>
      <c r="M221" s="6" t="n">
        <v>106870.28</v>
      </c>
      <c r="N221" s="6"/>
      <c r="O221" s="6"/>
      <c r="P221" s="7"/>
      <c r="Q221" s="5" t="s">
        <v>26</v>
      </c>
      <c r="R221" s="5" t="s">
        <v>27</v>
      </c>
    </row>
    <row r="222" customFormat="false" ht="15" hidden="false" customHeight="true" outlineLevel="0" collapsed="false">
      <c r="A222" s="5" t="s">
        <v>246</v>
      </c>
      <c r="B222" s="6" t="n">
        <v>260951489.86</v>
      </c>
      <c r="C222" s="6" t="n">
        <v>0</v>
      </c>
      <c r="D222" s="6" t="n">
        <v>260951489.86</v>
      </c>
      <c r="E222" s="6" t="n">
        <v>96552.05</v>
      </c>
      <c r="F222" s="6" t="n">
        <v>0</v>
      </c>
      <c r="G222" s="6" t="n">
        <f aca="false">E222+F222</f>
        <v>96552.05</v>
      </c>
      <c r="H222" s="7" t="n">
        <f aca="false">IF(D222=0,0,C222/D222)</f>
        <v>0</v>
      </c>
      <c r="I222" s="7" t="n">
        <f aca="false">IF(D222=0,0,B222/D222)</f>
        <v>1</v>
      </c>
      <c r="J222" s="6" t="n">
        <f aca="false">E222*H222</f>
        <v>0</v>
      </c>
      <c r="K222" s="6" t="n">
        <f aca="false">E222*I222</f>
        <v>96552.05</v>
      </c>
      <c r="L222" s="6" t="n">
        <v>0</v>
      </c>
      <c r="M222" s="6" t="n">
        <v>96552.05</v>
      </c>
      <c r="N222" s="6"/>
      <c r="O222" s="6"/>
      <c r="P222" s="7"/>
      <c r="Q222" s="5" t="s">
        <v>26</v>
      </c>
      <c r="R222" s="5" t="s">
        <v>27</v>
      </c>
    </row>
    <row r="223" customFormat="false" ht="15" hidden="false" customHeight="true" outlineLevel="0" collapsed="false">
      <c r="A223" s="5" t="s">
        <v>247</v>
      </c>
      <c r="B223" s="6" t="n">
        <v>395415651.94</v>
      </c>
      <c r="C223" s="6" t="n">
        <v>0</v>
      </c>
      <c r="D223" s="6" t="n">
        <v>395415651.94</v>
      </c>
      <c r="E223" s="6" t="n">
        <v>146303.79</v>
      </c>
      <c r="F223" s="6" t="n">
        <v>0</v>
      </c>
      <c r="G223" s="6" t="n">
        <f aca="false">E223+F223</f>
        <v>146303.79</v>
      </c>
      <c r="H223" s="7" t="n">
        <f aca="false">IF(D223=0,0,C223/D223)</f>
        <v>0</v>
      </c>
      <c r="I223" s="7" t="n">
        <f aca="false">IF(D223=0,0,B223/D223)</f>
        <v>1</v>
      </c>
      <c r="J223" s="6" t="n">
        <f aca="false">E223*H223</f>
        <v>0</v>
      </c>
      <c r="K223" s="6" t="n">
        <f aca="false">E223*I223</f>
        <v>146303.79</v>
      </c>
      <c r="L223" s="6" t="n">
        <v>0</v>
      </c>
      <c r="M223" s="6" t="n">
        <v>146303.79</v>
      </c>
      <c r="N223" s="6"/>
      <c r="O223" s="6"/>
      <c r="P223" s="7"/>
      <c r="Q223" s="5" t="s">
        <v>26</v>
      </c>
      <c r="R223" s="5" t="s">
        <v>27</v>
      </c>
    </row>
    <row r="224" customFormat="false" ht="15" hidden="false" customHeight="true" outlineLevel="0" collapsed="false">
      <c r="A224" s="5" t="s">
        <v>248</v>
      </c>
      <c r="B224" s="6" t="n">
        <v>312324062.33</v>
      </c>
      <c r="C224" s="6" t="n">
        <v>0</v>
      </c>
      <c r="D224" s="6" t="n">
        <v>312324062.33</v>
      </c>
      <c r="E224" s="6" t="n">
        <v>115559.9</v>
      </c>
      <c r="F224" s="6" t="n">
        <v>0</v>
      </c>
      <c r="G224" s="6" t="n">
        <f aca="false">E224+F224</f>
        <v>115559.9</v>
      </c>
      <c r="H224" s="7" t="n">
        <f aca="false">IF(D224=0,0,C224/D224)</f>
        <v>0</v>
      </c>
      <c r="I224" s="7" t="n">
        <f aca="false">IF(D224=0,0,B224/D224)</f>
        <v>1</v>
      </c>
      <c r="J224" s="6" t="n">
        <f aca="false">E224*H224</f>
        <v>0</v>
      </c>
      <c r="K224" s="6" t="n">
        <f aca="false">E224*I224</f>
        <v>115559.9</v>
      </c>
      <c r="L224" s="6" t="n">
        <v>0</v>
      </c>
      <c r="M224" s="6" t="n">
        <v>115559.9</v>
      </c>
      <c r="N224" s="6"/>
      <c r="O224" s="6"/>
      <c r="P224" s="7"/>
      <c r="Q224" s="5" t="s">
        <v>26</v>
      </c>
      <c r="R224" s="5" t="s">
        <v>27</v>
      </c>
    </row>
    <row r="225" customFormat="false" ht="15" hidden="false" customHeight="true" outlineLevel="0" collapsed="false">
      <c r="A225" s="5" t="s">
        <v>249</v>
      </c>
      <c r="B225" s="6" t="n">
        <v>371505384.98</v>
      </c>
      <c r="C225" s="6" t="n">
        <v>0</v>
      </c>
      <c r="D225" s="6" t="n">
        <v>371505384.98</v>
      </c>
      <c r="E225" s="6" t="n">
        <v>137456.99</v>
      </c>
      <c r="F225" s="6" t="n">
        <v>0</v>
      </c>
      <c r="G225" s="6" t="n">
        <f aca="false">E225+F225</f>
        <v>137456.99</v>
      </c>
      <c r="H225" s="7" t="n">
        <f aca="false">IF(D225=0,0,C225/D225)</f>
        <v>0</v>
      </c>
      <c r="I225" s="7" t="n">
        <f aca="false">IF(D225=0,0,B225/D225)</f>
        <v>1</v>
      </c>
      <c r="J225" s="6" t="n">
        <f aca="false">E225*H225</f>
        <v>0</v>
      </c>
      <c r="K225" s="6" t="n">
        <f aca="false">E225*I225</f>
        <v>137456.99</v>
      </c>
      <c r="L225" s="6" t="n">
        <v>0</v>
      </c>
      <c r="M225" s="6" t="n">
        <v>137456.99</v>
      </c>
      <c r="N225" s="6"/>
      <c r="O225" s="6"/>
      <c r="P225" s="7"/>
      <c r="Q225" s="5" t="s">
        <v>26</v>
      </c>
      <c r="R225" s="5" t="s">
        <v>27</v>
      </c>
    </row>
    <row r="226" customFormat="false" ht="15" hidden="false" customHeight="true" outlineLevel="0" collapsed="false">
      <c r="A226" s="5" t="s">
        <v>250</v>
      </c>
      <c r="B226" s="6" t="n">
        <v>446715921.04</v>
      </c>
      <c r="C226" s="6" t="n">
        <v>0</v>
      </c>
      <c r="D226" s="6" t="n">
        <v>446715921.04</v>
      </c>
      <c r="E226" s="6" t="n">
        <v>165284.89</v>
      </c>
      <c r="F226" s="6" t="n">
        <v>0</v>
      </c>
      <c r="G226" s="6" t="n">
        <f aca="false">E226+F226</f>
        <v>165284.89</v>
      </c>
      <c r="H226" s="7" t="n">
        <f aca="false">IF(D226=0,0,C226/D226)</f>
        <v>0</v>
      </c>
      <c r="I226" s="7" t="n">
        <f aca="false">IF(D226=0,0,B226/D226)</f>
        <v>1</v>
      </c>
      <c r="J226" s="6" t="n">
        <f aca="false">E226*H226</f>
        <v>0</v>
      </c>
      <c r="K226" s="6" t="n">
        <f aca="false">E226*I226</f>
        <v>165284.89</v>
      </c>
      <c r="L226" s="6" t="n">
        <v>0</v>
      </c>
      <c r="M226" s="6" t="n">
        <v>165284.89</v>
      </c>
      <c r="N226" s="6"/>
      <c r="O226" s="6"/>
      <c r="P226" s="7"/>
      <c r="Q226" s="5" t="s">
        <v>26</v>
      </c>
      <c r="R226" s="5" t="s">
        <v>27</v>
      </c>
    </row>
    <row r="227" customFormat="false" ht="15" hidden="false" customHeight="true" outlineLevel="0" collapsed="false">
      <c r="A227" s="5" t="s">
        <v>251</v>
      </c>
      <c r="B227" s="6" t="n">
        <v>224443700.11</v>
      </c>
      <c r="C227" s="6" t="n">
        <v>0</v>
      </c>
      <c r="D227" s="6" t="n">
        <v>224443700.11</v>
      </c>
      <c r="E227" s="6" t="n">
        <v>83044.17</v>
      </c>
      <c r="F227" s="6" t="n">
        <v>0</v>
      </c>
      <c r="G227" s="6" t="n">
        <f aca="false">E227+F227</f>
        <v>83044.17</v>
      </c>
      <c r="H227" s="7" t="n">
        <f aca="false">IF(D227=0,0,C227/D227)</f>
        <v>0</v>
      </c>
      <c r="I227" s="7" t="n">
        <f aca="false">IF(D227=0,0,B227/D227)</f>
        <v>1</v>
      </c>
      <c r="J227" s="6" t="n">
        <f aca="false">E227*H227</f>
        <v>0</v>
      </c>
      <c r="K227" s="6" t="n">
        <f aca="false">E227*I227</f>
        <v>83044.17</v>
      </c>
      <c r="L227" s="6" t="n">
        <v>0</v>
      </c>
      <c r="M227" s="6" t="n">
        <v>83044.17</v>
      </c>
      <c r="N227" s="6"/>
      <c r="O227" s="6"/>
      <c r="P227" s="7"/>
      <c r="Q227" s="5" t="s">
        <v>26</v>
      </c>
      <c r="R227" s="5" t="s">
        <v>27</v>
      </c>
    </row>
    <row r="228" customFormat="false" ht="15" hidden="false" customHeight="true" outlineLevel="0" collapsed="false">
      <c r="A228" s="5" t="s">
        <v>252</v>
      </c>
      <c r="B228" s="6" t="n">
        <v>277442341.45</v>
      </c>
      <c r="C228" s="6" t="n">
        <v>0</v>
      </c>
      <c r="D228" s="6" t="n">
        <v>277442341.45</v>
      </c>
      <c r="E228" s="6" t="n">
        <v>102653.67</v>
      </c>
      <c r="F228" s="6" t="n">
        <v>0</v>
      </c>
      <c r="G228" s="6" t="n">
        <f aca="false">E228+F228</f>
        <v>102653.67</v>
      </c>
      <c r="H228" s="7" t="n">
        <f aca="false">IF(D228=0,0,C228/D228)</f>
        <v>0</v>
      </c>
      <c r="I228" s="7" t="n">
        <f aca="false">IF(D228=0,0,B228/D228)</f>
        <v>1</v>
      </c>
      <c r="J228" s="6" t="n">
        <f aca="false">E228*H228</f>
        <v>0</v>
      </c>
      <c r="K228" s="6" t="n">
        <f aca="false">E228*I228</f>
        <v>102653.67</v>
      </c>
      <c r="L228" s="6" t="n">
        <v>0</v>
      </c>
      <c r="M228" s="6" t="n">
        <v>102653.67</v>
      </c>
      <c r="N228" s="6"/>
      <c r="O228" s="6"/>
      <c r="P228" s="7"/>
      <c r="Q228" s="5" t="s">
        <v>26</v>
      </c>
      <c r="R228" s="5" t="s">
        <v>27</v>
      </c>
    </row>
    <row r="229" customFormat="false" ht="15" hidden="false" customHeight="true" outlineLevel="0" collapsed="false">
      <c r="A229" s="5" t="s">
        <v>253</v>
      </c>
      <c r="B229" s="6" t="n">
        <v>256096011.37</v>
      </c>
      <c r="C229" s="6" t="n">
        <v>0</v>
      </c>
      <c r="D229" s="6" t="n">
        <v>256096011.37</v>
      </c>
      <c r="E229" s="6" t="n">
        <v>94755.52</v>
      </c>
      <c r="F229" s="6" t="n">
        <v>0</v>
      </c>
      <c r="G229" s="6" t="n">
        <f aca="false">E229+F229</f>
        <v>94755.52</v>
      </c>
      <c r="H229" s="7" t="n">
        <f aca="false">IF(D229=0,0,C229/D229)</f>
        <v>0</v>
      </c>
      <c r="I229" s="7" t="n">
        <f aca="false">IF(D229=0,0,B229/D229)</f>
        <v>1</v>
      </c>
      <c r="J229" s="6" t="n">
        <f aca="false">E229*H229</f>
        <v>0</v>
      </c>
      <c r="K229" s="6" t="n">
        <f aca="false">E229*I229</f>
        <v>94755.52</v>
      </c>
      <c r="L229" s="6" t="n">
        <v>0</v>
      </c>
      <c r="M229" s="6" t="n">
        <v>94755.52</v>
      </c>
      <c r="N229" s="6"/>
      <c r="O229" s="6"/>
      <c r="P229" s="7"/>
      <c r="Q229" s="5" t="s">
        <v>26</v>
      </c>
      <c r="R229" s="5" t="s">
        <v>27</v>
      </c>
    </row>
    <row r="230" customFormat="false" ht="15" hidden="false" customHeight="true" outlineLevel="0" collapsed="false">
      <c r="A230" s="5" t="s">
        <v>254</v>
      </c>
      <c r="B230" s="6" t="n">
        <v>450742564.35</v>
      </c>
      <c r="C230" s="6" t="n">
        <v>0</v>
      </c>
      <c r="D230" s="6" t="n">
        <v>450742564.35</v>
      </c>
      <c r="E230" s="6" t="n">
        <v>166774.75</v>
      </c>
      <c r="F230" s="6" t="n">
        <v>0</v>
      </c>
      <c r="G230" s="6" t="n">
        <f aca="false">E230+F230</f>
        <v>166774.75</v>
      </c>
      <c r="H230" s="7" t="n">
        <f aca="false">IF(D230=0,0,C230/D230)</f>
        <v>0</v>
      </c>
      <c r="I230" s="7" t="n">
        <f aca="false">IF(D230=0,0,B230/D230)</f>
        <v>1</v>
      </c>
      <c r="J230" s="6" t="n">
        <f aca="false">E230*H230</f>
        <v>0</v>
      </c>
      <c r="K230" s="6" t="n">
        <f aca="false">E230*I230</f>
        <v>166774.75</v>
      </c>
      <c r="L230" s="6" t="n">
        <v>0</v>
      </c>
      <c r="M230" s="6" t="n">
        <v>166774.75</v>
      </c>
      <c r="N230" s="6"/>
      <c r="O230" s="6"/>
      <c r="P230" s="7"/>
      <c r="Q230" s="5" t="s">
        <v>26</v>
      </c>
      <c r="R230" s="5" t="s">
        <v>27</v>
      </c>
    </row>
    <row r="231" customFormat="false" ht="15" hidden="false" customHeight="true" outlineLevel="0" collapsed="false">
      <c r="A231" s="5" t="s">
        <v>255</v>
      </c>
      <c r="B231" s="6" t="n">
        <v>954353310.97</v>
      </c>
      <c r="C231" s="6" t="n">
        <v>0</v>
      </c>
      <c r="D231" s="6" t="n">
        <v>954353310.97</v>
      </c>
      <c r="E231" s="6" t="n">
        <v>353110.73</v>
      </c>
      <c r="F231" s="6" t="n">
        <v>0</v>
      </c>
      <c r="G231" s="6" t="n">
        <f aca="false">E231+F231</f>
        <v>353110.73</v>
      </c>
      <c r="H231" s="7" t="n">
        <f aca="false">IF(D231=0,0,C231/D231)</f>
        <v>0</v>
      </c>
      <c r="I231" s="7" t="n">
        <f aca="false">IF(D231=0,0,B231/D231)</f>
        <v>1</v>
      </c>
      <c r="J231" s="6" t="n">
        <f aca="false">E231*H231</f>
        <v>0</v>
      </c>
      <c r="K231" s="6" t="n">
        <f aca="false">E231*I231</f>
        <v>353110.73</v>
      </c>
      <c r="L231" s="6" t="n">
        <v>0</v>
      </c>
      <c r="M231" s="6" t="n">
        <v>353110.73</v>
      </c>
      <c r="N231" s="6"/>
      <c r="O231" s="6"/>
      <c r="P231" s="7"/>
      <c r="Q231" s="5" t="s">
        <v>26</v>
      </c>
      <c r="R231" s="5" t="s">
        <v>27</v>
      </c>
    </row>
    <row r="232" customFormat="false" ht="15" hidden="false" customHeight="true" outlineLevel="0" collapsed="false">
      <c r="A232" s="5" t="s">
        <v>256</v>
      </c>
      <c r="B232" s="6" t="n">
        <v>471431381.64</v>
      </c>
      <c r="C232" s="6" t="n">
        <v>0</v>
      </c>
      <c r="D232" s="6" t="n">
        <v>471431381.64</v>
      </c>
      <c r="E232" s="6" t="n">
        <v>174429.61</v>
      </c>
      <c r="F232" s="6" t="n">
        <v>0</v>
      </c>
      <c r="G232" s="6" t="n">
        <f aca="false">E232+F232</f>
        <v>174429.61</v>
      </c>
      <c r="H232" s="7" t="n">
        <f aca="false">IF(D232=0,0,C232/D232)</f>
        <v>0</v>
      </c>
      <c r="I232" s="7" t="n">
        <f aca="false">IF(D232=0,0,B232/D232)</f>
        <v>1</v>
      </c>
      <c r="J232" s="6" t="n">
        <f aca="false">E232*H232</f>
        <v>0</v>
      </c>
      <c r="K232" s="6" t="n">
        <f aca="false">E232*I232</f>
        <v>174429.61</v>
      </c>
      <c r="L232" s="6" t="n">
        <v>0</v>
      </c>
      <c r="M232" s="6" t="n">
        <v>174429.61</v>
      </c>
      <c r="N232" s="6"/>
      <c r="O232" s="6"/>
      <c r="P232" s="7"/>
      <c r="Q232" s="5" t="s">
        <v>26</v>
      </c>
      <c r="R232" s="5" t="s">
        <v>27</v>
      </c>
    </row>
    <row r="233" customFormat="false" ht="15" hidden="false" customHeight="true" outlineLevel="0" collapsed="false">
      <c r="A233" s="5" t="s">
        <v>257</v>
      </c>
      <c r="B233" s="6" t="n">
        <v>612731389.55</v>
      </c>
      <c r="C233" s="6" t="n">
        <v>0</v>
      </c>
      <c r="D233" s="6" t="n">
        <v>612731389.55</v>
      </c>
      <c r="E233" s="6" t="n">
        <v>226710.61</v>
      </c>
      <c r="F233" s="6" t="n">
        <v>0</v>
      </c>
      <c r="G233" s="6" t="n">
        <f aca="false">E233+F233</f>
        <v>226710.61</v>
      </c>
      <c r="H233" s="7" t="n">
        <f aca="false">IF(D233=0,0,C233/D233)</f>
        <v>0</v>
      </c>
      <c r="I233" s="7" t="n">
        <f aca="false">IF(D233=0,0,B233/D233)</f>
        <v>1</v>
      </c>
      <c r="J233" s="6" t="n">
        <f aca="false">E233*H233</f>
        <v>0</v>
      </c>
      <c r="K233" s="6" t="n">
        <f aca="false">E233*I233</f>
        <v>226710.61</v>
      </c>
      <c r="L233" s="6" t="n">
        <v>0</v>
      </c>
      <c r="M233" s="6" t="n">
        <v>226710.61</v>
      </c>
      <c r="N233" s="6"/>
      <c r="O233" s="6"/>
      <c r="P233" s="7"/>
      <c r="Q233" s="5" t="s">
        <v>26</v>
      </c>
      <c r="R233" s="5" t="s">
        <v>27</v>
      </c>
    </row>
    <row r="234" customFormat="false" ht="15" hidden="false" customHeight="true" outlineLevel="0" collapsed="false">
      <c r="A234" s="5" t="s">
        <v>258</v>
      </c>
      <c r="B234" s="6" t="n">
        <v>396289097.42</v>
      </c>
      <c r="C234" s="6" t="n">
        <v>0</v>
      </c>
      <c r="D234" s="6" t="n">
        <v>396289097.42</v>
      </c>
      <c r="E234" s="6" t="n">
        <v>146626.97</v>
      </c>
      <c r="F234" s="6" t="n">
        <v>0</v>
      </c>
      <c r="G234" s="6" t="n">
        <f aca="false">E234+F234</f>
        <v>146626.97</v>
      </c>
      <c r="H234" s="7" t="n">
        <f aca="false">IF(D234=0,0,C234/D234)</f>
        <v>0</v>
      </c>
      <c r="I234" s="7" t="n">
        <f aca="false">IF(D234=0,0,B234/D234)</f>
        <v>1</v>
      </c>
      <c r="J234" s="6" t="n">
        <f aca="false">E234*H234</f>
        <v>0</v>
      </c>
      <c r="K234" s="6" t="n">
        <f aca="false">E234*I234</f>
        <v>146626.97</v>
      </c>
      <c r="L234" s="6" t="n">
        <v>0</v>
      </c>
      <c r="M234" s="6" t="n">
        <v>146626.97</v>
      </c>
      <c r="N234" s="6"/>
      <c r="O234" s="6"/>
      <c r="P234" s="7"/>
      <c r="Q234" s="5" t="s">
        <v>26</v>
      </c>
      <c r="R234" s="5" t="s">
        <v>27</v>
      </c>
    </row>
    <row r="235" customFormat="false" ht="15" hidden="false" customHeight="true" outlineLevel="0" collapsed="false">
      <c r="A235" s="5" t="s">
        <v>259</v>
      </c>
      <c r="B235" s="6" t="n">
        <v>416707318.16</v>
      </c>
      <c r="C235" s="6" t="n">
        <v>0</v>
      </c>
      <c r="D235" s="6" t="n">
        <v>416707318.16</v>
      </c>
      <c r="E235" s="6" t="n">
        <v>154181.71</v>
      </c>
      <c r="F235" s="6" t="n">
        <v>0</v>
      </c>
      <c r="G235" s="6" t="n">
        <f aca="false">E235+F235</f>
        <v>154181.71</v>
      </c>
      <c r="H235" s="7" t="n">
        <f aca="false">IF(D235=0,0,C235/D235)</f>
        <v>0</v>
      </c>
      <c r="I235" s="7" t="n">
        <f aca="false">IF(D235=0,0,B235/D235)</f>
        <v>1</v>
      </c>
      <c r="J235" s="6" t="n">
        <f aca="false">E235*H235</f>
        <v>0</v>
      </c>
      <c r="K235" s="6" t="n">
        <f aca="false">E235*I235</f>
        <v>154181.71</v>
      </c>
      <c r="L235" s="6" t="n">
        <v>0</v>
      </c>
      <c r="M235" s="6" t="n">
        <v>154181.71</v>
      </c>
      <c r="N235" s="6"/>
      <c r="O235" s="6"/>
      <c r="P235" s="7"/>
      <c r="Q235" s="5" t="s">
        <v>26</v>
      </c>
      <c r="R235" s="5" t="s">
        <v>27</v>
      </c>
    </row>
    <row r="236" customFormat="false" ht="15" hidden="false" customHeight="true" outlineLevel="0" collapsed="false">
      <c r="A236" s="5" t="s">
        <v>260</v>
      </c>
      <c r="B236" s="6" t="n">
        <v>596183875.92</v>
      </c>
      <c r="C236" s="6" t="n">
        <v>0</v>
      </c>
      <c r="D236" s="6" t="n">
        <v>596183875.92</v>
      </c>
      <c r="E236" s="6" t="n">
        <v>220588.03</v>
      </c>
      <c r="F236" s="6" t="n">
        <v>0</v>
      </c>
      <c r="G236" s="6" t="n">
        <f aca="false">E236+F236</f>
        <v>220588.03</v>
      </c>
      <c r="H236" s="7" t="n">
        <f aca="false">IF(D236=0,0,C236/D236)</f>
        <v>0</v>
      </c>
      <c r="I236" s="7" t="n">
        <f aca="false">IF(D236=0,0,B236/D236)</f>
        <v>1</v>
      </c>
      <c r="J236" s="6" t="n">
        <f aca="false">E236*H236</f>
        <v>0</v>
      </c>
      <c r="K236" s="6" t="n">
        <f aca="false">E236*I236</f>
        <v>220588.03</v>
      </c>
      <c r="L236" s="6" t="n">
        <v>0</v>
      </c>
      <c r="M236" s="6" t="n">
        <v>220588.03</v>
      </c>
      <c r="N236" s="6"/>
      <c r="O236" s="6"/>
      <c r="P236" s="7"/>
      <c r="Q236" s="5" t="s">
        <v>26</v>
      </c>
      <c r="R236" s="5" t="s">
        <v>27</v>
      </c>
    </row>
    <row r="237" customFormat="false" ht="15" hidden="false" customHeight="true" outlineLevel="0" collapsed="false">
      <c r="A237" s="5" t="s">
        <v>261</v>
      </c>
      <c r="B237" s="6" t="n">
        <v>614460097.9</v>
      </c>
      <c r="C237" s="6" t="n">
        <v>0</v>
      </c>
      <c r="D237" s="6" t="n">
        <v>614460097.9</v>
      </c>
      <c r="E237" s="6" t="n">
        <v>227350.24</v>
      </c>
      <c r="F237" s="6" t="n">
        <v>0</v>
      </c>
      <c r="G237" s="6" t="n">
        <f aca="false">E237+F237</f>
        <v>227350.24</v>
      </c>
      <c r="H237" s="7" t="n">
        <f aca="false">IF(D237=0,0,C237/D237)</f>
        <v>0</v>
      </c>
      <c r="I237" s="7" t="n">
        <f aca="false">IF(D237=0,0,B237/D237)</f>
        <v>1</v>
      </c>
      <c r="J237" s="6" t="n">
        <f aca="false">E237*H237</f>
        <v>0</v>
      </c>
      <c r="K237" s="6" t="n">
        <f aca="false">E237*I237</f>
        <v>227350.24</v>
      </c>
      <c r="L237" s="6" t="n">
        <v>0</v>
      </c>
      <c r="M237" s="6" t="n">
        <v>227350.24</v>
      </c>
      <c r="N237" s="6"/>
      <c r="O237" s="6"/>
      <c r="P237" s="7"/>
      <c r="Q237" s="5" t="s">
        <v>26</v>
      </c>
      <c r="R237" s="5" t="s">
        <v>27</v>
      </c>
    </row>
    <row r="238" customFormat="false" ht="15" hidden="false" customHeight="true" outlineLevel="0" collapsed="false">
      <c r="A238" s="5" t="s">
        <v>262</v>
      </c>
      <c r="B238" s="6" t="n">
        <v>798210440.5</v>
      </c>
      <c r="C238" s="6" t="n">
        <v>0</v>
      </c>
      <c r="D238" s="6" t="n">
        <v>798210440.5</v>
      </c>
      <c r="E238" s="6" t="n">
        <v>295337.86</v>
      </c>
      <c r="F238" s="6" t="n">
        <v>0</v>
      </c>
      <c r="G238" s="6" t="n">
        <f aca="false">E238+F238</f>
        <v>295337.86</v>
      </c>
      <c r="H238" s="7" t="n">
        <f aca="false">IF(D238=0,0,C238/D238)</f>
        <v>0</v>
      </c>
      <c r="I238" s="7" t="n">
        <f aca="false">IF(D238=0,0,B238/D238)</f>
        <v>1</v>
      </c>
      <c r="J238" s="6" t="n">
        <f aca="false">E238*H238</f>
        <v>0</v>
      </c>
      <c r="K238" s="6" t="n">
        <f aca="false">E238*I238</f>
        <v>295337.86</v>
      </c>
      <c r="L238" s="6" t="n">
        <v>0</v>
      </c>
      <c r="M238" s="6" t="n">
        <v>295337.86</v>
      </c>
      <c r="N238" s="6"/>
      <c r="O238" s="6"/>
      <c r="P238" s="7"/>
      <c r="Q238" s="5" t="s">
        <v>26</v>
      </c>
      <c r="R238" s="5" t="s">
        <v>27</v>
      </c>
    </row>
    <row r="239" customFormat="false" ht="15" hidden="false" customHeight="true" outlineLevel="0" collapsed="false">
      <c r="A239" s="5" t="s">
        <v>263</v>
      </c>
      <c r="B239" s="6" t="n">
        <v>791149862.9</v>
      </c>
      <c r="C239" s="6" t="n">
        <v>0</v>
      </c>
      <c r="D239" s="6" t="n">
        <v>791149862.9</v>
      </c>
      <c r="E239" s="6" t="n">
        <v>292725.45</v>
      </c>
      <c r="F239" s="6" t="n">
        <v>0</v>
      </c>
      <c r="G239" s="6" t="n">
        <f aca="false">E239+F239</f>
        <v>292725.45</v>
      </c>
      <c r="H239" s="7" t="n">
        <f aca="false">IF(D239=0,0,C239/D239)</f>
        <v>0</v>
      </c>
      <c r="I239" s="7" t="n">
        <f aca="false">IF(D239=0,0,B239/D239)</f>
        <v>1</v>
      </c>
      <c r="J239" s="6" t="n">
        <f aca="false">E239*H239</f>
        <v>0</v>
      </c>
      <c r="K239" s="6" t="n">
        <f aca="false">E239*I239</f>
        <v>292725.45</v>
      </c>
      <c r="L239" s="6" t="n">
        <v>0</v>
      </c>
      <c r="M239" s="6" t="n">
        <v>292725.45</v>
      </c>
      <c r="N239" s="6"/>
      <c r="O239" s="6"/>
      <c r="P239" s="7"/>
      <c r="Q239" s="5" t="s">
        <v>26</v>
      </c>
      <c r="R239" s="5" t="s">
        <v>27</v>
      </c>
    </row>
    <row r="240" customFormat="false" ht="15" hidden="false" customHeight="true" outlineLevel="0" collapsed="false">
      <c r="A240" s="5" t="s">
        <v>264</v>
      </c>
      <c r="B240" s="6" t="n">
        <v>936115702.83</v>
      </c>
      <c r="C240" s="6" t="n">
        <v>0</v>
      </c>
      <c r="D240" s="6" t="n">
        <v>936115702.83</v>
      </c>
      <c r="E240" s="6" t="n">
        <v>346362.81</v>
      </c>
      <c r="F240" s="6" t="n">
        <v>0</v>
      </c>
      <c r="G240" s="6" t="n">
        <f aca="false">E240+F240</f>
        <v>346362.81</v>
      </c>
      <c r="H240" s="7" t="n">
        <f aca="false">IF(D240=0,0,C240/D240)</f>
        <v>0</v>
      </c>
      <c r="I240" s="7" t="n">
        <f aca="false">IF(D240=0,0,B240/D240)</f>
        <v>1</v>
      </c>
      <c r="J240" s="6" t="n">
        <f aca="false">E240*H240</f>
        <v>0</v>
      </c>
      <c r="K240" s="6" t="n">
        <f aca="false">E240*I240</f>
        <v>346362.81</v>
      </c>
      <c r="L240" s="6" t="n">
        <v>0</v>
      </c>
      <c r="M240" s="6" t="n">
        <v>346362.81</v>
      </c>
      <c r="N240" s="6"/>
      <c r="O240" s="6"/>
      <c r="P240" s="7"/>
      <c r="Q240" s="5" t="s">
        <v>26</v>
      </c>
      <c r="R240" s="5" t="s">
        <v>27</v>
      </c>
    </row>
    <row r="241" customFormat="false" ht="15" hidden="false" customHeight="true" outlineLevel="0" collapsed="false">
      <c r="A241" s="5" t="s">
        <v>265</v>
      </c>
      <c r="B241" s="6" t="n">
        <v>411936005.93</v>
      </c>
      <c r="C241" s="6" t="n">
        <v>0</v>
      </c>
      <c r="D241" s="6" t="n">
        <v>411936005.93</v>
      </c>
      <c r="E241" s="6" t="n">
        <v>152416.32</v>
      </c>
      <c r="F241" s="6" t="n">
        <v>0</v>
      </c>
      <c r="G241" s="6" t="n">
        <f aca="false">E241+F241</f>
        <v>152416.32</v>
      </c>
      <c r="H241" s="7" t="n">
        <f aca="false">IF(D241=0,0,C241/D241)</f>
        <v>0</v>
      </c>
      <c r="I241" s="7" t="n">
        <f aca="false">IF(D241=0,0,B241/D241)</f>
        <v>1</v>
      </c>
      <c r="J241" s="6" t="n">
        <f aca="false">E241*H241</f>
        <v>0</v>
      </c>
      <c r="K241" s="6" t="n">
        <f aca="false">E241*I241</f>
        <v>152416.32</v>
      </c>
      <c r="L241" s="6" t="n">
        <v>0</v>
      </c>
      <c r="M241" s="6" t="n">
        <v>152416.32</v>
      </c>
      <c r="N241" s="6"/>
      <c r="O241" s="6"/>
      <c r="P241" s="7"/>
      <c r="Q241" s="5" t="s">
        <v>26</v>
      </c>
      <c r="R241" s="5" t="s">
        <v>27</v>
      </c>
    </row>
    <row r="242" customFormat="false" ht="15" hidden="false" customHeight="true" outlineLevel="0" collapsed="false">
      <c r="A242" s="5" t="s">
        <v>266</v>
      </c>
      <c r="B242" s="6" t="n">
        <v>416379901.66</v>
      </c>
      <c r="C242" s="6" t="n">
        <v>0</v>
      </c>
      <c r="D242" s="6" t="n">
        <v>416379901.66</v>
      </c>
      <c r="E242" s="6" t="n">
        <v>154060.56</v>
      </c>
      <c r="F242" s="6" t="n">
        <v>0</v>
      </c>
      <c r="G242" s="6" t="n">
        <f aca="false">E242+F242</f>
        <v>154060.56</v>
      </c>
      <c r="H242" s="7" t="n">
        <f aca="false">IF(D242=0,0,C242/D242)</f>
        <v>0</v>
      </c>
      <c r="I242" s="7" t="n">
        <f aca="false">IF(D242=0,0,B242/D242)</f>
        <v>1</v>
      </c>
      <c r="J242" s="6" t="n">
        <f aca="false">E242*H242</f>
        <v>0</v>
      </c>
      <c r="K242" s="6" t="n">
        <f aca="false">E242*I242</f>
        <v>154060.56</v>
      </c>
      <c r="L242" s="6" t="n">
        <v>0</v>
      </c>
      <c r="M242" s="6" t="n">
        <v>154060.56</v>
      </c>
      <c r="N242" s="6"/>
      <c r="O242" s="6"/>
      <c r="P242" s="7"/>
      <c r="Q242" s="5" t="s">
        <v>26</v>
      </c>
      <c r="R242" s="5" t="s">
        <v>27</v>
      </c>
    </row>
    <row r="243" customFormat="false" ht="15" hidden="false" customHeight="true" outlineLevel="0" collapsed="false">
      <c r="A243" s="5" t="s">
        <v>267</v>
      </c>
      <c r="B243" s="6" t="n">
        <v>440621686.3</v>
      </c>
      <c r="C243" s="6" t="n">
        <v>0</v>
      </c>
      <c r="D243" s="6" t="n">
        <v>440621686.3</v>
      </c>
      <c r="E243" s="6" t="n">
        <v>163030.02</v>
      </c>
      <c r="F243" s="6" t="n">
        <v>0</v>
      </c>
      <c r="G243" s="6" t="n">
        <f aca="false">E243+F243</f>
        <v>163030.02</v>
      </c>
      <c r="H243" s="7" t="n">
        <f aca="false">IF(D243=0,0,C243/D243)</f>
        <v>0</v>
      </c>
      <c r="I243" s="7" t="n">
        <f aca="false">IF(D243=0,0,B243/D243)</f>
        <v>1</v>
      </c>
      <c r="J243" s="6" t="n">
        <f aca="false">E243*H243</f>
        <v>0</v>
      </c>
      <c r="K243" s="6" t="n">
        <f aca="false">E243*I243</f>
        <v>163030.02</v>
      </c>
      <c r="L243" s="6" t="n">
        <v>0</v>
      </c>
      <c r="M243" s="6" t="n">
        <v>163030.02</v>
      </c>
      <c r="N243" s="6"/>
      <c r="O243" s="6"/>
      <c r="P243" s="7"/>
      <c r="Q243" s="5" t="s">
        <v>26</v>
      </c>
      <c r="R243" s="5" t="s">
        <v>27</v>
      </c>
    </row>
    <row r="244" customFormat="false" ht="15" hidden="false" customHeight="true" outlineLevel="0" collapsed="false">
      <c r="A244" s="5" t="s">
        <v>268</v>
      </c>
      <c r="B244" s="6" t="n">
        <v>529081536.01</v>
      </c>
      <c r="C244" s="6" t="n">
        <v>0</v>
      </c>
      <c r="D244" s="6" t="n">
        <v>529081536.01</v>
      </c>
      <c r="E244" s="6" t="n">
        <v>195760.17</v>
      </c>
      <c r="F244" s="6" t="n">
        <v>0</v>
      </c>
      <c r="G244" s="6" t="n">
        <f aca="false">E244+F244</f>
        <v>195760.17</v>
      </c>
      <c r="H244" s="7" t="n">
        <f aca="false">IF(D244=0,0,C244/D244)</f>
        <v>0</v>
      </c>
      <c r="I244" s="7" t="n">
        <f aca="false">IF(D244=0,0,B244/D244)</f>
        <v>1</v>
      </c>
      <c r="J244" s="6" t="n">
        <f aca="false">E244*H244</f>
        <v>0</v>
      </c>
      <c r="K244" s="6" t="n">
        <f aca="false">E244*I244</f>
        <v>195760.17</v>
      </c>
      <c r="L244" s="6" t="n">
        <v>0</v>
      </c>
      <c r="M244" s="6" t="n">
        <v>195760.17</v>
      </c>
      <c r="N244" s="6"/>
      <c r="O244" s="6"/>
      <c r="P244" s="7"/>
      <c r="Q244" s="5" t="s">
        <v>26</v>
      </c>
      <c r="R244" s="5" t="s">
        <v>27</v>
      </c>
    </row>
    <row r="245" customFormat="false" ht="15" hidden="false" customHeight="true" outlineLevel="0" collapsed="false">
      <c r="A245" s="5" t="s">
        <v>269</v>
      </c>
      <c r="B245" s="6" t="n">
        <v>504135057.43</v>
      </c>
      <c r="C245" s="6" t="n">
        <v>0</v>
      </c>
      <c r="D245" s="6" t="n">
        <v>504135057.43</v>
      </c>
      <c r="E245" s="6" t="n">
        <v>186529.97</v>
      </c>
      <c r="F245" s="6" t="n">
        <v>0</v>
      </c>
      <c r="G245" s="6" t="n">
        <f aca="false">E245+F245</f>
        <v>186529.97</v>
      </c>
      <c r="H245" s="7" t="n">
        <f aca="false">IF(D245=0,0,C245/D245)</f>
        <v>0</v>
      </c>
      <c r="I245" s="7" t="n">
        <f aca="false">IF(D245=0,0,B245/D245)</f>
        <v>1</v>
      </c>
      <c r="J245" s="6" t="n">
        <f aca="false">E245*H245</f>
        <v>0</v>
      </c>
      <c r="K245" s="6" t="n">
        <f aca="false">E245*I245</f>
        <v>186529.97</v>
      </c>
      <c r="L245" s="6" t="n">
        <v>0</v>
      </c>
      <c r="M245" s="6" t="n">
        <v>186529.97</v>
      </c>
      <c r="N245" s="6"/>
      <c r="O245" s="6"/>
      <c r="P245" s="7"/>
      <c r="Q245" s="5" t="s">
        <v>26</v>
      </c>
      <c r="R245" s="5" t="s">
        <v>27</v>
      </c>
    </row>
    <row r="246" customFormat="false" ht="15" hidden="false" customHeight="true" outlineLevel="0" collapsed="false">
      <c r="A246" s="5" t="s">
        <v>270</v>
      </c>
      <c r="B246" s="6" t="n">
        <v>566838003.2</v>
      </c>
      <c r="C246" s="6" t="n">
        <v>0</v>
      </c>
      <c r="D246" s="6" t="n">
        <v>566838003.2</v>
      </c>
      <c r="E246" s="6" t="n">
        <v>209730.06</v>
      </c>
      <c r="F246" s="6" t="n">
        <v>0</v>
      </c>
      <c r="G246" s="6" t="n">
        <f aca="false">E246+F246</f>
        <v>209730.06</v>
      </c>
      <c r="H246" s="7" t="n">
        <f aca="false">IF(D246=0,0,C246/D246)</f>
        <v>0</v>
      </c>
      <c r="I246" s="7" t="n">
        <f aca="false">IF(D246=0,0,B246/D246)</f>
        <v>1</v>
      </c>
      <c r="J246" s="6" t="n">
        <f aca="false">E246*H246</f>
        <v>0</v>
      </c>
      <c r="K246" s="6" t="n">
        <f aca="false">E246*I246</f>
        <v>209730.06</v>
      </c>
      <c r="L246" s="6" t="n">
        <v>0</v>
      </c>
      <c r="M246" s="6" t="n">
        <v>209730.06</v>
      </c>
      <c r="N246" s="6"/>
      <c r="O246" s="6"/>
      <c r="P246" s="7"/>
      <c r="Q246" s="5" t="s">
        <v>26</v>
      </c>
      <c r="R246" s="5" t="s">
        <v>27</v>
      </c>
    </row>
    <row r="247" customFormat="false" ht="15" hidden="false" customHeight="true" outlineLevel="0" collapsed="false">
      <c r="A247" s="5" t="s">
        <v>271</v>
      </c>
      <c r="B247" s="6" t="n">
        <v>635265123.01</v>
      </c>
      <c r="C247" s="6" t="n">
        <v>0</v>
      </c>
      <c r="D247" s="6" t="n">
        <v>635265123.01</v>
      </c>
      <c r="E247" s="6" t="n">
        <v>235048.1</v>
      </c>
      <c r="F247" s="6" t="n">
        <v>0</v>
      </c>
      <c r="G247" s="6" t="n">
        <f aca="false">E247+F247</f>
        <v>235048.1</v>
      </c>
      <c r="H247" s="7" t="n">
        <f aca="false">IF(D247=0,0,C247/D247)</f>
        <v>0</v>
      </c>
      <c r="I247" s="7" t="n">
        <f aca="false">IF(D247=0,0,B247/D247)</f>
        <v>1</v>
      </c>
      <c r="J247" s="6" t="n">
        <f aca="false">E247*H247</f>
        <v>0</v>
      </c>
      <c r="K247" s="6" t="n">
        <f aca="false">E247*I247</f>
        <v>235048.1</v>
      </c>
      <c r="L247" s="6" t="n">
        <v>0</v>
      </c>
      <c r="M247" s="6" t="n">
        <v>235048.1</v>
      </c>
      <c r="N247" s="6"/>
      <c r="O247" s="6"/>
      <c r="P247" s="7"/>
      <c r="Q247" s="5" t="s">
        <v>26</v>
      </c>
      <c r="R247" s="5" t="s">
        <v>27</v>
      </c>
    </row>
    <row r="248" customFormat="false" ht="15" hidden="false" customHeight="true" outlineLevel="0" collapsed="false">
      <c r="A248" s="5" t="s">
        <v>272</v>
      </c>
      <c r="B248" s="6" t="n">
        <v>333190433.36</v>
      </c>
      <c r="C248" s="6" t="n">
        <v>0</v>
      </c>
      <c r="D248" s="6" t="n">
        <v>333190433.36</v>
      </c>
      <c r="E248" s="6" t="n">
        <v>123280.46</v>
      </c>
      <c r="F248" s="6" t="n">
        <v>0</v>
      </c>
      <c r="G248" s="6" t="n">
        <f aca="false">E248+F248</f>
        <v>123280.46</v>
      </c>
      <c r="H248" s="7" t="n">
        <f aca="false">IF(D248=0,0,C248/D248)</f>
        <v>0</v>
      </c>
      <c r="I248" s="7" t="n">
        <f aca="false">IF(D248=0,0,B248/D248)</f>
        <v>1</v>
      </c>
      <c r="J248" s="6" t="n">
        <f aca="false">E248*H248</f>
        <v>0</v>
      </c>
      <c r="K248" s="6" t="n">
        <f aca="false">E248*I248</f>
        <v>123280.46</v>
      </c>
      <c r="L248" s="6" t="n">
        <v>0</v>
      </c>
      <c r="M248" s="6" t="n">
        <v>123280.46</v>
      </c>
      <c r="N248" s="6"/>
      <c r="O248" s="6"/>
      <c r="P248" s="7"/>
      <c r="Q248" s="5" t="s">
        <v>26</v>
      </c>
      <c r="R248" s="5" t="s">
        <v>27</v>
      </c>
    </row>
    <row r="249" customFormat="false" ht="15" hidden="false" customHeight="true" outlineLevel="0" collapsed="false">
      <c r="A249" s="5" t="s">
        <v>273</v>
      </c>
      <c r="B249" s="6" t="n">
        <v>306680328.93</v>
      </c>
      <c r="C249" s="6" t="n">
        <v>0</v>
      </c>
      <c r="D249" s="6" t="n">
        <v>306680328.93</v>
      </c>
      <c r="E249" s="6" t="n">
        <v>113471.72</v>
      </c>
      <c r="F249" s="6" t="n">
        <v>0</v>
      </c>
      <c r="G249" s="6" t="n">
        <f aca="false">E249+F249</f>
        <v>113471.72</v>
      </c>
      <c r="H249" s="7" t="n">
        <f aca="false">IF(D249=0,0,C249/D249)</f>
        <v>0</v>
      </c>
      <c r="I249" s="7" t="n">
        <f aca="false">IF(D249=0,0,B249/D249)</f>
        <v>1</v>
      </c>
      <c r="J249" s="6" t="n">
        <f aca="false">E249*H249</f>
        <v>0</v>
      </c>
      <c r="K249" s="6" t="n">
        <f aca="false">E249*I249</f>
        <v>113471.72</v>
      </c>
      <c r="L249" s="6" t="n">
        <v>0</v>
      </c>
      <c r="M249" s="6" t="n">
        <v>113471.72</v>
      </c>
      <c r="N249" s="6"/>
      <c r="O249" s="6"/>
      <c r="P249" s="7"/>
      <c r="Q249" s="5" t="s">
        <v>26</v>
      </c>
      <c r="R249" s="5" t="s">
        <v>27</v>
      </c>
    </row>
    <row r="250" customFormat="false" ht="15" hidden="false" customHeight="true" outlineLevel="0" collapsed="false">
      <c r="A250" s="5" t="s">
        <v>274</v>
      </c>
      <c r="B250" s="6" t="n">
        <v>686059006.8</v>
      </c>
      <c r="C250" s="6" t="n">
        <v>0</v>
      </c>
      <c r="D250" s="6" t="n">
        <v>686059006.8</v>
      </c>
      <c r="E250" s="6" t="n">
        <v>253841.83</v>
      </c>
      <c r="F250" s="6" t="n">
        <v>0</v>
      </c>
      <c r="G250" s="6" t="n">
        <f aca="false">E250+F250</f>
        <v>253841.83</v>
      </c>
      <c r="H250" s="7" t="n">
        <f aca="false">IF(D250=0,0,C250/D250)</f>
        <v>0</v>
      </c>
      <c r="I250" s="7" t="n">
        <f aca="false">IF(D250=0,0,B250/D250)</f>
        <v>1</v>
      </c>
      <c r="J250" s="6" t="n">
        <f aca="false">E250*H250</f>
        <v>0</v>
      </c>
      <c r="K250" s="6" t="n">
        <f aca="false">E250*I250</f>
        <v>253841.83</v>
      </c>
      <c r="L250" s="6" t="n">
        <v>0</v>
      </c>
      <c r="M250" s="6" t="n">
        <v>253841.83</v>
      </c>
      <c r="N250" s="6"/>
      <c r="O250" s="6"/>
      <c r="P250" s="7"/>
      <c r="Q250" s="5" t="s">
        <v>26</v>
      </c>
      <c r="R250" s="5" t="s">
        <v>27</v>
      </c>
    </row>
    <row r="251" customFormat="false" ht="15" hidden="false" customHeight="true" outlineLevel="0" collapsed="false">
      <c r="A251" s="5" t="s">
        <v>275</v>
      </c>
      <c r="B251" s="6" t="n">
        <v>682413410.39</v>
      </c>
      <c r="C251" s="6" t="n">
        <v>0</v>
      </c>
      <c r="D251" s="6" t="n">
        <v>682413410.39</v>
      </c>
      <c r="E251" s="6" t="n">
        <v>252492.96</v>
      </c>
      <c r="F251" s="6" t="n">
        <v>0</v>
      </c>
      <c r="G251" s="6" t="n">
        <f aca="false">E251+F251</f>
        <v>252492.96</v>
      </c>
      <c r="H251" s="7" t="n">
        <f aca="false">IF(D251=0,0,C251/D251)</f>
        <v>0</v>
      </c>
      <c r="I251" s="7" t="n">
        <f aca="false">IF(D251=0,0,B251/D251)</f>
        <v>1</v>
      </c>
      <c r="J251" s="6" t="n">
        <f aca="false">E251*H251</f>
        <v>0</v>
      </c>
      <c r="K251" s="6" t="n">
        <f aca="false">E251*I251</f>
        <v>252492.96</v>
      </c>
      <c r="L251" s="6" t="n">
        <v>0</v>
      </c>
      <c r="M251" s="6" t="n">
        <v>252492.96</v>
      </c>
      <c r="N251" s="6"/>
      <c r="O251" s="6"/>
      <c r="P251" s="7"/>
      <c r="Q251" s="5" t="s">
        <v>26</v>
      </c>
      <c r="R251" s="5" t="s">
        <v>27</v>
      </c>
    </row>
    <row r="252" customFormat="false" ht="15" hidden="false" customHeight="true" outlineLevel="0" collapsed="false">
      <c r="A252" s="5" t="s">
        <v>276</v>
      </c>
      <c r="B252" s="6" t="n">
        <v>426660998.64</v>
      </c>
      <c r="C252" s="6" t="n">
        <v>0</v>
      </c>
      <c r="D252" s="6" t="n">
        <v>426660998.64</v>
      </c>
      <c r="E252" s="6" t="n">
        <v>157864.57</v>
      </c>
      <c r="F252" s="6" t="n">
        <v>0</v>
      </c>
      <c r="G252" s="6" t="n">
        <f aca="false">E252+F252</f>
        <v>157864.57</v>
      </c>
      <c r="H252" s="7" t="n">
        <f aca="false">IF(D252=0,0,C252/D252)</f>
        <v>0</v>
      </c>
      <c r="I252" s="7" t="n">
        <f aca="false">IF(D252=0,0,B252/D252)</f>
        <v>1</v>
      </c>
      <c r="J252" s="6" t="n">
        <f aca="false">E252*H252</f>
        <v>0</v>
      </c>
      <c r="K252" s="6" t="n">
        <f aca="false">E252*I252</f>
        <v>157864.57</v>
      </c>
      <c r="L252" s="6" t="n">
        <v>0</v>
      </c>
      <c r="M252" s="6" t="n">
        <v>157864.57</v>
      </c>
      <c r="N252" s="6"/>
      <c r="O252" s="6"/>
      <c r="P252" s="7"/>
      <c r="Q252" s="5" t="s">
        <v>26</v>
      </c>
      <c r="R252" s="5" t="s">
        <v>27</v>
      </c>
    </row>
    <row r="253" customFormat="false" ht="15" hidden="false" customHeight="true" outlineLevel="0" collapsed="false">
      <c r="A253" s="5" t="s">
        <v>277</v>
      </c>
      <c r="B253" s="6" t="n">
        <v>413845334.63</v>
      </c>
      <c r="C253" s="6" t="n">
        <v>0</v>
      </c>
      <c r="D253" s="6" t="n">
        <v>413845334.63</v>
      </c>
      <c r="E253" s="6" t="n">
        <v>153122.77</v>
      </c>
      <c r="F253" s="6" t="n">
        <v>0</v>
      </c>
      <c r="G253" s="6" t="n">
        <f aca="false">E253+F253</f>
        <v>153122.77</v>
      </c>
      <c r="H253" s="7" t="n">
        <f aca="false">IF(D253=0,0,C253/D253)</f>
        <v>0</v>
      </c>
      <c r="I253" s="7" t="n">
        <f aca="false">IF(D253=0,0,B253/D253)</f>
        <v>1</v>
      </c>
      <c r="J253" s="6" t="n">
        <f aca="false">E253*H253</f>
        <v>0</v>
      </c>
      <c r="K253" s="6" t="n">
        <f aca="false">E253*I253</f>
        <v>153122.77</v>
      </c>
      <c r="L253" s="6" t="n">
        <v>0</v>
      </c>
      <c r="M253" s="6" t="n">
        <v>153122.77</v>
      </c>
      <c r="N253" s="6"/>
      <c r="O253" s="6"/>
      <c r="P253" s="7"/>
      <c r="Q253" s="5" t="s">
        <v>26</v>
      </c>
      <c r="R253" s="5" t="s">
        <v>27</v>
      </c>
    </row>
    <row r="254" customFormat="false" ht="15" hidden="false" customHeight="true" outlineLevel="0" collapsed="false">
      <c r="A254" s="5" t="s">
        <v>278</v>
      </c>
      <c r="B254" s="6" t="n">
        <v>543208354.49</v>
      </c>
      <c r="C254" s="6" t="n">
        <v>0</v>
      </c>
      <c r="D254" s="6" t="n">
        <v>543208354.49</v>
      </c>
      <c r="E254" s="6" t="n">
        <v>200987.09</v>
      </c>
      <c r="F254" s="6" t="n">
        <v>0</v>
      </c>
      <c r="G254" s="6" t="n">
        <f aca="false">E254+F254</f>
        <v>200987.09</v>
      </c>
      <c r="H254" s="7" t="n">
        <f aca="false">IF(D254=0,0,C254/D254)</f>
        <v>0</v>
      </c>
      <c r="I254" s="7" t="n">
        <f aca="false">IF(D254=0,0,B254/D254)</f>
        <v>1</v>
      </c>
      <c r="J254" s="6" t="n">
        <f aca="false">E254*H254</f>
        <v>0</v>
      </c>
      <c r="K254" s="6" t="n">
        <f aca="false">E254*I254</f>
        <v>200987.09</v>
      </c>
      <c r="L254" s="6" t="n">
        <v>0</v>
      </c>
      <c r="M254" s="6" t="n">
        <v>200987.09</v>
      </c>
      <c r="N254" s="6"/>
      <c r="O254" s="6"/>
      <c r="P254" s="7"/>
      <c r="Q254" s="5" t="s">
        <v>26</v>
      </c>
      <c r="R254" s="5" t="s">
        <v>27</v>
      </c>
    </row>
    <row r="255" customFormat="false" ht="15" hidden="false" customHeight="true" outlineLevel="0" collapsed="false">
      <c r="A255" s="5" t="s">
        <v>279</v>
      </c>
      <c r="B255" s="6" t="n">
        <v>363829651.1</v>
      </c>
      <c r="C255" s="6" t="n">
        <v>0</v>
      </c>
      <c r="D255" s="6" t="n">
        <v>363829651.1</v>
      </c>
      <c r="E255" s="6" t="n">
        <v>134616.97</v>
      </c>
      <c r="F255" s="6" t="n">
        <v>0</v>
      </c>
      <c r="G255" s="6" t="n">
        <f aca="false">E255+F255</f>
        <v>134616.97</v>
      </c>
      <c r="H255" s="7" t="n">
        <f aca="false">IF(D255=0,0,C255/D255)</f>
        <v>0</v>
      </c>
      <c r="I255" s="7" t="n">
        <f aca="false">IF(D255=0,0,B255/D255)</f>
        <v>1</v>
      </c>
      <c r="J255" s="6" t="n">
        <f aca="false">E255*H255</f>
        <v>0</v>
      </c>
      <c r="K255" s="6" t="n">
        <f aca="false">E255*I255</f>
        <v>134616.97</v>
      </c>
      <c r="L255" s="6" t="n">
        <v>0</v>
      </c>
      <c r="M255" s="6" t="n">
        <v>134616.97</v>
      </c>
      <c r="N255" s="6"/>
      <c r="O255" s="6"/>
      <c r="P255" s="7"/>
      <c r="Q255" s="5" t="s">
        <v>26</v>
      </c>
      <c r="R255" s="5" t="s">
        <v>27</v>
      </c>
    </row>
    <row r="256" customFormat="false" ht="15" hidden="false" customHeight="true" outlineLevel="0" collapsed="false">
      <c r="A256" s="5" t="s">
        <v>280</v>
      </c>
      <c r="B256" s="6" t="n">
        <v>527458542.69</v>
      </c>
      <c r="C256" s="6" t="n">
        <v>0</v>
      </c>
      <c r="D256" s="6" t="n">
        <v>527458542.69</v>
      </c>
      <c r="E256" s="6" t="n">
        <v>195159.66</v>
      </c>
      <c r="F256" s="6" t="n">
        <v>0</v>
      </c>
      <c r="G256" s="6" t="n">
        <f aca="false">E256+F256</f>
        <v>195159.66</v>
      </c>
      <c r="H256" s="7" t="n">
        <f aca="false">IF(D256=0,0,C256/D256)</f>
        <v>0</v>
      </c>
      <c r="I256" s="7" t="n">
        <f aca="false">IF(D256=0,0,B256/D256)</f>
        <v>1</v>
      </c>
      <c r="J256" s="6" t="n">
        <f aca="false">E256*H256</f>
        <v>0</v>
      </c>
      <c r="K256" s="6" t="n">
        <f aca="false">E256*I256</f>
        <v>195159.66</v>
      </c>
      <c r="L256" s="6" t="n">
        <v>0</v>
      </c>
      <c r="M256" s="6" t="n">
        <v>195159.66</v>
      </c>
      <c r="N256" s="6"/>
      <c r="O256" s="6"/>
      <c r="P256" s="7"/>
      <c r="Q256" s="5" t="s">
        <v>26</v>
      </c>
      <c r="R256" s="5" t="s">
        <v>27</v>
      </c>
    </row>
    <row r="257" customFormat="false" ht="15" hidden="false" customHeight="true" outlineLevel="0" collapsed="false">
      <c r="A257" s="5" t="s">
        <v>281</v>
      </c>
      <c r="B257" s="6" t="n">
        <v>630397360.41</v>
      </c>
      <c r="C257" s="6" t="n">
        <v>0</v>
      </c>
      <c r="D257" s="6" t="n">
        <v>630397360.41</v>
      </c>
      <c r="E257" s="6" t="n">
        <v>233247.02</v>
      </c>
      <c r="F257" s="6" t="n">
        <v>0</v>
      </c>
      <c r="G257" s="6" t="n">
        <f aca="false">E257+F257</f>
        <v>233247.02</v>
      </c>
      <c r="H257" s="7" t="n">
        <f aca="false">IF(D257=0,0,C257/D257)</f>
        <v>0</v>
      </c>
      <c r="I257" s="7" t="n">
        <f aca="false">IF(D257=0,0,B257/D257)</f>
        <v>1</v>
      </c>
      <c r="J257" s="6" t="n">
        <f aca="false">E257*H257</f>
        <v>0</v>
      </c>
      <c r="K257" s="6" t="n">
        <f aca="false">E257*I257</f>
        <v>233247.02</v>
      </c>
      <c r="L257" s="6" t="n">
        <v>0</v>
      </c>
      <c r="M257" s="6" t="n">
        <v>233247.02</v>
      </c>
      <c r="N257" s="6"/>
      <c r="O257" s="6"/>
      <c r="P257" s="7"/>
      <c r="Q257" s="5" t="s">
        <v>26</v>
      </c>
      <c r="R257" s="5" t="s">
        <v>27</v>
      </c>
    </row>
    <row r="258" customFormat="false" ht="15" hidden="false" customHeight="true" outlineLevel="0" collapsed="false">
      <c r="A258" s="5" t="s">
        <v>282</v>
      </c>
      <c r="B258" s="6" t="n">
        <v>837059654.49</v>
      </c>
      <c r="C258" s="6" t="n">
        <v>0</v>
      </c>
      <c r="D258" s="6" t="n">
        <v>837059654.49</v>
      </c>
      <c r="E258" s="6" t="n">
        <v>309712.07</v>
      </c>
      <c r="F258" s="6" t="n">
        <v>0</v>
      </c>
      <c r="G258" s="6" t="n">
        <f aca="false">E258+F258</f>
        <v>309712.07</v>
      </c>
      <c r="H258" s="7" t="n">
        <f aca="false">IF(D258=0,0,C258/D258)</f>
        <v>0</v>
      </c>
      <c r="I258" s="7" t="n">
        <f aca="false">IF(D258=0,0,B258/D258)</f>
        <v>1</v>
      </c>
      <c r="J258" s="6" t="n">
        <f aca="false">E258*H258</f>
        <v>0</v>
      </c>
      <c r="K258" s="6" t="n">
        <f aca="false">E258*I258</f>
        <v>309712.07</v>
      </c>
      <c r="L258" s="6" t="n">
        <v>0</v>
      </c>
      <c r="M258" s="6" t="n">
        <v>309712.07</v>
      </c>
      <c r="N258" s="6"/>
      <c r="O258" s="6"/>
      <c r="P258" s="7"/>
      <c r="Q258" s="5" t="s">
        <v>26</v>
      </c>
      <c r="R258" s="5" t="s">
        <v>27</v>
      </c>
    </row>
    <row r="259" customFormat="false" ht="15" hidden="false" customHeight="true" outlineLevel="0" collapsed="false">
      <c r="A259" s="5" t="s">
        <v>283</v>
      </c>
      <c r="B259" s="6" t="n">
        <v>862289797.56</v>
      </c>
      <c r="C259" s="6" t="n">
        <v>0</v>
      </c>
      <c r="D259" s="6" t="n">
        <v>862289797.56</v>
      </c>
      <c r="E259" s="6" t="n">
        <v>319047.23</v>
      </c>
      <c r="F259" s="6" t="n">
        <v>0</v>
      </c>
      <c r="G259" s="6" t="n">
        <f aca="false">E259+F259</f>
        <v>319047.23</v>
      </c>
      <c r="H259" s="7" t="n">
        <f aca="false">IF(D259=0,0,C259/D259)</f>
        <v>0</v>
      </c>
      <c r="I259" s="7" t="n">
        <f aca="false">IF(D259=0,0,B259/D259)</f>
        <v>1</v>
      </c>
      <c r="J259" s="6" t="n">
        <f aca="false">E259*H259</f>
        <v>0</v>
      </c>
      <c r="K259" s="6" t="n">
        <f aca="false">E259*I259</f>
        <v>319047.23</v>
      </c>
      <c r="L259" s="6" t="n">
        <v>0</v>
      </c>
      <c r="M259" s="6" t="n">
        <v>319047.23</v>
      </c>
      <c r="N259" s="6"/>
      <c r="O259" s="6"/>
      <c r="P259" s="7"/>
      <c r="Q259" s="5" t="s">
        <v>26</v>
      </c>
      <c r="R259" s="5" t="s">
        <v>27</v>
      </c>
    </row>
    <row r="260" customFormat="false" ht="15" hidden="false" customHeight="true" outlineLevel="0" collapsed="false">
      <c r="A260" s="5" t="s">
        <v>284</v>
      </c>
      <c r="B260" s="6" t="n">
        <v>657528351.39</v>
      </c>
      <c r="C260" s="6" t="n">
        <v>0</v>
      </c>
      <c r="D260" s="6" t="n">
        <v>657528351.39</v>
      </c>
      <c r="E260" s="6" t="n">
        <v>243285.49</v>
      </c>
      <c r="F260" s="6" t="n">
        <v>0</v>
      </c>
      <c r="G260" s="6" t="n">
        <f aca="false">E260+F260</f>
        <v>243285.49</v>
      </c>
      <c r="H260" s="7" t="n">
        <f aca="false">IF(D260=0,0,C260/D260)</f>
        <v>0</v>
      </c>
      <c r="I260" s="7" t="n">
        <f aca="false">IF(D260=0,0,B260/D260)</f>
        <v>1</v>
      </c>
      <c r="J260" s="6" t="n">
        <f aca="false">E260*H260</f>
        <v>0</v>
      </c>
      <c r="K260" s="6" t="n">
        <f aca="false">E260*I260</f>
        <v>243285.49</v>
      </c>
      <c r="L260" s="6" t="n">
        <v>0</v>
      </c>
      <c r="M260" s="6" t="n">
        <v>243285.49</v>
      </c>
      <c r="N260" s="6"/>
      <c r="O260" s="6"/>
      <c r="P260" s="7"/>
      <c r="Q260" s="5" t="s">
        <v>26</v>
      </c>
      <c r="R260" s="5" t="s">
        <v>27</v>
      </c>
    </row>
    <row r="261" customFormat="false" ht="15" hidden="false" customHeight="true" outlineLevel="0" collapsed="false">
      <c r="A261" s="5" t="s">
        <v>285</v>
      </c>
      <c r="B261" s="6" t="n">
        <v>733486683.92</v>
      </c>
      <c r="C261" s="6" t="n">
        <v>0</v>
      </c>
      <c r="D261" s="6" t="n">
        <v>733486683.92</v>
      </c>
      <c r="E261" s="6" t="n">
        <v>271390.07</v>
      </c>
      <c r="F261" s="6" t="n">
        <v>0</v>
      </c>
      <c r="G261" s="6" t="n">
        <f aca="false">E261+F261</f>
        <v>271390.07</v>
      </c>
      <c r="H261" s="7" t="n">
        <f aca="false">IF(D261=0,0,C261/D261)</f>
        <v>0</v>
      </c>
      <c r="I261" s="7" t="n">
        <f aca="false">IF(D261=0,0,B261/D261)</f>
        <v>1</v>
      </c>
      <c r="J261" s="6" t="n">
        <f aca="false">E261*H261</f>
        <v>0</v>
      </c>
      <c r="K261" s="6" t="n">
        <f aca="false">E261*I261</f>
        <v>271390.07</v>
      </c>
      <c r="L261" s="6" t="n">
        <v>0</v>
      </c>
      <c r="M261" s="6" t="n">
        <v>271390.07</v>
      </c>
      <c r="N261" s="6"/>
      <c r="O261" s="6"/>
      <c r="P261" s="7"/>
      <c r="Q261" s="5" t="s">
        <v>26</v>
      </c>
      <c r="R261" s="5" t="s">
        <v>27</v>
      </c>
    </row>
    <row r="262" customFormat="false" ht="15" hidden="false" customHeight="true" outlineLevel="0" collapsed="false">
      <c r="A262" s="5" t="s">
        <v>286</v>
      </c>
      <c r="B262" s="6" t="n">
        <v>478634733.81</v>
      </c>
      <c r="C262" s="6" t="n">
        <v>0</v>
      </c>
      <c r="D262" s="6" t="n">
        <v>478634733.81</v>
      </c>
      <c r="E262" s="6" t="n">
        <v>177094.85</v>
      </c>
      <c r="F262" s="6" t="n">
        <v>0</v>
      </c>
      <c r="G262" s="6" t="n">
        <f aca="false">E262+F262</f>
        <v>177094.85</v>
      </c>
      <c r="H262" s="7" t="n">
        <f aca="false">IF(D262=0,0,C262/D262)</f>
        <v>0</v>
      </c>
      <c r="I262" s="7" t="n">
        <f aca="false">IF(D262=0,0,B262/D262)</f>
        <v>1</v>
      </c>
      <c r="J262" s="6" t="n">
        <f aca="false">E262*H262</f>
        <v>0</v>
      </c>
      <c r="K262" s="6" t="n">
        <f aca="false">E262*I262</f>
        <v>177094.85</v>
      </c>
      <c r="L262" s="6" t="n">
        <v>0</v>
      </c>
      <c r="M262" s="6" t="n">
        <v>177094.85</v>
      </c>
      <c r="N262" s="6"/>
      <c r="O262" s="6"/>
      <c r="P262" s="7"/>
      <c r="Q262" s="5" t="s">
        <v>26</v>
      </c>
      <c r="R262" s="5" t="s">
        <v>27</v>
      </c>
    </row>
    <row r="263" customFormat="false" ht="15" hidden="false" customHeight="true" outlineLevel="0" collapsed="false">
      <c r="A263" s="5" t="s">
        <v>287</v>
      </c>
      <c r="B263" s="6" t="n">
        <v>607605403.76</v>
      </c>
      <c r="C263" s="6" t="n">
        <v>0</v>
      </c>
      <c r="D263" s="6" t="n">
        <v>607605403.76</v>
      </c>
      <c r="E263" s="6" t="n">
        <v>224814</v>
      </c>
      <c r="F263" s="6" t="n">
        <v>0</v>
      </c>
      <c r="G263" s="6" t="n">
        <f aca="false">E263+F263</f>
        <v>224814</v>
      </c>
      <c r="H263" s="7" t="n">
        <f aca="false">IF(D263=0,0,C263/D263)</f>
        <v>0</v>
      </c>
      <c r="I263" s="7" t="n">
        <f aca="false">IF(D263=0,0,B263/D263)</f>
        <v>1</v>
      </c>
      <c r="J263" s="6" t="n">
        <f aca="false">E263*H263</f>
        <v>0</v>
      </c>
      <c r="K263" s="6" t="n">
        <f aca="false">E263*I263</f>
        <v>224814</v>
      </c>
      <c r="L263" s="6" t="n">
        <v>0</v>
      </c>
      <c r="M263" s="6" t="n">
        <v>224814</v>
      </c>
      <c r="N263" s="6"/>
      <c r="O263" s="6"/>
      <c r="P263" s="7"/>
      <c r="Q263" s="5" t="s">
        <v>26</v>
      </c>
      <c r="R263" s="5" t="s">
        <v>27</v>
      </c>
    </row>
    <row r="264" customFormat="false" ht="15" hidden="false" customHeight="true" outlineLevel="0" collapsed="false">
      <c r="A264" s="5" t="s">
        <v>288</v>
      </c>
      <c r="B264" s="6" t="n">
        <v>868938325</v>
      </c>
      <c r="C264" s="6" t="n">
        <v>0</v>
      </c>
      <c r="D264" s="6" t="n">
        <v>868938325</v>
      </c>
      <c r="E264" s="6" t="n">
        <v>321507.18</v>
      </c>
      <c r="F264" s="6" t="n">
        <v>0</v>
      </c>
      <c r="G264" s="6" t="n">
        <f aca="false">E264+F264</f>
        <v>321507.18</v>
      </c>
      <c r="H264" s="7" t="n">
        <f aca="false">IF(D264=0,0,C264/D264)</f>
        <v>0</v>
      </c>
      <c r="I264" s="7" t="n">
        <f aca="false">IF(D264=0,0,B264/D264)</f>
        <v>1</v>
      </c>
      <c r="J264" s="6" t="n">
        <f aca="false">E264*H264</f>
        <v>0</v>
      </c>
      <c r="K264" s="6" t="n">
        <f aca="false">E264*I264</f>
        <v>321507.18</v>
      </c>
      <c r="L264" s="6" t="n">
        <v>0</v>
      </c>
      <c r="M264" s="6" t="n">
        <v>321507.18</v>
      </c>
      <c r="N264" s="6"/>
      <c r="O264" s="6"/>
      <c r="P264" s="7"/>
      <c r="Q264" s="5" t="s">
        <v>26</v>
      </c>
      <c r="R264" s="5" t="s">
        <v>27</v>
      </c>
    </row>
    <row r="265" customFormat="false" ht="15" hidden="false" customHeight="true" outlineLevel="0" collapsed="false">
      <c r="A265" s="5" t="s">
        <v>289</v>
      </c>
      <c r="B265" s="6" t="n">
        <v>1180970341.39</v>
      </c>
      <c r="C265" s="6" t="n">
        <v>0</v>
      </c>
      <c r="D265" s="6" t="n">
        <v>1180970341.39</v>
      </c>
      <c r="E265" s="6" t="n">
        <v>436959.03</v>
      </c>
      <c r="F265" s="6" t="n">
        <v>0</v>
      </c>
      <c r="G265" s="6" t="n">
        <f aca="false">E265+F265</f>
        <v>436959.03</v>
      </c>
      <c r="H265" s="7" t="n">
        <f aca="false">IF(D265=0,0,C265/D265)</f>
        <v>0</v>
      </c>
      <c r="I265" s="7" t="n">
        <f aca="false">IF(D265=0,0,B265/D265)</f>
        <v>1</v>
      </c>
      <c r="J265" s="6" t="n">
        <f aca="false">E265*H265</f>
        <v>0</v>
      </c>
      <c r="K265" s="6" t="n">
        <f aca="false">E265*I265</f>
        <v>436959.03</v>
      </c>
      <c r="L265" s="6" t="n">
        <v>0</v>
      </c>
      <c r="M265" s="6" t="n">
        <v>436959.03</v>
      </c>
      <c r="N265" s="6"/>
      <c r="O265" s="6"/>
      <c r="P265" s="7"/>
      <c r="Q265" s="5" t="s">
        <v>26</v>
      </c>
      <c r="R265" s="5" t="s">
        <v>27</v>
      </c>
    </row>
    <row r="266" customFormat="false" ht="15" hidden="false" customHeight="true" outlineLevel="0" collapsed="false">
      <c r="A266" s="5" t="s">
        <v>290</v>
      </c>
      <c r="B266" s="6" t="n">
        <v>900996278.23</v>
      </c>
      <c r="C266" s="6" t="n">
        <v>0</v>
      </c>
      <c r="D266" s="6" t="n">
        <v>900996278.23</v>
      </c>
      <c r="E266" s="6" t="n">
        <v>333368.62</v>
      </c>
      <c r="F266" s="6" t="n">
        <v>0</v>
      </c>
      <c r="G266" s="6" t="n">
        <f aca="false">E266+F266</f>
        <v>333368.62</v>
      </c>
      <c r="H266" s="7" t="n">
        <f aca="false">IF(D266=0,0,C266/D266)</f>
        <v>0</v>
      </c>
      <c r="I266" s="7" t="n">
        <f aca="false">IF(D266=0,0,B266/D266)</f>
        <v>1</v>
      </c>
      <c r="J266" s="6" t="n">
        <f aca="false">E266*H266</f>
        <v>0</v>
      </c>
      <c r="K266" s="6" t="n">
        <f aca="false">E266*I266</f>
        <v>333368.62</v>
      </c>
      <c r="L266" s="6" t="n">
        <v>0</v>
      </c>
      <c r="M266" s="6" t="n">
        <v>333368.62</v>
      </c>
      <c r="N266" s="6"/>
      <c r="O266" s="6"/>
      <c r="P266" s="7"/>
      <c r="Q266" s="5" t="s">
        <v>26</v>
      </c>
      <c r="R266" s="5" t="s">
        <v>27</v>
      </c>
    </row>
    <row r="267" customFormat="false" ht="15" hidden="false" customHeight="true" outlineLevel="0" collapsed="false">
      <c r="A267" s="5" t="s">
        <v>291</v>
      </c>
      <c r="B267" s="6" t="n">
        <v>950411326.19</v>
      </c>
      <c r="C267" s="6" t="n">
        <v>0</v>
      </c>
      <c r="D267" s="6" t="n">
        <v>950411326.19</v>
      </c>
      <c r="E267" s="6" t="n">
        <v>351652.19</v>
      </c>
      <c r="F267" s="6" t="n">
        <v>0</v>
      </c>
      <c r="G267" s="6" t="n">
        <f aca="false">E267+F267</f>
        <v>351652.19</v>
      </c>
      <c r="H267" s="7" t="n">
        <f aca="false">IF(D267=0,0,C267/D267)</f>
        <v>0</v>
      </c>
      <c r="I267" s="7" t="n">
        <f aca="false">IF(D267=0,0,B267/D267)</f>
        <v>1</v>
      </c>
      <c r="J267" s="6" t="n">
        <f aca="false">E267*H267</f>
        <v>0</v>
      </c>
      <c r="K267" s="6" t="n">
        <f aca="false">E267*I267</f>
        <v>351652.19</v>
      </c>
      <c r="L267" s="6" t="n">
        <v>0</v>
      </c>
      <c r="M267" s="6" t="n">
        <v>351652.19</v>
      </c>
      <c r="N267" s="6"/>
      <c r="O267" s="6"/>
      <c r="P267" s="7"/>
      <c r="Q267" s="5" t="s">
        <v>26</v>
      </c>
      <c r="R267" s="5" t="s">
        <v>27</v>
      </c>
    </row>
    <row r="268" customFormat="false" ht="15" hidden="false" customHeight="true" outlineLevel="0" collapsed="false">
      <c r="A268" s="5" t="s">
        <v>292</v>
      </c>
      <c r="B268" s="6" t="n">
        <v>1076212657.73</v>
      </c>
      <c r="C268" s="6" t="n">
        <v>0</v>
      </c>
      <c r="D268" s="6" t="n">
        <v>1076212657.73</v>
      </c>
      <c r="E268" s="6" t="n">
        <v>398198.68</v>
      </c>
      <c r="F268" s="6" t="n">
        <v>0</v>
      </c>
      <c r="G268" s="6" t="n">
        <f aca="false">E268+F268</f>
        <v>398198.68</v>
      </c>
      <c r="H268" s="7" t="n">
        <f aca="false">IF(D268=0,0,C268/D268)</f>
        <v>0</v>
      </c>
      <c r="I268" s="7" t="n">
        <f aca="false">IF(D268=0,0,B268/D268)</f>
        <v>1</v>
      </c>
      <c r="J268" s="6" t="n">
        <f aca="false">E268*H268</f>
        <v>0</v>
      </c>
      <c r="K268" s="6" t="n">
        <f aca="false">E268*I268</f>
        <v>398198.68</v>
      </c>
      <c r="L268" s="6" t="n">
        <v>0</v>
      </c>
      <c r="M268" s="6" t="n">
        <v>398198.68</v>
      </c>
      <c r="N268" s="6"/>
      <c r="O268" s="6"/>
      <c r="P268" s="7"/>
      <c r="Q268" s="5" t="s">
        <v>26</v>
      </c>
      <c r="R268" s="5" t="s">
        <v>27</v>
      </c>
    </row>
    <row r="269" customFormat="false" ht="15" hidden="false" customHeight="true" outlineLevel="0" collapsed="false">
      <c r="A269" s="5" t="s">
        <v>293</v>
      </c>
      <c r="B269" s="6" t="n">
        <v>857138637.15</v>
      </c>
      <c r="C269" s="6" t="n">
        <v>0</v>
      </c>
      <c r="D269" s="6" t="n">
        <v>857138637.15</v>
      </c>
      <c r="E269" s="6" t="n">
        <v>317141.3</v>
      </c>
      <c r="F269" s="6" t="n">
        <v>0</v>
      </c>
      <c r="G269" s="6" t="n">
        <f aca="false">E269+F269</f>
        <v>317141.3</v>
      </c>
      <c r="H269" s="7" t="n">
        <f aca="false">IF(D269=0,0,C269/D269)</f>
        <v>0</v>
      </c>
      <c r="I269" s="7" t="n">
        <f aca="false">IF(D269=0,0,B269/D269)</f>
        <v>1</v>
      </c>
      <c r="J269" s="6" t="n">
        <f aca="false">E269*H269</f>
        <v>0</v>
      </c>
      <c r="K269" s="6" t="n">
        <f aca="false">E269*I269</f>
        <v>317141.3</v>
      </c>
      <c r="L269" s="6" t="n">
        <v>0</v>
      </c>
      <c r="M269" s="6" t="n">
        <v>317141.3</v>
      </c>
      <c r="N269" s="6"/>
      <c r="O269" s="6"/>
      <c r="P269" s="7"/>
      <c r="Q269" s="5" t="s">
        <v>26</v>
      </c>
      <c r="R269" s="5" t="s">
        <v>27</v>
      </c>
    </row>
    <row r="270" customFormat="false" ht="15" hidden="false" customHeight="true" outlineLevel="0" collapsed="false">
      <c r="A270" s="5" t="s">
        <v>294</v>
      </c>
      <c r="B270" s="6" t="n">
        <v>854925007.71</v>
      </c>
      <c r="C270" s="6" t="n">
        <v>0</v>
      </c>
      <c r="D270" s="6" t="n">
        <v>854925007.71</v>
      </c>
      <c r="E270" s="6" t="n">
        <v>316322.25</v>
      </c>
      <c r="F270" s="6" t="n">
        <v>0</v>
      </c>
      <c r="G270" s="6" t="n">
        <f aca="false">E270+F270</f>
        <v>316322.25</v>
      </c>
      <c r="H270" s="7" t="n">
        <f aca="false">IF(D270=0,0,C270/D270)</f>
        <v>0</v>
      </c>
      <c r="I270" s="7" t="n">
        <f aca="false">IF(D270=0,0,B270/D270)</f>
        <v>1</v>
      </c>
      <c r="J270" s="6" t="n">
        <f aca="false">E270*H270</f>
        <v>0</v>
      </c>
      <c r="K270" s="6" t="n">
        <f aca="false">E270*I270</f>
        <v>316322.25</v>
      </c>
      <c r="L270" s="6" t="n">
        <v>0</v>
      </c>
      <c r="M270" s="6" t="n">
        <v>316322.25</v>
      </c>
      <c r="N270" s="6"/>
      <c r="O270" s="6"/>
      <c r="P270" s="7"/>
      <c r="Q270" s="5" t="s">
        <v>26</v>
      </c>
      <c r="R270" s="5" t="s">
        <v>27</v>
      </c>
    </row>
    <row r="271" customFormat="false" ht="15" hidden="false" customHeight="true" outlineLevel="0" collapsed="false">
      <c r="A271" s="5" t="s">
        <v>295</v>
      </c>
      <c r="B271" s="6" t="n">
        <v>1602381632.66</v>
      </c>
      <c r="C271" s="6" t="n">
        <v>0</v>
      </c>
      <c r="D271" s="6" t="n">
        <v>1602381632.66</v>
      </c>
      <c r="E271" s="6" t="n">
        <v>592881.2</v>
      </c>
      <c r="F271" s="6" t="n">
        <v>0</v>
      </c>
      <c r="G271" s="6" t="n">
        <f aca="false">E271+F271</f>
        <v>592881.2</v>
      </c>
      <c r="H271" s="7" t="n">
        <f aca="false">IF(D271=0,0,C271/D271)</f>
        <v>0</v>
      </c>
      <c r="I271" s="7" t="n">
        <f aca="false">IF(D271=0,0,B271/D271)</f>
        <v>1</v>
      </c>
      <c r="J271" s="6" t="n">
        <f aca="false">E271*H271</f>
        <v>0</v>
      </c>
      <c r="K271" s="6" t="n">
        <f aca="false">E271*I271</f>
        <v>592881.2</v>
      </c>
      <c r="L271" s="6" t="n">
        <v>0</v>
      </c>
      <c r="M271" s="6" t="n">
        <v>592881.2</v>
      </c>
      <c r="N271" s="6"/>
      <c r="O271" s="6"/>
      <c r="P271" s="7"/>
      <c r="Q271" s="5" t="s">
        <v>26</v>
      </c>
      <c r="R271" s="5" t="s">
        <v>27</v>
      </c>
    </row>
    <row r="272" customFormat="false" ht="15" hidden="false" customHeight="true" outlineLevel="0" collapsed="false">
      <c r="A272" s="5" t="s">
        <v>296</v>
      </c>
      <c r="B272" s="6" t="n">
        <v>1329719148.53</v>
      </c>
      <c r="C272" s="6" t="n">
        <v>0</v>
      </c>
      <c r="D272" s="6" t="n">
        <v>1329719148.53</v>
      </c>
      <c r="E272" s="6" t="n">
        <v>491996.08</v>
      </c>
      <c r="F272" s="6" t="n">
        <v>0</v>
      </c>
      <c r="G272" s="6" t="n">
        <f aca="false">E272+F272</f>
        <v>491996.08</v>
      </c>
      <c r="H272" s="7" t="n">
        <f aca="false">IF(D272=0,0,C272/D272)</f>
        <v>0</v>
      </c>
      <c r="I272" s="7" t="n">
        <f aca="false">IF(D272=0,0,B272/D272)</f>
        <v>1</v>
      </c>
      <c r="J272" s="6" t="n">
        <f aca="false">E272*H272</f>
        <v>0</v>
      </c>
      <c r="K272" s="6" t="n">
        <f aca="false">E272*I272</f>
        <v>491996.08</v>
      </c>
      <c r="L272" s="6" t="n">
        <v>0</v>
      </c>
      <c r="M272" s="6" t="n">
        <v>491996.08</v>
      </c>
      <c r="N272" s="6"/>
      <c r="O272" s="6"/>
      <c r="P272" s="7"/>
      <c r="Q272" s="5" t="s">
        <v>26</v>
      </c>
      <c r="R272" s="5" t="s">
        <v>27</v>
      </c>
    </row>
    <row r="273" customFormat="false" ht="15" hidden="false" customHeight="true" outlineLevel="0" collapsed="false">
      <c r="A273" s="5" t="s">
        <v>297</v>
      </c>
      <c r="B273" s="6" t="n">
        <v>1002771115.35</v>
      </c>
      <c r="C273" s="6" t="n">
        <v>0</v>
      </c>
      <c r="D273" s="6" t="n">
        <v>1002771115.35</v>
      </c>
      <c r="E273" s="6" t="n">
        <v>371025.31</v>
      </c>
      <c r="F273" s="6" t="n">
        <v>0</v>
      </c>
      <c r="G273" s="6" t="n">
        <f aca="false">E273+F273</f>
        <v>371025.31</v>
      </c>
      <c r="H273" s="7" t="n">
        <f aca="false">IF(D273=0,0,C273/D273)</f>
        <v>0</v>
      </c>
      <c r="I273" s="7" t="n">
        <f aca="false">IF(D273=0,0,B273/D273)</f>
        <v>1</v>
      </c>
      <c r="J273" s="6" t="n">
        <f aca="false">E273*H273</f>
        <v>0</v>
      </c>
      <c r="K273" s="6" t="n">
        <f aca="false">E273*I273</f>
        <v>371025.31</v>
      </c>
      <c r="L273" s="6" t="n">
        <v>0</v>
      </c>
      <c r="M273" s="6" t="n">
        <v>371025.31</v>
      </c>
      <c r="N273" s="6"/>
      <c r="O273" s="6"/>
      <c r="P273" s="7"/>
      <c r="Q273" s="5" t="s">
        <v>26</v>
      </c>
      <c r="R273" s="5" t="s">
        <v>27</v>
      </c>
    </row>
    <row r="274" customFormat="false" ht="15" hidden="false" customHeight="true" outlineLevel="0" collapsed="false">
      <c r="A274" s="5" t="s">
        <v>298</v>
      </c>
      <c r="B274" s="6" t="n">
        <v>1259018100.8</v>
      </c>
      <c r="C274" s="6" t="n">
        <v>0</v>
      </c>
      <c r="D274" s="6" t="n">
        <v>1259018100.8</v>
      </c>
      <c r="E274" s="6" t="n">
        <v>465836.7</v>
      </c>
      <c r="F274" s="6" t="n">
        <v>0</v>
      </c>
      <c r="G274" s="6" t="n">
        <f aca="false">E274+F274</f>
        <v>465836.7</v>
      </c>
      <c r="H274" s="7" t="n">
        <f aca="false">IF(D274=0,0,C274/D274)</f>
        <v>0</v>
      </c>
      <c r="I274" s="7" t="n">
        <f aca="false">IF(D274=0,0,B274/D274)</f>
        <v>1</v>
      </c>
      <c r="J274" s="6" t="n">
        <f aca="false">E274*H274</f>
        <v>0</v>
      </c>
      <c r="K274" s="6" t="n">
        <f aca="false">E274*I274</f>
        <v>465836.7</v>
      </c>
      <c r="L274" s="6" t="n">
        <v>0</v>
      </c>
      <c r="M274" s="6" t="n">
        <v>465836.7</v>
      </c>
      <c r="N274" s="6"/>
      <c r="O274" s="6"/>
      <c r="P274" s="7"/>
      <c r="Q274" s="5" t="s">
        <v>26</v>
      </c>
      <c r="R274" s="5" t="s">
        <v>27</v>
      </c>
    </row>
    <row r="275" customFormat="false" ht="15" hidden="false" customHeight="true" outlineLevel="0" collapsed="false">
      <c r="A275" s="5" t="s">
        <v>299</v>
      </c>
      <c r="B275" s="6" t="n">
        <v>1102340858.66</v>
      </c>
      <c r="C275" s="6" t="n">
        <v>0</v>
      </c>
      <c r="D275" s="6" t="n">
        <v>1102340858.66</v>
      </c>
      <c r="E275" s="6" t="n">
        <v>407866.12</v>
      </c>
      <c r="F275" s="6" t="n">
        <v>0</v>
      </c>
      <c r="G275" s="6" t="n">
        <f aca="false">E275+F275</f>
        <v>407866.12</v>
      </c>
      <c r="H275" s="7" t="n">
        <f aca="false">IF(D275=0,0,C275/D275)</f>
        <v>0</v>
      </c>
      <c r="I275" s="7" t="n">
        <f aca="false">IF(D275=0,0,B275/D275)</f>
        <v>1</v>
      </c>
      <c r="J275" s="6" t="n">
        <f aca="false">E275*H275</f>
        <v>0</v>
      </c>
      <c r="K275" s="6" t="n">
        <f aca="false">E275*I275</f>
        <v>407866.12</v>
      </c>
      <c r="L275" s="6" t="n">
        <v>0</v>
      </c>
      <c r="M275" s="6" t="n">
        <v>407866.12</v>
      </c>
      <c r="N275" s="6"/>
      <c r="O275" s="6"/>
      <c r="P275" s="7"/>
      <c r="Q275" s="5" t="s">
        <v>26</v>
      </c>
      <c r="R275" s="5" t="s">
        <v>27</v>
      </c>
    </row>
    <row r="276" customFormat="false" ht="15" hidden="false" customHeight="true" outlineLevel="0" collapsed="false">
      <c r="A276" s="5" t="s">
        <v>300</v>
      </c>
      <c r="B276" s="6" t="n">
        <v>745778482.75</v>
      </c>
      <c r="C276" s="6" t="n">
        <v>0</v>
      </c>
      <c r="D276" s="6" t="n">
        <v>745778482.75</v>
      </c>
      <c r="E276" s="6" t="n">
        <v>275938.04</v>
      </c>
      <c r="F276" s="6" t="n">
        <v>0</v>
      </c>
      <c r="G276" s="6" t="n">
        <f aca="false">E276+F276</f>
        <v>275938.04</v>
      </c>
      <c r="H276" s="7" t="n">
        <f aca="false">IF(D276=0,0,C276/D276)</f>
        <v>0</v>
      </c>
      <c r="I276" s="7" t="n">
        <f aca="false">IF(D276=0,0,B276/D276)</f>
        <v>1</v>
      </c>
      <c r="J276" s="6" t="n">
        <f aca="false">E276*H276</f>
        <v>0</v>
      </c>
      <c r="K276" s="6" t="n">
        <f aca="false">E276*I276</f>
        <v>275938.04</v>
      </c>
      <c r="L276" s="6" t="n">
        <v>0</v>
      </c>
      <c r="M276" s="6" t="n">
        <v>275938.04</v>
      </c>
      <c r="N276" s="6"/>
      <c r="O276" s="6"/>
      <c r="P276" s="7"/>
      <c r="Q276" s="5" t="s">
        <v>26</v>
      </c>
      <c r="R276" s="5" t="s">
        <v>27</v>
      </c>
    </row>
    <row r="277" customFormat="false" ht="15" hidden="false" customHeight="true" outlineLevel="0" collapsed="false">
      <c r="A277" s="5" t="s">
        <v>301</v>
      </c>
      <c r="B277" s="6" t="n">
        <v>855460139.82</v>
      </c>
      <c r="C277" s="6" t="n">
        <v>0</v>
      </c>
      <c r="D277" s="6" t="n">
        <v>855460139.82</v>
      </c>
      <c r="E277" s="6" t="n">
        <v>316520.25</v>
      </c>
      <c r="F277" s="6" t="n">
        <v>0</v>
      </c>
      <c r="G277" s="6" t="n">
        <f aca="false">E277+F277</f>
        <v>316520.25</v>
      </c>
      <c r="H277" s="7" t="n">
        <f aca="false">IF(D277=0,0,C277/D277)</f>
        <v>0</v>
      </c>
      <c r="I277" s="7" t="n">
        <f aca="false">IF(D277=0,0,B277/D277)</f>
        <v>1</v>
      </c>
      <c r="J277" s="6" t="n">
        <f aca="false">E277*H277</f>
        <v>0</v>
      </c>
      <c r="K277" s="6" t="n">
        <f aca="false">E277*I277</f>
        <v>316520.25</v>
      </c>
      <c r="L277" s="6" t="n">
        <v>0</v>
      </c>
      <c r="M277" s="6" t="n">
        <v>316520.25</v>
      </c>
      <c r="N277" s="6"/>
      <c r="O277" s="6"/>
      <c r="P277" s="7"/>
      <c r="Q277" s="5" t="s">
        <v>26</v>
      </c>
      <c r="R277" s="5" t="s">
        <v>27</v>
      </c>
    </row>
    <row r="278" customFormat="false" ht="15" hidden="false" customHeight="true" outlineLevel="0" collapsed="false">
      <c r="A278" s="5" t="s">
        <v>302</v>
      </c>
      <c r="B278" s="6" t="n">
        <v>1106053516.8</v>
      </c>
      <c r="C278" s="6" t="n">
        <v>0</v>
      </c>
      <c r="D278" s="6" t="n">
        <v>1106053516.8</v>
      </c>
      <c r="E278" s="6" t="n">
        <v>409239.8</v>
      </c>
      <c r="F278" s="6" t="n">
        <v>0</v>
      </c>
      <c r="G278" s="6" t="n">
        <f aca="false">E278+F278</f>
        <v>409239.8</v>
      </c>
      <c r="H278" s="7" t="n">
        <f aca="false">IF(D278=0,0,C278/D278)</f>
        <v>0</v>
      </c>
      <c r="I278" s="7" t="n">
        <f aca="false">IF(D278=0,0,B278/D278)</f>
        <v>1</v>
      </c>
      <c r="J278" s="6" t="n">
        <f aca="false">E278*H278</f>
        <v>0</v>
      </c>
      <c r="K278" s="6" t="n">
        <f aca="false">E278*I278</f>
        <v>409239.8</v>
      </c>
      <c r="L278" s="6" t="n">
        <v>0</v>
      </c>
      <c r="M278" s="6" t="n">
        <v>409239.8</v>
      </c>
      <c r="N278" s="6"/>
      <c r="O278" s="6"/>
      <c r="P278" s="7"/>
      <c r="Q278" s="5" t="s">
        <v>26</v>
      </c>
      <c r="R278" s="5" t="s">
        <v>27</v>
      </c>
    </row>
    <row r="279" customFormat="false" ht="15" hidden="false" customHeight="true" outlineLevel="0" collapsed="false">
      <c r="A279" s="5" t="s">
        <v>303</v>
      </c>
      <c r="B279" s="6" t="n">
        <v>1560628097.24</v>
      </c>
      <c r="C279" s="6" t="n">
        <v>0</v>
      </c>
      <c r="D279" s="6" t="n">
        <v>1560628097.24</v>
      </c>
      <c r="E279" s="6" t="n">
        <v>577432.4</v>
      </c>
      <c r="F279" s="6" t="n">
        <v>0</v>
      </c>
      <c r="G279" s="6" t="n">
        <f aca="false">E279+F279</f>
        <v>577432.4</v>
      </c>
      <c r="H279" s="7" t="n">
        <f aca="false">IF(D279=0,0,C279/D279)</f>
        <v>0</v>
      </c>
      <c r="I279" s="7" t="n">
        <f aca="false">IF(D279=0,0,B279/D279)</f>
        <v>1</v>
      </c>
      <c r="J279" s="6" t="n">
        <f aca="false">E279*H279</f>
        <v>0</v>
      </c>
      <c r="K279" s="6" t="n">
        <f aca="false">E279*I279</f>
        <v>577432.4</v>
      </c>
      <c r="L279" s="6" t="n">
        <v>0</v>
      </c>
      <c r="M279" s="6" t="n">
        <v>577432.4</v>
      </c>
      <c r="N279" s="6"/>
      <c r="O279" s="6"/>
      <c r="P279" s="7"/>
      <c r="Q279" s="5" t="s">
        <v>26</v>
      </c>
      <c r="R279" s="5" t="s">
        <v>27</v>
      </c>
    </row>
    <row r="280" customFormat="false" ht="15" hidden="false" customHeight="true" outlineLevel="0" collapsed="false">
      <c r="A280" s="5" t="s">
        <v>304</v>
      </c>
      <c r="B280" s="6" t="n">
        <v>1380216333.37</v>
      </c>
      <c r="C280" s="6" t="n">
        <v>0</v>
      </c>
      <c r="D280" s="6" t="n">
        <v>1380216333.37</v>
      </c>
      <c r="E280" s="6" t="n">
        <v>510680.04</v>
      </c>
      <c r="F280" s="6" t="n">
        <v>0</v>
      </c>
      <c r="G280" s="6" t="n">
        <f aca="false">E280+F280</f>
        <v>510680.04</v>
      </c>
      <c r="H280" s="7" t="n">
        <f aca="false">IF(D280=0,0,C280/D280)</f>
        <v>0</v>
      </c>
      <c r="I280" s="7" t="n">
        <f aca="false">IF(D280=0,0,B280/D280)</f>
        <v>1</v>
      </c>
      <c r="J280" s="6" t="n">
        <f aca="false">E280*H280</f>
        <v>0</v>
      </c>
      <c r="K280" s="6" t="n">
        <f aca="false">E280*I280</f>
        <v>510680.04</v>
      </c>
      <c r="L280" s="6" t="n">
        <v>0</v>
      </c>
      <c r="M280" s="6" t="n">
        <v>510680.04</v>
      </c>
      <c r="N280" s="6"/>
      <c r="O280" s="6"/>
      <c r="P280" s="7"/>
      <c r="Q280" s="5" t="s">
        <v>26</v>
      </c>
      <c r="R280" s="5" t="s">
        <v>27</v>
      </c>
    </row>
    <row r="281" customFormat="false" ht="15" hidden="false" customHeight="true" outlineLevel="0" collapsed="false">
      <c r="A281" s="5" t="s">
        <v>305</v>
      </c>
      <c r="B281" s="6" t="n">
        <v>1253038799.73</v>
      </c>
      <c r="C281" s="6" t="n">
        <v>0</v>
      </c>
      <c r="D281" s="6" t="n">
        <v>1253038799.73</v>
      </c>
      <c r="E281" s="6" t="n">
        <v>463624.36</v>
      </c>
      <c r="F281" s="6" t="n">
        <v>0</v>
      </c>
      <c r="G281" s="6" t="n">
        <f aca="false">E281+F281</f>
        <v>463624.36</v>
      </c>
      <c r="H281" s="7" t="n">
        <f aca="false">IF(D281=0,0,C281/D281)</f>
        <v>0</v>
      </c>
      <c r="I281" s="7" t="n">
        <f aca="false">IF(D281=0,0,B281/D281)</f>
        <v>1</v>
      </c>
      <c r="J281" s="6" t="n">
        <f aca="false">E281*H281</f>
        <v>0</v>
      </c>
      <c r="K281" s="6" t="n">
        <f aca="false">E281*I281</f>
        <v>463624.36</v>
      </c>
      <c r="L281" s="6" t="n">
        <v>0</v>
      </c>
      <c r="M281" s="6" t="n">
        <v>463624.36</v>
      </c>
      <c r="N281" s="6"/>
      <c r="O281" s="6"/>
      <c r="P281" s="7"/>
      <c r="Q281" s="5" t="s">
        <v>26</v>
      </c>
      <c r="R281" s="5" t="s">
        <v>27</v>
      </c>
    </row>
    <row r="282" customFormat="false" ht="15" hidden="false" customHeight="true" outlineLevel="0" collapsed="false">
      <c r="A282" s="5" t="s">
        <v>306</v>
      </c>
      <c r="B282" s="6" t="n">
        <v>1124666431.66</v>
      </c>
      <c r="C282" s="6" t="n">
        <v>0</v>
      </c>
      <c r="D282" s="6" t="n">
        <v>1124666431.66</v>
      </c>
      <c r="E282" s="6" t="n">
        <v>416126.58</v>
      </c>
      <c r="F282" s="6" t="n">
        <v>0</v>
      </c>
      <c r="G282" s="6" t="n">
        <f aca="false">E282+F282</f>
        <v>416126.58</v>
      </c>
      <c r="H282" s="7" t="n">
        <f aca="false">IF(D282=0,0,C282/D282)</f>
        <v>0</v>
      </c>
      <c r="I282" s="7" t="n">
        <f aca="false">IF(D282=0,0,B282/D282)</f>
        <v>1</v>
      </c>
      <c r="J282" s="6" t="n">
        <f aca="false">E282*H282</f>
        <v>0</v>
      </c>
      <c r="K282" s="6" t="n">
        <f aca="false">E282*I282</f>
        <v>416126.58</v>
      </c>
      <c r="L282" s="6" t="n">
        <v>0</v>
      </c>
      <c r="M282" s="6" t="n">
        <v>416126.58</v>
      </c>
      <c r="N282" s="6"/>
      <c r="O282" s="6"/>
      <c r="P282" s="7"/>
      <c r="Q282" s="5" t="s">
        <v>26</v>
      </c>
      <c r="R282" s="5" t="s">
        <v>27</v>
      </c>
    </row>
    <row r="283" customFormat="false" ht="15" hidden="false" customHeight="true" outlineLevel="0" collapsed="false">
      <c r="A283" s="5" t="s">
        <v>307</v>
      </c>
      <c r="B283" s="6" t="n">
        <v>736294574.31</v>
      </c>
      <c r="C283" s="6" t="n">
        <v>0</v>
      </c>
      <c r="D283" s="6" t="n">
        <v>736294574.31</v>
      </c>
      <c r="E283" s="6" t="n">
        <v>272428.99</v>
      </c>
      <c r="F283" s="6" t="n">
        <v>0</v>
      </c>
      <c r="G283" s="6" t="n">
        <f aca="false">E283+F283</f>
        <v>272428.99</v>
      </c>
      <c r="H283" s="7" t="n">
        <f aca="false">IF(D283=0,0,C283/D283)</f>
        <v>0</v>
      </c>
      <c r="I283" s="7" t="n">
        <f aca="false">IF(D283=0,0,B283/D283)</f>
        <v>1</v>
      </c>
      <c r="J283" s="6" t="n">
        <f aca="false">E283*H283</f>
        <v>0</v>
      </c>
      <c r="K283" s="6" t="n">
        <f aca="false">E283*I283</f>
        <v>272428.99</v>
      </c>
      <c r="L283" s="6" t="n">
        <v>0</v>
      </c>
      <c r="M283" s="6" t="n">
        <v>272428.99</v>
      </c>
      <c r="N283" s="6"/>
      <c r="O283" s="6"/>
      <c r="P283" s="7"/>
      <c r="Q283" s="5" t="s">
        <v>26</v>
      </c>
      <c r="R283" s="5" t="s">
        <v>27</v>
      </c>
    </row>
    <row r="284" customFormat="false" ht="15" hidden="false" customHeight="true" outlineLevel="0" collapsed="false">
      <c r="A284" s="5" t="s">
        <v>308</v>
      </c>
      <c r="B284" s="6" t="n">
        <v>994369059.29</v>
      </c>
      <c r="C284" s="6" t="n">
        <v>0</v>
      </c>
      <c r="D284" s="6" t="n">
        <v>994369059.29</v>
      </c>
      <c r="E284" s="6" t="n">
        <v>367916.55</v>
      </c>
      <c r="F284" s="6" t="n">
        <v>0</v>
      </c>
      <c r="G284" s="6" t="n">
        <f aca="false">E284+F284</f>
        <v>367916.55</v>
      </c>
      <c r="H284" s="7" t="n">
        <f aca="false">IF(D284=0,0,C284/D284)</f>
        <v>0</v>
      </c>
      <c r="I284" s="7" t="n">
        <f aca="false">IF(D284=0,0,B284/D284)</f>
        <v>1</v>
      </c>
      <c r="J284" s="6" t="n">
        <f aca="false">E284*H284</f>
        <v>0</v>
      </c>
      <c r="K284" s="6" t="n">
        <f aca="false">E284*I284</f>
        <v>367916.55</v>
      </c>
      <c r="L284" s="6" t="n">
        <v>0</v>
      </c>
      <c r="M284" s="6" t="n">
        <v>367916.55</v>
      </c>
      <c r="N284" s="6"/>
      <c r="O284" s="6"/>
      <c r="P284" s="7"/>
      <c r="Q284" s="5" t="s">
        <v>26</v>
      </c>
      <c r="R284" s="5" t="s">
        <v>27</v>
      </c>
    </row>
    <row r="285" customFormat="false" ht="15" hidden="false" customHeight="true" outlineLevel="0" collapsed="false">
      <c r="A285" s="5" t="s">
        <v>309</v>
      </c>
      <c r="B285" s="6" t="n">
        <v>1436034414.63</v>
      </c>
      <c r="C285" s="6" t="n">
        <v>0</v>
      </c>
      <c r="D285" s="6" t="n">
        <v>1436034414.63</v>
      </c>
      <c r="E285" s="6" t="n">
        <v>531332.73</v>
      </c>
      <c r="F285" s="6" t="n">
        <v>0</v>
      </c>
      <c r="G285" s="6" t="n">
        <f aca="false">E285+F285</f>
        <v>531332.73</v>
      </c>
      <c r="H285" s="7" t="n">
        <f aca="false">IF(D285=0,0,C285/D285)</f>
        <v>0</v>
      </c>
      <c r="I285" s="7" t="n">
        <f aca="false">IF(D285=0,0,B285/D285)</f>
        <v>1</v>
      </c>
      <c r="J285" s="6" t="n">
        <f aca="false">E285*H285</f>
        <v>0</v>
      </c>
      <c r="K285" s="6" t="n">
        <f aca="false">E285*I285</f>
        <v>531332.73</v>
      </c>
      <c r="L285" s="6" t="n">
        <v>0</v>
      </c>
      <c r="M285" s="6" t="n">
        <v>531332.73</v>
      </c>
      <c r="N285" s="6"/>
      <c r="O285" s="6"/>
      <c r="P285" s="7"/>
      <c r="Q285" s="5" t="s">
        <v>26</v>
      </c>
      <c r="R285" s="5" t="s">
        <v>27</v>
      </c>
    </row>
    <row r="286" customFormat="false" ht="15" hidden="false" customHeight="true" outlineLevel="0" collapsed="false">
      <c r="A286" s="5" t="s">
        <v>310</v>
      </c>
      <c r="B286" s="6" t="n">
        <v>1732677761.81</v>
      </c>
      <c r="C286" s="6" t="n">
        <v>0</v>
      </c>
      <c r="D286" s="6" t="n">
        <v>1732677761.81</v>
      </c>
      <c r="E286" s="6" t="n">
        <v>641090.77</v>
      </c>
      <c r="F286" s="6" t="n">
        <v>0</v>
      </c>
      <c r="G286" s="6" t="n">
        <f aca="false">E286+F286</f>
        <v>641090.77</v>
      </c>
      <c r="H286" s="7" t="n">
        <f aca="false">IF(D286=0,0,C286/D286)</f>
        <v>0</v>
      </c>
      <c r="I286" s="7" t="n">
        <f aca="false">IF(D286=0,0,B286/D286)</f>
        <v>1</v>
      </c>
      <c r="J286" s="6" t="n">
        <f aca="false">E286*H286</f>
        <v>0</v>
      </c>
      <c r="K286" s="6" t="n">
        <f aca="false">E286*I286</f>
        <v>641090.77</v>
      </c>
      <c r="L286" s="6" t="n">
        <v>0</v>
      </c>
      <c r="M286" s="6" t="n">
        <v>641090.77</v>
      </c>
      <c r="N286" s="6"/>
      <c r="O286" s="6"/>
      <c r="P286" s="7"/>
      <c r="Q286" s="5" t="s">
        <v>26</v>
      </c>
      <c r="R286" s="5" t="s">
        <v>27</v>
      </c>
    </row>
    <row r="287" customFormat="false" ht="15" hidden="false" customHeight="true" outlineLevel="0" collapsed="false">
      <c r="A287" s="5" t="s">
        <v>311</v>
      </c>
      <c r="B287" s="6" t="n">
        <v>3027279326.17</v>
      </c>
      <c r="C287" s="6" t="n">
        <v>0</v>
      </c>
      <c r="D287" s="6" t="n">
        <v>3027279326.17</v>
      </c>
      <c r="E287" s="6" t="n">
        <v>1120093.35</v>
      </c>
      <c r="F287" s="6" t="n">
        <v>0</v>
      </c>
      <c r="G287" s="6" t="n">
        <f aca="false">E287+F287</f>
        <v>1120093.35</v>
      </c>
      <c r="H287" s="7" t="n">
        <f aca="false">IF(D287=0,0,C287/D287)</f>
        <v>0</v>
      </c>
      <c r="I287" s="7" t="n">
        <f aca="false">IF(D287=0,0,B287/D287)</f>
        <v>1</v>
      </c>
      <c r="J287" s="6" t="n">
        <f aca="false">E287*H287</f>
        <v>0</v>
      </c>
      <c r="K287" s="6" t="n">
        <f aca="false">E287*I287</f>
        <v>1120093.35</v>
      </c>
      <c r="L287" s="6" t="n">
        <v>0</v>
      </c>
      <c r="M287" s="6" t="n">
        <v>1120093.35</v>
      </c>
      <c r="N287" s="6"/>
      <c r="O287" s="6"/>
      <c r="P287" s="7"/>
      <c r="Q287" s="5" t="s">
        <v>26</v>
      </c>
      <c r="R287" s="5" t="s">
        <v>27</v>
      </c>
    </row>
    <row r="288" customFormat="false" ht="15" hidden="false" customHeight="true" outlineLevel="0" collapsed="false">
      <c r="A288" s="5" t="s">
        <v>312</v>
      </c>
      <c r="B288" s="6" t="n">
        <v>1627665734.29</v>
      </c>
      <c r="C288" s="6" t="n">
        <v>0</v>
      </c>
      <c r="D288" s="6" t="n">
        <v>1627665734.29</v>
      </c>
      <c r="E288" s="6" t="n">
        <v>602236.32</v>
      </c>
      <c r="F288" s="6" t="n">
        <v>0</v>
      </c>
      <c r="G288" s="6" t="n">
        <f aca="false">E288+F288</f>
        <v>602236.32</v>
      </c>
      <c r="H288" s="7" t="n">
        <f aca="false">IF(D288=0,0,C288/D288)</f>
        <v>0</v>
      </c>
      <c r="I288" s="7" t="n">
        <f aca="false">IF(D288=0,0,B288/D288)</f>
        <v>1</v>
      </c>
      <c r="J288" s="6" t="n">
        <f aca="false">E288*H288</f>
        <v>0</v>
      </c>
      <c r="K288" s="6" t="n">
        <f aca="false">E288*I288</f>
        <v>602236.32</v>
      </c>
      <c r="L288" s="6" t="n">
        <v>0</v>
      </c>
      <c r="M288" s="6" t="n">
        <v>602236.32</v>
      </c>
      <c r="N288" s="6"/>
      <c r="O288" s="6"/>
      <c r="P288" s="7"/>
      <c r="Q288" s="5" t="s">
        <v>26</v>
      </c>
      <c r="R288" s="5" t="s">
        <v>27</v>
      </c>
    </row>
    <row r="289" customFormat="false" ht="15" hidden="false" customHeight="true" outlineLevel="0" collapsed="false">
      <c r="A289" s="5" t="s">
        <v>313</v>
      </c>
      <c r="B289" s="6" t="n">
        <v>1587453073.97</v>
      </c>
      <c r="C289" s="6" t="n">
        <v>0</v>
      </c>
      <c r="D289" s="6" t="n">
        <v>1587453073.97</v>
      </c>
      <c r="E289" s="6" t="n">
        <v>587357.64</v>
      </c>
      <c r="F289" s="6" t="n">
        <v>0</v>
      </c>
      <c r="G289" s="6" t="n">
        <f aca="false">E289+F289</f>
        <v>587357.64</v>
      </c>
      <c r="H289" s="7" t="n">
        <f aca="false">IF(D289=0,0,C289/D289)</f>
        <v>0</v>
      </c>
      <c r="I289" s="7" t="n">
        <f aca="false">IF(D289=0,0,B289/D289)</f>
        <v>1</v>
      </c>
      <c r="J289" s="6" t="n">
        <f aca="false">E289*H289</f>
        <v>0</v>
      </c>
      <c r="K289" s="6" t="n">
        <f aca="false">E289*I289</f>
        <v>587357.64</v>
      </c>
      <c r="L289" s="6" t="n">
        <v>0</v>
      </c>
      <c r="M289" s="6" t="n">
        <v>587357.64</v>
      </c>
      <c r="N289" s="6"/>
      <c r="O289" s="6"/>
      <c r="P289" s="7"/>
      <c r="Q289" s="5" t="s">
        <v>26</v>
      </c>
      <c r="R289" s="5" t="s">
        <v>27</v>
      </c>
    </row>
    <row r="290" customFormat="false" ht="15" hidden="false" customHeight="true" outlineLevel="0" collapsed="false">
      <c r="A290" s="5" t="s">
        <v>314</v>
      </c>
      <c r="B290" s="6" t="n">
        <v>1138112722.3</v>
      </c>
      <c r="C290" s="6" t="n">
        <v>0</v>
      </c>
      <c r="D290" s="6" t="n">
        <v>1138112722.3</v>
      </c>
      <c r="E290" s="6" t="n">
        <v>421101.71</v>
      </c>
      <c r="F290" s="6" t="n">
        <v>0</v>
      </c>
      <c r="G290" s="6" t="n">
        <f aca="false">E290+F290</f>
        <v>421101.71</v>
      </c>
      <c r="H290" s="7" t="n">
        <f aca="false">IF(D290=0,0,C290/D290)</f>
        <v>0</v>
      </c>
      <c r="I290" s="7" t="n">
        <f aca="false">IF(D290=0,0,B290/D290)</f>
        <v>1</v>
      </c>
      <c r="J290" s="6" t="n">
        <f aca="false">E290*H290</f>
        <v>0</v>
      </c>
      <c r="K290" s="6" t="n">
        <f aca="false">E290*I290</f>
        <v>421101.71</v>
      </c>
      <c r="L290" s="6" t="n">
        <v>0</v>
      </c>
      <c r="M290" s="6" t="n">
        <v>421101.71</v>
      </c>
      <c r="N290" s="6"/>
      <c r="O290" s="6"/>
      <c r="P290" s="7"/>
      <c r="Q290" s="5" t="s">
        <v>26</v>
      </c>
      <c r="R290" s="5" t="s">
        <v>27</v>
      </c>
    </row>
    <row r="291" customFormat="false" ht="15" hidden="false" customHeight="true" outlineLevel="0" collapsed="false">
      <c r="A291" s="5" t="s">
        <v>315</v>
      </c>
      <c r="B291" s="6" t="n">
        <v>1275075543.43</v>
      </c>
      <c r="C291" s="6" t="n">
        <v>0</v>
      </c>
      <c r="D291" s="6" t="n">
        <v>1275075543.43</v>
      </c>
      <c r="E291" s="6" t="n">
        <v>471777.95</v>
      </c>
      <c r="F291" s="6" t="n">
        <v>0</v>
      </c>
      <c r="G291" s="6" t="n">
        <f aca="false">E291+F291</f>
        <v>471777.95</v>
      </c>
      <c r="H291" s="7" t="n">
        <f aca="false">IF(D291=0,0,C291/D291)</f>
        <v>0</v>
      </c>
      <c r="I291" s="7" t="n">
        <f aca="false">IF(D291=0,0,B291/D291)</f>
        <v>1</v>
      </c>
      <c r="J291" s="6" t="n">
        <f aca="false">E291*H291</f>
        <v>0</v>
      </c>
      <c r="K291" s="6" t="n">
        <f aca="false">E291*I291</f>
        <v>471777.95</v>
      </c>
      <c r="L291" s="6" t="n">
        <v>0</v>
      </c>
      <c r="M291" s="6" t="n">
        <v>471777.95</v>
      </c>
      <c r="N291" s="6"/>
      <c r="O291" s="6"/>
      <c r="P291" s="7"/>
      <c r="Q291" s="5" t="s">
        <v>26</v>
      </c>
      <c r="R291" s="5" t="s">
        <v>27</v>
      </c>
    </row>
    <row r="292" customFormat="false" ht="15" hidden="false" customHeight="true" outlineLevel="0" collapsed="false">
      <c r="A292" s="5" t="s">
        <v>316</v>
      </c>
      <c r="B292" s="6" t="n">
        <v>3565698057.96</v>
      </c>
      <c r="C292" s="6" t="n">
        <v>0</v>
      </c>
      <c r="D292" s="6" t="n">
        <v>3565698057.96</v>
      </c>
      <c r="E292" s="6" t="n">
        <v>1319308.28</v>
      </c>
      <c r="F292" s="6" t="n">
        <v>0</v>
      </c>
      <c r="G292" s="6" t="n">
        <f aca="false">E292+F292</f>
        <v>1319308.28</v>
      </c>
      <c r="H292" s="7" t="n">
        <f aca="false">IF(D292=0,0,C292/D292)</f>
        <v>0</v>
      </c>
      <c r="I292" s="7" t="n">
        <f aca="false">IF(D292=0,0,B292/D292)</f>
        <v>1</v>
      </c>
      <c r="J292" s="6" t="n">
        <f aca="false">E292*H292</f>
        <v>0</v>
      </c>
      <c r="K292" s="6" t="n">
        <f aca="false">E292*I292</f>
        <v>1319308.28</v>
      </c>
      <c r="L292" s="6" t="n">
        <v>0</v>
      </c>
      <c r="M292" s="6" t="n">
        <v>1319308.28</v>
      </c>
      <c r="N292" s="6"/>
      <c r="O292" s="6"/>
      <c r="P292" s="7"/>
      <c r="Q292" s="5" t="s">
        <v>26</v>
      </c>
      <c r="R292" s="5" t="s">
        <v>27</v>
      </c>
    </row>
    <row r="293" customFormat="false" ht="15" hidden="false" customHeight="true" outlineLevel="0" collapsed="false">
      <c r="A293" s="5" t="s">
        <v>317</v>
      </c>
      <c r="B293" s="6" t="n">
        <v>3195966710.85</v>
      </c>
      <c r="C293" s="6" t="n">
        <v>0</v>
      </c>
      <c r="D293" s="6" t="n">
        <v>3195966710.85</v>
      </c>
      <c r="E293" s="6" t="n">
        <v>1182507.68</v>
      </c>
      <c r="F293" s="6" t="n">
        <v>0</v>
      </c>
      <c r="G293" s="6" t="n">
        <f aca="false">E293+F293</f>
        <v>1182507.68</v>
      </c>
      <c r="H293" s="7" t="n">
        <f aca="false">IF(D293=0,0,C293/D293)</f>
        <v>0</v>
      </c>
      <c r="I293" s="7" t="n">
        <f aca="false">IF(D293=0,0,B293/D293)</f>
        <v>1</v>
      </c>
      <c r="J293" s="6" t="n">
        <f aca="false">E293*H293</f>
        <v>0</v>
      </c>
      <c r="K293" s="6" t="n">
        <f aca="false">E293*I293</f>
        <v>1182507.68</v>
      </c>
      <c r="L293" s="6" t="n">
        <v>0</v>
      </c>
      <c r="M293" s="6" t="n">
        <v>1182507.68</v>
      </c>
      <c r="N293" s="6"/>
      <c r="O293" s="6"/>
      <c r="P293" s="7"/>
      <c r="Q293" s="5" t="s">
        <v>26</v>
      </c>
      <c r="R293" s="5" t="s">
        <v>27</v>
      </c>
    </row>
    <row r="294" customFormat="false" ht="15" hidden="false" customHeight="true" outlineLevel="0" collapsed="false">
      <c r="A294" s="5" t="s">
        <v>318</v>
      </c>
      <c r="B294" s="6" t="n">
        <v>1928068325.07</v>
      </c>
      <c r="C294" s="6" t="n">
        <v>0</v>
      </c>
      <c r="D294" s="6" t="n">
        <v>1928068325.07</v>
      </c>
      <c r="E294" s="6" t="n">
        <v>713385.28</v>
      </c>
      <c r="F294" s="6" t="n">
        <v>0</v>
      </c>
      <c r="G294" s="6" t="n">
        <f aca="false">E294+F294</f>
        <v>713385.28</v>
      </c>
      <c r="H294" s="7" t="n">
        <f aca="false">IF(D294=0,0,C294/D294)</f>
        <v>0</v>
      </c>
      <c r="I294" s="7" t="n">
        <f aca="false">IF(D294=0,0,B294/D294)</f>
        <v>1</v>
      </c>
      <c r="J294" s="6" t="n">
        <f aca="false">E294*H294</f>
        <v>0</v>
      </c>
      <c r="K294" s="6" t="n">
        <f aca="false">E294*I294</f>
        <v>713385.28</v>
      </c>
      <c r="L294" s="6" t="n">
        <v>0</v>
      </c>
      <c r="M294" s="6" t="n">
        <v>713385.28</v>
      </c>
      <c r="N294" s="6"/>
      <c r="O294" s="6"/>
      <c r="P294" s="7"/>
      <c r="Q294" s="5" t="s">
        <v>26</v>
      </c>
      <c r="R294" s="5" t="s">
        <v>27</v>
      </c>
    </row>
    <row r="295" customFormat="false" ht="15" hidden="false" customHeight="true" outlineLevel="0" collapsed="false">
      <c r="A295" s="5" t="s">
        <v>319</v>
      </c>
      <c r="B295" s="6" t="n">
        <v>1560843136.08</v>
      </c>
      <c r="C295" s="6" t="n">
        <v>0</v>
      </c>
      <c r="D295" s="6" t="n">
        <v>1560843136.08</v>
      </c>
      <c r="E295" s="6" t="n">
        <v>577511.96</v>
      </c>
      <c r="F295" s="6" t="n">
        <v>0</v>
      </c>
      <c r="G295" s="6" t="n">
        <f aca="false">E295+F295</f>
        <v>577511.96</v>
      </c>
      <c r="H295" s="7" t="n">
        <f aca="false">IF(D295=0,0,C295/D295)</f>
        <v>0</v>
      </c>
      <c r="I295" s="7" t="n">
        <f aca="false">IF(D295=0,0,B295/D295)</f>
        <v>1</v>
      </c>
      <c r="J295" s="6" t="n">
        <f aca="false">E295*H295</f>
        <v>0</v>
      </c>
      <c r="K295" s="6" t="n">
        <f aca="false">E295*I295</f>
        <v>577511.96</v>
      </c>
      <c r="L295" s="6" t="n">
        <v>0</v>
      </c>
      <c r="M295" s="6" t="n">
        <v>577511.96</v>
      </c>
      <c r="N295" s="6"/>
      <c r="O295" s="6"/>
      <c r="P295" s="7"/>
      <c r="Q295" s="5" t="s">
        <v>26</v>
      </c>
      <c r="R295" s="5" t="s">
        <v>27</v>
      </c>
    </row>
    <row r="296" customFormat="false" ht="15" hidden="false" customHeight="true" outlineLevel="0" collapsed="false">
      <c r="A296" s="5" t="s">
        <v>320</v>
      </c>
      <c r="B296" s="6" t="n">
        <v>1755543758.52</v>
      </c>
      <c r="C296" s="6" t="n">
        <v>0</v>
      </c>
      <c r="D296" s="6" t="n">
        <v>1755543758.52</v>
      </c>
      <c r="E296" s="6" t="n">
        <v>649551.19</v>
      </c>
      <c r="F296" s="6" t="n">
        <v>0</v>
      </c>
      <c r="G296" s="6" t="n">
        <f aca="false">E296+F296</f>
        <v>649551.19</v>
      </c>
      <c r="H296" s="7" t="n">
        <f aca="false">IF(D296=0,0,C296/D296)</f>
        <v>0</v>
      </c>
      <c r="I296" s="7" t="n">
        <f aca="false">IF(D296=0,0,B296/D296)</f>
        <v>1</v>
      </c>
      <c r="J296" s="6" t="n">
        <f aca="false">E296*H296</f>
        <v>0</v>
      </c>
      <c r="K296" s="6" t="n">
        <f aca="false">E296*I296</f>
        <v>649551.19</v>
      </c>
      <c r="L296" s="6" t="n">
        <v>0</v>
      </c>
      <c r="M296" s="6" t="n">
        <v>649551.19</v>
      </c>
      <c r="N296" s="6"/>
      <c r="O296" s="6"/>
      <c r="P296" s="7"/>
      <c r="Q296" s="5" t="s">
        <v>26</v>
      </c>
      <c r="R296" s="5" t="s">
        <v>27</v>
      </c>
    </row>
    <row r="297" customFormat="false" ht="15" hidden="false" customHeight="true" outlineLevel="0" collapsed="false">
      <c r="A297" s="5" t="s">
        <v>321</v>
      </c>
      <c r="B297" s="6" t="n">
        <v>863120543.7</v>
      </c>
      <c r="C297" s="6" t="n">
        <v>0</v>
      </c>
      <c r="D297" s="6" t="n">
        <v>863120543.7</v>
      </c>
      <c r="E297" s="6" t="n">
        <v>319354.6</v>
      </c>
      <c r="F297" s="6" t="n">
        <v>0</v>
      </c>
      <c r="G297" s="6" t="n">
        <f aca="false">E297+F297</f>
        <v>319354.6</v>
      </c>
      <c r="H297" s="7" t="n">
        <f aca="false">IF(D297=0,0,C297/D297)</f>
        <v>0</v>
      </c>
      <c r="I297" s="7" t="n">
        <f aca="false">IF(D297=0,0,B297/D297)</f>
        <v>1</v>
      </c>
      <c r="J297" s="6" t="n">
        <f aca="false">E297*H297</f>
        <v>0</v>
      </c>
      <c r="K297" s="6" t="n">
        <f aca="false">E297*I297</f>
        <v>319354.6</v>
      </c>
      <c r="L297" s="6" t="n">
        <v>0</v>
      </c>
      <c r="M297" s="6" t="n">
        <v>319354.6</v>
      </c>
      <c r="N297" s="6"/>
      <c r="O297" s="6"/>
      <c r="P297" s="7"/>
      <c r="Q297" s="5" t="s">
        <v>26</v>
      </c>
      <c r="R297" s="5" t="s">
        <v>27</v>
      </c>
    </row>
    <row r="298" customFormat="false" ht="15" hidden="false" customHeight="true" outlineLevel="0" collapsed="false">
      <c r="A298" s="5" t="s">
        <v>322</v>
      </c>
      <c r="B298" s="6" t="n">
        <v>1226594895.94</v>
      </c>
      <c r="C298" s="6" t="n">
        <v>0</v>
      </c>
      <c r="D298" s="6" t="n">
        <v>1226594895.94</v>
      </c>
      <c r="E298" s="6" t="n">
        <v>453840.11</v>
      </c>
      <c r="F298" s="6" t="n">
        <v>0</v>
      </c>
      <c r="G298" s="6" t="n">
        <f aca="false">E298+F298</f>
        <v>453840.11</v>
      </c>
      <c r="H298" s="7" t="n">
        <f aca="false">IF(D298=0,0,C298/D298)</f>
        <v>0</v>
      </c>
      <c r="I298" s="7" t="n">
        <f aca="false">IF(D298=0,0,B298/D298)</f>
        <v>1</v>
      </c>
      <c r="J298" s="6" t="n">
        <f aca="false">E298*H298</f>
        <v>0</v>
      </c>
      <c r="K298" s="6" t="n">
        <f aca="false">E298*I298</f>
        <v>453840.11</v>
      </c>
      <c r="L298" s="6" t="n">
        <v>0</v>
      </c>
      <c r="M298" s="6" t="n">
        <v>453840.11</v>
      </c>
      <c r="N298" s="6"/>
      <c r="O298" s="6"/>
      <c r="P298" s="7"/>
      <c r="Q298" s="5" t="s">
        <v>26</v>
      </c>
      <c r="R298" s="5" t="s">
        <v>27</v>
      </c>
    </row>
    <row r="299" customFormat="false" ht="15" hidden="false" customHeight="true" outlineLevel="0" collapsed="false">
      <c r="A299" s="5" t="s">
        <v>323</v>
      </c>
      <c r="B299" s="6" t="n">
        <v>1741075759.17</v>
      </c>
      <c r="C299" s="6" t="n">
        <v>0</v>
      </c>
      <c r="D299" s="6" t="n">
        <v>1741075759.17</v>
      </c>
      <c r="E299" s="6" t="n">
        <v>644198.03</v>
      </c>
      <c r="F299" s="6" t="n">
        <v>0</v>
      </c>
      <c r="G299" s="6" t="n">
        <f aca="false">E299+F299</f>
        <v>644198.03</v>
      </c>
      <c r="H299" s="7" t="n">
        <f aca="false">IF(D299=0,0,C299/D299)</f>
        <v>0</v>
      </c>
      <c r="I299" s="7" t="n">
        <f aca="false">IF(D299=0,0,B299/D299)</f>
        <v>1</v>
      </c>
      <c r="J299" s="6" t="n">
        <f aca="false">E299*H299</f>
        <v>0</v>
      </c>
      <c r="K299" s="6" t="n">
        <f aca="false">E299*I299</f>
        <v>644198.03</v>
      </c>
      <c r="L299" s="6" t="n">
        <v>0</v>
      </c>
      <c r="M299" s="6" t="n">
        <v>644198.03</v>
      </c>
      <c r="N299" s="6"/>
      <c r="O299" s="6"/>
      <c r="P299" s="7"/>
      <c r="Q299" s="5" t="s">
        <v>26</v>
      </c>
      <c r="R299" s="5" t="s">
        <v>27</v>
      </c>
    </row>
    <row r="300" customFormat="false" ht="15" hidden="false" customHeight="true" outlineLevel="0" collapsed="false">
      <c r="A300" s="5" t="s">
        <v>324</v>
      </c>
      <c r="B300" s="6" t="n">
        <v>1744989029.04</v>
      </c>
      <c r="C300" s="6" t="n">
        <v>0</v>
      </c>
      <c r="D300" s="6" t="n">
        <v>1744989029.04</v>
      </c>
      <c r="E300" s="6" t="n">
        <v>645645.94</v>
      </c>
      <c r="F300" s="6" t="n">
        <v>0</v>
      </c>
      <c r="G300" s="6" t="n">
        <f aca="false">E300+F300</f>
        <v>645645.94</v>
      </c>
      <c r="H300" s="7" t="n">
        <f aca="false">IF(D300=0,0,C300/D300)</f>
        <v>0</v>
      </c>
      <c r="I300" s="7" t="n">
        <f aca="false">IF(D300=0,0,B300/D300)</f>
        <v>1</v>
      </c>
      <c r="J300" s="6" t="n">
        <f aca="false">E300*H300</f>
        <v>0</v>
      </c>
      <c r="K300" s="6" t="n">
        <f aca="false">E300*I300</f>
        <v>645645.94</v>
      </c>
      <c r="L300" s="6" t="n">
        <v>0</v>
      </c>
      <c r="M300" s="6" t="n">
        <v>645645.94</v>
      </c>
      <c r="N300" s="6"/>
      <c r="O300" s="6"/>
      <c r="P300" s="7"/>
      <c r="Q300" s="5" t="s">
        <v>26</v>
      </c>
      <c r="R300" s="5" t="s">
        <v>27</v>
      </c>
    </row>
    <row r="301" customFormat="false" ht="15" hidden="false" customHeight="true" outlineLevel="0" collapsed="false">
      <c r="A301" s="5" t="s">
        <v>325</v>
      </c>
      <c r="B301" s="6" t="n">
        <v>1263731669.67</v>
      </c>
      <c r="C301" s="6" t="n">
        <v>0</v>
      </c>
      <c r="D301" s="6" t="n">
        <v>1263731669.67</v>
      </c>
      <c r="E301" s="6" t="n">
        <v>467580.72</v>
      </c>
      <c r="F301" s="6" t="n">
        <v>0</v>
      </c>
      <c r="G301" s="6" t="n">
        <f aca="false">E301+F301</f>
        <v>467580.72</v>
      </c>
      <c r="H301" s="7" t="n">
        <f aca="false">IF(D301=0,0,C301/D301)</f>
        <v>0</v>
      </c>
      <c r="I301" s="7" t="n">
        <f aca="false">IF(D301=0,0,B301/D301)</f>
        <v>1</v>
      </c>
      <c r="J301" s="6" t="n">
        <f aca="false">E301*H301</f>
        <v>0</v>
      </c>
      <c r="K301" s="6" t="n">
        <f aca="false">E301*I301</f>
        <v>467580.72</v>
      </c>
      <c r="L301" s="6" t="n">
        <v>0</v>
      </c>
      <c r="M301" s="6" t="n">
        <v>467580.72</v>
      </c>
      <c r="N301" s="6"/>
      <c r="O301" s="6"/>
      <c r="P301" s="7"/>
      <c r="Q301" s="5" t="s">
        <v>26</v>
      </c>
      <c r="R301" s="5" t="s">
        <v>27</v>
      </c>
    </row>
    <row r="302" customFormat="false" ht="15" hidden="false" customHeight="true" outlineLevel="0" collapsed="false">
      <c r="A302" s="5" t="s">
        <v>326</v>
      </c>
      <c r="B302" s="6" t="n">
        <v>2023526891.24</v>
      </c>
      <c r="C302" s="6" t="n">
        <v>0</v>
      </c>
      <c r="D302" s="6" t="n">
        <v>2023526891.24</v>
      </c>
      <c r="E302" s="6" t="n">
        <v>748704.95</v>
      </c>
      <c r="F302" s="6" t="n">
        <v>0</v>
      </c>
      <c r="G302" s="6" t="n">
        <f aca="false">E302+F302</f>
        <v>748704.95</v>
      </c>
      <c r="H302" s="7" t="n">
        <f aca="false">IF(D302=0,0,C302/D302)</f>
        <v>0</v>
      </c>
      <c r="I302" s="7" t="n">
        <f aca="false">IF(D302=0,0,B302/D302)</f>
        <v>1</v>
      </c>
      <c r="J302" s="6" t="n">
        <f aca="false">E302*H302</f>
        <v>0</v>
      </c>
      <c r="K302" s="6" t="n">
        <f aca="false">E302*I302</f>
        <v>748704.95</v>
      </c>
      <c r="L302" s="6" t="n">
        <v>0</v>
      </c>
      <c r="M302" s="6" t="n">
        <v>748704.95</v>
      </c>
      <c r="N302" s="6"/>
      <c r="O302" s="6"/>
      <c r="P302" s="7"/>
      <c r="Q302" s="5" t="s">
        <v>26</v>
      </c>
      <c r="R302" s="5" t="s">
        <v>27</v>
      </c>
    </row>
    <row r="303" customFormat="false" ht="15" hidden="false" customHeight="true" outlineLevel="0" collapsed="false">
      <c r="A303" s="5" t="s">
        <v>327</v>
      </c>
      <c r="B303" s="6" t="n">
        <v>2663546161.24</v>
      </c>
      <c r="C303" s="6" t="n">
        <v>0</v>
      </c>
      <c r="D303" s="6" t="n">
        <v>2663546161.24</v>
      </c>
      <c r="E303" s="6" t="n">
        <v>985512.08</v>
      </c>
      <c r="F303" s="6" t="n">
        <v>0</v>
      </c>
      <c r="G303" s="6" t="n">
        <f aca="false">E303+F303</f>
        <v>985512.08</v>
      </c>
      <c r="H303" s="7" t="n">
        <f aca="false">IF(D303=0,0,C303/D303)</f>
        <v>0</v>
      </c>
      <c r="I303" s="7" t="n">
        <f aca="false">IF(D303=0,0,B303/D303)</f>
        <v>1</v>
      </c>
      <c r="J303" s="6" t="n">
        <f aca="false">E303*H303</f>
        <v>0</v>
      </c>
      <c r="K303" s="6" t="n">
        <f aca="false">E303*I303</f>
        <v>985512.08</v>
      </c>
      <c r="L303" s="6" t="n">
        <v>0</v>
      </c>
      <c r="M303" s="6" t="n">
        <v>985512.08</v>
      </c>
      <c r="N303" s="6"/>
      <c r="O303" s="6"/>
      <c r="P303" s="7"/>
      <c r="Q303" s="5" t="s">
        <v>26</v>
      </c>
      <c r="R303" s="5" t="s">
        <v>27</v>
      </c>
    </row>
    <row r="304" customFormat="false" ht="15" hidden="false" customHeight="true" outlineLevel="0" collapsed="false">
      <c r="A304" s="5" t="s">
        <v>328</v>
      </c>
      <c r="B304" s="6" t="n">
        <v>1827728980.01</v>
      </c>
      <c r="C304" s="6" t="n">
        <v>0</v>
      </c>
      <c r="D304" s="6" t="n">
        <v>1827728980.01</v>
      </c>
      <c r="E304" s="6" t="n">
        <v>676259.72</v>
      </c>
      <c r="F304" s="6" t="n">
        <v>0</v>
      </c>
      <c r="G304" s="6" t="n">
        <f aca="false">E304+F304</f>
        <v>676259.72</v>
      </c>
      <c r="H304" s="7" t="n">
        <f aca="false">IF(D304=0,0,C304/D304)</f>
        <v>0</v>
      </c>
      <c r="I304" s="7" t="n">
        <f aca="false">IF(D304=0,0,B304/D304)</f>
        <v>1</v>
      </c>
      <c r="J304" s="6" t="n">
        <f aca="false">E304*H304</f>
        <v>0</v>
      </c>
      <c r="K304" s="6" t="n">
        <f aca="false">E304*I304</f>
        <v>676259.72</v>
      </c>
      <c r="L304" s="6" t="n">
        <v>0</v>
      </c>
      <c r="M304" s="6" t="n">
        <v>676259.72</v>
      </c>
      <c r="N304" s="6"/>
      <c r="O304" s="6"/>
      <c r="P304" s="7"/>
      <c r="Q304" s="5" t="s">
        <v>26</v>
      </c>
      <c r="R304" s="5" t="s">
        <v>27</v>
      </c>
    </row>
    <row r="305" customFormat="false" ht="15" hidden="false" customHeight="true" outlineLevel="0" collapsed="false">
      <c r="A305" s="5" t="s">
        <v>329</v>
      </c>
      <c r="B305" s="6" t="n">
        <v>1554774346.28</v>
      </c>
      <c r="C305" s="6" t="n">
        <v>0</v>
      </c>
      <c r="D305" s="6" t="n">
        <v>1554774346.28</v>
      </c>
      <c r="E305" s="6" t="n">
        <v>575266.51</v>
      </c>
      <c r="F305" s="6" t="n">
        <v>0</v>
      </c>
      <c r="G305" s="6" t="n">
        <f aca="false">E305+F305</f>
        <v>575266.51</v>
      </c>
      <c r="H305" s="7" t="n">
        <f aca="false">IF(D305=0,0,C305/D305)</f>
        <v>0</v>
      </c>
      <c r="I305" s="7" t="n">
        <f aca="false">IF(D305=0,0,B305/D305)</f>
        <v>1</v>
      </c>
      <c r="J305" s="6" t="n">
        <f aca="false">E305*H305</f>
        <v>0</v>
      </c>
      <c r="K305" s="6" t="n">
        <f aca="false">E305*I305</f>
        <v>575266.51</v>
      </c>
      <c r="L305" s="6" t="n">
        <v>0</v>
      </c>
      <c r="M305" s="6" t="n">
        <v>575266.51</v>
      </c>
      <c r="N305" s="6"/>
      <c r="O305" s="6"/>
      <c r="P305" s="7"/>
      <c r="Q305" s="5" t="s">
        <v>26</v>
      </c>
      <c r="R305" s="5" t="s">
        <v>27</v>
      </c>
    </row>
    <row r="306" customFormat="false" ht="15" hidden="false" customHeight="true" outlineLevel="0" collapsed="false">
      <c r="A306" s="5" t="s">
        <v>330</v>
      </c>
      <c r="B306" s="6" t="n">
        <v>1701626152.54</v>
      </c>
      <c r="C306" s="6" t="n">
        <v>0</v>
      </c>
      <c r="D306" s="6" t="n">
        <v>1701626152.54</v>
      </c>
      <c r="E306" s="6" t="n">
        <v>629601.68</v>
      </c>
      <c r="F306" s="6" t="n">
        <v>0</v>
      </c>
      <c r="G306" s="6" t="n">
        <f aca="false">E306+F306</f>
        <v>629601.68</v>
      </c>
      <c r="H306" s="7" t="n">
        <f aca="false">IF(D306=0,0,C306/D306)</f>
        <v>0</v>
      </c>
      <c r="I306" s="7" t="n">
        <f aca="false">IF(D306=0,0,B306/D306)</f>
        <v>1</v>
      </c>
      <c r="J306" s="6" t="n">
        <f aca="false">E306*H306</f>
        <v>0</v>
      </c>
      <c r="K306" s="6" t="n">
        <f aca="false">E306*I306</f>
        <v>629601.68</v>
      </c>
      <c r="L306" s="6" t="n">
        <v>0</v>
      </c>
      <c r="M306" s="6" t="n">
        <v>629601.68</v>
      </c>
      <c r="N306" s="6"/>
      <c r="O306" s="6"/>
      <c r="P306" s="7"/>
      <c r="Q306" s="5" t="s">
        <v>26</v>
      </c>
      <c r="R306" s="5" t="s">
        <v>27</v>
      </c>
    </row>
    <row r="307" customFormat="false" ht="15" hidden="false" customHeight="true" outlineLevel="0" collapsed="false">
      <c r="A307" s="5" t="s">
        <v>331</v>
      </c>
      <c r="B307" s="6" t="n">
        <v>3099319939.17</v>
      </c>
      <c r="C307" s="6" t="n">
        <v>0</v>
      </c>
      <c r="D307" s="6" t="n">
        <v>3099319939.17</v>
      </c>
      <c r="E307" s="6" t="n">
        <v>1146748.38</v>
      </c>
      <c r="F307" s="6" t="n">
        <v>0</v>
      </c>
      <c r="G307" s="6" t="n">
        <f aca="false">E307+F307</f>
        <v>1146748.38</v>
      </c>
      <c r="H307" s="7" t="n">
        <f aca="false">IF(D307=0,0,C307/D307)</f>
        <v>0</v>
      </c>
      <c r="I307" s="7" t="n">
        <f aca="false">IF(D307=0,0,B307/D307)</f>
        <v>1</v>
      </c>
      <c r="J307" s="6" t="n">
        <f aca="false">E307*H307</f>
        <v>0</v>
      </c>
      <c r="K307" s="6" t="n">
        <f aca="false">E307*I307</f>
        <v>1146748.38</v>
      </c>
      <c r="L307" s="6" t="n">
        <v>0</v>
      </c>
      <c r="M307" s="6" t="n">
        <v>1146748.38</v>
      </c>
      <c r="N307" s="6"/>
      <c r="O307" s="6"/>
      <c r="P307" s="7"/>
      <c r="Q307" s="5" t="s">
        <v>26</v>
      </c>
      <c r="R307" s="5" t="s">
        <v>27</v>
      </c>
    </row>
    <row r="308" customFormat="false" ht="15" hidden="false" customHeight="true" outlineLevel="0" collapsed="false">
      <c r="A308" s="5" t="s">
        <v>332</v>
      </c>
      <c r="B308" s="6" t="n">
        <v>2838682426.31</v>
      </c>
      <c r="C308" s="6" t="n">
        <v>0</v>
      </c>
      <c r="D308" s="6" t="n">
        <v>2838682426.31</v>
      </c>
      <c r="E308" s="6" t="n">
        <v>1050312.5</v>
      </c>
      <c r="F308" s="6" t="n">
        <v>0</v>
      </c>
      <c r="G308" s="6" t="n">
        <f aca="false">E308+F308</f>
        <v>1050312.5</v>
      </c>
      <c r="H308" s="7" t="n">
        <f aca="false">IF(D308=0,0,C308/D308)</f>
        <v>0</v>
      </c>
      <c r="I308" s="7" t="n">
        <f aca="false">IF(D308=0,0,B308/D308)</f>
        <v>1</v>
      </c>
      <c r="J308" s="6" t="n">
        <f aca="false">E308*H308</f>
        <v>0</v>
      </c>
      <c r="K308" s="6" t="n">
        <f aca="false">E308*I308</f>
        <v>1050312.5</v>
      </c>
      <c r="L308" s="6" t="n">
        <v>0</v>
      </c>
      <c r="M308" s="6" t="n">
        <v>1050312.5</v>
      </c>
      <c r="N308" s="6"/>
      <c r="O308" s="6"/>
      <c r="P308" s="7"/>
      <c r="Q308" s="5" t="s">
        <v>26</v>
      </c>
      <c r="R308" s="5" t="s">
        <v>27</v>
      </c>
    </row>
    <row r="309" customFormat="false" ht="15" hidden="false" customHeight="true" outlineLevel="0" collapsed="false">
      <c r="A309" s="5" t="s">
        <v>333</v>
      </c>
      <c r="B309" s="6" t="n">
        <v>1535920161.9</v>
      </c>
      <c r="C309" s="6" t="n">
        <v>0</v>
      </c>
      <c r="D309" s="6" t="n">
        <v>1535920161.9</v>
      </c>
      <c r="E309" s="6" t="n">
        <v>568290.46</v>
      </c>
      <c r="F309" s="6" t="n">
        <v>0</v>
      </c>
      <c r="G309" s="6" t="n">
        <f aca="false">E309+F309</f>
        <v>568290.46</v>
      </c>
      <c r="H309" s="7" t="n">
        <f aca="false">IF(D309=0,0,C309/D309)</f>
        <v>0</v>
      </c>
      <c r="I309" s="7" t="n">
        <f aca="false">IF(D309=0,0,B309/D309)</f>
        <v>1</v>
      </c>
      <c r="J309" s="6" t="n">
        <f aca="false">E309*H309</f>
        <v>0</v>
      </c>
      <c r="K309" s="6" t="n">
        <f aca="false">E309*I309</f>
        <v>568290.46</v>
      </c>
      <c r="L309" s="6" t="n">
        <v>0</v>
      </c>
      <c r="M309" s="6" t="n">
        <v>568290.46</v>
      </c>
      <c r="N309" s="6"/>
      <c r="O309" s="6"/>
      <c r="P309" s="7"/>
      <c r="Q309" s="5" t="s">
        <v>26</v>
      </c>
      <c r="R309" s="5" t="s">
        <v>27</v>
      </c>
    </row>
    <row r="310" customFormat="false" ht="15" hidden="false" customHeight="true" outlineLevel="0" collapsed="false">
      <c r="A310" s="5" t="s">
        <v>334</v>
      </c>
      <c r="B310" s="6" t="n">
        <v>1567404832.24</v>
      </c>
      <c r="C310" s="6" t="n">
        <v>0</v>
      </c>
      <c r="D310" s="6" t="n">
        <v>1567404832.24</v>
      </c>
      <c r="E310" s="6" t="n">
        <v>579939.79</v>
      </c>
      <c r="F310" s="6" t="n">
        <v>0</v>
      </c>
      <c r="G310" s="6" t="n">
        <f aca="false">E310+F310</f>
        <v>579939.79</v>
      </c>
      <c r="H310" s="7" t="n">
        <f aca="false">IF(D310=0,0,C310/D310)</f>
        <v>0</v>
      </c>
      <c r="I310" s="7" t="n">
        <f aca="false">IF(D310=0,0,B310/D310)</f>
        <v>1</v>
      </c>
      <c r="J310" s="6" t="n">
        <f aca="false">E310*H310</f>
        <v>0</v>
      </c>
      <c r="K310" s="6" t="n">
        <f aca="false">E310*I310</f>
        <v>579939.79</v>
      </c>
      <c r="L310" s="6" t="n">
        <v>0</v>
      </c>
      <c r="M310" s="6" t="n">
        <v>579939.79</v>
      </c>
      <c r="N310" s="6"/>
      <c r="O310" s="6"/>
      <c r="P310" s="7"/>
      <c r="Q310" s="5" t="s">
        <v>26</v>
      </c>
      <c r="R310" s="5" t="s">
        <v>27</v>
      </c>
    </row>
    <row r="311" customFormat="false" ht="15" hidden="false" customHeight="true" outlineLevel="0" collapsed="false">
      <c r="A311" s="5" t="s">
        <v>335</v>
      </c>
      <c r="B311" s="6" t="n">
        <v>1028403066.95</v>
      </c>
      <c r="C311" s="6" t="n">
        <v>0</v>
      </c>
      <c r="D311" s="6" t="n">
        <v>1028403066.95</v>
      </c>
      <c r="E311" s="6" t="n">
        <v>380509.13</v>
      </c>
      <c r="F311" s="6" t="n">
        <v>0</v>
      </c>
      <c r="G311" s="6" t="n">
        <f aca="false">E311+F311</f>
        <v>380509.13</v>
      </c>
      <c r="H311" s="7" t="n">
        <f aca="false">IF(D311=0,0,C311/D311)</f>
        <v>0</v>
      </c>
      <c r="I311" s="7" t="n">
        <f aca="false">IF(D311=0,0,B311/D311)</f>
        <v>1</v>
      </c>
      <c r="J311" s="6" t="n">
        <f aca="false">E311*H311</f>
        <v>0</v>
      </c>
      <c r="K311" s="6" t="n">
        <f aca="false">E311*I311</f>
        <v>380509.13</v>
      </c>
      <c r="L311" s="6" t="n">
        <v>0</v>
      </c>
      <c r="M311" s="6" t="n">
        <v>380509.13</v>
      </c>
      <c r="N311" s="6"/>
      <c r="O311" s="6"/>
      <c r="P311" s="7"/>
      <c r="Q311" s="5" t="s">
        <v>26</v>
      </c>
      <c r="R311" s="5" t="s">
        <v>27</v>
      </c>
    </row>
    <row r="312" customFormat="false" ht="15" hidden="false" customHeight="true" outlineLevel="0" collapsed="false">
      <c r="A312" s="5" t="s">
        <v>336</v>
      </c>
      <c r="B312" s="6" t="n">
        <v>1020480466.82</v>
      </c>
      <c r="C312" s="6" t="n">
        <v>0</v>
      </c>
      <c r="D312" s="6" t="n">
        <v>1020480466.82</v>
      </c>
      <c r="E312" s="6" t="n">
        <v>377577.77</v>
      </c>
      <c r="F312" s="6" t="n">
        <v>0</v>
      </c>
      <c r="G312" s="6" t="n">
        <f aca="false">E312+F312</f>
        <v>377577.77</v>
      </c>
      <c r="H312" s="7" t="n">
        <f aca="false">IF(D312=0,0,C312/D312)</f>
        <v>0</v>
      </c>
      <c r="I312" s="7" t="n">
        <f aca="false">IF(D312=0,0,B312/D312)</f>
        <v>1</v>
      </c>
      <c r="J312" s="6" t="n">
        <f aca="false">E312*H312</f>
        <v>0</v>
      </c>
      <c r="K312" s="6" t="n">
        <f aca="false">E312*I312</f>
        <v>377577.77</v>
      </c>
      <c r="L312" s="6" t="n">
        <v>0</v>
      </c>
      <c r="M312" s="6" t="n">
        <v>377577.77</v>
      </c>
      <c r="N312" s="6"/>
      <c r="O312" s="6"/>
      <c r="P312" s="7"/>
      <c r="Q312" s="5" t="s">
        <v>26</v>
      </c>
      <c r="R312" s="5" t="s">
        <v>27</v>
      </c>
    </row>
    <row r="313" customFormat="false" ht="15" hidden="false" customHeight="true" outlineLevel="0" collapsed="false">
      <c r="A313" s="5" t="s">
        <v>337</v>
      </c>
      <c r="B313" s="6" t="n">
        <v>1625860717.41</v>
      </c>
      <c r="C313" s="6" t="n">
        <v>0</v>
      </c>
      <c r="D313" s="6" t="n">
        <v>1625860717.41</v>
      </c>
      <c r="E313" s="6" t="n">
        <v>601568.47</v>
      </c>
      <c r="F313" s="6" t="n">
        <v>0</v>
      </c>
      <c r="G313" s="6" t="n">
        <f aca="false">E313+F313</f>
        <v>601568.47</v>
      </c>
      <c r="H313" s="7" t="n">
        <f aca="false">IF(D313=0,0,C313/D313)</f>
        <v>0</v>
      </c>
      <c r="I313" s="7" t="n">
        <f aca="false">IF(D313=0,0,B313/D313)</f>
        <v>1</v>
      </c>
      <c r="J313" s="6" t="n">
        <f aca="false">E313*H313</f>
        <v>0</v>
      </c>
      <c r="K313" s="6" t="n">
        <f aca="false">E313*I313</f>
        <v>601568.47</v>
      </c>
      <c r="L313" s="6" t="n">
        <v>0</v>
      </c>
      <c r="M313" s="6" t="n">
        <v>601568.47</v>
      </c>
      <c r="N313" s="6"/>
      <c r="O313" s="6"/>
      <c r="P313" s="7"/>
      <c r="Q313" s="5" t="s">
        <v>26</v>
      </c>
      <c r="R313" s="5" t="s">
        <v>27</v>
      </c>
    </row>
    <row r="314" customFormat="false" ht="15" hidden="false" customHeight="true" outlineLevel="0" collapsed="false">
      <c r="A314" s="5" t="s">
        <v>338</v>
      </c>
      <c r="B314" s="6" t="n">
        <v>1678124849.27</v>
      </c>
      <c r="C314" s="6" t="n">
        <v>0</v>
      </c>
      <c r="D314" s="6" t="n">
        <v>1678124849.27</v>
      </c>
      <c r="E314" s="6" t="n">
        <v>620906.19</v>
      </c>
      <c r="F314" s="6" t="n">
        <v>0</v>
      </c>
      <c r="G314" s="6" t="n">
        <f aca="false">E314+F314</f>
        <v>620906.19</v>
      </c>
      <c r="H314" s="7" t="n">
        <f aca="false">IF(D314=0,0,C314/D314)</f>
        <v>0</v>
      </c>
      <c r="I314" s="7" t="n">
        <f aca="false">IF(D314=0,0,B314/D314)</f>
        <v>1</v>
      </c>
      <c r="J314" s="6" t="n">
        <f aca="false">E314*H314</f>
        <v>0</v>
      </c>
      <c r="K314" s="6" t="n">
        <f aca="false">E314*I314</f>
        <v>620906.19</v>
      </c>
      <c r="L314" s="6" t="n">
        <v>0</v>
      </c>
      <c r="M314" s="6" t="n">
        <v>620906.19</v>
      </c>
      <c r="N314" s="6"/>
      <c r="O314" s="6"/>
      <c r="P314" s="7"/>
      <c r="Q314" s="5" t="s">
        <v>26</v>
      </c>
      <c r="R314" s="5" t="s">
        <v>27</v>
      </c>
    </row>
    <row r="315" customFormat="false" ht="15" hidden="false" customHeight="true" outlineLevel="0" collapsed="false">
      <c r="A315" s="5" t="s">
        <v>339</v>
      </c>
      <c r="B315" s="6" t="n">
        <v>1330183416.43</v>
      </c>
      <c r="C315" s="6" t="n">
        <v>0</v>
      </c>
      <c r="D315" s="6" t="n">
        <v>1330183416.43</v>
      </c>
      <c r="E315" s="6" t="n">
        <v>492167.86</v>
      </c>
      <c r="F315" s="6" t="n">
        <v>0</v>
      </c>
      <c r="G315" s="6" t="n">
        <f aca="false">E315+F315</f>
        <v>492167.86</v>
      </c>
      <c r="H315" s="7" t="n">
        <f aca="false">IF(D315=0,0,C315/D315)</f>
        <v>0</v>
      </c>
      <c r="I315" s="7" t="n">
        <f aca="false">IF(D315=0,0,B315/D315)</f>
        <v>1</v>
      </c>
      <c r="J315" s="6" t="n">
        <f aca="false">E315*H315</f>
        <v>0</v>
      </c>
      <c r="K315" s="6" t="n">
        <f aca="false">E315*I315</f>
        <v>492167.86</v>
      </c>
      <c r="L315" s="6" t="n">
        <v>0</v>
      </c>
      <c r="M315" s="6" t="n">
        <v>492167.86</v>
      </c>
      <c r="N315" s="6"/>
      <c r="O315" s="6"/>
      <c r="P315" s="7"/>
      <c r="Q315" s="5" t="s">
        <v>26</v>
      </c>
      <c r="R315" s="5" t="s">
        <v>27</v>
      </c>
    </row>
    <row r="316" customFormat="false" ht="15" hidden="false" customHeight="true" outlineLevel="0" collapsed="false">
      <c r="A316" s="5" t="s">
        <v>340</v>
      </c>
      <c r="B316" s="6" t="n">
        <v>1028083294.7</v>
      </c>
      <c r="C316" s="6" t="n">
        <v>0</v>
      </c>
      <c r="D316" s="6" t="n">
        <v>1028083294.7</v>
      </c>
      <c r="E316" s="6" t="n">
        <v>380390.82</v>
      </c>
      <c r="F316" s="6" t="n">
        <v>0</v>
      </c>
      <c r="G316" s="6" t="n">
        <f aca="false">E316+F316</f>
        <v>380390.82</v>
      </c>
      <c r="H316" s="7" t="n">
        <f aca="false">IF(D316=0,0,C316/D316)</f>
        <v>0</v>
      </c>
      <c r="I316" s="7" t="n">
        <f aca="false">IF(D316=0,0,B316/D316)</f>
        <v>1</v>
      </c>
      <c r="J316" s="6" t="n">
        <f aca="false">E316*H316</f>
        <v>0</v>
      </c>
      <c r="K316" s="6" t="n">
        <f aca="false">E316*I316</f>
        <v>380390.82</v>
      </c>
      <c r="L316" s="6" t="n">
        <v>0</v>
      </c>
      <c r="M316" s="6" t="n">
        <v>380390.82</v>
      </c>
      <c r="N316" s="6"/>
      <c r="O316" s="6"/>
      <c r="P316" s="7"/>
      <c r="Q316" s="5" t="s">
        <v>26</v>
      </c>
      <c r="R316" s="5" t="s">
        <v>27</v>
      </c>
    </row>
    <row r="317" customFormat="false" ht="15" hidden="false" customHeight="true" outlineLevel="0" collapsed="false">
      <c r="A317" s="5" t="s">
        <v>341</v>
      </c>
      <c r="B317" s="6" t="n">
        <v>1141534282.36</v>
      </c>
      <c r="C317" s="6" t="n">
        <v>0</v>
      </c>
      <c r="D317" s="6" t="n">
        <v>1141534282.36</v>
      </c>
      <c r="E317" s="6" t="n">
        <v>422367.68</v>
      </c>
      <c r="F317" s="6" t="n">
        <v>0</v>
      </c>
      <c r="G317" s="6" t="n">
        <f aca="false">E317+F317</f>
        <v>422367.68</v>
      </c>
      <c r="H317" s="7" t="n">
        <f aca="false">IF(D317=0,0,C317/D317)</f>
        <v>0</v>
      </c>
      <c r="I317" s="7" t="n">
        <f aca="false">IF(D317=0,0,B317/D317)</f>
        <v>1</v>
      </c>
      <c r="J317" s="6" t="n">
        <f aca="false">E317*H317</f>
        <v>0</v>
      </c>
      <c r="K317" s="6" t="n">
        <f aca="false">E317*I317</f>
        <v>422367.68</v>
      </c>
      <c r="L317" s="6" t="n">
        <v>0</v>
      </c>
      <c r="M317" s="6" t="n">
        <v>422367.68</v>
      </c>
      <c r="N317" s="6"/>
      <c r="O317" s="6"/>
      <c r="P317" s="7"/>
      <c r="Q317" s="5" t="s">
        <v>26</v>
      </c>
      <c r="R317" s="5" t="s">
        <v>27</v>
      </c>
    </row>
    <row r="318" customFormat="false" ht="15" hidden="false" customHeight="true" outlineLevel="0" collapsed="false">
      <c r="A318" s="5" t="s">
        <v>342</v>
      </c>
      <c r="B318" s="6" t="n">
        <v>854111149.41</v>
      </c>
      <c r="C318" s="6" t="n">
        <v>0</v>
      </c>
      <c r="D318" s="6" t="n">
        <v>854111149.41</v>
      </c>
      <c r="E318" s="6" t="n">
        <v>316021.13</v>
      </c>
      <c r="F318" s="6" t="n">
        <v>0</v>
      </c>
      <c r="G318" s="6" t="n">
        <f aca="false">E318+F318</f>
        <v>316021.13</v>
      </c>
      <c r="H318" s="7" t="n">
        <f aca="false">IF(D318=0,0,C318/D318)</f>
        <v>0</v>
      </c>
      <c r="I318" s="7" t="n">
        <f aca="false">IF(D318=0,0,B318/D318)</f>
        <v>1</v>
      </c>
      <c r="J318" s="6" t="n">
        <f aca="false">E318*H318</f>
        <v>0</v>
      </c>
      <c r="K318" s="6" t="n">
        <f aca="false">E318*I318</f>
        <v>316021.13</v>
      </c>
      <c r="L318" s="6" t="n">
        <v>0</v>
      </c>
      <c r="M318" s="6" t="n">
        <v>316021.13</v>
      </c>
      <c r="N318" s="6"/>
      <c r="O318" s="6"/>
      <c r="P318" s="7"/>
      <c r="Q318" s="5" t="s">
        <v>26</v>
      </c>
      <c r="R318" s="5" t="s">
        <v>27</v>
      </c>
    </row>
    <row r="319" customFormat="false" ht="15" hidden="false" customHeight="true" outlineLevel="0" collapsed="false">
      <c r="A319" s="5" t="s">
        <v>343</v>
      </c>
      <c r="B319" s="6" t="n">
        <v>978276203.49</v>
      </c>
      <c r="C319" s="6" t="n">
        <v>0</v>
      </c>
      <c r="D319" s="6" t="n">
        <v>978276203.49</v>
      </c>
      <c r="E319" s="6" t="n">
        <v>361962.2</v>
      </c>
      <c r="F319" s="6" t="n">
        <v>0</v>
      </c>
      <c r="G319" s="6" t="n">
        <f aca="false">E319+F319</f>
        <v>361962.2</v>
      </c>
      <c r="H319" s="7" t="n">
        <f aca="false">IF(D319=0,0,C319/D319)</f>
        <v>0</v>
      </c>
      <c r="I319" s="7" t="n">
        <f aca="false">IF(D319=0,0,B319/D319)</f>
        <v>1</v>
      </c>
      <c r="J319" s="6" t="n">
        <f aca="false">E319*H319</f>
        <v>0</v>
      </c>
      <c r="K319" s="6" t="n">
        <f aca="false">E319*I319</f>
        <v>361962.2</v>
      </c>
      <c r="L319" s="6" t="n">
        <v>0</v>
      </c>
      <c r="M319" s="6" t="n">
        <v>361962.2</v>
      </c>
      <c r="N319" s="6"/>
      <c r="O319" s="6"/>
      <c r="P319" s="7"/>
      <c r="Q319" s="5" t="s">
        <v>26</v>
      </c>
      <c r="R319" s="5" t="s">
        <v>27</v>
      </c>
    </row>
    <row r="320" customFormat="false" ht="15" hidden="false" customHeight="true" outlineLevel="0" collapsed="false">
      <c r="A320" s="5" t="s">
        <v>344</v>
      </c>
      <c r="B320" s="6" t="n">
        <v>1460735619.42</v>
      </c>
      <c r="C320" s="6" t="n">
        <v>0</v>
      </c>
      <c r="D320" s="6" t="n">
        <v>1460735619.42</v>
      </c>
      <c r="E320" s="6" t="n">
        <v>540472.18</v>
      </c>
      <c r="F320" s="6" t="n">
        <v>0</v>
      </c>
      <c r="G320" s="6" t="n">
        <f aca="false">E320+F320</f>
        <v>540472.18</v>
      </c>
      <c r="H320" s="7" t="n">
        <f aca="false">IF(D320=0,0,C320/D320)</f>
        <v>0</v>
      </c>
      <c r="I320" s="7" t="n">
        <f aca="false">IF(D320=0,0,B320/D320)</f>
        <v>1</v>
      </c>
      <c r="J320" s="6" t="n">
        <f aca="false">E320*H320</f>
        <v>0</v>
      </c>
      <c r="K320" s="6" t="n">
        <f aca="false">E320*I320</f>
        <v>540472.18</v>
      </c>
      <c r="L320" s="6" t="n">
        <v>0</v>
      </c>
      <c r="M320" s="6" t="n">
        <v>540472.18</v>
      </c>
      <c r="N320" s="6"/>
      <c r="O320" s="6"/>
      <c r="P320" s="7"/>
      <c r="Q320" s="5" t="s">
        <v>26</v>
      </c>
      <c r="R320" s="5" t="s">
        <v>27</v>
      </c>
    </row>
    <row r="321" customFormat="false" ht="15" hidden="false" customHeight="true" outlineLevel="0" collapsed="false">
      <c r="A321" s="5" t="s">
        <v>345</v>
      </c>
      <c r="B321" s="6" t="n">
        <v>1826866235.78</v>
      </c>
      <c r="C321" s="6" t="n">
        <v>0</v>
      </c>
      <c r="D321" s="6" t="n">
        <v>1826866235.78</v>
      </c>
      <c r="E321" s="6" t="n">
        <v>675940.51</v>
      </c>
      <c r="F321" s="6" t="n">
        <v>0</v>
      </c>
      <c r="G321" s="6" t="n">
        <f aca="false">E321+F321</f>
        <v>675940.51</v>
      </c>
      <c r="H321" s="7" t="n">
        <f aca="false">IF(D321=0,0,C321/D321)</f>
        <v>0</v>
      </c>
      <c r="I321" s="7" t="n">
        <f aca="false">IF(D321=0,0,B321/D321)</f>
        <v>1</v>
      </c>
      <c r="J321" s="6" t="n">
        <f aca="false">E321*H321</f>
        <v>0</v>
      </c>
      <c r="K321" s="6" t="n">
        <f aca="false">E321*I321</f>
        <v>675940.51</v>
      </c>
      <c r="L321" s="6" t="n">
        <v>0</v>
      </c>
      <c r="M321" s="6" t="n">
        <v>675940.51</v>
      </c>
      <c r="N321" s="6"/>
      <c r="O321" s="6"/>
      <c r="P321" s="7"/>
      <c r="Q321" s="5" t="s">
        <v>26</v>
      </c>
      <c r="R321" s="5" t="s">
        <v>27</v>
      </c>
    </row>
    <row r="322" customFormat="false" ht="15" hidden="false" customHeight="true" outlineLevel="0" collapsed="false">
      <c r="A322" s="5" t="s">
        <v>346</v>
      </c>
      <c r="B322" s="6" t="n">
        <v>1273869977.15</v>
      </c>
      <c r="C322" s="6" t="n">
        <v>0</v>
      </c>
      <c r="D322" s="6" t="n">
        <v>1273869977.15</v>
      </c>
      <c r="E322" s="6" t="n">
        <v>471331.89</v>
      </c>
      <c r="F322" s="6" t="n">
        <v>0</v>
      </c>
      <c r="G322" s="6" t="n">
        <f aca="false">E322+F322</f>
        <v>471331.89</v>
      </c>
      <c r="H322" s="7" t="n">
        <f aca="false">IF(D322=0,0,C322/D322)</f>
        <v>0</v>
      </c>
      <c r="I322" s="7" t="n">
        <f aca="false">IF(D322=0,0,B322/D322)</f>
        <v>1</v>
      </c>
      <c r="J322" s="6" t="n">
        <f aca="false">E322*H322</f>
        <v>0</v>
      </c>
      <c r="K322" s="6" t="n">
        <f aca="false">E322*I322</f>
        <v>471331.89</v>
      </c>
      <c r="L322" s="6" t="n">
        <v>0</v>
      </c>
      <c r="M322" s="6" t="n">
        <v>471331.89</v>
      </c>
      <c r="N322" s="6"/>
      <c r="O322" s="6"/>
      <c r="P322" s="7"/>
      <c r="Q322" s="5" t="s">
        <v>26</v>
      </c>
      <c r="R322" s="5" t="s">
        <v>27</v>
      </c>
    </row>
    <row r="323" customFormat="false" ht="15" hidden="false" customHeight="true" outlineLevel="0" collapsed="false">
      <c r="A323" s="5" t="s">
        <v>347</v>
      </c>
      <c r="B323" s="6" t="n">
        <v>1199426718.75</v>
      </c>
      <c r="C323" s="6" t="n">
        <v>0</v>
      </c>
      <c r="D323" s="6" t="n">
        <v>1199426718.75</v>
      </c>
      <c r="E323" s="6" t="n">
        <v>443787.89</v>
      </c>
      <c r="F323" s="6" t="n">
        <v>0</v>
      </c>
      <c r="G323" s="6" t="n">
        <f aca="false">E323+F323</f>
        <v>443787.89</v>
      </c>
      <c r="H323" s="7" t="n">
        <f aca="false">IF(D323=0,0,C323/D323)</f>
        <v>0</v>
      </c>
      <c r="I323" s="7" t="n">
        <f aca="false">IF(D323=0,0,B323/D323)</f>
        <v>1</v>
      </c>
      <c r="J323" s="6" t="n">
        <f aca="false">E323*H323</f>
        <v>0</v>
      </c>
      <c r="K323" s="6" t="n">
        <f aca="false">E323*I323</f>
        <v>443787.89</v>
      </c>
      <c r="L323" s="6" t="n">
        <v>0</v>
      </c>
      <c r="M323" s="6" t="n">
        <v>443787.89</v>
      </c>
      <c r="N323" s="6"/>
      <c r="O323" s="6"/>
      <c r="P323" s="7"/>
      <c r="Q323" s="5" t="s">
        <v>26</v>
      </c>
      <c r="R323" s="5" t="s">
        <v>27</v>
      </c>
    </row>
    <row r="324" customFormat="false" ht="15" hidden="false" customHeight="true" outlineLevel="0" collapsed="false">
      <c r="A324" s="5" t="s">
        <v>348</v>
      </c>
      <c r="B324" s="6" t="n">
        <v>1351180214.96</v>
      </c>
      <c r="C324" s="6" t="n">
        <v>0</v>
      </c>
      <c r="D324" s="6" t="n">
        <v>1351180214.96</v>
      </c>
      <c r="E324" s="6" t="n">
        <v>499936.68</v>
      </c>
      <c r="F324" s="6" t="n">
        <v>0</v>
      </c>
      <c r="G324" s="6" t="n">
        <f aca="false">E324+F324</f>
        <v>499936.68</v>
      </c>
      <c r="H324" s="7" t="n">
        <f aca="false">IF(D324=0,0,C324/D324)</f>
        <v>0</v>
      </c>
      <c r="I324" s="7" t="n">
        <f aca="false">IF(D324=0,0,B324/D324)</f>
        <v>1</v>
      </c>
      <c r="J324" s="6" t="n">
        <f aca="false">E324*H324</f>
        <v>0</v>
      </c>
      <c r="K324" s="6" t="n">
        <f aca="false">E324*I324</f>
        <v>499936.68</v>
      </c>
      <c r="L324" s="6" t="n">
        <v>0</v>
      </c>
      <c r="M324" s="6" t="n">
        <v>499936.68</v>
      </c>
      <c r="N324" s="6"/>
      <c r="O324" s="6"/>
      <c r="P324" s="7"/>
      <c r="Q324" s="5" t="s">
        <v>26</v>
      </c>
      <c r="R324" s="5" t="s">
        <v>27</v>
      </c>
    </row>
    <row r="325" customFormat="false" ht="15" hidden="false" customHeight="true" outlineLevel="0" collapsed="false">
      <c r="A325" s="5" t="s">
        <v>349</v>
      </c>
      <c r="B325" s="6" t="n">
        <v>923812713.59</v>
      </c>
      <c r="C325" s="6" t="n">
        <v>0</v>
      </c>
      <c r="D325" s="6" t="n">
        <v>923812713.59</v>
      </c>
      <c r="E325" s="6" t="n">
        <v>341810.7</v>
      </c>
      <c r="F325" s="6" t="n">
        <v>0</v>
      </c>
      <c r="G325" s="6" t="n">
        <f aca="false">E325+F325</f>
        <v>341810.7</v>
      </c>
      <c r="H325" s="7" t="n">
        <f aca="false">IF(D325=0,0,C325/D325)</f>
        <v>0</v>
      </c>
      <c r="I325" s="7" t="n">
        <f aca="false">IF(D325=0,0,B325/D325)</f>
        <v>1</v>
      </c>
      <c r="J325" s="6" t="n">
        <f aca="false">E325*H325</f>
        <v>0</v>
      </c>
      <c r="K325" s="6" t="n">
        <f aca="false">E325*I325</f>
        <v>341810.7</v>
      </c>
      <c r="L325" s="6" t="n">
        <v>0</v>
      </c>
      <c r="M325" s="6" t="n">
        <v>341810.7</v>
      </c>
      <c r="N325" s="6"/>
      <c r="O325" s="6"/>
      <c r="P325" s="7"/>
      <c r="Q325" s="5" t="s">
        <v>26</v>
      </c>
      <c r="R325" s="5" t="s">
        <v>27</v>
      </c>
    </row>
    <row r="326" customFormat="false" ht="15" hidden="false" customHeight="true" outlineLevel="0" collapsed="false">
      <c r="A326" s="5" t="s">
        <v>350</v>
      </c>
      <c r="B326" s="6" t="n">
        <v>1007509083.85</v>
      </c>
      <c r="C326" s="6" t="n">
        <v>0</v>
      </c>
      <c r="D326" s="6" t="n">
        <v>1007509083.85</v>
      </c>
      <c r="E326" s="6" t="n">
        <v>372778.36</v>
      </c>
      <c r="F326" s="6" t="n">
        <v>0</v>
      </c>
      <c r="G326" s="6" t="n">
        <f aca="false">E326+F326</f>
        <v>372778.36</v>
      </c>
      <c r="H326" s="7" t="n">
        <f aca="false">IF(D326=0,0,C326/D326)</f>
        <v>0</v>
      </c>
      <c r="I326" s="7" t="n">
        <f aca="false">IF(D326=0,0,B326/D326)</f>
        <v>1</v>
      </c>
      <c r="J326" s="6" t="n">
        <f aca="false">E326*H326</f>
        <v>0</v>
      </c>
      <c r="K326" s="6" t="n">
        <f aca="false">E326*I326</f>
        <v>372778.36</v>
      </c>
      <c r="L326" s="6" t="n">
        <v>0</v>
      </c>
      <c r="M326" s="6" t="n">
        <v>372778.36</v>
      </c>
      <c r="N326" s="6"/>
      <c r="O326" s="6"/>
      <c r="P326" s="7"/>
      <c r="Q326" s="5" t="s">
        <v>26</v>
      </c>
      <c r="R326" s="5" t="s">
        <v>27</v>
      </c>
    </row>
    <row r="327" customFormat="false" ht="15" hidden="false" customHeight="true" outlineLevel="0" collapsed="false">
      <c r="A327" s="5" t="s">
        <v>351</v>
      </c>
      <c r="B327" s="6" t="n">
        <v>1845482693.74</v>
      </c>
      <c r="C327" s="6" t="n">
        <v>0</v>
      </c>
      <c r="D327" s="6" t="n">
        <v>1845482693.74</v>
      </c>
      <c r="E327" s="6" t="n">
        <v>682828.6</v>
      </c>
      <c r="F327" s="6" t="n">
        <v>0</v>
      </c>
      <c r="G327" s="6" t="n">
        <f aca="false">E327+F327</f>
        <v>682828.6</v>
      </c>
      <c r="H327" s="7" t="n">
        <f aca="false">IF(D327=0,0,C327/D327)</f>
        <v>0</v>
      </c>
      <c r="I327" s="7" t="n">
        <f aca="false">IF(D327=0,0,B327/D327)</f>
        <v>1</v>
      </c>
      <c r="J327" s="6" t="n">
        <f aca="false">E327*H327</f>
        <v>0</v>
      </c>
      <c r="K327" s="6" t="n">
        <f aca="false">E327*I327</f>
        <v>682828.6</v>
      </c>
      <c r="L327" s="6" t="n">
        <v>0</v>
      </c>
      <c r="M327" s="6" t="n">
        <v>682828.6</v>
      </c>
      <c r="N327" s="6"/>
      <c r="O327" s="6"/>
      <c r="P327" s="7"/>
      <c r="Q327" s="5" t="s">
        <v>26</v>
      </c>
      <c r="R327" s="5" t="s">
        <v>27</v>
      </c>
    </row>
    <row r="328" customFormat="false" ht="15" hidden="false" customHeight="true" outlineLevel="0" collapsed="false">
      <c r="A328" s="5" t="s">
        <v>352</v>
      </c>
      <c r="B328" s="6" t="n">
        <v>2072995144.25</v>
      </c>
      <c r="C328" s="6" t="n">
        <v>0</v>
      </c>
      <c r="D328" s="6" t="n">
        <v>2072995144.25</v>
      </c>
      <c r="E328" s="6" t="n">
        <v>767008.2</v>
      </c>
      <c r="F328" s="6" t="n">
        <v>0</v>
      </c>
      <c r="G328" s="6" t="n">
        <f aca="false">E328+F328</f>
        <v>767008.2</v>
      </c>
      <c r="H328" s="7" t="n">
        <f aca="false">IF(D328=0,0,C328/D328)</f>
        <v>0</v>
      </c>
      <c r="I328" s="7" t="n">
        <f aca="false">IF(D328=0,0,B328/D328)</f>
        <v>1</v>
      </c>
      <c r="J328" s="6" t="n">
        <f aca="false">E328*H328</f>
        <v>0</v>
      </c>
      <c r="K328" s="6" t="n">
        <f aca="false">E328*I328</f>
        <v>767008.2</v>
      </c>
      <c r="L328" s="6" t="n">
        <v>0</v>
      </c>
      <c r="M328" s="6" t="n">
        <v>767008.2</v>
      </c>
      <c r="N328" s="6"/>
      <c r="O328" s="6"/>
      <c r="P328" s="7"/>
      <c r="Q328" s="5" t="s">
        <v>26</v>
      </c>
      <c r="R328" s="5" t="s">
        <v>27</v>
      </c>
    </row>
    <row r="329" customFormat="false" ht="15" hidden="false" customHeight="true" outlineLevel="0" collapsed="false">
      <c r="A329" s="5" t="s">
        <v>353</v>
      </c>
      <c r="B329" s="6" t="n">
        <v>1563490113.32</v>
      </c>
      <c r="C329" s="6" t="n">
        <v>0</v>
      </c>
      <c r="D329" s="6" t="n">
        <v>1563490113.32</v>
      </c>
      <c r="E329" s="6" t="n">
        <v>578491.34</v>
      </c>
      <c r="F329" s="6" t="n">
        <v>0</v>
      </c>
      <c r="G329" s="6" t="n">
        <f aca="false">E329+F329</f>
        <v>578491.34</v>
      </c>
      <c r="H329" s="7" t="n">
        <f aca="false">IF(D329=0,0,C329/D329)</f>
        <v>0</v>
      </c>
      <c r="I329" s="7" t="n">
        <f aca="false">IF(D329=0,0,B329/D329)</f>
        <v>1</v>
      </c>
      <c r="J329" s="6" t="n">
        <f aca="false">E329*H329</f>
        <v>0</v>
      </c>
      <c r="K329" s="6" t="n">
        <f aca="false">E329*I329</f>
        <v>578491.34</v>
      </c>
      <c r="L329" s="6" t="n">
        <v>0</v>
      </c>
      <c r="M329" s="6" t="n">
        <v>578491.34</v>
      </c>
      <c r="N329" s="6"/>
      <c r="O329" s="6"/>
      <c r="P329" s="7"/>
      <c r="Q329" s="5" t="s">
        <v>26</v>
      </c>
      <c r="R329" s="5" t="s">
        <v>27</v>
      </c>
    </row>
    <row r="330" customFormat="false" ht="15" hidden="false" customHeight="true" outlineLevel="0" collapsed="false">
      <c r="A330" s="5" t="s">
        <v>354</v>
      </c>
      <c r="B330" s="6" t="n">
        <v>1404940758.28</v>
      </c>
      <c r="C330" s="6" t="n">
        <v>0</v>
      </c>
      <c r="D330" s="6" t="n">
        <v>1404940758.28</v>
      </c>
      <c r="E330" s="6" t="n">
        <v>519828.08</v>
      </c>
      <c r="F330" s="6" t="n">
        <v>0</v>
      </c>
      <c r="G330" s="6" t="n">
        <f aca="false">E330+F330</f>
        <v>519828.08</v>
      </c>
      <c r="H330" s="7" t="n">
        <f aca="false">IF(D330=0,0,C330/D330)</f>
        <v>0</v>
      </c>
      <c r="I330" s="7" t="n">
        <f aca="false">IF(D330=0,0,B330/D330)</f>
        <v>1</v>
      </c>
      <c r="J330" s="6" t="n">
        <f aca="false">E330*H330</f>
        <v>0</v>
      </c>
      <c r="K330" s="6" t="n">
        <f aca="false">E330*I330</f>
        <v>519828.08</v>
      </c>
      <c r="L330" s="6" t="n">
        <v>0</v>
      </c>
      <c r="M330" s="6" t="n">
        <v>519828.08</v>
      </c>
      <c r="N330" s="6"/>
      <c r="O330" s="6"/>
      <c r="P330" s="7"/>
      <c r="Q330" s="5" t="s">
        <v>26</v>
      </c>
      <c r="R330" s="5" t="s">
        <v>27</v>
      </c>
    </row>
    <row r="331" customFormat="false" ht="15" hidden="false" customHeight="true" outlineLevel="0" collapsed="false">
      <c r="A331" s="5" t="s">
        <v>355</v>
      </c>
      <c r="B331" s="6" t="n">
        <v>2317352311.11</v>
      </c>
      <c r="C331" s="6" t="n">
        <v>0</v>
      </c>
      <c r="D331" s="6" t="n">
        <v>2317352311.11</v>
      </c>
      <c r="E331" s="6" t="n">
        <v>857420.36</v>
      </c>
      <c r="F331" s="6" t="n">
        <v>0</v>
      </c>
      <c r="G331" s="6" t="n">
        <f aca="false">E331+F331</f>
        <v>857420.36</v>
      </c>
      <c r="H331" s="7" t="n">
        <f aca="false">IF(D331=0,0,C331/D331)</f>
        <v>0</v>
      </c>
      <c r="I331" s="7" t="n">
        <f aca="false">IF(D331=0,0,B331/D331)</f>
        <v>1</v>
      </c>
      <c r="J331" s="6" t="n">
        <f aca="false">E331*H331</f>
        <v>0</v>
      </c>
      <c r="K331" s="6" t="n">
        <f aca="false">E331*I331</f>
        <v>857420.36</v>
      </c>
      <c r="L331" s="6" t="n">
        <v>0</v>
      </c>
      <c r="M331" s="6" t="n">
        <v>857420.36</v>
      </c>
      <c r="N331" s="6"/>
      <c r="O331" s="6"/>
      <c r="P331" s="7"/>
      <c r="Q331" s="5" t="s">
        <v>26</v>
      </c>
      <c r="R331" s="5" t="s">
        <v>27</v>
      </c>
    </row>
    <row r="332" customFormat="false" ht="15" hidden="false" customHeight="true" outlineLevel="0" collapsed="false">
      <c r="A332" s="5" t="s">
        <v>356</v>
      </c>
      <c r="B332" s="6" t="n">
        <v>2691265991.36</v>
      </c>
      <c r="C332" s="6" t="n">
        <v>0</v>
      </c>
      <c r="D332" s="6" t="n">
        <v>2691265991.36</v>
      </c>
      <c r="E332" s="6" t="n">
        <v>995768.42</v>
      </c>
      <c r="F332" s="6" t="n">
        <v>0</v>
      </c>
      <c r="G332" s="6" t="n">
        <f aca="false">E332+F332</f>
        <v>995768.42</v>
      </c>
      <c r="H332" s="7" t="n">
        <f aca="false">IF(D332=0,0,C332/D332)</f>
        <v>0</v>
      </c>
      <c r="I332" s="7" t="n">
        <f aca="false">IF(D332=0,0,B332/D332)</f>
        <v>1</v>
      </c>
      <c r="J332" s="6" t="n">
        <f aca="false">E332*H332</f>
        <v>0</v>
      </c>
      <c r="K332" s="6" t="n">
        <f aca="false">E332*I332</f>
        <v>995768.42</v>
      </c>
      <c r="L332" s="6" t="n">
        <v>0</v>
      </c>
      <c r="M332" s="6" t="n">
        <v>995768.42</v>
      </c>
      <c r="N332" s="6"/>
      <c r="O332" s="6"/>
      <c r="P332" s="7"/>
      <c r="Q332" s="5" t="s">
        <v>26</v>
      </c>
      <c r="R332" s="5" t="s">
        <v>27</v>
      </c>
    </row>
    <row r="333" customFormat="false" ht="15" hidden="false" customHeight="true" outlineLevel="0" collapsed="false">
      <c r="A333" s="5" t="s">
        <v>357</v>
      </c>
      <c r="B333" s="6" t="n">
        <v>1839338310.54</v>
      </c>
      <c r="C333" s="6" t="n">
        <v>0</v>
      </c>
      <c r="D333" s="6" t="n">
        <v>1839338310.54</v>
      </c>
      <c r="E333" s="6" t="n">
        <v>680555.17</v>
      </c>
      <c r="F333" s="6" t="n">
        <v>0</v>
      </c>
      <c r="G333" s="6" t="n">
        <f aca="false">E333+F333</f>
        <v>680555.17</v>
      </c>
      <c r="H333" s="7" t="n">
        <f aca="false">IF(D333=0,0,C333/D333)</f>
        <v>0</v>
      </c>
      <c r="I333" s="7" t="n">
        <f aca="false">IF(D333=0,0,B333/D333)</f>
        <v>1</v>
      </c>
      <c r="J333" s="6" t="n">
        <f aca="false">E333*H333</f>
        <v>0</v>
      </c>
      <c r="K333" s="6" t="n">
        <f aca="false">E333*I333</f>
        <v>680555.17</v>
      </c>
      <c r="L333" s="6" t="n">
        <v>0</v>
      </c>
      <c r="M333" s="6" t="n">
        <v>680555.17</v>
      </c>
      <c r="N333" s="6"/>
      <c r="O333" s="6"/>
      <c r="P333" s="7"/>
      <c r="Q333" s="5" t="s">
        <v>26</v>
      </c>
      <c r="R333" s="5" t="s">
        <v>27</v>
      </c>
    </row>
    <row r="334" customFormat="false" ht="15" hidden="false" customHeight="true" outlineLevel="0" collapsed="false">
      <c r="A334" s="5" t="s">
        <v>358</v>
      </c>
      <c r="B334" s="6" t="n">
        <v>1761054820.06</v>
      </c>
      <c r="C334" s="6" t="n">
        <v>0</v>
      </c>
      <c r="D334" s="6" t="n">
        <v>1761054820.06</v>
      </c>
      <c r="E334" s="6" t="n">
        <v>651590.28</v>
      </c>
      <c r="F334" s="6" t="n">
        <v>0</v>
      </c>
      <c r="G334" s="6" t="n">
        <f aca="false">E334+F334</f>
        <v>651590.28</v>
      </c>
      <c r="H334" s="7" t="n">
        <f aca="false">IF(D334=0,0,C334/D334)</f>
        <v>0</v>
      </c>
      <c r="I334" s="7" t="n">
        <f aca="false">IF(D334=0,0,B334/D334)</f>
        <v>1</v>
      </c>
      <c r="J334" s="6" t="n">
        <f aca="false">E334*H334</f>
        <v>0</v>
      </c>
      <c r="K334" s="6" t="n">
        <f aca="false">E334*I334</f>
        <v>651590.28</v>
      </c>
      <c r="L334" s="6" t="n">
        <v>0</v>
      </c>
      <c r="M334" s="6" t="n">
        <v>651590.28</v>
      </c>
      <c r="N334" s="6"/>
      <c r="O334" s="6"/>
      <c r="P334" s="7"/>
      <c r="Q334" s="5" t="s">
        <v>26</v>
      </c>
      <c r="R334" s="5" t="s">
        <v>27</v>
      </c>
    </row>
    <row r="335" customFormat="false" ht="15" hidden="false" customHeight="true" outlineLevel="0" collapsed="false">
      <c r="A335" s="5" t="s">
        <v>359</v>
      </c>
      <c r="B335" s="6" t="n">
        <v>2443852257.9</v>
      </c>
      <c r="C335" s="6" t="n">
        <v>0</v>
      </c>
      <c r="D335" s="6" t="n">
        <v>2443852257.9</v>
      </c>
      <c r="E335" s="6" t="n">
        <v>904225.34</v>
      </c>
      <c r="F335" s="6" t="n">
        <v>0</v>
      </c>
      <c r="G335" s="6" t="n">
        <f aca="false">E335+F335</f>
        <v>904225.34</v>
      </c>
      <c r="H335" s="7" t="n">
        <f aca="false">IF(D335=0,0,C335/D335)</f>
        <v>0</v>
      </c>
      <c r="I335" s="7" t="n">
        <f aca="false">IF(D335=0,0,B335/D335)</f>
        <v>1</v>
      </c>
      <c r="J335" s="6" t="n">
        <f aca="false">E335*H335</f>
        <v>0</v>
      </c>
      <c r="K335" s="6" t="n">
        <f aca="false">E335*I335</f>
        <v>904225.34</v>
      </c>
      <c r="L335" s="6" t="n">
        <v>0</v>
      </c>
      <c r="M335" s="6" t="n">
        <v>904225.34</v>
      </c>
      <c r="N335" s="6"/>
      <c r="O335" s="6"/>
      <c r="P335" s="7"/>
      <c r="Q335" s="5" t="s">
        <v>26</v>
      </c>
      <c r="R335" s="5" t="s">
        <v>27</v>
      </c>
    </row>
    <row r="336" customFormat="false" ht="15" hidden="false" customHeight="true" outlineLevel="0" collapsed="false">
      <c r="A336" s="5" t="s">
        <v>360</v>
      </c>
      <c r="B336" s="6" t="n">
        <v>1920656672.09</v>
      </c>
      <c r="C336" s="6" t="n">
        <v>0</v>
      </c>
      <c r="D336" s="6" t="n">
        <v>1920656672.09</v>
      </c>
      <c r="E336" s="6" t="n">
        <v>710642.97</v>
      </c>
      <c r="F336" s="6" t="n">
        <v>0</v>
      </c>
      <c r="G336" s="6" t="n">
        <f aca="false">E336+F336</f>
        <v>710642.97</v>
      </c>
      <c r="H336" s="7" t="n">
        <f aca="false">IF(D336=0,0,C336/D336)</f>
        <v>0</v>
      </c>
      <c r="I336" s="7" t="n">
        <f aca="false">IF(D336=0,0,B336/D336)</f>
        <v>1</v>
      </c>
      <c r="J336" s="6" t="n">
        <f aca="false">E336*H336</f>
        <v>0</v>
      </c>
      <c r="K336" s="6" t="n">
        <f aca="false">E336*I336</f>
        <v>710642.97</v>
      </c>
      <c r="L336" s="6" t="n">
        <v>0</v>
      </c>
      <c r="M336" s="6" t="n">
        <v>710642.97</v>
      </c>
      <c r="N336" s="6"/>
      <c r="O336" s="6"/>
      <c r="P336" s="7"/>
      <c r="Q336" s="5" t="s">
        <v>26</v>
      </c>
      <c r="R336" s="5" t="s">
        <v>27</v>
      </c>
    </row>
    <row r="337" customFormat="false" ht="15" hidden="false" customHeight="true" outlineLevel="0" collapsed="false">
      <c r="A337" s="5" t="s">
        <v>361</v>
      </c>
      <c r="B337" s="6" t="n">
        <v>1505402399.36</v>
      </c>
      <c r="C337" s="6" t="n">
        <v>0</v>
      </c>
      <c r="D337" s="6" t="n">
        <v>1505402399.36</v>
      </c>
      <c r="E337" s="6" t="n">
        <v>556998.89</v>
      </c>
      <c r="F337" s="6" t="n">
        <v>0</v>
      </c>
      <c r="G337" s="6" t="n">
        <f aca="false">E337+F337</f>
        <v>556998.89</v>
      </c>
      <c r="H337" s="7" t="n">
        <f aca="false">IF(D337=0,0,C337/D337)</f>
        <v>0</v>
      </c>
      <c r="I337" s="7" t="n">
        <f aca="false">IF(D337=0,0,B337/D337)</f>
        <v>1</v>
      </c>
      <c r="J337" s="6" t="n">
        <f aca="false">E337*H337</f>
        <v>0</v>
      </c>
      <c r="K337" s="6" t="n">
        <f aca="false">E337*I337</f>
        <v>556998.89</v>
      </c>
      <c r="L337" s="6" t="n">
        <v>0</v>
      </c>
      <c r="M337" s="6" t="n">
        <v>556998.89</v>
      </c>
      <c r="N337" s="6"/>
      <c r="O337" s="6"/>
      <c r="P337" s="7"/>
      <c r="Q337" s="5" t="s">
        <v>26</v>
      </c>
      <c r="R337" s="5" t="s">
        <v>27</v>
      </c>
    </row>
    <row r="338" customFormat="false" ht="15" hidden="false" customHeight="true" outlineLevel="0" collapsed="false">
      <c r="A338" s="5" t="s">
        <v>362</v>
      </c>
      <c r="B338" s="6" t="n">
        <v>1842479035.11</v>
      </c>
      <c r="C338" s="6" t="n">
        <v>0</v>
      </c>
      <c r="D338" s="6" t="n">
        <v>1842479035.11</v>
      </c>
      <c r="E338" s="6" t="n">
        <v>681717.24</v>
      </c>
      <c r="F338" s="6" t="n">
        <v>0</v>
      </c>
      <c r="G338" s="6" t="n">
        <f aca="false">E338+F338</f>
        <v>681717.24</v>
      </c>
      <c r="H338" s="7" t="n">
        <f aca="false">IF(D338=0,0,C338/D338)</f>
        <v>0</v>
      </c>
      <c r="I338" s="7" t="n">
        <f aca="false">IF(D338=0,0,B338/D338)</f>
        <v>1</v>
      </c>
      <c r="J338" s="6" t="n">
        <f aca="false">E338*H338</f>
        <v>0</v>
      </c>
      <c r="K338" s="6" t="n">
        <f aca="false">E338*I338</f>
        <v>681717.24</v>
      </c>
      <c r="L338" s="6" t="n">
        <v>0</v>
      </c>
      <c r="M338" s="6" t="n">
        <v>681717.24</v>
      </c>
      <c r="N338" s="6"/>
      <c r="O338" s="6"/>
      <c r="P338" s="7"/>
      <c r="Q338" s="5" t="s">
        <v>26</v>
      </c>
      <c r="R338" s="5" t="s">
        <v>27</v>
      </c>
    </row>
    <row r="339" customFormat="false" ht="15" hidden="false" customHeight="true" outlineLevel="0" collapsed="false">
      <c r="A339" s="5" t="s">
        <v>363</v>
      </c>
      <c r="B339" s="6" t="n">
        <v>959933413.89</v>
      </c>
      <c r="C339" s="6" t="n">
        <v>0</v>
      </c>
      <c r="D339" s="6" t="n">
        <v>959933413.89</v>
      </c>
      <c r="E339" s="6" t="n">
        <v>355175.36</v>
      </c>
      <c r="F339" s="6" t="n">
        <v>0</v>
      </c>
      <c r="G339" s="6" t="n">
        <f aca="false">E339+F339</f>
        <v>355175.36</v>
      </c>
      <c r="H339" s="7" t="n">
        <f aca="false">IF(D339=0,0,C339/D339)</f>
        <v>0</v>
      </c>
      <c r="I339" s="7" t="n">
        <f aca="false">IF(D339=0,0,B339/D339)</f>
        <v>1</v>
      </c>
      <c r="J339" s="6" t="n">
        <f aca="false">E339*H339</f>
        <v>0</v>
      </c>
      <c r="K339" s="6" t="n">
        <f aca="false">E339*I339</f>
        <v>355175.36</v>
      </c>
      <c r="L339" s="6" t="n">
        <v>0</v>
      </c>
      <c r="M339" s="6" t="n">
        <v>355175.36</v>
      </c>
      <c r="N339" s="6"/>
      <c r="O339" s="6"/>
      <c r="P339" s="7"/>
      <c r="Q339" s="5" t="s">
        <v>26</v>
      </c>
      <c r="R339" s="5" t="s">
        <v>27</v>
      </c>
    </row>
    <row r="340" customFormat="false" ht="15" hidden="false" customHeight="true" outlineLevel="0" collapsed="false">
      <c r="A340" s="5" t="s">
        <v>364</v>
      </c>
      <c r="B340" s="6" t="n">
        <v>999157605.39</v>
      </c>
      <c r="C340" s="6" t="n">
        <v>0</v>
      </c>
      <c r="D340" s="6" t="n">
        <v>999157605.39</v>
      </c>
      <c r="E340" s="6" t="n">
        <v>369688.31</v>
      </c>
      <c r="F340" s="6" t="n">
        <v>0</v>
      </c>
      <c r="G340" s="6" t="n">
        <f aca="false">E340+F340</f>
        <v>369688.31</v>
      </c>
      <c r="H340" s="7" t="n">
        <f aca="false">IF(D340=0,0,C340/D340)</f>
        <v>0</v>
      </c>
      <c r="I340" s="7" t="n">
        <f aca="false">IF(D340=0,0,B340/D340)</f>
        <v>1</v>
      </c>
      <c r="J340" s="6" t="n">
        <f aca="false">E340*H340</f>
        <v>0</v>
      </c>
      <c r="K340" s="6" t="n">
        <f aca="false">E340*I340</f>
        <v>369688.31</v>
      </c>
      <c r="L340" s="6" t="n">
        <v>0</v>
      </c>
      <c r="M340" s="6" t="n">
        <v>369688.31</v>
      </c>
      <c r="N340" s="6"/>
      <c r="O340" s="6"/>
      <c r="P340" s="7"/>
      <c r="Q340" s="5" t="s">
        <v>26</v>
      </c>
      <c r="R340" s="5" t="s">
        <v>27</v>
      </c>
    </row>
    <row r="341" customFormat="false" ht="15" hidden="false" customHeight="true" outlineLevel="0" collapsed="false">
      <c r="A341" s="5" t="s">
        <v>365</v>
      </c>
      <c r="B341" s="6" t="n">
        <v>1393844531.29</v>
      </c>
      <c r="C341" s="6" t="n">
        <v>0</v>
      </c>
      <c r="D341" s="6" t="n">
        <v>1393844531.29</v>
      </c>
      <c r="E341" s="6" t="n">
        <v>515722.48</v>
      </c>
      <c r="F341" s="6" t="n">
        <v>0</v>
      </c>
      <c r="G341" s="6" t="n">
        <f aca="false">E341+F341</f>
        <v>515722.48</v>
      </c>
      <c r="H341" s="7" t="n">
        <f aca="false">IF(D341=0,0,C341/D341)</f>
        <v>0</v>
      </c>
      <c r="I341" s="7" t="n">
        <f aca="false">IF(D341=0,0,B341/D341)</f>
        <v>1</v>
      </c>
      <c r="J341" s="6" t="n">
        <f aca="false">E341*H341</f>
        <v>0</v>
      </c>
      <c r="K341" s="6" t="n">
        <f aca="false">E341*I341</f>
        <v>515722.48</v>
      </c>
      <c r="L341" s="6" t="n">
        <v>0</v>
      </c>
      <c r="M341" s="6" t="n">
        <v>515722.48</v>
      </c>
      <c r="N341" s="6"/>
      <c r="O341" s="6"/>
      <c r="P341" s="7"/>
      <c r="Q341" s="5" t="s">
        <v>26</v>
      </c>
      <c r="R341" s="5" t="s">
        <v>27</v>
      </c>
    </row>
    <row r="342" customFormat="false" ht="15" hidden="false" customHeight="true" outlineLevel="0" collapsed="false">
      <c r="A342" s="5" t="s">
        <v>366</v>
      </c>
      <c r="B342" s="6" t="n">
        <v>1237505913.84</v>
      </c>
      <c r="C342" s="6" t="n">
        <v>0</v>
      </c>
      <c r="D342" s="6" t="n">
        <v>1237505913.84</v>
      </c>
      <c r="E342" s="6" t="n">
        <v>457877.19</v>
      </c>
      <c r="F342" s="6" t="n">
        <v>0</v>
      </c>
      <c r="G342" s="6" t="n">
        <f aca="false">E342+F342</f>
        <v>457877.19</v>
      </c>
      <c r="H342" s="7" t="n">
        <f aca="false">IF(D342=0,0,C342/D342)</f>
        <v>0</v>
      </c>
      <c r="I342" s="7" t="n">
        <f aca="false">IF(D342=0,0,B342/D342)</f>
        <v>1</v>
      </c>
      <c r="J342" s="6" t="n">
        <f aca="false">E342*H342</f>
        <v>0</v>
      </c>
      <c r="K342" s="6" t="n">
        <f aca="false">E342*I342</f>
        <v>457877.19</v>
      </c>
      <c r="L342" s="6" t="n">
        <v>0</v>
      </c>
      <c r="M342" s="6" t="n">
        <v>457877.19</v>
      </c>
      <c r="N342" s="6"/>
      <c r="O342" s="6"/>
      <c r="P342" s="7"/>
      <c r="Q342" s="5" t="s">
        <v>26</v>
      </c>
      <c r="R342" s="5" t="s">
        <v>27</v>
      </c>
    </row>
    <row r="343" customFormat="false" ht="15" hidden="false" customHeight="true" outlineLevel="0" collapsed="false">
      <c r="A343" s="5" t="s">
        <v>367</v>
      </c>
      <c r="B343" s="6" t="n">
        <v>1359688550.44</v>
      </c>
      <c r="C343" s="6" t="n">
        <v>0</v>
      </c>
      <c r="D343" s="6" t="n">
        <v>1359688550.44</v>
      </c>
      <c r="E343" s="6" t="n">
        <v>503084.76</v>
      </c>
      <c r="F343" s="6" t="n">
        <v>0</v>
      </c>
      <c r="G343" s="6" t="n">
        <f aca="false">E343+F343</f>
        <v>503084.76</v>
      </c>
      <c r="H343" s="7" t="n">
        <f aca="false">IF(D343=0,0,C343/D343)</f>
        <v>0</v>
      </c>
      <c r="I343" s="7" t="n">
        <f aca="false">IF(D343=0,0,B343/D343)</f>
        <v>1</v>
      </c>
      <c r="J343" s="6" t="n">
        <f aca="false">E343*H343</f>
        <v>0</v>
      </c>
      <c r="K343" s="6" t="n">
        <f aca="false">E343*I343</f>
        <v>503084.76</v>
      </c>
      <c r="L343" s="6" t="n">
        <v>0</v>
      </c>
      <c r="M343" s="6" t="n">
        <v>503084.76</v>
      </c>
      <c r="N343" s="6"/>
      <c r="O343" s="6"/>
      <c r="P343" s="7"/>
      <c r="Q343" s="5" t="s">
        <v>26</v>
      </c>
      <c r="R343" s="5" t="s">
        <v>27</v>
      </c>
    </row>
    <row r="344" customFormat="false" ht="15" hidden="false" customHeight="true" outlineLevel="0" collapsed="false">
      <c r="A344" s="5" t="s">
        <v>368</v>
      </c>
      <c r="B344" s="6" t="n">
        <v>1073965642.57</v>
      </c>
      <c r="C344" s="6" t="n">
        <v>0</v>
      </c>
      <c r="D344" s="6" t="n">
        <v>1073965642.57</v>
      </c>
      <c r="E344" s="6" t="n">
        <v>397367.29</v>
      </c>
      <c r="F344" s="6" t="n">
        <v>0</v>
      </c>
      <c r="G344" s="6" t="n">
        <f aca="false">E344+F344</f>
        <v>397367.29</v>
      </c>
      <c r="H344" s="7" t="n">
        <f aca="false">IF(D344=0,0,C344/D344)</f>
        <v>0</v>
      </c>
      <c r="I344" s="7" t="n">
        <f aca="false">IF(D344=0,0,B344/D344)</f>
        <v>1</v>
      </c>
      <c r="J344" s="6" t="n">
        <f aca="false">E344*H344</f>
        <v>0</v>
      </c>
      <c r="K344" s="6" t="n">
        <f aca="false">E344*I344</f>
        <v>397367.29</v>
      </c>
      <c r="L344" s="6" t="n">
        <v>0</v>
      </c>
      <c r="M344" s="6" t="n">
        <v>397367.29</v>
      </c>
      <c r="N344" s="6"/>
      <c r="O344" s="6"/>
      <c r="P344" s="7"/>
      <c r="Q344" s="5" t="s">
        <v>26</v>
      </c>
      <c r="R344" s="5" t="s">
        <v>27</v>
      </c>
    </row>
    <row r="345" customFormat="false" ht="15" hidden="false" customHeight="true" outlineLevel="0" collapsed="false">
      <c r="A345" s="5" t="s">
        <v>369</v>
      </c>
      <c r="B345" s="6" t="n">
        <v>829207211.43</v>
      </c>
      <c r="C345" s="6" t="n">
        <v>0</v>
      </c>
      <c r="D345" s="6" t="n">
        <v>829207211.43</v>
      </c>
      <c r="E345" s="6" t="n">
        <v>306806.67</v>
      </c>
      <c r="F345" s="6" t="n">
        <v>0</v>
      </c>
      <c r="G345" s="6" t="n">
        <f aca="false">E345+F345</f>
        <v>306806.67</v>
      </c>
      <c r="H345" s="7" t="n">
        <f aca="false">IF(D345=0,0,C345/D345)</f>
        <v>0</v>
      </c>
      <c r="I345" s="7" t="n">
        <f aca="false">IF(D345=0,0,B345/D345)</f>
        <v>1</v>
      </c>
      <c r="J345" s="6" t="n">
        <f aca="false">E345*H345</f>
        <v>0</v>
      </c>
      <c r="K345" s="6" t="n">
        <f aca="false">E345*I345</f>
        <v>306806.67</v>
      </c>
      <c r="L345" s="6" t="n">
        <v>0</v>
      </c>
      <c r="M345" s="6" t="n">
        <v>306806.67</v>
      </c>
      <c r="N345" s="6"/>
      <c r="O345" s="6"/>
      <c r="P345" s="7"/>
      <c r="Q345" s="5" t="s">
        <v>26</v>
      </c>
      <c r="R345" s="5" t="s">
        <v>27</v>
      </c>
    </row>
    <row r="346" customFormat="false" ht="15" hidden="false" customHeight="true" outlineLevel="0" collapsed="false">
      <c r="A346" s="5" t="s">
        <v>370</v>
      </c>
      <c r="B346" s="6" t="n">
        <v>911912943.84</v>
      </c>
      <c r="C346" s="6" t="n">
        <v>0</v>
      </c>
      <c r="D346" s="6" t="n">
        <v>911912943.84</v>
      </c>
      <c r="E346" s="6" t="n">
        <v>337407.79</v>
      </c>
      <c r="F346" s="6" t="n">
        <v>0</v>
      </c>
      <c r="G346" s="6" t="n">
        <f aca="false">E346+F346</f>
        <v>337407.79</v>
      </c>
      <c r="H346" s="7" t="n">
        <f aca="false">IF(D346=0,0,C346/D346)</f>
        <v>0</v>
      </c>
      <c r="I346" s="7" t="n">
        <f aca="false">IF(D346=0,0,B346/D346)</f>
        <v>1</v>
      </c>
      <c r="J346" s="6" t="n">
        <f aca="false">E346*H346</f>
        <v>0</v>
      </c>
      <c r="K346" s="6" t="n">
        <f aca="false">E346*I346</f>
        <v>337407.79</v>
      </c>
      <c r="L346" s="6" t="n">
        <v>0</v>
      </c>
      <c r="M346" s="6" t="n">
        <v>337407.79</v>
      </c>
      <c r="N346" s="6"/>
      <c r="O346" s="6"/>
      <c r="P346" s="7"/>
      <c r="Q346" s="5" t="s">
        <v>26</v>
      </c>
      <c r="R346" s="5" t="s">
        <v>27</v>
      </c>
    </row>
    <row r="347" customFormat="false" ht="15" hidden="false" customHeight="true" outlineLevel="0" collapsed="false">
      <c r="A347" s="5" t="s">
        <v>371</v>
      </c>
      <c r="B347" s="6" t="n">
        <v>821614348.83</v>
      </c>
      <c r="C347" s="6" t="n">
        <v>0</v>
      </c>
      <c r="D347" s="6" t="n">
        <v>821614348.83</v>
      </c>
      <c r="E347" s="6" t="n">
        <v>303997.31</v>
      </c>
      <c r="F347" s="6" t="n">
        <v>0</v>
      </c>
      <c r="G347" s="6" t="n">
        <f aca="false">E347+F347</f>
        <v>303997.31</v>
      </c>
      <c r="H347" s="7" t="n">
        <f aca="false">IF(D347=0,0,C347/D347)</f>
        <v>0</v>
      </c>
      <c r="I347" s="7" t="n">
        <f aca="false">IF(D347=0,0,B347/D347)</f>
        <v>1</v>
      </c>
      <c r="J347" s="6" t="n">
        <f aca="false">E347*H347</f>
        <v>0</v>
      </c>
      <c r="K347" s="6" t="n">
        <f aca="false">E347*I347</f>
        <v>303997.31</v>
      </c>
      <c r="L347" s="6" t="n">
        <v>0</v>
      </c>
      <c r="M347" s="6" t="n">
        <v>303997.31</v>
      </c>
      <c r="N347" s="6"/>
      <c r="O347" s="6"/>
      <c r="P347" s="7"/>
      <c r="Q347" s="5" t="s">
        <v>26</v>
      </c>
      <c r="R347" s="5" t="s">
        <v>27</v>
      </c>
    </row>
    <row r="348" customFormat="false" ht="15" hidden="false" customHeight="true" outlineLevel="0" collapsed="false">
      <c r="A348" s="5" t="s">
        <v>372</v>
      </c>
      <c r="B348" s="6" t="n">
        <v>1171081421.39</v>
      </c>
      <c r="C348" s="6" t="n">
        <v>0</v>
      </c>
      <c r="D348" s="6" t="n">
        <v>1171081421.39</v>
      </c>
      <c r="E348" s="6" t="n">
        <v>433300.13</v>
      </c>
      <c r="F348" s="6" t="n">
        <v>0</v>
      </c>
      <c r="G348" s="6" t="n">
        <f aca="false">E348+F348</f>
        <v>433300.13</v>
      </c>
      <c r="H348" s="7" t="n">
        <f aca="false">IF(D348=0,0,C348/D348)</f>
        <v>0</v>
      </c>
      <c r="I348" s="7" t="n">
        <f aca="false">IF(D348=0,0,B348/D348)</f>
        <v>1</v>
      </c>
      <c r="J348" s="6" t="n">
        <f aca="false">E348*H348</f>
        <v>0</v>
      </c>
      <c r="K348" s="6" t="n">
        <f aca="false">E348*I348</f>
        <v>433300.13</v>
      </c>
      <c r="L348" s="6" t="n">
        <v>0</v>
      </c>
      <c r="M348" s="6" t="n">
        <v>433300.13</v>
      </c>
      <c r="N348" s="6"/>
      <c r="O348" s="6"/>
      <c r="P348" s="7"/>
      <c r="Q348" s="5" t="s">
        <v>26</v>
      </c>
      <c r="R348" s="5" t="s">
        <v>27</v>
      </c>
    </row>
    <row r="349" customFormat="false" ht="15" hidden="false" customHeight="true" outlineLevel="0" collapsed="false">
      <c r="A349" s="5" t="s">
        <v>373</v>
      </c>
      <c r="B349" s="6" t="n">
        <v>1806390541.02</v>
      </c>
      <c r="C349" s="6" t="n">
        <v>0</v>
      </c>
      <c r="D349" s="6" t="n">
        <v>1806390541.02</v>
      </c>
      <c r="E349" s="6" t="n">
        <v>668364.5</v>
      </c>
      <c r="F349" s="6" t="n">
        <v>0</v>
      </c>
      <c r="G349" s="6" t="n">
        <f aca="false">E349+F349</f>
        <v>668364.5</v>
      </c>
      <c r="H349" s="7" t="n">
        <f aca="false">IF(D349=0,0,C349/D349)</f>
        <v>0</v>
      </c>
      <c r="I349" s="7" t="n">
        <f aca="false">IF(D349=0,0,B349/D349)</f>
        <v>1</v>
      </c>
      <c r="J349" s="6" t="n">
        <f aca="false">E349*H349</f>
        <v>0</v>
      </c>
      <c r="K349" s="6" t="n">
        <f aca="false">E349*I349</f>
        <v>668364.5</v>
      </c>
      <c r="L349" s="6" t="n">
        <v>0</v>
      </c>
      <c r="M349" s="6" t="n">
        <v>668364.5</v>
      </c>
      <c r="N349" s="6"/>
      <c r="O349" s="6"/>
      <c r="P349" s="7"/>
      <c r="Q349" s="5" t="s">
        <v>26</v>
      </c>
      <c r="R349" s="5" t="s">
        <v>27</v>
      </c>
    </row>
    <row r="350" customFormat="false" ht="15" hidden="false" customHeight="true" outlineLevel="0" collapsed="false">
      <c r="A350" s="5" t="s">
        <v>374</v>
      </c>
      <c r="B350" s="6" t="n">
        <v>1562542903.69</v>
      </c>
      <c r="C350" s="6" t="n">
        <v>0</v>
      </c>
      <c r="D350" s="6" t="n">
        <v>1562542903.69</v>
      </c>
      <c r="E350" s="6" t="n">
        <v>578140.87</v>
      </c>
      <c r="F350" s="6" t="n">
        <v>0</v>
      </c>
      <c r="G350" s="6" t="n">
        <f aca="false">E350+F350</f>
        <v>578140.87</v>
      </c>
      <c r="H350" s="7" t="n">
        <f aca="false">IF(D350=0,0,C350/D350)</f>
        <v>0</v>
      </c>
      <c r="I350" s="7" t="n">
        <f aca="false">IF(D350=0,0,B350/D350)</f>
        <v>1</v>
      </c>
      <c r="J350" s="6" t="n">
        <f aca="false">E350*H350</f>
        <v>0</v>
      </c>
      <c r="K350" s="6" t="n">
        <f aca="false">E350*I350</f>
        <v>578140.87</v>
      </c>
      <c r="L350" s="6" t="n">
        <v>0</v>
      </c>
      <c r="M350" s="6" t="n">
        <v>578140.87</v>
      </c>
      <c r="N350" s="6"/>
      <c r="O350" s="6"/>
      <c r="P350" s="7"/>
      <c r="Q350" s="5" t="s">
        <v>26</v>
      </c>
      <c r="R350" s="5" t="s">
        <v>27</v>
      </c>
    </row>
    <row r="351" customFormat="false" ht="15" hidden="false" customHeight="true" outlineLevel="0" collapsed="false">
      <c r="A351" s="5" t="s">
        <v>375</v>
      </c>
      <c r="B351" s="6" t="n">
        <v>779690924.41</v>
      </c>
      <c r="C351" s="6" t="n">
        <v>0</v>
      </c>
      <c r="D351" s="6" t="n">
        <v>779690924.41</v>
      </c>
      <c r="E351" s="6" t="n">
        <v>288485.64</v>
      </c>
      <c r="F351" s="6" t="n">
        <v>0</v>
      </c>
      <c r="G351" s="6" t="n">
        <f aca="false">E351+F351</f>
        <v>288485.64</v>
      </c>
      <c r="H351" s="7" t="n">
        <f aca="false">IF(D351=0,0,C351/D351)</f>
        <v>0</v>
      </c>
      <c r="I351" s="7" t="n">
        <f aca="false">IF(D351=0,0,B351/D351)</f>
        <v>1</v>
      </c>
      <c r="J351" s="6" t="n">
        <f aca="false">E351*H351</f>
        <v>0</v>
      </c>
      <c r="K351" s="6" t="n">
        <f aca="false">E351*I351</f>
        <v>288485.64</v>
      </c>
      <c r="L351" s="6" t="n">
        <v>0</v>
      </c>
      <c r="M351" s="6" t="n">
        <v>288485.64</v>
      </c>
      <c r="N351" s="6"/>
      <c r="O351" s="6"/>
      <c r="P351" s="7"/>
      <c r="Q351" s="5" t="s">
        <v>26</v>
      </c>
      <c r="R351" s="5" t="s">
        <v>27</v>
      </c>
    </row>
    <row r="352" customFormat="false" ht="15" hidden="false" customHeight="true" outlineLevel="0" collapsed="false">
      <c r="A352" s="5" t="s">
        <v>376</v>
      </c>
      <c r="B352" s="6" t="n">
        <v>810883998.66</v>
      </c>
      <c r="C352" s="6" t="n">
        <v>0</v>
      </c>
      <c r="D352" s="6" t="n">
        <v>810883998.66</v>
      </c>
      <c r="E352" s="6" t="n">
        <v>300027.08</v>
      </c>
      <c r="F352" s="6" t="n">
        <v>0</v>
      </c>
      <c r="G352" s="6" t="n">
        <f aca="false">E352+F352</f>
        <v>300027.08</v>
      </c>
      <c r="H352" s="7" t="n">
        <f aca="false">IF(D352=0,0,C352/D352)</f>
        <v>0</v>
      </c>
      <c r="I352" s="7" t="n">
        <f aca="false">IF(D352=0,0,B352/D352)</f>
        <v>1</v>
      </c>
      <c r="J352" s="6" t="n">
        <f aca="false">E352*H352</f>
        <v>0</v>
      </c>
      <c r="K352" s="6" t="n">
        <f aca="false">E352*I352</f>
        <v>300027.08</v>
      </c>
      <c r="L352" s="6" t="n">
        <v>0</v>
      </c>
      <c r="M352" s="6" t="n">
        <v>300027.08</v>
      </c>
      <c r="N352" s="6"/>
      <c r="O352" s="6"/>
      <c r="P352" s="7"/>
      <c r="Q352" s="5" t="s">
        <v>26</v>
      </c>
      <c r="R352" s="5" t="s">
        <v>27</v>
      </c>
    </row>
    <row r="353" customFormat="false" ht="15" hidden="false" customHeight="true" outlineLevel="0" collapsed="false">
      <c r="A353" s="5" t="s">
        <v>377</v>
      </c>
      <c r="B353" s="6" t="n">
        <v>493504035.33</v>
      </c>
      <c r="C353" s="6" t="n">
        <v>0</v>
      </c>
      <c r="D353" s="6" t="n">
        <v>493504035.33</v>
      </c>
      <c r="E353" s="6" t="n">
        <v>182596.49</v>
      </c>
      <c r="F353" s="6" t="n">
        <v>0</v>
      </c>
      <c r="G353" s="6" t="n">
        <f aca="false">E353+F353</f>
        <v>182596.49</v>
      </c>
      <c r="H353" s="7" t="n">
        <f aca="false">IF(D353=0,0,C353/D353)</f>
        <v>0</v>
      </c>
      <c r="I353" s="7" t="n">
        <f aca="false">IF(D353=0,0,B353/D353)</f>
        <v>1</v>
      </c>
      <c r="J353" s="6" t="n">
        <f aca="false">E353*H353</f>
        <v>0</v>
      </c>
      <c r="K353" s="6" t="n">
        <f aca="false">E353*I353</f>
        <v>182596.49</v>
      </c>
      <c r="L353" s="6" t="n">
        <v>0</v>
      </c>
      <c r="M353" s="6" t="n">
        <v>182596.49</v>
      </c>
      <c r="N353" s="6"/>
      <c r="O353" s="6"/>
      <c r="P353" s="7"/>
      <c r="Q353" s="5" t="s">
        <v>26</v>
      </c>
      <c r="R353" s="5" t="s">
        <v>27</v>
      </c>
    </row>
    <row r="354" customFormat="false" ht="15" hidden="false" customHeight="true" outlineLevel="0" collapsed="false">
      <c r="A354" s="5" t="s">
        <v>378</v>
      </c>
      <c r="B354" s="6" t="n">
        <v>477530164.98</v>
      </c>
      <c r="C354" s="6" t="n">
        <v>0</v>
      </c>
      <c r="D354" s="6" t="n">
        <v>477530164.98</v>
      </c>
      <c r="E354" s="6" t="n">
        <v>176686.16</v>
      </c>
      <c r="F354" s="6" t="n">
        <v>0</v>
      </c>
      <c r="G354" s="6" t="n">
        <f aca="false">E354+F354</f>
        <v>176686.16</v>
      </c>
      <c r="H354" s="7" t="n">
        <f aca="false">IF(D354=0,0,C354/D354)</f>
        <v>0</v>
      </c>
      <c r="I354" s="7" t="n">
        <f aca="false">IF(D354=0,0,B354/D354)</f>
        <v>1</v>
      </c>
      <c r="J354" s="6" t="n">
        <f aca="false">E354*H354</f>
        <v>0</v>
      </c>
      <c r="K354" s="6" t="n">
        <f aca="false">E354*I354</f>
        <v>176686.16</v>
      </c>
      <c r="L354" s="6" t="n">
        <v>0</v>
      </c>
      <c r="M354" s="6" t="n">
        <v>176686.16</v>
      </c>
      <c r="N354" s="6"/>
      <c r="O354" s="6"/>
      <c r="P354" s="7"/>
      <c r="Q354" s="5" t="s">
        <v>26</v>
      </c>
      <c r="R354" s="5" t="s">
        <v>27</v>
      </c>
    </row>
    <row r="355" customFormat="false" ht="15" hidden="false" customHeight="true" outlineLevel="0" collapsed="false">
      <c r="A355" s="5" t="s">
        <v>379</v>
      </c>
      <c r="B355" s="6" t="n">
        <v>827559945.64</v>
      </c>
      <c r="C355" s="6" t="n">
        <v>0</v>
      </c>
      <c r="D355" s="6" t="n">
        <v>827559945.64</v>
      </c>
      <c r="E355" s="6" t="n">
        <v>306197.18</v>
      </c>
      <c r="F355" s="6" t="n">
        <v>0</v>
      </c>
      <c r="G355" s="6" t="n">
        <f aca="false">E355+F355</f>
        <v>306197.18</v>
      </c>
      <c r="H355" s="7" t="n">
        <f aca="false">IF(D355=0,0,C355/D355)</f>
        <v>0</v>
      </c>
      <c r="I355" s="7" t="n">
        <f aca="false">IF(D355=0,0,B355/D355)</f>
        <v>1</v>
      </c>
      <c r="J355" s="6" t="n">
        <f aca="false">E355*H355</f>
        <v>0</v>
      </c>
      <c r="K355" s="6" t="n">
        <f aca="false">E355*I355</f>
        <v>306197.18</v>
      </c>
      <c r="L355" s="6" t="n">
        <v>0</v>
      </c>
      <c r="M355" s="6" t="n">
        <v>306197.18</v>
      </c>
      <c r="N355" s="6"/>
      <c r="O355" s="6"/>
      <c r="P355" s="7"/>
      <c r="Q355" s="5" t="s">
        <v>26</v>
      </c>
      <c r="R355" s="5" t="s">
        <v>27</v>
      </c>
    </row>
    <row r="356" customFormat="false" ht="15" hidden="false" customHeight="true" outlineLevel="0" collapsed="false">
      <c r="A356" s="5" t="s">
        <v>380</v>
      </c>
      <c r="B356" s="6" t="n">
        <v>827783685.48</v>
      </c>
      <c r="C356" s="6" t="n">
        <v>0</v>
      </c>
      <c r="D356" s="6" t="n">
        <v>827783685.48</v>
      </c>
      <c r="E356" s="6" t="n">
        <v>306279.96</v>
      </c>
      <c r="F356" s="6" t="n">
        <v>0</v>
      </c>
      <c r="G356" s="6" t="n">
        <f aca="false">E356+F356</f>
        <v>306279.96</v>
      </c>
      <c r="H356" s="7" t="n">
        <f aca="false">IF(D356=0,0,C356/D356)</f>
        <v>0</v>
      </c>
      <c r="I356" s="7" t="n">
        <f aca="false">IF(D356=0,0,B356/D356)</f>
        <v>1</v>
      </c>
      <c r="J356" s="6" t="n">
        <f aca="false">E356*H356</f>
        <v>0</v>
      </c>
      <c r="K356" s="6" t="n">
        <f aca="false">E356*I356</f>
        <v>306279.96</v>
      </c>
      <c r="L356" s="6" t="n">
        <v>0</v>
      </c>
      <c r="M356" s="6" t="n">
        <v>306279.96</v>
      </c>
      <c r="N356" s="6"/>
      <c r="O356" s="6"/>
      <c r="P356" s="7"/>
      <c r="Q356" s="5" t="s">
        <v>26</v>
      </c>
      <c r="R356" s="5" t="s">
        <v>27</v>
      </c>
    </row>
    <row r="357" customFormat="false" ht="15" hidden="false" customHeight="true" outlineLevel="0" collapsed="false">
      <c r="A357" s="5" t="s">
        <v>381</v>
      </c>
      <c r="B357" s="6" t="n">
        <v>892663821.03</v>
      </c>
      <c r="C357" s="6" t="n">
        <v>0</v>
      </c>
      <c r="D357" s="6" t="n">
        <v>892663821.03</v>
      </c>
      <c r="E357" s="6" t="n">
        <v>330285.61</v>
      </c>
      <c r="F357" s="6" t="n">
        <v>0</v>
      </c>
      <c r="G357" s="6" t="n">
        <f aca="false">E357+F357</f>
        <v>330285.61</v>
      </c>
      <c r="H357" s="7" t="n">
        <f aca="false">IF(D357=0,0,C357/D357)</f>
        <v>0</v>
      </c>
      <c r="I357" s="7" t="n">
        <f aca="false">IF(D357=0,0,B357/D357)</f>
        <v>1</v>
      </c>
      <c r="J357" s="6" t="n">
        <f aca="false">E357*H357</f>
        <v>0</v>
      </c>
      <c r="K357" s="6" t="n">
        <f aca="false">E357*I357</f>
        <v>330285.61</v>
      </c>
      <c r="L357" s="6" t="n">
        <v>0</v>
      </c>
      <c r="M357" s="6" t="n">
        <v>330285.61</v>
      </c>
      <c r="N357" s="6"/>
      <c r="O357" s="6"/>
      <c r="P357" s="7"/>
      <c r="Q357" s="5" t="s">
        <v>26</v>
      </c>
      <c r="R357" s="5" t="s">
        <v>27</v>
      </c>
    </row>
    <row r="358" customFormat="false" ht="15" hidden="false" customHeight="true" outlineLevel="0" collapsed="false">
      <c r="A358" s="5" t="s">
        <v>382</v>
      </c>
      <c r="B358" s="6" t="n">
        <v>679332408.06</v>
      </c>
      <c r="C358" s="6" t="n">
        <v>0</v>
      </c>
      <c r="D358" s="6" t="n">
        <v>679332408.06</v>
      </c>
      <c r="E358" s="6" t="n">
        <v>251352.99</v>
      </c>
      <c r="F358" s="6" t="n">
        <v>0</v>
      </c>
      <c r="G358" s="6" t="n">
        <f aca="false">E358+F358</f>
        <v>251352.99</v>
      </c>
      <c r="H358" s="7" t="n">
        <f aca="false">IF(D358=0,0,C358/D358)</f>
        <v>0</v>
      </c>
      <c r="I358" s="7" t="n">
        <f aca="false">IF(D358=0,0,B358/D358)</f>
        <v>1</v>
      </c>
      <c r="J358" s="6" t="n">
        <f aca="false">E358*H358</f>
        <v>0</v>
      </c>
      <c r="K358" s="6" t="n">
        <f aca="false">E358*I358</f>
        <v>251352.99</v>
      </c>
      <c r="L358" s="6" t="n">
        <v>0</v>
      </c>
      <c r="M358" s="6" t="n">
        <v>251352.99</v>
      </c>
      <c r="N358" s="6"/>
      <c r="O358" s="6"/>
      <c r="P358" s="7"/>
      <c r="Q358" s="5" t="s">
        <v>26</v>
      </c>
      <c r="R358" s="5" t="s">
        <v>27</v>
      </c>
    </row>
    <row r="359" customFormat="false" ht="15" hidden="false" customHeight="true" outlineLevel="0" collapsed="false">
      <c r="A359" s="5" t="s">
        <v>383</v>
      </c>
      <c r="B359" s="6" t="n">
        <v>807060703.73</v>
      </c>
      <c r="C359" s="6" t="n">
        <v>0</v>
      </c>
      <c r="D359" s="6" t="n">
        <v>807060703.73</v>
      </c>
      <c r="E359" s="6" t="n">
        <v>298612.46</v>
      </c>
      <c r="F359" s="6" t="n">
        <v>0</v>
      </c>
      <c r="G359" s="6" t="n">
        <f aca="false">E359+F359</f>
        <v>298612.46</v>
      </c>
      <c r="H359" s="7" t="n">
        <f aca="false">IF(D359=0,0,C359/D359)</f>
        <v>0</v>
      </c>
      <c r="I359" s="7" t="n">
        <f aca="false">IF(D359=0,0,B359/D359)</f>
        <v>1</v>
      </c>
      <c r="J359" s="6" t="n">
        <f aca="false">E359*H359</f>
        <v>0</v>
      </c>
      <c r="K359" s="6" t="n">
        <f aca="false">E359*I359</f>
        <v>298612.46</v>
      </c>
      <c r="L359" s="6" t="n">
        <v>0</v>
      </c>
      <c r="M359" s="6" t="n">
        <v>298612.46</v>
      </c>
      <c r="N359" s="6"/>
      <c r="O359" s="6"/>
      <c r="P359" s="7"/>
      <c r="Q359" s="5" t="s">
        <v>26</v>
      </c>
      <c r="R359" s="5" t="s">
        <v>27</v>
      </c>
    </row>
    <row r="360" customFormat="false" ht="15" hidden="false" customHeight="true" outlineLevel="0" collapsed="false">
      <c r="A360" s="5" t="s">
        <v>384</v>
      </c>
      <c r="B360" s="6" t="n">
        <v>308265299.7</v>
      </c>
      <c r="C360" s="6" t="n">
        <v>0</v>
      </c>
      <c r="D360" s="6" t="n">
        <v>308265299.7</v>
      </c>
      <c r="E360" s="6" t="n">
        <v>114058.16</v>
      </c>
      <c r="F360" s="6" t="n">
        <v>0</v>
      </c>
      <c r="G360" s="6" t="n">
        <f aca="false">E360+F360</f>
        <v>114058.16</v>
      </c>
      <c r="H360" s="7" t="n">
        <f aca="false">IF(D360=0,0,C360/D360)</f>
        <v>0</v>
      </c>
      <c r="I360" s="7" t="n">
        <f aca="false">IF(D360=0,0,B360/D360)</f>
        <v>1</v>
      </c>
      <c r="J360" s="6" t="n">
        <f aca="false">E360*H360</f>
        <v>0</v>
      </c>
      <c r="K360" s="6" t="n">
        <f aca="false">E360*I360</f>
        <v>114058.16</v>
      </c>
      <c r="L360" s="6" t="n">
        <v>0</v>
      </c>
      <c r="M360" s="6" t="n">
        <v>114058.16</v>
      </c>
      <c r="N360" s="6"/>
      <c r="O360" s="6"/>
      <c r="P360" s="7"/>
      <c r="Q360" s="5" t="s">
        <v>26</v>
      </c>
      <c r="R360" s="5" t="s">
        <v>27</v>
      </c>
    </row>
    <row r="361" customFormat="false" ht="15" hidden="false" customHeight="true" outlineLevel="0" collapsed="false">
      <c r="A361" s="5" t="s">
        <v>385</v>
      </c>
      <c r="B361" s="6" t="n">
        <v>274770431.09</v>
      </c>
      <c r="C361" s="6" t="n">
        <v>0</v>
      </c>
      <c r="D361" s="6" t="n">
        <v>274770431.09</v>
      </c>
      <c r="E361" s="6" t="n">
        <v>101665.06</v>
      </c>
      <c r="F361" s="6" t="n">
        <v>0</v>
      </c>
      <c r="G361" s="6" t="n">
        <f aca="false">E361+F361</f>
        <v>101665.06</v>
      </c>
      <c r="H361" s="7" t="n">
        <f aca="false">IF(D361=0,0,C361/D361)</f>
        <v>0</v>
      </c>
      <c r="I361" s="7" t="n">
        <f aca="false">IF(D361=0,0,B361/D361)</f>
        <v>1</v>
      </c>
      <c r="J361" s="6" t="n">
        <f aca="false">E361*H361</f>
        <v>0</v>
      </c>
      <c r="K361" s="6" t="n">
        <f aca="false">E361*I361</f>
        <v>101665.06</v>
      </c>
      <c r="L361" s="6" t="n">
        <v>0</v>
      </c>
      <c r="M361" s="6" t="n">
        <v>101665.06</v>
      </c>
      <c r="N361" s="6"/>
      <c r="O361" s="6"/>
      <c r="P361" s="7"/>
      <c r="Q361" s="5" t="s">
        <v>26</v>
      </c>
      <c r="R361" s="5" t="s">
        <v>27</v>
      </c>
    </row>
    <row r="362" customFormat="false" ht="15" hidden="false" customHeight="true" outlineLevel="0" collapsed="false">
      <c r="A362" s="5" t="s">
        <v>386</v>
      </c>
      <c r="B362" s="6" t="n">
        <v>888557904.56</v>
      </c>
      <c r="C362" s="6" t="n">
        <v>0</v>
      </c>
      <c r="D362" s="6" t="n">
        <v>888557904.56</v>
      </c>
      <c r="E362" s="6" t="n">
        <v>328766.42</v>
      </c>
      <c r="F362" s="6" t="n">
        <v>0</v>
      </c>
      <c r="G362" s="6" t="n">
        <f aca="false">E362+F362</f>
        <v>328766.42</v>
      </c>
      <c r="H362" s="7" t="n">
        <f aca="false">IF(D362=0,0,C362/D362)</f>
        <v>0</v>
      </c>
      <c r="I362" s="7" t="n">
        <f aca="false">IF(D362=0,0,B362/D362)</f>
        <v>1</v>
      </c>
      <c r="J362" s="6" t="n">
        <f aca="false">E362*H362</f>
        <v>0</v>
      </c>
      <c r="K362" s="6" t="n">
        <f aca="false">E362*I362</f>
        <v>328766.42</v>
      </c>
      <c r="L362" s="6" t="n">
        <v>0</v>
      </c>
      <c r="M362" s="6" t="n">
        <v>328766.42</v>
      </c>
      <c r="N362" s="6"/>
      <c r="O362" s="6"/>
      <c r="P362" s="7"/>
      <c r="Q362" s="5" t="s">
        <v>26</v>
      </c>
      <c r="R362" s="5" t="s">
        <v>27</v>
      </c>
    </row>
    <row r="363" customFormat="false" ht="15" hidden="false" customHeight="true" outlineLevel="0" collapsed="false">
      <c r="A363" s="5" t="s">
        <v>387</v>
      </c>
      <c r="B363" s="6" t="n">
        <v>774923029.72</v>
      </c>
      <c r="C363" s="6" t="n">
        <v>0</v>
      </c>
      <c r="D363" s="6" t="n">
        <v>774923029.72</v>
      </c>
      <c r="E363" s="6" t="n">
        <v>286721.52</v>
      </c>
      <c r="F363" s="6" t="n">
        <v>0</v>
      </c>
      <c r="G363" s="6" t="n">
        <f aca="false">E363+F363</f>
        <v>286721.52</v>
      </c>
      <c r="H363" s="7" t="n">
        <f aca="false">IF(D363=0,0,C363/D363)</f>
        <v>0</v>
      </c>
      <c r="I363" s="7" t="n">
        <f aca="false">IF(D363=0,0,B363/D363)</f>
        <v>1</v>
      </c>
      <c r="J363" s="6" t="n">
        <f aca="false">E363*H363</f>
        <v>0</v>
      </c>
      <c r="K363" s="6" t="n">
        <f aca="false">E363*I363</f>
        <v>286721.52</v>
      </c>
      <c r="L363" s="6" t="n">
        <v>0</v>
      </c>
      <c r="M363" s="6" t="n">
        <v>286721.52</v>
      </c>
      <c r="N363" s="6"/>
      <c r="O363" s="6"/>
      <c r="P363" s="7"/>
      <c r="Q363" s="5" t="s">
        <v>26</v>
      </c>
      <c r="R363" s="5" t="s">
        <v>27</v>
      </c>
    </row>
    <row r="364" customFormat="false" ht="15" hidden="false" customHeight="true" outlineLevel="0" collapsed="false">
      <c r="A364" s="5" t="s">
        <v>388</v>
      </c>
      <c r="B364" s="6" t="n">
        <v>914482493.87</v>
      </c>
      <c r="C364" s="6" t="n">
        <v>0</v>
      </c>
      <c r="D364" s="6" t="n">
        <v>914482493.87</v>
      </c>
      <c r="E364" s="6" t="n">
        <v>338358.52</v>
      </c>
      <c r="F364" s="6" t="n">
        <v>0</v>
      </c>
      <c r="G364" s="6" t="n">
        <f aca="false">E364+F364</f>
        <v>338358.52</v>
      </c>
      <c r="H364" s="7" t="n">
        <f aca="false">IF(D364=0,0,C364/D364)</f>
        <v>0</v>
      </c>
      <c r="I364" s="7" t="n">
        <f aca="false">IF(D364=0,0,B364/D364)</f>
        <v>1</v>
      </c>
      <c r="J364" s="6" t="n">
        <f aca="false">E364*H364</f>
        <v>0</v>
      </c>
      <c r="K364" s="6" t="n">
        <f aca="false">E364*I364</f>
        <v>338358.52</v>
      </c>
      <c r="L364" s="6" t="n">
        <v>0</v>
      </c>
      <c r="M364" s="6" t="n">
        <v>338358.52</v>
      </c>
      <c r="N364" s="6"/>
      <c r="O364" s="6"/>
      <c r="P364" s="7"/>
      <c r="Q364" s="5" t="s">
        <v>26</v>
      </c>
      <c r="R364" s="5" t="s">
        <v>27</v>
      </c>
    </row>
    <row r="365" customFormat="false" ht="15" hidden="false" customHeight="true" outlineLevel="0" collapsed="false">
      <c r="A365" s="5" t="s">
        <v>389</v>
      </c>
      <c r="B365" s="6" t="n">
        <v>760527575.1</v>
      </c>
      <c r="C365" s="6" t="n">
        <v>0</v>
      </c>
      <c r="D365" s="6" t="n">
        <v>760527575.1</v>
      </c>
      <c r="E365" s="6" t="n">
        <v>281395.2</v>
      </c>
      <c r="F365" s="6" t="n">
        <v>0</v>
      </c>
      <c r="G365" s="6" t="n">
        <f aca="false">E365+F365</f>
        <v>281395.2</v>
      </c>
      <c r="H365" s="7" t="n">
        <f aca="false">IF(D365=0,0,C365/D365)</f>
        <v>0</v>
      </c>
      <c r="I365" s="7" t="n">
        <f aca="false">IF(D365=0,0,B365/D365)</f>
        <v>1</v>
      </c>
      <c r="J365" s="6" t="n">
        <f aca="false">E365*H365</f>
        <v>0</v>
      </c>
      <c r="K365" s="6" t="n">
        <f aca="false">E365*I365</f>
        <v>281395.2</v>
      </c>
      <c r="L365" s="6" t="n">
        <v>0</v>
      </c>
      <c r="M365" s="6" t="n">
        <v>281395.2</v>
      </c>
      <c r="N365" s="6"/>
      <c r="O365" s="6"/>
      <c r="P365" s="7"/>
      <c r="Q365" s="5" t="s">
        <v>26</v>
      </c>
      <c r="R365" s="5" t="s">
        <v>27</v>
      </c>
    </row>
    <row r="366" customFormat="false" ht="15" hidden="false" customHeight="true" outlineLevel="0" collapsed="false">
      <c r="A366" s="5" t="s">
        <v>390</v>
      </c>
      <c r="B366" s="6" t="n">
        <v>756952480.68</v>
      </c>
      <c r="C366" s="6" t="n">
        <v>0</v>
      </c>
      <c r="D366" s="6" t="n">
        <v>756952480.68</v>
      </c>
      <c r="E366" s="6" t="n">
        <v>280072.42</v>
      </c>
      <c r="F366" s="6" t="n">
        <v>0</v>
      </c>
      <c r="G366" s="6" t="n">
        <f aca="false">E366+F366</f>
        <v>280072.42</v>
      </c>
      <c r="H366" s="7" t="n">
        <f aca="false">IF(D366=0,0,C366/D366)</f>
        <v>0</v>
      </c>
      <c r="I366" s="7" t="n">
        <f aca="false">IF(D366=0,0,B366/D366)</f>
        <v>1</v>
      </c>
      <c r="J366" s="6" t="n">
        <f aca="false">E366*H366</f>
        <v>0</v>
      </c>
      <c r="K366" s="6" t="n">
        <f aca="false">E366*I366</f>
        <v>280072.42</v>
      </c>
      <c r="L366" s="6" t="n">
        <v>0</v>
      </c>
      <c r="M366" s="6" t="n">
        <v>280072.42</v>
      </c>
      <c r="N366" s="6"/>
      <c r="O366" s="6"/>
      <c r="P366" s="7"/>
      <c r="Q366" s="5" t="s">
        <v>26</v>
      </c>
      <c r="R366" s="5" t="s">
        <v>27</v>
      </c>
    </row>
    <row r="367" customFormat="false" ht="15" hidden="false" customHeight="true" outlineLevel="0" collapsed="false">
      <c r="A367" s="5" t="s">
        <v>391</v>
      </c>
      <c r="B367" s="6" t="n">
        <v>418702470.92</v>
      </c>
      <c r="C367" s="6" t="n">
        <v>0</v>
      </c>
      <c r="D367" s="6" t="n">
        <v>418702470.92</v>
      </c>
      <c r="E367" s="6" t="n">
        <v>154919.91</v>
      </c>
      <c r="F367" s="6" t="n">
        <v>0</v>
      </c>
      <c r="G367" s="6" t="n">
        <f aca="false">E367+F367</f>
        <v>154919.91</v>
      </c>
      <c r="H367" s="7" t="n">
        <f aca="false">IF(D367=0,0,C367/D367)</f>
        <v>0</v>
      </c>
      <c r="I367" s="7" t="n">
        <f aca="false">IF(D367=0,0,B367/D367)</f>
        <v>1</v>
      </c>
      <c r="J367" s="6" t="n">
        <f aca="false">E367*H367</f>
        <v>0</v>
      </c>
      <c r="K367" s="6" t="n">
        <f aca="false">E367*I367</f>
        <v>154919.91</v>
      </c>
      <c r="L367" s="6" t="n">
        <v>0</v>
      </c>
      <c r="M367" s="6" t="n">
        <v>154919.91</v>
      </c>
      <c r="N367" s="6"/>
      <c r="O367" s="6"/>
      <c r="P367" s="7"/>
      <c r="Q367" s="5" t="s">
        <v>26</v>
      </c>
      <c r="R367" s="5" t="s">
        <v>27</v>
      </c>
    </row>
    <row r="368" customFormat="false" ht="15" hidden="false" customHeight="true" outlineLevel="0" collapsed="false">
      <c r="A368" s="5" t="s">
        <v>392</v>
      </c>
      <c r="B368" s="6" t="n">
        <v>556804308.59</v>
      </c>
      <c r="C368" s="6" t="n">
        <v>0</v>
      </c>
      <c r="D368" s="6" t="n">
        <v>556804308.59</v>
      </c>
      <c r="E368" s="6" t="n">
        <v>206017.59</v>
      </c>
      <c r="F368" s="6" t="n">
        <v>0</v>
      </c>
      <c r="G368" s="6" t="n">
        <f aca="false">E368+F368</f>
        <v>206017.59</v>
      </c>
      <c r="H368" s="7" t="n">
        <f aca="false">IF(D368=0,0,C368/D368)</f>
        <v>0</v>
      </c>
      <c r="I368" s="7" t="n">
        <f aca="false">IF(D368=0,0,B368/D368)</f>
        <v>1</v>
      </c>
      <c r="J368" s="6" t="n">
        <f aca="false">E368*H368</f>
        <v>0</v>
      </c>
      <c r="K368" s="6" t="n">
        <f aca="false">E368*I368</f>
        <v>206017.59</v>
      </c>
      <c r="L368" s="6" t="n">
        <v>0</v>
      </c>
      <c r="M368" s="6" t="n">
        <v>206017.59</v>
      </c>
      <c r="N368" s="6"/>
      <c r="O368" s="6"/>
      <c r="P368" s="7"/>
      <c r="Q368" s="5" t="s">
        <v>26</v>
      </c>
      <c r="R368" s="5" t="s">
        <v>27</v>
      </c>
    </row>
    <row r="369" customFormat="false" ht="15" hidden="false" customHeight="true" outlineLevel="0" collapsed="false">
      <c r="A369" s="5" t="s">
        <v>393</v>
      </c>
      <c r="B369" s="6" t="n">
        <v>1559656764.43</v>
      </c>
      <c r="C369" s="6" t="n">
        <v>0</v>
      </c>
      <c r="D369" s="6" t="n">
        <v>1559656764.43</v>
      </c>
      <c r="E369" s="6" t="n">
        <v>577073</v>
      </c>
      <c r="F369" s="6" t="n">
        <v>0</v>
      </c>
      <c r="G369" s="6" t="n">
        <f aca="false">E369+F369</f>
        <v>577073</v>
      </c>
      <c r="H369" s="7" t="n">
        <f aca="false">IF(D369=0,0,C369/D369)</f>
        <v>0</v>
      </c>
      <c r="I369" s="7" t="n">
        <f aca="false">IF(D369=0,0,B369/D369)</f>
        <v>1</v>
      </c>
      <c r="J369" s="6" t="n">
        <f aca="false">E369*H369</f>
        <v>0</v>
      </c>
      <c r="K369" s="6" t="n">
        <f aca="false">E369*I369</f>
        <v>577073</v>
      </c>
      <c r="L369" s="6" t="n">
        <v>0</v>
      </c>
      <c r="M369" s="6" t="n">
        <v>577073</v>
      </c>
      <c r="N369" s="6"/>
      <c r="O369" s="6"/>
      <c r="P369" s="7"/>
      <c r="Q369" s="5" t="s">
        <v>26</v>
      </c>
      <c r="R369" s="5" t="s">
        <v>27</v>
      </c>
    </row>
    <row r="370" customFormat="false" ht="15" hidden="false" customHeight="true" outlineLevel="0" collapsed="false">
      <c r="A370" s="5" t="s">
        <v>394</v>
      </c>
      <c r="B370" s="6" t="n">
        <v>1188393198.68</v>
      </c>
      <c r="C370" s="6" t="n">
        <v>0</v>
      </c>
      <c r="D370" s="6" t="n">
        <v>1188393198.68</v>
      </c>
      <c r="E370" s="6" t="n">
        <v>439705.48</v>
      </c>
      <c r="F370" s="6" t="n">
        <v>0</v>
      </c>
      <c r="G370" s="6" t="n">
        <f aca="false">E370+F370</f>
        <v>439705.48</v>
      </c>
      <c r="H370" s="7" t="n">
        <f aca="false">IF(D370=0,0,C370/D370)</f>
        <v>0</v>
      </c>
      <c r="I370" s="7" t="n">
        <f aca="false">IF(D370=0,0,B370/D370)</f>
        <v>1</v>
      </c>
      <c r="J370" s="6" t="n">
        <f aca="false">E370*H370</f>
        <v>0</v>
      </c>
      <c r="K370" s="6" t="n">
        <f aca="false">E370*I370</f>
        <v>439705.48</v>
      </c>
      <c r="L370" s="6" t="n">
        <v>0</v>
      </c>
      <c r="M370" s="6" t="n">
        <v>439705.48</v>
      </c>
      <c r="N370" s="6"/>
      <c r="O370" s="6"/>
      <c r="P370" s="7"/>
      <c r="Q370" s="5" t="s">
        <v>26</v>
      </c>
      <c r="R370" s="5" t="s">
        <v>27</v>
      </c>
    </row>
    <row r="371" customFormat="false" ht="15" hidden="false" customHeight="true" outlineLevel="0" collapsed="false">
      <c r="A371" s="5" t="s">
        <v>395</v>
      </c>
      <c r="B371" s="6" t="n">
        <v>1153848085.02</v>
      </c>
      <c r="C371" s="6" t="n">
        <v>0</v>
      </c>
      <c r="D371" s="6" t="n">
        <v>1153848085.02</v>
      </c>
      <c r="E371" s="6" t="n">
        <v>426923.79</v>
      </c>
      <c r="F371" s="6" t="n">
        <v>0</v>
      </c>
      <c r="G371" s="6" t="n">
        <f aca="false">E371+F371</f>
        <v>426923.79</v>
      </c>
      <c r="H371" s="7" t="n">
        <f aca="false">IF(D371=0,0,C371/D371)</f>
        <v>0</v>
      </c>
      <c r="I371" s="7" t="n">
        <f aca="false">IF(D371=0,0,B371/D371)</f>
        <v>1</v>
      </c>
      <c r="J371" s="6" t="n">
        <f aca="false">E371*H371</f>
        <v>0</v>
      </c>
      <c r="K371" s="6" t="n">
        <f aca="false">E371*I371</f>
        <v>426923.79</v>
      </c>
      <c r="L371" s="6" t="n">
        <v>0</v>
      </c>
      <c r="M371" s="6" t="n">
        <v>426923.79</v>
      </c>
      <c r="N371" s="6"/>
      <c r="O371" s="6"/>
      <c r="P371" s="7"/>
      <c r="Q371" s="5" t="s">
        <v>26</v>
      </c>
      <c r="R371" s="5" t="s">
        <v>27</v>
      </c>
    </row>
    <row r="372" customFormat="false" ht="15" hidden="false" customHeight="true" outlineLevel="0" collapsed="false">
      <c r="A372" s="5" t="s">
        <v>396</v>
      </c>
      <c r="B372" s="6" t="n">
        <v>2010732638.27</v>
      </c>
      <c r="C372" s="6" t="n">
        <v>0</v>
      </c>
      <c r="D372" s="6" t="n">
        <v>2010732638.27</v>
      </c>
      <c r="E372" s="6" t="n">
        <v>743971.08</v>
      </c>
      <c r="F372" s="6" t="n">
        <v>0</v>
      </c>
      <c r="G372" s="6" t="n">
        <f aca="false">E372+F372</f>
        <v>743971.08</v>
      </c>
      <c r="H372" s="7" t="n">
        <f aca="false">IF(D372=0,0,C372/D372)</f>
        <v>0</v>
      </c>
      <c r="I372" s="7" t="n">
        <f aca="false">IF(D372=0,0,B372/D372)</f>
        <v>1</v>
      </c>
      <c r="J372" s="6" t="n">
        <f aca="false">E372*H372</f>
        <v>0</v>
      </c>
      <c r="K372" s="6" t="n">
        <f aca="false">E372*I372</f>
        <v>743971.08</v>
      </c>
      <c r="L372" s="6" t="n">
        <v>0</v>
      </c>
      <c r="M372" s="6" t="n">
        <v>743971.08</v>
      </c>
      <c r="N372" s="6"/>
      <c r="O372" s="6"/>
      <c r="P372" s="7"/>
      <c r="Q372" s="5" t="s">
        <v>26</v>
      </c>
      <c r="R372" s="5" t="s">
        <v>27</v>
      </c>
    </row>
    <row r="373" customFormat="false" ht="15" hidden="false" customHeight="true" outlineLevel="0" collapsed="false">
      <c r="A373" s="5" t="s">
        <v>397</v>
      </c>
      <c r="B373" s="6" t="n">
        <v>915646407.34</v>
      </c>
      <c r="C373" s="6" t="n">
        <v>0</v>
      </c>
      <c r="D373" s="6" t="n">
        <v>915646407.34</v>
      </c>
      <c r="E373" s="6" t="n">
        <v>338789.17</v>
      </c>
      <c r="F373" s="6" t="n">
        <v>0</v>
      </c>
      <c r="G373" s="6" t="n">
        <f aca="false">E373+F373</f>
        <v>338789.17</v>
      </c>
      <c r="H373" s="7" t="n">
        <f aca="false">IF(D373=0,0,C373/D373)</f>
        <v>0</v>
      </c>
      <c r="I373" s="7" t="n">
        <f aca="false">IF(D373=0,0,B373/D373)</f>
        <v>1</v>
      </c>
      <c r="J373" s="6" t="n">
        <f aca="false">E373*H373</f>
        <v>0</v>
      </c>
      <c r="K373" s="6" t="n">
        <f aca="false">E373*I373</f>
        <v>338789.17</v>
      </c>
      <c r="L373" s="6" t="n">
        <v>0</v>
      </c>
      <c r="M373" s="6" t="n">
        <v>338789.17</v>
      </c>
      <c r="N373" s="6"/>
      <c r="O373" s="6"/>
      <c r="P373" s="7"/>
      <c r="Q373" s="5" t="s">
        <v>26</v>
      </c>
      <c r="R373" s="5" t="s">
        <v>27</v>
      </c>
    </row>
    <row r="374" customFormat="false" ht="15" hidden="false" customHeight="true" outlineLevel="0" collapsed="false">
      <c r="A374" s="5" t="s">
        <v>398</v>
      </c>
      <c r="B374" s="6" t="n">
        <v>388397278</v>
      </c>
      <c r="C374" s="6" t="n">
        <v>0</v>
      </c>
      <c r="D374" s="6" t="n">
        <v>388397278</v>
      </c>
      <c r="E374" s="6" t="n">
        <v>143706.99</v>
      </c>
      <c r="F374" s="6" t="n">
        <v>0</v>
      </c>
      <c r="G374" s="6" t="n">
        <f aca="false">E374+F374</f>
        <v>143706.99</v>
      </c>
      <c r="H374" s="7" t="n">
        <f aca="false">IF(D374=0,0,C374/D374)</f>
        <v>0</v>
      </c>
      <c r="I374" s="7" t="n">
        <f aca="false">IF(D374=0,0,B374/D374)</f>
        <v>1</v>
      </c>
      <c r="J374" s="6" t="n">
        <f aca="false">E374*H374</f>
        <v>0</v>
      </c>
      <c r="K374" s="6" t="n">
        <f aca="false">E374*I374</f>
        <v>143706.99</v>
      </c>
      <c r="L374" s="6" t="n">
        <v>0</v>
      </c>
      <c r="M374" s="6" t="n">
        <v>143706.99</v>
      </c>
      <c r="N374" s="6"/>
      <c r="O374" s="6"/>
      <c r="P374" s="7"/>
      <c r="Q374" s="5" t="s">
        <v>26</v>
      </c>
      <c r="R374" s="5" t="s">
        <v>27</v>
      </c>
    </row>
    <row r="375" customFormat="false" ht="15" hidden="false" customHeight="true" outlineLevel="0" collapsed="false">
      <c r="A375" s="5" t="s">
        <v>399</v>
      </c>
      <c r="B375" s="6" t="n">
        <v>536019684.76</v>
      </c>
      <c r="C375" s="6" t="n">
        <v>0</v>
      </c>
      <c r="D375" s="6" t="n">
        <v>536019684.76</v>
      </c>
      <c r="E375" s="6" t="n">
        <v>198327.28</v>
      </c>
      <c r="F375" s="6" t="n">
        <v>0</v>
      </c>
      <c r="G375" s="6" t="n">
        <f aca="false">E375+F375</f>
        <v>198327.28</v>
      </c>
      <c r="H375" s="7" t="n">
        <f aca="false">IF(D375=0,0,C375/D375)</f>
        <v>0</v>
      </c>
      <c r="I375" s="7" t="n">
        <f aca="false">IF(D375=0,0,B375/D375)</f>
        <v>1</v>
      </c>
      <c r="J375" s="6" t="n">
        <f aca="false">E375*H375</f>
        <v>0</v>
      </c>
      <c r="K375" s="6" t="n">
        <f aca="false">E375*I375</f>
        <v>198327.28</v>
      </c>
      <c r="L375" s="6" t="n">
        <v>0</v>
      </c>
      <c r="M375" s="6" t="n">
        <v>198327.28</v>
      </c>
      <c r="N375" s="6"/>
      <c r="O375" s="6"/>
      <c r="P375" s="7"/>
      <c r="Q375" s="5" t="s">
        <v>26</v>
      </c>
      <c r="R375" s="5" t="s">
        <v>27</v>
      </c>
    </row>
    <row r="376" customFormat="false" ht="15" hidden="false" customHeight="true" outlineLevel="0" collapsed="false">
      <c r="A376" s="5" t="s">
        <v>400</v>
      </c>
      <c r="B376" s="6" t="n">
        <v>784427402.02</v>
      </c>
      <c r="C376" s="6" t="n">
        <v>0</v>
      </c>
      <c r="D376" s="6" t="n">
        <v>784427402.02</v>
      </c>
      <c r="E376" s="6" t="n">
        <v>290238.14</v>
      </c>
      <c r="F376" s="6" t="n">
        <v>0</v>
      </c>
      <c r="G376" s="6" t="n">
        <f aca="false">E376+F376</f>
        <v>290238.14</v>
      </c>
      <c r="H376" s="7" t="n">
        <f aca="false">IF(D376=0,0,C376/D376)</f>
        <v>0</v>
      </c>
      <c r="I376" s="7" t="n">
        <f aca="false">IF(D376=0,0,B376/D376)</f>
        <v>1</v>
      </c>
      <c r="J376" s="6" t="n">
        <f aca="false">E376*H376</f>
        <v>0</v>
      </c>
      <c r="K376" s="6" t="n">
        <f aca="false">E376*I376</f>
        <v>290238.14</v>
      </c>
      <c r="L376" s="6" t="n">
        <v>0</v>
      </c>
      <c r="M376" s="6" t="n">
        <v>290238.14</v>
      </c>
      <c r="N376" s="6"/>
      <c r="O376" s="6"/>
      <c r="P376" s="7"/>
      <c r="Q376" s="5" t="s">
        <v>26</v>
      </c>
      <c r="R376" s="5" t="s">
        <v>27</v>
      </c>
    </row>
    <row r="377" customFormat="false" ht="15" hidden="false" customHeight="true" outlineLevel="0" collapsed="false">
      <c r="A377" s="5" t="s">
        <v>401</v>
      </c>
      <c r="B377" s="6" t="n">
        <v>1063856066.43</v>
      </c>
      <c r="C377" s="6" t="n">
        <v>0</v>
      </c>
      <c r="D377" s="6" t="n">
        <v>1063856066.43</v>
      </c>
      <c r="E377" s="6" t="n">
        <v>393626.74</v>
      </c>
      <c r="F377" s="6" t="n">
        <v>0</v>
      </c>
      <c r="G377" s="6" t="n">
        <f aca="false">E377+F377</f>
        <v>393626.74</v>
      </c>
      <c r="H377" s="7" t="n">
        <f aca="false">IF(D377=0,0,C377/D377)</f>
        <v>0</v>
      </c>
      <c r="I377" s="7" t="n">
        <f aca="false">IF(D377=0,0,B377/D377)</f>
        <v>1</v>
      </c>
      <c r="J377" s="6" t="n">
        <f aca="false">E377*H377</f>
        <v>0</v>
      </c>
      <c r="K377" s="6" t="n">
        <f aca="false">E377*I377</f>
        <v>393626.74</v>
      </c>
      <c r="L377" s="6" t="n">
        <v>0</v>
      </c>
      <c r="M377" s="6" t="n">
        <v>393626.74</v>
      </c>
      <c r="N377" s="6"/>
      <c r="O377" s="6"/>
      <c r="P377" s="7"/>
      <c r="Q377" s="5" t="s">
        <v>26</v>
      </c>
      <c r="R377" s="5" t="s">
        <v>27</v>
      </c>
    </row>
    <row r="378" customFormat="false" ht="15" hidden="false" customHeight="true" outlineLevel="0" collapsed="false">
      <c r="A378" s="5" t="s">
        <v>402</v>
      </c>
      <c r="B378" s="6" t="n">
        <v>879243779.33</v>
      </c>
      <c r="C378" s="6" t="n">
        <v>0</v>
      </c>
      <c r="D378" s="6" t="n">
        <v>879243779.33</v>
      </c>
      <c r="E378" s="6" t="n">
        <v>325320.2</v>
      </c>
      <c r="F378" s="6" t="n">
        <v>0</v>
      </c>
      <c r="G378" s="6" t="n">
        <f aca="false">E378+F378</f>
        <v>325320.2</v>
      </c>
      <c r="H378" s="7" t="n">
        <f aca="false">IF(D378=0,0,C378/D378)</f>
        <v>0</v>
      </c>
      <c r="I378" s="7" t="n">
        <f aca="false">IF(D378=0,0,B378/D378)</f>
        <v>1</v>
      </c>
      <c r="J378" s="6" t="n">
        <f aca="false">E378*H378</f>
        <v>0</v>
      </c>
      <c r="K378" s="6" t="n">
        <f aca="false">E378*I378</f>
        <v>325320.2</v>
      </c>
      <c r="L378" s="6" t="n">
        <v>0</v>
      </c>
      <c r="M378" s="6" t="n">
        <v>325320.2</v>
      </c>
      <c r="N378" s="6"/>
      <c r="O378" s="6"/>
      <c r="P378" s="7"/>
      <c r="Q378" s="5" t="s">
        <v>26</v>
      </c>
      <c r="R378" s="5" t="s">
        <v>27</v>
      </c>
    </row>
    <row r="379" customFormat="false" ht="15" hidden="false" customHeight="true" outlineLevel="0" collapsed="false">
      <c r="A379" s="5" t="s">
        <v>403</v>
      </c>
      <c r="B379" s="6" t="n">
        <v>975848410.39</v>
      </c>
      <c r="C379" s="6" t="n">
        <v>0</v>
      </c>
      <c r="D379" s="6" t="n">
        <v>975848410.39</v>
      </c>
      <c r="E379" s="6" t="n">
        <v>361063.91</v>
      </c>
      <c r="F379" s="6" t="n">
        <v>0</v>
      </c>
      <c r="G379" s="6" t="n">
        <f aca="false">E379+F379</f>
        <v>361063.91</v>
      </c>
      <c r="H379" s="7" t="n">
        <f aca="false">IF(D379=0,0,C379/D379)</f>
        <v>0</v>
      </c>
      <c r="I379" s="7" t="n">
        <f aca="false">IF(D379=0,0,B379/D379)</f>
        <v>1</v>
      </c>
      <c r="J379" s="6" t="n">
        <f aca="false">E379*H379</f>
        <v>0</v>
      </c>
      <c r="K379" s="6" t="n">
        <f aca="false">E379*I379</f>
        <v>361063.91</v>
      </c>
      <c r="L379" s="6" t="n">
        <v>0</v>
      </c>
      <c r="M379" s="6" t="n">
        <v>361063.91</v>
      </c>
      <c r="N379" s="6"/>
      <c r="O379" s="6"/>
      <c r="P379" s="7"/>
      <c r="Q379" s="5" t="s">
        <v>26</v>
      </c>
      <c r="R379" s="5" t="s">
        <v>27</v>
      </c>
    </row>
    <row r="380" customFormat="false" ht="15" hidden="false" customHeight="true" outlineLevel="0" collapsed="false">
      <c r="A380" s="5" t="s">
        <v>404</v>
      </c>
      <c r="B380" s="6" t="n">
        <v>917555214.46</v>
      </c>
      <c r="C380" s="6" t="n">
        <v>0</v>
      </c>
      <c r="D380" s="6" t="n">
        <v>917555214.46</v>
      </c>
      <c r="E380" s="6" t="n">
        <v>339495.43</v>
      </c>
      <c r="F380" s="6" t="n">
        <v>0</v>
      </c>
      <c r="G380" s="6" t="n">
        <f aca="false">E380+F380</f>
        <v>339495.43</v>
      </c>
      <c r="H380" s="7" t="n">
        <f aca="false">IF(D380=0,0,C380/D380)</f>
        <v>0</v>
      </c>
      <c r="I380" s="7" t="n">
        <f aca="false">IF(D380=0,0,B380/D380)</f>
        <v>1</v>
      </c>
      <c r="J380" s="6" t="n">
        <f aca="false">E380*H380</f>
        <v>0</v>
      </c>
      <c r="K380" s="6" t="n">
        <f aca="false">E380*I380</f>
        <v>339495.43</v>
      </c>
      <c r="L380" s="6" t="n">
        <v>0</v>
      </c>
      <c r="M380" s="6" t="n">
        <v>339495.43</v>
      </c>
      <c r="N380" s="6"/>
      <c r="O380" s="6"/>
      <c r="P380" s="7"/>
      <c r="Q380" s="5" t="s">
        <v>26</v>
      </c>
      <c r="R380" s="5" t="s">
        <v>27</v>
      </c>
    </row>
    <row r="381" customFormat="false" ht="15" hidden="false" customHeight="true" outlineLevel="0" collapsed="false">
      <c r="A381" s="5" t="s">
        <v>405</v>
      </c>
      <c r="B381" s="6" t="n">
        <v>379114903.13</v>
      </c>
      <c r="C381" s="6" t="n">
        <v>0</v>
      </c>
      <c r="D381" s="6" t="n">
        <v>379114903.13</v>
      </c>
      <c r="E381" s="6" t="n">
        <v>140272.51</v>
      </c>
      <c r="F381" s="6" t="n">
        <v>0</v>
      </c>
      <c r="G381" s="6" t="n">
        <f aca="false">E381+F381</f>
        <v>140272.51</v>
      </c>
      <c r="H381" s="7" t="n">
        <f aca="false">IF(D381=0,0,C381/D381)</f>
        <v>0</v>
      </c>
      <c r="I381" s="7" t="n">
        <f aca="false">IF(D381=0,0,B381/D381)</f>
        <v>1</v>
      </c>
      <c r="J381" s="6" t="n">
        <f aca="false">E381*H381</f>
        <v>0</v>
      </c>
      <c r="K381" s="6" t="n">
        <f aca="false">E381*I381</f>
        <v>140272.51</v>
      </c>
      <c r="L381" s="6" t="n">
        <v>0</v>
      </c>
      <c r="M381" s="6" t="n">
        <v>140272.51</v>
      </c>
      <c r="N381" s="6"/>
      <c r="O381" s="6"/>
      <c r="P381" s="7"/>
      <c r="Q381" s="5" t="s">
        <v>26</v>
      </c>
      <c r="R381" s="5" t="s">
        <v>27</v>
      </c>
    </row>
    <row r="382" customFormat="false" ht="15" hidden="false" customHeight="true" outlineLevel="0" collapsed="false">
      <c r="A382" s="5" t="s">
        <v>406</v>
      </c>
      <c r="B382" s="6" t="n">
        <v>529730344.96</v>
      </c>
      <c r="C382" s="6" t="n">
        <v>0</v>
      </c>
      <c r="D382" s="6" t="n">
        <v>529730344.96</v>
      </c>
      <c r="E382" s="6" t="n">
        <v>196000.23</v>
      </c>
      <c r="F382" s="6" t="n">
        <v>0</v>
      </c>
      <c r="G382" s="6" t="n">
        <f aca="false">E382+F382</f>
        <v>196000.23</v>
      </c>
      <c r="H382" s="7" t="n">
        <f aca="false">IF(D382=0,0,C382/D382)</f>
        <v>0</v>
      </c>
      <c r="I382" s="7" t="n">
        <f aca="false">IF(D382=0,0,B382/D382)</f>
        <v>1</v>
      </c>
      <c r="J382" s="6" t="n">
        <f aca="false">E382*H382</f>
        <v>0</v>
      </c>
      <c r="K382" s="6" t="n">
        <f aca="false">E382*I382</f>
        <v>196000.23</v>
      </c>
      <c r="L382" s="6" t="n">
        <v>0</v>
      </c>
      <c r="M382" s="6" t="n">
        <v>196000.23</v>
      </c>
      <c r="N382" s="6"/>
      <c r="O382" s="6"/>
      <c r="P382" s="7"/>
      <c r="Q382" s="5" t="s">
        <v>26</v>
      </c>
      <c r="R382" s="5" t="s">
        <v>27</v>
      </c>
    </row>
    <row r="383" customFormat="false" ht="15" hidden="false" customHeight="true" outlineLevel="0" collapsed="false">
      <c r="A383" s="5" t="s">
        <v>407</v>
      </c>
      <c r="B383" s="6" t="n">
        <v>966511223.5</v>
      </c>
      <c r="C383" s="6" t="n">
        <v>0</v>
      </c>
      <c r="D383" s="6" t="n">
        <v>966511223.5</v>
      </c>
      <c r="E383" s="6" t="n">
        <v>357609.15</v>
      </c>
      <c r="F383" s="6" t="n">
        <v>0</v>
      </c>
      <c r="G383" s="6" t="n">
        <f aca="false">E383+F383</f>
        <v>357609.15</v>
      </c>
      <c r="H383" s="7" t="n">
        <f aca="false">IF(D383=0,0,C383/D383)</f>
        <v>0</v>
      </c>
      <c r="I383" s="7" t="n">
        <f aca="false">IF(D383=0,0,B383/D383)</f>
        <v>1</v>
      </c>
      <c r="J383" s="6" t="n">
        <f aca="false">E383*H383</f>
        <v>0</v>
      </c>
      <c r="K383" s="6" t="n">
        <f aca="false">E383*I383</f>
        <v>357609.15</v>
      </c>
      <c r="L383" s="6" t="n">
        <v>0</v>
      </c>
      <c r="M383" s="6" t="n">
        <v>357609.15</v>
      </c>
      <c r="N383" s="6"/>
      <c r="O383" s="6"/>
      <c r="P383" s="7"/>
      <c r="Q383" s="5" t="s">
        <v>26</v>
      </c>
      <c r="R383" s="5" t="s">
        <v>27</v>
      </c>
    </row>
    <row r="384" customFormat="false" ht="15" hidden="false" customHeight="true" outlineLevel="0" collapsed="false">
      <c r="A384" s="5" t="s">
        <v>408</v>
      </c>
      <c r="B384" s="6" t="n">
        <v>865570111.24</v>
      </c>
      <c r="C384" s="6" t="n">
        <v>0</v>
      </c>
      <c r="D384" s="6" t="n">
        <v>865570111.24</v>
      </c>
      <c r="E384" s="6" t="n">
        <v>320260.94</v>
      </c>
      <c r="F384" s="6" t="n">
        <v>0</v>
      </c>
      <c r="G384" s="6" t="n">
        <f aca="false">E384+F384</f>
        <v>320260.94</v>
      </c>
      <c r="H384" s="7" t="n">
        <f aca="false">IF(D384=0,0,C384/D384)</f>
        <v>0</v>
      </c>
      <c r="I384" s="7" t="n">
        <f aca="false">IF(D384=0,0,B384/D384)</f>
        <v>1</v>
      </c>
      <c r="J384" s="6" t="n">
        <f aca="false">E384*H384</f>
        <v>0</v>
      </c>
      <c r="K384" s="6" t="n">
        <f aca="false">E384*I384</f>
        <v>320260.94</v>
      </c>
      <c r="L384" s="6" t="n">
        <v>0</v>
      </c>
      <c r="M384" s="6" t="n">
        <v>320260.94</v>
      </c>
      <c r="N384" s="6"/>
      <c r="O384" s="6"/>
      <c r="P384" s="7"/>
      <c r="Q384" s="5" t="s">
        <v>26</v>
      </c>
      <c r="R384" s="5" t="s">
        <v>27</v>
      </c>
    </row>
    <row r="385" customFormat="false" ht="15" hidden="false" customHeight="true" outlineLevel="0" collapsed="false">
      <c r="A385" s="5" t="s">
        <v>409</v>
      </c>
      <c r="B385" s="6" t="n">
        <v>971251191.95</v>
      </c>
      <c r="C385" s="6" t="n">
        <v>0</v>
      </c>
      <c r="D385" s="6" t="n">
        <v>971251191.95</v>
      </c>
      <c r="E385" s="6" t="n">
        <v>359362.94</v>
      </c>
      <c r="F385" s="6" t="n">
        <v>0</v>
      </c>
      <c r="G385" s="6" t="n">
        <f aca="false">E385+F385</f>
        <v>359362.94</v>
      </c>
      <c r="H385" s="7" t="n">
        <f aca="false">IF(D385=0,0,C385/D385)</f>
        <v>0</v>
      </c>
      <c r="I385" s="7" t="n">
        <f aca="false">IF(D385=0,0,B385/D385)</f>
        <v>1</v>
      </c>
      <c r="J385" s="6" t="n">
        <f aca="false">E385*H385</f>
        <v>0</v>
      </c>
      <c r="K385" s="6" t="n">
        <f aca="false">E385*I385</f>
        <v>359362.94</v>
      </c>
      <c r="L385" s="6" t="n">
        <v>0</v>
      </c>
      <c r="M385" s="6" t="n">
        <v>359362.94</v>
      </c>
      <c r="N385" s="6"/>
      <c r="O385" s="6"/>
      <c r="P385" s="7"/>
      <c r="Q385" s="5" t="s">
        <v>26</v>
      </c>
      <c r="R385" s="5" t="s">
        <v>27</v>
      </c>
    </row>
    <row r="386" customFormat="false" ht="15" hidden="false" customHeight="true" outlineLevel="0" collapsed="false">
      <c r="A386" s="5" t="s">
        <v>410</v>
      </c>
      <c r="B386" s="6" t="n">
        <v>709608664.87</v>
      </c>
      <c r="C386" s="6" t="n">
        <v>0</v>
      </c>
      <c r="D386" s="6" t="n">
        <v>709608664.87</v>
      </c>
      <c r="E386" s="6" t="n">
        <v>262555.21</v>
      </c>
      <c r="F386" s="6" t="n">
        <v>0</v>
      </c>
      <c r="G386" s="6" t="n">
        <f aca="false">E386+F386</f>
        <v>262555.21</v>
      </c>
      <c r="H386" s="7" t="n">
        <f aca="false">IF(D386=0,0,C386/D386)</f>
        <v>0</v>
      </c>
      <c r="I386" s="7" t="n">
        <f aca="false">IF(D386=0,0,B386/D386)</f>
        <v>1</v>
      </c>
      <c r="J386" s="6" t="n">
        <f aca="false">E386*H386</f>
        <v>0</v>
      </c>
      <c r="K386" s="6" t="n">
        <f aca="false">E386*I386</f>
        <v>262555.21</v>
      </c>
      <c r="L386" s="6" t="n">
        <v>0</v>
      </c>
      <c r="M386" s="6" t="n">
        <v>262555.21</v>
      </c>
      <c r="N386" s="6"/>
      <c r="O386" s="6"/>
      <c r="P386" s="7"/>
      <c r="Q386" s="5" t="s">
        <v>26</v>
      </c>
      <c r="R386" s="5" t="s">
        <v>27</v>
      </c>
    </row>
    <row r="387" customFormat="false" ht="15" hidden="false" customHeight="true" outlineLevel="0" collapsed="false">
      <c r="A387" s="5" t="s">
        <v>411</v>
      </c>
      <c r="B387" s="6" t="n">
        <v>1380410060.71</v>
      </c>
      <c r="C387" s="6" t="n">
        <v>0</v>
      </c>
      <c r="D387" s="6" t="n">
        <v>1380410060.71</v>
      </c>
      <c r="E387" s="6" t="n">
        <v>510751.72</v>
      </c>
      <c r="F387" s="6" t="n">
        <v>0</v>
      </c>
      <c r="G387" s="6" t="n">
        <f aca="false">E387+F387</f>
        <v>510751.72</v>
      </c>
      <c r="H387" s="7" t="n">
        <f aca="false">IF(D387=0,0,C387/D387)</f>
        <v>0</v>
      </c>
      <c r="I387" s="7" t="n">
        <f aca="false">IF(D387=0,0,B387/D387)</f>
        <v>1</v>
      </c>
      <c r="J387" s="6" t="n">
        <f aca="false">E387*H387</f>
        <v>0</v>
      </c>
      <c r="K387" s="6" t="n">
        <f aca="false">E387*I387</f>
        <v>510751.72</v>
      </c>
      <c r="L387" s="6" t="n">
        <v>0</v>
      </c>
      <c r="M387" s="6" t="n">
        <v>510751.72</v>
      </c>
      <c r="N387" s="6"/>
      <c r="O387" s="6"/>
      <c r="P387" s="7"/>
      <c r="Q387" s="5" t="s">
        <v>26</v>
      </c>
      <c r="R387" s="5" t="s">
        <v>27</v>
      </c>
    </row>
    <row r="388" customFormat="false" ht="15" hidden="false" customHeight="true" outlineLevel="0" collapsed="false">
      <c r="A388" s="5" t="s">
        <v>412</v>
      </c>
      <c r="B388" s="6" t="n">
        <v>383364119.46</v>
      </c>
      <c r="C388" s="6" t="n">
        <v>0</v>
      </c>
      <c r="D388" s="6" t="n">
        <v>383364119.46</v>
      </c>
      <c r="E388" s="6" t="n">
        <v>141844.72</v>
      </c>
      <c r="F388" s="6" t="n">
        <v>0</v>
      </c>
      <c r="G388" s="6" t="n">
        <f aca="false">E388+F388</f>
        <v>141844.72</v>
      </c>
      <c r="H388" s="7" t="n">
        <f aca="false">IF(D388=0,0,C388/D388)</f>
        <v>0</v>
      </c>
      <c r="I388" s="7" t="n">
        <f aca="false">IF(D388=0,0,B388/D388)</f>
        <v>1</v>
      </c>
      <c r="J388" s="6" t="n">
        <f aca="false">E388*H388</f>
        <v>0</v>
      </c>
      <c r="K388" s="6" t="n">
        <f aca="false">E388*I388</f>
        <v>141844.72</v>
      </c>
      <c r="L388" s="6" t="n">
        <v>0</v>
      </c>
      <c r="M388" s="6" t="n">
        <v>141844.72</v>
      </c>
      <c r="N388" s="6"/>
      <c r="O388" s="6"/>
      <c r="P388" s="7"/>
      <c r="Q388" s="5" t="s">
        <v>26</v>
      </c>
      <c r="R388" s="5" t="s">
        <v>27</v>
      </c>
    </row>
    <row r="389" customFormat="false" ht="15" hidden="false" customHeight="true" outlineLevel="0" collapsed="false">
      <c r="A389" s="5" t="s">
        <v>413</v>
      </c>
      <c r="B389" s="6" t="n">
        <v>327671990.06</v>
      </c>
      <c r="C389" s="6" t="n">
        <v>0</v>
      </c>
      <c r="D389" s="6" t="n">
        <v>327671990.06</v>
      </c>
      <c r="E389" s="6" t="n">
        <v>121238.64</v>
      </c>
      <c r="F389" s="6" t="n">
        <v>0</v>
      </c>
      <c r="G389" s="6" t="n">
        <f aca="false">E389+F389</f>
        <v>121238.64</v>
      </c>
      <c r="H389" s="7" t="n">
        <f aca="false">IF(D389=0,0,C389/D389)</f>
        <v>0</v>
      </c>
      <c r="I389" s="7" t="n">
        <f aca="false">IF(D389=0,0,B389/D389)</f>
        <v>1</v>
      </c>
      <c r="J389" s="6" t="n">
        <f aca="false">E389*H389</f>
        <v>0</v>
      </c>
      <c r="K389" s="6" t="n">
        <f aca="false">E389*I389</f>
        <v>121238.64</v>
      </c>
      <c r="L389" s="6" t="n">
        <v>0</v>
      </c>
      <c r="M389" s="6" t="n">
        <v>121238.64</v>
      </c>
      <c r="N389" s="6"/>
      <c r="O389" s="6"/>
      <c r="P389" s="7"/>
      <c r="Q389" s="5" t="s">
        <v>26</v>
      </c>
      <c r="R389" s="5" t="s">
        <v>27</v>
      </c>
    </row>
    <row r="390" customFormat="false" ht="15" hidden="false" customHeight="true" outlineLevel="0" collapsed="false">
      <c r="A390" s="5" t="s">
        <v>414</v>
      </c>
      <c r="B390" s="6" t="n">
        <v>592210238.12</v>
      </c>
      <c r="C390" s="6" t="n">
        <v>0</v>
      </c>
      <c r="D390" s="6" t="n">
        <v>592210238.12</v>
      </c>
      <c r="E390" s="6" t="n">
        <v>219117.79</v>
      </c>
      <c r="F390" s="6" t="n">
        <v>0</v>
      </c>
      <c r="G390" s="6" t="n">
        <f aca="false">E390+F390</f>
        <v>219117.79</v>
      </c>
      <c r="H390" s="7" t="n">
        <f aca="false">IF(D390=0,0,C390/D390)</f>
        <v>0</v>
      </c>
      <c r="I390" s="7" t="n">
        <f aca="false">IF(D390=0,0,B390/D390)</f>
        <v>1</v>
      </c>
      <c r="J390" s="6" t="n">
        <f aca="false">E390*H390</f>
        <v>0</v>
      </c>
      <c r="K390" s="6" t="n">
        <f aca="false">E390*I390</f>
        <v>219117.79</v>
      </c>
      <c r="L390" s="6" t="n">
        <v>0</v>
      </c>
      <c r="M390" s="6" t="n">
        <v>219117.79</v>
      </c>
      <c r="N390" s="6"/>
      <c r="O390" s="6"/>
      <c r="P390" s="7"/>
      <c r="Q390" s="5" t="s">
        <v>26</v>
      </c>
      <c r="R390" s="5" t="s">
        <v>27</v>
      </c>
    </row>
    <row r="391" customFormat="false" ht="15" hidden="false" customHeight="true" outlineLevel="0" collapsed="false">
      <c r="A391" s="5" t="s">
        <v>415</v>
      </c>
      <c r="B391" s="6" t="n">
        <v>1281500287.66</v>
      </c>
      <c r="C391" s="6" t="n">
        <v>0</v>
      </c>
      <c r="D391" s="6" t="n">
        <v>1281500287.66</v>
      </c>
      <c r="E391" s="6" t="n">
        <v>474155.11</v>
      </c>
      <c r="F391" s="6" t="n">
        <v>0</v>
      </c>
      <c r="G391" s="6" t="n">
        <f aca="false">E391+F391</f>
        <v>474155.11</v>
      </c>
      <c r="H391" s="7" t="n">
        <f aca="false">IF(D391=0,0,C391/D391)</f>
        <v>0</v>
      </c>
      <c r="I391" s="7" t="n">
        <f aca="false">IF(D391=0,0,B391/D391)</f>
        <v>1</v>
      </c>
      <c r="J391" s="6" t="n">
        <f aca="false">E391*H391</f>
        <v>0</v>
      </c>
      <c r="K391" s="6" t="n">
        <f aca="false">E391*I391</f>
        <v>474155.11</v>
      </c>
      <c r="L391" s="6" t="n">
        <v>0</v>
      </c>
      <c r="M391" s="6" t="n">
        <v>474155.11</v>
      </c>
      <c r="N391" s="6"/>
      <c r="O391" s="6"/>
      <c r="P391" s="7"/>
      <c r="Q391" s="5" t="s">
        <v>26</v>
      </c>
      <c r="R391" s="5" t="s">
        <v>27</v>
      </c>
    </row>
    <row r="392" customFormat="false" ht="15" hidden="false" customHeight="true" outlineLevel="0" collapsed="false">
      <c r="A392" s="5" t="s">
        <v>416</v>
      </c>
      <c r="B392" s="6" t="n">
        <v>1384737037.74</v>
      </c>
      <c r="C392" s="6" t="n">
        <v>0</v>
      </c>
      <c r="D392" s="6" t="n">
        <v>1384737037.74</v>
      </c>
      <c r="E392" s="6" t="n">
        <v>512352.7</v>
      </c>
      <c r="F392" s="6" t="n">
        <v>0</v>
      </c>
      <c r="G392" s="6" t="n">
        <f aca="false">E392+F392</f>
        <v>512352.7</v>
      </c>
      <c r="H392" s="7" t="n">
        <f aca="false">IF(D392=0,0,C392/D392)</f>
        <v>0</v>
      </c>
      <c r="I392" s="7" t="n">
        <f aca="false">IF(D392=0,0,B392/D392)</f>
        <v>1</v>
      </c>
      <c r="J392" s="6" t="n">
        <f aca="false">E392*H392</f>
        <v>0</v>
      </c>
      <c r="K392" s="6" t="n">
        <f aca="false">E392*I392</f>
        <v>512352.7</v>
      </c>
      <c r="L392" s="6" t="n">
        <v>0</v>
      </c>
      <c r="M392" s="6" t="n">
        <v>512352.7</v>
      </c>
      <c r="N392" s="6"/>
      <c r="O392" s="6"/>
      <c r="P392" s="7"/>
      <c r="Q392" s="5" t="s">
        <v>26</v>
      </c>
      <c r="R392" s="5" t="s">
        <v>27</v>
      </c>
    </row>
    <row r="393" customFormat="false" ht="15" hidden="false" customHeight="true" outlineLevel="0" collapsed="false">
      <c r="A393" s="5" t="s">
        <v>417</v>
      </c>
      <c r="B393" s="6" t="n">
        <v>1045766312.35</v>
      </c>
      <c r="C393" s="6" t="n">
        <v>0</v>
      </c>
      <c r="D393" s="6" t="n">
        <v>1045766312.35</v>
      </c>
      <c r="E393" s="6" t="n">
        <v>386933.54</v>
      </c>
      <c r="F393" s="6" t="n">
        <v>0</v>
      </c>
      <c r="G393" s="6" t="n">
        <f aca="false">E393+F393</f>
        <v>386933.54</v>
      </c>
      <c r="H393" s="7" t="n">
        <f aca="false">IF(D393=0,0,C393/D393)</f>
        <v>0</v>
      </c>
      <c r="I393" s="7" t="n">
        <f aca="false">IF(D393=0,0,B393/D393)</f>
        <v>1</v>
      </c>
      <c r="J393" s="6" t="n">
        <f aca="false">E393*H393</f>
        <v>0</v>
      </c>
      <c r="K393" s="6" t="n">
        <f aca="false">E393*I393</f>
        <v>386933.54</v>
      </c>
      <c r="L393" s="6" t="n">
        <v>0</v>
      </c>
      <c r="M393" s="6" t="n">
        <v>386933.54</v>
      </c>
      <c r="N393" s="6"/>
      <c r="O393" s="6"/>
      <c r="P393" s="7"/>
      <c r="Q393" s="5" t="s">
        <v>26</v>
      </c>
      <c r="R393" s="5" t="s">
        <v>27</v>
      </c>
    </row>
    <row r="394" customFormat="false" ht="15" hidden="false" customHeight="true" outlineLevel="0" collapsed="false">
      <c r="A394" s="5" t="s">
        <v>418</v>
      </c>
      <c r="B394" s="6" t="n">
        <v>1191566426.61</v>
      </c>
      <c r="C394" s="6" t="n">
        <v>0</v>
      </c>
      <c r="D394" s="6" t="n">
        <v>1191566426.61</v>
      </c>
      <c r="E394" s="6" t="n">
        <v>440879.58</v>
      </c>
      <c r="F394" s="6" t="n">
        <v>0</v>
      </c>
      <c r="G394" s="6" t="n">
        <f aca="false">E394+F394</f>
        <v>440879.58</v>
      </c>
      <c r="H394" s="7" t="n">
        <f aca="false">IF(D394=0,0,C394/D394)</f>
        <v>0</v>
      </c>
      <c r="I394" s="7" t="n">
        <f aca="false">IF(D394=0,0,B394/D394)</f>
        <v>1</v>
      </c>
      <c r="J394" s="6" t="n">
        <f aca="false">E394*H394</f>
        <v>0</v>
      </c>
      <c r="K394" s="6" t="n">
        <f aca="false">E394*I394</f>
        <v>440879.58</v>
      </c>
      <c r="L394" s="6" t="n">
        <v>0</v>
      </c>
      <c r="M394" s="6" t="n">
        <v>440879.58</v>
      </c>
      <c r="N394" s="6"/>
      <c r="O394" s="6"/>
      <c r="P394" s="7"/>
      <c r="Q394" s="5" t="s">
        <v>26</v>
      </c>
      <c r="R394" s="5" t="s">
        <v>27</v>
      </c>
    </row>
    <row r="395" customFormat="false" ht="15" hidden="false" customHeight="true" outlineLevel="0" collapsed="false">
      <c r="A395" s="5" t="s">
        <v>419</v>
      </c>
      <c r="B395" s="6" t="n">
        <v>487358637.98</v>
      </c>
      <c r="C395" s="6" t="n">
        <v>0</v>
      </c>
      <c r="D395" s="6" t="n">
        <v>487358637.98</v>
      </c>
      <c r="E395" s="6" t="n">
        <v>180322.7</v>
      </c>
      <c r="F395" s="6" t="n">
        <v>0</v>
      </c>
      <c r="G395" s="6" t="n">
        <f aca="false">E395+F395</f>
        <v>180322.7</v>
      </c>
      <c r="H395" s="7" t="n">
        <f aca="false">IF(D395=0,0,C395/D395)</f>
        <v>0</v>
      </c>
      <c r="I395" s="7" t="n">
        <f aca="false">IF(D395=0,0,B395/D395)</f>
        <v>1</v>
      </c>
      <c r="J395" s="6" t="n">
        <f aca="false">E395*H395</f>
        <v>0</v>
      </c>
      <c r="K395" s="6" t="n">
        <f aca="false">E395*I395</f>
        <v>180322.7</v>
      </c>
      <c r="L395" s="6" t="n">
        <v>0</v>
      </c>
      <c r="M395" s="6" t="n">
        <v>180322.7</v>
      </c>
      <c r="N395" s="6"/>
      <c r="O395" s="6"/>
      <c r="P395" s="7"/>
      <c r="Q395" s="5" t="s">
        <v>26</v>
      </c>
      <c r="R395" s="5" t="s">
        <v>27</v>
      </c>
    </row>
    <row r="396" customFormat="false" ht="15" hidden="false" customHeight="true" outlineLevel="0" collapsed="false">
      <c r="A396" s="5" t="s">
        <v>420</v>
      </c>
      <c r="B396" s="6" t="n">
        <v>530330142.18</v>
      </c>
      <c r="C396" s="6" t="n">
        <v>0</v>
      </c>
      <c r="D396" s="6" t="n">
        <v>530330142.18</v>
      </c>
      <c r="E396" s="6" t="n">
        <v>196222.15</v>
      </c>
      <c r="F396" s="6" t="n">
        <v>0</v>
      </c>
      <c r="G396" s="6" t="n">
        <f aca="false">E396+F396</f>
        <v>196222.15</v>
      </c>
      <c r="H396" s="7" t="n">
        <f aca="false">IF(D396=0,0,C396/D396)</f>
        <v>0</v>
      </c>
      <c r="I396" s="7" t="n">
        <f aca="false">IF(D396=0,0,B396/D396)</f>
        <v>1</v>
      </c>
      <c r="J396" s="6" t="n">
        <f aca="false">E396*H396</f>
        <v>0</v>
      </c>
      <c r="K396" s="6" t="n">
        <f aca="false">E396*I396</f>
        <v>196222.15</v>
      </c>
      <c r="L396" s="6" t="n">
        <v>0</v>
      </c>
      <c r="M396" s="6" t="n">
        <v>196222.15</v>
      </c>
      <c r="N396" s="6"/>
      <c r="O396" s="6"/>
      <c r="P396" s="7"/>
      <c r="Q396" s="5" t="s">
        <v>26</v>
      </c>
      <c r="R396" s="5" t="s">
        <v>27</v>
      </c>
    </row>
    <row r="397" customFormat="false" ht="15" hidden="false" customHeight="true" outlineLevel="0" collapsed="false">
      <c r="A397" s="5" t="s">
        <v>421</v>
      </c>
      <c r="B397" s="6" t="n">
        <v>1718045855.68</v>
      </c>
      <c r="C397" s="6" t="n">
        <v>0</v>
      </c>
      <c r="D397" s="6" t="n">
        <v>1718045855.68</v>
      </c>
      <c r="E397" s="6" t="n">
        <v>635676.97</v>
      </c>
      <c r="F397" s="6" t="n">
        <v>0</v>
      </c>
      <c r="G397" s="6" t="n">
        <f aca="false">E397+F397</f>
        <v>635676.97</v>
      </c>
      <c r="H397" s="7" t="n">
        <f aca="false">IF(D397=0,0,C397/D397)</f>
        <v>0</v>
      </c>
      <c r="I397" s="7" t="n">
        <f aca="false">IF(D397=0,0,B397/D397)</f>
        <v>1</v>
      </c>
      <c r="J397" s="6" t="n">
        <f aca="false">E397*H397</f>
        <v>0</v>
      </c>
      <c r="K397" s="6" t="n">
        <f aca="false">E397*I397</f>
        <v>635676.97</v>
      </c>
      <c r="L397" s="6" t="n">
        <v>0</v>
      </c>
      <c r="M397" s="6" t="n">
        <v>635676.97</v>
      </c>
      <c r="N397" s="6"/>
      <c r="O397" s="6"/>
      <c r="P397" s="7"/>
      <c r="Q397" s="5" t="s">
        <v>26</v>
      </c>
      <c r="R397" s="5" t="s">
        <v>27</v>
      </c>
    </row>
    <row r="398" customFormat="false" ht="15" hidden="false" customHeight="true" outlineLevel="0" collapsed="false">
      <c r="A398" s="5" t="s">
        <v>422</v>
      </c>
      <c r="B398" s="6" t="n">
        <v>1705954897.44</v>
      </c>
      <c r="C398" s="6" t="n">
        <v>0</v>
      </c>
      <c r="D398" s="6" t="n">
        <v>1705954897.44</v>
      </c>
      <c r="E398" s="6" t="n">
        <v>631203.31</v>
      </c>
      <c r="F398" s="6" t="n">
        <v>0</v>
      </c>
      <c r="G398" s="6" t="n">
        <f aca="false">E398+F398</f>
        <v>631203.31</v>
      </c>
      <c r="H398" s="7" t="n">
        <f aca="false">IF(D398=0,0,C398/D398)</f>
        <v>0</v>
      </c>
      <c r="I398" s="7" t="n">
        <f aca="false">IF(D398=0,0,B398/D398)</f>
        <v>1</v>
      </c>
      <c r="J398" s="6" t="n">
        <f aca="false">E398*H398</f>
        <v>0</v>
      </c>
      <c r="K398" s="6" t="n">
        <f aca="false">E398*I398</f>
        <v>631203.31</v>
      </c>
      <c r="L398" s="6" t="n">
        <v>0</v>
      </c>
      <c r="M398" s="6" t="n">
        <v>631203.31</v>
      </c>
      <c r="N398" s="6"/>
      <c r="O398" s="6"/>
      <c r="P398" s="7"/>
      <c r="Q398" s="5" t="s">
        <v>26</v>
      </c>
      <c r="R398" s="5" t="s">
        <v>27</v>
      </c>
    </row>
    <row r="399" customFormat="false" ht="15" hidden="false" customHeight="true" outlineLevel="0" collapsed="false">
      <c r="A399" s="5" t="s">
        <v>423</v>
      </c>
      <c r="B399" s="6" t="n">
        <v>910678178.09</v>
      </c>
      <c r="C399" s="6" t="n">
        <v>0</v>
      </c>
      <c r="D399" s="6" t="n">
        <v>910678178.09</v>
      </c>
      <c r="E399" s="6" t="n">
        <v>336950.93</v>
      </c>
      <c r="F399" s="6" t="n">
        <v>0</v>
      </c>
      <c r="G399" s="6" t="n">
        <f aca="false">E399+F399</f>
        <v>336950.93</v>
      </c>
      <c r="H399" s="7" t="n">
        <f aca="false">IF(D399=0,0,C399/D399)</f>
        <v>0</v>
      </c>
      <c r="I399" s="7" t="n">
        <f aca="false">IF(D399=0,0,B399/D399)</f>
        <v>1</v>
      </c>
      <c r="J399" s="6" t="n">
        <f aca="false">E399*H399</f>
        <v>0</v>
      </c>
      <c r="K399" s="6" t="n">
        <f aca="false">E399*I399</f>
        <v>336950.93</v>
      </c>
      <c r="L399" s="6" t="n">
        <v>0</v>
      </c>
      <c r="M399" s="6" t="n">
        <v>336950.93</v>
      </c>
      <c r="N399" s="6"/>
      <c r="O399" s="6"/>
      <c r="P399" s="7"/>
      <c r="Q399" s="5" t="s">
        <v>26</v>
      </c>
      <c r="R399" s="5" t="s">
        <v>27</v>
      </c>
    </row>
    <row r="400" customFormat="false" ht="15" hidden="false" customHeight="true" outlineLevel="0" collapsed="false">
      <c r="A400" s="5" t="s">
        <v>424</v>
      </c>
      <c r="B400" s="6" t="n">
        <v>920310358.4</v>
      </c>
      <c r="C400" s="6" t="n">
        <v>0</v>
      </c>
      <c r="D400" s="6" t="n">
        <v>920310358.4</v>
      </c>
      <c r="E400" s="6" t="n">
        <v>340514.83</v>
      </c>
      <c r="F400" s="6" t="n">
        <v>0</v>
      </c>
      <c r="G400" s="6" t="n">
        <f aca="false">E400+F400</f>
        <v>340514.83</v>
      </c>
      <c r="H400" s="7" t="n">
        <f aca="false">IF(D400=0,0,C400/D400)</f>
        <v>0</v>
      </c>
      <c r="I400" s="7" t="n">
        <f aca="false">IF(D400=0,0,B400/D400)</f>
        <v>1</v>
      </c>
      <c r="J400" s="6" t="n">
        <f aca="false">E400*H400</f>
        <v>0</v>
      </c>
      <c r="K400" s="6" t="n">
        <f aca="false">E400*I400</f>
        <v>340514.83</v>
      </c>
      <c r="L400" s="6" t="n">
        <v>0</v>
      </c>
      <c r="M400" s="6" t="n">
        <v>340514.83</v>
      </c>
      <c r="N400" s="6"/>
      <c r="O400" s="6"/>
      <c r="P400" s="7"/>
      <c r="Q400" s="5" t="s">
        <v>26</v>
      </c>
      <c r="R400" s="5" t="s">
        <v>27</v>
      </c>
    </row>
    <row r="401" customFormat="false" ht="15" hidden="false" customHeight="true" outlineLevel="0" collapsed="false">
      <c r="A401" s="5" t="s">
        <v>425</v>
      </c>
      <c r="B401" s="6" t="n">
        <v>954663757.19</v>
      </c>
      <c r="C401" s="6" t="n">
        <v>0</v>
      </c>
      <c r="D401" s="6" t="n">
        <v>954663757.19</v>
      </c>
      <c r="E401" s="6" t="n">
        <v>353225.59</v>
      </c>
      <c r="F401" s="6" t="n">
        <v>0</v>
      </c>
      <c r="G401" s="6" t="n">
        <f aca="false">E401+F401</f>
        <v>353225.59</v>
      </c>
      <c r="H401" s="7" t="n">
        <f aca="false">IF(D401=0,0,C401/D401)</f>
        <v>0</v>
      </c>
      <c r="I401" s="7" t="n">
        <f aca="false">IF(D401=0,0,B401/D401)</f>
        <v>1</v>
      </c>
      <c r="J401" s="6" t="n">
        <f aca="false">E401*H401</f>
        <v>0</v>
      </c>
      <c r="K401" s="6" t="n">
        <f aca="false">E401*I401</f>
        <v>353225.59</v>
      </c>
      <c r="L401" s="6" t="n">
        <v>0</v>
      </c>
      <c r="M401" s="6" t="n">
        <v>353225.59</v>
      </c>
      <c r="N401" s="6"/>
      <c r="O401" s="6"/>
      <c r="P401" s="7"/>
      <c r="Q401" s="5" t="s">
        <v>26</v>
      </c>
      <c r="R401" s="5" t="s">
        <v>27</v>
      </c>
    </row>
    <row r="402" customFormat="false" ht="15" hidden="false" customHeight="true" outlineLevel="0" collapsed="false">
      <c r="A402" s="5" t="s">
        <v>426</v>
      </c>
      <c r="B402" s="6" t="n">
        <v>299441841.16</v>
      </c>
      <c r="C402" s="6" t="n">
        <v>0</v>
      </c>
      <c r="D402" s="6" t="n">
        <v>299441841.16</v>
      </c>
      <c r="E402" s="6" t="n">
        <v>110793.48</v>
      </c>
      <c r="F402" s="6" t="n">
        <v>0</v>
      </c>
      <c r="G402" s="6" t="n">
        <f aca="false">E402+F402</f>
        <v>110793.48</v>
      </c>
      <c r="H402" s="7" t="n">
        <f aca="false">IF(D402=0,0,C402/D402)</f>
        <v>0</v>
      </c>
      <c r="I402" s="7" t="n">
        <f aca="false">IF(D402=0,0,B402/D402)</f>
        <v>1</v>
      </c>
      <c r="J402" s="6" t="n">
        <f aca="false">E402*H402</f>
        <v>0</v>
      </c>
      <c r="K402" s="6" t="n">
        <f aca="false">E402*I402</f>
        <v>110793.48</v>
      </c>
      <c r="L402" s="6" t="n">
        <v>0</v>
      </c>
      <c r="M402" s="6" t="n">
        <v>110793.48</v>
      </c>
      <c r="N402" s="6"/>
      <c r="O402" s="6"/>
      <c r="P402" s="7"/>
      <c r="Q402" s="5" t="s">
        <v>26</v>
      </c>
      <c r="R402" s="5" t="s">
        <v>27</v>
      </c>
    </row>
    <row r="403" customFormat="false" ht="15" hidden="false" customHeight="true" outlineLevel="0" collapsed="false">
      <c r="A403" s="5" t="s">
        <v>427</v>
      </c>
      <c r="B403" s="6" t="n">
        <v>537438673.54</v>
      </c>
      <c r="C403" s="6" t="n">
        <v>0</v>
      </c>
      <c r="D403" s="6" t="n">
        <v>537438673.54</v>
      </c>
      <c r="E403" s="6" t="n">
        <v>198852.31</v>
      </c>
      <c r="F403" s="6" t="n">
        <v>0</v>
      </c>
      <c r="G403" s="6" t="n">
        <f aca="false">E403+F403</f>
        <v>198852.31</v>
      </c>
      <c r="H403" s="7" t="n">
        <f aca="false">IF(D403=0,0,C403/D403)</f>
        <v>0</v>
      </c>
      <c r="I403" s="7" t="n">
        <f aca="false">IF(D403=0,0,B403/D403)</f>
        <v>1</v>
      </c>
      <c r="J403" s="6" t="n">
        <f aca="false">E403*H403</f>
        <v>0</v>
      </c>
      <c r="K403" s="6" t="n">
        <f aca="false">E403*I403</f>
        <v>198852.31</v>
      </c>
      <c r="L403" s="6" t="n">
        <v>0</v>
      </c>
      <c r="M403" s="6" t="n">
        <v>198852.31</v>
      </c>
      <c r="N403" s="6"/>
      <c r="O403" s="6"/>
      <c r="P403" s="7"/>
      <c r="Q403" s="5" t="s">
        <v>26</v>
      </c>
      <c r="R403" s="5" t="s">
        <v>27</v>
      </c>
    </row>
    <row r="404" customFormat="false" ht="15" hidden="false" customHeight="true" outlineLevel="0" collapsed="false">
      <c r="A404" s="5" t="s">
        <v>428</v>
      </c>
      <c r="B404" s="6" t="n">
        <v>1701335639.68</v>
      </c>
      <c r="C404" s="6" t="n">
        <v>0</v>
      </c>
      <c r="D404" s="6" t="n">
        <v>1701335639.68</v>
      </c>
      <c r="E404" s="6" t="n">
        <v>629494.19</v>
      </c>
      <c r="F404" s="6" t="n">
        <v>0</v>
      </c>
      <c r="G404" s="6" t="n">
        <f aca="false">E404+F404</f>
        <v>629494.19</v>
      </c>
      <c r="H404" s="7" t="n">
        <f aca="false">IF(D404=0,0,C404/D404)</f>
        <v>0</v>
      </c>
      <c r="I404" s="7" t="n">
        <f aca="false">IF(D404=0,0,B404/D404)</f>
        <v>1</v>
      </c>
      <c r="J404" s="6" t="n">
        <f aca="false">E404*H404</f>
        <v>0</v>
      </c>
      <c r="K404" s="6" t="n">
        <f aca="false">E404*I404</f>
        <v>629494.19</v>
      </c>
      <c r="L404" s="6" t="n">
        <v>0</v>
      </c>
      <c r="M404" s="6" t="n">
        <v>629494.19</v>
      </c>
      <c r="N404" s="6"/>
      <c r="O404" s="6"/>
      <c r="P404" s="7"/>
      <c r="Q404" s="5" t="s">
        <v>26</v>
      </c>
      <c r="R404" s="5" t="s">
        <v>27</v>
      </c>
    </row>
    <row r="405" customFormat="false" ht="15" hidden="false" customHeight="true" outlineLevel="0" collapsed="false">
      <c r="A405" s="5" t="s">
        <v>429</v>
      </c>
      <c r="B405" s="6" t="n">
        <v>746565538.58</v>
      </c>
      <c r="C405" s="6" t="n">
        <v>0</v>
      </c>
      <c r="D405" s="6" t="n">
        <v>746565538.58</v>
      </c>
      <c r="E405" s="6" t="n">
        <v>276229.25</v>
      </c>
      <c r="F405" s="6" t="n">
        <v>0</v>
      </c>
      <c r="G405" s="6" t="n">
        <f aca="false">E405+F405</f>
        <v>276229.25</v>
      </c>
      <c r="H405" s="7" t="n">
        <f aca="false">IF(D405=0,0,C405/D405)</f>
        <v>0</v>
      </c>
      <c r="I405" s="7" t="n">
        <f aca="false">IF(D405=0,0,B405/D405)</f>
        <v>1</v>
      </c>
      <c r="J405" s="6" t="n">
        <f aca="false">E405*H405</f>
        <v>0</v>
      </c>
      <c r="K405" s="6" t="n">
        <f aca="false">E405*I405</f>
        <v>276229.25</v>
      </c>
      <c r="L405" s="6" t="n">
        <v>0</v>
      </c>
      <c r="M405" s="6" t="n">
        <v>276229.25</v>
      </c>
      <c r="N405" s="6"/>
      <c r="O405" s="6"/>
      <c r="P405" s="7"/>
      <c r="Q405" s="5" t="s">
        <v>26</v>
      </c>
      <c r="R405" s="5" t="s">
        <v>27</v>
      </c>
    </row>
    <row r="406" customFormat="false" ht="15" hidden="false" customHeight="true" outlineLevel="0" collapsed="false">
      <c r="A406" s="5" t="s">
        <v>430</v>
      </c>
      <c r="B406" s="6" t="n">
        <v>836208688.95</v>
      </c>
      <c r="C406" s="6" t="n">
        <v>0</v>
      </c>
      <c r="D406" s="6" t="n">
        <v>836208688.95</v>
      </c>
      <c r="E406" s="6" t="n">
        <v>309397.21</v>
      </c>
      <c r="F406" s="6" t="n">
        <v>0</v>
      </c>
      <c r="G406" s="6" t="n">
        <f aca="false">E406+F406</f>
        <v>309397.21</v>
      </c>
      <c r="H406" s="7" t="n">
        <f aca="false">IF(D406=0,0,C406/D406)</f>
        <v>0</v>
      </c>
      <c r="I406" s="7" t="n">
        <f aca="false">IF(D406=0,0,B406/D406)</f>
        <v>1</v>
      </c>
      <c r="J406" s="6" t="n">
        <f aca="false">E406*H406</f>
        <v>0</v>
      </c>
      <c r="K406" s="6" t="n">
        <f aca="false">E406*I406</f>
        <v>309397.21</v>
      </c>
      <c r="L406" s="6" t="n">
        <v>0</v>
      </c>
      <c r="M406" s="6" t="n">
        <v>309397.21</v>
      </c>
      <c r="N406" s="6"/>
      <c r="O406" s="6"/>
      <c r="P406" s="7"/>
      <c r="Q406" s="5" t="s">
        <v>26</v>
      </c>
      <c r="R406" s="5" t="s">
        <v>27</v>
      </c>
    </row>
    <row r="407" customFormat="false" ht="15" hidden="false" customHeight="true" outlineLevel="0" collapsed="false">
      <c r="A407" s="5" t="s">
        <v>431</v>
      </c>
      <c r="B407" s="6" t="n">
        <v>728149743.74</v>
      </c>
      <c r="C407" s="6" t="n">
        <v>0</v>
      </c>
      <c r="D407" s="6" t="n">
        <v>728149743.74</v>
      </c>
      <c r="E407" s="6" t="n">
        <v>269415.41</v>
      </c>
      <c r="F407" s="6" t="n">
        <v>0</v>
      </c>
      <c r="G407" s="6" t="n">
        <f aca="false">E407+F407</f>
        <v>269415.41</v>
      </c>
      <c r="H407" s="7" t="n">
        <f aca="false">IF(D407=0,0,C407/D407)</f>
        <v>0</v>
      </c>
      <c r="I407" s="7" t="n">
        <f aca="false">IF(D407=0,0,B407/D407)</f>
        <v>1</v>
      </c>
      <c r="J407" s="6" t="n">
        <f aca="false">E407*H407</f>
        <v>0</v>
      </c>
      <c r="K407" s="6" t="n">
        <f aca="false">E407*I407</f>
        <v>269415.41</v>
      </c>
      <c r="L407" s="6" t="n">
        <v>0</v>
      </c>
      <c r="M407" s="6" t="n">
        <v>269415.41</v>
      </c>
      <c r="N407" s="6"/>
      <c r="O407" s="6"/>
      <c r="P407" s="7"/>
      <c r="Q407" s="5" t="s">
        <v>26</v>
      </c>
      <c r="R407" s="5" t="s">
        <v>27</v>
      </c>
    </row>
    <row r="408" customFormat="false" ht="15" hidden="false" customHeight="true" outlineLevel="0" collapsed="false">
      <c r="A408" s="5" t="s">
        <v>432</v>
      </c>
      <c r="B408" s="6" t="n">
        <v>904164900.94</v>
      </c>
      <c r="C408" s="6" t="n">
        <v>0</v>
      </c>
      <c r="D408" s="6" t="n">
        <v>904164900.94</v>
      </c>
      <c r="E408" s="6" t="n">
        <v>334541.01</v>
      </c>
      <c r="F408" s="6" t="n">
        <v>0</v>
      </c>
      <c r="G408" s="6" t="n">
        <f aca="false">E408+F408</f>
        <v>334541.01</v>
      </c>
      <c r="H408" s="7" t="n">
        <f aca="false">IF(D408=0,0,C408/D408)</f>
        <v>0</v>
      </c>
      <c r="I408" s="7" t="n">
        <f aca="false">IF(D408=0,0,B408/D408)</f>
        <v>1</v>
      </c>
      <c r="J408" s="6" t="n">
        <f aca="false">E408*H408</f>
        <v>0</v>
      </c>
      <c r="K408" s="6" t="n">
        <f aca="false">E408*I408</f>
        <v>334541.01</v>
      </c>
      <c r="L408" s="6" t="n">
        <v>0</v>
      </c>
      <c r="M408" s="6" t="n">
        <v>334541.01</v>
      </c>
      <c r="N408" s="6"/>
      <c r="O408" s="6"/>
      <c r="P408" s="7"/>
      <c r="Q408" s="5" t="s">
        <v>26</v>
      </c>
      <c r="R408" s="5" t="s">
        <v>27</v>
      </c>
    </row>
    <row r="409" customFormat="false" ht="15" hidden="false" customHeight="true" outlineLevel="0" collapsed="false">
      <c r="A409" s="5" t="s">
        <v>433</v>
      </c>
      <c r="B409" s="6" t="n">
        <v>288085033.56</v>
      </c>
      <c r="C409" s="6" t="n">
        <v>0</v>
      </c>
      <c r="D409" s="6" t="n">
        <v>288085033.56</v>
      </c>
      <c r="E409" s="6" t="n">
        <v>106591.46</v>
      </c>
      <c r="F409" s="6" t="n">
        <v>0</v>
      </c>
      <c r="G409" s="6" t="n">
        <f aca="false">E409+F409</f>
        <v>106591.46</v>
      </c>
      <c r="H409" s="7" t="n">
        <f aca="false">IF(D409=0,0,C409/D409)</f>
        <v>0</v>
      </c>
      <c r="I409" s="7" t="n">
        <f aca="false">IF(D409=0,0,B409/D409)</f>
        <v>1</v>
      </c>
      <c r="J409" s="6" t="n">
        <f aca="false">E409*H409</f>
        <v>0</v>
      </c>
      <c r="K409" s="6" t="n">
        <f aca="false">E409*I409</f>
        <v>106591.46</v>
      </c>
      <c r="L409" s="6" t="n">
        <v>0</v>
      </c>
      <c r="M409" s="6" t="n">
        <v>106591.46</v>
      </c>
      <c r="N409" s="6"/>
      <c r="O409" s="6"/>
      <c r="P409" s="7"/>
      <c r="Q409" s="5" t="s">
        <v>26</v>
      </c>
      <c r="R409" s="5" t="s">
        <v>27</v>
      </c>
    </row>
    <row r="410" customFormat="false" ht="15" hidden="false" customHeight="true" outlineLevel="0" collapsed="false">
      <c r="A410" s="5" t="s">
        <v>434</v>
      </c>
      <c r="B410" s="6" t="n">
        <v>662010110.56</v>
      </c>
      <c r="C410" s="6" t="n">
        <v>0</v>
      </c>
      <c r="D410" s="6" t="n">
        <v>662010110.56</v>
      </c>
      <c r="E410" s="6" t="n">
        <v>244943.74</v>
      </c>
      <c r="F410" s="6" t="n">
        <v>0</v>
      </c>
      <c r="G410" s="6" t="n">
        <f aca="false">E410+F410</f>
        <v>244943.74</v>
      </c>
      <c r="H410" s="7" t="n">
        <f aca="false">IF(D410=0,0,C410/D410)</f>
        <v>0</v>
      </c>
      <c r="I410" s="7" t="n">
        <f aca="false">IF(D410=0,0,B410/D410)</f>
        <v>1</v>
      </c>
      <c r="J410" s="6" t="n">
        <f aca="false">E410*H410</f>
        <v>0</v>
      </c>
      <c r="K410" s="6" t="n">
        <f aca="false">E410*I410</f>
        <v>244943.74</v>
      </c>
      <c r="L410" s="6" t="n">
        <v>0</v>
      </c>
      <c r="M410" s="6" t="n">
        <v>244943.74</v>
      </c>
      <c r="N410" s="6"/>
      <c r="O410" s="6"/>
      <c r="P410" s="7"/>
      <c r="Q410" s="5" t="s">
        <v>26</v>
      </c>
      <c r="R410" s="5" t="s">
        <v>27</v>
      </c>
    </row>
    <row r="411" customFormat="false" ht="15" hidden="false" customHeight="true" outlineLevel="0" collapsed="false">
      <c r="A411" s="5" t="s">
        <v>435</v>
      </c>
      <c r="B411" s="6" t="n">
        <v>803079365.96</v>
      </c>
      <c r="C411" s="6" t="n">
        <v>0</v>
      </c>
      <c r="D411" s="6" t="n">
        <v>803079365.96</v>
      </c>
      <c r="E411" s="6" t="n">
        <v>297139.37</v>
      </c>
      <c r="F411" s="6" t="n">
        <v>0</v>
      </c>
      <c r="G411" s="6" t="n">
        <f aca="false">E411+F411</f>
        <v>297139.37</v>
      </c>
      <c r="H411" s="7" t="n">
        <f aca="false">IF(D411=0,0,C411/D411)</f>
        <v>0</v>
      </c>
      <c r="I411" s="7" t="n">
        <f aca="false">IF(D411=0,0,B411/D411)</f>
        <v>1</v>
      </c>
      <c r="J411" s="6" t="n">
        <f aca="false">E411*H411</f>
        <v>0</v>
      </c>
      <c r="K411" s="6" t="n">
        <f aca="false">E411*I411</f>
        <v>297139.37</v>
      </c>
      <c r="L411" s="6" t="n">
        <v>0</v>
      </c>
      <c r="M411" s="6" t="n">
        <v>297139.37</v>
      </c>
      <c r="N411" s="6"/>
      <c r="O411" s="6"/>
      <c r="P411" s="7"/>
      <c r="Q411" s="5" t="s">
        <v>26</v>
      </c>
      <c r="R411" s="5" t="s">
        <v>27</v>
      </c>
    </row>
    <row r="412" customFormat="false" ht="15" hidden="false" customHeight="true" outlineLevel="0" collapsed="false">
      <c r="A412" s="5" t="s">
        <v>436</v>
      </c>
      <c r="B412" s="6" t="n">
        <v>712106630.42</v>
      </c>
      <c r="C412" s="6" t="n">
        <v>0</v>
      </c>
      <c r="D412" s="6" t="n">
        <v>712106630.42</v>
      </c>
      <c r="E412" s="6" t="n">
        <v>263479.45</v>
      </c>
      <c r="F412" s="6" t="n">
        <v>0</v>
      </c>
      <c r="G412" s="6" t="n">
        <f aca="false">E412+F412</f>
        <v>263479.45</v>
      </c>
      <c r="H412" s="7" t="n">
        <f aca="false">IF(D412=0,0,C412/D412)</f>
        <v>0</v>
      </c>
      <c r="I412" s="7" t="n">
        <f aca="false">IF(D412=0,0,B412/D412)</f>
        <v>1</v>
      </c>
      <c r="J412" s="6" t="n">
        <f aca="false">E412*H412</f>
        <v>0</v>
      </c>
      <c r="K412" s="6" t="n">
        <f aca="false">E412*I412</f>
        <v>263479.45</v>
      </c>
      <c r="L412" s="6" t="n">
        <v>0</v>
      </c>
      <c r="M412" s="6" t="n">
        <v>263479.45</v>
      </c>
      <c r="N412" s="6"/>
      <c r="O412" s="6"/>
      <c r="P412" s="7"/>
      <c r="Q412" s="5" t="s">
        <v>26</v>
      </c>
      <c r="R412" s="5" t="s">
        <v>27</v>
      </c>
    </row>
    <row r="413" customFormat="false" ht="15" hidden="false" customHeight="true" outlineLevel="0" collapsed="false">
      <c r="A413" s="5" t="s">
        <v>437</v>
      </c>
      <c r="B413" s="6" t="n">
        <v>1186263459.47</v>
      </c>
      <c r="C413" s="6" t="n">
        <v>0</v>
      </c>
      <c r="D413" s="6" t="n">
        <v>1186263459.47</v>
      </c>
      <c r="E413" s="6" t="n">
        <v>438917.48</v>
      </c>
      <c r="F413" s="6" t="n">
        <v>0</v>
      </c>
      <c r="G413" s="6" t="n">
        <f aca="false">E413+F413</f>
        <v>438917.48</v>
      </c>
      <c r="H413" s="7" t="n">
        <f aca="false">IF(D413=0,0,C413/D413)</f>
        <v>0</v>
      </c>
      <c r="I413" s="7" t="n">
        <f aca="false">IF(D413=0,0,B413/D413)</f>
        <v>1</v>
      </c>
      <c r="J413" s="6" t="n">
        <f aca="false">E413*H413</f>
        <v>0</v>
      </c>
      <c r="K413" s="6" t="n">
        <f aca="false">E413*I413</f>
        <v>438917.48</v>
      </c>
      <c r="L413" s="6" t="n">
        <v>0</v>
      </c>
      <c r="M413" s="6" t="n">
        <v>438917.48</v>
      </c>
      <c r="N413" s="6"/>
      <c r="O413" s="6"/>
      <c r="P413" s="7"/>
      <c r="Q413" s="5" t="s">
        <v>26</v>
      </c>
      <c r="R413" s="5" t="s">
        <v>27</v>
      </c>
    </row>
    <row r="414" customFormat="false" ht="15" hidden="false" customHeight="true" outlineLevel="0" collapsed="false">
      <c r="A414" s="5" t="s">
        <v>438</v>
      </c>
      <c r="B414" s="6" t="n">
        <v>1641415260.41</v>
      </c>
      <c r="C414" s="6" t="n">
        <v>0</v>
      </c>
      <c r="D414" s="6" t="n">
        <v>1641415260.41</v>
      </c>
      <c r="E414" s="6" t="n">
        <v>607323.65</v>
      </c>
      <c r="F414" s="6" t="n">
        <v>0</v>
      </c>
      <c r="G414" s="6" t="n">
        <f aca="false">E414+F414</f>
        <v>607323.65</v>
      </c>
      <c r="H414" s="7" t="n">
        <f aca="false">IF(D414=0,0,C414/D414)</f>
        <v>0</v>
      </c>
      <c r="I414" s="7" t="n">
        <f aca="false">IF(D414=0,0,B414/D414)</f>
        <v>1</v>
      </c>
      <c r="J414" s="6" t="n">
        <f aca="false">E414*H414</f>
        <v>0</v>
      </c>
      <c r="K414" s="6" t="n">
        <f aca="false">E414*I414</f>
        <v>607323.65</v>
      </c>
      <c r="L414" s="6" t="n">
        <v>0</v>
      </c>
      <c r="M414" s="6" t="n">
        <v>607323.65</v>
      </c>
      <c r="N414" s="6"/>
      <c r="O414" s="6"/>
      <c r="P414" s="7"/>
      <c r="Q414" s="5" t="s">
        <v>26</v>
      </c>
      <c r="R414" s="5" t="s">
        <v>27</v>
      </c>
    </row>
    <row r="415" customFormat="false" ht="15" hidden="false" customHeight="true" outlineLevel="0" collapsed="false">
      <c r="A415" s="5" t="s">
        <v>439</v>
      </c>
      <c r="B415" s="6" t="n">
        <v>2150725815.55</v>
      </c>
      <c r="C415" s="6" t="n">
        <v>0</v>
      </c>
      <c r="D415" s="6" t="n">
        <v>2150725815.55</v>
      </c>
      <c r="E415" s="6" t="n">
        <v>795768.55</v>
      </c>
      <c r="F415" s="6" t="n">
        <v>0</v>
      </c>
      <c r="G415" s="6" t="n">
        <f aca="false">E415+F415</f>
        <v>795768.55</v>
      </c>
      <c r="H415" s="7" t="n">
        <f aca="false">IF(D415=0,0,C415/D415)</f>
        <v>0</v>
      </c>
      <c r="I415" s="7" t="n">
        <f aca="false">IF(D415=0,0,B415/D415)</f>
        <v>1</v>
      </c>
      <c r="J415" s="6" t="n">
        <f aca="false">E415*H415</f>
        <v>0</v>
      </c>
      <c r="K415" s="6" t="n">
        <f aca="false">E415*I415</f>
        <v>795768.55</v>
      </c>
      <c r="L415" s="6" t="n">
        <v>0</v>
      </c>
      <c r="M415" s="6" t="n">
        <v>795768.55</v>
      </c>
      <c r="N415" s="6"/>
      <c r="O415" s="6"/>
      <c r="P415" s="7"/>
      <c r="Q415" s="5" t="s">
        <v>26</v>
      </c>
      <c r="R415" s="5" t="s">
        <v>27</v>
      </c>
    </row>
    <row r="416" customFormat="false" ht="15" hidden="false" customHeight="true" outlineLevel="0" collapsed="false">
      <c r="A416" s="5" t="s">
        <v>440</v>
      </c>
      <c r="B416" s="6" t="n">
        <v>659063930.35</v>
      </c>
      <c r="C416" s="6" t="n">
        <v>0</v>
      </c>
      <c r="D416" s="6" t="n">
        <v>659063930.35</v>
      </c>
      <c r="E416" s="6" t="n">
        <v>243853.65</v>
      </c>
      <c r="F416" s="6" t="n">
        <v>0</v>
      </c>
      <c r="G416" s="6" t="n">
        <f aca="false">E416+F416</f>
        <v>243853.65</v>
      </c>
      <c r="H416" s="7" t="n">
        <f aca="false">IF(D416=0,0,C416/D416)</f>
        <v>0</v>
      </c>
      <c r="I416" s="7" t="n">
        <f aca="false">IF(D416=0,0,B416/D416)</f>
        <v>1</v>
      </c>
      <c r="J416" s="6" t="n">
        <f aca="false">E416*H416</f>
        <v>0</v>
      </c>
      <c r="K416" s="6" t="n">
        <f aca="false">E416*I416</f>
        <v>243853.65</v>
      </c>
      <c r="L416" s="6" t="n">
        <v>0</v>
      </c>
      <c r="M416" s="6" t="n">
        <v>243853.65</v>
      </c>
      <c r="N416" s="6"/>
      <c r="O416" s="6"/>
      <c r="P416" s="7"/>
      <c r="Q416" s="5" t="s">
        <v>26</v>
      </c>
      <c r="R416" s="5" t="s">
        <v>27</v>
      </c>
    </row>
    <row r="417" customFormat="false" ht="15" hidden="false" customHeight="true" outlineLevel="0" collapsed="false">
      <c r="A417" s="5" t="s">
        <v>441</v>
      </c>
      <c r="B417" s="6" t="n">
        <v>629530384.44</v>
      </c>
      <c r="C417" s="6" t="n">
        <v>0</v>
      </c>
      <c r="D417" s="6" t="n">
        <v>629530384.44</v>
      </c>
      <c r="E417" s="6" t="n">
        <v>232926.24</v>
      </c>
      <c r="F417" s="6" t="n">
        <v>0</v>
      </c>
      <c r="G417" s="6" t="n">
        <f aca="false">E417+F417</f>
        <v>232926.24</v>
      </c>
      <c r="H417" s="7" t="n">
        <f aca="false">IF(D417=0,0,C417/D417)</f>
        <v>0</v>
      </c>
      <c r="I417" s="7" t="n">
        <f aca="false">IF(D417=0,0,B417/D417)</f>
        <v>1</v>
      </c>
      <c r="J417" s="6" t="n">
        <f aca="false">E417*H417</f>
        <v>0</v>
      </c>
      <c r="K417" s="6" t="n">
        <f aca="false">E417*I417</f>
        <v>232926.24</v>
      </c>
      <c r="L417" s="6" t="n">
        <v>0</v>
      </c>
      <c r="M417" s="6" t="n">
        <v>232926.24</v>
      </c>
      <c r="N417" s="6"/>
      <c r="O417" s="6"/>
      <c r="P417" s="7"/>
      <c r="Q417" s="5" t="s">
        <v>26</v>
      </c>
      <c r="R417" s="5" t="s">
        <v>27</v>
      </c>
    </row>
    <row r="418" customFormat="false" ht="15" hidden="false" customHeight="true" outlineLevel="0" collapsed="false">
      <c r="A418" s="5" t="s">
        <v>442</v>
      </c>
      <c r="B418" s="6" t="n">
        <v>1488194426.74</v>
      </c>
      <c r="C418" s="6" t="n">
        <v>0</v>
      </c>
      <c r="D418" s="6" t="n">
        <v>1488194426.74</v>
      </c>
      <c r="E418" s="6" t="n">
        <v>550631.94</v>
      </c>
      <c r="F418" s="6" t="n">
        <v>0</v>
      </c>
      <c r="G418" s="6" t="n">
        <f aca="false">E418+F418</f>
        <v>550631.94</v>
      </c>
      <c r="H418" s="7" t="n">
        <f aca="false">IF(D418=0,0,C418/D418)</f>
        <v>0</v>
      </c>
      <c r="I418" s="7" t="n">
        <f aca="false">IF(D418=0,0,B418/D418)</f>
        <v>1</v>
      </c>
      <c r="J418" s="6" t="n">
        <f aca="false">E418*H418</f>
        <v>0</v>
      </c>
      <c r="K418" s="6" t="n">
        <f aca="false">E418*I418</f>
        <v>550631.94</v>
      </c>
      <c r="L418" s="6" t="n">
        <v>0</v>
      </c>
      <c r="M418" s="6" t="n">
        <v>550631.94</v>
      </c>
      <c r="N418" s="6"/>
      <c r="O418" s="6"/>
      <c r="P418" s="7"/>
      <c r="Q418" s="5" t="s">
        <v>26</v>
      </c>
      <c r="R418" s="5" t="s">
        <v>27</v>
      </c>
    </row>
    <row r="419" customFormat="false" ht="15" hidden="false" customHeight="true" outlineLevel="0" collapsed="false">
      <c r="A419" s="5" t="s">
        <v>443</v>
      </c>
      <c r="B419" s="6" t="n">
        <v>1079099382.67</v>
      </c>
      <c r="C419" s="6" t="n">
        <v>0</v>
      </c>
      <c r="D419" s="6" t="n">
        <v>1079099382.67</v>
      </c>
      <c r="E419" s="6" t="n">
        <v>399266.77</v>
      </c>
      <c r="F419" s="6" t="n">
        <v>0</v>
      </c>
      <c r="G419" s="6" t="n">
        <f aca="false">E419+F419</f>
        <v>399266.77</v>
      </c>
      <c r="H419" s="7" t="n">
        <f aca="false">IF(D419=0,0,C419/D419)</f>
        <v>0</v>
      </c>
      <c r="I419" s="7" t="n">
        <f aca="false">IF(D419=0,0,B419/D419)</f>
        <v>1</v>
      </c>
      <c r="J419" s="6" t="n">
        <f aca="false">E419*H419</f>
        <v>0</v>
      </c>
      <c r="K419" s="6" t="n">
        <f aca="false">E419*I419</f>
        <v>399266.77</v>
      </c>
      <c r="L419" s="6" t="n">
        <v>0</v>
      </c>
      <c r="M419" s="6" t="n">
        <v>399266.77</v>
      </c>
      <c r="N419" s="6"/>
      <c r="O419" s="6"/>
      <c r="P419" s="7"/>
      <c r="Q419" s="5" t="s">
        <v>26</v>
      </c>
      <c r="R419" s="5" t="s">
        <v>27</v>
      </c>
    </row>
    <row r="420" customFormat="false" ht="15" hidden="false" customHeight="true" outlineLevel="0" collapsed="false">
      <c r="A420" s="5" t="s">
        <v>444</v>
      </c>
      <c r="B420" s="6" t="n">
        <v>1189588847.25</v>
      </c>
      <c r="C420" s="6" t="n">
        <v>0</v>
      </c>
      <c r="D420" s="6" t="n">
        <v>1189588847.25</v>
      </c>
      <c r="E420" s="6" t="n">
        <v>440147.87</v>
      </c>
      <c r="F420" s="6" t="n">
        <v>0</v>
      </c>
      <c r="G420" s="6" t="n">
        <f aca="false">E420+F420</f>
        <v>440147.87</v>
      </c>
      <c r="H420" s="7" t="n">
        <f aca="false">IF(D420=0,0,C420/D420)</f>
        <v>0</v>
      </c>
      <c r="I420" s="7" t="n">
        <f aca="false">IF(D420=0,0,B420/D420)</f>
        <v>1</v>
      </c>
      <c r="J420" s="6" t="n">
        <f aca="false">E420*H420</f>
        <v>0</v>
      </c>
      <c r="K420" s="6" t="n">
        <f aca="false">E420*I420</f>
        <v>440147.87</v>
      </c>
      <c r="L420" s="6" t="n">
        <v>0</v>
      </c>
      <c r="M420" s="6" t="n">
        <v>440147.87</v>
      </c>
      <c r="N420" s="6"/>
      <c r="O420" s="6"/>
      <c r="P420" s="7"/>
      <c r="Q420" s="5" t="s">
        <v>26</v>
      </c>
      <c r="R420" s="5" t="s">
        <v>27</v>
      </c>
    </row>
    <row r="421" customFormat="false" ht="15" hidden="false" customHeight="true" outlineLevel="0" collapsed="false">
      <c r="A421" s="5" t="s">
        <v>445</v>
      </c>
      <c r="B421" s="6" t="n">
        <v>1022241208.7</v>
      </c>
      <c r="C421" s="6" t="n">
        <v>0</v>
      </c>
      <c r="D421" s="6" t="n">
        <v>1022241208.7</v>
      </c>
      <c r="E421" s="6" t="n">
        <v>378229.25</v>
      </c>
      <c r="F421" s="6" t="n">
        <v>0</v>
      </c>
      <c r="G421" s="6" t="n">
        <f aca="false">E421+F421</f>
        <v>378229.25</v>
      </c>
      <c r="H421" s="7" t="n">
        <f aca="false">IF(D421=0,0,C421/D421)</f>
        <v>0</v>
      </c>
      <c r="I421" s="7" t="n">
        <f aca="false">IF(D421=0,0,B421/D421)</f>
        <v>1</v>
      </c>
      <c r="J421" s="6" t="n">
        <f aca="false">E421*H421</f>
        <v>0</v>
      </c>
      <c r="K421" s="6" t="n">
        <f aca="false">E421*I421</f>
        <v>378229.25</v>
      </c>
      <c r="L421" s="6" t="n">
        <v>0</v>
      </c>
      <c r="M421" s="6" t="n">
        <v>378229.25</v>
      </c>
      <c r="N421" s="6"/>
      <c r="O421" s="6"/>
      <c r="P421" s="7"/>
      <c r="Q421" s="5" t="s">
        <v>26</v>
      </c>
      <c r="R421" s="5" t="s">
        <v>27</v>
      </c>
    </row>
    <row r="422" customFormat="false" ht="15" hidden="false" customHeight="true" outlineLevel="0" collapsed="false">
      <c r="A422" s="5" t="s">
        <v>446</v>
      </c>
      <c r="B422" s="6" t="n">
        <v>879286211.75</v>
      </c>
      <c r="C422" s="6" t="n">
        <v>0</v>
      </c>
      <c r="D422" s="6" t="n">
        <v>879286211.75</v>
      </c>
      <c r="E422" s="6" t="n">
        <v>325335.9</v>
      </c>
      <c r="F422" s="6" t="n">
        <v>0</v>
      </c>
      <c r="G422" s="6" t="n">
        <f aca="false">E422+F422</f>
        <v>325335.9</v>
      </c>
      <c r="H422" s="7" t="n">
        <f aca="false">IF(D422=0,0,C422/D422)</f>
        <v>0</v>
      </c>
      <c r="I422" s="7" t="n">
        <f aca="false">IF(D422=0,0,B422/D422)</f>
        <v>1</v>
      </c>
      <c r="J422" s="6" t="n">
        <f aca="false">E422*H422</f>
        <v>0</v>
      </c>
      <c r="K422" s="6" t="n">
        <f aca="false">E422*I422</f>
        <v>325335.9</v>
      </c>
      <c r="L422" s="6" t="n">
        <v>0</v>
      </c>
      <c r="M422" s="6" t="n">
        <v>325335.9</v>
      </c>
      <c r="N422" s="6"/>
      <c r="O422" s="6"/>
      <c r="P422" s="7"/>
      <c r="Q422" s="5" t="s">
        <v>26</v>
      </c>
      <c r="R422" s="5" t="s">
        <v>27</v>
      </c>
    </row>
    <row r="423" customFormat="false" ht="15" hidden="false" customHeight="true" outlineLevel="0" collapsed="false">
      <c r="A423" s="5" t="s">
        <v>447</v>
      </c>
      <c r="B423" s="6" t="n">
        <v>509055115.38</v>
      </c>
      <c r="C423" s="6" t="n">
        <v>0</v>
      </c>
      <c r="D423" s="6" t="n">
        <v>509055115.38</v>
      </c>
      <c r="E423" s="6" t="n">
        <v>188350.39</v>
      </c>
      <c r="F423" s="6" t="n">
        <v>0</v>
      </c>
      <c r="G423" s="6" t="n">
        <f aca="false">E423+F423</f>
        <v>188350.39</v>
      </c>
      <c r="H423" s="7" t="n">
        <f aca="false">IF(D423=0,0,C423/D423)</f>
        <v>0</v>
      </c>
      <c r="I423" s="7" t="n">
        <f aca="false">IF(D423=0,0,B423/D423)</f>
        <v>1</v>
      </c>
      <c r="J423" s="6" t="n">
        <f aca="false">E423*H423</f>
        <v>0</v>
      </c>
      <c r="K423" s="6" t="n">
        <f aca="false">E423*I423</f>
        <v>188350.39</v>
      </c>
      <c r="L423" s="6" t="n">
        <v>0</v>
      </c>
      <c r="M423" s="6" t="n">
        <v>188350.39</v>
      </c>
      <c r="N423" s="6"/>
      <c r="O423" s="6"/>
      <c r="P423" s="7"/>
      <c r="Q423" s="5" t="s">
        <v>26</v>
      </c>
      <c r="R423" s="5" t="s">
        <v>27</v>
      </c>
    </row>
    <row r="424" customFormat="false" ht="15" hidden="false" customHeight="true" outlineLevel="0" collapsed="false">
      <c r="A424" s="5" t="s">
        <v>448</v>
      </c>
      <c r="B424" s="6" t="n">
        <v>581928696.66</v>
      </c>
      <c r="C424" s="6" t="n">
        <v>0</v>
      </c>
      <c r="D424" s="6" t="n">
        <v>581928696.66</v>
      </c>
      <c r="E424" s="6" t="n">
        <v>215313.62</v>
      </c>
      <c r="F424" s="6" t="n">
        <v>0</v>
      </c>
      <c r="G424" s="6" t="n">
        <f aca="false">E424+F424</f>
        <v>215313.62</v>
      </c>
      <c r="H424" s="7" t="n">
        <f aca="false">IF(D424=0,0,C424/D424)</f>
        <v>0</v>
      </c>
      <c r="I424" s="7" t="n">
        <f aca="false">IF(D424=0,0,B424/D424)</f>
        <v>1</v>
      </c>
      <c r="J424" s="6" t="n">
        <f aca="false">E424*H424</f>
        <v>0</v>
      </c>
      <c r="K424" s="6" t="n">
        <f aca="false">E424*I424</f>
        <v>215313.62</v>
      </c>
      <c r="L424" s="6" t="n">
        <v>0</v>
      </c>
      <c r="M424" s="6" t="n">
        <v>215313.62</v>
      </c>
      <c r="N424" s="6"/>
      <c r="O424" s="6"/>
      <c r="P424" s="7"/>
      <c r="Q424" s="5" t="s">
        <v>26</v>
      </c>
      <c r="R424" s="5" t="s">
        <v>27</v>
      </c>
    </row>
    <row r="425" customFormat="false" ht="15" hidden="false" customHeight="true" outlineLevel="0" collapsed="false">
      <c r="A425" s="5" t="s">
        <v>449</v>
      </c>
      <c r="B425" s="6" t="n">
        <v>1182326185.92</v>
      </c>
      <c r="C425" s="6" t="n">
        <v>0</v>
      </c>
      <c r="D425" s="6" t="n">
        <v>1182326185.92</v>
      </c>
      <c r="E425" s="6" t="n">
        <v>437460.69</v>
      </c>
      <c r="F425" s="6" t="n">
        <v>0</v>
      </c>
      <c r="G425" s="6" t="n">
        <f aca="false">E425+F425</f>
        <v>437460.69</v>
      </c>
      <c r="H425" s="7" t="n">
        <f aca="false">IF(D425=0,0,C425/D425)</f>
        <v>0</v>
      </c>
      <c r="I425" s="7" t="n">
        <f aca="false">IF(D425=0,0,B425/D425)</f>
        <v>1</v>
      </c>
      <c r="J425" s="6" t="n">
        <f aca="false">E425*H425</f>
        <v>0</v>
      </c>
      <c r="K425" s="6" t="n">
        <f aca="false">E425*I425</f>
        <v>437460.69</v>
      </c>
      <c r="L425" s="6" t="n">
        <v>0</v>
      </c>
      <c r="M425" s="6" t="n">
        <v>437460.69</v>
      </c>
      <c r="N425" s="6"/>
      <c r="O425" s="6"/>
      <c r="P425" s="7"/>
      <c r="Q425" s="5" t="s">
        <v>26</v>
      </c>
      <c r="R425" s="5" t="s">
        <v>27</v>
      </c>
    </row>
    <row r="426" customFormat="false" ht="15" hidden="false" customHeight="true" outlineLevel="0" collapsed="false">
      <c r="A426" s="5" t="s">
        <v>450</v>
      </c>
      <c r="B426" s="6" t="n">
        <v>1407279646.86</v>
      </c>
      <c r="C426" s="6" t="n">
        <v>0</v>
      </c>
      <c r="D426" s="6" t="n">
        <v>1407279646.86</v>
      </c>
      <c r="E426" s="6" t="n">
        <v>520693.47</v>
      </c>
      <c r="F426" s="6" t="n">
        <v>0</v>
      </c>
      <c r="G426" s="6" t="n">
        <f aca="false">E426+F426</f>
        <v>520693.47</v>
      </c>
      <c r="H426" s="7" t="n">
        <f aca="false">IF(D426=0,0,C426/D426)</f>
        <v>0</v>
      </c>
      <c r="I426" s="7" t="n">
        <f aca="false">IF(D426=0,0,B426/D426)</f>
        <v>1</v>
      </c>
      <c r="J426" s="6" t="n">
        <f aca="false">E426*H426</f>
        <v>0</v>
      </c>
      <c r="K426" s="6" t="n">
        <f aca="false">E426*I426</f>
        <v>520693.47</v>
      </c>
      <c r="L426" s="6" t="n">
        <v>0</v>
      </c>
      <c r="M426" s="6" t="n">
        <v>520693.47</v>
      </c>
      <c r="N426" s="6"/>
      <c r="O426" s="6"/>
      <c r="P426" s="7"/>
      <c r="Q426" s="5" t="s">
        <v>26</v>
      </c>
      <c r="R426" s="5" t="s">
        <v>27</v>
      </c>
    </row>
    <row r="427" customFormat="false" ht="15" hidden="false" customHeight="true" outlineLevel="0" collapsed="false">
      <c r="A427" s="5" t="s">
        <v>451</v>
      </c>
      <c r="B427" s="6" t="n">
        <v>1313558641.55</v>
      </c>
      <c r="C427" s="6" t="n">
        <v>0</v>
      </c>
      <c r="D427" s="6" t="n">
        <v>1313558641.55</v>
      </c>
      <c r="E427" s="6" t="n">
        <v>486016.7</v>
      </c>
      <c r="F427" s="6" t="n">
        <v>0</v>
      </c>
      <c r="G427" s="6" t="n">
        <f aca="false">E427+F427</f>
        <v>486016.7</v>
      </c>
      <c r="H427" s="7" t="n">
        <f aca="false">IF(D427=0,0,C427/D427)</f>
        <v>0</v>
      </c>
      <c r="I427" s="7" t="n">
        <f aca="false">IF(D427=0,0,B427/D427)</f>
        <v>1</v>
      </c>
      <c r="J427" s="6" t="n">
        <f aca="false">E427*H427</f>
        <v>0</v>
      </c>
      <c r="K427" s="6" t="n">
        <f aca="false">E427*I427</f>
        <v>486016.7</v>
      </c>
      <c r="L427" s="6" t="n">
        <v>0</v>
      </c>
      <c r="M427" s="6" t="n">
        <v>486016.7</v>
      </c>
      <c r="N427" s="6"/>
      <c r="O427" s="6"/>
      <c r="P427" s="7"/>
      <c r="Q427" s="5" t="s">
        <v>26</v>
      </c>
      <c r="R427" s="5" t="s">
        <v>27</v>
      </c>
    </row>
    <row r="428" customFormat="false" ht="15" hidden="false" customHeight="true" outlineLevel="0" collapsed="false">
      <c r="A428" s="5" t="s">
        <v>452</v>
      </c>
      <c r="B428" s="6" t="n">
        <v>1144249999</v>
      </c>
      <c r="C428" s="6" t="n">
        <v>0</v>
      </c>
      <c r="D428" s="6" t="n">
        <v>1144249999</v>
      </c>
      <c r="E428" s="6" t="n">
        <v>423372.5</v>
      </c>
      <c r="F428" s="6" t="n">
        <v>0</v>
      </c>
      <c r="G428" s="6" t="n">
        <f aca="false">E428+F428</f>
        <v>423372.5</v>
      </c>
      <c r="H428" s="7" t="n">
        <f aca="false">IF(D428=0,0,C428/D428)</f>
        <v>0</v>
      </c>
      <c r="I428" s="7" t="n">
        <f aca="false">IF(D428=0,0,B428/D428)</f>
        <v>1</v>
      </c>
      <c r="J428" s="6" t="n">
        <f aca="false">E428*H428</f>
        <v>0</v>
      </c>
      <c r="K428" s="6" t="n">
        <f aca="false">E428*I428</f>
        <v>423372.5</v>
      </c>
      <c r="L428" s="6" t="n">
        <v>0</v>
      </c>
      <c r="M428" s="6" t="n">
        <v>423372.5</v>
      </c>
      <c r="N428" s="6"/>
      <c r="O428" s="6"/>
      <c r="P428" s="7"/>
      <c r="Q428" s="5" t="s">
        <v>26</v>
      </c>
      <c r="R428" s="5" t="s">
        <v>27</v>
      </c>
    </row>
    <row r="429" customFormat="false" ht="15" hidden="false" customHeight="true" outlineLevel="0" collapsed="false">
      <c r="A429" s="5" t="s">
        <v>453</v>
      </c>
      <c r="B429" s="6" t="n">
        <v>1137862567.69</v>
      </c>
      <c r="C429" s="6" t="n">
        <v>0</v>
      </c>
      <c r="D429" s="6" t="n">
        <v>1137862567.69</v>
      </c>
      <c r="E429" s="6" t="n">
        <v>421009.15</v>
      </c>
      <c r="F429" s="6" t="n">
        <v>0</v>
      </c>
      <c r="G429" s="6" t="n">
        <f aca="false">E429+F429</f>
        <v>421009.15</v>
      </c>
      <c r="H429" s="7" t="n">
        <f aca="false">IF(D429=0,0,C429/D429)</f>
        <v>0</v>
      </c>
      <c r="I429" s="7" t="n">
        <f aca="false">IF(D429=0,0,B429/D429)</f>
        <v>1</v>
      </c>
      <c r="J429" s="6" t="n">
        <f aca="false">E429*H429</f>
        <v>0</v>
      </c>
      <c r="K429" s="6" t="n">
        <f aca="false">E429*I429</f>
        <v>421009.15</v>
      </c>
      <c r="L429" s="6" t="n">
        <v>0</v>
      </c>
      <c r="M429" s="6" t="n">
        <v>421009.15</v>
      </c>
      <c r="N429" s="6"/>
      <c r="O429" s="6"/>
      <c r="P429" s="7"/>
      <c r="Q429" s="5" t="s">
        <v>26</v>
      </c>
      <c r="R429" s="5" t="s">
        <v>27</v>
      </c>
    </row>
    <row r="430" customFormat="false" ht="15" hidden="false" customHeight="true" outlineLevel="0" collapsed="false">
      <c r="A430" s="5" t="s">
        <v>454</v>
      </c>
      <c r="B430" s="6" t="n">
        <v>472081273.67</v>
      </c>
      <c r="C430" s="6" t="n">
        <v>0</v>
      </c>
      <c r="D430" s="6" t="n">
        <v>472081273.67</v>
      </c>
      <c r="E430" s="6" t="n">
        <v>174670.07</v>
      </c>
      <c r="F430" s="6" t="n">
        <v>0</v>
      </c>
      <c r="G430" s="6" t="n">
        <f aca="false">E430+F430</f>
        <v>174670.07</v>
      </c>
      <c r="H430" s="7" t="n">
        <f aca="false">IF(D430=0,0,C430/D430)</f>
        <v>0</v>
      </c>
      <c r="I430" s="7" t="n">
        <f aca="false">IF(D430=0,0,B430/D430)</f>
        <v>1</v>
      </c>
      <c r="J430" s="6" t="n">
        <f aca="false">E430*H430</f>
        <v>0</v>
      </c>
      <c r="K430" s="6" t="n">
        <f aca="false">E430*I430</f>
        <v>174670.07</v>
      </c>
      <c r="L430" s="6" t="n">
        <v>0</v>
      </c>
      <c r="M430" s="6" t="n">
        <v>174670.07</v>
      </c>
      <c r="N430" s="6"/>
      <c r="O430" s="6"/>
      <c r="P430" s="7"/>
      <c r="Q430" s="5" t="s">
        <v>26</v>
      </c>
      <c r="R430" s="5" t="s">
        <v>27</v>
      </c>
    </row>
    <row r="431" customFormat="false" ht="15" hidden="false" customHeight="true" outlineLevel="0" collapsed="false">
      <c r="A431" s="5" t="s">
        <v>455</v>
      </c>
      <c r="B431" s="6" t="n">
        <v>971448297.35</v>
      </c>
      <c r="C431" s="6" t="n">
        <v>0</v>
      </c>
      <c r="D431" s="6" t="n">
        <v>971448297.35</v>
      </c>
      <c r="E431" s="6" t="n">
        <v>359435.87</v>
      </c>
      <c r="F431" s="6" t="n">
        <v>0</v>
      </c>
      <c r="G431" s="6" t="n">
        <f aca="false">E431+F431</f>
        <v>359435.87</v>
      </c>
      <c r="H431" s="7" t="n">
        <f aca="false">IF(D431=0,0,C431/D431)</f>
        <v>0</v>
      </c>
      <c r="I431" s="7" t="n">
        <f aca="false">IF(D431=0,0,B431/D431)</f>
        <v>1</v>
      </c>
      <c r="J431" s="6" t="n">
        <f aca="false">E431*H431</f>
        <v>0</v>
      </c>
      <c r="K431" s="6" t="n">
        <f aca="false">E431*I431</f>
        <v>359435.87</v>
      </c>
      <c r="L431" s="6" t="n">
        <v>0</v>
      </c>
      <c r="M431" s="6" t="n">
        <v>359435.87</v>
      </c>
      <c r="N431" s="6"/>
      <c r="O431" s="6"/>
      <c r="P431" s="7"/>
      <c r="Q431" s="5" t="s">
        <v>26</v>
      </c>
      <c r="R431" s="5" t="s">
        <v>27</v>
      </c>
    </row>
    <row r="432" customFormat="false" ht="15" hidden="false" customHeight="true" outlineLevel="0" collapsed="false">
      <c r="A432" s="5" t="s">
        <v>456</v>
      </c>
      <c r="B432" s="6" t="n">
        <v>1047049348.78</v>
      </c>
      <c r="C432" s="6" t="n">
        <v>0</v>
      </c>
      <c r="D432" s="6" t="n">
        <v>1047049348.78</v>
      </c>
      <c r="E432" s="6" t="n">
        <v>387408.26</v>
      </c>
      <c r="F432" s="6" t="n">
        <v>0</v>
      </c>
      <c r="G432" s="6" t="n">
        <f aca="false">E432+F432</f>
        <v>387408.26</v>
      </c>
      <c r="H432" s="7" t="n">
        <f aca="false">IF(D432=0,0,C432/D432)</f>
        <v>0</v>
      </c>
      <c r="I432" s="7" t="n">
        <f aca="false">IF(D432=0,0,B432/D432)</f>
        <v>1</v>
      </c>
      <c r="J432" s="6" t="n">
        <f aca="false">E432*H432</f>
        <v>0</v>
      </c>
      <c r="K432" s="6" t="n">
        <f aca="false">E432*I432</f>
        <v>387408.26</v>
      </c>
      <c r="L432" s="6" t="n">
        <v>0</v>
      </c>
      <c r="M432" s="6" t="n">
        <v>387408.26</v>
      </c>
      <c r="N432" s="6"/>
      <c r="O432" s="6"/>
      <c r="P432" s="7"/>
      <c r="Q432" s="5" t="s">
        <v>26</v>
      </c>
      <c r="R432" s="5" t="s">
        <v>27</v>
      </c>
    </row>
    <row r="433" customFormat="false" ht="15" hidden="false" customHeight="true" outlineLevel="0" collapsed="false">
      <c r="A433" s="5" t="s">
        <v>457</v>
      </c>
      <c r="B433" s="6" t="n">
        <v>1675472055.86</v>
      </c>
      <c r="C433" s="6" t="n">
        <v>0</v>
      </c>
      <c r="D433" s="6" t="n">
        <v>1675472055.86</v>
      </c>
      <c r="E433" s="6" t="n">
        <v>619924.66</v>
      </c>
      <c r="F433" s="6" t="n">
        <v>0</v>
      </c>
      <c r="G433" s="6" t="n">
        <f aca="false">E433+F433</f>
        <v>619924.66</v>
      </c>
      <c r="H433" s="7" t="n">
        <f aca="false">IF(D433=0,0,C433/D433)</f>
        <v>0</v>
      </c>
      <c r="I433" s="7" t="n">
        <f aca="false">IF(D433=0,0,B433/D433)</f>
        <v>1</v>
      </c>
      <c r="J433" s="6" t="n">
        <f aca="false">E433*H433</f>
        <v>0</v>
      </c>
      <c r="K433" s="6" t="n">
        <f aca="false">E433*I433</f>
        <v>619924.66</v>
      </c>
      <c r="L433" s="6" t="n">
        <v>0</v>
      </c>
      <c r="M433" s="6" t="n">
        <v>619924.66</v>
      </c>
      <c r="N433" s="6"/>
      <c r="O433" s="6"/>
      <c r="P433" s="7"/>
      <c r="Q433" s="5" t="s">
        <v>26</v>
      </c>
      <c r="R433" s="5" t="s">
        <v>27</v>
      </c>
    </row>
    <row r="434" customFormat="false" ht="15" hidden="false" customHeight="true" outlineLevel="0" collapsed="false">
      <c r="A434" s="5" t="s">
        <v>458</v>
      </c>
      <c r="B434" s="6" t="n">
        <v>1080304897.39</v>
      </c>
      <c r="C434" s="6" t="n">
        <v>0</v>
      </c>
      <c r="D434" s="6" t="n">
        <v>1080304897.39</v>
      </c>
      <c r="E434" s="6" t="n">
        <v>399712.81</v>
      </c>
      <c r="F434" s="6" t="n">
        <v>0</v>
      </c>
      <c r="G434" s="6" t="n">
        <f aca="false">E434+F434</f>
        <v>399712.81</v>
      </c>
      <c r="H434" s="7" t="n">
        <f aca="false">IF(D434=0,0,C434/D434)</f>
        <v>0</v>
      </c>
      <c r="I434" s="7" t="n">
        <f aca="false">IF(D434=0,0,B434/D434)</f>
        <v>1</v>
      </c>
      <c r="J434" s="6" t="n">
        <f aca="false">E434*H434</f>
        <v>0</v>
      </c>
      <c r="K434" s="6" t="n">
        <f aca="false">E434*I434</f>
        <v>399712.81</v>
      </c>
      <c r="L434" s="6" t="n">
        <v>0</v>
      </c>
      <c r="M434" s="6" t="n">
        <v>399712.81</v>
      </c>
      <c r="N434" s="6"/>
      <c r="O434" s="6"/>
      <c r="P434" s="7"/>
      <c r="Q434" s="5" t="s">
        <v>26</v>
      </c>
      <c r="R434" s="5" t="s">
        <v>27</v>
      </c>
    </row>
    <row r="435" customFormat="false" ht="15" hidden="false" customHeight="true" outlineLevel="0" collapsed="false">
      <c r="A435" s="5" t="s">
        <v>459</v>
      </c>
      <c r="B435" s="6" t="n">
        <v>1521023395.42</v>
      </c>
      <c r="C435" s="6" t="n">
        <v>0</v>
      </c>
      <c r="D435" s="6" t="n">
        <v>1521023395.42</v>
      </c>
      <c r="E435" s="6" t="n">
        <v>562778.66</v>
      </c>
      <c r="F435" s="6" t="n">
        <v>0</v>
      </c>
      <c r="G435" s="6" t="n">
        <f aca="false">E435+F435</f>
        <v>562778.66</v>
      </c>
      <c r="H435" s="7" t="n">
        <f aca="false">IF(D435=0,0,C435/D435)</f>
        <v>0</v>
      </c>
      <c r="I435" s="7" t="n">
        <f aca="false">IF(D435=0,0,B435/D435)</f>
        <v>1</v>
      </c>
      <c r="J435" s="6" t="n">
        <f aca="false">E435*H435</f>
        <v>0</v>
      </c>
      <c r="K435" s="6" t="n">
        <f aca="false">E435*I435</f>
        <v>562778.66</v>
      </c>
      <c r="L435" s="6" t="n">
        <v>0</v>
      </c>
      <c r="M435" s="6" t="n">
        <v>562778.66</v>
      </c>
      <c r="N435" s="6"/>
      <c r="O435" s="6"/>
      <c r="P435" s="7"/>
      <c r="Q435" s="5" t="s">
        <v>26</v>
      </c>
      <c r="R435" s="5" t="s">
        <v>27</v>
      </c>
    </row>
    <row r="436" customFormat="false" ht="15" hidden="false" customHeight="true" outlineLevel="0" collapsed="false">
      <c r="A436" s="5" t="s">
        <v>460</v>
      </c>
      <c r="B436" s="6" t="n">
        <v>861876869.1</v>
      </c>
      <c r="C436" s="6" t="n">
        <v>0</v>
      </c>
      <c r="D436" s="6" t="n">
        <v>861876869.1</v>
      </c>
      <c r="E436" s="6" t="n">
        <v>318894.44</v>
      </c>
      <c r="F436" s="6" t="n">
        <v>0</v>
      </c>
      <c r="G436" s="6" t="n">
        <f aca="false">E436+F436</f>
        <v>318894.44</v>
      </c>
      <c r="H436" s="7" t="n">
        <f aca="false">IF(D436=0,0,C436/D436)</f>
        <v>0</v>
      </c>
      <c r="I436" s="7" t="n">
        <f aca="false">IF(D436=0,0,B436/D436)</f>
        <v>1</v>
      </c>
      <c r="J436" s="6" t="n">
        <f aca="false">E436*H436</f>
        <v>0</v>
      </c>
      <c r="K436" s="6" t="n">
        <f aca="false">E436*I436</f>
        <v>318894.44</v>
      </c>
      <c r="L436" s="6" t="n">
        <v>0</v>
      </c>
      <c r="M436" s="6" t="n">
        <v>318894.44</v>
      </c>
      <c r="N436" s="6"/>
      <c r="O436" s="6"/>
      <c r="P436" s="7"/>
      <c r="Q436" s="5" t="s">
        <v>26</v>
      </c>
      <c r="R436" s="5" t="s">
        <v>27</v>
      </c>
    </row>
    <row r="437" customFormat="false" ht="15" hidden="false" customHeight="true" outlineLevel="0" collapsed="false">
      <c r="A437" s="5" t="s">
        <v>461</v>
      </c>
      <c r="B437" s="6" t="n">
        <v>1054414139.4</v>
      </c>
      <c r="C437" s="6" t="n">
        <v>0</v>
      </c>
      <c r="D437" s="6" t="n">
        <v>1054414139.4</v>
      </c>
      <c r="E437" s="6" t="n">
        <v>390133.23</v>
      </c>
      <c r="F437" s="6" t="n">
        <v>0</v>
      </c>
      <c r="G437" s="6" t="n">
        <f aca="false">E437+F437</f>
        <v>390133.23</v>
      </c>
      <c r="H437" s="7" t="n">
        <f aca="false">IF(D437=0,0,C437/D437)</f>
        <v>0</v>
      </c>
      <c r="I437" s="7" t="n">
        <f aca="false">IF(D437=0,0,B437/D437)</f>
        <v>1</v>
      </c>
      <c r="J437" s="6" t="n">
        <f aca="false">E437*H437</f>
        <v>0</v>
      </c>
      <c r="K437" s="6" t="n">
        <f aca="false">E437*I437</f>
        <v>390133.23</v>
      </c>
      <c r="L437" s="6" t="n">
        <v>0</v>
      </c>
      <c r="M437" s="6" t="n">
        <v>390133.23</v>
      </c>
      <c r="N437" s="6"/>
      <c r="O437" s="6"/>
      <c r="P437" s="7"/>
      <c r="Q437" s="5" t="s">
        <v>26</v>
      </c>
      <c r="R437" s="5" t="s">
        <v>27</v>
      </c>
    </row>
    <row r="438" customFormat="false" ht="15" hidden="false" customHeight="true" outlineLevel="0" collapsed="false">
      <c r="A438" s="5" t="s">
        <v>462</v>
      </c>
      <c r="B438" s="6" t="n">
        <v>466128438.64</v>
      </c>
      <c r="C438" s="6" t="n">
        <v>0</v>
      </c>
      <c r="D438" s="6" t="n">
        <v>466128438.64</v>
      </c>
      <c r="E438" s="6" t="n">
        <v>172467.52</v>
      </c>
      <c r="F438" s="6" t="n">
        <v>0</v>
      </c>
      <c r="G438" s="6" t="n">
        <f aca="false">E438+F438</f>
        <v>172467.52</v>
      </c>
      <c r="H438" s="7" t="n">
        <f aca="false">IF(D438=0,0,C438/D438)</f>
        <v>0</v>
      </c>
      <c r="I438" s="7" t="n">
        <f aca="false">IF(D438=0,0,B438/D438)</f>
        <v>1</v>
      </c>
      <c r="J438" s="6" t="n">
        <f aca="false">E438*H438</f>
        <v>0</v>
      </c>
      <c r="K438" s="6" t="n">
        <f aca="false">E438*I438</f>
        <v>172467.52</v>
      </c>
      <c r="L438" s="6" t="n">
        <v>0</v>
      </c>
      <c r="M438" s="6" t="n">
        <v>172467.52</v>
      </c>
      <c r="N438" s="6"/>
      <c r="O438" s="6"/>
      <c r="P438" s="7"/>
      <c r="Q438" s="5" t="s">
        <v>26</v>
      </c>
      <c r="R438" s="5" t="s">
        <v>27</v>
      </c>
    </row>
    <row r="439" customFormat="false" ht="15" hidden="false" customHeight="true" outlineLevel="0" collapsed="false">
      <c r="A439" s="5" t="s">
        <v>463</v>
      </c>
      <c r="B439" s="6" t="n">
        <v>1191382824.57</v>
      </c>
      <c r="C439" s="6" t="n">
        <v>0</v>
      </c>
      <c r="D439" s="6" t="n">
        <v>1191382824.57</v>
      </c>
      <c r="E439" s="6" t="n">
        <v>440811.65</v>
      </c>
      <c r="F439" s="6" t="n">
        <v>0</v>
      </c>
      <c r="G439" s="6" t="n">
        <f aca="false">E439+F439</f>
        <v>440811.65</v>
      </c>
      <c r="H439" s="7" t="n">
        <f aca="false">IF(D439=0,0,C439/D439)</f>
        <v>0</v>
      </c>
      <c r="I439" s="7" t="n">
        <f aca="false">IF(D439=0,0,B439/D439)</f>
        <v>1</v>
      </c>
      <c r="J439" s="6" t="n">
        <f aca="false">E439*H439</f>
        <v>0</v>
      </c>
      <c r="K439" s="6" t="n">
        <f aca="false">E439*I439</f>
        <v>440811.65</v>
      </c>
      <c r="L439" s="6" t="n">
        <v>0</v>
      </c>
      <c r="M439" s="6" t="n">
        <v>440811.65</v>
      </c>
      <c r="N439" s="6"/>
      <c r="O439" s="6"/>
      <c r="P439" s="7"/>
      <c r="Q439" s="5" t="s">
        <v>26</v>
      </c>
      <c r="R439" s="5" t="s">
        <v>27</v>
      </c>
    </row>
    <row r="440" customFormat="false" ht="15" hidden="false" customHeight="true" outlineLevel="0" collapsed="false">
      <c r="A440" s="5" t="s">
        <v>464</v>
      </c>
      <c r="B440" s="6" t="n">
        <v>1015132865.44</v>
      </c>
      <c r="C440" s="6" t="n">
        <v>0</v>
      </c>
      <c r="D440" s="6" t="n">
        <v>1015132865.44</v>
      </c>
      <c r="E440" s="6" t="n">
        <v>375599.16</v>
      </c>
      <c r="F440" s="6" t="n">
        <v>0</v>
      </c>
      <c r="G440" s="6" t="n">
        <f aca="false">E440+F440</f>
        <v>375599.16</v>
      </c>
      <c r="H440" s="7" t="n">
        <f aca="false">IF(D440=0,0,C440/D440)</f>
        <v>0</v>
      </c>
      <c r="I440" s="7" t="n">
        <f aca="false">IF(D440=0,0,B440/D440)</f>
        <v>1</v>
      </c>
      <c r="J440" s="6" t="n">
        <f aca="false">E440*H440</f>
        <v>0</v>
      </c>
      <c r="K440" s="6" t="n">
        <f aca="false">E440*I440</f>
        <v>375599.16</v>
      </c>
      <c r="L440" s="6" t="n">
        <v>0</v>
      </c>
      <c r="M440" s="6" t="n">
        <v>375599.16</v>
      </c>
      <c r="N440" s="6"/>
      <c r="O440" s="6"/>
      <c r="P440" s="7"/>
      <c r="Q440" s="5" t="s">
        <v>26</v>
      </c>
      <c r="R440" s="5" t="s">
        <v>27</v>
      </c>
    </row>
    <row r="441" customFormat="false" ht="15" hidden="false" customHeight="true" outlineLevel="0" collapsed="false">
      <c r="A441" s="5" t="s">
        <v>465</v>
      </c>
      <c r="B441" s="6" t="n">
        <v>1053030054.93</v>
      </c>
      <c r="C441" s="6" t="n">
        <v>0</v>
      </c>
      <c r="D441" s="6" t="n">
        <v>1053030054.93</v>
      </c>
      <c r="E441" s="6" t="n">
        <v>389621.12</v>
      </c>
      <c r="F441" s="6" t="n">
        <v>0</v>
      </c>
      <c r="G441" s="6" t="n">
        <f aca="false">E441+F441</f>
        <v>389621.12</v>
      </c>
      <c r="H441" s="7" t="n">
        <f aca="false">IF(D441=0,0,C441/D441)</f>
        <v>0</v>
      </c>
      <c r="I441" s="7" t="n">
        <f aca="false">IF(D441=0,0,B441/D441)</f>
        <v>1</v>
      </c>
      <c r="J441" s="6" t="n">
        <f aca="false">E441*H441</f>
        <v>0</v>
      </c>
      <c r="K441" s="6" t="n">
        <f aca="false">E441*I441</f>
        <v>389621.12</v>
      </c>
      <c r="L441" s="6" t="n">
        <v>0</v>
      </c>
      <c r="M441" s="6" t="n">
        <v>389621.12</v>
      </c>
      <c r="N441" s="6"/>
      <c r="O441" s="6"/>
      <c r="P441" s="7"/>
      <c r="Q441" s="5" t="s">
        <v>26</v>
      </c>
      <c r="R441" s="5" t="s">
        <v>27</v>
      </c>
    </row>
    <row r="442" customFormat="false" ht="15" hidden="false" customHeight="true" outlineLevel="0" collapsed="false">
      <c r="A442" s="5" t="s">
        <v>466</v>
      </c>
      <c r="B442" s="6" t="n">
        <v>1191402711.88</v>
      </c>
      <c r="C442" s="6" t="n">
        <v>0</v>
      </c>
      <c r="D442" s="6" t="n">
        <v>1191402711.88</v>
      </c>
      <c r="E442" s="6" t="n">
        <v>440819</v>
      </c>
      <c r="F442" s="6" t="n">
        <v>0</v>
      </c>
      <c r="G442" s="6" t="n">
        <f aca="false">E442+F442</f>
        <v>440819</v>
      </c>
      <c r="H442" s="7" t="n">
        <f aca="false">IF(D442=0,0,C442/D442)</f>
        <v>0</v>
      </c>
      <c r="I442" s="7" t="n">
        <f aca="false">IF(D442=0,0,B442/D442)</f>
        <v>1</v>
      </c>
      <c r="J442" s="6" t="n">
        <f aca="false">E442*H442</f>
        <v>0</v>
      </c>
      <c r="K442" s="6" t="n">
        <f aca="false">E442*I442</f>
        <v>440819</v>
      </c>
      <c r="L442" s="6" t="n">
        <v>0</v>
      </c>
      <c r="M442" s="6" t="n">
        <v>440819</v>
      </c>
      <c r="N442" s="6"/>
      <c r="O442" s="6"/>
      <c r="P442" s="7"/>
      <c r="Q442" s="5" t="s">
        <v>26</v>
      </c>
      <c r="R442" s="5" t="s">
        <v>27</v>
      </c>
    </row>
    <row r="443" customFormat="false" ht="15" hidden="false" customHeight="true" outlineLevel="0" collapsed="false">
      <c r="A443" s="5" t="s">
        <v>467</v>
      </c>
      <c r="B443" s="6" t="n">
        <v>1430145675.47</v>
      </c>
      <c r="C443" s="6" t="n">
        <v>0</v>
      </c>
      <c r="D443" s="6" t="n">
        <v>1430145675.47</v>
      </c>
      <c r="E443" s="6" t="n">
        <v>529153.9</v>
      </c>
      <c r="F443" s="6" t="n">
        <v>0</v>
      </c>
      <c r="G443" s="6" t="n">
        <f aca="false">E443+F443</f>
        <v>529153.9</v>
      </c>
      <c r="H443" s="7" t="n">
        <f aca="false">IF(D443=0,0,C443/D443)</f>
        <v>0</v>
      </c>
      <c r="I443" s="7" t="n">
        <f aca="false">IF(D443=0,0,B443/D443)</f>
        <v>1</v>
      </c>
      <c r="J443" s="6" t="n">
        <f aca="false">E443*H443</f>
        <v>0</v>
      </c>
      <c r="K443" s="6" t="n">
        <f aca="false">E443*I443</f>
        <v>529153.9</v>
      </c>
      <c r="L443" s="6" t="n">
        <v>0</v>
      </c>
      <c r="M443" s="6" t="n">
        <v>529153.9</v>
      </c>
      <c r="N443" s="6"/>
      <c r="O443" s="6"/>
      <c r="P443" s="7"/>
      <c r="Q443" s="5" t="s">
        <v>26</v>
      </c>
      <c r="R443" s="5" t="s">
        <v>27</v>
      </c>
    </row>
    <row r="444" customFormat="false" ht="15" hidden="false" customHeight="true" outlineLevel="0" collapsed="false">
      <c r="A444" s="5" t="s">
        <v>468</v>
      </c>
      <c r="B444" s="6" t="n">
        <v>954276979.99</v>
      </c>
      <c r="C444" s="6" t="n">
        <v>0</v>
      </c>
      <c r="D444" s="6" t="n">
        <v>954276979.99</v>
      </c>
      <c r="E444" s="6" t="n">
        <v>353082.48</v>
      </c>
      <c r="F444" s="6" t="n">
        <v>0</v>
      </c>
      <c r="G444" s="6" t="n">
        <f aca="false">E444+F444</f>
        <v>353082.48</v>
      </c>
      <c r="H444" s="7" t="n">
        <f aca="false">IF(D444=0,0,C444/D444)</f>
        <v>0</v>
      </c>
      <c r="I444" s="7" t="n">
        <f aca="false">IF(D444=0,0,B444/D444)</f>
        <v>1</v>
      </c>
      <c r="J444" s="6" t="n">
        <f aca="false">E444*H444</f>
        <v>0</v>
      </c>
      <c r="K444" s="6" t="n">
        <f aca="false">E444*I444</f>
        <v>353082.48</v>
      </c>
      <c r="L444" s="6" t="n">
        <v>0</v>
      </c>
      <c r="M444" s="6" t="n">
        <v>353082.48</v>
      </c>
      <c r="N444" s="6"/>
      <c r="O444" s="6"/>
      <c r="P444" s="7"/>
      <c r="Q444" s="5" t="s">
        <v>26</v>
      </c>
      <c r="R444" s="5" t="s">
        <v>27</v>
      </c>
    </row>
    <row r="445" customFormat="false" ht="15" hidden="false" customHeight="true" outlineLevel="0" collapsed="false">
      <c r="A445" s="5" t="s">
        <v>469</v>
      </c>
      <c r="B445" s="6" t="n">
        <v>1192901476.15</v>
      </c>
      <c r="C445" s="6" t="n">
        <v>0</v>
      </c>
      <c r="D445" s="6" t="n">
        <v>1192901476.15</v>
      </c>
      <c r="E445" s="6" t="n">
        <v>441373.55</v>
      </c>
      <c r="F445" s="6" t="n">
        <v>0</v>
      </c>
      <c r="G445" s="6" t="n">
        <f aca="false">E445+F445</f>
        <v>441373.55</v>
      </c>
      <c r="H445" s="7" t="n">
        <f aca="false">IF(D445=0,0,C445/D445)</f>
        <v>0</v>
      </c>
      <c r="I445" s="7" t="n">
        <f aca="false">IF(D445=0,0,B445/D445)</f>
        <v>1</v>
      </c>
      <c r="J445" s="6" t="n">
        <f aca="false">E445*H445</f>
        <v>0</v>
      </c>
      <c r="K445" s="6" t="n">
        <f aca="false">E445*I445</f>
        <v>441373.55</v>
      </c>
      <c r="L445" s="6" t="n">
        <v>0</v>
      </c>
      <c r="M445" s="6" t="n">
        <v>441373.55</v>
      </c>
      <c r="N445" s="6"/>
      <c r="O445" s="6"/>
      <c r="P445" s="7"/>
      <c r="Q445" s="5" t="s">
        <v>26</v>
      </c>
      <c r="R445" s="5" t="s">
        <v>27</v>
      </c>
    </row>
    <row r="446" customFormat="false" ht="15" hidden="false" customHeight="true" outlineLevel="0" collapsed="false">
      <c r="A446" s="5" t="s">
        <v>470</v>
      </c>
      <c r="B446" s="6" t="n">
        <v>4169986819.77</v>
      </c>
      <c r="C446" s="6" t="n">
        <v>0</v>
      </c>
      <c r="D446" s="6" t="n">
        <v>4169986819.77</v>
      </c>
      <c r="E446" s="6" t="n">
        <v>1542895.12</v>
      </c>
      <c r="F446" s="6" t="n">
        <v>0</v>
      </c>
      <c r="G446" s="6" t="n">
        <f aca="false">E446+F446</f>
        <v>1542895.12</v>
      </c>
      <c r="H446" s="7" t="n">
        <f aca="false">IF(D446=0,0,C446/D446)</f>
        <v>0</v>
      </c>
      <c r="I446" s="7" t="n">
        <f aca="false">IF(D446=0,0,B446/D446)</f>
        <v>1</v>
      </c>
      <c r="J446" s="6" t="n">
        <f aca="false">E446*H446</f>
        <v>0</v>
      </c>
      <c r="K446" s="6" t="n">
        <f aca="false">E446*I446</f>
        <v>1542895.12</v>
      </c>
      <c r="L446" s="6" t="n">
        <v>0</v>
      </c>
      <c r="M446" s="6" t="n">
        <v>1542895.12</v>
      </c>
      <c r="N446" s="6"/>
      <c r="O446" s="6"/>
      <c r="P446" s="7"/>
      <c r="Q446" s="5" t="s">
        <v>26</v>
      </c>
      <c r="R446" s="5" t="s">
        <v>27</v>
      </c>
    </row>
    <row r="447" customFormat="false" ht="15" hidden="false" customHeight="true" outlineLevel="0" collapsed="false">
      <c r="A447" s="5" t="s">
        <v>471</v>
      </c>
      <c r="B447" s="6" t="n">
        <v>1232056736.25</v>
      </c>
      <c r="C447" s="6" t="n">
        <v>0</v>
      </c>
      <c r="D447" s="6" t="n">
        <v>1232056736.25</v>
      </c>
      <c r="E447" s="6" t="n">
        <v>455860.99</v>
      </c>
      <c r="F447" s="6" t="n">
        <v>0</v>
      </c>
      <c r="G447" s="6" t="n">
        <f aca="false">E447+F447</f>
        <v>455860.99</v>
      </c>
      <c r="H447" s="7" t="n">
        <f aca="false">IF(D447=0,0,C447/D447)</f>
        <v>0</v>
      </c>
      <c r="I447" s="7" t="n">
        <f aca="false">IF(D447=0,0,B447/D447)</f>
        <v>1</v>
      </c>
      <c r="J447" s="6" t="n">
        <f aca="false">E447*H447</f>
        <v>0</v>
      </c>
      <c r="K447" s="6" t="n">
        <f aca="false">E447*I447</f>
        <v>455860.99</v>
      </c>
      <c r="L447" s="6" t="n">
        <v>0</v>
      </c>
      <c r="M447" s="6" t="n">
        <v>455860.99</v>
      </c>
      <c r="N447" s="6"/>
      <c r="O447" s="6"/>
      <c r="P447" s="7"/>
      <c r="Q447" s="5" t="s">
        <v>26</v>
      </c>
      <c r="R447" s="5" t="s">
        <v>27</v>
      </c>
    </row>
    <row r="448" customFormat="false" ht="15" hidden="false" customHeight="true" outlineLevel="0" collapsed="false">
      <c r="A448" s="5" t="s">
        <v>472</v>
      </c>
      <c r="B448" s="6" t="n">
        <v>1495294224.37</v>
      </c>
      <c r="C448" s="6" t="n">
        <v>0</v>
      </c>
      <c r="D448" s="6" t="n">
        <v>1495294224.37</v>
      </c>
      <c r="E448" s="6" t="n">
        <v>553258.86</v>
      </c>
      <c r="F448" s="6" t="n">
        <v>0</v>
      </c>
      <c r="G448" s="6" t="n">
        <f aca="false">E448+F448</f>
        <v>553258.86</v>
      </c>
      <c r="H448" s="7" t="n">
        <f aca="false">IF(D448=0,0,C448/D448)</f>
        <v>0</v>
      </c>
      <c r="I448" s="7" t="n">
        <f aca="false">IF(D448=0,0,B448/D448)</f>
        <v>1</v>
      </c>
      <c r="J448" s="6" t="n">
        <f aca="false">E448*H448</f>
        <v>0</v>
      </c>
      <c r="K448" s="6" t="n">
        <f aca="false">E448*I448</f>
        <v>553258.86</v>
      </c>
      <c r="L448" s="6" t="n">
        <v>0</v>
      </c>
      <c r="M448" s="6" t="n">
        <v>553258.86</v>
      </c>
      <c r="N448" s="6"/>
      <c r="O448" s="6"/>
      <c r="P448" s="7"/>
      <c r="Q448" s="5" t="s">
        <v>26</v>
      </c>
      <c r="R448" s="5" t="s">
        <v>27</v>
      </c>
    </row>
    <row r="449" customFormat="false" ht="15" hidden="false" customHeight="true" outlineLevel="0" collapsed="false">
      <c r="A449" s="5" t="s">
        <v>473</v>
      </c>
      <c r="B449" s="6" t="n">
        <v>1305310342.43</v>
      </c>
      <c r="C449" s="6" t="n">
        <v>0</v>
      </c>
      <c r="D449" s="6" t="n">
        <v>1305310342.43</v>
      </c>
      <c r="E449" s="6" t="n">
        <v>482964.83</v>
      </c>
      <c r="F449" s="6" t="n">
        <v>0</v>
      </c>
      <c r="G449" s="6" t="n">
        <f aca="false">E449+F449</f>
        <v>482964.83</v>
      </c>
      <c r="H449" s="7" t="n">
        <f aca="false">IF(D449=0,0,C449/D449)</f>
        <v>0</v>
      </c>
      <c r="I449" s="7" t="n">
        <f aca="false">IF(D449=0,0,B449/D449)</f>
        <v>1</v>
      </c>
      <c r="J449" s="6" t="n">
        <f aca="false">E449*H449</f>
        <v>0</v>
      </c>
      <c r="K449" s="6" t="n">
        <f aca="false">E449*I449</f>
        <v>482964.83</v>
      </c>
      <c r="L449" s="6" t="n">
        <v>0</v>
      </c>
      <c r="M449" s="6" t="n">
        <v>482964.83</v>
      </c>
      <c r="N449" s="6"/>
      <c r="O449" s="6"/>
      <c r="P449" s="7"/>
      <c r="Q449" s="5" t="s">
        <v>26</v>
      </c>
      <c r="R449" s="5" t="s">
        <v>27</v>
      </c>
    </row>
    <row r="450" customFormat="false" ht="15" hidden="false" customHeight="true" outlineLevel="0" collapsed="false">
      <c r="A450" s="5" t="s">
        <v>474</v>
      </c>
      <c r="B450" s="6" t="n">
        <v>968702431.82</v>
      </c>
      <c r="C450" s="6" t="n">
        <v>0</v>
      </c>
      <c r="D450" s="6" t="n">
        <v>968702431.82</v>
      </c>
      <c r="E450" s="6" t="n">
        <v>358419.9</v>
      </c>
      <c r="F450" s="6" t="n">
        <v>0</v>
      </c>
      <c r="G450" s="6" t="n">
        <f aca="false">E450+F450</f>
        <v>358419.9</v>
      </c>
      <c r="H450" s="7" t="n">
        <f aca="false">IF(D450=0,0,C450/D450)</f>
        <v>0</v>
      </c>
      <c r="I450" s="7" t="n">
        <f aca="false">IF(D450=0,0,B450/D450)</f>
        <v>1</v>
      </c>
      <c r="J450" s="6" t="n">
        <f aca="false">E450*H450</f>
        <v>0</v>
      </c>
      <c r="K450" s="6" t="n">
        <f aca="false">E450*I450</f>
        <v>358419.9</v>
      </c>
      <c r="L450" s="6" t="n">
        <v>0</v>
      </c>
      <c r="M450" s="6" t="n">
        <v>358419.9</v>
      </c>
      <c r="N450" s="6"/>
      <c r="O450" s="6"/>
      <c r="P450" s="7"/>
      <c r="Q450" s="5" t="s">
        <v>26</v>
      </c>
      <c r="R450" s="5" t="s">
        <v>27</v>
      </c>
    </row>
    <row r="451" customFormat="false" ht="15" hidden="false" customHeight="true" outlineLevel="0" collapsed="false">
      <c r="A451" s="5" t="s">
        <v>475</v>
      </c>
      <c r="B451" s="6" t="n">
        <v>574333251.43</v>
      </c>
      <c r="C451" s="6" t="n">
        <v>0</v>
      </c>
      <c r="D451" s="6" t="n">
        <v>574333251.43</v>
      </c>
      <c r="E451" s="6" t="n">
        <v>212503.3</v>
      </c>
      <c r="F451" s="6" t="n">
        <v>0</v>
      </c>
      <c r="G451" s="6" t="n">
        <f aca="false">E451+F451</f>
        <v>212503.3</v>
      </c>
      <c r="H451" s="7" t="n">
        <f aca="false">IF(D451=0,0,C451/D451)</f>
        <v>0</v>
      </c>
      <c r="I451" s="7" t="n">
        <f aca="false">IF(D451=0,0,B451/D451)</f>
        <v>1</v>
      </c>
      <c r="J451" s="6" t="n">
        <f aca="false">E451*H451</f>
        <v>0</v>
      </c>
      <c r="K451" s="6" t="n">
        <f aca="false">E451*I451</f>
        <v>212503.3</v>
      </c>
      <c r="L451" s="6" t="n">
        <v>0</v>
      </c>
      <c r="M451" s="6" t="n">
        <v>212503.3</v>
      </c>
      <c r="N451" s="6"/>
      <c r="O451" s="6"/>
      <c r="P451" s="7"/>
      <c r="Q451" s="5" t="s">
        <v>26</v>
      </c>
      <c r="R451" s="5" t="s">
        <v>27</v>
      </c>
    </row>
    <row r="452" customFormat="false" ht="15" hidden="false" customHeight="true" outlineLevel="0" collapsed="false">
      <c r="A452" s="5" t="s">
        <v>476</v>
      </c>
      <c r="B452" s="6" t="n">
        <v>645197603.92</v>
      </c>
      <c r="C452" s="6" t="n">
        <v>0</v>
      </c>
      <c r="D452" s="6" t="n">
        <v>645197603.92</v>
      </c>
      <c r="E452" s="6" t="n">
        <v>238723.11</v>
      </c>
      <c r="F452" s="6" t="n">
        <v>0</v>
      </c>
      <c r="G452" s="6" t="n">
        <f aca="false">E452+F452</f>
        <v>238723.11</v>
      </c>
      <c r="H452" s="7" t="n">
        <f aca="false">IF(D452=0,0,C452/D452)</f>
        <v>0</v>
      </c>
      <c r="I452" s="7" t="n">
        <f aca="false">IF(D452=0,0,B452/D452)</f>
        <v>1</v>
      </c>
      <c r="J452" s="6" t="n">
        <f aca="false">E452*H452</f>
        <v>0</v>
      </c>
      <c r="K452" s="6" t="n">
        <f aca="false">E452*I452</f>
        <v>238723.11</v>
      </c>
      <c r="L452" s="6" t="n">
        <v>0</v>
      </c>
      <c r="M452" s="6" t="n">
        <v>238723.11</v>
      </c>
      <c r="N452" s="6"/>
      <c r="O452" s="6"/>
      <c r="P452" s="7"/>
      <c r="Q452" s="5" t="s">
        <v>26</v>
      </c>
      <c r="R452" s="5" t="s">
        <v>27</v>
      </c>
    </row>
    <row r="453" customFormat="false" ht="15" hidden="false" customHeight="true" outlineLevel="0" collapsed="false">
      <c r="A453" s="5" t="s">
        <v>477</v>
      </c>
      <c r="B453" s="6" t="n">
        <v>1160292705</v>
      </c>
      <c r="C453" s="6" t="n">
        <v>0</v>
      </c>
      <c r="D453" s="6" t="n">
        <v>1160292705</v>
      </c>
      <c r="E453" s="6" t="n">
        <v>429308.3</v>
      </c>
      <c r="F453" s="6" t="n">
        <v>0</v>
      </c>
      <c r="G453" s="6" t="n">
        <f aca="false">E453+F453</f>
        <v>429308.3</v>
      </c>
      <c r="H453" s="7" t="n">
        <f aca="false">IF(D453=0,0,C453/D453)</f>
        <v>0</v>
      </c>
      <c r="I453" s="7" t="n">
        <f aca="false">IF(D453=0,0,B453/D453)</f>
        <v>1</v>
      </c>
      <c r="J453" s="6" t="n">
        <f aca="false">E453*H453</f>
        <v>0</v>
      </c>
      <c r="K453" s="6" t="n">
        <f aca="false">E453*I453</f>
        <v>429308.3</v>
      </c>
      <c r="L453" s="6" t="n">
        <v>0</v>
      </c>
      <c r="M453" s="6" t="n">
        <v>429308.3</v>
      </c>
      <c r="N453" s="6"/>
      <c r="O453" s="6"/>
      <c r="P453" s="7"/>
      <c r="Q453" s="5" t="s">
        <v>26</v>
      </c>
      <c r="R453" s="5" t="s">
        <v>27</v>
      </c>
    </row>
    <row r="454" customFormat="false" ht="15" hidden="false" customHeight="true" outlineLevel="0" collapsed="false">
      <c r="A454" s="5" t="s">
        <v>478</v>
      </c>
      <c r="B454" s="6" t="n">
        <v>1197341840.53</v>
      </c>
      <c r="C454" s="6" t="n">
        <v>0</v>
      </c>
      <c r="D454" s="6" t="n">
        <v>1197341840.53</v>
      </c>
      <c r="E454" s="6" t="n">
        <v>443016.48</v>
      </c>
      <c r="F454" s="6" t="n">
        <v>0</v>
      </c>
      <c r="G454" s="6" t="n">
        <f aca="false">E454+F454</f>
        <v>443016.48</v>
      </c>
      <c r="H454" s="7" t="n">
        <f aca="false">IF(D454=0,0,C454/D454)</f>
        <v>0</v>
      </c>
      <c r="I454" s="7" t="n">
        <f aca="false">IF(D454=0,0,B454/D454)</f>
        <v>1</v>
      </c>
      <c r="J454" s="6" t="n">
        <f aca="false">E454*H454</f>
        <v>0</v>
      </c>
      <c r="K454" s="6" t="n">
        <f aca="false">E454*I454</f>
        <v>443016.48</v>
      </c>
      <c r="L454" s="6" t="n">
        <v>0</v>
      </c>
      <c r="M454" s="6" t="n">
        <v>443016.48</v>
      </c>
      <c r="N454" s="6"/>
      <c r="O454" s="6"/>
      <c r="P454" s="7"/>
      <c r="Q454" s="5" t="s">
        <v>26</v>
      </c>
      <c r="R454" s="5" t="s">
        <v>27</v>
      </c>
    </row>
    <row r="455" customFormat="false" ht="15" hidden="false" customHeight="true" outlineLevel="0" collapsed="false">
      <c r="A455" s="5" t="s">
        <v>479</v>
      </c>
      <c r="B455" s="6" t="n">
        <v>1453533663.27</v>
      </c>
      <c r="C455" s="6" t="n">
        <v>0</v>
      </c>
      <c r="D455" s="6" t="n">
        <v>1453533663.27</v>
      </c>
      <c r="E455" s="6" t="n">
        <v>537807.46</v>
      </c>
      <c r="F455" s="6" t="n">
        <v>0</v>
      </c>
      <c r="G455" s="6" t="n">
        <f aca="false">E455+F455</f>
        <v>537807.46</v>
      </c>
      <c r="H455" s="7" t="n">
        <f aca="false">IF(D455=0,0,C455/D455)</f>
        <v>0</v>
      </c>
      <c r="I455" s="7" t="n">
        <f aca="false">IF(D455=0,0,B455/D455)</f>
        <v>1</v>
      </c>
      <c r="J455" s="6" t="n">
        <f aca="false">E455*H455</f>
        <v>0</v>
      </c>
      <c r="K455" s="6" t="n">
        <f aca="false">E455*I455</f>
        <v>537807.46</v>
      </c>
      <c r="L455" s="6" t="n">
        <v>0</v>
      </c>
      <c r="M455" s="6" t="n">
        <v>537807.46</v>
      </c>
      <c r="N455" s="6"/>
      <c r="O455" s="6"/>
      <c r="P455" s="7"/>
      <c r="Q455" s="5" t="s">
        <v>26</v>
      </c>
      <c r="R455" s="5" t="s">
        <v>27</v>
      </c>
    </row>
    <row r="456" customFormat="false" ht="15" hidden="false" customHeight="true" outlineLevel="0" collapsed="false">
      <c r="A456" s="5" t="s">
        <v>480</v>
      </c>
      <c r="B456" s="6" t="n">
        <v>1057246088.46</v>
      </c>
      <c r="C456" s="6" t="n">
        <v>0</v>
      </c>
      <c r="D456" s="6" t="n">
        <v>1057246088.46</v>
      </c>
      <c r="E456" s="6" t="n">
        <v>391181.05</v>
      </c>
      <c r="F456" s="6" t="n">
        <v>0</v>
      </c>
      <c r="G456" s="6" t="n">
        <f aca="false">E456+F456</f>
        <v>391181.05</v>
      </c>
      <c r="H456" s="7" t="n">
        <f aca="false">IF(D456=0,0,C456/D456)</f>
        <v>0</v>
      </c>
      <c r="I456" s="7" t="n">
        <f aca="false">IF(D456=0,0,B456/D456)</f>
        <v>1</v>
      </c>
      <c r="J456" s="6" t="n">
        <f aca="false">E456*H456</f>
        <v>0</v>
      </c>
      <c r="K456" s="6" t="n">
        <f aca="false">E456*I456</f>
        <v>391181.05</v>
      </c>
      <c r="L456" s="6" t="n">
        <v>0</v>
      </c>
      <c r="M456" s="6" t="n">
        <v>391181.05</v>
      </c>
      <c r="N456" s="6"/>
      <c r="O456" s="6"/>
      <c r="P456" s="7"/>
      <c r="Q456" s="5" t="s">
        <v>26</v>
      </c>
      <c r="R456" s="5" t="s">
        <v>27</v>
      </c>
    </row>
    <row r="457" customFormat="false" ht="15" hidden="false" customHeight="true" outlineLevel="0" collapsed="false">
      <c r="A457" s="5" t="s">
        <v>481</v>
      </c>
      <c r="B457" s="6" t="n">
        <v>1011617564.32</v>
      </c>
      <c r="C457" s="6" t="n">
        <v>0</v>
      </c>
      <c r="D457" s="6" t="n">
        <v>1011617564.32</v>
      </c>
      <c r="E457" s="6" t="n">
        <v>374298.5</v>
      </c>
      <c r="F457" s="6" t="n">
        <v>0</v>
      </c>
      <c r="G457" s="6" t="n">
        <f aca="false">E457+F457</f>
        <v>374298.5</v>
      </c>
      <c r="H457" s="7" t="n">
        <f aca="false">IF(D457=0,0,C457/D457)</f>
        <v>0</v>
      </c>
      <c r="I457" s="7" t="n">
        <f aca="false">IF(D457=0,0,B457/D457)</f>
        <v>1</v>
      </c>
      <c r="J457" s="6" t="n">
        <f aca="false">E457*H457</f>
        <v>0</v>
      </c>
      <c r="K457" s="6" t="n">
        <f aca="false">E457*I457</f>
        <v>374298.5</v>
      </c>
      <c r="L457" s="6" t="n">
        <v>0</v>
      </c>
      <c r="M457" s="6" t="n">
        <v>374298.5</v>
      </c>
      <c r="N457" s="6"/>
      <c r="O457" s="6"/>
      <c r="P457" s="7"/>
      <c r="Q457" s="5" t="s">
        <v>26</v>
      </c>
      <c r="R457" s="5" t="s">
        <v>27</v>
      </c>
    </row>
    <row r="458" customFormat="false" ht="15" hidden="false" customHeight="true" outlineLevel="0" collapsed="false">
      <c r="A458" s="5" t="s">
        <v>482</v>
      </c>
      <c r="B458" s="6" t="n">
        <v>380334071.08</v>
      </c>
      <c r="C458" s="6" t="n">
        <v>0</v>
      </c>
      <c r="D458" s="6" t="n">
        <v>380334071.08</v>
      </c>
      <c r="E458" s="6" t="n">
        <v>140723.61</v>
      </c>
      <c r="F458" s="6" t="n">
        <v>0</v>
      </c>
      <c r="G458" s="6" t="n">
        <f aca="false">E458+F458</f>
        <v>140723.61</v>
      </c>
      <c r="H458" s="7" t="n">
        <f aca="false">IF(D458=0,0,C458/D458)</f>
        <v>0</v>
      </c>
      <c r="I458" s="7" t="n">
        <f aca="false">IF(D458=0,0,B458/D458)</f>
        <v>1</v>
      </c>
      <c r="J458" s="6" t="n">
        <f aca="false">E458*H458</f>
        <v>0</v>
      </c>
      <c r="K458" s="6" t="n">
        <f aca="false">E458*I458</f>
        <v>140723.61</v>
      </c>
      <c r="L458" s="6" t="n">
        <v>0</v>
      </c>
      <c r="M458" s="6" t="n">
        <v>140723.61</v>
      </c>
      <c r="N458" s="6"/>
      <c r="O458" s="6"/>
      <c r="P458" s="7"/>
      <c r="Q458" s="5" t="s">
        <v>26</v>
      </c>
      <c r="R458" s="5" t="s">
        <v>27</v>
      </c>
    </row>
    <row r="459" customFormat="false" ht="15" hidden="false" customHeight="true" outlineLevel="0" collapsed="false">
      <c r="A459" s="5" t="s">
        <v>483</v>
      </c>
      <c r="B459" s="6" t="n">
        <v>489580315.24</v>
      </c>
      <c r="C459" s="6" t="n">
        <v>0</v>
      </c>
      <c r="D459" s="6" t="n">
        <v>489580315.24</v>
      </c>
      <c r="E459" s="6" t="n">
        <v>181144.72</v>
      </c>
      <c r="F459" s="6" t="n">
        <v>0</v>
      </c>
      <c r="G459" s="6" t="n">
        <f aca="false">E459+F459</f>
        <v>181144.72</v>
      </c>
      <c r="H459" s="7" t="n">
        <f aca="false">IF(D459=0,0,C459/D459)</f>
        <v>0</v>
      </c>
      <c r="I459" s="7" t="n">
        <f aca="false">IF(D459=0,0,B459/D459)</f>
        <v>1</v>
      </c>
      <c r="J459" s="6" t="n">
        <f aca="false">E459*H459</f>
        <v>0</v>
      </c>
      <c r="K459" s="6" t="n">
        <f aca="false">E459*I459</f>
        <v>181144.72</v>
      </c>
      <c r="L459" s="6" t="n">
        <v>0</v>
      </c>
      <c r="M459" s="6" t="n">
        <v>181144.72</v>
      </c>
      <c r="N459" s="6"/>
      <c r="O459" s="6"/>
      <c r="P459" s="7"/>
      <c r="Q459" s="5" t="s">
        <v>26</v>
      </c>
      <c r="R459" s="5" t="s">
        <v>27</v>
      </c>
    </row>
    <row r="460" customFormat="false" ht="15" hidden="false" customHeight="true" outlineLevel="0" collapsed="false">
      <c r="A460" s="5" t="s">
        <v>484</v>
      </c>
      <c r="B460" s="6" t="n">
        <v>859237052.11</v>
      </c>
      <c r="C460" s="6" t="n">
        <v>0</v>
      </c>
      <c r="D460" s="6" t="n">
        <v>859237052.11</v>
      </c>
      <c r="E460" s="6" t="n">
        <v>317917.71</v>
      </c>
      <c r="F460" s="6" t="n">
        <v>0</v>
      </c>
      <c r="G460" s="6" t="n">
        <f aca="false">E460+F460</f>
        <v>317917.71</v>
      </c>
      <c r="H460" s="7" t="n">
        <f aca="false">IF(D460=0,0,C460/D460)</f>
        <v>0</v>
      </c>
      <c r="I460" s="7" t="n">
        <f aca="false">IF(D460=0,0,B460/D460)</f>
        <v>1</v>
      </c>
      <c r="J460" s="6" t="n">
        <f aca="false">E460*H460</f>
        <v>0</v>
      </c>
      <c r="K460" s="6" t="n">
        <f aca="false">E460*I460</f>
        <v>317917.71</v>
      </c>
      <c r="L460" s="6" t="n">
        <v>0</v>
      </c>
      <c r="M460" s="6" t="n">
        <v>317917.71</v>
      </c>
      <c r="N460" s="6"/>
      <c r="O460" s="6"/>
      <c r="P460" s="7"/>
      <c r="Q460" s="5" t="s">
        <v>26</v>
      </c>
      <c r="R460" s="5" t="s">
        <v>27</v>
      </c>
    </row>
    <row r="461" customFormat="false" ht="15" hidden="false" customHeight="true" outlineLevel="0" collapsed="false">
      <c r="A461" s="5" t="s">
        <v>485</v>
      </c>
      <c r="B461" s="6" t="n">
        <v>900366336.57</v>
      </c>
      <c r="C461" s="6" t="n">
        <v>0</v>
      </c>
      <c r="D461" s="6" t="n">
        <v>900366336.57</v>
      </c>
      <c r="E461" s="6" t="n">
        <v>333135.54</v>
      </c>
      <c r="F461" s="6" t="n">
        <v>0</v>
      </c>
      <c r="G461" s="6" t="n">
        <f aca="false">E461+F461</f>
        <v>333135.54</v>
      </c>
      <c r="H461" s="7" t="n">
        <f aca="false">IF(D461=0,0,C461/D461)</f>
        <v>0</v>
      </c>
      <c r="I461" s="7" t="n">
        <f aca="false">IF(D461=0,0,B461/D461)</f>
        <v>1</v>
      </c>
      <c r="J461" s="6" t="n">
        <f aca="false">E461*H461</f>
        <v>0</v>
      </c>
      <c r="K461" s="6" t="n">
        <f aca="false">E461*I461</f>
        <v>333135.54</v>
      </c>
      <c r="L461" s="6" t="n">
        <v>0</v>
      </c>
      <c r="M461" s="6" t="n">
        <v>333135.54</v>
      </c>
      <c r="N461" s="6"/>
      <c r="O461" s="6"/>
      <c r="P461" s="7"/>
      <c r="Q461" s="5" t="s">
        <v>26</v>
      </c>
      <c r="R461" s="5" t="s">
        <v>27</v>
      </c>
    </row>
    <row r="462" customFormat="false" ht="15" hidden="false" customHeight="true" outlineLevel="0" collapsed="false">
      <c r="A462" s="5" t="s">
        <v>486</v>
      </c>
      <c r="B462" s="6" t="n">
        <v>793866133.58</v>
      </c>
      <c r="C462" s="6" t="n">
        <v>0</v>
      </c>
      <c r="D462" s="6" t="n">
        <v>793866133.58</v>
      </c>
      <c r="E462" s="6" t="n">
        <v>293730.47</v>
      </c>
      <c r="F462" s="6" t="n">
        <v>0</v>
      </c>
      <c r="G462" s="6" t="n">
        <f aca="false">E462+F462</f>
        <v>293730.47</v>
      </c>
      <c r="H462" s="7" t="n">
        <f aca="false">IF(D462=0,0,C462/D462)</f>
        <v>0</v>
      </c>
      <c r="I462" s="7" t="n">
        <f aca="false">IF(D462=0,0,B462/D462)</f>
        <v>1</v>
      </c>
      <c r="J462" s="6" t="n">
        <f aca="false">E462*H462</f>
        <v>0</v>
      </c>
      <c r="K462" s="6" t="n">
        <f aca="false">E462*I462</f>
        <v>293730.47</v>
      </c>
      <c r="L462" s="6" t="n">
        <v>0</v>
      </c>
      <c r="M462" s="6" t="n">
        <v>293730.47</v>
      </c>
      <c r="N462" s="6"/>
      <c r="O462" s="6"/>
      <c r="P462" s="7"/>
      <c r="Q462" s="5" t="s">
        <v>26</v>
      </c>
      <c r="R462" s="5" t="s">
        <v>27</v>
      </c>
    </row>
    <row r="463" customFormat="false" ht="15" hidden="false" customHeight="true" outlineLevel="0" collapsed="false">
      <c r="A463" s="5" t="s">
        <v>487</v>
      </c>
      <c r="B463" s="6" t="n">
        <v>1088518736.4</v>
      </c>
      <c r="C463" s="6" t="n">
        <v>0</v>
      </c>
      <c r="D463" s="6" t="n">
        <v>1088518736.4</v>
      </c>
      <c r="E463" s="6" t="n">
        <v>402751.93</v>
      </c>
      <c r="F463" s="6" t="n">
        <v>0</v>
      </c>
      <c r="G463" s="6" t="n">
        <f aca="false">E463+F463</f>
        <v>402751.93</v>
      </c>
      <c r="H463" s="7" t="n">
        <f aca="false">IF(D463=0,0,C463/D463)</f>
        <v>0</v>
      </c>
      <c r="I463" s="7" t="n">
        <f aca="false">IF(D463=0,0,B463/D463)</f>
        <v>1</v>
      </c>
      <c r="J463" s="6" t="n">
        <f aca="false">E463*H463</f>
        <v>0</v>
      </c>
      <c r="K463" s="6" t="n">
        <f aca="false">E463*I463</f>
        <v>402751.93</v>
      </c>
      <c r="L463" s="6" t="n">
        <v>0</v>
      </c>
      <c r="M463" s="6" t="n">
        <v>402751.93</v>
      </c>
      <c r="N463" s="6"/>
      <c r="O463" s="6"/>
      <c r="P463" s="7"/>
      <c r="Q463" s="5" t="s">
        <v>26</v>
      </c>
      <c r="R463" s="5" t="s">
        <v>27</v>
      </c>
    </row>
    <row r="464" customFormat="false" ht="15" hidden="false" customHeight="true" outlineLevel="0" collapsed="false">
      <c r="A464" s="5" t="s">
        <v>488</v>
      </c>
      <c r="B464" s="6" t="n">
        <v>1192902076.76</v>
      </c>
      <c r="C464" s="6" t="n">
        <v>0</v>
      </c>
      <c r="D464" s="6" t="n">
        <v>1192902076.76</v>
      </c>
      <c r="E464" s="6" t="n">
        <v>441373.77</v>
      </c>
      <c r="F464" s="6" t="n">
        <v>0</v>
      </c>
      <c r="G464" s="6" t="n">
        <f aca="false">E464+F464</f>
        <v>441373.77</v>
      </c>
      <c r="H464" s="7" t="n">
        <f aca="false">IF(D464=0,0,C464/D464)</f>
        <v>0</v>
      </c>
      <c r="I464" s="7" t="n">
        <f aca="false">IF(D464=0,0,B464/D464)</f>
        <v>1</v>
      </c>
      <c r="J464" s="6" t="n">
        <f aca="false">E464*H464</f>
        <v>0</v>
      </c>
      <c r="K464" s="6" t="n">
        <f aca="false">E464*I464</f>
        <v>441373.77</v>
      </c>
      <c r="L464" s="6" t="n">
        <v>0</v>
      </c>
      <c r="M464" s="6" t="n">
        <v>441373.77</v>
      </c>
      <c r="N464" s="6"/>
      <c r="O464" s="6"/>
      <c r="P464" s="7"/>
      <c r="Q464" s="5" t="s">
        <v>26</v>
      </c>
      <c r="R464" s="5" t="s">
        <v>27</v>
      </c>
    </row>
    <row r="465" customFormat="false" ht="15" hidden="false" customHeight="true" outlineLevel="0" collapsed="false">
      <c r="A465" s="5" t="s">
        <v>489</v>
      </c>
      <c r="B465" s="6" t="n">
        <v>920795496.6</v>
      </c>
      <c r="C465" s="6" t="n">
        <v>0</v>
      </c>
      <c r="D465" s="6" t="n">
        <v>920795496.6</v>
      </c>
      <c r="E465" s="6" t="n">
        <v>340694.33</v>
      </c>
      <c r="F465" s="6" t="n">
        <v>0</v>
      </c>
      <c r="G465" s="6" t="n">
        <f aca="false">E465+F465</f>
        <v>340694.33</v>
      </c>
      <c r="H465" s="7" t="n">
        <f aca="false">IF(D465=0,0,C465/D465)</f>
        <v>0</v>
      </c>
      <c r="I465" s="7" t="n">
        <f aca="false">IF(D465=0,0,B465/D465)</f>
        <v>1</v>
      </c>
      <c r="J465" s="6" t="n">
        <f aca="false">E465*H465</f>
        <v>0</v>
      </c>
      <c r="K465" s="6" t="n">
        <f aca="false">E465*I465</f>
        <v>340694.33</v>
      </c>
      <c r="L465" s="6" t="n">
        <v>0</v>
      </c>
      <c r="M465" s="6" t="n">
        <v>340694.33</v>
      </c>
      <c r="N465" s="6"/>
      <c r="O465" s="6"/>
      <c r="P465" s="7"/>
      <c r="Q465" s="5" t="s">
        <v>26</v>
      </c>
      <c r="R465" s="5" t="s">
        <v>27</v>
      </c>
    </row>
    <row r="466" customFormat="false" ht="15" hidden="false" customHeight="true" outlineLevel="0" collapsed="false">
      <c r="A466" s="5" t="s">
        <v>490</v>
      </c>
      <c r="B466" s="6" t="n">
        <v>693388787</v>
      </c>
      <c r="C466" s="6" t="n">
        <v>0</v>
      </c>
      <c r="D466" s="6" t="n">
        <v>693388787</v>
      </c>
      <c r="E466" s="6" t="n">
        <v>256553.85</v>
      </c>
      <c r="F466" s="6" t="n">
        <v>0</v>
      </c>
      <c r="G466" s="6" t="n">
        <f aca="false">E466+F466</f>
        <v>256553.85</v>
      </c>
      <c r="H466" s="7" t="n">
        <f aca="false">IF(D466=0,0,C466/D466)</f>
        <v>0</v>
      </c>
      <c r="I466" s="7" t="n">
        <f aca="false">IF(D466=0,0,B466/D466)</f>
        <v>1</v>
      </c>
      <c r="J466" s="6" t="n">
        <f aca="false">E466*H466</f>
        <v>0</v>
      </c>
      <c r="K466" s="6" t="n">
        <f aca="false">E466*I466</f>
        <v>256553.85</v>
      </c>
      <c r="L466" s="6" t="n">
        <v>0</v>
      </c>
      <c r="M466" s="6" t="n">
        <v>256553.85</v>
      </c>
      <c r="N466" s="6"/>
      <c r="O466" s="6"/>
      <c r="P466" s="7"/>
      <c r="Q466" s="5" t="s">
        <v>26</v>
      </c>
      <c r="R466" s="5" t="s">
        <v>27</v>
      </c>
    </row>
    <row r="467" customFormat="false" ht="15" hidden="false" customHeight="true" outlineLevel="0" collapsed="false">
      <c r="A467" s="5" t="s">
        <v>491</v>
      </c>
      <c r="B467" s="6" t="n">
        <v>1201260824.66</v>
      </c>
      <c r="C467" s="6" t="n">
        <v>0</v>
      </c>
      <c r="D467" s="6" t="n">
        <v>1201260824.66</v>
      </c>
      <c r="E467" s="6" t="n">
        <v>444466.51</v>
      </c>
      <c r="F467" s="6" t="n">
        <v>0</v>
      </c>
      <c r="G467" s="6" t="n">
        <f aca="false">E467+F467</f>
        <v>444466.51</v>
      </c>
      <c r="H467" s="7" t="n">
        <f aca="false">IF(D467=0,0,C467/D467)</f>
        <v>0</v>
      </c>
      <c r="I467" s="7" t="n">
        <f aca="false">IF(D467=0,0,B467/D467)</f>
        <v>1</v>
      </c>
      <c r="J467" s="6" t="n">
        <f aca="false">E467*H467</f>
        <v>0</v>
      </c>
      <c r="K467" s="6" t="n">
        <f aca="false">E467*I467</f>
        <v>444466.51</v>
      </c>
      <c r="L467" s="6" t="n">
        <v>0</v>
      </c>
      <c r="M467" s="6" t="n">
        <v>444466.51</v>
      </c>
      <c r="N467" s="6"/>
      <c r="O467" s="6"/>
      <c r="P467" s="7"/>
      <c r="Q467" s="5" t="s">
        <v>26</v>
      </c>
      <c r="R467" s="5" t="s">
        <v>27</v>
      </c>
    </row>
    <row r="468" customFormat="false" ht="15" hidden="false" customHeight="true" outlineLevel="0" collapsed="false">
      <c r="A468" s="5" t="s">
        <v>492</v>
      </c>
      <c r="B468" s="6" t="n">
        <v>1617584020.42</v>
      </c>
      <c r="C468" s="6" t="n">
        <v>0</v>
      </c>
      <c r="D468" s="6" t="n">
        <v>1617584020.42</v>
      </c>
      <c r="E468" s="6" t="n">
        <v>598506.09</v>
      </c>
      <c r="F468" s="6" t="n">
        <v>0</v>
      </c>
      <c r="G468" s="6" t="n">
        <f aca="false">E468+F468</f>
        <v>598506.09</v>
      </c>
      <c r="H468" s="7" t="n">
        <f aca="false">IF(D468=0,0,C468/D468)</f>
        <v>0</v>
      </c>
      <c r="I468" s="7" t="n">
        <f aca="false">IF(D468=0,0,B468/D468)</f>
        <v>1</v>
      </c>
      <c r="J468" s="6" t="n">
        <f aca="false">E468*H468</f>
        <v>0</v>
      </c>
      <c r="K468" s="6" t="n">
        <f aca="false">E468*I468</f>
        <v>598506.09</v>
      </c>
      <c r="L468" s="6" t="n">
        <v>0</v>
      </c>
      <c r="M468" s="6" t="n">
        <v>598506.09</v>
      </c>
      <c r="N468" s="6"/>
      <c r="O468" s="6"/>
      <c r="P468" s="7"/>
      <c r="Q468" s="5" t="s">
        <v>26</v>
      </c>
      <c r="R468" s="5" t="s">
        <v>27</v>
      </c>
    </row>
    <row r="469" customFormat="false" ht="15" hidden="false" customHeight="true" outlineLevel="0" collapsed="false">
      <c r="A469" s="5" t="s">
        <v>493</v>
      </c>
      <c r="B469" s="6" t="n">
        <v>1528607141.23</v>
      </c>
      <c r="C469" s="6" t="n">
        <v>0</v>
      </c>
      <c r="D469" s="6" t="n">
        <v>1528607141.23</v>
      </c>
      <c r="E469" s="6" t="n">
        <v>565584.64</v>
      </c>
      <c r="F469" s="6" t="n">
        <v>0</v>
      </c>
      <c r="G469" s="6" t="n">
        <f aca="false">E469+F469</f>
        <v>565584.64</v>
      </c>
      <c r="H469" s="7" t="n">
        <f aca="false">IF(D469=0,0,C469/D469)</f>
        <v>0</v>
      </c>
      <c r="I469" s="7" t="n">
        <f aca="false">IF(D469=0,0,B469/D469)</f>
        <v>1</v>
      </c>
      <c r="J469" s="6" t="n">
        <f aca="false">E469*H469</f>
        <v>0</v>
      </c>
      <c r="K469" s="6" t="n">
        <f aca="false">E469*I469</f>
        <v>565584.64</v>
      </c>
      <c r="L469" s="6" t="n">
        <v>0</v>
      </c>
      <c r="M469" s="6" t="n">
        <v>565584.64</v>
      </c>
      <c r="N469" s="6"/>
      <c r="O469" s="6"/>
      <c r="P469" s="7"/>
      <c r="Q469" s="5" t="s">
        <v>26</v>
      </c>
      <c r="R469" s="5" t="s">
        <v>27</v>
      </c>
    </row>
    <row r="470" customFormat="false" ht="15" hidden="false" customHeight="true" outlineLevel="0" collapsed="false">
      <c r="A470" s="5" t="s">
        <v>494</v>
      </c>
      <c r="B470" s="6" t="n">
        <v>1079357035.89</v>
      </c>
      <c r="C470" s="6" t="n">
        <v>0</v>
      </c>
      <c r="D470" s="6" t="n">
        <v>1079357035.89</v>
      </c>
      <c r="E470" s="6" t="n">
        <v>399362.1</v>
      </c>
      <c r="F470" s="6" t="n">
        <v>0</v>
      </c>
      <c r="G470" s="6" t="n">
        <f aca="false">E470+F470</f>
        <v>399362.1</v>
      </c>
      <c r="H470" s="7" t="n">
        <f aca="false">IF(D470=0,0,C470/D470)</f>
        <v>0</v>
      </c>
      <c r="I470" s="7" t="n">
        <f aca="false">IF(D470=0,0,B470/D470)</f>
        <v>1</v>
      </c>
      <c r="J470" s="6" t="n">
        <f aca="false">E470*H470</f>
        <v>0</v>
      </c>
      <c r="K470" s="6" t="n">
        <f aca="false">E470*I470</f>
        <v>399362.1</v>
      </c>
      <c r="L470" s="6" t="n">
        <v>0</v>
      </c>
      <c r="M470" s="6" t="n">
        <v>399362.1</v>
      </c>
      <c r="N470" s="6"/>
      <c r="O470" s="6"/>
      <c r="P470" s="7"/>
      <c r="Q470" s="5" t="s">
        <v>26</v>
      </c>
      <c r="R470" s="5" t="s">
        <v>27</v>
      </c>
    </row>
    <row r="471" customFormat="false" ht="15" hidden="false" customHeight="true" outlineLevel="0" collapsed="false">
      <c r="A471" s="5" t="s">
        <v>495</v>
      </c>
      <c r="B471" s="6" t="n">
        <v>1052016850.23</v>
      </c>
      <c r="C471" s="6" t="n">
        <v>0</v>
      </c>
      <c r="D471" s="6" t="n">
        <v>1052016850.23</v>
      </c>
      <c r="E471" s="6" t="n">
        <v>389246.23</v>
      </c>
      <c r="F471" s="6" t="n">
        <v>0</v>
      </c>
      <c r="G471" s="6" t="n">
        <f aca="false">E471+F471</f>
        <v>389246.23</v>
      </c>
      <c r="H471" s="7" t="n">
        <f aca="false">IF(D471=0,0,C471/D471)</f>
        <v>0</v>
      </c>
      <c r="I471" s="7" t="n">
        <f aca="false">IF(D471=0,0,B471/D471)</f>
        <v>1</v>
      </c>
      <c r="J471" s="6" t="n">
        <f aca="false">E471*H471</f>
        <v>0</v>
      </c>
      <c r="K471" s="6" t="n">
        <f aca="false">E471*I471</f>
        <v>389246.23</v>
      </c>
      <c r="L471" s="6" t="n">
        <v>0</v>
      </c>
      <c r="M471" s="6" t="n">
        <v>389246.23</v>
      </c>
      <c r="N471" s="6"/>
      <c r="O471" s="6"/>
      <c r="P471" s="7"/>
      <c r="Q471" s="5" t="s">
        <v>26</v>
      </c>
      <c r="R471" s="5" t="s">
        <v>27</v>
      </c>
    </row>
    <row r="472" customFormat="false" ht="15" hidden="false" customHeight="true" outlineLevel="0" collapsed="false">
      <c r="A472" s="5" t="s">
        <v>496</v>
      </c>
      <c r="B472" s="6" t="n">
        <v>319840012.79</v>
      </c>
      <c r="C472" s="6" t="n">
        <v>0</v>
      </c>
      <c r="D472" s="6" t="n">
        <v>319840012.79</v>
      </c>
      <c r="E472" s="6" t="n">
        <v>118340.8</v>
      </c>
      <c r="F472" s="6" t="n">
        <v>0</v>
      </c>
      <c r="G472" s="6" t="n">
        <f aca="false">E472+F472</f>
        <v>118340.8</v>
      </c>
      <c r="H472" s="7" t="n">
        <f aca="false">IF(D472=0,0,C472/D472)</f>
        <v>0</v>
      </c>
      <c r="I472" s="7" t="n">
        <f aca="false">IF(D472=0,0,B472/D472)</f>
        <v>1</v>
      </c>
      <c r="J472" s="6" t="n">
        <f aca="false">E472*H472</f>
        <v>0</v>
      </c>
      <c r="K472" s="6" t="n">
        <f aca="false">E472*I472</f>
        <v>118340.8</v>
      </c>
      <c r="L472" s="6" t="n">
        <v>0</v>
      </c>
      <c r="M472" s="6" t="n">
        <v>118340.8</v>
      </c>
      <c r="N472" s="6"/>
      <c r="O472" s="6"/>
      <c r="P472" s="7"/>
      <c r="Q472" s="5" t="s">
        <v>26</v>
      </c>
      <c r="R472" s="5" t="s">
        <v>27</v>
      </c>
    </row>
    <row r="473" customFormat="false" ht="15" hidden="false" customHeight="true" outlineLevel="0" collapsed="false">
      <c r="A473" s="5" t="s">
        <v>497</v>
      </c>
      <c r="B473" s="6" t="n">
        <v>578039498.21</v>
      </c>
      <c r="C473" s="6" t="n">
        <v>0</v>
      </c>
      <c r="D473" s="6" t="n">
        <v>578039498.21</v>
      </c>
      <c r="E473" s="6" t="n">
        <v>213874.61</v>
      </c>
      <c r="F473" s="6" t="n">
        <v>0</v>
      </c>
      <c r="G473" s="6" t="n">
        <f aca="false">E473+F473</f>
        <v>213874.61</v>
      </c>
      <c r="H473" s="7" t="n">
        <f aca="false">IF(D473=0,0,C473/D473)</f>
        <v>0</v>
      </c>
      <c r="I473" s="7" t="n">
        <f aca="false">IF(D473=0,0,B473/D473)</f>
        <v>1</v>
      </c>
      <c r="J473" s="6" t="n">
        <f aca="false">E473*H473</f>
        <v>0</v>
      </c>
      <c r="K473" s="6" t="n">
        <f aca="false">E473*I473</f>
        <v>213874.61</v>
      </c>
      <c r="L473" s="6" t="n">
        <v>0</v>
      </c>
      <c r="M473" s="6" t="n">
        <v>213874.61</v>
      </c>
      <c r="N473" s="6"/>
      <c r="O473" s="6"/>
      <c r="P473" s="7"/>
      <c r="Q473" s="5" t="s">
        <v>26</v>
      </c>
      <c r="R473" s="5" t="s">
        <v>27</v>
      </c>
    </row>
    <row r="474" customFormat="false" ht="15" hidden="false" customHeight="true" outlineLevel="0" collapsed="false">
      <c r="A474" s="5" t="s">
        <v>498</v>
      </c>
      <c r="B474" s="6" t="n">
        <v>846683237.41</v>
      </c>
      <c r="C474" s="6" t="n">
        <v>0</v>
      </c>
      <c r="D474" s="6" t="n">
        <v>846683237.41</v>
      </c>
      <c r="E474" s="6" t="n">
        <v>313272.8</v>
      </c>
      <c r="F474" s="6" t="n">
        <v>0</v>
      </c>
      <c r="G474" s="6" t="n">
        <f aca="false">E474+F474</f>
        <v>313272.8</v>
      </c>
      <c r="H474" s="7" t="n">
        <f aca="false">IF(D474=0,0,C474/D474)</f>
        <v>0</v>
      </c>
      <c r="I474" s="7" t="n">
        <f aca="false">IF(D474=0,0,B474/D474)</f>
        <v>1</v>
      </c>
      <c r="J474" s="6" t="n">
        <f aca="false">E474*H474</f>
        <v>0</v>
      </c>
      <c r="K474" s="6" t="n">
        <f aca="false">E474*I474</f>
        <v>313272.8</v>
      </c>
      <c r="L474" s="6" t="n">
        <v>0</v>
      </c>
      <c r="M474" s="6" t="n">
        <v>313272.8</v>
      </c>
      <c r="N474" s="6"/>
      <c r="O474" s="6"/>
      <c r="P474" s="7"/>
      <c r="Q474" s="5" t="s">
        <v>26</v>
      </c>
      <c r="R474" s="5" t="s">
        <v>27</v>
      </c>
    </row>
    <row r="475" customFormat="false" ht="15" hidden="false" customHeight="true" outlineLevel="0" collapsed="false">
      <c r="A475" s="5" t="s">
        <v>499</v>
      </c>
      <c r="B475" s="6" t="n">
        <v>854238540.1</v>
      </c>
      <c r="C475" s="6" t="n">
        <v>0</v>
      </c>
      <c r="D475" s="6" t="n">
        <v>854238540.1</v>
      </c>
      <c r="E475" s="6" t="n">
        <v>316068.26</v>
      </c>
      <c r="F475" s="6" t="n">
        <v>0</v>
      </c>
      <c r="G475" s="6" t="n">
        <f aca="false">E475+F475</f>
        <v>316068.26</v>
      </c>
      <c r="H475" s="7" t="n">
        <f aca="false">IF(D475=0,0,C475/D475)</f>
        <v>0</v>
      </c>
      <c r="I475" s="7" t="n">
        <f aca="false">IF(D475=0,0,B475/D475)</f>
        <v>1</v>
      </c>
      <c r="J475" s="6" t="n">
        <f aca="false">E475*H475</f>
        <v>0</v>
      </c>
      <c r="K475" s="6" t="n">
        <f aca="false">E475*I475</f>
        <v>316068.26</v>
      </c>
      <c r="L475" s="6" t="n">
        <v>0</v>
      </c>
      <c r="M475" s="6" t="n">
        <v>316068.26</v>
      </c>
      <c r="N475" s="6"/>
      <c r="O475" s="6"/>
      <c r="P475" s="7"/>
      <c r="Q475" s="5" t="s">
        <v>26</v>
      </c>
      <c r="R475" s="5" t="s">
        <v>27</v>
      </c>
    </row>
    <row r="476" customFormat="false" ht="15" hidden="false" customHeight="true" outlineLevel="0" collapsed="false">
      <c r="A476" s="5" t="s">
        <v>500</v>
      </c>
      <c r="B476" s="6" t="n">
        <v>1275862149.84</v>
      </c>
      <c r="C476" s="6" t="n">
        <v>0</v>
      </c>
      <c r="D476" s="6" t="n">
        <v>1275862149.84</v>
      </c>
      <c r="E476" s="6" t="n">
        <v>472069</v>
      </c>
      <c r="F476" s="6" t="n">
        <v>0</v>
      </c>
      <c r="G476" s="6" t="n">
        <f aca="false">E476+F476</f>
        <v>472069</v>
      </c>
      <c r="H476" s="7" t="n">
        <f aca="false">IF(D476=0,0,C476/D476)</f>
        <v>0</v>
      </c>
      <c r="I476" s="7" t="n">
        <f aca="false">IF(D476=0,0,B476/D476)</f>
        <v>1</v>
      </c>
      <c r="J476" s="6" t="n">
        <f aca="false">E476*H476</f>
        <v>0</v>
      </c>
      <c r="K476" s="6" t="n">
        <f aca="false">E476*I476</f>
        <v>472069</v>
      </c>
      <c r="L476" s="6" t="n">
        <v>0</v>
      </c>
      <c r="M476" s="6" t="n">
        <v>472069</v>
      </c>
      <c r="N476" s="6"/>
      <c r="O476" s="6"/>
      <c r="P476" s="7"/>
      <c r="Q476" s="5" t="s">
        <v>26</v>
      </c>
      <c r="R476" s="5" t="s">
        <v>27</v>
      </c>
    </row>
    <row r="477" customFormat="false" ht="15" hidden="false" customHeight="true" outlineLevel="0" collapsed="false">
      <c r="A477" s="5" t="s">
        <v>501</v>
      </c>
      <c r="B477" s="6" t="n">
        <v>878894865.77</v>
      </c>
      <c r="C477" s="6" t="n">
        <v>0</v>
      </c>
      <c r="D477" s="6" t="n">
        <v>878894865.77</v>
      </c>
      <c r="E477" s="6" t="n">
        <v>325191.1</v>
      </c>
      <c r="F477" s="6" t="n">
        <v>0</v>
      </c>
      <c r="G477" s="6" t="n">
        <f aca="false">E477+F477</f>
        <v>325191.1</v>
      </c>
      <c r="H477" s="7" t="n">
        <f aca="false">IF(D477=0,0,C477/D477)</f>
        <v>0</v>
      </c>
      <c r="I477" s="7" t="n">
        <f aca="false">IF(D477=0,0,B477/D477)</f>
        <v>1</v>
      </c>
      <c r="J477" s="6" t="n">
        <f aca="false">E477*H477</f>
        <v>0</v>
      </c>
      <c r="K477" s="6" t="n">
        <f aca="false">E477*I477</f>
        <v>325191.1</v>
      </c>
      <c r="L477" s="6" t="n">
        <v>0</v>
      </c>
      <c r="M477" s="6" t="n">
        <v>325191.1</v>
      </c>
      <c r="N477" s="6"/>
      <c r="O477" s="6"/>
      <c r="P477" s="7"/>
      <c r="Q477" s="5" t="s">
        <v>26</v>
      </c>
      <c r="R477" s="5" t="s">
        <v>27</v>
      </c>
    </row>
    <row r="478" customFormat="false" ht="15" hidden="false" customHeight="true" outlineLevel="0" collapsed="false">
      <c r="A478" s="5" t="s">
        <v>502</v>
      </c>
      <c r="B478" s="6" t="n">
        <v>1433256773.81</v>
      </c>
      <c r="C478" s="6" t="n">
        <v>0</v>
      </c>
      <c r="D478" s="6" t="n">
        <v>1433256773.81</v>
      </c>
      <c r="E478" s="6" t="n">
        <v>530305.01</v>
      </c>
      <c r="F478" s="6" t="n">
        <v>0</v>
      </c>
      <c r="G478" s="6" t="n">
        <f aca="false">E478+F478</f>
        <v>530305.01</v>
      </c>
      <c r="H478" s="7" t="n">
        <f aca="false">IF(D478=0,0,C478/D478)</f>
        <v>0</v>
      </c>
      <c r="I478" s="7" t="n">
        <f aca="false">IF(D478=0,0,B478/D478)</f>
        <v>1</v>
      </c>
      <c r="J478" s="6" t="n">
        <f aca="false">E478*H478</f>
        <v>0</v>
      </c>
      <c r="K478" s="6" t="n">
        <f aca="false">E478*I478</f>
        <v>530305.01</v>
      </c>
      <c r="L478" s="6" t="n">
        <v>0</v>
      </c>
      <c r="M478" s="6" t="n">
        <v>530305.01</v>
      </c>
      <c r="N478" s="6"/>
      <c r="O478" s="6"/>
      <c r="P478" s="7"/>
      <c r="Q478" s="5" t="s">
        <v>26</v>
      </c>
      <c r="R478" s="5" t="s">
        <v>27</v>
      </c>
    </row>
    <row r="479" customFormat="false" ht="15" hidden="false" customHeight="true" outlineLevel="0" collapsed="false">
      <c r="A479" s="5" t="s">
        <v>503</v>
      </c>
      <c r="B479" s="6" t="n">
        <v>513991172.76</v>
      </c>
      <c r="C479" s="6" t="n">
        <v>0</v>
      </c>
      <c r="D479" s="6" t="n">
        <v>513991172.76</v>
      </c>
      <c r="E479" s="6" t="n">
        <v>190176.73</v>
      </c>
      <c r="F479" s="6" t="n">
        <v>0</v>
      </c>
      <c r="G479" s="6" t="n">
        <f aca="false">E479+F479</f>
        <v>190176.73</v>
      </c>
      <c r="H479" s="7" t="n">
        <f aca="false">IF(D479=0,0,C479/D479)</f>
        <v>0</v>
      </c>
      <c r="I479" s="7" t="n">
        <f aca="false">IF(D479=0,0,B479/D479)</f>
        <v>1</v>
      </c>
      <c r="J479" s="6" t="n">
        <f aca="false">E479*H479</f>
        <v>0</v>
      </c>
      <c r="K479" s="6" t="n">
        <f aca="false">E479*I479</f>
        <v>190176.73</v>
      </c>
      <c r="L479" s="6" t="n">
        <v>0</v>
      </c>
      <c r="M479" s="6" t="n">
        <v>190176.73</v>
      </c>
      <c r="N479" s="6"/>
      <c r="O479" s="6"/>
      <c r="P479" s="7"/>
      <c r="Q479" s="5" t="s">
        <v>26</v>
      </c>
      <c r="R479" s="5" t="s">
        <v>27</v>
      </c>
    </row>
    <row r="480" customFormat="false" ht="15" hidden="false" customHeight="true" outlineLevel="0" collapsed="false">
      <c r="A480" s="5" t="s">
        <v>504</v>
      </c>
      <c r="B480" s="6" t="n">
        <v>598642025.44</v>
      </c>
      <c r="C480" s="6" t="n">
        <v>0</v>
      </c>
      <c r="D480" s="6" t="n">
        <v>598642025.44</v>
      </c>
      <c r="E480" s="6" t="n">
        <v>221497.55</v>
      </c>
      <c r="F480" s="6" t="n">
        <v>0</v>
      </c>
      <c r="G480" s="6" t="n">
        <f aca="false">E480+F480</f>
        <v>221497.55</v>
      </c>
      <c r="H480" s="7" t="n">
        <f aca="false">IF(D480=0,0,C480/D480)</f>
        <v>0</v>
      </c>
      <c r="I480" s="7" t="n">
        <f aca="false">IF(D480=0,0,B480/D480)</f>
        <v>1</v>
      </c>
      <c r="J480" s="6" t="n">
        <f aca="false">E480*H480</f>
        <v>0</v>
      </c>
      <c r="K480" s="6" t="n">
        <f aca="false">E480*I480</f>
        <v>221497.55</v>
      </c>
      <c r="L480" s="6" t="n">
        <v>0</v>
      </c>
      <c r="M480" s="6" t="n">
        <v>221497.55</v>
      </c>
      <c r="N480" s="6"/>
      <c r="O480" s="6"/>
      <c r="P480" s="7"/>
      <c r="Q480" s="5" t="s">
        <v>26</v>
      </c>
      <c r="R480" s="5" t="s">
        <v>27</v>
      </c>
    </row>
    <row r="481" customFormat="false" ht="15" hidden="false" customHeight="true" outlineLevel="0" collapsed="false">
      <c r="A481" s="5" t="s">
        <v>505</v>
      </c>
      <c r="B481" s="6" t="n">
        <v>1074233987.36</v>
      </c>
      <c r="C481" s="6" t="n">
        <v>0</v>
      </c>
      <c r="D481" s="6" t="n">
        <v>1074233987.36</v>
      </c>
      <c r="E481" s="6" t="n">
        <v>397466.58</v>
      </c>
      <c r="F481" s="6" t="n">
        <v>0</v>
      </c>
      <c r="G481" s="6" t="n">
        <f aca="false">E481+F481</f>
        <v>397466.58</v>
      </c>
      <c r="H481" s="7" t="n">
        <f aca="false">IF(D481=0,0,C481/D481)</f>
        <v>0</v>
      </c>
      <c r="I481" s="7" t="n">
        <f aca="false">IF(D481=0,0,B481/D481)</f>
        <v>1</v>
      </c>
      <c r="J481" s="6" t="n">
        <f aca="false">E481*H481</f>
        <v>0</v>
      </c>
      <c r="K481" s="6" t="n">
        <f aca="false">E481*I481</f>
        <v>397466.58</v>
      </c>
      <c r="L481" s="6" t="n">
        <v>0</v>
      </c>
      <c r="M481" s="6" t="n">
        <v>397466.58</v>
      </c>
      <c r="N481" s="6"/>
      <c r="O481" s="6"/>
      <c r="P481" s="7"/>
      <c r="Q481" s="5" t="s">
        <v>26</v>
      </c>
      <c r="R481" s="5" t="s">
        <v>27</v>
      </c>
    </row>
    <row r="482" customFormat="false" ht="15" hidden="false" customHeight="true" outlineLevel="0" collapsed="false">
      <c r="A482" s="5" t="s">
        <v>506</v>
      </c>
      <c r="B482" s="6" t="n">
        <v>855579277.11</v>
      </c>
      <c r="C482" s="6" t="n">
        <v>0</v>
      </c>
      <c r="D482" s="6" t="n">
        <v>855579277.11</v>
      </c>
      <c r="E482" s="6" t="n">
        <v>316564.33</v>
      </c>
      <c r="F482" s="6" t="n">
        <v>0</v>
      </c>
      <c r="G482" s="6" t="n">
        <f aca="false">E482+F482</f>
        <v>316564.33</v>
      </c>
      <c r="H482" s="7" t="n">
        <f aca="false">IF(D482=0,0,C482/D482)</f>
        <v>0</v>
      </c>
      <c r="I482" s="7" t="n">
        <f aca="false">IF(D482=0,0,B482/D482)</f>
        <v>1</v>
      </c>
      <c r="J482" s="6" t="n">
        <f aca="false">E482*H482</f>
        <v>0</v>
      </c>
      <c r="K482" s="6" t="n">
        <f aca="false">E482*I482</f>
        <v>316564.33</v>
      </c>
      <c r="L482" s="6" t="n">
        <v>0</v>
      </c>
      <c r="M482" s="6" t="n">
        <v>316564.33</v>
      </c>
      <c r="N482" s="6"/>
      <c r="O482" s="6"/>
      <c r="P482" s="7"/>
      <c r="Q482" s="5" t="s">
        <v>26</v>
      </c>
      <c r="R482" s="5" t="s">
        <v>27</v>
      </c>
    </row>
    <row r="483" customFormat="false" ht="15" hidden="false" customHeight="true" outlineLevel="0" collapsed="false">
      <c r="A483" s="5" t="s">
        <v>507</v>
      </c>
      <c r="B483" s="6" t="n">
        <v>1041841157.59</v>
      </c>
      <c r="C483" s="6" t="n">
        <v>0</v>
      </c>
      <c r="D483" s="6" t="n">
        <v>1041841157.59</v>
      </c>
      <c r="E483" s="6" t="n">
        <v>385481.23</v>
      </c>
      <c r="F483" s="6" t="n">
        <v>0</v>
      </c>
      <c r="G483" s="6" t="n">
        <f aca="false">E483+F483</f>
        <v>385481.23</v>
      </c>
      <c r="H483" s="7" t="n">
        <f aca="false">IF(D483=0,0,C483/D483)</f>
        <v>0</v>
      </c>
      <c r="I483" s="7" t="n">
        <f aca="false">IF(D483=0,0,B483/D483)</f>
        <v>1</v>
      </c>
      <c r="J483" s="6" t="n">
        <f aca="false">E483*H483</f>
        <v>0</v>
      </c>
      <c r="K483" s="6" t="n">
        <f aca="false">E483*I483</f>
        <v>385481.23</v>
      </c>
      <c r="L483" s="6" t="n">
        <v>0</v>
      </c>
      <c r="M483" s="6" t="n">
        <v>385481.23</v>
      </c>
      <c r="N483" s="6"/>
      <c r="O483" s="6"/>
      <c r="P483" s="7"/>
      <c r="Q483" s="5" t="s">
        <v>26</v>
      </c>
      <c r="R483" s="5" t="s">
        <v>27</v>
      </c>
    </row>
    <row r="484" customFormat="false" ht="15" hidden="false" customHeight="true" outlineLevel="0" collapsed="false">
      <c r="A484" s="5" t="s">
        <v>508</v>
      </c>
      <c r="B484" s="6" t="n">
        <v>919048081.64</v>
      </c>
      <c r="C484" s="6" t="n">
        <v>0</v>
      </c>
      <c r="D484" s="6" t="n">
        <v>919048081.64</v>
      </c>
      <c r="E484" s="6" t="n">
        <v>340047.79</v>
      </c>
      <c r="F484" s="6" t="n">
        <v>0</v>
      </c>
      <c r="G484" s="6" t="n">
        <f aca="false">E484+F484</f>
        <v>340047.79</v>
      </c>
      <c r="H484" s="7" t="n">
        <f aca="false">IF(D484=0,0,C484/D484)</f>
        <v>0</v>
      </c>
      <c r="I484" s="7" t="n">
        <f aca="false">IF(D484=0,0,B484/D484)</f>
        <v>1</v>
      </c>
      <c r="J484" s="6" t="n">
        <f aca="false">E484*H484</f>
        <v>0</v>
      </c>
      <c r="K484" s="6" t="n">
        <f aca="false">E484*I484</f>
        <v>340047.79</v>
      </c>
      <c r="L484" s="6" t="n">
        <v>0</v>
      </c>
      <c r="M484" s="6" t="n">
        <v>340047.79</v>
      </c>
      <c r="N484" s="6"/>
      <c r="O484" s="6"/>
      <c r="P484" s="7"/>
      <c r="Q484" s="5" t="s">
        <v>26</v>
      </c>
      <c r="R484" s="5" t="s">
        <v>27</v>
      </c>
    </row>
    <row r="485" customFormat="false" ht="15" hidden="false" customHeight="true" outlineLevel="0" collapsed="false">
      <c r="A485" s="5" t="s">
        <v>509</v>
      </c>
      <c r="B485" s="6" t="n">
        <v>880311427.97</v>
      </c>
      <c r="C485" s="6" t="n">
        <v>0</v>
      </c>
      <c r="D485" s="6" t="n">
        <v>880311427.97</v>
      </c>
      <c r="E485" s="6" t="n">
        <v>325715.23</v>
      </c>
      <c r="F485" s="6" t="n">
        <v>0</v>
      </c>
      <c r="G485" s="6" t="n">
        <f aca="false">E485+F485</f>
        <v>325715.23</v>
      </c>
      <c r="H485" s="7" t="n">
        <f aca="false">IF(D485=0,0,C485/D485)</f>
        <v>0</v>
      </c>
      <c r="I485" s="7" t="n">
        <f aca="false">IF(D485=0,0,B485/D485)</f>
        <v>1</v>
      </c>
      <c r="J485" s="6" t="n">
        <f aca="false">E485*H485</f>
        <v>0</v>
      </c>
      <c r="K485" s="6" t="n">
        <f aca="false">E485*I485</f>
        <v>325715.23</v>
      </c>
      <c r="L485" s="6" t="n">
        <v>0</v>
      </c>
      <c r="M485" s="6" t="n">
        <v>325715.23</v>
      </c>
      <c r="N485" s="6"/>
      <c r="O485" s="6"/>
      <c r="P485" s="7"/>
      <c r="Q485" s="5" t="s">
        <v>26</v>
      </c>
      <c r="R485" s="5" t="s">
        <v>27</v>
      </c>
    </row>
    <row r="486" customFormat="false" ht="15" hidden="false" customHeight="true" outlineLevel="0" collapsed="false">
      <c r="A486" s="5" t="s">
        <v>510</v>
      </c>
      <c r="B486" s="6" t="n">
        <v>401818945.81</v>
      </c>
      <c r="C486" s="6" t="n">
        <v>0</v>
      </c>
      <c r="D486" s="6" t="n">
        <v>401818945.81</v>
      </c>
      <c r="E486" s="6" t="n">
        <v>148673.01</v>
      </c>
      <c r="F486" s="6" t="n">
        <v>0</v>
      </c>
      <c r="G486" s="6" t="n">
        <f aca="false">E486+F486</f>
        <v>148673.01</v>
      </c>
      <c r="H486" s="7" t="n">
        <f aca="false">IF(D486=0,0,C486/D486)</f>
        <v>0</v>
      </c>
      <c r="I486" s="7" t="n">
        <f aca="false">IF(D486=0,0,B486/D486)</f>
        <v>1</v>
      </c>
      <c r="J486" s="6" t="n">
        <f aca="false">E486*H486</f>
        <v>0</v>
      </c>
      <c r="K486" s="6" t="n">
        <f aca="false">E486*I486</f>
        <v>148673.01</v>
      </c>
      <c r="L486" s="6" t="n">
        <v>0</v>
      </c>
      <c r="M486" s="6" t="n">
        <v>148673.01</v>
      </c>
      <c r="N486" s="6"/>
      <c r="O486" s="6"/>
      <c r="P486" s="7"/>
      <c r="Q486" s="5" t="s">
        <v>26</v>
      </c>
      <c r="R486" s="5" t="s">
        <v>27</v>
      </c>
    </row>
    <row r="487" customFormat="false" ht="15" hidden="false" customHeight="true" outlineLevel="0" collapsed="false">
      <c r="A487" s="5" t="s">
        <v>511</v>
      </c>
      <c r="B487" s="6" t="n">
        <v>567993219.75</v>
      </c>
      <c r="C487" s="6" t="n">
        <v>0</v>
      </c>
      <c r="D487" s="6" t="n">
        <v>567993219.75</v>
      </c>
      <c r="E487" s="6" t="n">
        <v>210157.49</v>
      </c>
      <c r="F487" s="6" t="n">
        <v>0</v>
      </c>
      <c r="G487" s="6" t="n">
        <f aca="false">E487+F487</f>
        <v>210157.49</v>
      </c>
      <c r="H487" s="7" t="n">
        <f aca="false">IF(D487=0,0,C487/D487)</f>
        <v>0</v>
      </c>
      <c r="I487" s="7" t="n">
        <f aca="false">IF(D487=0,0,B487/D487)</f>
        <v>1</v>
      </c>
      <c r="J487" s="6" t="n">
        <f aca="false">E487*H487</f>
        <v>0</v>
      </c>
      <c r="K487" s="6" t="n">
        <f aca="false">E487*I487</f>
        <v>210157.49</v>
      </c>
      <c r="L487" s="6" t="n">
        <v>0</v>
      </c>
      <c r="M487" s="6" t="n">
        <v>210157.49</v>
      </c>
      <c r="N487" s="6"/>
      <c r="O487" s="6"/>
      <c r="P487" s="7"/>
      <c r="Q487" s="5" t="s">
        <v>26</v>
      </c>
      <c r="R487" s="5" t="s">
        <v>27</v>
      </c>
    </row>
    <row r="488" customFormat="false" ht="15" hidden="false" customHeight="true" outlineLevel="0" collapsed="false">
      <c r="A488" s="5" t="s">
        <v>512</v>
      </c>
      <c r="B488" s="6" t="n">
        <v>1079725569.06</v>
      </c>
      <c r="C488" s="6" t="n">
        <v>0</v>
      </c>
      <c r="D488" s="6" t="n">
        <v>1079725569.06</v>
      </c>
      <c r="E488" s="6" t="n">
        <v>399498.46</v>
      </c>
      <c r="F488" s="6" t="n">
        <v>0</v>
      </c>
      <c r="G488" s="6" t="n">
        <f aca="false">E488+F488</f>
        <v>399498.46</v>
      </c>
      <c r="H488" s="7" t="n">
        <f aca="false">IF(D488=0,0,C488/D488)</f>
        <v>0</v>
      </c>
      <c r="I488" s="7" t="n">
        <f aca="false">IF(D488=0,0,B488/D488)</f>
        <v>1</v>
      </c>
      <c r="J488" s="6" t="n">
        <f aca="false">E488*H488</f>
        <v>0</v>
      </c>
      <c r="K488" s="6" t="n">
        <f aca="false">E488*I488</f>
        <v>399498.46</v>
      </c>
      <c r="L488" s="6" t="n">
        <v>0</v>
      </c>
      <c r="M488" s="6" t="n">
        <v>399498.46</v>
      </c>
      <c r="N488" s="6"/>
      <c r="O488" s="6"/>
      <c r="P488" s="7"/>
      <c r="Q488" s="5" t="s">
        <v>26</v>
      </c>
      <c r="R488" s="5" t="s">
        <v>27</v>
      </c>
    </row>
    <row r="489" customFormat="false" ht="15" hidden="false" customHeight="true" outlineLevel="0" collapsed="false">
      <c r="A489" s="5" t="s">
        <v>513</v>
      </c>
      <c r="B489" s="6" t="n">
        <v>1028171990.64</v>
      </c>
      <c r="C489" s="6" t="n">
        <v>0</v>
      </c>
      <c r="D489" s="6" t="n">
        <v>1028171990.64</v>
      </c>
      <c r="E489" s="6" t="n">
        <v>380423.64</v>
      </c>
      <c r="F489" s="6" t="n">
        <v>0</v>
      </c>
      <c r="G489" s="6" t="n">
        <f aca="false">E489+F489</f>
        <v>380423.64</v>
      </c>
      <c r="H489" s="7" t="n">
        <f aca="false">IF(D489=0,0,C489/D489)</f>
        <v>0</v>
      </c>
      <c r="I489" s="7" t="n">
        <f aca="false">IF(D489=0,0,B489/D489)</f>
        <v>1</v>
      </c>
      <c r="J489" s="6" t="n">
        <f aca="false">E489*H489</f>
        <v>0</v>
      </c>
      <c r="K489" s="6" t="n">
        <f aca="false">E489*I489</f>
        <v>380423.64</v>
      </c>
      <c r="L489" s="6" t="n">
        <v>0</v>
      </c>
      <c r="M489" s="6" t="n">
        <v>380423.64</v>
      </c>
      <c r="N489" s="6"/>
      <c r="O489" s="6"/>
      <c r="P489" s="7"/>
      <c r="Q489" s="5" t="s">
        <v>26</v>
      </c>
      <c r="R489" s="5" t="s">
        <v>27</v>
      </c>
    </row>
    <row r="490" customFormat="false" ht="15" hidden="false" customHeight="true" outlineLevel="0" collapsed="false">
      <c r="A490" s="5" t="s">
        <v>514</v>
      </c>
      <c r="B490" s="6" t="n">
        <v>1309839931.91</v>
      </c>
      <c r="C490" s="6" t="n">
        <v>0</v>
      </c>
      <c r="D490" s="6" t="n">
        <v>1309839931.91</v>
      </c>
      <c r="E490" s="6" t="n">
        <v>484640.77</v>
      </c>
      <c r="F490" s="6" t="n">
        <v>0</v>
      </c>
      <c r="G490" s="6" t="n">
        <f aca="false">E490+F490</f>
        <v>484640.77</v>
      </c>
      <c r="H490" s="7" t="n">
        <f aca="false">IF(D490=0,0,C490/D490)</f>
        <v>0</v>
      </c>
      <c r="I490" s="7" t="n">
        <f aca="false">IF(D490=0,0,B490/D490)</f>
        <v>1</v>
      </c>
      <c r="J490" s="6" t="n">
        <f aca="false">E490*H490</f>
        <v>0</v>
      </c>
      <c r="K490" s="6" t="n">
        <f aca="false">E490*I490</f>
        <v>484640.77</v>
      </c>
      <c r="L490" s="6" t="n">
        <v>0</v>
      </c>
      <c r="M490" s="6" t="n">
        <v>484640.77</v>
      </c>
      <c r="N490" s="6"/>
      <c r="O490" s="6"/>
      <c r="P490" s="7"/>
      <c r="Q490" s="5" t="s">
        <v>26</v>
      </c>
      <c r="R490" s="5" t="s">
        <v>27</v>
      </c>
    </row>
    <row r="491" customFormat="false" ht="15" hidden="false" customHeight="true" outlineLevel="0" collapsed="false">
      <c r="A491" s="5" t="s">
        <v>515</v>
      </c>
      <c r="B491" s="6" t="n">
        <v>1761952193.8</v>
      </c>
      <c r="C491" s="6" t="n">
        <v>0</v>
      </c>
      <c r="D491" s="6" t="n">
        <v>1761952193.8</v>
      </c>
      <c r="E491" s="6" t="n">
        <v>651922.31</v>
      </c>
      <c r="F491" s="6" t="n">
        <v>0</v>
      </c>
      <c r="G491" s="6" t="n">
        <f aca="false">E491+F491</f>
        <v>651922.31</v>
      </c>
      <c r="H491" s="7" t="n">
        <f aca="false">IF(D491=0,0,C491/D491)</f>
        <v>0</v>
      </c>
      <c r="I491" s="7" t="n">
        <f aca="false">IF(D491=0,0,B491/D491)</f>
        <v>1</v>
      </c>
      <c r="J491" s="6" t="n">
        <f aca="false">E491*H491</f>
        <v>0</v>
      </c>
      <c r="K491" s="6" t="n">
        <f aca="false">E491*I491</f>
        <v>651922.31</v>
      </c>
      <c r="L491" s="6" t="n">
        <v>0</v>
      </c>
      <c r="M491" s="6" t="n">
        <v>651922.31</v>
      </c>
      <c r="N491" s="6"/>
      <c r="O491" s="6"/>
      <c r="P491" s="7"/>
      <c r="Q491" s="5" t="s">
        <v>26</v>
      </c>
      <c r="R491" s="5" t="s">
        <v>27</v>
      </c>
    </row>
    <row r="492" customFormat="false" ht="15" hidden="false" customHeight="true" outlineLevel="0" collapsed="false">
      <c r="A492" s="5" t="s">
        <v>516</v>
      </c>
      <c r="B492" s="6" t="n">
        <v>1160346606.4</v>
      </c>
      <c r="C492" s="6" t="n">
        <v>0</v>
      </c>
      <c r="D492" s="6" t="n">
        <v>1160346606.4</v>
      </c>
      <c r="E492" s="6" t="n">
        <v>429328.24</v>
      </c>
      <c r="F492" s="6" t="n">
        <v>0</v>
      </c>
      <c r="G492" s="6" t="n">
        <f aca="false">E492+F492</f>
        <v>429328.24</v>
      </c>
      <c r="H492" s="7" t="n">
        <f aca="false">IF(D492=0,0,C492/D492)</f>
        <v>0</v>
      </c>
      <c r="I492" s="7" t="n">
        <f aca="false">IF(D492=0,0,B492/D492)</f>
        <v>1</v>
      </c>
      <c r="J492" s="6" t="n">
        <f aca="false">E492*H492</f>
        <v>0</v>
      </c>
      <c r="K492" s="6" t="n">
        <f aca="false">E492*I492</f>
        <v>429328.24</v>
      </c>
      <c r="L492" s="6" t="n">
        <v>0</v>
      </c>
      <c r="M492" s="6" t="n">
        <v>429328.24</v>
      </c>
      <c r="N492" s="6"/>
      <c r="O492" s="6"/>
      <c r="P492" s="7"/>
      <c r="Q492" s="5" t="s">
        <v>26</v>
      </c>
      <c r="R492" s="5" t="s">
        <v>27</v>
      </c>
    </row>
    <row r="493" customFormat="false" ht="15" hidden="false" customHeight="true" outlineLevel="0" collapsed="false">
      <c r="A493" s="5" t="s">
        <v>517</v>
      </c>
      <c r="B493" s="6" t="n">
        <v>451676835.01</v>
      </c>
      <c r="C493" s="6" t="n">
        <v>0</v>
      </c>
      <c r="D493" s="6" t="n">
        <v>451676835.01</v>
      </c>
      <c r="E493" s="6" t="n">
        <v>167120.43</v>
      </c>
      <c r="F493" s="6" t="n">
        <v>0</v>
      </c>
      <c r="G493" s="6" t="n">
        <f aca="false">E493+F493</f>
        <v>167120.43</v>
      </c>
      <c r="H493" s="7" t="n">
        <f aca="false">IF(D493=0,0,C493/D493)</f>
        <v>0</v>
      </c>
      <c r="I493" s="7" t="n">
        <f aca="false">IF(D493=0,0,B493/D493)</f>
        <v>1</v>
      </c>
      <c r="J493" s="6" t="n">
        <f aca="false">E493*H493</f>
        <v>0</v>
      </c>
      <c r="K493" s="6" t="n">
        <f aca="false">E493*I493</f>
        <v>167120.43</v>
      </c>
      <c r="L493" s="6" t="n">
        <v>0</v>
      </c>
      <c r="M493" s="6" t="n">
        <v>167120.43</v>
      </c>
      <c r="N493" s="6"/>
      <c r="O493" s="6"/>
      <c r="P493" s="7"/>
      <c r="Q493" s="5" t="s">
        <v>26</v>
      </c>
      <c r="R493" s="5" t="s">
        <v>27</v>
      </c>
    </row>
    <row r="494" customFormat="false" ht="15" hidden="false" customHeight="true" outlineLevel="0" collapsed="false">
      <c r="A494" s="5" t="s">
        <v>518</v>
      </c>
      <c r="B494" s="6" t="n">
        <v>669725868.33</v>
      </c>
      <c r="C494" s="6" t="n">
        <v>0</v>
      </c>
      <c r="D494" s="6" t="n">
        <v>669725868.33</v>
      </c>
      <c r="E494" s="6" t="n">
        <v>247798.57</v>
      </c>
      <c r="F494" s="6" t="n">
        <v>0</v>
      </c>
      <c r="G494" s="6" t="n">
        <f aca="false">E494+F494</f>
        <v>247798.57</v>
      </c>
      <c r="H494" s="7" t="n">
        <f aca="false">IF(D494=0,0,C494/D494)</f>
        <v>0</v>
      </c>
      <c r="I494" s="7" t="n">
        <f aca="false">IF(D494=0,0,B494/D494)</f>
        <v>1</v>
      </c>
      <c r="J494" s="6" t="n">
        <f aca="false">E494*H494</f>
        <v>0</v>
      </c>
      <c r="K494" s="6" t="n">
        <f aca="false">E494*I494</f>
        <v>247798.57</v>
      </c>
      <c r="L494" s="6" t="n">
        <v>0</v>
      </c>
      <c r="M494" s="6" t="n">
        <v>247798.57</v>
      </c>
      <c r="N494" s="6"/>
      <c r="O494" s="6"/>
      <c r="P494" s="7"/>
      <c r="Q494" s="5" t="s">
        <v>26</v>
      </c>
      <c r="R494" s="5" t="s">
        <v>27</v>
      </c>
    </row>
    <row r="495" customFormat="false" ht="15" hidden="false" customHeight="true" outlineLevel="0" collapsed="false">
      <c r="A495" s="5" t="s">
        <v>519</v>
      </c>
      <c r="B495" s="6" t="n">
        <v>1426457872.23</v>
      </c>
      <c r="C495" s="6" t="n">
        <v>0</v>
      </c>
      <c r="D495" s="6" t="n">
        <v>1426457872.23</v>
      </c>
      <c r="E495" s="6" t="n">
        <v>527789.41</v>
      </c>
      <c r="F495" s="6" t="n">
        <v>0</v>
      </c>
      <c r="G495" s="6" t="n">
        <f aca="false">E495+F495</f>
        <v>527789.41</v>
      </c>
      <c r="H495" s="7" t="n">
        <f aca="false">IF(D495=0,0,C495/D495)</f>
        <v>0</v>
      </c>
      <c r="I495" s="7" t="n">
        <f aca="false">IF(D495=0,0,B495/D495)</f>
        <v>1</v>
      </c>
      <c r="J495" s="6" t="n">
        <f aca="false">E495*H495</f>
        <v>0</v>
      </c>
      <c r="K495" s="6" t="n">
        <f aca="false">E495*I495</f>
        <v>527789.41</v>
      </c>
      <c r="L495" s="6" t="n">
        <v>0</v>
      </c>
      <c r="M495" s="6" t="n">
        <v>527789.41</v>
      </c>
      <c r="N495" s="6"/>
      <c r="O495" s="6"/>
      <c r="P495" s="7"/>
      <c r="Q495" s="5" t="s">
        <v>26</v>
      </c>
      <c r="R495" s="5" t="s">
        <v>27</v>
      </c>
    </row>
    <row r="496" customFormat="false" ht="15" hidden="false" customHeight="true" outlineLevel="0" collapsed="false">
      <c r="A496" s="5" t="s">
        <v>520</v>
      </c>
      <c r="B496" s="6" t="n">
        <v>1219415265.45</v>
      </c>
      <c r="C496" s="6" t="n">
        <v>0</v>
      </c>
      <c r="D496" s="6" t="n">
        <v>1219415265.45</v>
      </c>
      <c r="E496" s="6" t="n">
        <v>451183.65</v>
      </c>
      <c r="F496" s="6" t="n">
        <v>0</v>
      </c>
      <c r="G496" s="6" t="n">
        <f aca="false">E496+F496</f>
        <v>451183.65</v>
      </c>
      <c r="H496" s="7" t="n">
        <f aca="false">IF(D496=0,0,C496/D496)</f>
        <v>0</v>
      </c>
      <c r="I496" s="7" t="n">
        <f aca="false">IF(D496=0,0,B496/D496)</f>
        <v>1</v>
      </c>
      <c r="J496" s="6" t="n">
        <f aca="false">E496*H496</f>
        <v>0</v>
      </c>
      <c r="K496" s="6" t="n">
        <f aca="false">E496*I496</f>
        <v>451183.65</v>
      </c>
      <c r="L496" s="6" t="n">
        <v>0</v>
      </c>
      <c r="M496" s="6" t="n">
        <v>451183.65</v>
      </c>
      <c r="N496" s="6"/>
      <c r="O496" s="6"/>
      <c r="P496" s="7"/>
      <c r="Q496" s="5" t="s">
        <v>26</v>
      </c>
      <c r="R496" s="5" t="s">
        <v>27</v>
      </c>
    </row>
    <row r="497" customFormat="false" ht="15" hidden="false" customHeight="true" outlineLevel="0" collapsed="false">
      <c r="A497" s="5" t="s">
        <v>521</v>
      </c>
      <c r="B497" s="6" t="n">
        <v>1206077012.65</v>
      </c>
      <c r="C497" s="6" t="n">
        <v>0</v>
      </c>
      <c r="D497" s="6" t="n">
        <v>1206077012.65</v>
      </c>
      <c r="E497" s="6" t="n">
        <v>446248.49</v>
      </c>
      <c r="F497" s="6" t="n">
        <v>0</v>
      </c>
      <c r="G497" s="6" t="n">
        <f aca="false">E497+F497</f>
        <v>446248.49</v>
      </c>
      <c r="H497" s="7" t="n">
        <f aca="false">IF(D497=0,0,C497/D497)</f>
        <v>0</v>
      </c>
      <c r="I497" s="7" t="n">
        <f aca="false">IF(D497=0,0,B497/D497)</f>
        <v>1</v>
      </c>
      <c r="J497" s="6" t="n">
        <f aca="false">E497*H497</f>
        <v>0</v>
      </c>
      <c r="K497" s="6" t="n">
        <f aca="false">E497*I497</f>
        <v>446248.49</v>
      </c>
      <c r="L497" s="6" t="n">
        <v>0</v>
      </c>
      <c r="M497" s="6" t="n">
        <v>446248.49</v>
      </c>
      <c r="N497" s="6"/>
      <c r="O497" s="6"/>
      <c r="P497" s="7"/>
      <c r="Q497" s="5" t="s">
        <v>26</v>
      </c>
      <c r="R497" s="5" t="s">
        <v>27</v>
      </c>
    </row>
    <row r="498" customFormat="false" ht="15" hidden="false" customHeight="true" outlineLevel="0" collapsed="false">
      <c r="A498" s="5" t="s">
        <v>522</v>
      </c>
      <c r="B498" s="6" t="n">
        <v>1652072513.35</v>
      </c>
      <c r="C498" s="6" t="n">
        <v>0</v>
      </c>
      <c r="D498" s="6" t="n">
        <v>1652072513.35</v>
      </c>
      <c r="E498" s="6" t="n">
        <v>611266.83</v>
      </c>
      <c r="F498" s="6" t="n">
        <v>0</v>
      </c>
      <c r="G498" s="6" t="n">
        <f aca="false">E498+F498</f>
        <v>611266.83</v>
      </c>
      <c r="H498" s="7" t="n">
        <f aca="false">IF(D498=0,0,C498/D498)</f>
        <v>0</v>
      </c>
      <c r="I498" s="7" t="n">
        <f aca="false">IF(D498=0,0,B498/D498)</f>
        <v>1</v>
      </c>
      <c r="J498" s="6" t="n">
        <f aca="false">E498*H498</f>
        <v>0</v>
      </c>
      <c r="K498" s="6" t="n">
        <f aca="false">E498*I498</f>
        <v>611266.83</v>
      </c>
      <c r="L498" s="6" t="n">
        <v>0</v>
      </c>
      <c r="M498" s="6" t="n">
        <v>611266.83</v>
      </c>
      <c r="N498" s="6"/>
      <c r="O498" s="6"/>
      <c r="P498" s="7"/>
      <c r="Q498" s="5" t="s">
        <v>26</v>
      </c>
      <c r="R498" s="5" t="s">
        <v>27</v>
      </c>
    </row>
    <row r="499" customFormat="false" ht="15" hidden="false" customHeight="true" outlineLevel="0" collapsed="false">
      <c r="A499" s="5" t="s">
        <v>523</v>
      </c>
      <c r="B499" s="6" t="n">
        <v>1360871284.69</v>
      </c>
      <c r="C499" s="6" t="n">
        <v>0</v>
      </c>
      <c r="D499" s="6" t="n">
        <v>1360871284.69</v>
      </c>
      <c r="E499" s="6" t="n">
        <v>503522.38</v>
      </c>
      <c r="F499" s="6" t="n">
        <v>0</v>
      </c>
      <c r="G499" s="6" t="n">
        <f aca="false">E499+F499</f>
        <v>503522.38</v>
      </c>
      <c r="H499" s="7" t="n">
        <f aca="false">IF(D499=0,0,C499/D499)</f>
        <v>0</v>
      </c>
      <c r="I499" s="7" t="n">
        <f aca="false">IF(D499=0,0,B499/D499)</f>
        <v>1</v>
      </c>
      <c r="J499" s="6" t="n">
        <f aca="false">E499*H499</f>
        <v>0</v>
      </c>
      <c r="K499" s="6" t="n">
        <f aca="false">E499*I499</f>
        <v>503522.38</v>
      </c>
      <c r="L499" s="6" t="n">
        <v>0</v>
      </c>
      <c r="M499" s="6" t="n">
        <v>503522.38</v>
      </c>
      <c r="N499" s="6"/>
      <c r="O499" s="6"/>
      <c r="P499" s="7"/>
      <c r="Q499" s="5" t="s">
        <v>26</v>
      </c>
      <c r="R499" s="5" t="s">
        <v>27</v>
      </c>
    </row>
    <row r="500" customFormat="false" ht="15" hidden="false" customHeight="true" outlineLevel="0" collapsed="false">
      <c r="A500" s="5" t="s">
        <v>524</v>
      </c>
      <c r="B500" s="6" t="n">
        <v>625879224.56</v>
      </c>
      <c r="C500" s="6" t="n">
        <v>0</v>
      </c>
      <c r="D500" s="6" t="n">
        <v>625879224.56</v>
      </c>
      <c r="E500" s="6" t="n">
        <v>231575.31</v>
      </c>
      <c r="F500" s="6" t="n">
        <v>0</v>
      </c>
      <c r="G500" s="6" t="n">
        <f aca="false">E500+F500</f>
        <v>231575.31</v>
      </c>
      <c r="H500" s="7" t="n">
        <f aca="false">IF(D500=0,0,C500/D500)</f>
        <v>0</v>
      </c>
      <c r="I500" s="7" t="n">
        <f aca="false">IF(D500=0,0,B500/D500)</f>
        <v>1</v>
      </c>
      <c r="J500" s="6" t="n">
        <f aca="false">E500*H500</f>
        <v>0</v>
      </c>
      <c r="K500" s="6" t="n">
        <f aca="false">E500*I500</f>
        <v>231575.31</v>
      </c>
      <c r="L500" s="6" t="n">
        <v>0</v>
      </c>
      <c r="M500" s="6" t="n">
        <v>231575.31</v>
      </c>
      <c r="N500" s="6"/>
      <c r="O500" s="6"/>
      <c r="P500" s="7"/>
      <c r="Q500" s="5" t="s">
        <v>26</v>
      </c>
      <c r="R500" s="5" t="s">
        <v>27</v>
      </c>
    </row>
    <row r="501" customFormat="false" ht="15" hidden="false" customHeight="true" outlineLevel="0" collapsed="false">
      <c r="A501" s="5" t="s">
        <v>525</v>
      </c>
      <c r="B501" s="6" t="n">
        <v>566532655.25</v>
      </c>
      <c r="C501" s="6" t="n">
        <v>0</v>
      </c>
      <c r="D501" s="6" t="n">
        <v>566532655.25</v>
      </c>
      <c r="E501" s="6" t="n">
        <v>209617.08</v>
      </c>
      <c r="F501" s="6" t="n">
        <v>0</v>
      </c>
      <c r="G501" s="6" t="n">
        <f aca="false">E501+F501</f>
        <v>209617.08</v>
      </c>
      <c r="H501" s="7" t="n">
        <f aca="false">IF(D501=0,0,C501/D501)</f>
        <v>0</v>
      </c>
      <c r="I501" s="7" t="n">
        <f aca="false">IF(D501=0,0,B501/D501)</f>
        <v>1</v>
      </c>
      <c r="J501" s="6" t="n">
        <f aca="false">E501*H501</f>
        <v>0</v>
      </c>
      <c r="K501" s="6" t="n">
        <f aca="false">E501*I501</f>
        <v>209617.08</v>
      </c>
      <c r="L501" s="6" t="n">
        <v>0</v>
      </c>
      <c r="M501" s="6" t="n">
        <v>209617.08</v>
      </c>
      <c r="N501" s="6"/>
      <c r="O501" s="6"/>
      <c r="P501" s="7"/>
      <c r="Q501" s="5" t="s">
        <v>26</v>
      </c>
      <c r="R501" s="5" t="s">
        <v>27</v>
      </c>
    </row>
    <row r="502" customFormat="false" ht="15" hidden="false" customHeight="true" outlineLevel="0" collapsed="false">
      <c r="A502" s="5" t="s">
        <v>526</v>
      </c>
      <c r="B502" s="6" t="n">
        <v>1441213199.68</v>
      </c>
      <c r="C502" s="6" t="n">
        <v>0</v>
      </c>
      <c r="D502" s="6" t="n">
        <v>1441213199.68</v>
      </c>
      <c r="E502" s="6" t="n">
        <v>533248.88</v>
      </c>
      <c r="F502" s="6" t="n">
        <v>0</v>
      </c>
      <c r="G502" s="6" t="n">
        <f aca="false">E502+F502</f>
        <v>533248.88</v>
      </c>
      <c r="H502" s="7" t="n">
        <f aca="false">IF(D502=0,0,C502/D502)</f>
        <v>0</v>
      </c>
      <c r="I502" s="7" t="n">
        <f aca="false">IF(D502=0,0,B502/D502)</f>
        <v>1</v>
      </c>
      <c r="J502" s="6" t="n">
        <f aca="false">E502*H502</f>
        <v>0</v>
      </c>
      <c r="K502" s="6" t="n">
        <f aca="false">E502*I502</f>
        <v>533248.88</v>
      </c>
      <c r="L502" s="6" t="n">
        <v>0</v>
      </c>
      <c r="M502" s="6" t="n">
        <v>533248.88</v>
      </c>
      <c r="N502" s="6"/>
      <c r="O502" s="6"/>
      <c r="P502" s="7"/>
      <c r="Q502" s="5" t="s">
        <v>26</v>
      </c>
      <c r="R502" s="5" t="s">
        <v>27</v>
      </c>
    </row>
    <row r="503" customFormat="false" ht="15" hidden="false" customHeight="true" outlineLevel="0" collapsed="false">
      <c r="A503" s="5" t="s">
        <v>527</v>
      </c>
      <c r="B503" s="6" t="n">
        <v>3030524021.24</v>
      </c>
      <c r="C503" s="6" t="n">
        <v>0</v>
      </c>
      <c r="D503" s="6" t="n">
        <v>3030524021.24</v>
      </c>
      <c r="E503" s="6" t="n">
        <v>1121293.89</v>
      </c>
      <c r="F503" s="6" t="n">
        <v>0</v>
      </c>
      <c r="G503" s="6" t="n">
        <f aca="false">E503+F503</f>
        <v>1121293.89</v>
      </c>
      <c r="H503" s="7" t="n">
        <f aca="false">IF(D503=0,0,C503/D503)</f>
        <v>0</v>
      </c>
      <c r="I503" s="7" t="n">
        <f aca="false">IF(D503=0,0,B503/D503)</f>
        <v>1</v>
      </c>
      <c r="J503" s="6" t="n">
        <f aca="false">E503*H503</f>
        <v>0</v>
      </c>
      <c r="K503" s="6" t="n">
        <f aca="false">E503*I503</f>
        <v>1121293.89</v>
      </c>
      <c r="L503" s="6" t="n">
        <v>0</v>
      </c>
      <c r="M503" s="6" t="n">
        <v>1121293.89</v>
      </c>
      <c r="N503" s="6"/>
      <c r="O503" s="6"/>
      <c r="P503" s="7"/>
      <c r="Q503" s="5" t="s">
        <v>26</v>
      </c>
      <c r="R503" s="5" t="s">
        <v>27</v>
      </c>
    </row>
    <row r="504" customFormat="false" ht="15" hidden="false" customHeight="true" outlineLevel="0" collapsed="false">
      <c r="A504" s="5" t="s">
        <v>528</v>
      </c>
      <c r="B504" s="6" t="n">
        <v>1714483327.24</v>
      </c>
      <c r="C504" s="6" t="n">
        <v>0</v>
      </c>
      <c r="D504" s="6" t="n">
        <v>1714483327.24</v>
      </c>
      <c r="E504" s="6" t="n">
        <v>634358.83</v>
      </c>
      <c r="F504" s="6" t="n">
        <v>0</v>
      </c>
      <c r="G504" s="6" t="n">
        <f aca="false">E504+F504</f>
        <v>634358.83</v>
      </c>
      <c r="H504" s="7" t="n">
        <f aca="false">IF(D504=0,0,C504/D504)</f>
        <v>0</v>
      </c>
      <c r="I504" s="7" t="n">
        <f aca="false">IF(D504=0,0,B504/D504)</f>
        <v>1</v>
      </c>
      <c r="J504" s="6" t="n">
        <f aca="false">E504*H504</f>
        <v>0</v>
      </c>
      <c r="K504" s="6" t="n">
        <f aca="false">E504*I504</f>
        <v>634358.83</v>
      </c>
      <c r="L504" s="6" t="n">
        <v>0</v>
      </c>
      <c r="M504" s="6" t="n">
        <v>634358.83</v>
      </c>
      <c r="N504" s="6"/>
      <c r="O504" s="6"/>
      <c r="P504" s="7"/>
      <c r="Q504" s="5" t="s">
        <v>26</v>
      </c>
      <c r="R504" s="5" t="s">
        <v>27</v>
      </c>
    </row>
    <row r="505" customFormat="false" ht="15" hidden="false" customHeight="true" outlineLevel="0" collapsed="false">
      <c r="A505" s="5" t="s">
        <v>529</v>
      </c>
      <c r="B505" s="6" t="n">
        <v>1954885565.74</v>
      </c>
      <c r="C505" s="6" t="n">
        <v>0</v>
      </c>
      <c r="D505" s="6" t="n">
        <v>1954885565.74</v>
      </c>
      <c r="E505" s="6" t="n">
        <v>723307.66</v>
      </c>
      <c r="F505" s="6" t="n">
        <v>0</v>
      </c>
      <c r="G505" s="6" t="n">
        <f aca="false">E505+F505</f>
        <v>723307.66</v>
      </c>
      <c r="H505" s="7" t="n">
        <f aca="false">IF(D505=0,0,C505/D505)</f>
        <v>0</v>
      </c>
      <c r="I505" s="7" t="n">
        <f aca="false">IF(D505=0,0,B505/D505)</f>
        <v>1</v>
      </c>
      <c r="J505" s="6" t="n">
        <f aca="false">E505*H505</f>
        <v>0</v>
      </c>
      <c r="K505" s="6" t="n">
        <f aca="false">E505*I505</f>
        <v>723307.66</v>
      </c>
      <c r="L505" s="6" t="n">
        <v>0</v>
      </c>
      <c r="M505" s="6" t="n">
        <v>723307.66</v>
      </c>
      <c r="N505" s="6"/>
      <c r="O505" s="6"/>
      <c r="P505" s="7"/>
      <c r="Q505" s="5" t="s">
        <v>26</v>
      </c>
      <c r="R505" s="5" t="s">
        <v>27</v>
      </c>
    </row>
    <row r="506" customFormat="false" ht="15" hidden="false" customHeight="true" outlineLevel="0" collapsed="false">
      <c r="A506" s="5" t="s">
        <v>530</v>
      </c>
      <c r="B506" s="6" t="n">
        <v>1095521303.85</v>
      </c>
      <c r="C506" s="6" t="n">
        <v>0</v>
      </c>
      <c r="D506" s="6" t="n">
        <v>1095521303.85</v>
      </c>
      <c r="E506" s="6" t="n">
        <v>405342.88</v>
      </c>
      <c r="F506" s="6" t="n">
        <v>0</v>
      </c>
      <c r="G506" s="6" t="n">
        <f aca="false">E506+F506</f>
        <v>405342.88</v>
      </c>
      <c r="H506" s="7" t="n">
        <f aca="false">IF(D506=0,0,C506/D506)</f>
        <v>0</v>
      </c>
      <c r="I506" s="7" t="n">
        <f aca="false">IF(D506=0,0,B506/D506)</f>
        <v>1</v>
      </c>
      <c r="J506" s="6" t="n">
        <f aca="false">E506*H506</f>
        <v>0</v>
      </c>
      <c r="K506" s="6" t="n">
        <f aca="false">E506*I506</f>
        <v>405342.88</v>
      </c>
      <c r="L506" s="6" t="n">
        <v>0</v>
      </c>
      <c r="M506" s="6" t="n">
        <v>405342.88</v>
      </c>
      <c r="N506" s="6"/>
      <c r="O506" s="6"/>
      <c r="P506" s="7"/>
      <c r="Q506" s="5" t="s">
        <v>26</v>
      </c>
      <c r="R506" s="5" t="s">
        <v>27</v>
      </c>
    </row>
    <row r="507" customFormat="false" ht="15" hidden="false" customHeight="true" outlineLevel="0" collapsed="false">
      <c r="A507" s="5" t="s">
        <v>531</v>
      </c>
      <c r="B507" s="6" t="n">
        <v>464723672.2</v>
      </c>
      <c r="C507" s="6" t="n">
        <v>0</v>
      </c>
      <c r="D507" s="6" t="n">
        <v>464723672.2</v>
      </c>
      <c r="E507" s="6" t="n">
        <v>171947.76</v>
      </c>
      <c r="F507" s="6" t="n">
        <v>0</v>
      </c>
      <c r="G507" s="6" t="n">
        <f aca="false">E507+F507</f>
        <v>171947.76</v>
      </c>
      <c r="H507" s="7" t="n">
        <f aca="false">IF(D507=0,0,C507/D507)</f>
        <v>0</v>
      </c>
      <c r="I507" s="7" t="n">
        <f aca="false">IF(D507=0,0,B507/D507)</f>
        <v>1</v>
      </c>
      <c r="J507" s="6" t="n">
        <f aca="false">E507*H507</f>
        <v>0</v>
      </c>
      <c r="K507" s="6" t="n">
        <f aca="false">E507*I507</f>
        <v>171947.76</v>
      </c>
      <c r="L507" s="6" t="n">
        <v>0</v>
      </c>
      <c r="M507" s="6" t="n">
        <v>171947.76</v>
      </c>
      <c r="N507" s="6"/>
      <c r="O507" s="6"/>
      <c r="P507" s="7"/>
      <c r="Q507" s="5" t="s">
        <v>26</v>
      </c>
      <c r="R507" s="5" t="s">
        <v>27</v>
      </c>
    </row>
    <row r="508" customFormat="false" ht="15" hidden="false" customHeight="true" outlineLevel="0" collapsed="false">
      <c r="A508" s="5" t="s">
        <v>532</v>
      </c>
      <c r="B508" s="6" t="n">
        <v>562267864.48</v>
      </c>
      <c r="C508" s="6" t="n">
        <v>0</v>
      </c>
      <c r="D508" s="6" t="n">
        <v>562267864.48</v>
      </c>
      <c r="E508" s="6" t="n">
        <v>208039.11</v>
      </c>
      <c r="F508" s="6" t="n">
        <v>0</v>
      </c>
      <c r="G508" s="6" t="n">
        <f aca="false">E508+F508</f>
        <v>208039.11</v>
      </c>
      <c r="H508" s="7" t="n">
        <f aca="false">IF(D508=0,0,C508/D508)</f>
        <v>0</v>
      </c>
      <c r="I508" s="7" t="n">
        <f aca="false">IF(D508=0,0,B508/D508)</f>
        <v>1</v>
      </c>
      <c r="J508" s="6" t="n">
        <f aca="false">E508*H508</f>
        <v>0</v>
      </c>
      <c r="K508" s="6" t="n">
        <f aca="false">E508*I508</f>
        <v>208039.11</v>
      </c>
      <c r="L508" s="6" t="n">
        <v>0</v>
      </c>
      <c r="M508" s="6" t="n">
        <v>208039.11</v>
      </c>
      <c r="N508" s="6"/>
      <c r="O508" s="6"/>
      <c r="P508" s="7"/>
      <c r="Q508" s="5" t="s">
        <v>26</v>
      </c>
      <c r="R508" s="5" t="s">
        <v>27</v>
      </c>
    </row>
    <row r="509" customFormat="false" ht="15" hidden="false" customHeight="true" outlineLevel="0" collapsed="false">
      <c r="A509" s="5" t="s">
        <v>533</v>
      </c>
      <c r="B509" s="6" t="n">
        <v>1093912855.72</v>
      </c>
      <c r="C509" s="6" t="n">
        <v>0</v>
      </c>
      <c r="D509" s="6" t="n">
        <v>1093912855.72</v>
      </c>
      <c r="E509" s="6" t="n">
        <v>404747.76</v>
      </c>
      <c r="F509" s="6" t="n">
        <v>0</v>
      </c>
      <c r="G509" s="6" t="n">
        <f aca="false">E509+F509</f>
        <v>404747.76</v>
      </c>
      <c r="H509" s="7" t="n">
        <f aca="false">IF(D509=0,0,C509/D509)</f>
        <v>0</v>
      </c>
      <c r="I509" s="7" t="n">
        <f aca="false">IF(D509=0,0,B509/D509)</f>
        <v>1</v>
      </c>
      <c r="J509" s="6" t="n">
        <f aca="false">E509*H509</f>
        <v>0</v>
      </c>
      <c r="K509" s="6" t="n">
        <f aca="false">E509*I509</f>
        <v>404747.76</v>
      </c>
      <c r="L509" s="6" t="n">
        <v>0</v>
      </c>
      <c r="M509" s="6" t="n">
        <v>404747.76</v>
      </c>
      <c r="N509" s="6"/>
      <c r="O509" s="6"/>
      <c r="P509" s="7"/>
      <c r="Q509" s="5" t="s">
        <v>26</v>
      </c>
      <c r="R509" s="5" t="s">
        <v>27</v>
      </c>
    </row>
    <row r="510" customFormat="false" ht="15" hidden="false" customHeight="true" outlineLevel="0" collapsed="false">
      <c r="A510" s="5" t="s">
        <v>534</v>
      </c>
      <c r="B510" s="6" t="n">
        <v>1217819875.48</v>
      </c>
      <c r="C510" s="6" t="n">
        <v>0</v>
      </c>
      <c r="D510" s="6" t="n">
        <v>1217819875.48</v>
      </c>
      <c r="E510" s="6" t="n">
        <v>450593.35</v>
      </c>
      <c r="F510" s="6" t="n">
        <v>0</v>
      </c>
      <c r="G510" s="6" t="n">
        <f aca="false">E510+F510</f>
        <v>450593.35</v>
      </c>
      <c r="H510" s="7" t="n">
        <f aca="false">IF(D510=0,0,C510/D510)</f>
        <v>0</v>
      </c>
      <c r="I510" s="7" t="n">
        <f aca="false">IF(D510=0,0,B510/D510)</f>
        <v>1</v>
      </c>
      <c r="J510" s="6" t="n">
        <f aca="false">E510*H510</f>
        <v>0</v>
      </c>
      <c r="K510" s="6" t="n">
        <f aca="false">E510*I510</f>
        <v>450593.35</v>
      </c>
      <c r="L510" s="6" t="n">
        <v>0</v>
      </c>
      <c r="M510" s="6" t="n">
        <v>450593.35</v>
      </c>
      <c r="N510" s="6"/>
      <c r="O510" s="6"/>
      <c r="P510" s="7"/>
      <c r="Q510" s="5" t="s">
        <v>26</v>
      </c>
      <c r="R510" s="5" t="s">
        <v>27</v>
      </c>
    </row>
    <row r="511" customFormat="false" ht="15" hidden="false" customHeight="true" outlineLevel="0" collapsed="false">
      <c r="A511" s="5" t="s">
        <v>535</v>
      </c>
      <c r="B511" s="6" t="n">
        <v>1065322485.58</v>
      </c>
      <c r="C511" s="6" t="n">
        <v>0</v>
      </c>
      <c r="D511" s="6" t="n">
        <v>1065322485.58</v>
      </c>
      <c r="E511" s="6" t="n">
        <v>394169.32</v>
      </c>
      <c r="F511" s="6" t="n">
        <v>0</v>
      </c>
      <c r="G511" s="6" t="n">
        <f aca="false">E511+F511</f>
        <v>394169.32</v>
      </c>
      <c r="H511" s="7" t="n">
        <f aca="false">IF(D511=0,0,C511/D511)</f>
        <v>0</v>
      </c>
      <c r="I511" s="7" t="n">
        <f aca="false">IF(D511=0,0,B511/D511)</f>
        <v>1</v>
      </c>
      <c r="J511" s="6" t="n">
        <f aca="false">E511*H511</f>
        <v>0</v>
      </c>
      <c r="K511" s="6" t="n">
        <f aca="false">E511*I511</f>
        <v>394169.32</v>
      </c>
      <c r="L511" s="6" t="n">
        <v>0</v>
      </c>
      <c r="M511" s="6" t="n">
        <v>394169.32</v>
      </c>
      <c r="N511" s="6"/>
      <c r="O511" s="6"/>
      <c r="P511" s="7"/>
      <c r="Q511" s="5" t="s">
        <v>26</v>
      </c>
      <c r="R511" s="5" t="s">
        <v>27</v>
      </c>
    </row>
    <row r="512" customFormat="false" ht="15" hidden="false" customHeight="true" outlineLevel="0" collapsed="false">
      <c r="A512" s="5" t="s">
        <v>536</v>
      </c>
      <c r="B512" s="6" t="n">
        <v>1325469991.06</v>
      </c>
      <c r="C512" s="6" t="n">
        <v>0</v>
      </c>
      <c r="D512" s="6" t="n">
        <v>1325469991.06</v>
      </c>
      <c r="E512" s="6" t="n">
        <v>490423.9</v>
      </c>
      <c r="F512" s="6" t="n">
        <v>0</v>
      </c>
      <c r="G512" s="6" t="n">
        <f aca="false">E512+F512</f>
        <v>490423.9</v>
      </c>
      <c r="H512" s="7" t="n">
        <f aca="false">IF(D512=0,0,C512/D512)</f>
        <v>0</v>
      </c>
      <c r="I512" s="7" t="n">
        <f aca="false">IF(D512=0,0,B512/D512)</f>
        <v>1</v>
      </c>
      <c r="J512" s="6" t="n">
        <f aca="false">E512*H512</f>
        <v>0</v>
      </c>
      <c r="K512" s="6" t="n">
        <f aca="false">E512*I512</f>
        <v>490423.9</v>
      </c>
      <c r="L512" s="6" t="n">
        <v>0</v>
      </c>
      <c r="M512" s="6" t="n">
        <v>490423.9</v>
      </c>
      <c r="N512" s="6"/>
      <c r="O512" s="6"/>
      <c r="P512" s="7"/>
      <c r="Q512" s="5" t="s">
        <v>26</v>
      </c>
      <c r="R512" s="5" t="s">
        <v>27</v>
      </c>
    </row>
    <row r="513" customFormat="false" ht="15" hidden="false" customHeight="true" outlineLevel="0" collapsed="false">
      <c r="A513" s="5" t="s">
        <v>537</v>
      </c>
      <c r="B513" s="6" t="n">
        <v>966555122.89</v>
      </c>
      <c r="C513" s="6" t="n">
        <v>0</v>
      </c>
      <c r="D513" s="6" t="n">
        <v>966555122.89</v>
      </c>
      <c r="E513" s="6" t="n">
        <v>357625.4</v>
      </c>
      <c r="F513" s="6" t="n">
        <v>0</v>
      </c>
      <c r="G513" s="6" t="n">
        <f aca="false">E513+F513</f>
        <v>357625.4</v>
      </c>
      <c r="H513" s="7" t="n">
        <f aca="false">IF(D513=0,0,C513/D513)</f>
        <v>0</v>
      </c>
      <c r="I513" s="7" t="n">
        <f aca="false">IF(D513=0,0,B513/D513)</f>
        <v>1</v>
      </c>
      <c r="J513" s="6" t="n">
        <f aca="false">E513*H513</f>
        <v>0</v>
      </c>
      <c r="K513" s="6" t="n">
        <f aca="false">E513*I513</f>
        <v>357625.4</v>
      </c>
      <c r="L513" s="6" t="n">
        <v>0</v>
      </c>
      <c r="M513" s="6" t="n">
        <v>357625.4</v>
      </c>
      <c r="N513" s="6"/>
      <c r="O513" s="6"/>
      <c r="P513" s="7"/>
      <c r="Q513" s="5" t="s">
        <v>26</v>
      </c>
      <c r="R513" s="5" t="s">
        <v>27</v>
      </c>
    </row>
    <row r="514" customFormat="false" ht="15" hidden="false" customHeight="true" outlineLevel="0" collapsed="false">
      <c r="A514" s="5" t="s">
        <v>538</v>
      </c>
      <c r="B514" s="6" t="n">
        <v>490461531.51</v>
      </c>
      <c r="C514" s="6" t="n">
        <v>0</v>
      </c>
      <c r="D514" s="6" t="n">
        <v>490461531.51</v>
      </c>
      <c r="E514" s="6" t="n">
        <v>181470.77</v>
      </c>
      <c r="F514" s="6" t="n">
        <v>0</v>
      </c>
      <c r="G514" s="6" t="n">
        <f aca="false">E514+F514</f>
        <v>181470.77</v>
      </c>
      <c r="H514" s="7" t="n">
        <f aca="false">IF(D514=0,0,C514/D514)</f>
        <v>0</v>
      </c>
      <c r="I514" s="7" t="n">
        <f aca="false">IF(D514=0,0,B514/D514)</f>
        <v>1</v>
      </c>
      <c r="J514" s="6" t="n">
        <f aca="false">E514*H514</f>
        <v>0</v>
      </c>
      <c r="K514" s="6" t="n">
        <f aca="false">E514*I514</f>
        <v>181470.77</v>
      </c>
      <c r="L514" s="6" t="n">
        <v>0</v>
      </c>
      <c r="M514" s="6" t="n">
        <v>181470.77</v>
      </c>
      <c r="N514" s="6"/>
      <c r="O514" s="6"/>
      <c r="P514" s="7"/>
      <c r="Q514" s="5" t="s">
        <v>26</v>
      </c>
      <c r="R514" s="5" t="s">
        <v>27</v>
      </c>
    </row>
    <row r="515" customFormat="false" ht="15" hidden="false" customHeight="true" outlineLevel="0" collapsed="false">
      <c r="A515" s="5" t="s">
        <v>539</v>
      </c>
      <c r="B515" s="6" t="n">
        <v>567187624.82</v>
      </c>
      <c r="C515" s="6" t="n">
        <v>0</v>
      </c>
      <c r="D515" s="6" t="n">
        <v>567187624.82</v>
      </c>
      <c r="E515" s="6" t="n">
        <v>209859.42</v>
      </c>
      <c r="F515" s="6" t="n">
        <v>0</v>
      </c>
      <c r="G515" s="6" t="n">
        <f aca="false">E515+F515</f>
        <v>209859.42</v>
      </c>
      <c r="H515" s="7" t="n">
        <f aca="false">IF(D515=0,0,C515/D515)</f>
        <v>0</v>
      </c>
      <c r="I515" s="7" t="n">
        <f aca="false">IF(D515=0,0,B515/D515)</f>
        <v>1</v>
      </c>
      <c r="J515" s="6" t="n">
        <f aca="false">E515*H515</f>
        <v>0</v>
      </c>
      <c r="K515" s="6" t="n">
        <f aca="false">E515*I515</f>
        <v>209859.42</v>
      </c>
      <c r="L515" s="6" t="n">
        <v>0</v>
      </c>
      <c r="M515" s="6" t="n">
        <v>209859.42</v>
      </c>
      <c r="N515" s="6"/>
      <c r="O515" s="6"/>
      <c r="P515" s="7"/>
      <c r="Q515" s="5" t="s">
        <v>26</v>
      </c>
      <c r="R515" s="5" t="s">
        <v>27</v>
      </c>
    </row>
    <row r="516" customFormat="false" ht="15" hidden="false" customHeight="true" outlineLevel="0" collapsed="false">
      <c r="A516" s="5" t="s">
        <v>540</v>
      </c>
      <c r="B516" s="6" t="n">
        <v>1270512626.21</v>
      </c>
      <c r="C516" s="6" t="n">
        <v>0</v>
      </c>
      <c r="D516" s="6" t="n">
        <v>1270512626.21</v>
      </c>
      <c r="E516" s="6" t="n">
        <v>470089.67</v>
      </c>
      <c r="F516" s="6" t="n">
        <v>0</v>
      </c>
      <c r="G516" s="6" t="n">
        <f aca="false">E516+F516</f>
        <v>470089.67</v>
      </c>
      <c r="H516" s="7" t="n">
        <f aca="false">IF(D516=0,0,C516/D516)</f>
        <v>0</v>
      </c>
      <c r="I516" s="7" t="n">
        <f aca="false">IF(D516=0,0,B516/D516)</f>
        <v>1</v>
      </c>
      <c r="J516" s="6" t="n">
        <f aca="false">E516*H516</f>
        <v>0</v>
      </c>
      <c r="K516" s="6" t="n">
        <f aca="false">E516*I516</f>
        <v>470089.67</v>
      </c>
      <c r="L516" s="6" t="n">
        <v>0</v>
      </c>
      <c r="M516" s="6" t="n">
        <v>470089.67</v>
      </c>
      <c r="N516" s="6"/>
      <c r="O516" s="6"/>
      <c r="P516" s="7"/>
      <c r="Q516" s="5" t="s">
        <v>26</v>
      </c>
      <c r="R516" s="5" t="s">
        <v>27</v>
      </c>
    </row>
    <row r="517" customFormat="false" ht="15" hidden="false" customHeight="true" outlineLevel="0" collapsed="false">
      <c r="A517" s="5" t="s">
        <v>541</v>
      </c>
      <c r="B517" s="6" t="n">
        <v>1725236870.1</v>
      </c>
      <c r="C517" s="6" t="n">
        <v>0</v>
      </c>
      <c r="D517" s="6" t="n">
        <v>1725236870.1</v>
      </c>
      <c r="E517" s="6" t="n">
        <v>638337.64</v>
      </c>
      <c r="F517" s="6" t="n">
        <v>0</v>
      </c>
      <c r="G517" s="6" t="n">
        <f aca="false">E517+F517</f>
        <v>638337.64</v>
      </c>
      <c r="H517" s="7" t="n">
        <f aca="false">IF(D517=0,0,C517/D517)</f>
        <v>0</v>
      </c>
      <c r="I517" s="7" t="n">
        <f aca="false">IF(D517=0,0,B517/D517)</f>
        <v>1</v>
      </c>
      <c r="J517" s="6" t="n">
        <f aca="false">E517*H517</f>
        <v>0</v>
      </c>
      <c r="K517" s="6" t="n">
        <f aca="false">E517*I517</f>
        <v>638337.64</v>
      </c>
      <c r="L517" s="6" t="n">
        <v>0</v>
      </c>
      <c r="M517" s="6" t="n">
        <v>638337.64</v>
      </c>
      <c r="N517" s="6"/>
      <c r="O517" s="6"/>
      <c r="P517" s="7"/>
      <c r="Q517" s="5" t="s">
        <v>26</v>
      </c>
      <c r="R517" s="5" t="s">
        <v>27</v>
      </c>
    </row>
    <row r="518" customFormat="false" ht="15" hidden="false" customHeight="true" outlineLevel="0" collapsed="false">
      <c r="A518" s="5" t="s">
        <v>542</v>
      </c>
      <c r="B518" s="6" t="n">
        <v>1136851721.85</v>
      </c>
      <c r="C518" s="6" t="n">
        <v>0</v>
      </c>
      <c r="D518" s="6" t="n">
        <v>1136851721.85</v>
      </c>
      <c r="E518" s="6" t="n">
        <v>420635.14</v>
      </c>
      <c r="F518" s="6" t="n">
        <v>0</v>
      </c>
      <c r="G518" s="6" t="n">
        <f aca="false">E518+F518</f>
        <v>420635.14</v>
      </c>
      <c r="H518" s="7" t="n">
        <f aca="false">IF(D518=0,0,C518/D518)</f>
        <v>0</v>
      </c>
      <c r="I518" s="7" t="n">
        <f aca="false">IF(D518=0,0,B518/D518)</f>
        <v>1</v>
      </c>
      <c r="J518" s="6" t="n">
        <f aca="false">E518*H518</f>
        <v>0</v>
      </c>
      <c r="K518" s="6" t="n">
        <f aca="false">E518*I518</f>
        <v>420635.14</v>
      </c>
      <c r="L518" s="6" t="n">
        <v>0</v>
      </c>
      <c r="M518" s="6" t="n">
        <v>420635.14</v>
      </c>
      <c r="N518" s="6"/>
      <c r="O518" s="6"/>
      <c r="P518" s="7"/>
      <c r="Q518" s="5" t="s">
        <v>26</v>
      </c>
      <c r="R518" s="5" t="s">
        <v>27</v>
      </c>
    </row>
    <row r="519" customFormat="false" ht="15" hidden="false" customHeight="true" outlineLevel="0" collapsed="false">
      <c r="A519" s="5" t="s">
        <v>543</v>
      </c>
      <c r="B519" s="6" t="n">
        <v>913373231.94</v>
      </c>
      <c r="C519" s="6" t="n">
        <v>0</v>
      </c>
      <c r="D519" s="6" t="n">
        <v>913373231.94</v>
      </c>
      <c r="E519" s="6" t="n">
        <v>337948.1</v>
      </c>
      <c r="F519" s="6" t="n">
        <v>0</v>
      </c>
      <c r="G519" s="6" t="n">
        <f aca="false">E519+F519</f>
        <v>337948.1</v>
      </c>
      <c r="H519" s="7" t="n">
        <f aca="false">IF(D519=0,0,C519/D519)</f>
        <v>0</v>
      </c>
      <c r="I519" s="7" t="n">
        <f aca="false">IF(D519=0,0,B519/D519)</f>
        <v>1</v>
      </c>
      <c r="J519" s="6" t="n">
        <f aca="false">E519*H519</f>
        <v>0</v>
      </c>
      <c r="K519" s="6" t="n">
        <f aca="false">E519*I519</f>
        <v>337948.1</v>
      </c>
      <c r="L519" s="6" t="n">
        <v>0</v>
      </c>
      <c r="M519" s="6" t="n">
        <v>337948.1</v>
      </c>
      <c r="N519" s="6"/>
      <c r="O519" s="6"/>
      <c r="P519" s="7"/>
      <c r="Q519" s="5" t="s">
        <v>26</v>
      </c>
      <c r="R519" s="5" t="s">
        <v>27</v>
      </c>
    </row>
    <row r="520" customFormat="false" ht="15" hidden="false" customHeight="true" outlineLevel="0" collapsed="false">
      <c r="A520" s="5" t="s">
        <v>544</v>
      </c>
      <c r="B520" s="6" t="n">
        <v>1083055809.76</v>
      </c>
      <c r="C520" s="6" t="n">
        <v>0</v>
      </c>
      <c r="D520" s="6" t="n">
        <v>1083055809.76</v>
      </c>
      <c r="E520" s="6" t="n">
        <v>400730.65</v>
      </c>
      <c r="F520" s="6" t="n">
        <v>0</v>
      </c>
      <c r="G520" s="6" t="n">
        <f aca="false">E520+F520</f>
        <v>400730.65</v>
      </c>
      <c r="H520" s="7" t="n">
        <f aca="false">IF(D520=0,0,C520/D520)</f>
        <v>0</v>
      </c>
      <c r="I520" s="7" t="n">
        <f aca="false">IF(D520=0,0,B520/D520)</f>
        <v>1</v>
      </c>
      <c r="J520" s="6" t="n">
        <f aca="false">E520*H520</f>
        <v>0</v>
      </c>
      <c r="K520" s="6" t="n">
        <f aca="false">E520*I520</f>
        <v>400730.65</v>
      </c>
      <c r="L520" s="6" t="n">
        <v>0</v>
      </c>
      <c r="M520" s="6" t="n">
        <v>400730.65</v>
      </c>
      <c r="N520" s="6"/>
      <c r="O520" s="6"/>
      <c r="P520" s="7"/>
      <c r="Q520" s="5" t="s">
        <v>26</v>
      </c>
      <c r="R520" s="5" t="s">
        <v>27</v>
      </c>
    </row>
    <row r="521" customFormat="false" ht="15" hidden="false" customHeight="true" outlineLevel="0" collapsed="false">
      <c r="A521" s="5" t="s">
        <v>545</v>
      </c>
      <c r="B521" s="6" t="n">
        <v>484320301.6</v>
      </c>
      <c r="C521" s="6" t="n">
        <v>0</v>
      </c>
      <c r="D521" s="6" t="n">
        <v>484320301.6</v>
      </c>
      <c r="E521" s="6" t="n">
        <v>179198.51</v>
      </c>
      <c r="F521" s="6" t="n">
        <v>0</v>
      </c>
      <c r="G521" s="6" t="n">
        <f aca="false">E521+F521</f>
        <v>179198.51</v>
      </c>
      <c r="H521" s="7" t="n">
        <f aca="false">IF(D521=0,0,C521/D521)</f>
        <v>0</v>
      </c>
      <c r="I521" s="7" t="n">
        <f aca="false">IF(D521=0,0,B521/D521)</f>
        <v>1</v>
      </c>
      <c r="J521" s="6" t="n">
        <f aca="false">E521*H521</f>
        <v>0</v>
      </c>
      <c r="K521" s="6" t="n">
        <f aca="false">E521*I521</f>
        <v>179198.51</v>
      </c>
      <c r="L521" s="6" t="n">
        <v>0</v>
      </c>
      <c r="M521" s="6" t="n">
        <v>179198.51</v>
      </c>
      <c r="N521" s="6"/>
      <c r="O521" s="6"/>
      <c r="P521" s="7"/>
      <c r="Q521" s="5" t="s">
        <v>26</v>
      </c>
      <c r="R521" s="5" t="s">
        <v>27</v>
      </c>
    </row>
    <row r="522" customFormat="false" ht="15" hidden="false" customHeight="true" outlineLevel="0" collapsed="false">
      <c r="A522" s="5" t="s">
        <v>546</v>
      </c>
      <c r="B522" s="6" t="n">
        <v>700882203.33</v>
      </c>
      <c r="C522" s="6" t="n">
        <v>0</v>
      </c>
      <c r="D522" s="6" t="n">
        <v>700882203.33</v>
      </c>
      <c r="E522" s="6" t="n">
        <v>259326.42</v>
      </c>
      <c r="F522" s="6" t="n">
        <v>0</v>
      </c>
      <c r="G522" s="6" t="n">
        <f aca="false">E522+F522</f>
        <v>259326.42</v>
      </c>
      <c r="H522" s="7" t="n">
        <f aca="false">IF(D522=0,0,C522/D522)</f>
        <v>0</v>
      </c>
      <c r="I522" s="7" t="n">
        <f aca="false">IF(D522=0,0,B522/D522)</f>
        <v>1</v>
      </c>
      <c r="J522" s="6" t="n">
        <f aca="false">E522*H522</f>
        <v>0</v>
      </c>
      <c r="K522" s="6" t="n">
        <f aca="false">E522*I522</f>
        <v>259326.42</v>
      </c>
      <c r="L522" s="6" t="n">
        <v>0</v>
      </c>
      <c r="M522" s="6" t="n">
        <v>259326.42</v>
      </c>
      <c r="N522" s="6"/>
      <c r="O522" s="6"/>
      <c r="P522" s="7"/>
      <c r="Q522" s="5" t="s">
        <v>26</v>
      </c>
      <c r="R522" s="5" t="s">
        <v>27</v>
      </c>
    </row>
    <row r="523" customFormat="false" ht="15" hidden="false" customHeight="true" outlineLevel="0" collapsed="false">
      <c r="A523" s="5" t="s">
        <v>547</v>
      </c>
      <c r="B523" s="6" t="n">
        <v>1271612376.85</v>
      </c>
      <c r="C523" s="6" t="n">
        <v>0</v>
      </c>
      <c r="D523" s="6" t="n">
        <v>1271612376.85</v>
      </c>
      <c r="E523" s="6" t="n">
        <v>470496.58</v>
      </c>
      <c r="F523" s="6" t="n">
        <v>0</v>
      </c>
      <c r="G523" s="6" t="n">
        <f aca="false">E523+F523</f>
        <v>470496.58</v>
      </c>
      <c r="H523" s="7" t="n">
        <f aca="false">IF(D523=0,0,C523/D523)</f>
        <v>0</v>
      </c>
      <c r="I523" s="7" t="n">
        <f aca="false">IF(D523=0,0,B523/D523)</f>
        <v>1</v>
      </c>
      <c r="J523" s="6" t="n">
        <f aca="false">E523*H523</f>
        <v>0</v>
      </c>
      <c r="K523" s="6" t="n">
        <f aca="false">E523*I523</f>
        <v>470496.58</v>
      </c>
      <c r="L523" s="6" t="n">
        <v>0</v>
      </c>
      <c r="M523" s="6" t="n">
        <v>470496.58</v>
      </c>
      <c r="N523" s="6"/>
      <c r="O523" s="6"/>
      <c r="P523" s="7"/>
      <c r="Q523" s="5" t="s">
        <v>26</v>
      </c>
      <c r="R523" s="5" t="s">
        <v>27</v>
      </c>
    </row>
    <row r="524" customFormat="false" ht="15" hidden="false" customHeight="true" outlineLevel="0" collapsed="false">
      <c r="A524" s="5" t="s">
        <v>548</v>
      </c>
      <c r="B524" s="6" t="n">
        <v>1214898262.69</v>
      </c>
      <c r="C524" s="6" t="n">
        <v>0</v>
      </c>
      <c r="D524" s="6" t="n">
        <v>1214898262.69</v>
      </c>
      <c r="E524" s="6" t="n">
        <v>449512.36</v>
      </c>
      <c r="F524" s="6" t="n">
        <v>0</v>
      </c>
      <c r="G524" s="6" t="n">
        <f aca="false">E524+F524</f>
        <v>449512.36</v>
      </c>
      <c r="H524" s="7" t="n">
        <f aca="false">IF(D524=0,0,C524/D524)</f>
        <v>0</v>
      </c>
      <c r="I524" s="7" t="n">
        <f aca="false">IF(D524=0,0,B524/D524)</f>
        <v>1</v>
      </c>
      <c r="J524" s="6" t="n">
        <f aca="false">E524*H524</f>
        <v>0</v>
      </c>
      <c r="K524" s="6" t="n">
        <f aca="false">E524*I524</f>
        <v>449512.36</v>
      </c>
      <c r="L524" s="6" t="n">
        <v>0</v>
      </c>
      <c r="M524" s="6" t="n">
        <v>449512.36</v>
      </c>
      <c r="N524" s="6"/>
      <c r="O524" s="6"/>
      <c r="P524" s="7"/>
      <c r="Q524" s="5" t="s">
        <v>26</v>
      </c>
      <c r="R524" s="5" t="s">
        <v>27</v>
      </c>
    </row>
    <row r="525" customFormat="false" ht="15" hidden="false" customHeight="true" outlineLevel="0" collapsed="false">
      <c r="A525" s="5" t="s">
        <v>549</v>
      </c>
      <c r="B525" s="6" t="n">
        <v>1251965098.19</v>
      </c>
      <c r="C525" s="6" t="n">
        <v>0</v>
      </c>
      <c r="D525" s="6" t="n">
        <v>1251965098.19</v>
      </c>
      <c r="E525" s="6" t="n">
        <v>463227.09</v>
      </c>
      <c r="F525" s="6" t="n">
        <v>0</v>
      </c>
      <c r="G525" s="6" t="n">
        <f aca="false">E525+F525</f>
        <v>463227.09</v>
      </c>
      <c r="H525" s="7" t="n">
        <f aca="false">IF(D525=0,0,C525/D525)</f>
        <v>0</v>
      </c>
      <c r="I525" s="7" t="n">
        <f aca="false">IF(D525=0,0,B525/D525)</f>
        <v>1</v>
      </c>
      <c r="J525" s="6" t="n">
        <f aca="false">E525*H525</f>
        <v>0</v>
      </c>
      <c r="K525" s="6" t="n">
        <f aca="false">E525*I525</f>
        <v>463227.09</v>
      </c>
      <c r="L525" s="6" t="n">
        <v>0</v>
      </c>
      <c r="M525" s="6" t="n">
        <v>463227.09</v>
      </c>
      <c r="N525" s="6"/>
      <c r="O525" s="6"/>
      <c r="P525" s="7"/>
      <c r="Q525" s="5" t="s">
        <v>26</v>
      </c>
      <c r="R525" s="5" t="s">
        <v>27</v>
      </c>
    </row>
    <row r="526" customFormat="false" ht="15" hidden="false" customHeight="true" outlineLevel="0" collapsed="false">
      <c r="A526" s="5" t="s">
        <v>550</v>
      </c>
      <c r="B526" s="6" t="n">
        <v>929070387.19</v>
      </c>
      <c r="C526" s="6" t="n">
        <v>0</v>
      </c>
      <c r="D526" s="6" t="n">
        <v>929070387.19</v>
      </c>
      <c r="E526" s="6" t="n">
        <v>343756.04</v>
      </c>
      <c r="F526" s="6" t="n">
        <v>0</v>
      </c>
      <c r="G526" s="6" t="n">
        <f aca="false">E526+F526</f>
        <v>343756.04</v>
      </c>
      <c r="H526" s="7" t="n">
        <f aca="false">IF(D526=0,0,C526/D526)</f>
        <v>0</v>
      </c>
      <c r="I526" s="7" t="n">
        <f aca="false">IF(D526=0,0,B526/D526)</f>
        <v>1</v>
      </c>
      <c r="J526" s="6" t="n">
        <f aca="false">E526*H526</f>
        <v>0</v>
      </c>
      <c r="K526" s="6" t="n">
        <f aca="false">E526*I526</f>
        <v>343756.04</v>
      </c>
      <c r="L526" s="6" t="n">
        <v>0</v>
      </c>
      <c r="M526" s="6" t="n">
        <v>343756.04</v>
      </c>
      <c r="N526" s="6"/>
      <c r="O526" s="6"/>
      <c r="P526" s="7"/>
      <c r="Q526" s="5" t="s">
        <v>26</v>
      </c>
      <c r="R526" s="5" t="s">
        <v>27</v>
      </c>
    </row>
    <row r="527" customFormat="false" ht="15" hidden="false" customHeight="true" outlineLevel="0" collapsed="false">
      <c r="A527" s="5" t="s">
        <v>551</v>
      </c>
      <c r="B527" s="6" t="n">
        <v>1756796491.09</v>
      </c>
      <c r="C527" s="6" t="n">
        <v>0</v>
      </c>
      <c r="D527" s="6" t="n">
        <v>1756796491.09</v>
      </c>
      <c r="E527" s="6" t="n">
        <v>650014.7</v>
      </c>
      <c r="F527" s="6" t="n">
        <v>0</v>
      </c>
      <c r="G527" s="6" t="n">
        <f aca="false">E527+F527</f>
        <v>650014.7</v>
      </c>
      <c r="H527" s="7" t="n">
        <f aca="false">IF(D527=0,0,C527/D527)</f>
        <v>0</v>
      </c>
      <c r="I527" s="7" t="n">
        <f aca="false">IF(D527=0,0,B527/D527)</f>
        <v>1</v>
      </c>
      <c r="J527" s="6" t="n">
        <f aca="false">E527*H527</f>
        <v>0</v>
      </c>
      <c r="K527" s="6" t="n">
        <f aca="false">E527*I527</f>
        <v>650014.7</v>
      </c>
      <c r="L527" s="6" t="n">
        <v>0</v>
      </c>
      <c r="M527" s="6" t="n">
        <v>650014.7</v>
      </c>
      <c r="N527" s="6"/>
      <c r="O527" s="6"/>
      <c r="P527" s="7"/>
      <c r="Q527" s="5" t="s">
        <v>26</v>
      </c>
      <c r="R527" s="5" t="s">
        <v>27</v>
      </c>
    </row>
    <row r="528" customFormat="false" ht="15" hidden="false" customHeight="true" outlineLevel="0" collapsed="false">
      <c r="A528" s="5" t="s">
        <v>552</v>
      </c>
      <c r="B528" s="6" t="n">
        <v>1493843407.23</v>
      </c>
      <c r="C528" s="6" t="n">
        <v>0</v>
      </c>
      <c r="D528" s="6" t="n">
        <v>1493843407.23</v>
      </c>
      <c r="E528" s="6" t="n">
        <v>552722.06</v>
      </c>
      <c r="F528" s="6" t="n">
        <v>0</v>
      </c>
      <c r="G528" s="6" t="n">
        <f aca="false">E528+F528</f>
        <v>552722.06</v>
      </c>
      <c r="H528" s="7" t="n">
        <f aca="false">IF(D528=0,0,C528/D528)</f>
        <v>0</v>
      </c>
      <c r="I528" s="7" t="n">
        <f aca="false">IF(D528=0,0,B528/D528)</f>
        <v>1</v>
      </c>
      <c r="J528" s="6" t="n">
        <f aca="false">E528*H528</f>
        <v>0</v>
      </c>
      <c r="K528" s="6" t="n">
        <f aca="false">E528*I528</f>
        <v>552722.06</v>
      </c>
      <c r="L528" s="6" t="n">
        <v>0</v>
      </c>
      <c r="M528" s="6" t="n">
        <v>552722.06</v>
      </c>
      <c r="N528" s="6"/>
      <c r="O528" s="6"/>
      <c r="P528" s="7"/>
      <c r="Q528" s="5" t="s">
        <v>26</v>
      </c>
      <c r="R528" s="5" t="s">
        <v>27</v>
      </c>
    </row>
    <row r="529" customFormat="false" ht="15" hidden="false" customHeight="true" outlineLevel="0" collapsed="false">
      <c r="A529" s="5" t="s">
        <v>553</v>
      </c>
      <c r="B529" s="6" t="n">
        <v>438451324.96</v>
      </c>
      <c r="C529" s="6" t="n">
        <v>0</v>
      </c>
      <c r="D529" s="6" t="n">
        <v>438451324.96</v>
      </c>
      <c r="E529" s="6" t="n">
        <v>162226.99</v>
      </c>
      <c r="F529" s="6" t="n">
        <v>0</v>
      </c>
      <c r="G529" s="6" t="n">
        <f aca="false">E529+F529</f>
        <v>162226.99</v>
      </c>
      <c r="H529" s="7" t="n">
        <f aca="false">IF(D529=0,0,C529/D529)</f>
        <v>0</v>
      </c>
      <c r="I529" s="7" t="n">
        <f aca="false">IF(D529=0,0,B529/D529)</f>
        <v>1</v>
      </c>
      <c r="J529" s="6" t="n">
        <f aca="false">E529*H529</f>
        <v>0</v>
      </c>
      <c r="K529" s="6" t="n">
        <f aca="false">E529*I529</f>
        <v>162226.99</v>
      </c>
      <c r="L529" s="6" t="n">
        <v>0</v>
      </c>
      <c r="M529" s="6" t="n">
        <v>162226.99</v>
      </c>
      <c r="N529" s="6"/>
      <c r="O529" s="6"/>
      <c r="P529" s="7"/>
      <c r="Q529" s="5" t="s">
        <v>26</v>
      </c>
      <c r="R529" s="5" t="s">
        <v>27</v>
      </c>
    </row>
    <row r="530" customFormat="false" ht="15" hidden="false" customHeight="true" outlineLevel="0" collapsed="false">
      <c r="A530" s="5" t="s">
        <v>554</v>
      </c>
      <c r="B530" s="6" t="n">
        <v>1045299068.62</v>
      </c>
      <c r="C530" s="6" t="n">
        <v>0</v>
      </c>
      <c r="D530" s="6" t="n">
        <v>1045299068.62</v>
      </c>
      <c r="E530" s="6" t="n">
        <v>386760.66</v>
      </c>
      <c r="F530" s="6" t="n">
        <v>0</v>
      </c>
      <c r="G530" s="6" t="n">
        <f aca="false">E530+F530</f>
        <v>386760.66</v>
      </c>
      <c r="H530" s="7" t="n">
        <f aca="false">IF(D530=0,0,C530/D530)</f>
        <v>0</v>
      </c>
      <c r="I530" s="7" t="n">
        <f aca="false">IF(D530=0,0,B530/D530)</f>
        <v>1</v>
      </c>
      <c r="J530" s="6" t="n">
        <f aca="false">E530*H530</f>
        <v>0</v>
      </c>
      <c r="K530" s="6" t="n">
        <f aca="false">E530*I530</f>
        <v>386760.66</v>
      </c>
      <c r="L530" s="6" t="n">
        <v>0</v>
      </c>
      <c r="M530" s="6" t="n">
        <v>386760.66</v>
      </c>
      <c r="N530" s="6"/>
      <c r="O530" s="6"/>
      <c r="P530" s="7"/>
      <c r="Q530" s="5" t="s">
        <v>26</v>
      </c>
      <c r="R530" s="5" t="s">
        <v>27</v>
      </c>
    </row>
    <row r="531" customFormat="false" ht="15" hidden="false" customHeight="true" outlineLevel="0" collapsed="false">
      <c r="A531" s="5" t="s">
        <v>555</v>
      </c>
      <c r="B531" s="6" t="n">
        <v>1399157863.22</v>
      </c>
      <c r="C531" s="6" t="n">
        <v>0</v>
      </c>
      <c r="D531" s="6" t="n">
        <v>1399157863.22</v>
      </c>
      <c r="E531" s="6" t="n">
        <v>517688.41</v>
      </c>
      <c r="F531" s="6" t="n">
        <v>0</v>
      </c>
      <c r="G531" s="6" t="n">
        <f aca="false">E531+F531</f>
        <v>517688.41</v>
      </c>
      <c r="H531" s="7" t="n">
        <f aca="false">IF(D531=0,0,C531/D531)</f>
        <v>0</v>
      </c>
      <c r="I531" s="7" t="n">
        <f aca="false">IF(D531=0,0,B531/D531)</f>
        <v>1</v>
      </c>
      <c r="J531" s="6" t="n">
        <f aca="false">E531*H531</f>
        <v>0</v>
      </c>
      <c r="K531" s="6" t="n">
        <f aca="false">E531*I531</f>
        <v>517688.41</v>
      </c>
      <c r="L531" s="6" t="n">
        <v>0</v>
      </c>
      <c r="M531" s="6" t="n">
        <v>517688.41</v>
      </c>
      <c r="N531" s="6"/>
      <c r="O531" s="6"/>
      <c r="P531" s="7"/>
      <c r="Q531" s="5" t="s">
        <v>26</v>
      </c>
      <c r="R531" s="5" t="s">
        <v>27</v>
      </c>
    </row>
    <row r="532" customFormat="false" ht="15" hidden="false" customHeight="true" outlineLevel="0" collapsed="false">
      <c r="A532" s="5" t="s">
        <v>556</v>
      </c>
      <c r="B532" s="6" t="n">
        <v>1138072312.05</v>
      </c>
      <c r="C532" s="6" t="n">
        <v>0</v>
      </c>
      <c r="D532" s="6" t="n">
        <v>1138072312.05</v>
      </c>
      <c r="E532" s="6" t="n">
        <v>421086.76</v>
      </c>
      <c r="F532" s="6" t="n">
        <v>0</v>
      </c>
      <c r="G532" s="6" t="n">
        <f aca="false">E532+F532</f>
        <v>421086.76</v>
      </c>
      <c r="H532" s="7" t="n">
        <f aca="false">IF(D532=0,0,C532/D532)</f>
        <v>0</v>
      </c>
      <c r="I532" s="7" t="n">
        <f aca="false">IF(D532=0,0,B532/D532)</f>
        <v>1</v>
      </c>
      <c r="J532" s="6" t="n">
        <f aca="false">E532*H532</f>
        <v>0</v>
      </c>
      <c r="K532" s="6" t="n">
        <f aca="false">E532*I532</f>
        <v>421086.76</v>
      </c>
      <c r="L532" s="6" t="n">
        <v>0</v>
      </c>
      <c r="M532" s="6" t="n">
        <v>421086.76</v>
      </c>
      <c r="N532" s="6"/>
      <c r="O532" s="6"/>
      <c r="P532" s="7"/>
      <c r="Q532" s="5" t="s">
        <v>26</v>
      </c>
      <c r="R532" s="5" t="s">
        <v>27</v>
      </c>
    </row>
    <row r="533" customFormat="false" ht="15" hidden="false" customHeight="true" outlineLevel="0" collapsed="false">
      <c r="A533" s="5" t="s">
        <v>557</v>
      </c>
      <c r="B533" s="6" t="n">
        <v>1067358457.49</v>
      </c>
      <c r="C533" s="6" t="n">
        <v>0</v>
      </c>
      <c r="D533" s="6" t="n">
        <v>1067358457.49</v>
      </c>
      <c r="E533" s="6" t="n">
        <v>394922.63</v>
      </c>
      <c r="F533" s="6" t="n">
        <v>0</v>
      </c>
      <c r="G533" s="6" t="n">
        <f aca="false">E533+F533</f>
        <v>394922.63</v>
      </c>
      <c r="H533" s="7" t="n">
        <f aca="false">IF(D533=0,0,C533/D533)</f>
        <v>0</v>
      </c>
      <c r="I533" s="7" t="n">
        <f aca="false">IF(D533=0,0,B533/D533)</f>
        <v>1</v>
      </c>
      <c r="J533" s="6" t="n">
        <f aca="false">E533*H533</f>
        <v>0</v>
      </c>
      <c r="K533" s="6" t="n">
        <f aca="false">E533*I533</f>
        <v>394922.63</v>
      </c>
      <c r="L533" s="6" t="n">
        <v>0</v>
      </c>
      <c r="M533" s="6" t="n">
        <v>394922.63</v>
      </c>
      <c r="N533" s="6"/>
      <c r="O533" s="6"/>
      <c r="P533" s="7"/>
      <c r="Q533" s="5" t="s">
        <v>26</v>
      </c>
      <c r="R533" s="5" t="s">
        <v>27</v>
      </c>
    </row>
    <row r="534" customFormat="false" ht="15" hidden="false" customHeight="true" outlineLevel="0" collapsed="false">
      <c r="A534" s="5" t="s">
        <v>558</v>
      </c>
      <c r="B534" s="6" t="n">
        <v>1488728710.43</v>
      </c>
      <c r="C534" s="6" t="n">
        <v>0</v>
      </c>
      <c r="D534" s="6" t="n">
        <v>1488728710.43</v>
      </c>
      <c r="E534" s="6" t="n">
        <v>550829.62</v>
      </c>
      <c r="F534" s="6" t="n">
        <v>0</v>
      </c>
      <c r="G534" s="6" t="n">
        <f aca="false">E534+F534</f>
        <v>550829.62</v>
      </c>
      <c r="H534" s="7" t="n">
        <f aca="false">IF(D534=0,0,C534/D534)</f>
        <v>0</v>
      </c>
      <c r="I534" s="7" t="n">
        <f aca="false">IF(D534=0,0,B534/D534)</f>
        <v>1</v>
      </c>
      <c r="J534" s="6" t="n">
        <f aca="false">E534*H534</f>
        <v>0</v>
      </c>
      <c r="K534" s="6" t="n">
        <f aca="false">E534*I534</f>
        <v>550829.62</v>
      </c>
      <c r="L534" s="6" t="n">
        <v>0</v>
      </c>
      <c r="M534" s="6" t="n">
        <v>550829.62</v>
      </c>
      <c r="N534" s="6"/>
      <c r="O534" s="6"/>
      <c r="P534" s="7"/>
      <c r="Q534" s="5" t="s">
        <v>26</v>
      </c>
      <c r="R534" s="5" t="s">
        <v>27</v>
      </c>
    </row>
    <row r="535" customFormat="false" ht="15" hidden="false" customHeight="true" outlineLevel="0" collapsed="false">
      <c r="A535" s="5" t="s">
        <v>559</v>
      </c>
      <c r="B535" s="6" t="n">
        <v>466867376.96</v>
      </c>
      <c r="C535" s="6" t="n">
        <v>0</v>
      </c>
      <c r="D535" s="6" t="n">
        <v>466867376.96</v>
      </c>
      <c r="E535" s="6" t="n">
        <v>172740.93</v>
      </c>
      <c r="F535" s="6" t="n">
        <v>0</v>
      </c>
      <c r="G535" s="6" t="n">
        <f aca="false">E535+F535</f>
        <v>172740.93</v>
      </c>
      <c r="H535" s="7" t="n">
        <f aca="false">IF(D535=0,0,C535/D535)</f>
        <v>0</v>
      </c>
      <c r="I535" s="7" t="n">
        <f aca="false">IF(D535=0,0,B535/D535)</f>
        <v>1</v>
      </c>
      <c r="J535" s="6" t="n">
        <f aca="false">E535*H535</f>
        <v>0</v>
      </c>
      <c r="K535" s="6" t="n">
        <f aca="false">E535*I535</f>
        <v>172740.93</v>
      </c>
      <c r="L535" s="6" t="n">
        <v>0</v>
      </c>
      <c r="M535" s="6" t="n">
        <v>172740.93</v>
      </c>
      <c r="N535" s="6"/>
      <c r="O535" s="6"/>
      <c r="P535" s="7"/>
      <c r="Q535" s="5" t="s">
        <v>26</v>
      </c>
      <c r="R535" s="5" t="s">
        <v>27</v>
      </c>
    </row>
    <row r="536" customFormat="false" ht="15" hidden="false" customHeight="true" outlineLevel="0" collapsed="false">
      <c r="A536" s="5" t="s">
        <v>560</v>
      </c>
      <c r="B536" s="6" t="n">
        <v>834666914.24</v>
      </c>
      <c r="C536" s="6" t="n">
        <v>0</v>
      </c>
      <c r="D536" s="6" t="n">
        <v>834666914.24</v>
      </c>
      <c r="E536" s="6" t="n">
        <v>308826.76</v>
      </c>
      <c r="F536" s="6" t="n">
        <v>0</v>
      </c>
      <c r="G536" s="6" t="n">
        <f aca="false">E536+F536</f>
        <v>308826.76</v>
      </c>
      <c r="H536" s="7" t="n">
        <f aca="false">IF(D536=0,0,C536/D536)</f>
        <v>0</v>
      </c>
      <c r="I536" s="7" t="n">
        <f aca="false">IF(D536=0,0,B536/D536)</f>
        <v>1</v>
      </c>
      <c r="J536" s="6" t="n">
        <f aca="false">E536*H536</f>
        <v>0</v>
      </c>
      <c r="K536" s="6" t="n">
        <f aca="false">E536*I536</f>
        <v>308826.76</v>
      </c>
      <c r="L536" s="6" t="n">
        <v>0</v>
      </c>
      <c r="M536" s="6" t="n">
        <v>308826.76</v>
      </c>
      <c r="N536" s="6"/>
      <c r="O536" s="6"/>
      <c r="P536" s="7"/>
      <c r="Q536" s="5" t="s">
        <v>26</v>
      </c>
      <c r="R536" s="5" t="s">
        <v>27</v>
      </c>
    </row>
    <row r="537" customFormat="false" ht="15" hidden="false" customHeight="true" outlineLevel="0" collapsed="false">
      <c r="A537" s="5" t="s">
        <v>561</v>
      </c>
      <c r="B537" s="6" t="n">
        <v>845027503.57</v>
      </c>
      <c r="C537" s="6" t="n">
        <v>0</v>
      </c>
      <c r="D537" s="6" t="n">
        <v>845027503.57</v>
      </c>
      <c r="E537" s="6" t="n">
        <v>312660.18</v>
      </c>
      <c r="F537" s="6" t="n">
        <v>0</v>
      </c>
      <c r="G537" s="6" t="n">
        <f aca="false">E537+F537</f>
        <v>312660.18</v>
      </c>
      <c r="H537" s="7" t="n">
        <f aca="false">IF(D537=0,0,C537/D537)</f>
        <v>0</v>
      </c>
      <c r="I537" s="7" t="n">
        <f aca="false">IF(D537=0,0,B537/D537)</f>
        <v>1</v>
      </c>
      <c r="J537" s="6" t="n">
        <f aca="false">E537*H537</f>
        <v>0</v>
      </c>
      <c r="K537" s="6" t="n">
        <f aca="false">E537*I537</f>
        <v>312660.18</v>
      </c>
      <c r="L537" s="6" t="n">
        <v>0</v>
      </c>
      <c r="M537" s="6" t="n">
        <v>312660.18</v>
      </c>
      <c r="N537" s="6"/>
      <c r="O537" s="6"/>
      <c r="P537" s="7"/>
      <c r="Q537" s="5" t="s">
        <v>26</v>
      </c>
      <c r="R537" s="5" t="s">
        <v>27</v>
      </c>
    </row>
    <row r="538" customFormat="false" ht="15" hidden="false" customHeight="true" outlineLevel="0" collapsed="false">
      <c r="A538" s="5" t="s">
        <v>562</v>
      </c>
      <c r="B538" s="6" t="n">
        <v>1132081366.24</v>
      </c>
      <c r="C538" s="6" t="n">
        <v>0</v>
      </c>
      <c r="D538" s="6" t="n">
        <v>1132081366.24</v>
      </c>
      <c r="E538" s="6" t="n">
        <v>418870.11</v>
      </c>
      <c r="F538" s="6" t="n">
        <v>0</v>
      </c>
      <c r="G538" s="6" t="n">
        <f aca="false">E538+F538</f>
        <v>418870.11</v>
      </c>
      <c r="H538" s="7" t="n">
        <f aca="false">IF(D538=0,0,C538/D538)</f>
        <v>0</v>
      </c>
      <c r="I538" s="7" t="n">
        <f aca="false">IF(D538=0,0,B538/D538)</f>
        <v>1</v>
      </c>
      <c r="J538" s="6" t="n">
        <f aca="false">E538*H538</f>
        <v>0</v>
      </c>
      <c r="K538" s="6" t="n">
        <f aca="false">E538*I538</f>
        <v>418870.11</v>
      </c>
      <c r="L538" s="6" t="n">
        <v>0</v>
      </c>
      <c r="M538" s="6" t="n">
        <v>418870.11</v>
      </c>
      <c r="N538" s="6"/>
      <c r="O538" s="6"/>
      <c r="P538" s="7"/>
      <c r="Q538" s="5" t="s">
        <v>26</v>
      </c>
      <c r="R538" s="5" t="s">
        <v>27</v>
      </c>
    </row>
    <row r="539" customFormat="false" ht="15" hidden="false" customHeight="true" outlineLevel="0" collapsed="false">
      <c r="A539" s="5" t="s">
        <v>563</v>
      </c>
      <c r="B539" s="6" t="n">
        <v>3130348674.46</v>
      </c>
      <c r="C539" s="6" t="n">
        <v>0</v>
      </c>
      <c r="D539" s="6" t="n">
        <v>3130348674.46</v>
      </c>
      <c r="E539" s="6" t="n">
        <v>1158229.01</v>
      </c>
      <c r="F539" s="6" t="n">
        <v>0</v>
      </c>
      <c r="G539" s="6" t="n">
        <f aca="false">E539+F539</f>
        <v>1158229.01</v>
      </c>
      <c r="H539" s="7" t="n">
        <f aca="false">IF(D539=0,0,C539/D539)</f>
        <v>0</v>
      </c>
      <c r="I539" s="7" t="n">
        <f aca="false">IF(D539=0,0,B539/D539)</f>
        <v>1</v>
      </c>
      <c r="J539" s="6" t="n">
        <f aca="false">E539*H539</f>
        <v>0</v>
      </c>
      <c r="K539" s="6" t="n">
        <f aca="false">E539*I539</f>
        <v>1158229.01</v>
      </c>
      <c r="L539" s="6" t="n">
        <v>0</v>
      </c>
      <c r="M539" s="6" t="n">
        <v>1158229.01</v>
      </c>
      <c r="N539" s="6"/>
      <c r="O539" s="6"/>
      <c r="P539" s="7"/>
      <c r="Q539" s="5" t="s">
        <v>26</v>
      </c>
      <c r="R539" s="5" t="s">
        <v>27</v>
      </c>
    </row>
    <row r="540" customFormat="false" ht="15" hidden="false" customHeight="true" outlineLevel="0" collapsed="false">
      <c r="A540" s="5" t="s">
        <v>564</v>
      </c>
      <c r="B540" s="6" t="n">
        <v>2120202625.76</v>
      </c>
      <c r="C540" s="6" t="n">
        <v>0</v>
      </c>
      <c r="D540" s="6" t="n">
        <v>2120202625.76</v>
      </c>
      <c r="E540" s="6" t="n">
        <v>784474.97</v>
      </c>
      <c r="F540" s="6" t="n">
        <v>0</v>
      </c>
      <c r="G540" s="6" t="n">
        <f aca="false">E540+F540</f>
        <v>784474.97</v>
      </c>
      <c r="H540" s="7" t="n">
        <f aca="false">IF(D540=0,0,C540/D540)</f>
        <v>0</v>
      </c>
      <c r="I540" s="7" t="n">
        <f aca="false">IF(D540=0,0,B540/D540)</f>
        <v>1</v>
      </c>
      <c r="J540" s="6" t="n">
        <f aca="false">E540*H540</f>
        <v>0</v>
      </c>
      <c r="K540" s="6" t="n">
        <f aca="false">E540*I540</f>
        <v>784474.97</v>
      </c>
      <c r="L540" s="6" t="n">
        <v>0</v>
      </c>
      <c r="M540" s="6" t="n">
        <v>784474.97</v>
      </c>
      <c r="N540" s="6"/>
      <c r="O540" s="6"/>
      <c r="P540" s="7"/>
      <c r="Q540" s="5" t="s">
        <v>26</v>
      </c>
      <c r="R540" s="5" t="s">
        <v>27</v>
      </c>
    </row>
    <row r="541" customFormat="false" ht="15" hidden="false" customHeight="true" outlineLevel="0" collapsed="false">
      <c r="A541" s="5" t="s">
        <v>565</v>
      </c>
      <c r="B541" s="6" t="n">
        <v>1607657792.08</v>
      </c>
      <c r="C541" s="6" t="n">
        <v>0</v>
      </c>
      <c r="D541" s="6" t="n">
        <v>1607657792.08</v>
      </c>
      <c r="E541" s="6" t="n">
        <v>594833.38</v>
      </c>
      <c r="F541" s="6" t="n">
        <v>0</v>
      </c>
      <c r="G541" s="6" t="n">
        <f aca="false">E541+F541</f>
        <v>594833.38</v>
      </c>
      <c r="H541" s="7" t="n">
        <f aca="false">IF(D541=0,0,C541/D541)</f>
        <v>0</v>
      </c>
      <c r="I541" s="7" t="n">
        <f aca="false">IF(D541=0,0,B541/D541)</f>
        <v>1</v>
      </c>
      <c r="J541" s="6" t="n">
        <f aca="false">E541*H541</f>
        <v>0</v>
      </c>
      <c r="K541" s="6" t="n">
        <f aca="false">E541*I541</f>
        <v>594833.38</v>
      </c>
      <c r="L541" s="6" t="n">
        <v>0</v>
      </c>
      <c r="M541" s="6" t="n">
        <v>594833.38</v>
      </c>
      <c r="N541" s="6"/>
      <c r="O541" s="6"/>
      <c r="P541" s="7"/>
      <c r="Q541" s="5" t="s">
        <v>26</v>
      </c>
      <c r="R541" s="5" t="s">
        <v>27</v>
      </c>
    </row>
    <row r="542" customFormat="false" ht="15" hidden="false" customHeight="true" outlineLevel="0" collapsed="false">
      <c r="A542" s="5" t="s">
        <v>566</v>
      </c>
      <c r="B542" s="6" t="n">
        <v>1283375052.02</v>
      </c>
      <c r="C542" s="6" t="n">
        <v>0</v>
      </c>
      <c r="D542" s="6" t="n">
        <v>1283375052.02</v>
      </c>
      <c r="E542" s="6" t="n">
        <v>474848.77</v>
      </c>
      <c r="F542" s="6" t="n">
        <v>0</v>
      </c>
      <c r="G542" s="6" t="n">
        <f aca="false">E542+F542</f>
        <v>474848.77</v>
      </c>
      <c r="H542" s="7" t="n">
        <f aca="false">IF(D542=0,0,C542/D542)</f>
        <v>0</v>
      </c>
      <c r="I542" s="7" t="n">
        <f aca="false">IF(D542=0,0,B542/D542)</f>
        <v>1</v>
      </c>
      <c r="J542" s="6" t="n">
        <f aca="false">E542*H542</f>
        <v>0</v>
      </c>
      <c r="K542" s="6" t="n">
        <f aca="false">E542*I542</f>
        <v>474848.77</v>
      </c>
      <c r="L542" s="6" t="n">
        <v>0</v>
      </c>
      <c r="M542" s="6" t="n">
        <v>474848.77</v>
      </c>
      <c r="N542" s="6"/>
      <c r="O542" s="6"/>
      <c r="P542" s="7"/>
      <c r="Q542" s="5" t="s">
        <v>26</v>
      </c>
      <c r="R542" s="5" t="s">
        <v>27</v>
      </c>
    </row>
    <row r="543" customFormat="false" ht="15" hidden="false" customHeight="true" outlineLevel="0" collapsed="false">
      <c r="A543" s="5" t="s">
        <v>567</v>
      </c>
      <c r="B543" s="6" t="n">
        <v>2158793556.59</v>
      </c>
      <c r="C543" s="6" t="n">
        <v>0</v>
      </c>
      <c r="D543" s="6" t="n">
        <v>2158793556.59</v>
      </c>
      <c r="E543" s="6" t="n">
        <v>798753.62</v>
      </c>
      <c r="F543" s="6" t="n">
        <v>0</v>
      </c>
      <c r="G543" s="6" t="n">
        <f aca="false">E543+F543</f>
        <v>798753.62</v>
      </c>
      <c r="H543" s="7" t="n">
        <f aca="false">IF(D543=0,0,C543/D543)</f>
        <v>0</v>
      </c>
      <c r="I543" s="7" t="n">
        <f aca="false">IF(D543=0,0,B543/D543)</f>
        <v>1</v>
      </c>
      <c r="J543" s="6" t="n">
        <f aca="false">E543*H543</f>
        <v>0</v>
      </c>
      <c r="K543" s="6" t="n">
        <f aca="false">E543*I543</f>
        <v>798753.62</v>
      </c>
      <c r="L543" s="6" t="n">
        <v>0</v>
      </c>
      <c r="M543" s="6" t="n">
        <v>798753.62</v>
      </c>
      <c r="N543" s="6"/>
      <c r="O543" s="6"/>
      <c r="P543" s="7"/>
      <c r="Q543" s="5" t="s">
        <v>26</v>
      </c>
      <c r="R543" s="5" t="s">
        <v>27</v>
      </c>
    </row>
    <row r="544" customFormat="false" ht="15" hidden="false" customHeight="true" outlineLevel="0" collapsed="false">
      <c r="A544" s="5" t="s">
        <v>568</v>
      </c>
      <c r="B544" s="6" t="n">
        <v>3828035246</v>
      </c>
      <c r="C544" s="6" t="n">
        <v>0</v>
      </c>
      <c r="D544" s="6" t="n">
        <v>3828035246</v>
      </c>
      <c r="E544" s="6" t="n">
        <v>1416373.04</v>
      </c>
      <c r="F544" s="6" t="n">
        <v>0</v>
      </c>
      <c r="G544" s="6" t="n">
        <f aca="false">E544+F544</f>
        <v>1416373.04</v>
      </c>
      <c r="H544" s="7" t="n">
        <f aca="false">IF(D544=0,0,C544/D544)</f>
        <v>0</v>
      </c>
      <c r="I544" s="7" t="n">
        <f aca="false">IF(D544=0,0,B544/D544)</f>
        <v>1</v>
      </c>
      <c r="J544" s="6" t="n">
        <f aca="false">E544*H544</f>
        <v>0</v>
      </c>
      <c r="K544" s="6" t="n">
        <f aca="false">E544*I544</f>
        <v>1416373.04</v>
      </c>
      <c r="L544" s="6" t="n">
        <v>0</v>
      </c>
      <c r="M544" s="6" t="n">
        <v>1416373.04</v>
      </c>
      <c r="N544" s="6"/>
      <c r="O544" s="6"/>
      <c r="P544" s="7"/>
      <c r="Q544" s="5" t="s">
        <v>26</v>
      </c>
      <c r="R544" s="5" t="s">
        <v>27</v>
      </c>
    </row>
    <row r="545" customFormat="false" ht="15" hidden="false" customHeight="true" outlineLevel="0" collapsed="false">
      <c r="A545" s="5" t="s">
        <v>569</v>
      </c>
      <c r="B545" s="6" t="n">
        <v>5145147194.75</v>
      </c>
      <c r="C545" s="6" t="n">
        <v>0</v>
      </c>
      <c r="D545" s="6" t="n">
        <v>5145147194.75</v>
      </c>
      <c r="E545" s="6" t="n">
        <v>1903704.46</v>
      </c>
      <c r="F545" s="6" t="n">
        <v>0</v>
      </c>
      <c r="G545" s="6" t="n">
        <f aca="false">E545+F545</f>
        <v>1903704.46</v>
      </c>
      <c r="H545" s="7" t="n">
        <f aca="false">IF(D545=0,0,C545/D545)</f>
        <v>0</v>
      </c>
      <c r="I545" s="7" t="n">
        <f aca="false">IF(D545=0,0,B545/D545)</f>
        <v>1</v>
      </c>
      <c r="J545" s="6" t="n">
        <f aca="false">E545*H545</f>
        <v>0</v>
      </c>
      <c r="K545" s="6" t="n">
        <f aca="false">E545*I545</f>
        <v>1903704.46</v>
      </c>
      <c r="L545" s="6" t="n">
        <v>0</v>
      </c>
      <c r="M545" s="6" t="n">
        <v>1903704.46</v>
      </c>
      <c r="N545" s="6"/>
      <c r="O545" s="6"/>
      <c r="P545" s="7"/>
      <c r="Q545" s="5" t="s">
        <v>26</v>
      </c>
      <c r="R545" s="5" t="s">
        <v>27</v>
      </c>
    </row>
    <row r="546" customFormat="false" ht="15" hidden="false" customHeight="true" outlineLevel="0" collapsed="false">
      <c r="A546" s="5" t="s">
        <v>570</v>
      </c>
      <c r="B546" s="6" t="n">
        <v>5204983602.9</v>
      </c>
      <c r="C546" s="6" t="n">
        <v>0</v>
      </c>
      <c r="D546" s="6" t="n">
        <v>5204983602.9</v>
      </c>
      <c r="E546" s="6" t="n">
        <v>1925843.93</v>
      </c>
      <c r="F546" s="6" t="n">
        <v>0</v>
      </c>
      <c r="G546" s="6" t="n">
        <f aca="false">E546+F546</f>
        <v>1925843.93</v>
      </c>
      <c r="H546" s="7" t="n">
        <f aca="false">IF(D546=0,0,C546/D546)</f>
        <v>0</v>
      </c>
      <c r="I546" s="7" t="n">
        <f aca="false">IF(D546=0,0,B546/D546)</f>
        <v>1</v>
      </c>
      <c r="J546" s="6" t="n">
        <f aca="false">E546*H546</f>
        <v>0</v>
      </c>
      <c r="K546" s="6" t="n">
        <f aca="false">E546*I546</f>
        <v>1925843.93</v>
      </c>
      <c r="L546" s="6" t="n">
        <v>0</v>
      </c>
      <c r="M546" s="6" t="n">
        <v>1925843.93</v>
      </c>
      <c r="N546" s="6"/>
      <c r="O546" s="6"/>
      <c r="P546" s="7"/>
      <c r="Q546" s="5" t="s">
        <v>26</v>
      </c>
      <c r="R546" s="5" t="s">
        <v>27</v>
      </c>
    </row>
    <row r="547" customFormat="false" ht="15" hidden="false" customHeight="true" outlineLevel="0" collapsed="false">
      <c r="A547" s="5" t="s">
        <v>571</v>
      </c>
      <c r="B547" s="6" t="n">
        <v>4293882546.53</v>
      </c>
      <c r="C547" s="6" t="n">
        <v>0</v>
      </c>
      <c r="D547" s="6" t="n">
        <v>4293882546.53</v>
      </c>
      <c r="E547" s="6" t="n">
        <v>1588736.54</v>
      </c>
      <c r="F547" s="6" t="n">
        <v>0</v>
      </c>
      <c r="G547" s="6" t="n">
        <f aca="false">E547+F547</f>
        <v>1588736.54</v>
      </c>
      <c r="H547" s="7" t="n">
        <f aca="false">IF(D547=0,0,C547/D547)</f>
        <v>0</v>
      </c>
      <c r="I547" s="7" t="n">
        <f aca="false">IF(D547=0,0,B547/D547)</f>
        <v>1</v>
      </c>
      <c r="J547" s="6" t="n">
        <f aca="false">E547*H547</f>
        <v>0</v>
      </c>
      <c r="K547" s="6" t="n">
        <f aca="false">E547*I547</f>
        <v>1588736.54</v>
      </c>
      <c r="L547" s="6" t="n">
        <v>0</v>
      </c>
      <c r="M547" s="6" t="n">
        <v>1588736.54</v>
      </c>
      <c r="N547" s="6"/>
      <c r="O547" s="6"/>
      <c r="P547" s="7"/>
      <c r="Q547" s="5" t="s">
        <v>26</v>
      </c>
      <c r="R547" s="5" t="s">
        <v>27</v>
      </c>
    </row>
    <row r="548" customFormat="false" ht="15" hidden="false" customHeight="true" outlineLevel="0" collapsed="false">
      <c r="A548" s="5" t="s">
        <v>572</v>
      </c>
      <c r="B548" s="6" t="n">
        <v>3064535634.42</v>
      </c>
      <c r="C548" s="6" t="n">
        <v>0</v>
      </c>
      <c r="D548" s="6" t="n">
        <v>3064535634.42</v>
      </c>
      <c r="E548" s="6" t="n">
        <v>1133878.18</v>
      </c>
      <c r="F548" s="6" t="n">
        <v>0</v>
      </c>
      <c r="G548" s="6" t="n">
        <f aca="false">E548+F548</f>
        <v>1133878.18</v>
      </c>
      <c r="H548" s="7" t="n">
        <f aca="false">IF(D548=0,0,C548/D548)</f>
        <v>0</v>
      </c>
      <c r="I548" s="7" t="n">
        <f aca="false">IF(D548=0,0,B548/D548)</f>
        <v>1</v>
      </c>
      <c r="J548" s="6" t="n">
        <f aca="false">E548*H548</f>
        <v>0</v>
      </c>
      <c r="K548" s="6" t="n">
        <f aca="false">E548*I548</f>
        <v>1133878.18</v>
      </c>
      <c r="L548" s="6" t="n">
        <v>0</v>
      </c>
      <c r="M548" s="6" t="n">
        <v>1133878.18</v>
      </c>
      <c r="N548" s="6"/>
      <c r="O548" s="6"/>
      <c r="P548" s="7"/>
      <c r="Q548" s="5" t="s">
        <v>26</v>
      </c>
      <c r="R548" s="5" t="s">
        <v>27</v>
      </c>
    </row>
    <row r="549" customFormat="false" ht="15" hidden="false" customHeight="true" outlineLevel="0" collapsed="false">
      <c r="A549" s="5" t="s">
        <v>573</v>
      </c>
      <c r="B549" s="6" t="n">
        <v>1789570859.99</v>
      </c>
      <c r="C549" s="6" t="n">
        <v>0</v>
      </c>
      <c r="D549" s="6" t="n">
        <v>1789570859.99</v>
      </c>
      <c r="E549" s="6" t="n">
        <v>662141.22</v>
      </c>
      <c r="F549" s="6" t="n">
        <v>0</v>
      </c>
      <c r="G549" s="6" t="n">
        <f aca="false">E549+F549</f>
        <v>662141.22</v>
      </c>
      <c r="H549" s="7" t="n">
        <f aca="false">IF(D549=0,0,C549/D549)</f>
        <v>0</v>
      </c>
      <c r="I549" s="7" t="n">
        <f aca="false">IF(D549=0,0,B549/D549)</f>
        <v>1</v>
      </c>
      <c r="J549" s="6" t="n">
        <f aca="false">E549*H549</f>
        <v>0</v>
      </c>
      <c r="K549" s="6" t="n">
        <f aca="false">E549*I549</f>
        <v>662141.22</v>
      </c>
      <c r="L549" s="6" t="n">
        <v>0</v>
      </c>
      <c r="M549" s="6" t="n">
        <v>662141.22</v>
      </c>
      <c r="N549" s="6"/>
      <c r="O549" s="6"/>
      <c r="P549" s="7"/>
      <c r="Q549" s="5" t="s">
        <v>26</v>
      </c>
      <c r="R549" s="5" t="s">
        <v>27</v>
      </c>
    </row>
    <row r="550" customFormat="false" ht="15" hidden="false" customHeight="true" outlineLevel="0" collapsed="false">
      <c r="A550" s="5" t="s">
        <v>574</v>
      </c>
      <c r="B550" s="6" t="n">
        <v>2117966761.96</v>
      </c>
      <c r="C550" s="6" t="n">
        <v>0</v>
      </c>
      <c r="D550" s="6" t="n">
        <v>2117966761.96</v>
      </c>
      <c r="E550" s="6" t="n">
        <v>783647.7</v>
      </c>
      <c r="F550" s="6" t="n">
        <v>0</v>
      </c>
      <c r="G550" s="6" t="n">
        <f aca="false">E550+F550</f>
        <v>783647.7</v>
      </c>
      <c r="H550" s="7" t="n">
        <f aca="false">IF(D550=0,0,C550/D550)</f>
        <v>0</v>
      </c>
      <c r="I550" s="7" t="n">
        <f aca="false">IF(D550=0,0,B550/D550)</f>
        <v>1</v>
      </c>
      <c r="J550" s="6" t="n">
        <f aca="false">E550*H550</f>
        <v>0</v>
      </c>
      <c r="K550" s="6" t="n">
        <f aca="false">E550*I550</f>
        <v>783647.7</v>
      </c>
      <c r="L550" s="6" t="n">
        <v>0</v>
      </c>
      <c r="M550" s="6" t="n">
        <v>783647.7</v>
      </c>
      <c r="N550" s="6"/>
      <c r="O550" s="6"/>
      <c r="P550" s="7"/>
      <c r="Q550" s="5" t="s">
        <v>26</v>
      </c>
      <c r="R550" s="5" t="s">
        <v>27</v>
      </c>
    </row>
    <row r="551" customFormat="false" ht="15" hidden="false" customHeight="true" outlineLevel="0" collapsed="false">
      <c r="A551" s="5" t="s">
        <v>575</v>
      </c>
      <c r="B551" s="6" t="n">
        <v>2621891478.31</v>
      </c>
      <c r="C551" s="6" t="n">
        <v>0</v>
      </c>
      <c r="D551" s="6" t="n">
        <v>2621891478.31</v>
      </c>
      <c r="E551" s="6" t="n">
        <v>970099.85</v>
      </c>
      <c r="F551" s="6" t="n">
        <v>0</v>
      </c>
      <c r="G551" s="6" t="n">
        <f aca="false">E551+F551</f>
        <v>970099.85</v>
      </c>
      <c r="H551" s="7" t="n">
        <f aca="false">IF(D551=0,0,C551/D551)</f>
        <v>0</v>
      </c>
      <c r="I551" s="7" t="n">
        <f aca="false">IF(D551=0,0,B551/D551)</f>
        <v>1</v>
      </c>
      <c r="J551" s="6" t="n">
        <f aca="false">E551*H551</f>
        <v>0</v>
      </c>
      <c r="K551" s="6" t="n">
        <f aca="false">E551*I551</f>
        <v>970099.85</v>
      </c>
      <c r="L551" s="6" t="n">
        <v>0</v>
      </c>
      <c r="M551" s="6" t="n">
        <v>970099.85</v>
      </c>
      <c r="N551" s="6"/>
      <c r="O551" s="6"/>
      <c r="P551" s="7"/>
      <c r="Q551" s="5" t="s">
        <v>26</v>
      </c>
      <c r="R551" s="5" t="s">
        <v>27</v>
      </c>
    </row>
    <row r="552" customFormat="false" ht="15" hidden="false" customHeight="true" outlineLevel="0" collapsed="false">
      <c r="A552" s="5" t="s">
        <v>576</v>
      </c>
      <c r="B552" s="6" t="n">
        <v>2167569345.54</v>
      </c>
      <c r="C552" s="6" t="n">
        <v>0</v>
      </c>
      <c r="D552" s="6" t="n">
        <v>2167569345.54</v>
      </c>
      <c r="E552" s="6" t="n">
        <v>802000.66</v>
      </c>
      <c r="F552" s="6" t="n">
        <v>0</v>
      </c>
      <c r="G552" s="6" t="n">
        <f aca="false">E552+F552</f>
        <v>802000.66</v>
      </c>
      <c r="H552" s="7" t="n">
        <f aca="false">IF(D552=0,0,C552/D552)</f>
        <v>0</v>
      </c>
      <c r="I552" s="7" t="n">
        <f aca="false">IF(D552=0,0,B552/D552)</f>
        <v>1</v>
      </c>
      <c r="J552" s="6" t="n">
        <f aca="false">E552*H552</f>
        <v>0</v>
      </c>
      <c r="K552" s="6" t="n">
        <f aca="false">E552*I552</f>
        <v>802000.66</v>
      </c>
      <c r="L552" s="6" t="n">
        <v>0</v>
      </c>
      <c r="M552" s="6" t="n">
        <v>802000.66</v>
      </c>
      <c r="N552" s="6"/>
      <c r="O552" s="6"/>
      <c r="P552" s="7"/>
      <c r="Q552" s="5" t="s">
        <v>26</v>
      </c>
      <c r="R552" s="5" t="s">
        <v>27</v>
      </c>
    </row>
    <row r="553" customFormat="false" ht="15" hidden="false" customHeight="true" outlineLevel="0" collapsed="false">
      <c r="A553" s="5" t="s">
        <v>577</v>
      </c>
      <c r="B553" s="6" t="n">
        <v>2541441481.6</v>
      </c>
      <c r="C553" s="6" t="n">
        <v>0</v>
      </c>
      <c r="D553" s="6" t="n">
        <v>2541441481.6</v>
      </c>
      <c r="E553" s="6" t="n">
        <v>940333.35</v>
      </c>
      <c r="F553" s="6" t="n">
        <v>0</v>
      </c>
      <c r="G553" s="6" t="n">
        <f aca="false">E553+F553</f>
        <v>940333.35</v>
      </c>
      <c r="H553" s="7" t="n">
        <f aca="false">IF(D553=0,0,C553/D553)</f>
        <v>0</v>
      </c>
      <c r="I553" s="7" t="n">
        <f aca="false">IF(D553=0,0,B553/D553)</f>
        <v>1</v>
      </c>
      <c r="J553" s="6" t="n">
        <f aca="false">E553*H553</f>
        <v>0</v>
      </c>
      <c r="K553" s="6" t="n">
        <f aca="false">E553*I553</f>
        <v>940333.35</v>
      </c>
      <c r="L553" s="6" t="n">
        <v>0</v>
      </c>
      <c r="M553" s="6" t="n">
        <v>940333.35</v>
      </c>
      <c r="N553" s="6"/>
      <c r="O553" s="6"/>
      <c r="P553" s="7"/>
      <c r="Q553" s="5" t="s">
        <v>26</v>
      </c>
      <c r="R553" s="5" t="s">
        <v>27</v>
      </c>
    </row>
    <row r="554" customFormat="false" ht="15" hidden="false" customHeight="true" outlineLevel="0" collapsed="false">
      <c r="A554" s="5" t="s">
        <v>578</v>
      </c>
      <c r="B554" s="6" t="n">
        <v>3603835315.16</v>
      </c>
      <c r="C554" s="6" t="n">
        <v>0</v>
      </c>
      <c r="D554" s="6" t="n">
        <v>3603835315.16</v>
      </c>
      <c r="E554" s="6" t="n">
        <v>1333419.07</v>
      </c>
      <c r="F554" s="6" t="n">
        <v>0</v>
      </c>
      <c r="G554" s="6" t="n">
        <f aca="false">E554+F554</f>
        <v>1333419.07</v>
      </c>
      <c r="H554" s="7" t="n">
        <f aca="false">IF(D554=0,0,C554/D554)</f>
        <v>0</v>
      </c>
      <c r="I554" s="7" t="n">
        <f aca="false">IF(D554=0,0,B554/D554)</f>
        <v>1</v>
      </c>
      <c r="J554" s="6" t="n">
        <f aca="false">E554*H554</f>
        <v>0</v>
      </c>
      <c r="K554" s="6" t="n">
        <f aca="false">E554*I554</f>
        <v>1333419.07</v>
      </c>
      <c r="L554" s="6" t="n">
        <v>0</v>
      </c>
      <c r="M554" s="6" t="n">
        <v>1333419.07</v>
      </c>
      <c r="N554" s="6"/>
      <c r="O554" s="6"/>
      <c r="P554" s="7"/>
      <c r="Q554" s="5" t="s">
        <v>26</v>
      </c>
      <c r="R554" s="5" t="s">
        <v>27</v>
      </c>
    </row>
    <row r="555" customFormat="false" ht="15" hidden="false" customHeight="true" outlineLevel="0" collapsed="false">
      <c r="A555" s="5" t="s">
        <v>579</v>
      </c>
      <c r="B555" s="6" t="n">
        <v>2806572942.19</v>
      </c>
      <c r="C555" s="6" t="n">
        <v>0</v>
      </c>
      <c r="D555" s="6" t="n">
        <v>2806572942.19</v>
      </c>
      <c r="E555" s="6" t="n">
        <v>1038431.99</v>
      </c>
      <c r="F555" s="6" t="n">
        <v>0</v>
      </c>
      <c r="G555" s="6" t="n">
        <f aca="false">E555+F555</f>
        <v>1038431.99</v>
      </c>
      <c r="H555" s="7" t="n">
        <f aca="false">IF(D555=0,0,C555/D555)</f>
        <v>0</v>
      </c>
      <c r="I555" s="7" t="n">
        <f aca="false">IF(D555=0,0,B555/D555)</f>
        <v>1</v>
      </c>
      <c r="J555" s="6" t="n">
        <f aca="false">E555*H555</f>
        <v>0</v>
      </c>
      <c r="K555" s="6" t="n">
        <f aca="false">E555*I555</f>
        <v>1038431.99</v>
      </c>
      <c r="L555" s="6" t="n">
        <v>0</v>
      </c>
      <c r="M555" s="6" t="n">
        <v>1038431.99</v>
      </c>
      <c r="N555" s="6"/>
      <c r="O555" s="6"/>
      <c r="P555" s="7"/>
      <c r="Q555" s="5" t="s">
        <v>26</v>
      </c>
      <c r="R555" s="5" t="s">
        <v>27</v>
      </c>
    </row>
    <row r="556" customFormat="false" ht="15" hidden="false" customHeight="true" outlineLevel="0" collapsed="false">
      <c r="A556" s="5" t="s">
        <v>580</v>
      </c>
      <c r="B556" s="6" t="n">
        <v>2595619860.54</v>
      </c>
      <c r="C556" s="6" t="n">
        <v>0</v>
      </c>
      <c r="D556" s="6" t="n">
        <v>2595619860.54</v>
      </c>
      <c r="E556" s="6" t="n">
        <v>960379.35</v>
      </c>
      <c r="F556" s="6" t="n">
        <v>0</v>
      </c>
      <c r="G556" s="6" t="n">
        <f aca="false">E556+F556</f>
        <v>960379.35</v>
      </c>
      <c r="H556" s="7" t="n">
        <f aca="false">IF(D556=0,0,C556/D556)</f>
        <v>0</v>
      </c>
      <c r="I556" s="7" t="n">
        <f aca="false">IF(D556=0,0,B556/D556)</f>
        <v>1</v>
      </c>
      <c r="J556" s="6" t="n">
        <f aca="false">E556*H556</f>
        <v>0</v>
      </c>
      <c r="K556" s="6" t="n">
        <f aca="false">E556*I556</f>
        <v>960379.35</v>
      </c>
      <c r="L556" s="6" t="n">
        <v>0</v>
      </c>
      <c r="M556" s="6" t="n">
        <v>960379.35</v>
      </c>
      <c r="N556" s="6"/>
      <c r="O556" s="6"/>
      <c r="P556" s="7"/>
      <c r="Q556" s="5" t="s">
        <v>26</v>
      </c>
      <c r="R556" s="5" t="s">
        <v>27</v>
      </c>
    </row>
    <row r="557" customFormat="false" ht="15" hidden="false" customHeight="true" outlineLevel="0" collapsed="false">
      <c r="A557" s="5" t="s">
        <v>581</v>
      </c>
      <c r="B557" s="6" t="n">
        <v>2210527846.92</v>
      </c>
      <c r="C557" s="6" t="n">
        <v>0</v>
      </c>
      <c r="D557" s="6" t="n">
        <v>2210527846.92</v>
      </c>
      <c r="E557" s="6" t="n">
        <v>817895.3</v>
      </c>
      <c r="F557" s="6" t="n">
        <v>0</v>
      </c>
      <c r="G557" s="6" t="n">
        <f aca="false">E557+F557</f>
        <v>817895.3</v>
      </c>
      <c r="H557" s="7" t="n">
        <f aca="false">IF(D557=0,0,C557/D557)</f>
        <v>0</v>
      </c>
      <c r="I557" s="7" t="n">
        <f aca="false">IF(D557=0,0,B557/D557)</f>
        <v>1</v>
      </c>
      <c r="J557" s="6" t="n">
        <f aca="false">E557*H557</f>
        <v>0</v>
      </c>
      <c r="K557" s="6" t="n">
        <f aca="false">E557*I557</f>
        <v>817895.3</v>
      </c>
      <c r="L557" s="6" t="n">
        <v>0</v>
      </c>
      <c r="M557" s="6" t="n">
        <v>817895.3</v>
      </c>
      <c r="N557" s="6"/>
      <c r="O557" s="6"/>
      <c r="P557" s="7"/>
      <c r="Q557" s="5" t="s">
        <v>26</v>
      </c>
      <c r="R557" s="5" t="s">
        <v>27</v>
      </c>
    </row>
    <row r="558" customFormat="false" ht="15" hidden="false" customHeight="true" outlineLevel="0" collapsed="false">
      <c r="A558" s="5" t="s">
        <v>582</v>
      </c>
      <c r="B558" s="6" t="n">
        <v>3269150813.66</v>
      </c>
      <c r="C558" s="6" t="n">
        <v>0</v>
      </c>
      <c r="D558" s="6" t="n">
        <v>3269150813.66</v>
      </c>
      <c r="E558" s="6" t="n">
        <v>1209585.8</v>
      </c>
      <c r="F558" s="6" t="n">
        <v>0</v>
      </c>
      <c r="G558" s="6" t="n">
        <f aca="false">E558+F558</f>
        <v>1209585.8</v>
      </c>
      <c r="H558" s="7" t="n">
        <f aca="false">IF(D558=0,0,C558/D558)</f>
        <v>0</v>
      </c>
      <c r="I558" s="7" t="n">
        <f aca="false">IF(D558=0,0,B558/D558)</f>
        <v>1</v>
      </c>
      <c r="J558" s="6" t="n">
        <f aca="false">E558*H558</f>
        <v>0</v>
      </c>
      <c r="K558" s="6" t="n">
        <f aca="false">E558*I558</f>
        <v>1209585.8</v>
      </c>
      <c r="L558" s="6" t="n">
        <v>0</v>
      </c>
      <c r="M558" s="6" t="n">
        <v>1209585.8</v>
      </c>
      <c r="N558" s="6"/>
      <c r="O558" s="6"/>
      <c r="P558" s="7"/>
      <c r="Q558" s="5" t="s">
        <v>26</v>
      </c>
      <c r="R558" s="5" t="s">
        <v>27</v>
      </c>
    </row>
    <row r="559" customFormat="false" ht="15" hidden="false" customHeight="true" outlineLevel="0" collapsed="false">
      <c r="A559" s="5" t="s">
        <v>583</v>
      </c>
      <c r="B559" s="6" t="n">
        <v>3393816223.04</v>
      </c>
      <c r="C559" s="6" t="n">
        <v>0</v>
      </c>
      <c r="D559" s="6" t="n">
        <v>3393816223.04</v>
      </c>
      <c r="E559" s="6" t="n">
        <v>1255712</v>
      </c>
      <c r="F559" s="6" t="n">
        <v>0</v>
      </c>
      <c r="G559" s="6" t="n">
        <f aca="false">E559+F559</f>
        <v>1255712</v>
      </c>
      <c r="H559" s="7" t="n">
        <f aca="false">IF(D559=0,0,C559/D559)</f>
        <v>0</v>
      </c>
      <c r="I559" s="7" t="n">
        <f aca="false">IF(D559=0,0,B559/D559)</f>
        <v>1</v>
      </c>
      <c r="J559" s="6" t="n">
        <f aca="false">E559*H559</f>
        <v>0</v>
      </c>
      <c r="K559" s="6" t="n">
        <f aca="false">E559*I559</f>
        <v>1255712</v>
      </c>
      <c r="L559" s="6" t="n">
        <v>0</v>
      </c>
      <c r="M559" s="6" t="n">
        <v>1255712</v>
      </c>
      <c r="N559" s="6"/>
      <c r="O559" s="6"/>
      <c r="P559" s="7"/>
      <c r="Q559" s="5" t="s">
        <v>26</v>
      </c>
      <c r="R559" s="5" t="s">
        <v>27</v>
      </c>
    </row>
    <row r="560" customFormat="false" ht="15" hidden="false" customHeight="true" outlineLevel="0" collapsed="false">
      <c r="A560" s="5" t="s">
        <v>584</v>
      </c>
      <c r="B560" s="6" t="n">
        <v>2210855930.26</v>
      </c>
      <c r="C560" s="6" t="n">
        <v>0</v>
      </c>
      <c r="D560" s="6" t="n">
        <v>2210855930.26</v>
      </c>
      <c r="E560" s="6" t="n">
        <v>818016.69</v>
      </c>
      <c r="F560" s="6" t="n">
        <v>0</v>
      </c>
      <c r="G560" s="6" t="n">
        <f aca="false">E560+F560</f>
        <v>818016.69</v>
      </c>
      <c r="H560" s="7" t="n">
        <f aca="false">IF(D560=0,0,C560/D560)</f>
        <v>0</v>
      </c>
      <c r="I560" s="7" t="n">
        <f aca="false">IF(D560=0,0,B560/D560)</f>
        <v>1</v>
      </c>
      <c r="J560" s="6" t="n">
        <f aca="false">E560*H560</f>
        <v>0</v>
      </c>
      <c r="K560" s="6" t="n">
        <f aca="false">E560*I560</f>
        <v>818016.69</v>
      </c>
      <c r="L560" s="6" t="n">
        <v>0</v>
      </c>
      <c r="M560" s="6" t="n">
        <v>818016.69</v>
      </c>
      <c r="N560" s="6"/>
      <c r="O560" s="6"/>
      <c r="P560" s="7"/>
      <c r="Q560" s="5" t="s">
        <v>26</v>
      </c>
      <c r="R560" s="5" t="s">
        <v>27</v>
      </c>
    </row>
    <row r="561" customFormat="false" ht="15" hidden="false" customHeight="true" outlineLevel="0" collapsed="false">
      <c r="A561" s="5" t="s">
        <v>585</v>
      </c>
      <c r="B561" s="6" t="n">
        <v>1765339288.54</v>
      </c>
      <c r="C561" s="6" t="n">
        <v>0</v>
      </c>
      <c r="D561" s="6" t="n">
        <v>1765339288.54</v>
      </c>
      <c r="E561" s="6" t="n">
        <v>653175.54</v>
      </c>
      <c r="F561" s="6" t="n">
        <v>0</v>
      </c>
      <c r="G561" s="6" t="n">
        <f aca="false">E561+F561</f>
        <v>653175.54</v>
      </c>
      <c r="H561" s="7" t="n">
        <f aca="false">IF(D561=0,0,C561/D561)</f>
        <v>0</v>
      </c>
      <c r="I561" s="7" t="n">
        <f aca="false">IF(D561=0,0,B561/D561)</f>
        <v>1</v>
      </c>
      <c r="J561" s="6" t="n">
        <f aca="false">E561*H561</f>
        <v>0</v>
      </c>
      <c r="K561" s="6" t="n">
        <f aca="false">E561*I561</f>
        <v>653175.54</v>
      </c>
      <c r="L561" s="6" t="n">
        <v>0</v>
      </c>
      <c r="M561" s="6" t="n">
        <v>653175.54</v>
      </c>
      <c r="N561" s="6"/>
      <c r="O561" s="6"/>
      <c r="P561" s="7"/>
      <c r="Q561" s="5" t="s">
        <v>26</v>
      </c>
      <c r="R561" s="5" t="s">
        <v>27</v>
      </c>
    </row>
    <row r="562" customFormat="false" ht="15" hidden="false" customHeight="true" outlineLevel="0" collapsed="false">
      <c r="A562" s="5" t="s">
        <v>586</v>
      </c>
      <c r="B562" s="6" t="n">
        <v>1814687232.61</v>
      </c>
      <c r="C562" s="6" t="n">
        <v>0</v>
      </c>
      <c r="D562" s="6" t="n">
        <v>1814687232.61</v>
      </c>
      <c r="E562" s="6" t="n">
        <v>671434.28</v>
      </c>
      <c r="F562" s="6" t="n">
        <v>0</v>
      </c>
      <c r="G562" s="6" t="n">
        <f aca="false">E562+F562</f>
        <v>671434.28</v>
      </c>
      <c r="H562" s="7" t="n">
        <f aca="false">IF(D562=0,0,C562/D562)</f>
        <v>0</v>
      </c>
      <c r="I562" s="7" t="n">
        <f aca="false">IF(D562=0,0,B562/D562)</f>
        <v>1</v>
      </c>
      <c r="J562" s="6" t="n">
        <f aca="false">E562*H562</f>
        <v>0</v>
      </c>
      <c r="K562" s="6" t="n">
        <f aca="false">E562*I562</f>
        <v>671434.28</v>
      </c>
      <c r="L562" s="6" t="n">
        <v>0</v>
      </c>
      <c r="M562" s="6" t="n">
        <v>671434.28</v>
      </c>
      <c r="N562" s="6"/>
      <c r="O562" s="6"/>
      <c r="P562" s="7"/>
      <c r="Q562" s="5" t="s">
        <v>26</v>
      </c>
      <c r="R562" s="5" t="s">
        <v>27</v>
      </c>
    </row>
    <row r="563" customFormat="false" ht="15" hidden="false" customHeight="true" outlineLevel="0" collapsed="false">
      <c r="A563" s="5" t="s">
        <v>587</v>
      </c>
      <c r="B563" s="6" t="n">
        <v>1927839626.83</v>
      </c>
      <c r="C563" s="6" t="n">
        <v>0</v>
      </c>
      <c r="D563" s="6" t="n">
        <v>1927839626.83</v>
      </c>
      <c r="E563" s="6" t="n">
        <v>713300.66</v>
      </c>
      <c r="F563" s="6" t="n">
        <v>0</v>
      </c>
      <c r="G563" s="6" t="n">
        <f aca="false">E563+F563</f>
        <v>713300.66</v>
      </c>
      <c r="H563" s="7" t="n">
        <f aca="false">IF(D563=0,0,C563/D563)</f>
        <v>0</v>
      </c>
      <c r="I563" s="7" t="n">
        <f aca="false">IF(D563=0,0,B563/D563)</f>
        <v>1</v>
      </c>
      <c r="J563" s="6" t="n">
        <f aca="false">E563*H563</f>
        <v>0</v>
      </c>
      <c r="K563" s="6" t="n">
        <f aca="false">E563*I563</f>
        <v>713300.66</v>
      </c>
      <c r="L563" s="6" t="n">
        <v>0</v>
      </c>
      <c r="M563" s="6" t="n">
        <v>713300.66</v>
      </c>
      <c r="N563" s="6"/>
      <c r="O563" s="6"/>
      <c r="P563" s="7"/>
      <c r="Q563" s="5" t="s">
        <v>26</v>
      </c>
      <c r="R563" s="5" t="s">
        <v>27</v>
      </c>
    </row>
    <row r="564" customFormat="false" ht="15" hidden="false" customHeight="true" outlineLevel="0" collapsed="false">
      <c r="A564" s="5" t="s">
        <v>588</v>
      </c>
      <c r="B564" s="6" t="n">
        <v>2230952304.39</v>
      </c>
      <c r="C564" s="6" t="n">
        <v>0</v>
      </c>
      <c r="D564" s="6" t="n">
        <v>2230952304.39</v>
      </c>
      <c r="E564" s="6" t="n">
        <v>825452.35</v>
      </c>
      <c r="F564" s="6" t="n">
        <v>0</v>
      </c>
      <c r="G564" s="6" t="n">
        <f aca="false">E564+F564</f>
        <v>825452.35</v>
      </c>
      <c r="H564" s="7" t="n">
        <f aca="false">IF(D564=0,0,C564/D564)</f>
        <v>0</v>
      </c>
      <c r="I564" s="7" t="n">
        <f aca="false">IF(D564=0,0,B564/D564)</f>
        <v>1</v>
      </c>
      <c r="J564" s="6" t="n">
        <f aca="false">E564*H564</f>
        <v>0</v>
      </c>
      <c r="K564" s="6" t="n">
        <f aca="false">E564*I564</f>
        <v>825452.35</v>
      </c>
      <c r="L564" s="6" t="n">
        <v>0</v>
      </c>
      <c r="M564" s="6" t="n">
        <v>825452.35</v>
      </c>
      <c r="N564" s="6"/>
      <c r="O564" s="6"/>
      <c r="P564" s="7"/>
      <c r="Q564" s="5" t="s">
        <v>26</v>
      </c>
      <c r="R564" s="5" t="s">
        <v>27</v>
      </c>
    </row>
    <row r="565" customFormat="false" ht="15" hidden="false" customHeight="true" outlineLevel="0" collapsed="false">
      <c r="A565" s="5" t="s">
        <v>589</v>
      </c>
      <c r="B565" s="6" t="n">
        <v>5333125840.96</v>
      </c>
      <c r="C565" s="6" t="n">
        <v>0</v>
      </c>
      <c r="D565" s="6" t="n">
        <v>5333125840.96</v>
      </c>
      <c r="E565" s="6" t="n">
        <v>1973256.56</v>
      </c>
      <c r="F565" s="6" t="n">
        <v>0</v>
      </c>
      <c r="G565" s="6" t="n">
        <f aca="false">E565+F565</f>
        <v>1973256.56</v>
      </c>
      <c r="H565" s="7" t="n">
        <f aca="false">IF(D565=0,0,C565/D565)</f>
        <v>0</v>
      </c>
      <c r="I565" s="7" t="n">
        <f aca="false">IF(D565=0,0,B565/D565)</f>
        <v>1</v>
      </c>
      <c r="J565" s="6" t="n">
        <f aca="false">E565*H565</f>
        <v>0</v>
      </c>
      <c r="K565" s="6" t="n">
        <f aca="false">E565*I565</f>
        <v>1973256.56</v>
      </c>
      <c r="L565" s="6" t="n">
        <v>0</v>
      </c>
      <c r="M565" s="6" t="n">
        <v>1973256.56</v>
      </c>
      <c r="N565" s="6"/>
      <c r="O565" s="6"/>
      <c r="P565" s="7"/>
      <c r="Q565" s="5" t="s">
        <v>26</v>
      </c>
      <c r="R565" s="5" t="s">
        <v>27</v>
      </c>
    </row>
    <row r="566" customFormat="false" ht="15" hidden="false" customHeight="true" outlineLevel="0" collapsed="false">
      <c r="A566" s="5" t="s">
        <v>590</v>
      </c>
      <c r="B566" s="6" t="n">
        <v>4881981857.21</v>
      </c>
      <c r="C566" s="6" t="n">
        <v>0</v>
      </c>
      <c r="D566" s="6" t="n">
        <v>4881981857.21</v>
      </c>
      <c r="E566" s="6" t="n">
        <v>1806333.29</v>
      </c>
      <c r="F566" s="6" t="n">
        <v>0</v>
      </c>
      <c r="G566" s="6" t="n">
        <f aca="false">E566+F566</f>
        <v>1806333.29</v>
      </c>
      <c r="H566" s="7" t="n">
        <f aca="false">IF(D566=0,0,C566/D566)</f>
        <v>0</v>
      </c>
      <c r="I566" s="7" t="n">
        <f aca="false">IF(D566=0,0,B566/D566)</f>
        <v>1</v>
      </c>
      <c r="J566" s="6" t="n">
        <f aca="false">E566*H566</f>
        <v>0</v>
      </c>
      <c r="K566" s="6" t="n">
        <f aca="false">E566*I566</f>
        <v>1806333.29</v>
      </c>
      <c r="L566" s="6" t="n">
        <v>0</v>
      </c>
      <c r="M566" s="6" t="n">
        <v>1806333.29</v>
      </c>
      <c r="N566" s="6"/>
      <c r="O566" s="6"/>
      <c r="P566" s="7"/>
      <c r="Q566" s="5" t="s">
        <v>26</v>
      </c>
      <c r="R566" s="5" t="s">
        <v>27</v>
      </c>
    </row>
    <row r="567" customFormat="false" ht="15" hidden="false" customHeight="true" outlineLevel="0" collapsed="false">
      <c r="A567" s="5" t="s">
        <v>591</v>
      </c>
      <c r="B567" s="6" t="n">
        <v>6225918535.26</v>
      </c>
      <c r="C567" s="6" t="n">
        <v>0</v>
      </c>
      <c r="D567" s="6" t="n">
        <v>6225918535.26</v>
      </c>
      <c r="E567" s="6" t="n">
        <v>2303589.86</v>
      </c>
      <c r="F567" s="6" t="n">
        <v>0</v>
      </c>
      <c r="G567" s="6" t="n">
        <f aca="false">E567+F567</f>
        <v>2303589.86</v>
      </c>
      <c r="H567" s="7" t="n">
        <f aca="false">IF(D567=0,0,C567/D567)</f>
        <v>0</v>
      </c>
      <c r="I567" s="7" t="n">
        <f aca="false">IF(D567=0,0,B567/D567)</f>
        <v>1</v>
      </c>
      <c r="J567" s="6" t="n">
        <f aca="false">E567*H567</f>
        <v>0</v>
      </c>
      <c r="K567" s="6" t="n">
        <f aca="false">E567*I567</f>
        <v>2303589.86</v>
      </c>
      <c r="L567" s="6" t="n">
        <v>0</v>
      </c>
      <c r="M567" s="6" t="n">
        <v>2303589.86</v>
      </c>
      <c r="N567" s="6"/>
      <c r="O567" s="6"/>
      <c r="P567" s="7"/>
      <c r="Q567" s="5" t="s">
        <v>26</v>
      </c>
      <c r="R567" s="5" t="s">
        <v>27</v>
      </c>
    </row>
    <row r="568" customFormat="false" ht="15" hidden="false" customHeight="true" outlineLevel="0" collapsed="false">
      <c r="A568" s="5" t="s">
        <v>592</v>
      </c>
      <c r="B568" s="6" t="n">
        <v>9789562819.47</v>
      </c>
      <c r="C568" s="6" t="n">
        <v>0</v>
      </c>
      <c r="D568" s="6" t="n">
        <v>9789562819.47</v>
      </c>
      <c r="E568" s="6" t="n">
        <v>3622138.24</v>
      </c>
      <c r="F568" s="6" t="n">
        <v>0</v>
      </c>
      <c r="G568" s="6" t="n">
        <f aca="false">E568+F568</f>
        <v>3622138.24</v>
      </c>
      <c r="H568" s="7" t="n">
        <f aca="false">IF(D568=0,0,C568/D568)</f>
        <v>0</v>
      </c>
      <c r="I568" s="7" t="n">
        <f aca="false">IF(D568=0,0,B568/D568)</f>
        <v>1</v>
      </c>
      <c r="J568" s="6" t="n">
        <f aca="false">E568*H568</f>
        <v>0</v>
      </c>
      <c r="K568" s="6" t="n">
        <f aca="false">E568*I568</f>
        <v>3622138.24</v>
      </c>
      <c r="L568" s="6" t="n">
        <v>0</v>
      </c>
      <c r="M568" s="6" t="n">
        <v>3622138.24</v>
      </c>
      <c r="N568" s="6"/>
      <c r="O568" s="6"/>
      <c r="P568" s="7"/>
      <c r="Q568" s="5" t="s">
        <v>26</v>
      </c>
      <c r="R568" s="5" t="s">
        <v>27</v>
      </c>
    </row>
    <row r="569" customFormat="false" ht="15" hidden="false" customHeight="true" outlineLevel="0" collapsed="false">
      <c r="A569" s="5" t="s">
        <v>593</v>
      </c>
      <c r="B569" s="6" t="n">
        <v>7811474439.54</v>
      </c>
      <c r="C569" s="6" t="n">
        <v>0</v>
      </c>
      <c r="D569" s="6" t="n">
        <v>7811474439.54</v>
      </c>
      <c r="E569" s="6" t="n">
        <v>2890245.54</v>
      </c>
      <c r="F569" s="6" t="n">
        <v>0</v>
      </c>
      <c r="G569" s="6" t="n">
        <f aca="false">E569+F569</f>
        <v>2890245.54</v>
      </c>
      <c r="H569" s="7" t="n">
        <f aca="false">IF(D569=0,0,C569/D569)</f>
        <v>0</v>
      </c>
      <c r="I569" s="7" t="n">
        <f aca="false">IF(D569=0,0,B569/D569)</f>
        <v>1</v>
      </c>
      <c r="J569" s="6" t="n">
        <f aca="false">E569*H569</f>
        <v>0</v>
      </c>
      <c r="K569" s="6" t="n">
        <f aca="false">E569*I569</f>
        <v>2890245.54</v>
      </c>
      <c r="L569" s="6" t="n">
        <v>0</v>
      </c>
      <c r="M569" s="6" t="n">
        <v>2890245.54</v>
      </c>
      <c r="N569" s="6"/>
      <c r="O569" s="6"/>
      <c r="P569" s="7"/>
      <c r="Q569" s="5" t="s">
        <v>26</v>
      </c>
      <c r="R569" s="5" t="s">
        <v>27</v>
      </c>
    </row>
    <row r="570" customFormat="false" ht="15" hidden="false" customHeight="true" outlineLevel="0" collapsed="false">
      <c r="A570" s="5" t="s">
        <v>594</v>
      </c>
      <c r="B570" s="6" t="n">
        <v>2862437941.1</v>
      </c>
      <c r="C570" s="6" t="n">
        <v>0</v>
      </c>
      <c r="D570" s="6" t="n">
        <v>2862437941.1</v>
      </c>
      <c r="E570" s="6" t="n">
        <v>1059102.04</v>
      </c>
      <c r="F570" s="6" t="n">
        <v>0</v>
      </c>
      <c r="G570" s="6" t="n">
        <f aca="false">E570+F570</f>
        <v>1059102.04</v>
      </c>
      <c r="H570" s="7" t="n">
        <f aca="false">IF(D570=0,0,C570/D570)</f>
        <v>0</v>
      </c>
      <c r="I570" s="7" t="n">
        <f aca="false">IF(D570=0,0,B570/D570)</f>
        <v>1</v>
      </c>
      <c r="J570" s="6" t="n">
        <f aca="false">E570*H570</f>
        <v>0</v>
      </c>
      <c r="K570" s="6" t="n">
        <f aca="false">E570*I570</f>
        <v>1059102.04</v>
      </c>
      <c r="L570" s="6" t="n">
        <v>0</v>
      </c>
      <c r="M570" s="6" t="n">
        <v>1059102.04</v>
      </c>
      <c r="N570" s="6"/>
      <c r="O570" s="6"/>
      <c r="P570" s="7"/>
      <c r="Q570" s="5" t="s">
        <v>26</v>
      </c>
      <c r="R570" s="5" t="s">
        <v>27</v>
      </c>
    </row>
    <row r="571" customFormat="false" ht="15" hidden="false" customHeight="true" outlineLevel="0" collapsed="false">
      <c r="A571" s="5" t="s">
        <v>595</v>
      </c>
      <c r="B571" s="6" t="n">
        <v>3252798817.79</v>
      </c>
      <c r="C571" s="6" t="n">
        <v>0</v>
      </c>
      <c r="D571" s="6" t="n">
        <v>3252798817.79</v>
      </c>
      <c r="E571" s="6" t="n">
        <v>1203535.56</v>
      </c>
      <c r="F571" s="6" t="n">
        <v>0</v>
      </c>
      <c r="G571" s="6" t="n">
        <f aca="false">E571+F571</f>
        <v>1203535.56</v>
      </c>
      <c r="H571" s="7" t="n">
        <f aca="false">IF(D571=0,0,C571/D571)</f>
        <v>0</v>
      </c>
      <c r="I571" s="7" t="n">
        <f aca="false">IF(D571=0,0,B571/D571)</f>
        <v>1</v>
      </c>
      <c r="J571" s="6" t="n">
        <f aca="false">E571*H571</f>
        <v>0</v>
      </c>
      <c r="K571" s="6" t="n">
        <f aca="false">E571*I571</f>
        <v>1203535.56</v>
      </c>
      <c r="L571" s="6" t="n">
        <v>0</v>
      </c>
      <c r="M571" s="6" t="n">
        <v>1203535.56</v>
      </c>
      <c r="N571" s="6"/>
      <c r="O571" s="6"/>
      <c r="P571" s="7"/>
      <c r="Q571" s="5" t="s">
        <v>26</v>
      </c>
      <c r="R571" s="5" t="s">
        <v>27</v>
      </c>
    </row>
    <row r="572" customFormat="false" ht="15" hidden="false" customHeight="true" outlineLevel="0" collapsed="false">
      <c r="A572" s="5" t="s">
        <v>596</v>
      </c>
      <c r="B572" s="6" t="n">
        <v>5306358931.68</v>
      </c>
      <c r="C572" s="6" t="n">
        <v>0</v>
      </c>
      <c r="D572" s="6" t="n">
        <v>5306358931.68</v>
      </c>
      <c r="E572" s="6" t="n">
        <v>1963352.8</v>
      </c>
      <c r="F572" s="6" t="n">
        <v>0</v>
      </c>
      <c r="G572" s="6" t="n">
        <f aca="false">E572+F572</f>
        <v>1963352.8</v>
      </c>
      <c r="H572" s="7" t="n">
        <f aca="false">IF(D572=0,0,C572/D572)</f>
        <v>0</v>
      </c>
      <c r="I572" s="7" t="n">
        <f aca="false">IF(D572=0,0,B572/D572)</f>
        <v>1</v>
      </c>
      <c r="J572" s="6" t="n">
        <f aca="false">E572*H572</f>
        <v>0</v>
      </c>
      <c r="K572" s="6" t="n">
        <f aca="false">E572*I572</f>
        <v>1963352.8</v>
      </c>
      <c r="L572" s="6" t="n">
        <v>0</v>
      </c>
      <c r="M572" s="6" t="n">
        <v>1963352.8</v>
      </c>
      <c r="N572" s="6"/>
      <c r="O572" s="6"/>
      <c r="P572" s="7"/>
      <c r="Q572" s="5" t="s">
        <v>26</v>
      </c>
      <c r="R572" s="5" t="s">
        <v>27</v>
      </c>
    </row>
    <row r="573" customFormat="false" ht="15" hidden="false" customHeight="true" outlineLevel="0" collapsed="false">
      <c r="A573" s="5" t="s">
        <v>597</v>
      </c>
      <c r="B573" s="6" t="n">
        <v>10009953606.92</v>
      </c>
      <c r="C573" s="6" t="n">
        <v>0</v>
      </c>
      <c r="D573" s="6" t="n">
        <v>10009953606.92</v>
      </c>
      <c r="E573" s="6" t="n">
        <v>3703682.83</v>
      </c>
      <c r="F573" s="6" t="n">
        <v>0</v>
      </c>
      <c r="G573" s="6" t="n">
        <f aca="false">E573+F573</f>
        <v>3703682.83</v>
      </c>
      <c r="H573" s="7" t="n">
        <f aca="false">IF(D573=0,0,C573/D573)</f>
        <v>0</v>
      </c>
      <c r="I573" s="7" t="n">
        <f aca="false">IF(D573=0,0,B573/D573)</f>
        <v>1</v>
      </c>
      <c r="J573" s="6" t="n">
        <f aca="false">E573*H573</f>
        <v>0</v>
      </c>
      <c r="K573" s="6" t="n">
        <f aca="false">E573*I573</f>
        <v>3703682.83</v>
      </c>
      <c r="L573" s="6" t="n">
        <v>0</v>
      </c>
      <c r="M573" s="6" t="n">
        <v>3703682.83</v>
      </c>
      <c r="N573" s="6"/>
      <c r="O573" s="6"/>
      <c r="P573" s="7"/>
      <c r="Q573" s="5" t="s">
        <v>26</v>
      </c>
      <c r="R573" s="5" t="s">
        <v>27</v>
      </c>
    </row>
    <row r="574" customFormat="false" ht="15" hidden="false" customHeight="true" outlineLevel="0" collapsed="false">
      <c r="A574" s="5" t="s">
        <v>598</v>
      </c>
      <c r="B574" s="6" t="n">
        <v>3979399218.48</v>
      </c>
      <c r="C574" s="6" t="n">
        <v>0</v>
      </c>
      <c r="D574" s="6" t="n">
        <v>3979399218.48</v>
      </c>
      <c r="E574" s="6" t="n">
        <v>1472377.71</v>
      </c>
      <c r="F574" s="6" t="n">
        <v>0</v>
      </c>
      <c r="G574" s="6" t="n">
        <f aca="false">E574+F574</f>
        <v>1472377.71</v>
      </c>
      <c r="H574" s="7" t="n">
        <f aca="false">IF(D574=0,0,C574/D574)</f>
        <v>0</v>
      </c>
      <c r="I574" s="7" t="n">
        <f aca="false">IF(D574=0,0,B574/D574)</f>
        <v>1</v>
      </c>
      <c r="J574" s="6" t="n">
        <f aca="false">E574*H574</f>
        <v>0</v>
      </c>
      <c r="K574" s="6" t="n">
        <f aca="false">E574*I574</f>
        <v>1472377.71</v>
      </c>
      <c r="L574" s="6" t="n">
        <v>0</v>
      </c>
      <c r="M574" s="6" t="n">
        <v>1472377.71</v>
      </c>
      <c r="N574" s="6"/>
      <c r="O574" s="6"/>
      <c r="P574" s="7"/>
      <c r="Q574" s="5" t="s">
        <v>26</v>
      </c>
      <c r="R574" s="5" t="s">
        <v>27</v>
      </c>
    </row>
    <row r="575" customFormat="false" ht="15" hidden="false" customHeight="true" outlineLevel="0" collapsed="false">
      <c r="A575" s="5" t="s">
        <v>599</v>
      </c>
      <c r="B575" s="6" t="n">
        <v>4839045908.12</v>
      </c>
      <c r="C575" s="6" t="n">
        <v>0</v>
      </c>
      <c r="D575" s="6" t="n">
        <v>4839045908.12</v>
      </c>
      <c r="E575" s="6" t="n">
        <v>1790446.99</v>
      </c>
      <c r="F575" s="6" t="n">
        <v>0</v>
      </c>
      <c r="G575" s="6" t="n">
        <f aca="false">E575+F575</f>
        <v>1790446.99</v>
      </c>
      <c r="H575" s="7" t="n">
        <f aca="false">IF(D575=0,0,C575/D575)</f>
        <v>0</v>
      </c>
      <c r="I575" s="7" t="n">
        <f aca="false">IF(D575=0,0,B575/D575)</f>
        <v>1</v>
      </c>
      <c r="J575" s="6" t="n">
        <f aca="false">E575*H575</f>
        <v>0</v>
      </c>
      <c r="K575" s="6" t="n">
        <f aca="false">E575*I575</f>
        <v>1790446.99</v>
      </c>
      <c r="L575" s="6" t="n">
        <v>0</v>
      </c>
      <c r="M575" s="6" t="n">
        <v>1790446.99</v>
      </c>
      <c r="N575" s="6"/>
      <c r="O575" s="6"/>
      <c r="P575" s="7"/>
      <c r="Q575" s="5" t="s">
        <v>26</v>
      </c>
      <c r="R575" s="5" t="s">
        <v>27</v>
      </c>
    </row>
    <row r="576" customFormat="false" ht="15" hidden="false" customHeight="true" outlineLevel="0" collapsed="false">
      <c r="A576" s="5" t="s">
        <v>600</v>
      </c>
      <c r="B576" s="6" t="n">
        <v>4253319332.02</v>
      </c>
      <c r="C576" s="6" t="n">
        <v>0</v>
      </c>
      <c r="D576" s="6" t="n">
        <v>4253319332.02</v>
      </c>
      <c r="E576" s="6" t="n">
        <v>1573728.15</v>
      </c>
      <c r="F576" s="6" t="n">
        <v>0</v>
      </c>
      <c r="G576" s="6" t="n">
        <f aca="false">E576+F576</f>
        <v>1573728.15</v>
      </c>
      <c r="H576" s="7" t="n">
        <f aca="false">IF(D576=0,0,C576/D576)</f>
        <v>0</v>
      </c>
      <c r="I576" s="7" t="n">
        <f aca="false">IF(D576=0,0,B576/D576)</f>
        <v>1</v>
      </c>
      <c r="J576" s="6" t="n">
        <f aca="false">E576*H576</f>
        <v>0</v>
      </c>
      <c r="K576" s="6" t="n">
        <f aca="false">E576*I576</f>
        <v>1573728.15</v>
      </c>
      <c r="L576" s="6" t="n">
        <v>0</v>
      </c>
      <c r="M576" s="6" t="n">
        <v>1573728.15</v>
      </c>
      <c r="N576" s="6"/>
      <c r="O576" s="6"/>
      <c r="P576" s="7"/>
      <c r="Q576" s="5" t="s">
        <v>26</v>
      </c>
      <c r="R576" s="5" t="s">
        <v>27</v>
      </c>
    </row>
    <row r="577" customFormat="false" ht="15" hidden="false" customHeight="true" outlineLevel="0" collapsed="false">
      <c r="A577" s="5" t="s">
        <v>601</v>
      </c>
      <c r="B577" s="6" t="n">
        <v>3170522123.29</v>
      </c>
      <c r="C577" s="6" t="n">
        <v>0</v>
      </c>
      <c r="D577" s="6" t="n">
        <v>3170522123.29</v>
      </c>
      <c r="E577" s="6" t="n">
        <v>1173093.19</v>
      </c>
      <c r="F577" s="6" t="n">
        <v>0</v>
      </c>
      <c r="G577" s="6" t="n">
        <f aca="false">E577+F577</f>
        <v>1173093.19</v>
      </c>
      <c r="H577" s="7" t="n">
        <f aca="false">IF(D577=0,0,C577/D577)</f>
        <v>0</v>
      </c>
      <c r="I577" s="7" t="n">
        <f aca="false">IF(D577=0,0,B577/D577)</f>
        <v>1</v>
      </c>
      <c r="J577" s="6" t="n">
        <f aca="false">E577*H577</f>
        <v>0</v>
      </c>
      <c r="K577" s="6" t="n">
        <f aca="false">E577*I577</f>
        <v>1173093.19</v>
      </c>
      <c r="L577" s="6" t="n">
        <v>0</v>
      </c>
      <c r="M577" s="6" t="n">
        <v>1173093.19</v>
      </c>
      <c r="N577" s="6"/>
      <c r="O577" s="6"/>
      <c r="P577" s="7"/>
      <c r="Q577" s="5" t="s">
        <v>26</v>
      </c>
      <c r="R577" s="5" t="s">
        <v>27</v>
      </c>
    </row>
    <row r="578" customFormat="false" ht="15" hidden="false" customHeight="true" outlineLevel="0" collapsed="false">
      <c r="A578" s="5" t="s">
        <v>602</v>
      </c>
      <c r="B578" s="6" t="n">
        <v>3786628958.91</v>
      </c>
      <c r="C578" s="6" t="n">
        <v>0</v>
      </c>
      <c r="D578" s="6" t="n">
        <v>3786628958.91</v>
      </c>
      <c r="E578" s="6" t="n">
        <v>1401052.71</v>
      </c>
      <c r="F578" s="6" t="n">
        <v>0</v>
      </c>
      <c r="G578" s="6" t="n">
        <f aca="false">E578+F578</f>
        <v>1401052.71</v>
      </c>
      <c r="H578" s="7" t="n">
        <f aca="false">IF(D578=0,0,C578/D578)</f>
        <v>0</v>
      </c>
      <c r="I578" s="7" t="n">
        <f aca="false">IF(D578=0,0,B578/D578)</f>
        <v>1</v>
      </c>
      <c r="J578" s="6" t="n">
        <f aca="false">E578*H578</f>
        <v>0</v>
      </c>
      <c r="K578" s="6" t="n">
        <f aca="false">E578*I578</f>
        <v>1401052.71</v>
      </c>
      <c r="L578" s="6" t="n">
        <v>0</v>
      </c>
      <c r="M578" s="6" t="n">
        <v>1401052.71</v>
      </c>
      <c r="N578" s="6"/>
      <c r="O578" s="6"/>
      <c r="P578" s="7"/>
      <c r="Q578" s="5" t="s">
        <v>26</v>
      </c>
      <c r="R578" s="5" t="s">
        <v>27</v>
      </c>
    </row>
    <row r="579" customFormat="false" ht="15" hidden="false" customHeight="true" outlineLevel="0" collapsed="false">
      <c r="A579" s="5" t="s">
        <v>603</v>
      </c>
      <c r="B579" s="6" t="n">
        <v>6267294832.56</v>
      </c>
      <c r="C579" s="6" t="n">
        <v>0</v>
      </c>
      <c r="D579" s="6" t="n">
        <v>6267294832.56</v>
      </c>
      <c r="E579" s="6" t="n">
        <v>2318899.09</v>
      </c>
      <c r="F579" s="6" t="n">
        <v>0</v>
      </c>
      <c r="G579" s="6" t="n">
        <f aca="false">E579+F579</f>
        <v>2318899.09</v>
      </c>
      <c r="H579" s="7" t="n">
        <f aca="false">IF(D579=0,0,C579/D579)</f>
        <v>0</v>
      </c>
      <c r="I579" s="7" t="n">
        <f aca="false">IF(D579=0,0,B579/D579)</f>
        <v>1</v>
      </c>
      <c r="J579" s="6" t="n">
        <f aca="false">E579*H579</f>
        <v>0</v>
      </c>
      <c r="K579" s="6" t="n">
        <f aca="false">E579*I579</f>
        <v>2318899.09</v>
      </c>
      <c r="L579" s="6" t="n">
        <v>0</v>
      </c>
      <c r="M579" s="6" t="n">
        <v>2318899.09</v>
      </c>
      <c r="N579" s="6"/>
      <c r="O579" s="6"/>
      <c r="P579" s="7"/>
      <c r="Q579" s="5" t="s">
        <v>26</v>
      </c>
      <c r="R579" s="5" t="s">
        <v>27</v>
      </c>
    </row>
    <row r="580" customFormat="false" ht="15" hidden="false" customHeight="true" outlineLevel="0" collapsed="false">
      <c r="A580" s="5" t="s">
        <v>604</v>
      </c>
      <c r="B580" s="6" t="n">
        <v>5593864857.27</v>
      </c>
      <c r="C580" s="6" t="n">
        <v>0</v>
      </c>
      <c r="D580" s="6" t="n">
        <v>5593864857.27</v>
      </c>
      <c r="E580" s="6" t="n">
        <v>2069730</v>
      </c>
      <c r="F580" s="6" t="n">
        <v>0</v>
      </c>
      <c r="G580" s="6" t="n">
        <f aca="false">E580+F580</f>
        <v>2069730</v>
      </c>
      <c r="H580" s="7" t="n">
        <f aca="false">IF(D580=0,0,C580/D580)</f>
        <v>0</v>
      </c>
      <c r="I580" s="7" t="n">
        <f aca="false">IF(D580=0,0,B580/D580)</f>
        <v>1</v>
      </c>
      <c r="J580" s="6" t="n">
        <f aca="false">E580*H580</f>
        <v>0</v>
      </c>
      <c r="K580" s="6" t="n">
        <f aca="false">E580*I580</f>
        <v>2069730</v>
      </c>
      <c r="L580" s="6" t="n">
        <v>0</v>
      </c>
      <c r="M580" s="6" t="n">
        <v>2069730</v>
      </c>
      <c r="N580" s="6"/>
      <c r="O580" s="6"/>
      <c r="P580" s="7"/>
      <c r="Q580" s="5" t="s">
        <v>26</v>
      </c>
      <c r="R580" s="5" t="s">
        <v>27</v>
      </c>
    </row>
    <row r="581" customFormat="false" ht="15" hidden="false" customHeight="true" outlineLevel="0" collapsed="false">
      <c r="A581" s="5" t="s">
        <v>605</v>
      </c>
      <c r="B581" s="6" t="n">
        <v>8540539048.42</v>
      </c>
      <c r="C581" s="6" t="n">
        <v>0</v>
      </c>
      <c r="D581" s="6" t="n">
        <v>8540539048.42</v>
      </c>
      <c r="E581" s="6" t="n">
        <v>3159999.45</v>
      </c>
      <c r="F581" s="6" t="n">
        <v>0</v>
      </c>
      <c r="G581" s="6" t="n">
        <f aca="false">E581+F581</f>
        <v>3159999.45</v>
      </c>
      <c r="H581" s="7" t="n">
        <f aca="false">IF(D581=0,0,C581/D581)</f>
        <v>0</v>
      </c>
      <c r="I581" s="7" t="n">
        <f aca="false">IF(D581=0,0,B581/D581)</f>
        <v>1</v>
      </c>
      <c r="J581" s="6" t="n">
        <f aca="false">E581*H581</f>
        <v>0</v>
      </c>
      <c r="K581" s="6" t="n">
        <f aca="false">E581*I581</f>
        <v>3159999.45</v>
      </c>
      <c r="L581" s="6" t="n">
        <v>0</v>
      </c>
      <c r="M581" s="6" t="n">
        <v>3159999.45</v>
      </c>
      <c r="N581" s="6"/>
      <c r="O581" s="6"/>
      <c r="P581" s="7"/>
      <c r="Q581" s="5" t="s">
        <v>26</v>
      </c>
      <c r="R581" s="5" t="s">
        <v>27</v>
      </c>
    </row>
    <row r="582" customFormat="false" ht="15" hidden="false" customHeight="true" outlineLevel="0" collapsed="false">
      <c r="A582" s="5" t="s">
        <v>606</v>
      </c>
      <c r="B582" s="6" t="n">
        <v>11512982470.23</v>
      </c>
      <c r="C582" s="6" t="n">
        <v>0</v>
      </c>
      <c r="D582" s="6" t="n">
        <v>11512982470.23</v>
      </c>
      <c r="E582" s="6" t="n">
        <v>4259803.51</v>
      </c>
      <c r="F582" s="6" t="n">
        <v>0</v>
      </c>
      <c r="G582" s="6" t="n">
        <f aca="false">E582+F582</f>
        <v>4259803.51</v>
      </c>
      <c r="H582" s="7" t="n">
        <f aca="false">IF(D582=0,0,C582/D582)</f>
        <v>0</v>
      </c>
      <c r="I582" s="7" t="n">
        <f aca="false">IF(D582=0,0,B582/D582)</f>
        <v>1</v>
      </c>
      <c r="J582" s="6" t="n">
        <f aca="false">E582*H582</f>
        <v>0</v>
      </c>
      <c r="K582" s="6" t="n">
        <f aca="false">E582*I582</f>
        <v>4259803.51</v>
      </c>
      <c r="L582" s="6" t="n">
        <v>0</v>
      </c>
      <c r="M582" s="6" t="n">
        <v>4259803.51</v>
      </c>
      <c r="N582" s="6"/>
      <c r="O582" s="6"/>
      <c r="P582" s="7"/>
      <c r="Q582" s="5" t="s">
        <v>26</v>
      </c>
      <c r="R582" s="5" t="s">
        <v>27</v>
      </c>
    </row>
    <row r="583" customFormat="false" ht="15" hidden="false" customHeight="true" outlineLevel="0" collapsed="false">
      <c r="A583" s="5" t="s">
        <v>607</v>
      </c>
      <c r="B583" s="6" t="n">
        <v>9878521130.99</v>
      </c>
      <c r="C583" s="6" t="n">
        <v>0</v>
      </c>
      <c r="D583" s="6" t="n">
        <v>9878521130.99</v>
      </c>
      <c r="E583" s="6" t="n">
        <v>3655052.82</v>
      </c>
      <c r="F583" s="6" t="n">
        <v>0</v>
      </c>
      <c r="G583" s="6" t="n">
        <f aca="false">E583+F583</f>
        <v>3655052.82</v>
      </c>
      <c r="H583" s="7" t="n">
        <f aca="false">IF(D583=0,0,C583/D583)</f>
        <v>0</v>
      </c>
      <c r="I583" s="7" t="n">
        <f aca="false">IF(D583=0,0,B583/D583)</f>
        <v>1</v>
      </c>
      <c r="J583" s="6" t="n">
        <f aca="false">E583*H583</f>
        <v>0</v>
      </c>
      <c r="K583" s="6" t="n">
        <f aca="false">E583*I583</f>
        <v>3655052.82</v>
      </c>
      <c r="L583" s="6" t="n">
        <v>0</v>
      </c>
      <c r="M583" s="6" t="n">
        <v>3655052.82</v>
      </c>
      <c r="N583" s="6"/>
      <c r="O583" s="6"/>
      <c r="P583" s="7"/>
      <c r="Q583" s="5" t="s">
        <v>26</v>
      </c>
      <c r="R583" s="5" t="s">
        <v>27</v>
      </c>
    </row>
    <row r="584" customFormat="false" ht="15" hidden="false" customHeight="true" outlineLevel="0" collapsed="false">
      <c r="A584" s="5" t="s">
        <v>608</v>
      </c>
      <c r="B584" s="6" t="n">
        <v>5203028237.29</v>
      </c>
      <c r="C584" s="6" t="n">
        <v>0</v>
      </c>
      <c r="D584" s="6" t="n">
        <v>5203028237.29</v>
      </c>
      <c r="E584" s="6" t="n">
        <v>1925120.45</v>
      </c>
      <c r="F584" s="6" t="n">
        <v>0</v>
      </c>
      <c r="G584" s="6" t="n">
        <f aca="false">E584+F584</f>
        <v>1925120.45</v>
      </c>
      <c r="H584" s="7" t="n">
        <f aca="false">IF(D584=0,0,C584/D584)</f>
        <v>0</v>
      </c>
      <c r="I584" s="7" t="n">
        <f aca="false">IF(D584=0,0,B584/D584)</f>
        <v>1</v>
      </c>
      <c r="J584" s="6" t="n">
        <f aca="false">E584*H584</f>
        <v>0</v>
      </c>
      <c r="K584" s="6" t="n">
        <f aca="false">E584*I584</f>
        <v>1925120.45</v>
      </c>
      <c r="L584" s="6" t="n">
        <v>0</v>
      </c>
      <c r="M584" s="6" t="n">
        <v>1925120.45</v>
      </c>
      <c r="N584" s="6"/>
      <c r="O584" s="6"/>
      <c r="P584" s="7"/>
      <c r="Q584" s="5" t="s">
        <v>26</v>
      </c>
      <c r="R584" s="5" t="s">
        <v>27</v>
      </c>
    </row>
    <row r="585" customFormat="false" ht="15" hidden="false" customHeight="true" outlineLevel="0" collapsed="false">
      <c r="A585" s="5" t="s">
        <v>609</v>
      </c>
      <c r="B585" s="6" t="n">
        <v>4686731737.85</v>
      </c>
      <c r="C585" s="6" t="n">
        <v>0</v>
      </c>
      <c r="D585" s="6" t="n">
        <v>4686731737.85</v>
      </c>
      <c r="E585" s="6" t="n">
        <v>1734090.74</v>
      </c>
      <c r="F585" s="6" t="n">
        <v>0</v>
      </c>
      <c r="G585" s="6" t="n">
        <f aca="false">E585+F585</f>
        <v>1734090.74</v>
      </c>
      <c r="H585" s="7" t="n">
        <f aca="false">IF(D585=0,0,C585/D585)</f>
        <v>0</v>
      </c>
      <c r="I585" s="7" t="n">
        <f aca="false">IF(D585=0,0,B585/D585)</f>
        <v>1</v>
      </c>
      <c r="J585" s="6" t="n">
        <f aca="false">E585*H585</f>
        <v>0</v>
      </c>
      <c r="K585" s="6" t="n">
        <f aca="false">E585*I585</f>
        <v>1734090.74</v>
      </c>
      <c r="L585" s="6" t="n">
        <v>0</v>
      </c>
      <c r="M585" s="6" t="n">
        <v>1734090.74</v>
      </c>
      <c r="N585" s="6"/>
      <c r="O585" s="6"/>
      <c r="P585" s="7"/>
      <c r="Q585" s="5" t="s">
        <v>26</v>
      </c>
      <c r="R585" s="5" t="s">
        <v>27</v>
      </c>
    </row>
    <row r="586" customFormat="false" ht="15" hidden="false" customHeight="true" outlineLevel="0" collapsed="false">
      <c r="A586" s="5" t="s">
        <v>610</v>
      </c>
      <c r="B586" s="6" t="n">
        <v>6168463521.78</v>
      </c>
      <c r="C586" s="6" t="n">
        <v>0</v>
      </c>
      <c r="D586" s="6" t="n">
        <v>6168463521.78</v>
      </c>
      <c r="E586" s="6" t="n">
        <v>2282331.5</v>
      </c>
      <c r="F586" s="6" t="n">
        <v>0</v>
      </c>
      <c r="G586" s="6" t="n">
        <f aca="false">E586+F586</f>
        <v>2282331.5</v>
      </c>
      <c r="H586" s="7" t="n">
        <f aca="false">IF(D586=0,0,C586/D586)</f>
        <v>0</v>
      </c>
      <c r="I586" s="7" t="n">
        <f aca="false">IF(D586=0,0,B586/D586)</f>
        <v>1</v>
      </c>
      <c r="J586" s="6" t="n">
        <f aca="false">E586*H586</f>
        <v>0</v>
      </c>
      <c r="K586" s="6" t="n">
        <f aca="false">E586*I586</f>
        <v>2282331.5</v>
      </c>
      <c r="L586" s="6" t="n">
        <v>0</v>
      </c>
      <c r="M586" s="6" t="n">
        <v>2282331.5</v>
      </c>
      <c r="N586" s="6" t="n">
        <v>1424462</v>
      </c>
      <c r="O586" s="6" t="n">
        <v>1468518</v>
      </c>
      <c r="P586" s="7" t="n">
        <f aca="false">IF(O586=0,"",(G586-O586)/O586)</f>
        <v>0.554173323037239</v>
      </c>
      <c r="Q586" s="5" t="s">
        <v>26</v>
      </c>
      <c r="R586" s="5" t="s">
        <v>27</v>
      </c>
    </row>
    <row r="587" customFormat="false" ht="15" hidden="false" customHeight="true" outlineLevel="0" collapsed="false">
      <c r="A587" s="5" t="s">
        <v>611</v>
      </c>
      <c r="B587" s="6" t="n">
        <v>4401565232.73</v>
      </c>
      <c r="C587" s="6" t="n">
        <v>0</v>
      </c>
      <c r="D587" s="6" t="n">
        <v>4401565232.73</v>
      </c>
      <c r="E587" s="6" t="n">
        <v>1628579.14</v>
      </c>
      <c r="F587" s="6" t="n">
        <v>0</v>
      </c>
      <c r="G587" s="6" t="n">
        <f aca="false">E587+F587</f>
        <v>1628579.14</v>
      </c>
      <c r="H587" s="7" t="n">
        <f aca="false">IF(D587=0,0,C587/D587)</f>
        <v>0</v>
      </c>
      <c r="I587" s="7" t="n">
        <f aca="false">IF(D587=0,0,B587/D587)</f>
        <v>1</v>
      </c>
      <c r="J587" s="6" t="n">
        <f aca="false">E587*H587</f>
        <v>0</v>
      </c>
      <c r="K587" s="6" t="n">
        <f aca="false">E587*I587</f>
        <v>1628579.14</v>
      </c>
      <c r="L587" s="6" t="n">
        <v>0</v>
      </c>
      <c r="M587" s="6" t="n">
        <v>1628579.14</v>
      </c>
      <c r="N587" s="6" t="n">
        <v>1303665</v>
      </c>
      <c r="O587" s="6" t="n">
        <v>1384305</v>
      </c>
      <c r="P587" s="7" t="n">
        <f aca="false">IF(O587=0,"",(G587-O587)/O587)</f>
        <v>0.176459768620355</v>
      </c>
      <c r="Q587" s="5" t="s">
        <v>26</v>
      </c>
      <c r="R587" s="5" t="s">
        <v>27</v>
      </c>
    </row>
    <row r="588" customFormat="false" ht="15" hidden="false" customHeight="true" outlineLevel="0" collapsed="false">
      <c r="A588" s="5" t="s">
        <v>612</v>
      </c>
      <c r="B588" s="6" t="n">
        <v>3090026719.56</v>
      </c>
      <c r="C588" s="6" t="n">
        <v>0</v>
      </c>
      <c r="D588" s="6" t="n">
        <v>3090026719.56</v>
      </c>
      <c r="E588" s="6" t="n">
        <v>1143309.89</v>
      </c>
      <c r="F588" s="6" t="n">
        <v>0</v>
      </c>
      <c r="G588" s="6" t="n">
        <f aca="false">E588+F588</f>
        <v>1143309.89</v>
      </c>
      <c r="H588" s="7" t="n">
        <f aca="false">IF(D588=0,0,C588/D588)</f>
        <v>0</v>
      </c>
      <c r="I588" s="7" t="n">
        <f aca="false">IF(D588=0,0,B588/D588)</f>
        <v>1</v>
      </c>
      <c r="J588" s="6" t="n">
        <f aca="false">E588*H588</f>
        <v>0</v>
      </c>
      <c r="K588" s="6" t="n">
        <f aca="false">E588*I588</f>
        <v>1143309.89</v>
      </c>
      <c r="L588" s="6" t="n">
        <v>0</v>
      </c>
      <c r="M588" s="6" t="n">
        <v>1143309.89</v>
      </c>
      <c r="N588" s="6" t="n">
        <v>1014518</v>
      </c>
      <c r="O588" s="6" t="n">
        <v>1077272</v>
      </c>
      <c r="P588" s="7" t="n">
        <f aca="false">IF(O588=0,"",(G588-O588)/O588)</f>
        <v>0.0613010363213746</v>
      </c>
      <c r="Q588" s="5" t="s">
        <v>26</v>
      </c>
      <c r="R588" s="5" t="s">
        <v>27</v>
      </c>
    </row>
    <row r="589" customFormat="false" ht="15" hidden="false" customHeight="true" outlineLevel="0" collapsed="false">
      <c r="A589" s="5" t="s">
        <v>613</v>
      </c>
      <c r="B589" s="6" t="n">
        <v>3897465234.44</v>
      </c>
      <c r="C589" s="6" t="n">
        <v>0</v>
      </c>
      <c r="D589" s="6" t="n">
        <v>3897465234.44</v>
      </c>
      <c r="E589" s="6" t="n">
        <v>1442062.14</v>
      </c>
      <c r="F589" s="6" t="n">
        <v>0</v>
      </c>
      <c r="G589" s="6" t="n">
        <f aca="false">E589+F589</f>
        <v>1442062.14</v>
      </c>
      <c r="H589" s="7" t="n">
        <f aca="false">IF(D589=0,0,C589/D589)</f>
        <v>0</v>
      </c>
      <c r="I589" s="7" t="n">
        <f aca="false">IF(D589=0,0,B589/D589)</f>
        <v>1</v>
      </c>
      <c r="J589" s="6" t="n">
        <f aca="false">E589*H589</f>
        <v>0</v>
      </c>
      <c r="K589" s="6" t="n">
        <f aca="false">E589*I589</f>
        <v>1442062.14</v>
      </c>
      <c r="L589" s="6" t="n">
        <v>0</v>
      </c>
      <c r="M589" s="6" t="n">
        <v>1442062.14</v>
      </c>
      <c r="N589" s="6" t="n">
        <v>1273897</v>
      </c>
      <c r="O589" s="6" t="n">
        <v>1352695</v>
      </c>
      <c r="P589" s="7" t="n">
        <f aca="false">IF(O589=0,"",(G589-O589)/O589)</f>
        <v>0.0660659941819848</v>
      </c>
      <c r="Q589" s="5" t="s">
        <v>26</v>
      </c>
      <c r="R589" s="5" t="s">
        <v>27</v>
      </c>
    </row>
    <row r="590" customFormat="false" ht="15" hidden="false" customHeight="true" outlineLevel="0" collapsed="false">
      <c r="A590" s="5" t="s">
        <v>614</v>
      </c>
      <c r="B590" s="6" t="n">
        <v>3889473140.94</v>
      </c>
      <c r="C590" s="6" t="n">
        <v>0</v>
      </c>
      <c r="D590" s="6" t="n">
        <v>3889473140.94</v>
      </c>
      <c r="E590" s="6" t="n">
        <v>1439105.06</v>
      </c>
      <c r="F590" s="6" t="n">
        <v>0</v>
      </c>
      <c r="G590" s="6" t="n">
        <f aca="false">E590+F590</f>
        <v>1439105.06</v>
      </c>
      <c r="H590" s="7" t="n">
        <f aca="false">IF(D590=0,0,C590/D590)</f>
        <v>0</v>
      </c>
      <c r="I590" s="7" t="n">
        <f aca="false">IF(D590=0,0,B590/D590)</f>
        <v>1</v>
      </c>
      <c r="J590" s="6" t="n">
        <f aca="false">E590*H590</f>
        <v>0</v>
      </c>
      <c r="K590" s="6" t="n">
        <f aca="false">E590*I590</f>
        <v>1439105.06</v>
      </c>
      <c r="L590" s="6" t="n">
        <v>0</v>
      </c>
      <c r="M590" s="6" t="n">
        <v>1439105.06</v>
      </c>
      <c r="N590" s="6" t="n">
        <v>1258520</v>
      </c>
      <c r="O590" s="6" t="n">
        <v>1336367</v>
      </c>
      <c r="P590" s="7" t="n">
        <f aca="false">IF(O590=0,"",(G590-O590)/O590)</f>
        <v>0.0768786269041364</v>
      </c>
      <c r="Q590" s="5" t="s">
        <v>26</v>
      </c>
      <c r="R590" s="5" t="s">
        <v>27</v>
      </c>
    </row>
    <row r="591" customFormat="false" ht="15" hidden="false" customHeight="true" outlineLevel="0" collapsed="false">
      <c r="A591" s="5" t="s">
        <v>615</v>
      </c>
      <c r="B591" s="6" t="n">
        <v>2077191362.01</v>
      </c>
      <c r="C591" s="6" t="n">
        <v>0</v>
      </c>
      <c r="D591" s="6" t="n">
        <v>2077191362.01</v>
      </c>
      <c r="E591" s="6" t="n">
        <v>768560.8</v>
      </c>
      <c r="F591" s="6" t="n">
        <v>0</v>
      </c>
      <c r="G591" s="6" t="n">
        <f aca="false">E591+F591</f>
        <v>768560.8</v>
      </c>
      <c r="H591" s="7" t="n">
        <f aca="false">IF(D591=0,0,C591/D591)</f>
        <v>0</v>
      </c>
      <c r="I591" s="7" t="n">
        <f aca="false">IF(D591=0,0,B591/D591)</f>
        <v>1</v>
      </c>
      <c r="J591" s="6" t="n">
        <f aca="false">E591*H591</f>
        <v>0</v>
      </c>
      <c r="K591" s="6" t="n">
        <f aca="false">E591*I591</f>
        <v>768560.8</v>
      </c>
      <c r="L591" s="6" t="n">
        <v>0</v>
      </c>
      <c r="M591" s="6" t="n">
        <v>768560.8</v>
      </c>
      <c r="N591" s="6" t="n">
        <v>949315</v>
      </c>
      <c r="O591" s="6" t="n">
        <v>1008036</v>
      </c>
      <c r="P591" s="7" t="n">
        <f aca="false">IF(O591=0,"",(G591-O591)/O591)</f>
        <v>-0.237566118670365</v>
      </c>
      <c r="Q591" s="5" t="s">
        <v>26</v>
      </c>
      <c r="R591" s="5" t="s">
        <v>27</v>
      </c>
    </row>
    <row r="592" customFormat="false" ht="15" hidden="false" customHeight="true" outlineLevel="0" collapsed="false">
      <c r="A592" s="5" t="s">
        <v>616</v>
      </c>
      <c r="B592" s="6" t="n">
        <v>1965931599.67</v>
      </c>
      <c r="C592" s="6" t="n">
        <v>0</v>
      </c>
      <c r="D592" s="6" t="n">
        <v>1965931599.67</v>
      </c>
      <c r="E592" s="6" t="n">
        <v>727394.69</v>
      </c>
      <c r="F592" s="6" t="n">
        <v>0</v>
      </c>
      <c r="G592" s="6" t="n">
        <f aca="false">E592+F592</f>
        <v>727394.69</v>
      </c>
      <c r="H592" s="7" t="n">
        <f aca="false">IF(D592=0,0,C592/D592)</f>
        <v>0</v>
      </c>
      <c r="I592" s="7" t="n">
        <f aca="false">IF(D592=0,0,B592/D592)</f>
        <v>1</v>
      </c>
      <c r="J592" s="6" t="n">
        <f aca="false">E592*H592</f>
        <v>0</v>
      </c>
      <c r="K592" s="6" t="n">
        <f aca="false">E592*I592</f>
        <v>727394.69</v>
      </c>
      <c r="L592" s="6" t="n">
        <v>0</v>
      </c>
      <c r="M592" s="6" t="n">
        <v>727394.69</v>
      </c>
      <c r="N592" s="6" t="n">
        <v>471167</v>
      </c>
      <c r="O592" s="6" t="n">
        <v>500152</v>
      </c>
      <c r="P592" s="7" t="n">
        <f aca="false">IF(O592=0,"",(G592-O592)/O592)</f>
        <v>0.454347258433436</v>
      </c>
      <c r="Q592" s="5" t="s">
        <v>26</v>
      </c>
      <c r="R592" s="5" t="s">
        <v>27</v>
      </c>
    </row>
    <row r="593" customFormat="false" ht="15" hidden="false" customHeight="true" outlineLevel="0" collapsed="false">
      <c r="A593" s="5" t="s">
        <v>617</v>
      </c>
      <c r="B593" s="6" t="n">
        <v>4697171101.98</v>
      </c>
      <c r="C593" s="6" t="n">
        <v>0</v>
      </c>
      <c r="D593" s="6" t="n">
        <v>4697171101.98</v>
      </c>
      <c r="E593" s="6" t="n">
        <v>1737953.31</v>
      </c>
      <c r="F593" s="6" t="n">
        <v>0</v>
      </c>
      <c r="G593" s="6" t="n">
        <f aca="false">E593+F593</f>
        <v>1737953.31</v>
      </c>
      <c r="H593" s="7" t="n">
        <f aca="false">IF(D593=0,0,C593/D593)</f>
        <v>0</v>
      </c>
      <c r="I593" s="7" t="n">
        <f aca="false">IF(D593=0,0,B593/D593)</f>
        <v>1</v>
      </c>
      <c r="J593" s="6" t="n">
        <f aca="false">E593*H593</f>
        <v>0</v>
      </c>
      <c r="K593" s="6" t="n">
        <f aca="false">E593*I593</f>
        <v>1737953.31</v>
      </c>
      <c r="L593" s="6" t="n">
        <v>0</v>
      </c>
      <c r="M593" s="6" t="n">
        <v>1737953.31</v>
      </c>
      <c r="N593" s="6" t="n">
        <v>1486794</v>
      </c>
      <c r="O593" s="6" t="n">
        <v>1578682</v>
      </c>
      <c r="P593" s="7" t="n">
        <f aca="false">IF(O593=0,"",(G593-O593)/O593)</f>
        <v>0.100888785708585</v>
      </c>
      <c r="Q593" s="5" t="s">
        <v>26</v>
      </c>
      <c r="R593" s="5" t="s">
        <v>27</v>
      </c>
    </row>
    <row r="594" customFormat="false" ht="15" hidden="false" customHeight="true" outlineLevel="0" collapsed="false">
      <c r="A594" s="5" t="s">
        <v>618</v>
      </c>
      <c r="B594" s="6" t="n">
        <v>3450514508.28</v>
      </c>
      <c r="C594" s="6" t="n">
        <v>0</v>
      </c>
      <c r="D594" s="6" t="n">
        <v>3450514508.28</v>
      </c>
      <c r="E594" s="6" t="n">
        <v>1276690.37</v>
      </c>
      <c r="F594" s="6" t="n">
        <v>0</v>
      </c>
      <c r="G594" s="6" t="n">
        <f aca="false">E594+F594</f>
        <v>1276690.37</v>
      </c>
      <c r="H594" s="7" t="n">
        <f aca="false">IF(D594=0,0,C594/D594)</f>
        <v>0</v>
      </c>
      <c r="I594" s="7" t="n">
        <f aca="false">IF(D594=0,0,B594/D594)</f>
        <v>1</v>
      </c>
      <c r="J594" s="6" t="n">
        <f aca="false">E594*H594</f>
        <v>0</v>
      </c>
      <c r="K594" s="6" t="n">
        <f aca="false">E594*I594</f>
        <v>1276690.37</v>
      </c>
      <c r="L594" s="6" t="n">
        <v>0</v>
      </c>
      <c r="M594" s="6" t="n">
        <v>1276690.37</v>
      </c>
      <c r="N594" s="6" t="n">
        <v>1327977</v>
      </c>
      <c r="O594" s="6" t="n">
        <v>1410195</v>
      </c>
      <c r="P594" s="7" t="n">
        <f aca="false">IF(O594=0,"",(G594-O594)/O594)</f>
        <v>-0.0946710419480993</v>
      </c>
      <c r="Q594" s="5" t="s">
        <v>26</v>
      </c>
      <c r="R594" s="5" t="s">
        <v>27</v>
      </c>
    </row>
    <row r="595" customFormat="false" ht="15" hidden="false" customHeight="true" outlineLevel="0" collapsed="false">
      <c r="A595" s="5" t="s">
        <v>619</v>
      </c>
      <c r="B595" s="6" t="n">
        <v>2157256818.44</v>
      </c>
      <c r="C595" s="6" t="n">
        <v>0</v>
      </c>
      <c r="D595" s="6" t="n">
        <v>2157256818.44</v>
      </c>
      <c r="E595" s="6" t="n">
        <v>798185.02</v>
      </c>
      <c r="F595" s="6" t="n">
        <v>0</v>
      </c>
      <c r="G595" s="6" t="n">
        <f aca="false">E595+F595</f>
        <v>798185.02</v>
      </c>
      <c r="H595" s="7" t="n">
        <f aca="false">IF(D595=0,0,C595/D595)</f>
        <v>0</v>
      </c>
      <c r="I595" s="7" t="n">
        <f aca="false">IF(D595=0,0,B595/D595)</f>
        <v>1</v>
      </c>
      <c r="J595" s="6" t="n">
        <f aca="false">E595*H595</f>
        <v>0</v>
      </c>
      <c r="K595" s="6" t="n">
        <f aca="false">E595*I595</f>
        <v>798185.02</v>
      </c>
      <c r="L595" s="6" t="n">
        <v>0</v>
      </c>
      <c r="M595" s="6" t="n">
        <v>798185.02</v>
      </c>
      <c r="N595" s="6" t="n">
        <v>498037</v>
      </c>
      <c r="O595" s="6" t="n">
        <v>528836</v>
      </c>
      <c r="P595" s="7" t="n">
        <f aca="false">IF(O595=0,"",(G595-O595)/O595)</f>
        <v>0.509324289571814</v>
      </c>
      <c r="Q595" s="5" t="s">
        <v>26</v>
      </c>
      <c r="R595" s="5" t="s">
        <v>27</v>
      </c>
    </row>
    <row r="596" customFormat="false" ht="15" hidden="false" customHeight="true" outlineLevel="0" collapsed="false">
      <c r="A596" s="5" t="s">
        <v>620</v>
      </c>
      <c r="B596" s="6" t="n">
        <v>3645816158.63</v>
      </c>
      <c r="C596" s="6" t="n">
        <v>0</v>
      </c>
      <c r="D596" s="6" t="n">
        <v>3645816158.63</v>
      </c>
      <c r="E596" s="6" t="n">
        <v>1348951.98</v>
      </c>
      <c r="F596" s="6" t="n">
        <v>0</v>
      </c>
      <c r="G596" s="6" t="n">
        <f aca="false">E596+F596</f>
        <v>1348951.98</v>
      </c>
      <c r="H596" s="7" t="n">
        <f aca="false">IF(D596=0,0,C596/D596)</f>
        <v>0</v>
      </c>
      <c r="I596" s="7" t="n">
        <f aca="false">IF(D596=0,0,B596/D596)</f>
        <v>1</v>
      </c>
      <c r="J596" s="6" t="n">
        <f aca="false">E596*H596</f>
        <v>0</v>
      </c>
      <c r="K596" s="6" t="n">
        <f aca="false">E596*I596</f>
        <v>1348951.98</v>
      </c>
      <c r="L596" s="6" t="n">
        <v>0</v>
      </c>
      <c r="M596" s="6" t="n">
        <v>1348951.98</v>
      </c>
      <c r="N596" s="6" t="n">
        <v>1270220</v>
      </c>
      <c r="O596" s="6" t="n">
        <v>1348961</v>
      </c>
      <c r="P596" s="7" t="n">
        <f aca="false">IF(O596=0,"",(G596-O596)/O596)</f>
        <v>-6.68662770830189E-006</v>
      </c>
      <c r="Q596" s="5" t="s">
        <v>26</v>
      </c>
      <c r="R596" s="5" t="s">
        <v>27</v>
      </c>
    </row>
    <row r="597" customFormat="false" ht="15" hidden="false" customHeight="true" outlineLevel="0" collapsed="false">
      <c r="A597" s="5" t="s">
        <v>621</v>
      </c>
      <c r="B597" s="6" t="n">
        <v>3573160271.4</v>
      </c>
      <c r="C597" s="6" t="n">
        <v>0</v>
      </c>
      <c r="D597" s="6" t="n">
        <v>3573160271.4</v>
      </c>
      <c r="E597" s="6" t="n">
        <v>1322069.3</v>
      </c>
      <c r="F597" s="6" t="n">
        <v>0</v>
      </c>
      <c r="G597" s="6" t="n">
        <f aca="false">E597+F597</f>
        <v>1322069.3</v>
      </c>
      <c r="H597" s="7" t="n">
        <f aca="false">IF(D597=0,0,C597/D597)</f>
        <v>0</v>
      </c>
      <c r="I597" s="7" t="n">
        <f aca="false">IF(D597=0,0,B597/D597)</f>
        <v>1</v>
      </c>
      <c r="J597" s="6" t="n">
        <f aca="false">E597*H597</f>
        <v>0</v>
      </c>
      <c r="K597" s="6" t="n">
        <f aca="false">E597*I597</f>
        <v>1322069.3</v>
      </c>
      <c r="L597" s="6" t="n">
        <v>0</v>
      </c>
      <c r="M597" s="6" t="n">
        <v>1322069.3</v>
      </c>
      <c r="N597" s="6" t="n">
        <v>1369500</v>
      </c>
      <c r="O597" s="6" t="n">
        <v>1454092</v>
      </c>
      <c r="P597" s="7" t="n">
        <f aca="false">IF(O597=0,"",(G597-O597)/O597)</f>
        <v>-0.0907939112518327</v>
      </c>
      <c r="Q597" s="5" t="s">
        <v>26</v>
      </c>
      <c r="R597" s="5" t="s">
        <v>27</v>
      </c>
    </row>
    <row r="598" customFormat="false" ht="15" hidden="false" customHeight="true" outlineLevel="0" collapsed="false">
      <c r="A598" s="5" t="s">
        <v>622</v>
      </c>
      <c r="B598" s="6" t="n">
        <v>2506267603.42</v>
      </c>
      <c r="C598" s="6" t="n">
        <v>0</v>
      </c>
      <c r="D598" s="6" t="n">
        <v>2506267603.42</v>
      </c>
      <c r="E598" s="6" t="n">
        <v>927319.01</v>
      </c>
      <c r="F598" s="6" t="n">
        <v>0</v>
      </c>
      <c r="G598" s="6" t="n">
        <f aca="false">E598+F598</f>
        <v>927319.01</v>
      </c>
      <c r="H598" s="7" t="n">
        <f aca="false">IF(D598=0,0,C598/D598)</f>
        <v>0</v>
      </c>
      <c r="I598" s="7" t="n">
        <f aca="false">IF(D598=0,0,B598/D598)</f>
        <v>1</v>
      </c>
      <c r="J598" s="6" t="n">
        <f aca="false">E598*H598</f>
        <v>0</v>
      </c>
      <c r="K598" s="6" t="n">
        <f aca="false">E598*I598</f>
        <v>927319.01</v>
      </c>
      <c r="L598" s="6" t="n">
        <v>0</v>
      </c>
      <c r="M598" s="6" t="n">
        <v>927319.01</v>
      </c>
      <c r="N598" s="6" t="n">
        <v>1042972</v>
      </c>
      <c r="O598" s="6" t="n">
        <v>1107604</v>
      </c>
      <c r="P598" s="7" t="n">
        <f aca="false">IF(O598=0,"",(G598-O598)/O598)</f>
        <v>-0.162770259045652</v>
      </c>
      <c r="Q598" s="5" t="s">
        <v>26</v>
      </c>
      <c r="R598" s="5" t="s">
        <v>27</v>
      </c>
    </row>
    <row r="599" customFormat="false" ht="15" hidden="false" customHeight="true" outlineLevel="0" collapsed="false">
      <c r="A599" s="5" t="s">
        <v>623</v>
      </c>
      <c r="B599" s="6" t="n">
        <v>2149149006.15</v>
      </c>
      <c r="C599" s="6" t="n">
        <v>0</v>
      </c>
      <c r="D599" s="6" t="n">
        <v>2149149006.15</v>
      </c>
      <c r="E599" s="6" t="n">
        <v>795185.13</v>
      </c>
      <c r="F599" s="6" t="n">
        <v>0</v>
      </c>
      <c r="G599" s="6" t="n">
        <f aca="false">E599+F599</f>
        <v>795185.13</v>
      </c>
      <c r="H599" s="7" t="n">
        <f aca="false">IF(D599=0,0,C599/D599)</f>
        <v>0</v>
      </c>
      <c r="I599" s="7" t="n">
        <f aca="false">IF(D599=0,0,B599/D599)</f>
        <v>1</v>
      </c>
      <c r="J599" s="6" t="n">
        <f aca="false">E599*H599</f>
        <v>0</v>
      </c>
      <c r="K599" s="6" t="n">
        <f aca="false">E599*I599</f>
        <v>795185.13</v>
      </c>
      <c r="L599" s="6" t="n">
        <v>0</v>
      </c>
      <c r="M599" s="6" t="n">
        <v>795185.13</v>
      </c>
      <c r="N599" s="6" t="n">
        <v>985187</v>
      </c>
      <c r="O599" s="6" t="n">
        <v>1046047</v>
      </c>
      <c r="P599" s="7" t="n">
        <f aca="false">IF(O599=0,"",(G599-O599)/O599)</f>
        <v>-0.239818927830203</v>
      </c>
      <c r="Q599" s="5" t="s">
        <v>26</v>
      </c>
      <c r="R599" s="5" t="s">
        <v>27</v>
      </c>
    </row>
    <row r="600" customFormat="false" ht="15" hidden="false" customHeight="true" outlineLevel="0" collapsed="false">
      <c r="A600" s="5" t="s">
        <v>624</v>
      </c>
      <c r="B600" s="6" t="n">
        <v>4404918704.1</v>
      </c>
      <c r="C600" s="6" t="n">
        <v>0</v>
      </c>
      <c r="D600" s="6" t="n">
        <v>4404918704.1</v>
      </c>
      <c r="E600" s="6" t="n">
        <v>1629819.92</v>
      </c>
      <c r="F600" s="6" t="n">
        <v>0</v>
      </c>
      <c r="G600" s="6" t="n">
        <f aca="false">E600+F600</f>
        <v>1629819.92</v>
      </c>
      <c r="H600" s="7" t="n">
        <f aca="false">IF(D600=0,0,C600/D600)</f>
        <v>0</v>
      </c>
      <c r="I600" s="7" t="n">
        <f aca="false">IF(D600=0,0,B600/D600)</f>
        <v>1</v>
      </c>
      <c r="J600" s="6" t="n">
        <f aca="false">E600*H600</f>
        <v>0</v>
      </c>
      <c r="K600" s="6" t="n">
        <f aca="false">E600*I600</f>
        <v>1629819.92</v>
      </c>
      <c r="L600" s="6" t="n">
        <v>0</v>
      </c>
      <c r="M600" s="6" t="n">
        <v>1629819.92</v>
      </c>
      <c r="N600" s="6" t="n">
        <v>1036760</v>
      </c>
      <c r="O600" s="6" t="n">
        <v>1100968</v>
      </c>
      <c r="P600" s="7" t="n">
        <f aca="false">IF(O600=0,"",(G600-O600)/O600)</f>
        <v>0.480351763175678</v>
      </c>
      <c r="Q600" s="5" t="s">
        <v>26</v>
      </c>
      <c r="R600" s="5" t="s">
        <v>27</v>
      </c>
    </row>
    <row r="601" customFormat="false" ht="15" hidden="false" customHeight="true" outlineLevel="0" collapsed="false">
      <c r="A601" s="5" t="s">
        <v>625</v>
      </c>
      <c r="B601" s="6" t="n">
        <v>7004545546.81</v>
      </c>
      <c r="C601" s="6" t="n">
        <v>0</v>
      </c>
      <c r="D601" s="6" t="n">
        <v>7004545546.81</v>
      </c>
      <c r="E601" s="6" t="n">
        <v>2591681.85</v>
      </c>
      <c r="F601" s="6" t="n">
        <v>0</v>
      </c>
      <c r="G601" s="6" t="n">
        <f aca="false">E601+F601</f>
        <v>2591681.85</v>
      </c>
      <c r="H601" s="7" t="n">
        <f aca="false">IF(D601=0,0,C601/D601)</f>
        <v>0</v>
      </c>
      <c r="I601" s="7" t="n">
        <f aca="false">IF(D601=0,0,B601/D601)</f>
        <v>1</v>
      </c>
      <c r="J601" s="6" t="n">
        <f aca="false">E601*H601</f>
        <v>0</v>
      </c>
      <c r="K601" s="6" t="n">
        <f aca="false">E601*I601</f>
        <v>2591681.85</v>
      </c>
      <c r="L601" s="6" t="n">
        <v>0</v>
      </c>
      <c r="M601" s="6" t="n">
        <v>2591681.85</v>
      </c>
      <c r="N601" s="6" t="n">
        <v>2114140</v>
      </c>
      <c r="O601" s="6" t="n">
        <v>2244911</v>
      </c>
      <c r="P601" s="7" t="n">
        <f aca="false">IF(O601=0,"",(G601-O601)/O601)</f>
        <v>0.154469754034793</v>
      </c>
      <c r="Q601" s="5" t="s">
        <v>26</v>
      </c>
      <c r="R601" s="5" t="s">
        <v>27</v>
      </c>
    </row>
    <row r="602" customFormat="false" ht="15" hidden="false" customHeight="true" outlineLevel="0" collapsed="false">
      <c r="A602" s="5" t="s">
        <v>626</v>
      </c>
      <c r="B602" s="6" t="n">
        <v>6019784666.99</v>
      </c>
      <c r="C602" s="6" t="n">
        <v>0</v>
      </c>
      <c r="D602" s="6" t="n">
        <v>6019784666.99</v>
      </c>
      <c r="E602" s="6" t="n">
        <v>2227320.33</v>
      </c>
      <c r="F602" s="6" t="n">
        <v>0</v>
      </c>
      <c r="G602" s="6" t="n">
        <f aca="false">E602+F602</f>
        <v>2227320.33</v>
      </c>
      <c r="H602" s="7" t="n">
        <f aca="false">IF(D602=0,0,C602/D602)</f>
        <v>0</v>
      </c>
      <c r="I602" s="7" t="n">
        <f aca="false">IF(D602=0,0,B602/D602)</f>
        <v>1</v>
      </c>
      <c r="J602" s="6" t="n">
        <f aca="false">E602*H602</f>
        <v>0</v>
      </c>
      <c r="K602" s="6" t="n">
        <f aca="false">E602*I602</f>
        <v>2227320.33</v>
      </c>
      <c r="L602" s="6" t="n">
        <v>0</v>
      </c>
      <c r="M602" s="6" t="n">
        <v>2227320.33</v>
      </c>
      <c r="N602" s="6" t="n">
        <v>1758819</v>
      </c>
      <c r="O602" s="6" t="n">
        <v>1867612</v>
      </c>
      <c r="P602" s="7" t="n">
        <f aca="false">IF(O602=0,"",(G602-O602)/O602)</f>
        <v>0.192603351231412</v>
      </c>
      <c r="Q602" s="5" t="s">
        <v>26</v>
      </c>
      <c r="R602" s="5" t="s">
        <v>27</v>
      </c>
    </row>
    <row r="603" customFormat="false" ht="15" hidden="false" customHeight="true" outlineLevel="0" collapsed="false">
      <c r="A603" s="5" t="s">
        <v>627</v>
      </c>
      <c r="B603" s="6" t="n">
        <v>7123327274.13</v>
      </c>
      <c r="C603" s="6" t="n">
        <v>0</v>
      </c>
      <c r="D603" s="6" t="n">
        <v>7123327274.13</v>
      </c>
      <c r="E603" s="6" t="n">
        <v>2635631.09</v>
      </c>
      <c r="F603" s="6" t="n">
        <v>0</v>
      </c>
      <c r="G603" s="6" t="n">
        <f aca="false">E603+F603</f>
        <v>2635631.09</v>
      </c>
      <c r="H603" s="7" t="n">
        <f aca="false">IF(D603=0,0,C603/D603)</f>
        <v>0</v>
      </c>
      <c r="I603" s="7" t="n">
        <f aca="false">IF(D603=0,0,B603/D603)</f>
        <v>1</v>
      </c>
      <c r="J603" s="6" t="n">
        <f aca="false">E603*H603</f>
        <v>0</v>
      </c>
      <c r="K603" s="6" t="n">
        <f aca="false">E603*I603</f>
        <v>2635631.09</v>
      </c>
      <c r="L603" s="6" t="n">
        <v>0</v>
      </c>
      <c r="M603" s="6" t="n">
        <v>2635631.09</v>
      </c>
      <c r="N603" s="6" t="n">
        <v>1921239</v>
      </c>
      <c r="O603" s="6" t="n">
        <v>2039848</v>
      </c>
      <c r="P603" s="7" t="n">
        <f aca="false">IF(O603=0,"",(G603-O603)/O603)</f>
        <v>0.292072296563273</v>
      </c>
      <c r="Q603" s="5" t="s">
        <v>26</v>
      </c>
      <c r="R603" s="5" t="s">
        <v>27</v>
      </c>
    </row>
    <row r="604" customFormat="false" ht="15" hidden="false" customHeight="true" outlineLevel="0" collapsed="false">
      <c r="A604" s="5" t="s">
        <v>628</v>
      </c>
      <c r="B604" s="6" t="n">
        <v>5110006119.87</v>
      </c>
      <c r="C604" s="6" t="n">
        <v>0</v>
      </c>
      <c r="D604" s="6" t="n">
        <v>5110006119.87</v>
      </c>
      <c r="E604" s="6" t="n">
        <v>1890702.26</v>
      </c>
      <c r="F604" s="6" t="n">
        <v>0</v>
      </c>
      <c r="G604" s="6" t="n">
        <f aca="false">E604+F604</f>
        <v>1890702.26</v>
      </c>
      <c r="H604" s="7" t="n">
        <f aca="false">IF(D604=0,0,C604/D604)</f>
        <v>0</v>
      </c>
      <c r="I604" s="7" t="n">
        <f aca="false">IF(D604=0,0,B604/D604)</f>
        <v>1</v>
      </c>
      <c r="J604" s="6" t="n">
        <f aca="false">E604*H604</f>
        <v>0</v>
      </c>
      <c r="K604" s="6" t="n">
        <f aca="false">E604*I604</f>
        <v>1890702.26</v>
      </c>
      <c r="L604" s="6" t="n">
        <v>0</v>
      </c>
      <c r="M604" s="6" t="n">
        <v>1890702.26</v>
      </c>
      <c r="N604" s="6" t="n">
        <v>1475032</v>
      </c>
      <c r="O604" s="6" t="n">
        <v>1566503</v>
      </c>
      <c r="P604" s="7" t="n">
        <f aca="false">IF(O604=0,"",(G604-O604)/O604)</f>
        <v>0.206957318307083</v>
      </c>
      <c r="Q604" s="5" t="s">
        <v>26</v>
      </c>
      <c r="R604" s="5" t="s">
        <v>27</v>
      </c>
    </row>
    <row r="605" customFormat="false" ht="15" hidden="false" customHeight="true" outlineLevel="0" collapsed="false">
      <c r="A605" s="5" t="s">
        <v>629</v>
      </c>
      <c r="B605" s="6" t="n">
        <v>1975220110.65</v>
      </c>
      <c r="C605" s="6" t="n">
        <v>0</v>
      </c>
      <c r="D605" s="6" t="n">
        <v>1975220110.65</v>
      </c>
      <c r="E605" s="6" t="n">
        <v>730831.44</v>
      </c>
      <c r="F605" s="6" t="n">
        <v>0</v>
      </c>
      <c r="G605" s="6" t="n">
        <f aca="false">E605+F605</f>
        <v>730831.44</v>
      </c>
      <c r="H605" s="7" t="n">
        <f aca="false">IF(D605=0,0,C605/D605)</f>
        <v>0</v>
      </c>
      <c r="I605" s="7" t="n">
        <f aca="false">IF(D605=0,0,B605/D605)</f>
        <v>1</v>
      </c>
      <c r="J605" s="6" t="n">
        <f aca="false">E605*H605</f>
        <v>0</v>
      </c>
      <c r="K605" s="6" t="n">
        <f aca="false">E605*I605</f>
        <v>730831.44</v>
      </c>
      <c r="L605" s="6" t="n">
        <v>0</v>
      </c>
      <c r="M605" s="6" t="n">
        <v>730831.44</v>
      </c>
      <c r="N605" s="6" t="n">
        <v>458402</v>
      </c>
      <c r="O605" s="6" t="n">
        <v>486756</v>
      </c>
      <c r="P605" s="7" t="n">
        <f aca="false">IF(O605=0,"",(G605-O605)/O605)</f>
        <v>0.501432832877253</v>
      </c>
      <c r="Q605" s="5" t="s">
        <v>26</v>
      </c>
      <c r="R605" s="5" t="s">
        <v>27</v>
      </c>
    </row>
    <row r="606" customFormat="false" ht="15" hidden="false" customHeight="true" outlineLevel="0" collapsed="false">
      <c r="A606" s="5" t="s">
        <v>630</v>
      </c>
      <c r="B606" s="6" t="n">
        <v>1868823313.52</v>
      </c>
      <c r="C606" s="6" t="n">
        <v>0</v>
      </c>
      <c r="D606" s="6" t="n">
        <v>1868823313.52</v>
      </c>
      <c r="E606" s="6" t="n">
        <v>691464.63</v>
      </c>
      <c r="F606" s="6" t="n">
        <v>0</v>
      </c>
      <c r="G606" s="6" t="n">
        <f aca="false">E606+F606</f>
        <v>691464.63</v>
      </c>
      <c r="H606" s="7" t="n">
        <f aca="false">IF(D606=0,0,C606/D606)</f>
        <v>0</v>
      </c>
      <c r="I606" s="7" t="n">
        <f aca="false">IF(D606=0,0,B606/D606)</f>
        <v>1</v>
      </c>
      <c r="J606" s="6" t="n">
        <f aca="false">E606*H606</f>
        <v>0</v>
      </c>
      <c r="K606" s="6" t="n">
        <f aca="false">E606*I606</f>
        <v>691464.63</v>
      </c>
      <c r="L606" s="6" t="n">
        <v>0</v>
      </c>
      <c r="M606" s="6" t="n">
        <v>691464.63</v>
      </c>
      <c r="N606" s="6"/>
      <c r="O606" s="6"/>
      <c r="P606" s="7"/>
      <c r="Q606" s="5" t="s">
        <v>26</v>
      </c>
      <c r="R606" s="5" t="s">
        <v>27</v>
      </c>
    </row>
    <row r="607" customFormat="false" ht="15" hidden="false" customHeight="true" outlineLevel="0" collapsed="false">
      <c r="A607" s="5" t="s">
        <v>631</v>
      </c>
      <c r="B607" s="6" t="n">
        <v>7614889367.9</v>
      </c>
      <c r="C607" s="6" t="n">
        <v>0</v>
      </c>
      <c r="D607" s="6" t="n">
        <v>7614889367.9</v>
      </c>
      <c r="E607" s="6" t="n">
        <v>2817509.07</v>
      </c>
      <c r="F607" s="6" t="n">
        <v>0</v>
      </c>
      <c r="G607" s="6" t="n">
        <f aca="false">E607+F607</f>
        <v>2817509.07</v>
      </c>
      <c r="H607" s="7" t="n">
        <f aca="false">IF(D607=0,0,C607/D607)</f>
        <v>0</v>
      </c>
      <c r="I607" s="7" t="n">
        <f aca="false">IF(D607=0,0,B607/D607)</f>
        <v>1</v>
      </c>
      <c r="J607" s="6" t="n">
        <f aca="false">E607*H607</f>
        <v>0</v>
      </c>
      <c r="K607" s="6" t="n">
        <f aca="false">E607*I607</f>
        <v>2817509.07</v>
      </c>
      <c r="L607" s="6" t="n">
        <v>0</v>
      </c>
      <c r="M607" s="6" t="n">
        <v>2817509.07</v>
      </c>
      <c r="N607" s="6"/>
      <c r="O607" s="6"/>
      <c r="P607" s="7"/>
      <c r="Q607" s="5" t="s">
        <v>26</v>
      </c>
      <c r="R607" s="5" t="s">
        <v>27</v>
      </c>
    </row>
    <row r="608" customFormat="false" ht="15" hidden="false" customHeight="true" outlineLevel="0" collapsed="false">
      <c r="A608" s="5" t="s">
        <v>632</v>
      </c>
      <c r="B608" s="6" t="n">
        <v>4164534612.21</v>
      </c>
      <c r="C608" s="6" t="n">
        <v>0</v>
      </c>
      <c r="D608" s="6" t="n">
        <v>4164534612.21</v>
      </c>
      <c r="E608" s="6" t="n">
        <v>1540877.81</v>
      </c>
      <c r="F608" s="6" t="n">
        <v>0</v>
      </c>
      <c r="G608" s="6" t="n">
        <f aca="false">E608+F608</f>
        <v>1540877.81</v>
      </c>
      <c r="H608" s="7" t="n">
        <f aca="false">IF(D608=0,0,C608/D608)</f>
        <v>0</v>
      </c>
      <c r="I608" s="7" t="n">
        <f aca="false">IF(D608=0,0,B608/D608)</f>
        <v>1</v>
      </c>
      <c r="J608" s="6" t="n">
        <f aca="false">E608*H608</f>
        <v>0</v>
      </c>
      <c r="K608" s="6" t="n">
        <f aca="false">E608*I608</f>
        <v>1540877.81</v>
      </c>
      <c r="L608" s="6" t="n">
        <v>0</v>
      </c>
      <c r="M608" s="6" t="n">
        <v>1540877.81</v>
      </c>
      <c r="N608" s="6" t="n">
        <v>1230157</v>
      </c>
      <c r="O608" s="6" t="n">
        <v>1306397</v>
      </c>
      <c r="P608" s="7" t="n">
        <f aca="false">IF(O608=0,"",(G608-O608)/O608)</f>
        <v>0.17948664150331</v>
      </c>
      <c r="Q608" s="5" t="s">
        <v>26</v>
      </c>
      <c r="R608" s="5" t="s">
        <v>27</v>
      </c>
    </row>
    <row r="609" customFormat="false" ht="15" hidden="false" customHeight="true" outlineLevel="0" collapsed="false">
      <c r="A609" s="5" t="s">
        <v>633</v>
      </c>
      <c r="B609" s="6" t="n">
        <v>5315407561.35</v>
      </c>
      <c r="C609" s="6" t="n">
        <v>0</v>
      </c>
      <c r="D609" s="6" t="n">
        <v>5315407561.35</v>
      </c>
      <c r="E609" s="6" t="n">
        <v>1966700.8</v>
      </c>
      <c r="F609" s="6" t="n">
        <v>0</v>
      </c>
      <c r="G609" s="6" t="n">
        <f aca="false">E609+F609</f>
        <v>1966700.8</v>
      </c>
      <c r="H609" s="7" t="n">
        <f aca="false">IF(D609=0,0,C609/D609)</f>
        <v>0</v>
      </c>
      <c r="I609" s="7" t="n">
        <f aca="false">IF(D609=0,0,B609/D609)</f>
        <v>1</v>
      </c>
      <c r="J609" s="6" t="n">
        <f aca="false">E609*H609</f>
        <v>0</v>
      </c>
      <c r="K609" s="6" t="n">
        <f aca="false">E609*I609</f>
        <v>1966700.8</v>
      </c>
      <c r="L609" s="6" t="n">
        <v>0</v>
      </c>
      <c r="M609" s="6" t="n">
        <v>1966700.8</v>
      </c>
      <c r="N609" s="6" t="n">
        <v>1231497</v>
      </c>
      <c r="O609" s="6" t="n">
        <v>1307385</v>
      </c>
      <c r="P609" s="7" t="n">
        <f aca="false">IF(O609=0,"",(G609-O609)/O609)</f>
        <v>0.504301181365856</v>
      </c>
      <c r="Q609" s="5" t="s">
        <v>26</v>
      </c>
      <c r="R609" s="5" t="s">
        <v>27</v>
      </c>
    </row>
    <row r="610" customFormat="false" ht="15" hidden="false" customHeight="true" outlineLevel="0" collapsed="false">
      <c r="A610" s="5" t="s">
        <v>634</v>
      </c>
      <c r="B610" s="6" t="n">
        <v>5713611240.03</v>
      </c>
      <c r="C610" s="6" t="n">
        <v>0</v>
      </c>
      <c r="D610" s="6" t="n">
        <v>5713611240.03</v>
      </c>
      <c r="E610" s="6" t="n">
        <v>2114036.16</v>
      </c>
      <c r="F610" s="6" t="n">
        <v>0</v>
      </c>
      <c r="G610" s="6" t="n">
        <f aca="false">E610+F610</f>
        <v>2114036.16</v>
      </c>
      <c r="H610" s="7" t="n">
        <f aca="false">IF(D610=0,0,C610/D610)</f>
        <v>0</v>
      </c>
      <c r="I610" s="7" t="n">
        <f aca="false">IF(D610=0,0,B610/D610)</f>
        <v>1</v>
      </c>
      <c r="J610" s="6" t="n">
        <f aca="false">E610*H610</f>
        <v>0</v>
      </c>
      <c r="K610" s="6" t="n">
        <f aca="false">E610*I610</f>
        <v>2114036.16</v>
      </c>
      <c r="L610" s="6" t="n">
        <v>0</v>
      </c>
      <c r="M610" s="6" t="n">
        <v>2114036.16</v>
      </c>
      <c r="N610" s="6" t="n">
        <v>1644992</v>
      </c>
      <c r="O610" s="6" t="n">
        <v>1747030</v>
      </c>
      <c r="P610" s="7" t="n">
        <f aca="false">IF(O610=0,"",(G610-O610)/O610)</f>
        <v>0.210074331866081</v>
      </c>
      <c r="Q610" s="5" t="s">
        <v>26</v>
      </c>
      <c r="R610" s="5" t="s">
        <v>27</v>
      </c>
    </row>
    <row r="611" customFormat="false" ht="15" hidden="false" customHeight="true" outlineLevel="0" collapsed="false">
      <c r="A611" s="5" t="s">
        <v>635</v>
      </c>
      <c r="B611" s="6" t="n">
        <v>5461277249.17</v>
      </c>
      <c r="C611" s="6" t="n">
        <v>0</v>
      </c>
      <c r="D611" s="6" t="n">
        <v>5461277249.17</v>
      </c>
      <c r="E611" s="6" t="n">
        <v>2020672.58</v>
      </c>
      <c r="F611" s="6" t="n">
        <v>0</v>
      </c>
      <c r="G611" s="6" t="n">
        <f aca="false">E611+F611</f>
        <v>2020672.58</v>
      </c>
      <c r="H611" s="7" t="n">
        <f aca="false">IF(D611=0,0,C611/D611)</f>
        <v>0</v>
      </c>
      <c r="I611" s="7" t="n">
        <f aca="false">IF(D611=0,0,B611/D611)</f>
        <v>1</v>
      </c>
      <c r="J611" s="6" t="n">
        <f aca="false">E611*H611</f>
        <v>0</v>
      </c>
      <c r="K611" s="6" t="n">
        <f aca="false">E611*I611</f>
        <v>2020672.58</v>
      </c>
      <c r="L611" s="6" t="n">
        <v>0</v>
      </c>
      <c r="M611" s="6" t="n">
        <v>2020672.58</v>
      </c>
      <c r="N611" s="6" t="n">
        <v>1647338</v>
      </c>
      <c r="O611" s="6" t="n">
        <v>1749236</v>
      </c>
      <c r="P611" s="7" t="n">
        <f aca="false">IF(O611=0,"",(G611-O611)/O611)</f>
        <v>0.155174361835681</v>
      </c>
      <c r="Q611" s="5" t="s">
        <v>26</v>
      </c>
      <c r="R611" s="5" t="s">
        <v>27</v>
      </c>
    </row>
    <row r="612" customFormat="false" ht="15" hidden="false" customHeight="true" outlineLevel="0" collapsed="false">
      <c r="A612" s="5" t="s">
        <v>636</v>
      </c>
      <c r="B612" s="6" t="n">
        <v>9678960134.81</v>
      </c>
      <c r="C612" s="6" t="n">
        <v>0</v>
      </c>
      <c r="D612" s="6" t="n">
        <v>9678960134.81</v>
      </c>
      <c r="E612" s="6" t="n">
        <v>3581215.25</v>
      </c>
      <c r="F612" s="6" t="n">
        <v>0</v>
      </c>
      <c r="G612" s="6" t="n">
        <f aca="false">E612+F612</f>
        <v>3581215.25</v>
      </c>
      <c r="H612" s="7" t="n">
        <f aca="false">IF(D612=0,0,C612/D612)</f>
        <v>0</v>
      </c>
      <c r="I612" s="7" t="n">
        <f aca="false">IF(D612=0,0,B612/D612)</f>
        <v>1</v>
      </c>
      <c r="J612" s="6" t="n">
        <f aca="false">E612*H612</f>
        <v>0</v>
      </c>
      <c r="K612" s="6" t="n">
        <f aca="false">E612*I612</f>
        <v>3581215.25</v>
      </c>
      <c r="L612" s="6" t="n">
        <v>0</v>
      </c>
      <c r="M612" s="6" t="n">
        <v>3581215.25</v>
      </c>
      <c r="N612" s="6" t="n">
        <v>2754660</v>
      </c>
      <c r="O612" s="6" t="n">
        <v>2924730</v>
      </c>
      <c r="P612" s="7" t="n">
        <f aca="false">IF(O612=0,"",(G612-O612)/O612)</f>
        <v>0.224460121105196</v>
      </c>
      <c r="Q612" s="5" t="s">
        <v>26</v>
      </c>
      <c r="R612" s="5" t="s">
        <v>27</v>
      </c>
    </row>
    <row r="613" customFormat="false" ht="15" hidden="false" customHeight="true" outlineLevel="0" collapsed="false">
      <c r="A613" s="5" t="s">
        <v>637</v>
      </c>
      <c r="B613" s="6" t="n">
        <v>17750219553.23</v>
      </c>
      <c r="C613" s="6" t="n">
        <v>0</v>
      </c>
      <c r="D613" s="6" t="n">
        <v>17750219553.23</v>
      </c>
      <c r="E613" s="6" t="n">
        <v>6567581.23</v>
      </c>
      <c r="F613" s="6" t="n">
        <v>0</v>
      </c>
      <c r="G613" s="6" t="n">
        <f aca="false">E613+F613</f>
        <v>6567581.23</v>
      </c>
      <c r="H613" s="7" t="n">
        <f aca="false">IF(D613=0,0,C613/D613)</f>
        <v>0</v>
      </c>
      <c r="I613" s="7" t="n">
        <f aca="false">IF(D613=0,0,B613/D613)</f>
        <v>1</v>
      </c>
      <c r="J613" s="6" t="n">
        <f aca="false">E613*H613</f>
        <v>0</v>
      </c>
      <c r="K613" s="6" t="n">
        <f aca="false">E613*I613</f>
        <v>6567581.23</v>
      </c>
      <c r="L613" s="6" t="n">
        <v>0</v>
      </c>
      <c r="M613" s="6" t="n">
        <v>6567581.23</v>
      </c>
      <c r="N613" s="6" t="n">
        <v>4182537</v>
      </c>
      <c r="O613" s="6" t="n">
        <v>4440262</v>
      </c>
      <c r="P613" s="7" t="n">
        <f aca="false">IF(O613=0,"",(G613-O613)/O613)</f>
        <v>0.479097681623292</v>
      </c>
      <c r="Q613" s="5" t="s">
        <v>26</v>
      </c>
      <c r="R613" s="5" t="s">
        <v>27</v>
      </c>
    </row>
    <row r="614" customFormat="false" ht="15" hidden="false" customHeight="true" outlineLevel="0" collapsed="false">
      <c r="A614" s="5" t="s">
        <v>638</v>
      </c>
      <c r="B614" s="6" t="n">
        <v>16339004971.72</v>
      </c>
      <c r="C614" s="6" t="n">
        <v>0</v>
      </c>
      <c r="D614" s="6" t="n">
        <v>16339004971.72</v>
      </c>
      <c r="E614" s="6" t="n">
        <v>6045431.84</v>
      </c>
      <c r="F614" s="6" t="n">
        <v>0</v>
      </c>
      <c r="G614" s="6" t="n">
        <f aca="false">E614+F614</f>
        <v>6045431.84</v>
      </c>
      <c r="H614" s="7" t="n">
        <f aca="false">IF(D614=0,0,C614/D614)</f>
        <v>0</v>
      </c>
      <c r="I614" s="7" t="n">
        <f aca="false">IF(D614=0,0,B614/D614)</f>
        <v>1</v>
      </c>
      <c r="J614" s="6" t="n">
        <f aca="false">E614*H614</f>
        <v>0</v>
      </c>
      <c r="K614" s="6" t="n">
        <f aca="false">E614*I614</f>
        <v>6045431.84</v>
      </c>
      <c r="L614" s="6" t="n">
        <v>0</v>
      </c>
      <c r="M614" s="6" t="n">
        <v>6045431.84</v>
      </c>
      <c r="N614" s="6" t="n">
        <v>3956440</v>
      </c>
      <c r="O614" s="6" t="n">
        <v>4201737</v>
      </c>
      <c r="P614" s="7" t="n">
        <f aca="false">IF(O614=0,"",(G614-O614)/O614)</f>
        <v>0.43879348945448</v>
      </c>
      <c r="Q614" s="5" t="s">
        <v>26</v>
      </c>
      <c r="R614" s="5" t="s">
        <v>27</v>
      </c>
    </row>
    <row r="615" customFormat="false" ht="15" hidden="false" customHeight="true" outlineLevel="0" collapsed="false">
      <c r="A615" s="5" t="s">
        <v>639</v>
      </c>
      <c r="B615" s="6" t="n">
        <v>8341944948.31</v>
      </c>
      <c r="C615" s="6" t="n">
        <v>0</v>
      </c>
      <c r="D615" s="6" t="n">
        <v>8341944948.31</v>
      </c>
      <c r="E615" s="6" t="n">
        <v>3086519.63</v>
      </c>
      <c r="F615" s="6" t="n">
        <v>0</v>
      </c>
      <c r="G615" s="6" t="n">
        <f aca="false">E615+F615</f>
        <v>3086519.63</v>
      </c>
      <c r="H615" s="7" t="n">
        <f aca="false">IF(D615=0,0,C615/D615)</f>
        <v>0</v>
      </c>
      <c r="I615" s="7" t="n">
        <f aca="false">IF(D615=0,0,B615/D615)</f>
        <v>1</v>
      </c>
      <c r="J615" s="6" t="n">
        <f aca="false">E615*H615</f>
        <v>0</v>
      </c>
      <c r="K615" s="6" t="n">
        <f aca="false">E615*I615</f>
        <v>3086519.63</v>
      </c>
      <c r="L615" s="6" t="n">
        <v>0</v>
      </c>
      <c r="M615" s="6" t="n">
        <v>3086519.63</v>
      </c>
      <c r="N615" s="6" t="n">
        <v>2003967</v>
      </c>
      <c r="O615" s="6" t="n">
        <v>2128663</v>
      </c>
      <c r="P615" s="7" t="n">
        <f aca="false">IF(O615=0,"",(G615-O615)/O615)</f>
        <v>0.449980400843158</v>
      </c>
      <c r="Q615" s="5" t="s">
        <v>26</v>
      </c>
      <c r="R615" s="5" t="s">
        <v>27</v>
      </c>
    </row>
    <row r="616" customFormat="false" ht="15" hidden="false" customHeight="true" outlineLevel="0" collapsed="false">
      <c r="A616" s="5" t="s">
        <v>640</v>
      </c>
      <c r="B616" s="6" t="n">
        <v>5281551150.56</v>
      </c>
      <c r="C616" s="6" t="n">
        <v>0</v>
      </c>
      <c r="D616" s="6" t="n">
        <v>5281551150.56</v>
      </c>
      <c r="E616" s="6" t="n">
        <v>1954173.93</v>
      </c>
      <c r="F616" s="6" t="n">
        <v>0</v>
      </c>
      <c r="G616" s="6" t="n">
        <f aca="false">E616+F616</f>
        <v>1954173.93</v>
      </c>
      <c r="H616" s="7" t="n">
        <f aca="false">IF(D616=0,0,C616/D616)</f>
        <v>0</v>
      </c>
      <c r="I616" s="7" t="n">
        <f aca="false">IF(D616=0,0,B616/D616)</f>
        <v>1</v>
      </c>
      <c r="J616" s="6" t="n">
        <f aca="false">E616*H616</f>
        <v>0</v>
      </c>
      <c r="K616" s="6" t="n">
        <f aca="false">E616*I616</f>
        <v>1954173.93</v>
      </c>
      <c r="L616" s="6" t="n">
        <v>0</v>
      </c>
      <c r="M616" s="6" t="n">
        <v>1954173.93</v>
      </c>
      <c r="N616" s="6" t="n">
        <v>1392360</v>
      </c>
      <c r="O616" s="6" t="n">
        <v>1478487</v>
      </c>
      <c r="P616" s="7" t="n">
        <f aca="false">IF(O616=0,"",(G616-O616)/O616)</f>
        <v>0.321739000748738</v>
      </c>
      <c r="Q616" s="5" t="s">
        <v>26</v>
      </c>
      <c r="R616" s="5" t="s">
        <v>27</v>
      </c>
    </row>
    <row r="617" customFormat="false" ht="15" hidden="false" customHeight="true" outlineLevel="0" collapsed="false">
      <c r="A617" s="5" t="s">
        <v>641</v>
      </c>
      <c r="B617" s="6" t="n">
        <v>11321580803.34</v>
      </c>
      <c r="C617" s="6" t="n">
        <v>0</v>
      </c>
      <c r="D617" s="6" t="n">
        <v>11321580803.34</v>
      </c>
      <c r="E617" s="6" t="n">
        <v>4188984.9</v>
      </c>
      <c r="F617" s="6" t="n">
        <v>0</v>
      </c>
      <c r="G617" s="6" t="n">
        <f aca="false">E617+F617</f>
        <v>4188984.9</v>
      </c>
      <c r="H617" s="7" t="n">
        <f aca="false">IF(D617=0,0,C617/D617)</f>
        <v>0</v>
      </c>
      <c r="I617" s="7" t="n">
        <f aca="false">IF(D617=0,0,B617/D617)</f>
        <v>1</v>
      </c>
      <c r="J617" s="6" t="n">
        <f aca="false">E617*H617</f>
        <v>0</v>
      </c>
      <c r="K617" s="6" t="n">
        <f aca="false">E617*I617</f>
        <v>4188984.9</v>
      </c>
      <c r="L617" s="6" t="n">
        <v>0</v>
      </c>
      <c r="M617" s="6" t="n">
        <v>4188984.9</v>
      </c>
      <c r="N617" s="6" t="n">
        <v>2736794</v>
      </c>
      <c r="O617" s="6" t="n">
        <v>2906080</v>
      </c>
      <c r="P617" s="7" t="n">
        <f aca="false">IF(O617=0,"",(G617-O617)/O617)</f>
        <v>0.441455465782084</v>
      </c>
      <c r="Q617" s="5" t="s">
        <v>26</v>
      </c>
      <c r="R617" s="5" t="s">
        <v>27</v>
      </c>
    </row>
    <row r="618" customFormat="false" ht="15" hidden="false" customHeight="true" outlineLevel="0" collapsed="false">
      <c r="A618" s="5" t="s">
        <v>642</v>
      </c>
      <c r="B618" s="6" t="n">
        <v>5784731819.26</v>
      </c>
      <c r="C618" s="6" t="n">
        <v>0</v>
      </c>
      <c r="D618" s="6" t="n">
        <v>5784731819.26</v>
      </c>
      <c r="E618" s="6" t="n">
        <v>2140350.77</v>
      </c>
      <c r="F618" s="6" t="n">
        <v>0</v>
      </c>
      <c r="G618" s="6" t="n">
        <f aca="false">E618+F618</f>
        <v>2140350.77</v>
      </c>
      <c r="H618" s="7" t="n">
        <f aca="false">IF(D618=0,0,C618/D618)</f>
        <v>0</v>
      </c>
      <c r="I618" s="7" t="n">
        <f aca="false">IF(D618=0,0,B618/D618)</f>
        <v>1</v>
      </c>
      <c r="J618" s="6" t="n">
        <f aca="false">E618*H618</f>
        <v>0</v>
      </c>
      <c r="K618" s="6" t="n">
        <f aca="false">E618*I618</f>
        <v>2140350.77</v>
      </c>
      <c r="L618" s="6" t="n">
        <v>0</v>
      </c>
      <c r="M618" s="6" t="n">
        <v>2140350.77</v>
      </c>
      <c r="N618" s="6" t="n">
        <v>1268918</v>
      </c>
      <c r="O618" s="6" t="n">
        <v>1347150</v>
      </c>
      <c r="P618" s="7" t="n">
        <f aca="false">IF(O618=0,"",(G618-O618)/O618)</f>
        <v>0.58879914634599</v>
      </c>
      <c r="Q618" s="5" t="s">
        <v>26</v>
      </c>
      <c r="R618" s="5" t="s">
        <v>27</v>
      </c>
    </row>
    <row r="619" customFormat="false" ht="15" hidden="false" customHeight="true" outlineLevel="0" collapsed="false">
      <c r="A619" s="5" t="s">
        <v>643</v>
      </c>
      <c r="B619" s="6" t="n">
        <v>3516728432.28</v>
      </c>
      <c r="C619" s="6" t="n">
        <v>0</v>
      </c>
      <c r="D619" s="6" t="n">
        <v>3516728432.28</v>
      </c>
      <c r="E619" s="6" t="n">
        <v>1301189.52</v>
      </c>
      <c r="F619" s="6" t="n">
        <v>0</v>
      </c>
      <c r="G619" s="6" t="n">
        <f aca="false">E619+F619</f>
        <v>1301189.52</v>
      </c>
      <c r="H619" s="7" t="n">
        <f aca="false">IF(D619=0,0,C619/D619)</f>
        <v>0</v>
      </c>
      <c r="I619" s="7" t="n">
        <f aca="false">IF(D619=0,0,B619/D619)</f>
        <v>1</v>
      </c>
      <c r="J619" s="6" t="n">
        <f aca="false">E619*H619</f>
        <v>0</v>
      </c>
      <c r="K619" s="6" t="n">
        <f aca="false">E619*I619</f>
        <v>1301189.52</v>
      </c>
      <c r="L619" s="6" t="n">
        <v>0</v>
      </c>
      <c r="M619" s="6" t="n">
        <v>1301189.52</v>
      </c>
      <c r="N619" s="6" t="n">
        <v>1043099</v>
      </c>
      <c r="O619" s="6" t="n">
        <v>1107683</v>
      </c>
      <c r="P619" s="7" t="n">
        <f aca="false">IF(O619=0,"",(G619-O619)/O619)</f>
        <v>0.174694854033149</v>
      </c>
      <c r="Q619" s="5" t="s">
        <v>26</v>
      </c>
      <c r="R619" s="5" t="s">
        <v>27</v>
      </c>
    </row>
    <row r="620" customFormat="false" ht="15" hidden="false" customHeight="true" outlineLevel="0" collapsed="false">
      <c r="A620" s="5" t="s">
        <v>644</v>
      </c>
      <c r="B620" s="6" t="n">
        <v>3597386932.86</v>
      </c>
      <c r="C620" s="6" t="n">
        <v>0</v>
      </c>
      <c r="D620" s="6" t="n">
        <v>3597386932.86</v>
      </c>
      <c r="E620" s="6" t="n">
        <v>1331033.17</v>
      </c>
      <c r="F620" s="6" t="n">
        <v>0</v>
      </c>
      <c r="G620" s="6" t="n">
        <f aca="false">E620+F620</f>
        <v>1331033.17</v>
      </c>
      <c r="H620" s="7" t="n">
        <f aca="false">IF(D620=0,0,C620/D620)</f>
        <v>0</v>
      </c>
      <c r="I620" s="7" t="n">
        <f aca="false">IF(D620=0,0,B620/D620)</f>
        <v>1</v>
      </c>
      <c r="J620" s="6" t="n">
        <f aca="false">E620*H620</f>
        <v>0</v>
      </c>
      <c r="K620" s="6" t="n">
        <f aca="false">E620*I620</f>
        <v>1331033.17</v>
      </c>
      <c r="L620" s="6" t="n">
        <v>0</v>
      </c>
      <c r="M620" s="6" t="n">
        <v>1331033.17</v>
      </c>
      <c r="N620" s="6" t="n">
        <v>1050474</v>
      </c>
      <c r="O620" s="6" t="n">
        <v>1114411</v>
      </c>
      <c r="P620" s="7" t="n">
        <f aca="false">IF(O620=0,"",(G620-O620)/O620)</f>
        <v>0.194382655950094</v>
      </c>
      <c r="Q620" s="5" t="s">
        <v>26</v>
      </c>
      <c r="R620" s="5" t="s">
        <v>27</v>
      </c>
    </row>
    <row r="621" customFormat="false" ht="15" hidden="false" customHeight="true" outlineLevel="0" collapsed="false">
      <c r="A621" s="5" t="s">
        <v>645</v>
      </c>
      <c r="B621" s="6" t="n">
        <v>10972896197.41</v>
      </c>
      <c r="C621" s="6" t="n">
        <v>0</v>
      </c>
      <c r="D621" s="6" t="n">
        <v>10972896197.41</v>
      </c>
      <c r="E621" s="6" t="n">
        <v>4059971.59</v>
      </c>
      <c r="F621" s="6" t="n">
        <v>0</v>
      </c>
      <c r="G621" s="6" t="n">
        <f aca="false">E621+F621</f>
        <v>4059971.59</v>
      </c>
      <c r="H621" s="7" t="n">
        <f aca="false">IF(D621=0,0,C621/D621)</f>
        <v>0</v>
      </c>
      <c r="I621" s="7" t="n">
        <f aca="false">IF(D621=0,0,B621/D621)</f>
        <v>1</v>
      </c>
      <c r="J621" s="6" t="n">
        <f aca="false">E621*H621</f>
        <v>0</v>
      </c>
      <c r="K621" s="6" t="n">
        <f aca="false">E621*I621</f>
        <v>4059971.59</v>
      </c>
      <c r="L621" s="6" t="n">
        <v>0</v>
      </c>
      <c r="M621" s="6" t="n">
        <v>4059971.59</v>
      </c>
      <c r="N621" s="6" t="n">
        <v>2618211</v>
      </c>
      <c r="O621" s="6" t="n">
        <v>2780987</v>
      </c>
      <c r="P621" s="7" t="n">
        <f aca="false">IF(O621=0,"",(G621-O621)/O621)</f>
        <v>0.459903117130716</v>
      </c>
      <c r="Q621" s="5" t="s">
        <v>26</v>
      </c>
      <c r="R621" s="5" t="s">
        <v>27</v>
      </c>
    </row>
    <row r="622" customFormat="false" ht="15" hidden="false" customHeight="true" outlineLevel="0" collapsed="false">
      <c r="A622" s="5" t="s">
        <v>646</v>
      </c>
      <c r="B622" s="6" t="n">
        <v>6689142362.73</v>
      </c>
      <c r="C622" s="6" t="n">
        <v>0</v>
      </c>
      <c r="D622" s="6" t="n">
        <v>6689142362.73</v>
      </c>
      <c r="E622" s="6" t="n">
        <v>2474982.67</v>
      </c>
      <c r="F622" s="6" t="n">
        <v>0</v>
      </c>
      <c r="G622" s="6" t="n">
        <f aca="false">E622+F622</f>
        <v>2474982.67</v>
      </c>
      <c r="H622" s="7" t="n">
        <f aca="false">IF(D622=0,0,C622/D622)</f>
        <v>0</v>
      </c>
      <c r="I622" s="7" t="n">
        <f aca="false">IF(D622=0,0,B622/D622)</f>
        <v>1</v>
      </c>
      <c r="J622" s="6" t="n">
        <f aca="false">E622*H622</f>
        <v>0</v>
      </c>
      <c r="K622" s="6" t="n">
        <f aca="false">E622*I622</f>
        <v>2474982.67</v>
      </c>
      <c r="L622" s="6" t="n">
        <v>0</v>
      </c>
      <c r="M622" s="6" t="n">
        <v>2474982.67</v>
      </c>
      <c r="N622" s="6" t="n">
        <v>1482994</v>
      </c>
      <c r="O622" s="6" t="n">
        <v>1574672</v>
      </c>
      <c r="P622" s="7" t="n">
        <f aca="false">IF(O622=0,"",(G622-O622)/O622)</f>
        <v>0.57174489036447</v>
      </c>
      <c r="Q622" s="5" t="s">
        <v>26</v>
      </c>
      <c r="R622" s="5" t="s">
        <v>27</v>
      </c>
    </row>
    <row r="623" customFormat="false" ht="15" hidden="false" customHeight="true" outlineLevel="0" collapsed="false">
      <c r="A623" s="5" t="s">
        <v>647</v>
      </c>
      <c r="B623" s="6" t="n">
        <v>7487288904.76</v>
      </c>
      <c r="C623" s="6" t="n">
        <v>0</v>
      </c>
      <c r="D623" s="6" t="n">
        <v>7487288904.76</v>
      </c>
      <c r="E623" s="6" t="n">
        <v>2770296.89</v>
      </c>
      <c r="F623" s="6" t="n">
        <v>0</v>
      </c>
      <c r="G623" s="6" t="n">
        <f aca="false">E623+F623</f>
        <v>2770296.89</v>
      </c>
      <c r="H623" s="7" t="n">
        <f aca="false">IF(D623=0,0,C623/D623)</f>
        <v>0</v>
      </c>
      <c r="I623" s="7" t="n">
        <f aca="false">IF(D623=0,0,B623/D623)</f>
        <v>1</v>
      </c>
      <c r="J623" s="6" t="n">
        <f aca="false">E623*H623</f>
        <v>0</v>
      </c>
      <c r="K623" s="6" t="n">
        <f aca="false">E623*I623</f>
        <v>2770296.89</v>
      </c>
      <c r="L623" s="6" t="n">
        <v>0</v>
      </c>
      <c r="M623" s="6" t="n">
        <v>2770296.89</v>
      </c>
      <c r="N623" s="6" t="n">
        <v>1822611</v>
      </c>
      <c r="O623" s="6" t="n">
        <v>1935538</v>
      </c>
      <c r="P623" s="7" t="n">
        <f aca="false">IF(O623=0,"",(G623-O623)/O623)</f>
        <v>0.43128003170178</v>
      </c>
      <c r="Q623" s="5" t="s">
        <v>26</v>
      </c>
      <c r="R623" s="5" t="s">
        <v>27</v>
      </c>
    </row>
    <row r="624" customFormat="false" ht="15" hidden="false" customHeight="true" outlineLevel="0" collapsed="false">
      <c r="A624" s="5" t="s">
        <v>648</v>
      </c>
      <c r="B624" s="6" t="n">
        <v>5319626690.77</v>
      </c>
      <c r="C624" s="6" t="n">
        <v>0</v>
      </c>
      <c r="D624" s="6" t="n">
        <v>5319626690.77</v>
      </c>
      <c r="E624" s="6" t="n">
        <v>1968261.88</v>
      </c>
      <c r="F624" s="6" t="n">
        <v>0</v>
      </c>
      <c r="G624" s="6" t="n">
        <f aca="false">E624+F624</f>
        <v>1968261.88</v>
      </c>
      <c r="H624" s="7" t="n">
        <f aca="false">IF(D624=0,0,C624/D624)</f>
        <v>0</v>
      </c>
      <c r="I624" s="7" t="n">
        <f aca="false">IF(D624=0,0,B624/D624)</f>
        <v>1</v>
      </c>
      <c r="J624" s="6" t="n">
        <f aca="false">E624*H624</f>
        <v>0</v>
      </c>
      <c r="K624" s="6" t="n">
        <f aca="false">E624*I624</f>
        <v>1968261.88</v>
      </c>
      <c r="L624" s="6" t="n">
        <v>0</v>
      </c>
      <c r="M624" s="6" t="n">
        <v>1968261.88</v>
      </c>
      <c r="N624" s="6" t="n">
        <v>1405939</v>
      </c>
      <c r="O624" s="6" t="n">
        <v>1493179</v>
      </c>
      <c r="P624" s="7" t="n">
        <f aca="false">IF(O624=0,"",(G624-O624)/O624)</f>
        <v>0.318168739313907</v>
      </c>
      <c r="Q624" s="5" t="s">
        <v>26</v>
      </c>
      <c r="R624" s="5" t="s">
        <v>27</v>
      </c>
    </row>
    <row r="625" customFormat="false" ht="15" hidden="false" customHeight="true" outlineLevel="0" collapsed="false">
      <c r="A625" s="5" t="s">
        <v>649</v>
      </c>
      <c r="B625" s="6" t="n">
        <v>7089116487.06</v>
      </c>
      <c r="C625" s="6" t="n">
        <v>0</v>
      </c>
      <c r="D625" s="6" t="n">
        <v>7089116487.06</v>
      </c>
      <c r="E625" s="6" t="n">
        <v>2622973.1</v>
      </c>
      <c r="F625" s="6" t="n">
        <v>0</v>
      </c>
      <c r="G625" s="6" t="n">
        <f aca="false">E625+F625</f>
        <v>2622973.1</v>
      </c>
      <c r="H625" s="7" t="n">
        <f aca="false">IF(D625=0,0,C625/D625)</f>
        <v>0</v>
      </c>
      <c r="I625" s="7" t="n">
        <f aca="false">IF(D625=0,0,B625/D625)</f>
        <v>1</v>
      </c>
      <c r="J625" s="6" t="n">
        <f aca="false">E625*H625</f>
        <v>0</v>
      </c>
      <c r="K625" s="6" t="n">
        <f aca="false">E625*I625</f>
        <v>2622973.1</v>
      </c>
      <c r="L625" s="6" t="n">
        <v>0</v>
      </c>
      <c r="M625" s="6" t="n">
        <v>2622973.1</v>
      </c>
      <c r="N625" s="6" t="n">
        <v>1723246</v>
      </c>
      <c r="O625" s="6" t="n">
        <v>1829838</v>
      </c>
      <c r="P625" s="7" t="n">
        <f aca="false">IF(O625=0,"",(G625-O625)/O625)</f>
        <v>0.433445529057764</v>
      </c>
      <c r="Q625" s="5" t="s">
        <v>26</v>
      </c>
      <c r="R625" s="5" t="s">
        <v>27</v>
      </c>
    </row>
    <row r="626" customFormat="false" ht="15" hidden="false" customHeight="true" outlineLevel="0" collapsed="false">
      <c r="A626" s="5" t="s">
        <v>650</v>
      </c>
      <c r="B626" s="6" t="n">
        <v>5335486362.65</v>
      </c>
      <c r="C626" s="6" t="n">
        <v>0</v>
      </c>
      <c r="D626" s="6" t="n">
        <v>5335486362.65</v>
      </c>
      <c r="E626" s="6" t="n">
        <v>1974129.95</v>
      </c>
      <c r="F626" s="6" t="n">
        <v>0</v>
      </c>
      <c r="G626" s="6" t="n">
        <f aca="false">E626+F626</f>
        <v>1974129.95</v>
      </c>
      <c r="H626" s="7" t="n">
        <f aca="false">IF(D626=0,0,C626/D626)</f>
        <v>0</v>
      </c>
      <c r="I626" s="7" t="n">
        <f aca="false">IF(D626=0,0,B626/D626)</f>
        <v>1</v>
      </c>
      <c r="J626" s="6" t="n">
        <f aca="false">E626*H626</f>
        <v>0</v>
      </c>
      <c r="K626" s="6" t="n">
        <f aca="false">E626*I626</f>
        <v>1974129.95</v>
      </c>
      <c r="L626" s="6" t="n">
        <v>0</v>
      </c>
      <c r="M626" s="6" t="n">
        <v>1974129.95</v>
      </c>
      <c r="N626" s="6" t="n">
        <v>1390845</v>
      </c>
      <c r="O626" s="6" t="n">
        <v>1476470</v>
      </c>
      <c r="P626" s="7" t="n">
        <f aca="false">IF(O626=0,"",(G626-O626)/O626)</f>
        <v>0.337060658191497</v>
      </c>
      <c r="Q626" s="5" t="s">
        <v>26</v>
      </c>
      <c r="R626" s="5" t="s">
        <v>27</v>
      </c>
    </row>
    <row r="627" customFormat="false" ht="15" hidden="false" customHeight="true" outlineLevel="0" collapsed="false">
      <c r="A627" s="5" t="s">
        <v>651</v>
      </c>
      <c r="B627" s="6" t="n">
        <v>9044821753.93</v>
      </c>
      <c r="C627" s="6" t="n">
        <v>0</v>
      </c>
      <c r="D627" s="6" t="n">
        <v>9044821753.93</v>
      </c>
      <c r="E627" s="6" t="n">
        <v>3346584.05</v>
      </c>
      <c r="F627" s="6" t="n">
        <v>0</v>
      </c>
      <c r="G627" s="6" t="n">
        <f aca="false">E627+F627</f>
        <v>3346584.05</v>
      </c>
      <c r="H627" s="7" t="n">
        <f aca="false">IF(D627=0,0,C627/D627)</f>
        <v>0</v>
      </c>
      <c r="I627" s="7" t="n">
        <f aca="false">IF(D627=0,0,B627/D627)</f>
        <v>1</v>
      </c>
      <c r="J627" s="6" t="n">
        <f aca="false">E627*H627</f>
        <v>0</v>
      </c>
      <c r="K627" s="6" t="n">
        <f aca="false">E627*I627</f>
        <v>3346584.05</v>
      </c>
      <c r="L627" s="6" t="n">
        <v>0</v>
      </c>
      <c r="M627" s="6" t="n">
        <v>3346584.05</v>
      </c>
      <c r="N627" s="6" t="n">
        <v>2002237</v>
      </c>
      <c r="O627" s="6" t="n">
        <v>2125768</v>
      </c>
      <c r="P627" s="7" t="n">
        <f aca="false">IF(O627=0,"",(G627-O627)/O627)</f>
        <v>0.574294113939056</v>
      </c>
      <c r="Q627" s="5" t="s">
        <v>26</v>
      </c>
      <c r="R627" s="5" t="s">
        <v>27</v>
      </c>
    </row>
    <row r="628" customFormat="false" ht="15" hidden="false" customHeight="true" outlineLevel="0" collapsed="false">
      <c r="A628" s="5" t="s">
        <v>652</v>
      </c>
      <c r="B628" s="6" t="n">
        <v>18072547242.34</v>
      </c>
      <c r="C628" s="6" t="n">
        <v>0</v>
      </c>
      <c r="D628" s="6" t="n">
        <v>18072547242.34</v>
      </c>
      <c r="E628" s="6" t="n">
        <v>6686842.48</v>
      </c>
      <c r="F628" s="6" t="n">
        <v>0</v>
      </c>
      <c r="G628" s="6" t="n">
        <f aca="false">E628+F628</f>
        <v>6686842.48</v>
      </c>
      <c r="H628" s="7" t="n">
        <f aca="false">IF(D628=0,0,C628/D628)</f>
        <v>0</v>
      </c>
      <c r="I628" s="7" t="n">
        <f aca="false">IF(D628=0,0,B628/D628)</f>
        <v>1</v>
      </c>
      <c r="J628" s="6" t="n">
        <f aca="false">E628*H628</f>
        <v>0</v>
      </c>
      <c r="K628" s="6" t="n">
        <f aca="false">E628*I628</f>
        <v>6686842.48</v>
      </c>
      <c r="L628" s="6" t="n">
        <v>0</v>
      </c>
      <c r="M628" s="6" t="n">
        <v>6686842.48</v>
      </c>
      <c r="N628" s="6" t="n">
        <v>4133623</v>
      </c>
      <c r="O628" s="6" t="n">
        <v>4389517</v>
      </c>
      <c r="P628" s="7" t="n">
        <f aca="false">IF(O628=0,"",(G628-O628)/O628)</f>
        <v>0.523366347595875</v>
      </c>
      <c r="Q628" s="5" t="s">
        <v>26</v>
      </c>
      <c r="R628" s="5" t="s">
        <v>27</v>
      </c>
    </row>
    <row r="629" customFormat="false" ht="15" hidden="false" customHeight="true" outlineLevel="0" collapsed="false">
      <c r="A629" s="5" t="s">
        <v>653</v>
      </c>
      <c r="B629" s="6" t="n">
        <v>10231406265.73</v>
      </c>
      <c r="C629" s="6" t="n">
        <v>0</v>
      </c>
      <c r="D629" s="6" t="n">
        <v>10231406265.73</v>
      </c>
      <c r="E629" s="6" t="n">
        <v>3785620.32</v>
      </c>
      <c r="F629" s="6" t="n">
        <v>0</v>
      </c>
      <c r="G629" s="6" t="n">
        <f aca="false">E629+F629</f>
        <v>3785620.32</v>
      </c>
      <c r="H629" s="7" t="n">
        <f aca="false">IF(D629=0,0,C629/D629)</f>
        <v>0</v>
      </c>
      <c r="I629" s="7" t="n">
        <f aca="false">IF(D629=0,0,B629/D629)</f>
        <v>1</v>
      </c>
      <c r="J629" s="6" t="n">
        <f aca="false">E629*H629</f>
        <v>0</v>
      </c>
      <c r="K629" s="6" t="n">
        <f aca="false">E629*I629</f>
        <v>3785620.32</v>
      </c>
      <c r="L629" s="6" t="n">
        <v>0</v>
      </c>
      <c r="M629" s="6" t="n">
        <v>3785620.32</v>
      </c>
      <c r="N629" s="6" t="n">
        <v>2436561</v>
      </c>
      <c r="O629" s="6" t="n">
        <v>2587798</v>
      </c>
      <c r="P629" s="7" t="n">
        <f aca="false">IF(O629=0,"",(G629-O629)/O629)</f>
        <v>0.462873191802451</v>
      </c>
      <c r="Q629" s="5" t="s">
        <v>26</v>
      </c>
      <c r="R629" s="5" t="s">
        <v>27</v>
      </c>
    </row>
    <row r="630" customFormat="false" ht="15" hidden="false" customHeight="true" outlineLevel="0" collapsed="false">
      <c r="A630" s="5" t="s">
        <v>654</v>
      </c>
      <c r="B630" s="6" t="n">
        <v>5694608355.76</v>
      </c>
      <c r="C630" s="6" t="n">
        <v>0</v>
      </c>
      <c r="D630" s="6" t="n">
        <v>5694608355.76</v>
      </c>
      <c r="E630" s="6" t="n">
        <v>2107005.09</v>
      </c>
      <c r="F630" s="6" t="n">
        <v>0</v>
      </c>
      <c r="G630" s="6" t="n">
        <f aca="false">E630+F630</f>
        <v>2107005.09</v>
      </c>
      <c r="H630" s="7" t="n">
        <f aca="false">IF(D630=0,0,C630/D630)</f>
        <v>0</v>
      </c>
      <c r="I630" s="7" t="n">
        <f aca="false">IF(D630=0,0,B630/D630)</f>
        <v>1</v>
      </c>
      <c r="J630" s="6" t="n">
        <f aca="false">E630*H630</f>
        <v>0</v>
      </c>
      <c r="K630" s="6" t="n">
        <f aca="false">E630*I630</f>
        <v>2107005.09</v>
      </c>
      <c r="L630" s="6" t="n">
        <v>0</v>
      </c>
      <c r="M630" s="6" t="n">
        <v>2107005.09</v>
      </c>
      <c r="N630" s="6" t="n">
        <v>1400074</v>
      </c>
      <c r="O630" s="6" t="n">
        <v>1486389</v>
      </c>
      <c r="P630" s="7" t="n">
        <f aca="false">IF(O630=0,"",(G630-O630)/O630)</f>
        <v>0.417532752193403</v>
      </c>
      <c r="Q630" s="5" t="s">
        <v>26</v>
      </c>
      <c r="R630" s="5" t="s">
        <v>27</v>
      </c>
    </row>
    <row r="631" customFormat="false" ht="15" hidden="false" customHeight="true" outlineLevel="0" collapsed="false">
      <c r="A631" s="5" t="s">
        <v>655</v>
      </c>
      <c r="B631" s="6" t="n">
        <v>5904659695.48</v>
      </c>
      <c r="C631" s="6" t="n">
        <v>0</v>
      </c>
      <c r="D631" s="6" t="n">
        <v>5904659695.48</v>
      </c>
      <c r="E631" s="6" t="n">
        <v>2184724.09</v>
      </c>
      <c r="F631" s="6" t="n">
        <v>0</v>
      </c>
      <c r="G631" s="6" t="n">
        <f aca="false">E631+F631</f>
        <v>2184724.09</v>
      </c>
      <c r="H631" s="7" t="n">
        <f aca="false">IF(D631=0,0,C631/D631)</f>
        <v>0</v>
      </c>
      <c r="I631" s="7" t="n">
        <f aca="false">IF(D631=0,0,B631/D631)</f>
        <v>1</v>
      </c>
      <c r="J631" s="6" t="n">
        <f aca="false">E631*H631</f>
        <v>0</v>
      </c>
      <c r="K631" s="6" t="n">
        <f aca="false">E631*I631</f>
        <v>2184724.09</v>
      </c>
      <c r="L631" s="6" t="n">
        <v>0</v>
      </c>
      <c r="M631" s="6" t="n">
        <v>2184724.09</v>
      </c>
      <c r="N631" s="6" t="n">
        <v>1300731</v>
      </c>
      <c r="O631" s="6" t="n">
        <v>1381476</v>
      </c>
      <c r="P631" s="7" t="n">
        <f aca="false">IF(O631=0,"",(G631-O631)/O631)</f>
        <v>0.581441943254895</v>
      </c>
      <c r="Q631" s="5" t="s">
        <v>26</v>
      </c>
      <c r="R631" s="5" t="s">
        <v>27</v>
      </c>
    </row>
    <row r="632" customFormat="false" ht="15" hidden="false" customHeight="true" outlineLevel="0" collapsed="false">
      <c r="A632" s="5" t="s">
        <v>656</v>
      </c>
      <c r="B632" s="6" t="n">
        <v>6189394336.94</v>
      </c>
      <c r="C632" s="6" t="n">
        <v>0</v>
      </c>
      <c r="D632" s="6" t="n">
        <v>6189394336.94</v>
      </c>
      <c r="E632" s="6" t="n">
        <v>2290075.9</v>
      </c>
      <c r="F632" s="6" t="n">
        <v>0</v>
      </c>
      <c r="G632" s="6" t="n">
        <f aca="false">E632+F632</f>
        <v>2290075.9</v>
      </c>
      <c r="H632" s="7" t="n">
        <f aca="false">IF(D632=0,0,C632/D632)</f>
        <v>0</v>
      </c>
      <c r="I632" s="7" t="n">
        <f aca="false">IF(D632=0,0,B632/D632)</f>
        <v>1</v>
      </c>
      <c r="J632" s="6" t="n">
        <f aca="false">E632*H632</f>
        <v>0</v>
      </c>
      <c r="K632" s="6" t="n">
        <f aca="false">E632*I632</f>
        <v>2290075.9</v>
      </c>
      <c r="L632" s="6" t="n">
        <v>0</v>
      </c>
      <c r="M632" s="6" t="n">
        <v>2290075.9</v>
      </c>
      <c r="N632" s="6" t="n">
        <v>1510714</v>
      </c>
      <c r="O632" s="6" t="n">
        <v>1603744</v>
      </c>
      <c r="P632" s="7" t="n">
        <f aca="false">IF(O632=0,"",(G632-O632)/O632)</f>
        <v>0.427956020412235</v>
      </c>
      <c r="Q632" s="5" t="s">
        <v>26</v>
      </c>
      <c r="R632" s="5" t="s">
        <v>27</v>
      </c>
    </row>
    <row r="633" customFormat="false" ht="15" hidden="false" customHeight="true" outlineLevel="0" collapsed="false">
      <c r="A633" s="5" t="s">
        <v>657</v>
      </c>
      <c r="B633" s="6" t="n">
        <v>3006719558.72</v>
      </c>
      <c r="C633" s="6" t="n">
        <v>0</v>
      </c>
      <c r="D633" s="6" t="n">
        <v>3006719558.72</v>
      </c>
      <c r="E633" s="6" t="n">
        <v>1112486.24</v>
      </c>
      <c r="F633" s="6" t="n">
        <v>0</v>
      </c>
      <c r="G633" s="6" t="n">
        <f aca="false">E633+F633</f>
        <v>1112486.24</v>
      </c>
      <c r="H633" s="7" t="n">
        <f aca="false">IF(D633=0,0,C633/D633)</f>
        <v>0</v>
      </c>
      <c r="I633" s="7" t="n">
        <f aca="false">IF(D633=0,0,B633/D633)</f>
        <v>1</v>
      </c>
      <c r="J633" s="6" t="n">
        <f aca="false">E633*H633</f>
        <v>0</v>
      </c>
      <c r="K633" s="6" t="n">
        <f aca="false">E633*I633</f>
        <v>1112486.24</v>
      </c>
      <c r="L633" s="6" t="n">
        <v>0</v>
      </c>
      <c r="M633" s="6" t="n">
        <v>1112486.24</v>
      </c>
      <c r="N633" s="6" t="n">
        <v>770646</v>
      </c>
      <c r="O633" s="6" t="n">
        <v>818422</v>
      </c>
      <c r="P633" s="7" t="n">
        <f aca="false">IF(O633=0,"",(G633-O633)/O633)</f>
        <v>0.359306372507093</v>
      </c>
      <c r="Q633" s="5" t="s">
        <v>26</v>
      </c>
      <c r="R633" s="5" t="s">
        <v>27</v>
      </c>
    </row>
    <row r="634" customFormat="false" ht="15" hidden="false" customHeight="true" outlineLevel="0" collapsed="false">
      <c r="A634" s="5" t="s">
        <v>658</v>
      </c>
      <c r="B634" s="6" t="n">
        <v>3754601891.22</v>
      </c>
      <c r="C634" s="6" t="n">
        <v>0</v>
      </c>
      <c r="D634" s="6" t="n">
        <v>3754601891.22</v>
      </c>
      <c r="E634" s="6" t="n">
        <v>1389202.7</v>
      </c>
      <c r="F634" s="6" t="n">
        <v>0</v>
      </c>
      <c r="G634" s="6" t="n">
        <f aca="false">E634+F634</f>
        <v>1389202.7</v>
      </c>
      <c r="H634" s="7" t="n">
        <f aca="false">IF(D634=0,0,C634/D634)</f>
        <v>0</v>
      </c>
      <c r="I634" s="7" t="n">
        <f aca="false">IF(D634=0,0,B634/D634)</f>
        <v>1</v>
      </c>
      <c r="J634" s="6" t="n">
        <f aca="false">E634*H634</f>
        <v>0</v>
      </c>
      <c r="K634" s="6" t="n">
        <f aca="false">E634*I634</f>
        <v>1389202.7</v>
      </c>
      <c r="L634" s="6" t="n">
        <v>0</v>
      </c>
      <c r="M634" s="6" t="n">
        <v>1389202.7</v>
      </c>
      <c r="N634" s="6" t="n">
        <v>964647</v>
      </c>
      <c r="O634" s="6" t="n">
        <v>1024625</v>
      </c>
      <c r="P634" s="7" t="n">
        <f aca="false">IF(O634=0,"",(G634-O634)/O634)</f>
        <v>0.355815737464926</v>
      </c>
      <c r="Q634" s="5" t="s">
        <v>26</v>
      </c>
      <c r="R634" s="5" t="s">
        <v>27</v>
      </c>
    </row>
    <row r="635" customFormat="false" ht="15" hidden="false" customHeight="true" outlineLevel="0" collapsed="false">
      <c r="A635" s="5" t="s">
        <v>659</v>
      </c>
      <c r="B635" s="6" t="n">
        <v>5178632081.24</v>
      </c>
      <c r="C635" s="6" t="n">
        <v>0</v>
      </c>
      <c r="D635" s="6" t="n">
        <v>5178632081.24</v>
      </c>
      <c r="E635" s="6" t="n">
        <v>1916093.87</v>
      </c>
      <c r="F635" s="6" t="n">
        <v>0</v>
      </c>
      <c r="G635" s="6" t="n">
        <f aca="false">E635+F635</f>
        <v>1916093.87</v>
      </c>
      <c r="H635" s="7" t="n">
        <f aca="false">IF(D635=0,0,C635/D635)</f>
        <v>0</v>
      </c>
      <c r="I635" s="7" t="n">
        <f aca="false">IF(D635=0,0,B635/D635)</f>
        <v>1</v>
      </c>
      <c r="J635" s="6" t="n">
        <f aca="false">E635*H635</f>
        <v>0</v>
      </c>
      <c r="K635" s="6" t="n">
        <f aca="false">E635*I635</f>
        <v>1916093.87</v>
      </c>
      <c r="L635" s="6" t="n">
        <v>0</v>
      </c>
      <c r="M635" s="6" t="n">
        <v>1916093.87</v>
      </c>
      <c r="N635" s="6" t="n">
        <v>1101082</v>
      </c>
      <c r="O635" s="6" t="n">
        <v>1169191</v>
      </c>
      <c r="P635" s="7" t="n">
        <f aca="false">IF(O635=0,"",(G635-O635)/O635)</f>
        <v>0.63882023553038</v>
      </c>
      <c r="Q635" s="5" t="s">
        <v>26</v>
      </c>
      <c r="R635" s="5" t="s">
        <v>27</v>
      </c>
    </row>
    <row r="636" customFormat="false" ht="15" hidden="false" customHeight="true" outlineLevel="0" collapsed="false">
      <c r="A636" s="5" t="s">
        <v>660</v>
      </c>
      <c r="B636" s="6" t="n">
        <v>6593863802.85</v>
      </c>
      <c r="C636" s="6" t="n">
        <v>0</v>
      </c>
      <c r="D636" s="6" t="n">
        <v>6593863802.85</v>
      </c>
      <c r="E636" s="6" t="n">
        <v>2439729.61</v>
      </c>
      <c r="F636" s="6" t="n">
        <v>0</v>
      </c>
      <c r="G636" s="6" t="n">
        <f aca="false">E636+F636</f>
        <v>2439729.61</v>
      </c>
      <c r="H636" s="7" t="n">
        <f aca="false">IF(D636=0,0,C636/D636)</f>
        <v>0</v>
      </c>
      <c r="I636" s="7" t="n">
        <f aca="false">IF(D636=0,0,B636/D636)</f>
        <v>1</v>
      </c>
      <c r="J636" s="6" t="n">
        <f aca="false">E636*H636</f>
        <v>0</v>
      </c>
      <c r="K636" s="6" t="n">
        <f aca="false">E636*I636</f>
        <v>2439729.61</v>
      </c>
      <c r="L636" s="6" t="n">
        <v>0</v>
      </c>
      <c r="M636" s="6" t="n">
        <v>2439729.61</v>
      </c>
      <c r="N636" s="6" t="n">
        <v>1507923</v>
      </c>
      <c r="O636" s="6" t="n">
        <v>1600999</v>
      </c>
      <c r="P636" s="7" t="n">
        <f aca="false">IF(O636=0,"",(G636-O636)/O636)</f>
        <v>0.52387953396598</v>
      </c>
      <c r="Q636" s="5" t="s">
        <v>26</v>
      </c>
      <c r="R636" s="5" t="s">
        <v>27</v>
      </c>
    </row>
    <row r="637" customFormat="false" ht="15" hidden="false" customHeight="true" outlineLevel="0" collapsed="false">
      <c r="A637" s="5" t="s">
        <v>661</v>
      </c>
      <c r="B637" s="6" t="n">
        <v>7575580365.85</v>
      </c>
      <c r="C637" s="6" t="n">
        <v>0</v>
      </c>
      <c r="D637" s="6" t="n">
        <v>7575580365.85</v>
      </c>
      <c r="E637" s="6" t="n">
        <v>2802964.74</v>
      </c>
      <c r="F637" s="6" t="n">
        <v>0</v>
      </c>
      <c r="G637" s="6" t="n">
        <f aca="false">E637+F637</f>
        <v>2802964.74</v>
      </c>
      <c r="H637" s="7" t="n">
        <f aca="false">IF(D637=0,0,C637/D637)</f>
        <v>0</v>
      </c>
      <c r="I637" s="7" t="n">
        <f aca="false">IF(D637=0,0,B637/D637)</f>
        <v>1</v>
      </c>
      <c r="J637" s="6" t="n">
        <f aca="false">E637*H637</f>
        <v>0</v>
      </c>
      <c r="K637" s="6" t="n">
        <f aca="false">E637*I637</f>
        <v>2802964.74</v>
      </c>
      <c r="L637" s="6" t="n">
        <v>0</v>
      </c>
      <c r="M637" s="6" t="n">
        <v>2802964.74</v>
      </c>
      <c r="N637" s="6" t="n">
        <v>1755146</v>
      </c>
      <c r="O637" s="6" t="n">
        <v>1863534</v>
      </c>
      <c r="P637" s="7" t="n">
        <f aca="false">IF(O637=0,"",(G637-O637)/O637)</f>
        <v>0.504112476617008</v>
      </c>
      <c r="Q637" s="5" t="s">
        <v>26</v>
      </c>
      <c r="R637" s="5" t="s">
        <v>27</v>
      </c>
    </row>
    <row r="638" customFormat="false" ht="15" hidden="false" customHeight="true" outlineLevel="0" collapsed="false">
      <c r="A638" s="5" t="s">
        <v>662</v>
      </c>
      <c r="B638" s="6" t="n">
        <v>5121162003.89</v>
      </c>
      <c r="C638" s="6" t="n">
        <v>0</v>
      </c>
      <c r="D638" s="6" t="n">
        <v>5121162003.89</v>
      </c>
      <c r="E638" s="6" t="n">
        <v>1894829.94</v>
      </c>
      <c r="F638" s="6" t="n">
        <v>0</v>
      </c>
      <c r="G638" s="6" t="n">
        <f aca="false">E638+F638</f>
        <v>1894829.94</v>
      </c>
      <c r="H638" s="7" t="n">
        <f aca="false">IF(D638=0,0,C638/D638)</f>
        <v>0</v>
      </c>
      <c r="I638" s="7" t="n">
        <f aca="false">IF(D638=0,0,B638/D638)</f>
        <v>1</v>
      </c>
      <c r="J638" s="6" t="n">
        <f aca="false">E638*H638</f>
        <v>0</v>
      </c>
      <c r="K638" s="6" t="n">
        <f aca="false">E638*I638</f>
        <v>1894829.94</v>
      </c>
      <c r="L638" s="6" t="n">
        <v>0</v>
      </c>
      <c r="M638" s="6" t="n">
        <v>1894829.94</v>
      </c>
      <c r="N638" s="6" t="n">
        <v>1364454</v>
      </c>
      <c r="O638" s="6" t="n">
        <v>1406653</v>
      </c>
      <c r="P638" s="7" t="n">
        <f aca="false">IF(O638=0,"",(G638-O638)/O638)</f>
        <v>0.347048589808574</v>
      </c>
      <c r="Q638" s="5" t="s">
        <v>26</v>
      </c>
      <c r="R638" s="5" t="s">
        <v>27</v>
      </c>
    </row>
    <row r="639" customFormat="false" ht="15" hidden="false" customHeight="true" outlineLevel="0" collapsed="false">
      <c r="A639" s="5" t="s">
        <v>663</v>
      </c>
      <c r="B639" s="6" t="n">
        <v>5071294403.58</v>
      </c>
      <c r="C639" s="6" t="n">
        <v>0</v>
      </c>
      <c r="D639" s="6" t="n">
        <v>5071294403.58</v>
      </c>
      <c r="E639" s="6" t="n">
        <v>1876378.93</v>
      </c>
      <c r="F639" s="6" t="n">
        <v>0</v>
      </c>
      <c r="G639" s="6" t="n">
        <f aca="false">E639+F639</f>
        <v>1876378.93</v>
      </c>
      <c r="H639" s="7" t="n">
        <f aca="false">IF(D639=0,0,C639/D639)</f>
        <v>0</v>
      </c>
      <c r="I639" s="7" t="n">
        <f aca="false">IF(D639=0,0,B639/D639)</f>
        <v>1</v>
      </c>
      <c r="J639" s="6" t="n">
        <f aca="false">E639*H639</f>
        <v>0</v>
      </c>
      <c r="K639" s="6" t="n">
        <f aca="false">E639*I639</f>
        <v>1876378.93</v>
      </c>
      <c r="L639" s="6" t="n">
        <v>0</v>
      </c>
      <c r="M639" s="6" t="n">
        <v>1876378.93</v>
      </c>
      <c r="N639" s="6" t="n">
        <v>995279</v>
      </c>
      <c r="O639" s="6" t="n">
        <v>1026061</v>
      </c>
      <c r="P639" s="7" t="n">
        <f aca="false">IF(O639=0,"",(G639-O639)/O639)</f>
        <v>0.828720641365377</v>
      </c>
      <c r="Q639" s="5" t="s">
        <v>26</v>
      </c>
      <c r="R639" s="5" t="s">
        <v>27</v>
      </c>
    </row>
    <row r="640" customFormat="false" ht="15" hidden="false" customHeight="true" outlineLevel="0" collapsed="false">
      <c r="A640" s="5" t="s">
        <v>664</v>
      </c>
      <c r="B640" s="6" t="n">
        <v>2569566270.96</v>
      </c>
      <c r="C640" s="6" t="n">
        <v>0</v>
      </c>
      <c r="D640" s="6" t="n">
        <v>2569566270.96</v>
      </c>
      <c r="E640" s="6" t="n">
        <v>950739.52</v>
      </c>
      <c r="F640" s="6" t="n">
        <v>0</v>
      </c>
      <c r="G640" s="6" t="n">
        <f aca="false">E640+F640</f>
        <v>950739.52</v>
      </c>
      <c r="H640" s="7" t="n">
        <f aca="false">IF(D640=0,0,C640/D640)</f>
        <v>0</v>
      </c>
      <c r="I640" s="7" t="n">
        <f aca="false">IF(D640=0,0,B640/D640)</f>
        <v>1</v>
      </c>
      <c r="J640" s="6" t="n">
        <f aca="false">E640*H640</f>
        <v>0</v>
      </c>
      <c r="K640" s="6" t="n">
        <f aca="false">E640*I640</f>
        <v>950739.52</v>
      </c>
      <c r="L640" s="6" t="n">
        <v>0</v>
      </c>
      <c r="M640" s="6" t="n">
        <v>950739.52</v>
      </c>
      <c r="N640" s="6" t="n">
        <v>719690</v>
      </c>
      <c r="O640" s="6" t="n">
        <v>741949</v>
      </c>
      <c r="P640" s="7" t="n">
        <f aca="false">IF(O640=0,"",(G640-O640)/O640)</f>
        <v>0.281408183042231</v>
      </c>
      <c r="Q640" s="5" t="s">
        <v>26</v>
      </c>
      <c r="R640" s="5" t="s">
        <v>27</v>
      </c>
    </row>
    <row r="641" customFormat="false" ht="15" hidden="false" customHeight="true" outlineLevel="0" collapsed="false">
      <c r="A641" s="5" t="s">
        <v>665</v>
      </c>
      <c r="B641" s="6" t="n">
        <v>2576463334.92</v>
      </c>
      <c r="C641" s="6" t="n">
        <v>0</v>
      </c>
      <c r="D641" s="6" t="n">
        <v>2576463334.92</v>
      </c>
      <c r="E641" s="6" t="n">
        <v>953291.43</v>
      </c>
      <c r="F641" s="6" t="n">
        <v>0</v>
      </c>
      <c r="G641" s="6" t="n">
        <f aca="false">E641+F641</f>
        <v>953291.43</v>
      </c>
      <c r="H641" s="7" t="n">
        <f aca="false">IF(D641=0,0,C641/D641)</f>
        <v>0</v>
      </c>
      <c r="I641" s="7" t="n">
        <f aca="false">IF(D641=0,0,B641/D641)</f>
        <v>1</v>
      </c>
      <c r="J641" s="6" t="n">
        <f aca="false">E641*H641</f>
        <v>0</v>
      </c>
      <c r="K641" s="6" t="n">
        <f aca="false">E641*I641</f>
        <v>953291.43</v>
      </c>
      <c r="L641" s="6" t="n">
        <v>0</v>
      </c>
      <c r="M641" s="6" t="n">
        <v>953291.43</v>
      </c>
      <c r="N641" s="6" t="n">
        <v>590017</v>
      </c>
      <c r="O641" s="6" t="n">
        <v>626513</v>
      </c>
      <c r="P641" s="7" t="n">
        <f aca="false">IF(O641=0,"",(G641-O641)/O641)</f>
        <v>0.521582840260298</v>
      </c>
      <c r="Q641" s="5" t="s">
        <v>26</v>
      </c>
      <c r="R641" s="5" t="s">
        <v>27</v>
      </c>
    </row>
    <row r="642" customFormat="false" ht="15" hidden="false" customHeight="true" outlineLevel="0" collapsed="false">
      <c r="A642" s="5" t="s">
        <v>666</v>
      </c>
      <c r="B642" s="6" t="n">
        <v>5049366130.65</v>
      </c>
      <c r="C642" s="6" t="n">
        <v>0</v>
      </c>
      <c r="D642" s="6" t="n">
        <v>5049366130.65</v>
      </c>
      <c r="E642" s="6" t="n">
        <v>1868265.47</v>
      </c>
      <c r="F642" s="6" t="n">
        <v>0</v>
      </c>
      <c r="G642" s="6" t="n">
        <f aca="false">E642+F642</f>
        <v>1868265.47</v>
      </c>
      <c r="H642" s="7" t="n">
        <f aca="false">IF(D642=0,0,C642/D642)</f>
        <v>0</v>
      </c>
      <c r="I642" s="7" t="n">
        <f aca="false">IF(D642=0,0,B642/D642)</f>
        <v>1</v>
      </c>
      <c r="J642" s="6" t="n">
        <f aca="false">E642*H642</f>
        <v>0</v>
      </c>
      <c r="K642" s="6" t="n">
        <f aca="false">E642*I642</f>
        <v>1868265.47</v>
      </c>
      <c r="L642" s="6" t="n">
        <v>0</v>
      </c>
      <c r="M642" s="6" t="n">
        <v>1868265.47</v>
      </c>
      <c r="N642" s="6" t="n">
        <v>1284898</v>
      </c>
      <c r="O642" s="6" t="n">
        <v>1364243</v>
      </c>
      <c r="P642" s="7" t="n">
        <f aca="false">IF(O642=0,"",(G642-O642)/O642)</f>
        <v>0.369452121066408</v>
      </c>
      <c r="Q642" s="5" t="s">
        <v>26</v>
      </c>
      <c r="R642" s="5" t="s">
        <v>27</v>
      </c>
    </row>
    <row r="643" customFormat="false" ht="15" hidden="false" customHeight="true" outlineLevel="0" collapsed="false">
      <c r="A643" s="5" t="s">
        <v>667</v>
      </c>
      <c r="B643" s="6" t="n">
        <v>6787245917.89</v>
      </c>
      <c r="C643" s="6" t="n">
        <v>0</v>
      </c>
      <c r="D643" s="6" t="n">
        <v>6787245917.89</v>
      </c>
      <c r="E643" s="6" t="n">
        <v>2511280.99</v>
      </c>
      <c r="F643" s="6" t="n">
        <v>138.03</v>
      </c>
      <c r="G643" s="6" t="n">
        <f aca="false">E643+F643</f>
        <v>2511419.02</v>
      </c>
      <c r="H643" s="7" t="n">
        <f aca="false">IF(D643=0,0,C643/D643)</f>
        <v>0</v>
      </c>
      <c r="I643" s="7" t="n">
        <f aca="false">IF(D643=0,0,B643/D643)</f>
        <v>1</v>
      </c>
      <c r="J643" s="6" t="n">
        <f aca="false">E643*H643</f>
        <v>0</v>
      </c>
      <c r="K643" s="6" t="n">
        <f aca="false">E643*I643</f>
        <v>2511280.99</v>
      </c>
      <c r="L643" s="6" t="n">
        <v>0</v>
      </c>
      <c r="M643" s="6" t="n">
        <v>2511280.99</v>
      </c>
      <c r="N643" s="6" t="n">
        <v>1600692</v>
      </c>
      <c r="O643" s="6" t="n">
        <v>1699837</v>
      </c>
      <c r="P643" s="7" t="n">
        <f aca="false">IF(O643=0,"",(G643-O643)/O643)</f>
        <v>0.477446966973892</v>
      </c>
      <c r="Q643" s="5" t="s">
        <v>26</v>
      </c>
      <c r="R643" s="5" t="s">
        <v>27</v>
      </c>
    </row>
    <row r="644" customFormat="false" ht="15" hidden="false" customHeight="true" outlineLevel="0" collapsed="false">
      <c r="A644" s="5" t="s">
        <v>668</v>
      </c>
      <c r="B644" s="6" t="n">
        <v>3901859790.86</v>
      </c>
      <c r="C644" s="6" t="n">
        <v>0</v>
      </c>
      <c r="D644" s="6" t="n">
        <v>3901859790.86</v>
      </c>
      <c r="E644" s="6" t="n">
        <v>1443688.12</v>
      </c>
      <c r="F644" s="6" t="n">
        <v>3064.61</v>
      </c>
      <c r="G644" s="6" t="n">
        <f aca="false">E644+F644</f>
        <v>1446752.73</v>
      </c>
      <c r="H644" s="7" t="n">
        <f aca="false">IF(D644=0,0,C644/D644)</f>
        <v>0</v>
      </c>
      <c r="I644" s="7" t="n">
        <f aca="false">IF(D644=0,0,B644/D644)</f>
        <v>1</v>
      </c>
      <c r="J644" s="6" t="n">
        <f aca="false">E644*H644</f>
        <v>0</v>
      </c>
      <c r="K644" s="6" t="n">
        <f aca="false">E644*I644</f>
        <v>1443688.12</v>
      </c>
      <c r="L644" s="6" t="n">
        <v>0</v>
      </c>
      <c r="M644" s="6" t="n">
        <v>1443688.12</v>
      </c>
      <c r="N644" s="6" t="n">
        <v>979405</v>
      </c>
      <c r="O644" s="6" t="n">
        <v>1039986</v>
      </c>
      <c r="P644" s="7" t="n">
        <f aca="false">IF(O644=0,"",(G644-O644)/O644)</f>
        <v>0.391127120942013</v>
      </c>
      <c r="Q644" s="5" t="s">
        <v>26</v>
      </c>
      <c r="R644" s="5" t="s">
        <v>27</v>
      </c>
    </row>
    <row r="645" customFormat="false" ht="15" hidden="false" customHeight="true" outlineLevel="0" collapsed="false">
      <c r="A645" s="5" t="s">
        <v>669</v>
      </c>
      <c r="B645" s="6" t="n">
        <v>5037378690.97</v>
      </c>
      <c r="C645" s="6" t="n">
        <v>0</v>
      </c>
      <c r="D645" s="6" t="n">
        <v>5037378690.97</v>
      </c>
      <c r="E645" s="6" t="n">
        <v>1863830.12</v>
      </c>
      <c r="F645" s="6" t="n">
        <v>146.6</v>
      </c>
      <c r="G645" s="6" t="n">
        <f aca="false">E645+F645</f>
        <v>1863976.72</v>
      </c>
      <c r="H645" s="7" t="n">
        <f aca="false">IF(D645=0,0,C645/D645)</f>
        <v>0</v>
      </c>
      <c r="I645" s="7" t="n">
        <f aca="false">IF(D645=0,0,B645/D645)</f>
        <v>1</v>
      </c>
      <c r="J645" s="6" t="n">
        <f aca="false">E645*H645</f>
        <v>0</v>
      </c>
      <c r="K645" s="6" t="n">
        <f aca="false">E645*I645</f>
        <v>1863830.12</v>
      </c>
      <c r="L645" s="6" t="n">
        <v>0</v>
      </c>
      <c r="M645" s="6" t="n">
        <v>1863830.12</v>
      </c>
      <c r="N645" s="6" t="n">
        <v>1159166</v>
      </c>
      <c r="O645" s="6" t="n">
        <v>1230866</v>
      </c>
      <c r="P645" s="7" t="n">
        <f aca="false">IF(O645=0,"",(G645-O645)/O645)</f>
        <v>0.514362018286313</v>
      </c>
      <c r="Q645" s="5" t="s">
        <v>26</v>
      </c>
      <c r="R645" s="5" t="s">
        <v>27</v>
      </c>
    </row>
    <row r="646" customFormat="false" ht="15" hidden="false" customHeight="true" outlineLevel="0" collapsed="false">
      <c r="A646" s="5" t="s">
        <v>670</v>
      </c>
      <c r="B646" s="6" t="n">
        <v>10385529202.05</v>
      </c>
      <c r="C646" s="6" t="n">
        <v>0</v>
      </c>
      <c r="D646" s="6" t="n">
        <v>10385529202.05</v>
      </c>
      <c r="E646" s="6" t="n">
        <v>3842645.8</v>
      </c>
      <c r="F646" s="6" t="n">
        <v>535.34</v>
      </c>
      <c r="G646" s="6" t="n">
        <f aca="false">E646+F646</f>
        <v>3843181.14</v>
      </c>
      <c r="H646" s="7" t="n">
        <f aca="false">IF(D646=0,0,C646/D646)</f>
        <v>0</v>
      </c>
      <c r="I646" s="7" t="n">
        <f aca="false">IF(D646=0,0,B646/D646)</f>
        <v>1</v>
      </c>
      <c r="J646" s="6" t="n">
        <f aca="false">E646*H646</f>
        <v>0</v>
      </c>
      <c r="K646" s="6" t="n">
        <f aca="false">E646*I646</f>
        <v>3842645.8</v>
      </c>
      <c r="L646" s="6" t="n">
        <v>0</v>
      </c>
      <c r="M646" s="6" t="n">
        <v>3842645.8</v>
      </c>
      <c r="N646" s="6" t="n">
        <v>2316528</v>
      </c>
      <c r="O646" s="6" t="n">
        <v>2388173</v>
      </c>
      <c r="P646" s="7" t="n">
        <f aca="false">IF(O646=0,"",(G646-O646)/O646)</f>
        <v>0.609255753247357</v>
      </c>
      <c r="Q646" s="5" t="s">
        <v>26</v>
      </c>
      <c r="R646" s="5" t="s">
        <v>27</v>
      </c>
    </row>
    <row r="647" customFormat="false" ht="15" hidden="false" customHeight="true" outlineLevel="0" collapsed="false">
      <c r="A647" s="5" t="s">
        <v>671</v>
      </c>
      <c r="B647" s="6" t="n">
        <v>3022212830.22</v>
      </c>
      <c r="C647" s="6" t="n">
        <v>0</v>
      </c>
      <c r="D647" s="6" t="n">
        <v>3022212830.22</v>
      </c>
      <c r="E647" s="6" t="n">
        <v>1118218.75</v>
      </c>
      <c r="F647" s="6" t="n">
        <v>498.79</v>
      </c>
      <c r="G647" s="6" t="n">
        <f aca="false">E647+F647</f>
        <v>1118717.54</v>
      </c>
      <c r="H647" s="7" t="n">
        <f aca="false">IF(D647=0,0,C647/D647)</f>
        <v>0</v>
      </c>
      <c r="I647" s="7" t="n">
        <f aca="false">IF(D647=0,0,B647/D647)</f>
        <v>1</v>
      </c>
      <c r="J647" s="6" t="n">
        <f aca="false">E647*H647</f>
        <v>0</v>
      </c>
      <c r="K647" s="6" t="n">
        <f aca="false">E647*I647</f>
        <v>1118218.75</v>
      </c>
      <c r="L647" s="6" t="n">
        <v>0</v>
      </c>
      <c r="M647" s="6" t="n">
        <v>1118218.75</v>
      </c>
      <c r="N647" s="6" t="n">
        <v>871664</v>
      </c>
      <c r="O647" s="6" t="n">
        <v>898622</v>
      </c>
      <c r="P647" s="7" t="n">
        <f aca="false">IF(O647=0,"",(G647-O647)/O647)</f>
        <v>0.244925608320295</v>
      </c>
      <c r="Q647" s="5" t="s">
        <v>26</v>
      </c>
      <c r="R647" s="5" t="s">
        <v>27</v>
      </c>
    </row>
    <row r="648" customFormat="false" ht="15" hidden="false" customHeight="true" outlineLevel="0" collapsed="false">
      <c r="A648" s="5" t="s">
        <v>672</v>
      </c>
      <c r="B648" s="6" t="n">
        <v>3357930484.68</v>
      </c>
      <c r="C648" s="6" t="n">
        <v>0</v>
      </c>
      <c r="D648" s="6" t="n">
        <v>3357930484.68</v>
      </c>
      <c r="E648" s="6" t="n">
        <v>1242434.28</v>
      </c>
      <c r="F648" s="6" t="n">
        <v>368.22</v>
      </c>
      <c r="G648" s="6" t="n">
        <f aca="false">E648+F648</f>
        <v>1242802.5</v>
      </c>
      <c r="H648" s="7" t="n">
        <f aca="false">IF(D648=0,0,C648/D648)</f>
        <v>0</v>
      </c>
      <c r="I648" s="7" t="n">
        <f aca="false">IF(D648=0,0,B648/D648)</f>
        <v>1</v>
      </c>
      <c r="J648" s="6" t="n">
        <f aca="false">E648*H648</f>
        <v>0</v>
      </c>
      <c r="K648" s="6" t="n">
        <f aca="false">E648*I648</f>
        <v>1242434.28</v>
      </c>
      <c r="L648" s="6" t="n">
        <v>0</v>
      </c>
      <c r="M648" s="6" t="n">
        <v>1242434.28</v>
      </c>
      <c r="N648" s="6" t="n">
        <v>730962</v>
      </c>
      <c r="O648" s="6" t="n">
        <v>776175</v>
      </c>
      <c r="P648" s="7" t="n">
        <f aca="false">IF(O648=0,"",(G648-O648)/O648)</f>
        <v>0.601188520630013</v>
      </c>
      <c r="Q648" s="5" t="s">
        <v>26</v>
      </c>
      <c r="R648" s="5" t="s">
        <v>27</v>
      </c>
    </row>
    <row r="649" customFormat="false" ht="15" hidden="false" customHeight="true" outlineLevel="0" collapsed="false">
      <c r="A649" s="5" t="s">
        <v>673</v>
      </c>
      <c r="B649" s="6" t="n">
        <v>9442757917.15</v>
      </c>
      <c r="C649" s="6" t="n">
        <v>0</v>
      </c>
      <c r="D649" s="6" t="n">
        <v>9442757917.15</v>
      </c>
      <c r="E649" s="6" t="n">
        <v>3493820.43</v>
      </c>
      <c r="F649" s="6" t="n">
        <v>1123.22</v>
      </c>
      <c r="G649" s="6" t="n">
        <f aca="false">E649+F649</f>
        <v>3494943.65</v>
      </c>
      <c r="H649" s="7" t="n">
        <f aca="false">IF(D649=0,0,C649/D649)</f>
        <v>0</v>
      </c>
      <c r="I649" s="7" t="n">
        <f aca="false">IF(D649=0,0,B649/D649)</f>
        <v>1</v>
      </c>
      <c r="J649" s="6" t="n">
        <f aca="false">E649*H649</f>
        <v>0</v>
      </c>
      <c r="K649" s="6" t="n">
        <f aca="false">E649*I649</f>
        <v>3493820.43</v>
      </c>
      <c r="L649" s="6" t="n">
        <v>0</v>
      </c>
      <c r="M649" s="6" t="n">
        <v>3493820.43</v>
      </c>
      <c r="N649" s="6" t="n">
        <v>1485788</v>
      </c>
      <c r="O649" s="6" t="n">
        <v>1531740</v>
      </c>
      <c r="P649" s="7" t="n">
        <f aca="false">IF(O649=0,"",(G649-O649)/O649)</f>
        <v>1.28168204133861</v>
      </c>
      <c r="Q649" s="5" t="s">
        <v>26</v>
      </c>
      <c r="R649" s="5" t="s">
        <v>27</v>
      </c>
    </row>
    <row r="650" customFormat="false" ht="15" hidden="false" customHeight="true" outlineLevel="0" collapsed="false">
      <c r="A650" s="5" t="s">
        <v>674</v>
      </c>
      <c r="B650" s="6" t="n">
        <v>13212926718.16</v>
      </c>
      <c r="C650" s="6" t="n">
        <v>0</v>
      </c>
      <c r="D650" s="6" t="n">
        <v>13212926718.16</v>
      </c>
      <c r="E650" s="6" t="n">
        <v>4888782.89</v>
      </c>
      <c r="F650" s="6" t="n">
        <v>1046.98</v>
      </c>
      <c r="G650" s="6" t="n">
        <f aca="false">E650+F650</f>
        <v>4889829.87</v>
      </c>
      <c r="H650" s="7" t="n">
        <f aca="false">IF(D650=0,0,C650/D650)</f>
        <v>0</v>
      </c>
      <c r="I650" s="7" t="n">
        <f aca="false">IF(D650=0,0,B650/D650)</f>
        <v>1</v>
      </c>
      <c r="J650" s="6" t="n">
        <f aca="false">E650*H650</f>
        <v>0</v>
      </c>
      <c r="K650" s="6" t="n">
        <f aca="false">E650*I650</f>
        <v>4888782.89</v>
      </c>
      <c r="L650" s="6" t="n">
        <v>0</v>
      </c>
      <c r="M650" s="6" t="n">
        <v>4888782.89</v>
      </c>
      <c r="N650" s="6" t="n">
        <v>3739612</v>
      </c>
      <c r="O650" s="6" t="n">
        <v>3855271</v>
      </c>
      <c r="P650" s="7" t="n">
        <f aca="false">IF(O650=0,"",(G650-O650)/O650)</f>
        <v>0.268349195166825</v>
      </c>
      <c r="Q650" s="5" t="s">
        <v>26</v>
      </c>
      <c r="R650" s="5" t="s">
        <v>27</v>
      </c>
    </row>
    <row r="651" customFormat="false" ht="15" hidden="false" customHeight="true" outlineLevel="0" collapsed="false">
      <c r="A651" s="5" t="s">
        <v>675</v>
      </c>
      <c r="B651" s="6" t="n">
        <v>9361694443.81</v>
      </c>
      <c r="C651" s="6" t="n">
        <v>0</v>
      </c>
      <c r="D651" s="6" t="n">
        <v>9361694443.81</v>
      </c>
      <c r="E651" s="6" t="n">
        <v>3463826.94</v>
      </c>
      <c r="F651" s="6" t="n">
        <v>884.56</v>
      </c>
      <c r="G651" s="6" t="n">
        <f aca="false">E651+F651</f>
        <v>3464711.5</v>
      </c>
      <c r="H651" s="7" t="n">
        <f aca="false">IF(D651=0,0,C651/D651)</f>
        <v>0</v>
      </c>
      <c r="I651" s="7" t="n">
        <f aca="false">IF(D651=0,0,B651/D651)</f>
        <v>1</v>
      </c>
      <c r="J651" s="6" t="n">
        <f aca="false">E651*H651</f>
        <v>0</v>
      </c>
      <c r="K651" s="6" t="n">
        <f aca="false">E651*I651</f>
        <v>3463826.94</v>
      </c>
      <c r="L651" s="6" t="n">
        <v>0</v>
      </c>
      <c r="M651" s="6" t="n">
        <v>3463826.94</v>
      </c>
      <c r="N651" s="6" t="n">
        <v>2149527</v>
      </c>
      <c r="O651" s="6" t="n">
        <v>2282514</v>
      </c>
      <c r="P651" s="7" t="n">
        <f aca="false">IF(O651=0,"",(G651-O651)/O651)</f>
        <v>0.517936582207163</v>
      </c>
      <c r="Q651" s="5" t="s">
        <v>26</v>
      </c>
      <c r="R651" s="5" t="s">
        <v>27</v>
      </c>
    </row>
    <row r="652" customFormat="false" ht="15" hidden="false" customHeight="true" outlineLevel="0" collapsed="false">
      <c r="A652" s="5" t="s">
        <v>676</v>
      </c>
      <c r="B652" s="6" t="n">
        <v>6796939578.98</v>
      </c>
      <c r="C652" s="6" t="n">
        <v>0</v>
      </c>
      <c r="D652" s="6" t="n">
        <v>6796939578.98</v>
      </c>
      <c r="E652" s="6" t="n">
        <v>2514867.64</v>
      </c>
      <c r="F652" s="6" t="n">
        <v>111933.09</v>
      </c>
      <c r="G652" s="6" t="n">
        <f aca="false">E652+F652</f>
        <v>2626800.73</v>
      </c>
      <c r="H652" s="7" t="n">
        <f aca="false">IF(D652=0,0,C652/D652)</f>
        <v>0</v>
      </c>
      <c r="I652" s="7" t="n">
        <f aca="false">IF(D652=0,0,B652/D652)</f>
        <v>1</v>
      </c>
      <c r="J652" s="6" t="n">
        <f aca="false">E652*H652</f>
        <v>0</v>
      </c>
      <c r="K652" s="6" t="n">
        <f aca="false">E652*I652</f>
        <v>2514867.64</v>
      </c>
      <c r="L652" s="6" t="n">
        <v>0</v>
      </c>
      <c r="M652" s="6" t="n">
        <v>2514867.64</v>
      </c>
      <c r="N652" s="6" t="n">
        <v>1512278</v>
      </c>
      <c r="O652" s="6" t="n">
        <v>1605901</v>
      </c>
      <c r="P652" s="7" t="n">
        <f aca="false">IF(O652=0,"",(G652-O652)/O652)</f>
        <v>0.635717724816162</v>
      </c>
      <c r="Q652" s="5" t="s">
        <v>26</v>
      </c>
      <c r="R652" s="5" t="s">
        <v>27</v>
      </c>
    </row>
    <row r="653" customFormat="false" ht="15" hidden="false" customHeight="true" outlineLevel="0" collapsed="false">
      <c r="A653" s="5" t="s">
        <v>677</v>
      </c>
      <c r="B653" s="6" t="n">
        <v>11157922813.23</v>
      </c>
      <c r="C653" s="6" t="n">
        <v>0</v>
      </c>
      <c r="D653" s="6" t="n">
        <v>11157922813.23</v>
      </c>
      <c r="E653" s="6" t="n">
        <v>4128431.44</v>
      </c>
      <c r="F653" s="6" t="n">
        <v>1387.74</v>
      </c>
      <c r="G653" s="6" t="n">
        <f aca="false">E653+F653</f>
        <v>4129819.18</v>
      </c>
      <c r="H653" s="7" t="n">
        <f aca="false">IF(D653=0,0,C653/D653)</f>
        <v>0</v>
      </c>
      <c r="I653" s="7" t="n">
        <f aca="false">IF(D653=0,0,B653/D653)</f>
        <v>1</v>
      </c>
      <c r="J653" s="6" t="n">
        <f aca="false">E653*H653</f>
        <v>0</v>
      </c>
      <c r="K653" s="6" t="n">
        <f aca="false">E653*I653</f>
        <v>4128431.44</v>
      </c>
      <c r="L653" s="6" t="n">
        <v>0</v>
      </c>
      <c r="M653" s="6" t="n">
        <v>4128431.44</v>
      </c>
      <c r="N653" s="6" t="n">
        <v>2432393</v>
      </c>
      <c r="O653" s="6" t="n">
        <v>2582572</v>
      </c>
      <c r="P653" s="7" t="n">
        <f aca="false">IF(O653=0,"",(G653-O653)/O653)</f>
        <v>0.599110956054662</v>
      </c>
      <c r="Q653" s="5" t="s">
        <v>26</v>
      </c>
      <c r="R653" s="5" t="s">
        <v>27</v>
      </c>
    </row>
    <row r="654" customFormat="false" ht="15" hidden="false" customHeight="true" outlineLevel="0" collapsed="false">
      <c r="A654" s="5" t="s">
        <v>678</v>
      </c>
      <c r="B654" s="6" t="n">
        <v>4300489522.68</v>
      </c>
      <c r="C654" s="6" t="n">
        <v>0</v>
      </c>
      <c r="D654" s="6" t="n">
        <v>4300489522.68</v>
      </c>
      <c r="E654" s="6" t="n">
        <v>1591181.12</v>
      </c>
      <c r="F654" s="6" t="n">
        <v>756.16</v>
      </c>
      <c r="G654" s="6" t="n">
        <f aca="false">E654+F654</f>
        <v>1591937.28</v>
      </c>
      <c r="H654" s="7" t="n">
        <f aca="false">IF(D654=0,0,C654/D654)</f>
        <v>0</v>
      </c>
      <c r="I654" s="7" t="n">
        <f aca="false">IF(D654=0,0,B654/D654)</f>
        <v>1</v>
      </c>
      <c r="J654" s="6" t="n">
        <f aca="false">E654*H654</f>
        <v>0</v>
      </c>
      <c r="K654" s="6" t="n">
        <f aca="false">E654*I654</f>
        <v>1591181.12</v>
      </c>
      <c r="L654" s="6" t="n">
        <v>0</v>
      </c>
      <c r="M654" s="6" t="n">
        <v>1591181.12</v>
      </c>
      <c r="N654" s="6" t="n">
        <v>986055</v>
      </c>
      <c r="O654" s="6" t="n">
        <v>1047258</v>
      </c>
      <c r="P654" s="7" t="n">
        <f aca="false">IF(O654=0,"",(G654-O654)/O654)</f>
        <v>0.520100376411543</v>
      </c>
      <c r="Q654" s="5" t="s">
        <v>26</v>
      </c>
      <c r="R654" s="5" t="s">
        <v>27</v>
      </c>
    </row>
    <row r="655" customFormat="false" ht="15" hidden="false" customHeight="true" outlineLevel="0" collapsed="false">
      <c r="A655" s="5" t="s">
        <v>679</v>
      </c>
      <c r="B655" s="6" t="n">
        <v>11125716133.36</v>
      </c>
      <c r="C655" s="6" t="n">
        <v>0</v>
      </c>
      <c r="D655" s="6" t="n">
        <v>11125716133.36</v>
      </c>
      <c r="E655" s="6" t="n">
        <v>4116514.97</v>
      </c>
      <c r="F655" s="6" t="n">
        <v>819.5</v>
      </c>
      <c r="G655" s="6" t="n">
        <f aca="false">E655+F655</f>
        <v>4117334.47</v>
      </c>
      <c r="H655" s="7" t="n">
        <f aca="false">IF(D655=0,0,C655/D655)</f>
        <v>0</v>
      </c>
      <c r="I655" s="7" t="n">
        <f aca="false">IF(D655=0,0,B655/D655)</f>
        <v>1</v>
      </c>
      <c r="J655" s="6" t="n">
        <f aca="false">E655*H655</f>
        <v>0</v>
      </c>
      <c r="K655" s="6" t="n">
        <f aca="false">E655*I655</f>
        <v>4116514.97</v>
      </c>
      <c r="L655" s="6" t="n">
        <v>0</v>
      </c>
      <c r="M655" s="6" t="n">
        <v>4116514.97</v>
      </c>
      <c r="N655" s="6" t="n">
        <v>2543535</v>
      </c>
      <c r="O655" s="6" t="n">
        <v>2700636</v>
      </c>
      <c r="P655" s="7" t="n">
        <f aca="false">IF(O655=0,"",(G655-O655)/O655)</f>
        <v>0.524579569405133</v>
      </c>
      <c r="Q655" s="5" t="s">
        <v>26</v>
      </c>
      <c r="R655" s="5" t="s">
        <v>27</v>
      </c>
    </row>
    <row r="656" customFormat="false" ht="15" hidden="false" customHeight="true" outlineLevel="0" collapsed="false">
      <c r="A656" s="5" t="s">
        <v>680</v>
      </c>
      <c r="B656" s="6" t="n">
        <v>11687296548.94</v>
      </c>
      <c r="C656" s="6" t="n">
        <v>0</v>
      </c>
      <c r="D656" s="6" t="n">
        <v>11687296548.94</v>
      </c>
      <c r="E656" s="6" t="n">
        <v>4324299.72</v>
      </c>
      <c r="F656" s="6" t="n">
        <v>711.18</v>
      </c>
      <c r="G656" s="6" t="n">
        <f aca="false">E656+F656</f>
        <v>4325010.9</v>
      </c>
      <c r="H656" s="7" t="n">
        <f aca="false">IF(D656=0,0,C656/D656)</f>
        <v>0</v>
      </c>
      <c r="I656" s="7" t="n">
        <f aca="false">IF(D656=0,0,B656/D656)</f>
        <v>1</v>
      </c>
      <c r="J656" s="6" t="n">
        <f aca="false">E656*H656</f>
        <v>0</v>
      </c>
      <c r="K656" s="6" t="n">
        <f aca="false">E656*I656</f>
        <v>4324299.72</v>
      </c>
      <c r="L656" s="6" t="n">
        <v>0</v>
      </c>
      <c r="M656" s="6" t="n">
        <v>4324299.72</v>
      </c>
      <c r="N656" s="6" t="n">
        <v>2309308</v>
      </c>
      <c r="O656" s="6" t="n">
        <v>2380730</v>
      </c>
      <c r="P656" s="7" t="n">
        <f aca="false">IF(O656=0,"",(G656-O656)/O656)</f>
        <v>0.816674255375452</v>
      </c>
      <c r="Q656" s="5" t="s">
        <v>26</v>
      </c>
      <c r="R656" s="5" t="s">
        <v>27</v>
      </c>
    </row>
    <row r="657" customFormat="false" ht="15" hidden="false" customHeight="true" outlineLevel="0" collapsed="false">
      <c r="A657" s="5" t="s">
        <v>681</v>
      </c>
      <c r="B657" s="6" t="n">
        <v>10923024321.66</v>
      </c>
      <c r="C657" s="6" t="n">
        <v>0</v>
      </c>
      <c r="D657" s="6" t="n">
        <v>10923024321.66</v>
      </c>
      <c r="E657" s="6" t="n">
        <v>4041519</v>
      </c>
      <c r="F657" s="6" t="n">
        <v>11810.36</v>
      </c>
      <c r="G657" s="6" t="n">
        <f aca="false">E657+F657</f>
        <v>4053329.36</v>
      </c>
      <c r="H657" s="7" t="n">
        <f aca="false">IF(D657=0,0,C657/D657)</f>
        <v>0</v>
      </c>
      <c r="I657" s="7" t="n">
        <f aca="false">IF(D657=0,0,B657/D657)</f>
        <v>1</v>
      </c>
      <c r="J657" s="6" t="n">
        <f aca="false">E657*H657</f>
        <v>0</v>
      </c>
      <c r="K657" s="6" t="n">
        <f aca="false">E657*I657</f>
        <v>4041519</v>
      </c>
      <c r="L657" s="6" t="n">
        <v>0</v>
      </c>
      <c r="M657" s="6" t="n">
        <v>4041519</v>
      </c>
      <c r="N657" s="6" t="n">
        <v>2752695</v>
      </c>
      <c r="O657" s="6" t="n">
        <v>2837829</v>
      </c>
      <c r="P657" s="7" t="n">
        <f aca="false">IF(O657=0,"",(G657-O657)/O657)</f>
        <v>0.428320508388631</v>
      </c>
      <c r="Q657" s="5" t="s">
        <v>26</v>
      </c>
      <c r="R657" s="5" t="s">
        <v>27</v>
      </c>
    </row>
    <row r="658" customFormat="false" ht="15" hidden="false" customHeight="true" outlineLevel="0" collapsed="false">
      <c r="A658" s="5" t="s">
        <v>682</v>
      </c>
      <c r="B658" s="6" t="n">
        <v>6393102152.21</v>
      </c>
      <c r="C658" s="6" t="n">
        <v>0</v>
      </c>
      <c r="D658" s="6" t="n">
        <v>6393102152.21</v>
      </c>
      <c r="E658" s="6" t="n">
        <v>2365447.8</v>
      </c>
      <c r="F658" s="6" t="n">
        <v>12066.61</v>
      </c>
      <c r="G658" s="6" t="n">
        <f aca="false">E658+F658</f>
        <v>2377514.41</v>
      </c>
      <c r="H658" s="7" t="n">
        <f aca="false">IF(D658=0,0,C658/D658)</f>
        <v>0</v>
      </c>
      <c r="I658" s="7" t="n">
        <f aca="false">IF(D658=0,0,B658/D658)</f>
        <v>1</v>
      </c>
      <c r="J658" s="6" t="n">
        <f aca="false">E658*H658</f>
        <v>0</v>
      </c>
      <c r="K658" s="6" t="n">
        <f aca="false">E658*I658</f>
        <v>2365447.8</v>
      </c>
      <c r="L658" s="6" t="n">
        <v>0</v>
      </c>
      <c r="M658" s="6" t="n">
        <v>2365447.8</v>
      </c>
      <c r="N658" s="6" t="n">
        <v>1426600</v>
      </c>
      <c r="O658" s="6" t="n">
        <v>1514843</v>
      </c>
      <c r="P658" s="7" t="n">
        <f aca="false">IF(O658=0,"",(G658-O658)/O658)</f>
        <v>0.569479087931885</v>
      </c>
      <c r="Q658" s="5" t="s">
        <v>26</v>
      </c>
      <c r="R658" s="5" t="s">
        <v>27</v>
      </c>
    </row>
    <row r="659" customFormat="false" ht="15" hidden="false" customHeight="true" outlineLevel="0" collapsed="false">
      <c r="A659" s="5" t="s">
        <v>683</v>
      </c>
      <c r="B659" s="6" t="n">
        <v>6898925843.82</v>
      </c>
      <c r="C659" s="6" t="n">
        <v>0</v>
      </c>
      <c r="D659" s="6" t="n">
        <v>6898925843.82</v>
      </c>
      <c r="E659" s="6" t="n">
        <v>2552602.56</v>
      </c>
      <c r="F659" s="6" t="n">
        <v>358.56</v>
      </c>
      <c r="G659" s="6" t="n">
        <f aca="false">E659+F659</f>
        <v>2552961.12</v>
      </c>
      <c r="H659" s="7" t="n">
        <f aca="false">IF(D659=0,0,C659/D659)</f>
        <v>0</v>
      </c>
      <c r="I659" s="7" t="n">
        <f aca="false">IF(D659=0,0,B659/D659)</f>
        <v>1</v>
      </c>
      <c r="J659" s="6" t="n">
        <f aca="false">E659*H659</f>
        <v>0</v>
      </c>
      <c r="K659" s="6" t="n">
        <f aca="false">E659*I659</f>
        <v>2552602.56</v>
      </c>
      <c r="L659" s="6" t="n">
        <v>0</v>
      </c>
      <c r="M659" s="6" t="n">
        <v>2552602.56</v>
      </c>
      <c r="N659" s="6" t="n">
        <v>1542778</v>
      </c>
      <c r="O659" s="6" t="n">
        <v>1638208</v>
      </c>
      <c r="P659" s="7" t="n">
        <f aca="false">IF(O659=0,"",(G659-O659)/O659)</f>
        <v>0.558386432003751</v>
      </c>
      <c r="Q659" s="5" t="s">
        <v>26</v>
      </c>
      <c r="R659" s="5" t="s">
        <v>27</v>
      </c>
    </row>
    <row r="660" customFormat="false" ht="15" hidden="false" customHeight="true" outlineLevel="0" collapsed="false">
      <c r="A660" s="5" t="s">
        <v>684</v>
      </c>
      <c r="B660" s="6" t="n">
        <v>10328312158.95</v>
      </c>
      <c r="C660" s="6" t="n">
        <v>0</v>
      </c>
      <c r="D660" s="6" t="n">
        <v>10328312158.95</v>
      </c>
      <c r="E660" s="6" t="n">
        <v>3821475.5</v>
      </c>
      <c r="F660" s="6" t="n">
        <v>304.26</v>
      </c>
      <c r="G660" s="6" t="n">
        <f aca="false">E660+F660</f>
        <v>3821779.76</v>
      </c>
      <c r="H660" s="7" t="n">
        <f aca="false">IF(D660=0,0,C660/D660)</f>
        <v>0</v>
      </c>
      <c r="I660" s="7" t="n">
        <f aca="false">IF(D660=0,0,B660/D660)</f>
        <v>1</v>
      </c>
      <c r="J660" s="6" t="n">
        <f aca="false">E660*H660</f>
        <v>0</v>
      </c>
      <c r="K660" s="6" t="n">
        <f aca="false">E660*I660</f>
        <v>3821475.5</v>
      </c>
      <c r="L660" s="6" t="n">
        <v>0</v>
      </c>
      <c r="M660" s="6" t="n">
        <v>3821475.5</v>
      </c>
      <c r="N660" s="6" t="n">
        <v>2285221</v>
      </c>
      <c r="O660" s="6" t="n">
        <v>2426575</v>
      </c>
      <c r="P660" s="7" t="n">
        <f aca="false">IF(O660=0,"",(G660-O660)/O660)</f>
        <v>0.574968735769552</v>
      </c>
      <c r="Q660" s="5" t="s">
        <v>26</v>
      </c>
      <c r="R660" s="5" t="s">
        <v>27</v>
      </c>
    </row>
    <row r="661" customFormat="false" ht="15" hidden="false" customHeight="true" outlineLevel="0" collapsed="false">
      <c r="A661" s="5" t="s">
        <v>685</v>
      </c>
      <c r="B661" s="6" t="n">
        <v>2704382867.57</v>
      </c>
      <c r="C661" s="6" t="n">
        <v>0</v>
      </c>
      <c r="D661" s="6" t="n">
        <v>2704382867.57</v>
      </c>
      <c r="E661" s="6" t="n">
        <v>1000621.66</v>
      </c>
      <c r="F661" s="6" t="n">
        <v>666</v>
      </c>
      <c r="G661" s="6" t="n">
        <f aca="false">E661+F661</f>
        <v>1001287.66</v>
      </c>
      <c r="H661" s="7" t="n">
        <f aca="false">IF(D661=0,0,C661/D661)</f>
        <v>0</v>
      </c>
      <c r="I661" s="7" t="n">
        <f aca="false">IF(D661=0,0,B661/D661)</f>
        <v>1</v>
      </c>
      <c r="J661" s="6" t="n">
        <f aca="false">E661*H661</f>
        <v>0</v>
      </c>
      <c r="K661" s="6" t="n">
        <f aca="false">E661*I661</f>
        <v>1000621.66</v>
      </c>
      <c r="L661" s="6" t="n">
        <v>0</v>
      </c>
      <c r="M661" s="6" t="n">
        <v>1000621.66</v>
      </c>
      <c r="N661" s="6" t="n">
        <v>625934</v>
      </c>
      <c r="O661" s="6" t="n">
        <v>663326</v>
      </c>
      <c r="P661" s="7" t="n">
        <f aca="false">IF(O661=0,"",(G661-O661)/O661)</f>
        <v>0.50949557231286</v>
      </c>
      <c r="Q661" s="5" t="s">
        <v>26</v>
      </c>
      <c r="R661" s="5" t="s">
        <v>27</v>
      </c>
    </row>
    <row r="662" customFormat="false" ht="15" hidden="false" customHeight="true" outlineLevel="0" collapsed="false">
      <c r="A662" s="5" t="s">
        <v>686</v>
      </c>
      <c r="B662" s="6" t="n">
        <v>5412422029.1</v>
      </c>
      <c r="C662" s="6" t="n">
        <v>0</v>
      </c>
      <c r="D662" s="6" t="n">
        <v>5412422029.1</v>
      </c>
      <c r="E662" s="6" t="n">
        <v>2002596.15</v>
      </c>
      <c r="F662" s="6" t="n">
        <v>244.7</v>
      </c>
      <c r="G662" s="6" t="n">
        <f aca="false">E662+F662</f>
        <v>2002840.85</v>
      </c>
      <c r="H662" s="7" t="n">
        <f aca="false">IF(D662=0,0,C662/D662)</f>
        <v>0</v>
      </c>
      <c r="I662" s="7" t="n">
        <f aca="false">IF(D662=0,0,B662/D662)</f>
        <v>1</v>
      </c>
      <c r="J662" s="6" t="n">
        <f aca="false">E662*H662</f>
        <v>0</v>
      </c>
      <c r="K662" s="6" t="n">
        <f aca="false">E662*I662</f>
        <v>2002596.15</v>
      </c>
      <c r="L662" s="6" t="n">
        <v>0</v>
      </c>
      <c r="M662" s="6" t="n">
        <v>2002596.15</v>
      </c>
      <c r="N662" s="6" t="n">
        <v>1192088</v>
      </c>
      <c r="O662" s="6" t="n">
        <v>1266817</v>
      </c>
      <c r="P662" s="7" t="n">
        <f aca="false">IF(O662=0,"",(G662-O662)/O662)</f>
        <v>0.581002504702731</v>
      </c>
      <c r="Q662" s="5" t="s">
        <v>26</v>
      </c>
      <c r="R662" s="5" t="s">
        <v>27</v>
      </c>
    </row>
    <row r="663" customFormat="false" ht="15" hidden="false" customHeight="true" outlineLevel="0" collapsed="false">
      <c r="A663" s="5" t="s">
        <v>687</v>
      </c>
      <c r="B663" s="6" t="n">
        <v>9662861733.83</v>
      </c>
      <c r="C663" s="6" t="n">
        <v>0</v>
      </c>
      <c r="D663" s="6" t="n">
        <v>9662861733.83</v>
      </c>
      <c r="E663" s="6" t="n">
        <v>3575258.84</v>
      </c>
      <c r="F663" s="6" t="n">
        <v>231.48</v>
      </c>
      <c r="G663" s="6" t="n">
        <f aca="false">E663+F663</f>
        <v>3575490.32</v>
      </c>
      <c r="H663" s="7" t="n">
        <f aca="false">IF(D663=0,0,C663/D663)</f>
        <v>0</v>
      </c>
      <c r="I663" s="7" t="n">
        <f aca="false">IF(D663=0,0,B663/D663)</f>
        <v>1</v>
      </c>
      <c r="J663" s="6" t="n">
        <f aca="false">E663*H663</f>
        <v>0</v>
      </c>
      <c r="K663" s="6" t="n">
        <f aca="false">E663*I663</f>
        <v>3575258.84</v>
      </c>
      <c r="L663" s="6" t="n">
        <v>0</v>
      </c>
      <c r="M663" s="6" t="n">
        <v>3575258.84</v>
      </c>
      <c r="N663" s="6" t="n">
        <v>2131600</v>
      </c>
      <c r="O663" s="6" t="n">
        <v>2263031</v>
      </c>
      <c r="P663" s="7" t="n">
        <f aca="false">IF(O663=0,"",(G663-O663)/O663)</f>
        <v>0.579956403602072</v>
      </c>
      <c r="Q663" s="5" t="s">
        <v>26</v>
      </c>
      <c r="R663" s="5" t="s">
        <v>27</v>
      </c>
    </row>
    <row r="664" customFormat="false" ht="15" hidden="false" customHeight="true" outlineLevel="0" collapsed="false">
      <c r="A664" s="5" t="s">
        <v>688</v>
      </c>
      <c r="B664" s="6" t="n">
        <v>8230997836.54</v>
      </c>
      <c r="C664" s="6" t="n">
        <v>0</v>
      </c>
      <c r="D664" s="6" t="n">
        <v>8230997836.54</v>
      </c>
      <c r="E664" s="6" t="n">
        <v>3045469.2</v>
      </c>
      <c r="F664" s="6" t="n">
        <v>595.31</v>
      </c>
      <c r="G664" s="6" t="n">
        <f aca="false">E664+F664</f>
        <v>3046064.51</v>
      </c>
      <c r="H664" s="7" t="n">
        <f aca="false">IF(D664=0,0,C664/D664)</f>
        <v>0</v>
      </c>
      <c r="I664" s="7" t="n">
        <f aca="false">IF(D664=0,0,B664/D664)</f>
        <v>1</v>
      </c>
      <c r="J664" s="6" t="n">
        <f aca="false">E664*H664</f>
        <v>0</v>
      </c>
      <c r="K664" s="6" t="n">
        <f aca="false">E664*I664</f>
        <v>3045469.2</v>
      </c>
      <c r="L664" s="6" t="n">
        <v>0</v>
      </c>
      <c r="M664" s="6" t="n">
        <v>3045469.2</v>
      </c>
      <c r="N664" s="6" t="n">
        <v>1830963</v>
      </c>
      <c r="O664" s="6" t="n">
        <v>1944764</v>
      </c>
      <c r="P664" s="7" t="n">
        <f aca="false">IF(O664=0,"",(G664-O664)/O664)</f>
        <v>0.566290053703174</v>
      </c>
      <c r="Q664" s="5" t="s">
        <v>26</v>
      </c>
      <c r="R664" s="5" t="s">
        <v>27</v>
      </c>
    </row>
    <row r="665" customFormat="false" ht="15" hidden="false" customHeight="true" outlineLevel="0" collapsed="false">
      <c r="A665" s="5" t="s">
        <v>689</v>
      </c>
      <c r="B665" s="6" t="n">
        <v>7385946216.24</v>
      </c>
      <c r="C665" s="6" t="n">
        <v>0</v>
      </c>
      <c r="D665" s="6" t="n">
        <v>7385946216.24</v>
      </c>
      <c r="E665" s="6" t="n">
        <v>2732800.1</v>
      </c>
      <c r="F665" s="6" t="n">
        <v>296.97</v>
      </c>
      <c r="G665" s="6" t="n">
        <f aca="false">E665+F665</f>
        <v>2733097.07</v>
      </c>
      <c r="H665" s="7" t="n">
        <f aca="false">IF(D665=0,0,C665/D665)</f>
        <v>0</v>
      </c>
      <c r="I665" s="7" t="n">
        <f aca="false">IF(D665=0,0,B665/D665)</f>
        <v>1</v>
      </c>
      <c r="J665" s="6" t="n">
        <f aca="false">E665*H665</f>
        <v>0</v>
      </c>
      <c r="K665" s="6" t="n">
        <f aca="false">E665*I665</f>
        <v>2732800.1</v>
      </c>
      <c r="L665" s="6" t="n">
        <v>0</v>
      </c>
      <c r="M665" s="6" t="n">
        <v>2732800.1</v>
      </c>
      <c r="N665" s="6" t="n">
        <v>1519532</v>
      </c>
      <c r="O665" s="6" t="n">
        <v>1613525</v>
      </c>
      <c r="P665" s="7" t="n">
        <f aca="false">IF(O665=0,"",(G665-O665)/O665)</f>
        <v>0.693867197595327</v>
      </c>
      <c r="Q665" s="5" t="s">
        <v>26</v>
      </c>
      <c r="R665" s="5" t="s">
        <v>27</v>
      </c>
    </row>
    <row r="666" customFormat="false" ht="15" hidden="false" customHeight="true" outlineLevel="0" collapsed="false">
      <c r="A666" s="5" t="s">
        <v>690</v>
      </c>
      <c r="B666" s="6" t="n">
        <v>4794383453.13</v>
      </c>
      <c r="C666" s="6" t="n">
        <v>0</v>
      </c>
      <c r="D666" s="6" t="n">
        <v>4794383453.13</v>
      </c>
      <c r="E666" s="6" t="n">
        <v>1773921.88</v>
      </c>
      <c r="F666" s="6" t="n">
        <v>82.59</v>
      </c>
      <c r="G666" s="6" t="n">
        <f aca="false">E666+F666</f>
        <v>1774004.47</v>
      </c>
      <c r="H666" s="7" t="n">
        <f aca="false">IF(D666=0,0,C666/D666)</f>
        <v>0</v>
      </c>
      <c r="I666" s="7" t="n">
        <f aca="false">IF(D666=0,0,B666/D666)</f>
        <v>1</v>
      </c>
      <c r="J666" s="6" t="n">
        <f aca="false">E666*H666</f>
        <v>0</v>
      </c>
      <c r="K666" s="6" t="n">
        <f aca="false">E666*I666</f>
        <v>1773921.88</v>
      </c>
      <c r="L666" s="6" t="n">
        <v>0</v>
      </c>
      <c r="M666" s="6" t="n">
        <v>1773921.88</v>
      </c>
      <c r="N666" s="6" t="n">
        <v>1101752</v>
      </c>
      <c r="O666" s="6" t="n">
        <v>1169693</v>
      </c>
      <c r="P666" s="7" t="n">
        <f aca="false">IF(O666=0,"",(G666-O666)/O666)</f>
        <v>0.516641093004746</v>
      </c>
      <c r="Q666" s="5" t="s">
        <v>26</v>
      </c>
      <c r="R666" s="5" t="s">
        <v>27</v>
      </c>
    </row>
    <row r="667" customFormat="false" ht="15" hidden="false" customHeight="true" outlineLevel="0" collapsed="false">
      <c r="A667" s="5" t="s">
        <v>691</v>
      </c>
      <c r="B667" s="6" t="n">
        <v>4206697098.39</v>
      </c>
      <c r="C667" s="6" t="n">
        <v>0</v>
      </c>
      <c r="D667" s="6" t="n">
        <v>4206697098.39</v>
      </c>
      <c r="E667" s="6" t="n">
        <v>1556477.93</v>
      </c>
      <c r="F667" s="6" t="n">
        <v>233.92</v>
      </c>
      <c r="G667" s="6" t="n">
        <f aca="false">E667+F667</f>
        <v>1556711.85</v>
      </c>
      <c r="H667" s="7" t="n">
        <f aca="false">IF(D667=0,0,C667/D667)</f>
        <v>0</v>
      </c>
      <c r="I667" s="7" t="n">
        <f aca="false">IF(D667=0,0,B667/D667)</f>
        <v>1</v>
      </c>
      <c r="J667" s="6" t="n">
        <f aca="false">E667*H667</f>
        <v>0</v>
      </c>
      <c r="K667" s="6" t="n">
        <f aca="false">E667*I667</f>
        <v>1556477.93</v>
      </c>
      <c r="L667" s="6" t="n">
        <v>0</v>
      </c>
      <c r="M667" s="6" t="n">
        <v>1556477.93</v>
      </c>
      <c r="N667" s="6" t="n">
        <v>932668</v>
      </c>
      <c r="O667" s="6" t="n">
        <v>990423</v>
      </c>
      <c r="P667" s="7" t="n">
        <f aca="false">IF(O667=0,"",(G667-O667)/O667)</f>
        <v>0.571764639956867</v>
      </c>
      <c r="Q667" s="5" t="s">
        <v>26</v>
      </c>
      <c r="R667" s="5" t="s">
        <v>27</v>
      </c>
    </row>
    <row r="668" customFormat="false" ht="15" hidden="false" customHeight="true" outlineLevel="0" collapsed="false">
      <c r="A668" s="5" t="s">
        <v>692</v>
      </c>
      <c r="B668" s="6" t="n">
        <v>2136911541.36</v>
      </c>
      <c r="C668" s="6" t="n">
        <v>0</v>
      </c>
      <c r="D668" s="6" t="n">
        <v>2136911541.36</v>
      </c>
      <c r="E668" s="6" t="n">
        <v>790657.27</v>
      </c>
      <c r="F668" s="6" t="n">
        <v>106.53</v>
      </c>
      <c r="G668" s="6" t="n">
        <f aca="false">E668+F668</f>
        <v>790763.8</v>
      </c>
      <c r="H668" s="7" t="n">
        <f aca="false">IF(D668=0,0,C668/D668)</f>
        <v>0</v>
      </c>
      <c r="I668" s="7" t="n">
        <f aca="false">IF(D668=0,0,B668/D668)</f>
        <v>1</v>
      </c>
      <c r="J668" s="6" t="n">
        <f aca="false">E668*H668</f>
        <v>0</v>
      </c>
      <c r="K668" s="6" t="n">
        <f aca="false">E668*I668</f>
        <v>790657.27</v>
      </c>
      <c r="L668" s="6" t="n">
        <v>0</v>
      </c>
      <c r="M668" s="6" t="n">
        <v>790657.27</v>
      </c>
      <c r="N668" s="6" t="n">
        <v>603903</v>
      </c>
      <c r="O668" s="6" t="n">
        <v>641356</v>
      </c>
      <c r="P668" s="7" t="n">
        <f aca="false">IF(O668=0,"",(G668-O668)/O668)</f>
        <v>0.232956111738255</v>
      </c>
      <c r="Q668" s="5" t="s">
        <v>26</v>
      </c>
      <c r="R668" s="5" t="s">
        <v>27</v>
      </c>
    </row>
    <row r="669" customFormat="false" ht="15" hidden="false" customHeight="true" outlineLevel="0" collapsed="false">
      <c r="A669" s="5" t="s">
        <v>693</v>
      </c>
      <c r="B669" s="6" t="n">
        <v>3662298195.66</v>
      </c>
      <c r="C669" s="6" t="n">
        <v>0</v>
      </c>
      <c r="D669" s="6" t="n">
        <v>3662298195.66</v>
      </c>
      <c r="E669" s="6" t="n">
        <v>1355050.33</v>
      </c>
      <c r="F669" s="6" t="n">
        <v>81.37</v>
      </c>
      <c r="G669" s="6" t="n">
        <f aca="false">E669+F669</f>
        <v>1355131.7</v>
      </c>
      <c r="H669" s="7" t="n">
        <f aca="false">IF(D669=0,0,C669/D669)</f>
        <v>0</v>
      </c>
      <c r="I669" s="7" t="n">
        <f aca="false">IF(D669=0,0,B669/D669)</f>
        <v>1</v>
      </c>
      <c r="J669" s="6" t="n">
        <f aca="false">E669*H669</f>
        <v>0</v>
      </c>
      <c r="K669" s="6" t="n">
        <f aca="false">E669*I669</f>
        <v>1355050.33</v>
      </c>
      <c r="L669" s="6" t="n">
        <v>0</v>
      </c>
      <c r="M669" s="6" t="n">
        <v>1355050.33</v>
      </c>
      <c r="N669" s="6" t="n">
        <v>818086</v>
      </c>
      <c r="O669" s="6" t="n">
        <v>868690</v>
      </c>
      <c r="P669" s="7" t="n">
        <f aca="false">IF(O669=0,"",(G669-O669)/O669)</f>
        <v>0.559971566381563</v>
      </c>
      <c r="Q669" s="5" t="s">
        <v>26</v>
      </c>
      <c r="R669" s="5" t="s">
        <v>27</v>
      </c>
    </row>
    <row r="670" customFormat="false" ht="15" hidden="false" customHeight="true" outlineLevel="0" collapsed="false">
      <c r="A670" s="5" t="s">
        <v>694</v>
      </c>
      <c r="B670" s="6" t="n">
        <v>3724551748.31</v>
      </c>
      <c r="C670" s="6" t="n">
        <v>0</v>
      </c>
      <c r="D670" s="6" t="n">
        <v>3724551748.31</v>
      </c>
      <c r="E670" s="6" t="n">
        <v>1378084.15</v>
      </c>
      <c r="F670" s="6" t="n">
        <v>5263</v>
      </c>
      <c r="G670" s="6" t="n">
        <f aca="false">E670+F670</f>
        <v>1383347.15</v>
      </c>
      <c r="H670" s="7" t="n">
        <f aca="false">IF(D670=0,0,C670/D670)</f>
        <v>0</v>
      </c>
      <c r="I670" s="7" t="n">
        <f aca="false">IF(D670=0,0,B670/D670)</f>
        <v>1</v>
      </c>
      <c r="J670" s="6" t="n">
        <f aca="false">E670*H670</f>
        <v>0</v>
      </c>
      <c r="K670" s="6" t="n">
        <f aca="false">E670*I670</f>
        <v>1378084.15</v>
      </c>
      <c r="L670" s="6" t="n">
        <v>0</v>
      </c>
      <c r="M670" s="6" t="n">
        <v>1378084.15</v>
      </c>
      <c r="N670" s="6" t="n">
        <v>785447</v>
      </c>
      <c r="O670" s="6" t="n">
        <v>834032</v>
      </c>
      <c r="P670" s="7" t="n">
        <f aca="false">IF(O670=0,"",(G670-O670)/O670)</f>
        <v>0.658625987971685</v>
      </c>
      <c r="Q670" s="5" t="s">
        <v>26</v>
      </c>
      <c r="R670" s="5" t="s">
        <v>27</v>
      </c>
    </row>
    <row r="671" customFormat="false" ht="15" hidden="false" customHeight="true" outlineLevel="0" collapsed="false">
      <c r="A671" s="5" t="s">
        <v>695</v>
      </c>
      <c r="B671" s="6" t="n">
        <v>4923537604.5</v>
      </c>
      <c r="C671" s="6" t="n">
        <v>0</v>
      </c>
      <c r="D671" s="6" t="n">
        <v>4923537604.5</v>
      </c>
      <c r="E671" s="6" t="n">
        <v>1821708.91</v>
      </c>
      <c r="F671" s="6" t="n">
        <v>277.12</v>
      </c>
      <c r="G671" s="6" t="n">
        <f aca="false">E671+F671</f>
        <v>1821986.03</v>
      </c>
      <c r="H671" s="7" t="n">
        <f aca="false">IF(D671=0,0,C671/D671)</f>
        <v>0</v>
      </c>
      <c r="I671" s="7" t="n">
        <f aca="false">IF(D671=0,0,B671/D671)</f>
        <v>1</v>
      </c>
      <c r="J671" s="6" t="n">
        <f aca="false">E671*H671</f>
        <v>0</v>
      </c>
      <c r="K671" s="6" t="n">
        <f aca="false">E671*I671</f>
        <v>1821708.91</v>
      </c>
      <c r="L671" s="6" t="n">
        <v>0</v>
      </c>
      <c r="M671" s="6" t="n">
        <v>1821708.91</v>
      </c>
      <c r="N671" s="6" t="n">
        <v>1091874</v>
      </c>
      <c r="O671" s="6" t="n">
        <v>1159222</v>
      </c>
      <c r="P671" s="7" t="n">
        <f aca="false">IF(O671=0,"",(G671-O671)/O671)</f>
        <v>0.571731756298621</v>
      </c>
      <c r="Q671" s="5" t="s">
        <v>26</v>
      </c>
      <c r="R671" s="5" t="s">
        <v>27</v>
      </c>
    </row>
    <row r="672" customFormat="false" ht="15" hidden="false" customHeight="true" outlineLevel="0" collapsed="false">
      <c r="A672" s="5" t="s">
        <v>696</v>
      </c>
      <c r="B672" s="6" t="n">
        <v>5936470683.99</v>
      </c>
      <c r="C672" s="6" t="n">
        <v>0</v>
      </c>
      <c r="D672" s="6" t="n">
        <v>5936470683.99</v>
      </c>
      <c r="E672" s="6" t="n">
        <v>2196494.15</v>
      </c>
      <c r="F672" s="6" t="n">
        <v>1374.99</v>
      </c>
      <c r="G672" s="6" t="n">
        <f aca="false">E672+F672</f>
        <v>2197869.14</v>
      </c>
      <c r="H672" s="7" t="n">
        <f aca="false">IF(D672=0,0,C672/D672)</f>
        <v>0</v>
      </c>
      <c r="I672" s="7" t="n">
        <f aca="false">IF(D672=0,0,B672/D672)</f>
        <v>1</v>
      </c>
      <c r="J672" s="6" t="n">
        <f aca="false">E672*H672</f>
        <v>0</v>
      </c>
      <c r="K672" s="6" t="n">
        <f aca="false">E672*I672</f>
        <v>2196494.15</v>
      </c>
      <c r="L672" s="6" t="n">
        <v>0</v>
      </c>
      <c r="M672" s="6" t="n">
        <v>2196494.15</v>
      </c>
      <c r="N672" s="6" t="n">
        <v>1367967</v>
      </c>
      <c r="O672" s="6" t="n">
        <v>1452774</v>
      </c>
      <c r="P672" s="7" t="n">
        <f aca="false">IF(O672=0,"",(G672-O672)/O672)</f>
        <v>0.512877529471205</v>
      </c>
      <c r="Q672" s="5" t="s">
        <v>26</v>
      </c>
      <c r="R672" s="5" t="s">
        <v>27</v>
      </c>
    </row>
    <row r="673" customFormat="false" ht="15" hidden="false" customHeight="true" outlineLevel="0" collapsed="false">
      <c r="A673" s="5" t="s">
        <v>697</v>
      </c>
      <c r="B673" s="6" t="n">
        <v>4798349094.55</v>
      </c>
      <c r="C673" s="6" t="n">
        <v>0</v>
      </c>
      <c r="D673" s="6" t="n">
        <v>4798349094.55</v>
      </c>
      <c r="E673" s="6" t="n">
        <v>1775389.16</v>
      </c>
      <c r="F673" s="6" t="n">
        <v>230.49</v>
      </c>
      <c r="G673" s="6" t="n">
        <f aca="false">E673+F673</f>
        <v>1775619.65</v>
      </c>
      <c r="H673" s="7" t="n">
        <f aca="false">IF(D673=0,0,C673/D673)</f>
        <v>0</v>
      </c>
      <c r="I673" s="7" t="n">
        <f aca="false">IF(D673=0,0,B673/D673)</f>
        <v>1</v>
      </c>
      <c r="J673" s="6" t="n">
        <f aca="false">E673*H673</f>
        <v>0</v>
      </c>
      <c r="K673" s="6" t="n">
        <f aca="false">E673*I673</f>
        <v>1775389.16</v>
      </c>
      <c r="L673" s="6" t="n">
        <v>0</v>
      </c>
      <c r="M673" s="6" t="n">
        <v>1775389.16</v>
      </c>
      <c r="N673" s="6" t="n">
        <v>1127141</v>
      </c>
      <c r="O673" s="6" t="n">
        <v>1196861</v>
      </c>
      <c r="P673" s="7" t="n">
        <f aca="false">IF(O673=0,"",(G673-O673)/O673)</f>
        <v>0.48356379729977</v>
      </c>
      <c r="Q673" s="5" t="s">
        <v>26</v>
      </c>
      <c r="R673" s="5" t="s">
        <v>27</v>
      </c>
    </row>
    <row r="674" customFormat="false" ht="15" hidden="false" customHeight="true" outlineLevel="0" collapsed="false">
      <c r="A674" s="5" t="s">
        <v>698</v>
      </c>
      <c r="B674" s="6" t="n">
        <v>3535282613.28</v>
      </c>
      <c r="C674" s="6" t="n">
        <v>0</v>
      </c>
      <c r="D674" s="6" t="n">
        <v>3535282613.28</v>
      </c>
      <c r="E674" s="6" t="n">
        <v>1308054.57</v>
      </c>
      <c r="F674" s="6" t="n">
        <v>2853.99</v>
      </c>
      <c r="G674" s="6" t="n">
        <f aca="false">E674+F674</f>
        <v>1310908.56</v>
      </c>
      <c r="H674" s="7" t="n">
        <f aca="false">IF(D674=0,0,C674/D674)</f>
        <v>0</v>
      </c>
      <c r="I674" s="7" t="n">
        <f aca="false">IF(D674=0,0,B674/D674)</f>
        <v>1</v>
      </c>
      <c r="J674" s="6" t="n">
        <f aca="false">E674*H674</f>
        <v>0</v>
      </c>
      <c r="K674" s="6" t="n">
        <f aca="false">E674*I674</f>
        <v>1308054.57</v>
      </c>
      <c r="L674" s="6" t="n">
        <v>0</v>
      </c>
      <c r="M674" s="6" t="n">
        <v>1308054.57</v>
      </c>
      <c r="N674" s="6" t="n">
        <v>832781</v>
      </c>
      <c r="O674" s="6" t="n">
        <v>884294</v>
      </c>
      <c r="P674" s="7" t="n">
        <f aca="false">IF(O674=0,"",(G674-O674)/O674)</f>
        <v>0.482435208199988</v>
      </c>
      <c r="Q674" s="5" t="s">
        <v>26</v>
      </c>
      <c r="R674" s="5" t="s">
        <v>27</v>
      </c>
    </row>
    <row r="675" customFormat="false" ht="15" hidden="false" customHeight="true" outlineLevel="0" collapsed="false">
      <c r="A675" s="5" t="s">
        <v>699</v>
      </c>
      <c r="B675" s="6" t="n">
        <v>2045427812.07</v>
      </c>
      <c r="C675" s="6" t="n">
        <v>0</v>
      </c>
      <c r="D675" s="6" t="n">
        <v>2045427812.07</v>
      </c>
      <c r="E675" s="6" t="n">
        <v>756808.29</v>
      </c>
      <c r="F675" s="6" t="n">
        <v>241.94</v>
      </c>
      <c r="G675" s="6" t="n">
        <f aca="false">E675+F675</f>
        <v>757050.23</v>
      </c>
      <c r="H675" s="7" t="n">
        <f aca="false">IF(D675=0,0,C675/D675)</f>
        <v>0</v>
      </c>
      <c r="I675" s="7" t="n">
        <f aca="false">IF(D675=0,0,B675/D675)</f>
        <v>1</v>
      </c>
      <c r="J675" s="6" t="n">
        <f aca="false">E675*H675</f>
        <v>0</v>
      </c>
      <c r="K675" s="6" t="n">
        <f aca="false">E675*I675</f>
        <v>756808.29</v>
      </c>
      <c r="L675" s="6" t="n">
        <v>0</v>
      </c>
      <c r="M675" s="6" t="n">
        <v>756808.29</v>
      </c>
      <c r="N675" s="6" t="n">
        <v>513437</v>
      </c>
      <c r="O675" s="6" t="n">
        <v>545196</v>
      </c>
      <c r="P675" s="7" t="n">
        <f aca="false">IF(O675=0,"",(G675-O675)/O675)</f>
        <v>0.388583610297948</v>
      </c>
      <c r="Q675" s="5" t="s">
        <v>26</v>
      </c>
      <c r="R675" s="5" t="s">
        <v>27</v>
      </c>
    </row>
    <row r="676" customFormat="false" ht="15" hidden="false" customHeight="true" outlineLevel="0" collapsed="false">
      <c r="A676" s="5" t="s">
        <v>700</v>
      </c>
      <c r="B676" s="6" t="n">
        <v>2462791312.63</v>
      </c>
      <c r="C676" s="6" t="n">
        <v>0</v>
      </c>
      <c r="D676" s="6" t="n">
        <v>2462791312.63</v>
      </c>
      <c r="E676" s="6" t="n">
        <v>911232.79</v>
      </c>
      <c r="F676" s="6" t="n">
        <v>325.47</v>
      </c>
      <c r="G676" s="6" t="n">
        <f aca="false">E676+F676</f>
        <v>911558.26</v>
      </c>
      <c r="H676" s="7" t="n">
        <f aca="false">IF(D676=0,0,C676/D676)</f>
        <v>0</v>
      </c>
      <c r="I676" s="7" t="n">
        <f aca="false">IF(D676=0,0,B676/D676)</f>
        <v>1</v>
      </c>
      <c r="J676" s="6" t="n">
        <f aca="false">E676*H676</f>
        <v>0</v>
      </c>
      <c r="K676" s="6" t="n">
        <f aca="false">E676*I676</f>
        <v>911232.79</v>
      </c>
      <c r="L676" s="6" t="n">
        <v>0</v>
      </c>
      <c r="M676" s="6" t="n">
        <v>911232.79</v>
      </c>
      <c r="N676" s="6" t="n">
        <v>554756</v>
      </c>
      <c r="O676" s="6" t="n">
        <v>588688</v>
      </c>
      <c r="P676" s="7" t="n">
        <f aca="false">IF(O676=0,"",(G676-O676)/O676)</f>
        <v>0.548457349224037</v>
      </c>
      <c r="Q676" s="5" t="s">
        <v>26</v>
      </c>
      <c r="R676" s="5" t="s">
        <v>27</v>
      </c>
    </row>
    <row r="677" customFormat="false" ht="15" hidden="false" customHeight="true" outlineLevel="0" collapsed="false">
      <c r="A677" s="5" t="s">
        <v>701</v>
      </c>
      <c r="B677" s="6" t="n">
        <v>5105825634.55</v>
      </c>
      <c r="C677" s="6" t="n">
        <v>0</v>
      </c>
      <c r="D677" s="6" t="n">
        <v>5105825634.55</v>
      </c>
      <c r="E677" s="6" t="n">
        <v>1889155.48</v>
      </c>
      <c r="F677" s="6" t="n">
        <v>392.19</v>
      </c>
      <c r="G677" s="6" t="n">
        <f aca="false">E677+F677</f>
        <v>1889547.67</v>
      </c>
      <c r="H677" s="7" t="n">
        <f aca="false">IF(D677=0,0,C677/D677)</f>
        <v>0</v>
      </c>
      <c r="I677" s="7" t="n">
        <f aca="false">IF(D677=0,0,B677/D677)</f>
        <v>1</v>
      </c>
      <c r="J677" s="6" t="n">
        <f aca="false">E677*H677</f>
        <v>0</v>
      </c>
      <c r="K677" s="6" t="n">
        <f aca="false">E677*I677</f>
        <v>1889155.48</v>
      </c>
      <c r="L677" s="6" t="n">
        <v>0</v>
      </c>
      <c r="M677" s="6" t="n">
        <v>1889155.48</v>
      </c>
      <c r="N677" s="6" t="n">
        <v>1201729</v>
      </c>
      <c r="O677" s="6" t="n">
        <v>1276445</v>
      </c>
      <c r="P677" s="7" t="n">
        <f aca="false">IF(O677=0,"",(G677-O677)/O677)</f>
        <v>0.480320476009542</v>
      </c>
      <c r="Q677" s="5" t="s">
        <v>26</v>
      </c>
      <c r="R677" s="5" t="s">
        <v>27</v>
      </c>
    </row>
    <row r="678" customFormat="false" ht="15" hidden="false" customHeight="true" outlineLevel="0" collapsed="false">
      <c r="A678" s="5" t="s">
        <v>702</v>
      </c>
      <c r="B678" s="6" t="n">
        <v>3932030198.71</v>
      </c>
      <c r="C678" s="6" t="n">
        <v>0</v>
      </c>
      <c r="D678" s="6" t="n">
        <v>3932030198.71</v>
      </c>
      <c r="E678" s="6" t="n">
        <v>1454851.17</v>
      </c>
      <c r="F678" s="6" t="n">
        <v>340.87</v>
      </c>
      <c r="G678" s="6" t="n">
        <f aca="false">E678+F678</f>
        <v>1455192.04</v>
      </c>
      <c r="H678" s="7" t="n">
        <f aca="false">IF(D678=0,0,C678/D678)</f>
        <v>0</v>
      </c>
      <c r="I678" s="7" t="n">
        <f aca="false">IF(D678=0,0,B678/D678)</f>
        <v>1</v>
      </c>
      <c r="J678" s="6" t="n">
        <f aca="false">E678*H678</f>
        <v>0</v>
      </c>
      <c r="K678" s="6" t="n">
        <f aca="false">E678*I678</f>
        <v>1454851.17</v>
      </c>
      <c r="L678" s="6" t="n">
        <v>0</v>
      </c>
      <c r="M678" s="6" t="n">
        <v>1454851.17</v>
      </c>
      <c r="N678" s="6" t="n">
        <v>953188</v>
      </c>
      <c r="O678" s="6" t="n">
        <v>1012148</v>
      </c>
      <c r="P678" s="7" t="n">
        <f aca="false">IF(O678=0,"",(G678-O678)/O678)</f>
        <v>0.43772653801618</v>
      </c>
      <c r="Q678" s="5" t="s">
        <v>26</v>
      </c>
      <c r="R678" s="5" t="s">
        <v>27</v>
      </c>
    </row>
    <row r="679" customFormat="false" ht="15" hidden="false" customHeight="true" outlineLevel="0" collapsed="false">
      <c r="A679" s="5" t="s">
        <v>703</v>
      </c>
      <c r="B679" s="6" t="n">
        <v>4546459279.56</v>
      </c>
      <c r="C679" s="6" t="n">
        <v>0</v>
      </c>
      <c r="D679" s="6" t="n">
        <v>4546459279.56</v>
      </c>
      <c r="E679" s="6" t="n">
        <v>1682189.93</v>
      </c>
      <c r="F679" s="6" t="n">
        <v>669.85</v>
      </c>
      <c r="G679" s="6" t="n">
        <f aca="false">E679+F679</f>
        <v>1682859.78</v>
      </c>
      <c r="H679" s="7" t="n">
        <f aca="false">IF(D679=0,0,C679/D679)</f>
        <v>0</v>
      </c>
      <c r="I679" s="7" t="n">
        <f aca="false">IF(D679=0,0,B679/D679)</f>
        <v>1</v>
      </c>
      <c r="J679" s="6" t="n">
        <f aca="false">E679*H679</f>
        <v>0</v>
      </c>
      <c r="K679" s="6" t="n">
        <f aca="false">E679*I679</f>
        <v>1682189.93</v>
      </c>
      <c r="L679" s="6" t="n">
        <v>0</v>
      </c>
      <c r="M679" s="6" t="n">
        <v>1682189.93</v>
      </c>
      <c r="N679" s="6" t="n">
        <v>1097481</v>
      </c>
      <c r="O679" s="6" t="n">
        <v>1165203</v>
      </c>
      <c r="P679" s="7" t="n">
        <f aca="false">IF(O679=0,"",(G679-O679)/O679)</f>
        <v>0.444263171310064</v>
      </c>
      <c r="Q679" s="5" t="s">
        <v>26</v>
      </c>
      <c r="R679" s="5" t="s">
        <v>27</v>
      </c>
    </row>
    <row r="680" customFormat="false" ht="15" hidden="false" customHeight="true" outlineLevel="0" collapsed="false">
      <c r="A680" s="5" t="s">
        <v>704</v>
      </c>
      <c r="B680" s="6" t="n">
        <v>2968017787.67</v>
      </c>
      <c r="C680" s="6" t="n">
        <v>0</v>
      </c>
      <c r="D680" s="6" t="n">
        <v>2968017787.67</v>
      </c>
      <c r="E680" s="6" t="n">
        <v>1098166.58</v>
      </c>
      <c r="F680" s="6" t="n">
        <v>176.04</v>
      </c>
      <c r="G680" s="6" t="n">
        <f aca="false">E680+F680</f>
        <v>1098342.62</v>
      </c>
      <c r="H680" s="7" t="n">
        <f aca="false">IF(D680=0,0,C680/D680)</f>
        <v>0</v>
      </c>
      <c r="I680" s="7" t="n">
        <f aca="false">IF(D680=0,0,B680/D680)</f>
        <v>1</v>
      </c>
      <c r="J680" s="6" t="n">
        <f aca="false">E680*H680</f>
        <v>0</v>
      </c>
      <c r="K680" s="6" t="n">
        <f aca="false">E680*I680</f>
        <v>1098166.58</v>
      </c>
      <c r="L680" s="6" t="n">
        <v>0</v>
      </c>
      <c r="M680" s="6" t="n">
        <v>1098166.58</v>
      </c>
      <c r="N680" s="6" t="n">
        <v>802000</v>
      </c>
      <c r="O680" s="6" t="n">
        <v>851674</v>
      </c>
      <c r="P680" s="7" t="n">
        <f aca="false">IF(O680=0,"",(G680-O680)/O680)</f>
        <v>0.28962797971994</v>
      </c>
      <c r="Q680" s="5" t="s">
        <v>26</v>
      </c>
      <c r="R680" s="5" t="s">
        <v>27</v>
      </c>
    </row>
    <row r="681" customFormat="false" ht="15" hidden="false" customHeight="true" outlineLevel="0" collapsed="false">
      <c r="A681" s="5" t="s">
        <v>705</v>
      </c>
      <c r="B681" s="6" t="n">
        <v>4696027441.77</v>
      </c>
      <c r="C681" s="6" t="n">
        <v>0</v>
      </c>
      <c r="D681" s="6" t="n">
        <v>4696027441.77</v>
      </c>
      <c r="E681" s="6" t="n">
        <v>1737530.15</v>
      </c>
      <c r="F681" s="6" t="n">
        <v>155.39</v>
      </c>
      <c r="G681" s="6" t="n">
        <f aca="false">E681+F681</f>
        <v>1737685.54</v>
      </c>
      <c r="H681" s="7" t="n">
        <f aca="false">IF(D681=0,0,C681/D681)</f>
        <v>0</v>
      </c>
      <c r="I681" s="7" t="n">
        <f aca="false">IF(D681=0,0,B681/D681)</f>
        <v>1</v>
      </c>
      <c r="J681" s="6" t="n">
        <f aca="false">E681*H681</f>
        <v>0</v>
      </c>
      <c r="K681" s="6" t="n">
        <f aca="false">E681*I681</f>
        <v>1737530.15</v>
      </c>
      <c r="L681" s="6" t="n">
        <v>0</v>
      </c>
      <c r="M681" s="6" t="n">
        <v>1737530.15</v>
      </c>
      <c r="N681" s="6" t="n">
        <v>1068000</v>
      </c>
      <c r="O681" s="6" t="n">
        <v>1134160</v>
      </c>
      <c r="P681" s="7" t="n">
        <f aca="false">IF(O681=0,"",(G681-O681)/O681)</f>
        <v>0.532134390209494</v>
      </c>
      <c r="Q681" s="5" t="s">
        <v>26</v>
      </c>
      <c r="R681" s="5" t="s">
        <v>27</v>
      </c>
    </row>
    <row r="682" customFormat="false" ht="15" hidden="false" customHeight="true" outlineLevel="0" collapsed="false">
      <c r="A682" s="5" t="s">
        <v>706</v>
      </c>
      <c r="B682" s="6" t="n">
        <v>3300437272.58</v>
      </c>
      <c r="C682" s="6" t="n">
        <v>0</v>
      </c>
      <c r="D682" s="6" t="n">
        <v>3300437272.58</v>
      </c>
      <c r="E682" s="6" t="n">
        <v>1221161.79</v>
      </c>
      <c r="F682" s="6" t="n">
        <v>125.99</v>
      </c>
      <c r="G682" s="6" t="n">
        <f aca="false">E682+F682</f>
        <v>1221287.78</v>
      </c>
      <c r="H682" s="7" t="n">
        <f aca="false">IF(D682=0,0,C682/D682)</f>
        <v>0</v>
      </c>
      <c r="I682" s="7" t="n">
        <f aca="false">IF(D682=0,0,B682/D682)</f>
        <v>1</v>
      </c>
      <c r="J682" s="6" t="n">
        <f aca="false">E682*H682</f>
        <v>0</v>
      </c>
      <c r="K682" s="6" t="n">
        <f aca="false">E682*I682</f>
        <v>1221161.79</v>
      </c>
      <c r="L682" s="6" t="n">
        <v>0</v>
      </c>
      <c r="M682" s="6" t="n">
        <v>1221161.79</v>
      </c>
      <c r="N682" s="6" t="n">
        <v>770163</v>
      </c>
      <c r="O682" s="6" t="n">
        <v>817654</v>
      </c>
      <c r="P682" s="7" t="n">
        <f aca="false">IF(O682=0,"",(G682-O682)/O682)</f>
        <v>0.493648633774188</v>
      </c>
      <c r="Q682" s="5" t="s">
        <v>26</v>
      </c>
      <c r="R682" s="5" t="s">
        <v>27</v>
      </c>
    </row>
    <row r="683" customFormat="false" ht="15" hidden="false" customHeight="true" outlineLevel="0" collapsed="false">
      <c r="A683" s="5" t="s">
        <v>707</v>
      </c>
      <c r="B683" s="6" t="n">
        <v>2774062341.43</v>
      </c>
      <c r="C683" s="6" t="n">
        <v>0</v>
      </c>
      <c r="D683" s="6" t="n">
        <v>2774062341.43</v>
      </c>
      <c r="E683" s="6" t="n">
        <v>1026403.07</v>
      </c>
      <c r="F683" s="6" t="n">
        <v>104.46</v>
      </c>
      <c r="G683" s="6" t="n">
        <f aca="false">E683+F683</f>
        <v>1026507.53</v>
      </c>
      <c r="H683" s="7" t="n">
        <f aca="false">IF(D683=0,0,C683/D683)</f>
        <v>0</v>
      </c>
      <c r="I683" s="7" t="n">
        <f aca="false">IF(D683=0,0,B683/D683)</f>
        <v>1</v>
      </c>
      <c r="J683" s="6" t="n">
        <f aca="false">E683*H683</f>
        <v>0</v>
      </c>
      <c r="K683" s="6" t="n">
        <f aca="false">E683*I683</f>
        <v>1026403.07</v>
      </c>
      <c r="L683" s="6" t="n">
        <v>0</v>
      </c>
      <c r="M683" s="6" t="n">
        <v>1026403.07</v>
      </c>
      <c r="N683" s="6" t="n">
        <v>654159</v>
      </c>
      <c r="O683" s="6" t="n">
        <v>694770</v>
      </c>
      <c r="P683" s="7" t="n">
        <f aca="false">IF(O683=0,"",(G683-O683)/O683)</f>
        <v>0.477478201419175</v>
      </c>
      <c r="Q683" s="5" t="s">
        <v>26</v>
      </c>
      <c r="R683" s="5" t="s">
        <v>27</v>
      </c>
    </row>
    <row r="684" customFormat="false" ht="15" hidden="false" customHeight="true" outlineLevel="0" collapsed="false">
      <c r="A684" s="5" t="s">
        <v>708</v>
      </c>
      <c r="B684" s="6" t="n">
        <v>5786815779.42</v>
      </c>
      <c r="C684" s="6" t="n">
        <v>0</v>
      </c>
      <c r="D684" s="6" t="n">
        <v>5786815779.42</v>
      </c>
      <c r="E684" s="6" t="n">
        <v>2141121.84</v>
      </c>
      <c r="F684" s="6" t="n">
        <v>426.22</v>
      </c>
      <c r="G684" s="6" t="n">
        <f aca="false">E684+F684</f>
        <v>2141548.06</v>
      </c>
      <c r="H684" s="7" t="n">
        <f aca="false">IF(D684=0,0,C684/D684)</f>
        <v>0</v>
      </c>
      <c r="I684" s="7" t="n">
        <f aca="false">IF(D684=0,0,B684/D684)</f>
        <v>1</v>
      </c>
      <c r="J684" s="6" t="n">
        <f aca="false">E684*H684</f>
        <v>0</v>
      </c>
      <c r="K684" s="6" t="n">
        <f aca="false">E684*I684</f>
        <v>2141121.84</v>
      </c>
      <c r="L684" s="6" t="n">
        <v>0</v>
      </c>
      <c r="M684" s="6" t="n">
        <v>2141121.84</v>
      </c>
      <c r="N684" s="6" t="n">
        <v>1264433</v>
      </c>
      <c r="O684" s="6" t="n">
        <v>1342644</v>
      </c>
      <c r="P684" s="7" t="n">
        <f aca="false">IF(O684=0,"",(G684-O684)/O684)</f>
        <v>0.595022999395223</v>
      </c>
      <c r="Q684" s="5" t="s">
        <v>26</v>
      </c>
      <c r="R684" s="5" t="s">
        <v>27</v>
      </c>
    </row>
    <row r="685" customFormat="false" ht="15" hidden="false" customHeight="true" outlineLevel="0" collapsed="false">
      <c r="A685" s="5" t="s">
        <v>709</v>
      </c>
      <c r="B685" s="6" t="n">
        <v>5024540120.03</v>
      </c>
      <c r="C685" s="6" t="n">
        <v>0</v>
      </c>
      <c r="D685" s="6" t="n">
        <v>5024540120.03</v>
      </c>
      <c r="E685" s="6" t="n">
        <v>1859079.84</v>
      </c>
      <c r="F685" s="6" t="n">
        <v>251.17</v>
      </c>
      <c r="G685" s="6" t="n">
        <f aca="false">E685+F685</f>
        <v>1859331.01</v>
      </c>
      <c r="H685" s="7" t="n">
        <f aca="false">IF(D685=0,0,C685/D685)</f>
        <v>0</v>
      </c>
      <c r="I685" s="7" t="n">
        <f aca="false">IF(D685=0,0,B685/D685)</f>
        <v>1</v>
      </c>
      <c r="J685" s="6" t="n">
        <f aca="false">E685*H685</f>
        <v>0</v>
      </c>
      <c r="K685" s="6" t="n">
        <f aca="false">E685*I685</f>
        <v>1859079.84</v>
      </c>
      <c r="L685" s="6" t="n">
        <v>0</v>
      </c>
      <c r="M685" s="6" t="n">
        <v>1859079.84</v>
      </c>
      <c r="N685" s="6" t="n">
        <v>1146261</v>
      </c>
      <c r="O685" s="6" t="n">
        <v>1217164</v>
      </c>
      <c r="P685" s="7" t="n">
        <f aca="false">IF(O685=0,"",(G685-O685)/O685)</f>
        <v>0.527592838762895</v>
      </c>
      <c r="Q685" s="5" t="s">
        <v>26</v>
      </c>
      <c r="R685" s="5" t="s">
        <v>27</v>
      </c>
    </row>
    <row r="686" customFormat="false" ht="15" hidden="false" customHeight="true" outlineLevel="0" collapsed="false">
      <c r="A686" s="5" t="s">
        <v>710</v>
      </c>
      <c r="B686" s="6" t="n">
        <v>8109376458.28</v>
      </c>
      <c r="C686" s="6" t="n">
        <v>0</v>
      </c>
      <c r="D686" s="6" t="n">
        <v>8109376458.28</v>
      </c>
      <c r="E686" s="6" t="n">
        <v>3000469.29</v>
      </c>
      <c r="F686" s="6" t="n">
        <v>203.61</v>
      </c>
      <c r="G686" s="6" t="n">
        <f aca="false">E686+F686</f>
        <v>3000672.9</v>
      </c>
      <c r="H686" s="7" t="n">
        <f aca="false">IF(D686=0,0,C686/D686)</f>
        <v>0</v>
      </c>
      <c r="I686" s="7" t="n">
        <f aca="false">IF(D686=0,0,B686/D686)</f>
        <v>1</v>
      </c>
      <c r="J686" s="6" t="n">
        <f aca="false">E686*H686</f>
        <v>0</v>
      </c>
      <c r="K686" s="6" t="n">
        <f aca="false">E686*I686</f>
        <v>3000469.29</v>
      </c>
      <c r="L686" s="6" t="n">
        <v>0</v>
      </c>
      <c r="M686" s="6" t="n">
        <v>3000469.29</v>
      </c>
      <c r="N686" s="6" t="n">
        <v>1838424</v>
      </c>
      <c r="O686" s="6" t="n">
        <v>1952140</v>
      </c>
      <c r="P686" s="7" t="n">
        <f aca="false">IF(O686=0,"",(G686-O686)/O686)</f>
        <v>0.537119725019722</v>
      </c>
      <c r="Q686" s="5" t="s">
        <v>26</v>
      </c>
      <c r="R686" s="5" t="s">
        <v>27</v>
      </c>
    </row>
    <row r="687" customFormat="false" ht="15" hidden="false" customHeight="true" outlineLevel="0" collapsed="false">
      <c r="A687" s="5" t="s">
        <v>711</v>
      </c>
      <c r="B687" s="6" t="n">
        <v>5930229209.41</v>
      </c>
      <c r="C687" s="6" t="n">
        <v>0</v>
      </c>
      <c r="D687" s="6" t="n">
        <v>5930229209.41</v>
      </c>
      <c r="E687" s="6" t="n">
        <v>2194184.81</v>
      </c>
      <c r="F687" s="6" t="n">
        <v>202.14</v>
      </c>
      <c r="G687" s="6" t="n">
        <f aca="false">E687+F687</f>
        <v>2194386.95</v>
      </c>
      <c r="H687" s="7" t="n">
        <f aca="false">IF(D687=0,0,C687/D687)</f>
        <v>0</v>
      </c>
      <c r="I687" s="7" t="n">
        <f aca="false">IF(D687=0,0,B687/D687)</f>
        <v>1</v>
      </c>
      <c r="J687" s="6" t="n">
        <f aca="false">E687*H687</f>
        <v>0</v>
      </c>
      <c r="K687" s="6" t="n">
        <f aca="false">E687*I687</f>
        <v>2194184.81</v>
      </c>
      <c r="L687" s="6" t="n">
        <v>0</v>
      </c>
      <c r="M687" s="6" t="n">
        <v>2194184.81</v>
      </c>
      <c r="N687" s="6" t="n">
        <v>1342024</v>
      </c>
      <c r="O687" s="6" t="n">
        <v>1425036</v>
      </c>
      <c r="P687" s="7" t="n">
        <f aca="false">IF(O687=0,"",(G687-O687)/O687)</f>
        <v>0.539881764390514</v>
      </c>
      <c r="Q687" s="5" t="s">
        <v>26</v>
      </c>
      <c r="R687" s="5" t="s">
        <v>27</v>
      </c>
    </row>
    <row r="688" customFormat="false" ht="15" hidden="false" customHeight="true" outlineLevel="0" collapsed="false">
      <c r="A688" s="5" t="s">
        <v>712</v>
      </c>
      <c r="B688" s="6" t="n">
        <v>7751080977.47</v>
      </c>
      <c r="C688" s="6" t="n">
        <v>0</v>
      </c>
      <c r="D688" s="6" t="n">
        <v>7751080977.47</v>
      </c>
      <c r="E688" s="6" t="n">
        <v>2867899.96</v>
      </c>
      <c r="F688" s="6" t="n">
        <v>143.49</v>
      </c>
      <c r="G688" s="6" t="n">
        <f aca="false">E688+F688</f>
        <v>2868043.45</v>
      </c>
      <c r="H688" s="7" t="n">
        <f aca="false">IF(D688=0,0,C688/D688)</f>
        <v>0</v>
      </c>
      <c r="I688" s="7" t="n">
        <f aca="false">IF(D688=0,0,B688/D688)</f>
        <v>1</v>
      </c>
      <c r="J688" s="6" t="n">
        <f aca="false">E688*H688</f>
        <v>0</v>
      </c>
      <c r="K688" s="6" t="n">
        <f aca="false">E688*I688</f>
        <v>2867899.96</v>
      </c>
      <c r="L688" s="6" t="n">
        <v>0</v>
      </c>
      <c r="M688" s="6" t="n">
        <v>2867899.96</v>
      </c>
      <c r="N688" s="6" t="n">
        <v>1756574</v>
      </c>
      <c r="O688" s="6" t="n">
        <v>1865141</v>
      </c>
      <c r="P688" s="7" t="n">
        <f aca="false">IF(O688=0,"",(G688-O688)/O688)</f>
        <v>0.537708650445194</v>
      </c>
      <c r="Q688" s="5" t="s">
        <v>26</v>
      </c>
      <c r="R688" s="5" t="s">
        <v>27</v>
      </c>
    </row>
    <row r="689" customFormat="false" ht="15" hidden="false" customHeight="true" outlineLevel="0" collapsed="false">
      <c r="A689" s="5" t="s">
        <v>713</v>
      </c>
      <c r="B689" s="6" t="n">
        <v>2430774311.15</v>
      </c>
      <c r="C689" s="6" t="n">
        <v>0</v>
      </c>
      <c r="D689" s="6" t="n">
        <v>2430774311.15</v>
      </c>
      <c r="E689" s="6" t="n">
        <v>899386.5</v>
      </c>
      <c r="F689" s="6" t="n">
        <v>70.94</v>
      </c>
      <c r="G689" s="6" t="n">
        <f aca="false">E689+F689</f>
        <v>899457.44</v>
      </c>
      <c r="H689" s="7" t="n">
        <f aca="false">IF(D689=0,0,C689/D689)</f>
        <v>0</v>
      </c>
      <c r="I689" s="7" t="n">
        <f aca="false">IF(D689=0,0,B689/D689)</f>
        <v>1</v>
      </c>
      <c r="J689" s="6" t="n">
        <f aca="false">E689*H689</f>
        <v>0</v>
      </c>
      <c r="K689" s="6" t="n">
        <f aca="false">E689*I689</f>
        <v>899386.5</v>
      </c>
      <c r="L689" s="6" t="n">
        <v>0</v>
      </c>
      <c r="M689" s="6" t="n">
        <v>899386.5</v>
      </c>
      <c r="N689" s="6" t="n">
        <v>528823</v>
      </c>
      <c r="O689" s="6" t="n">
        <v>561620</v>
      </c>
      <c r="P689" s="7" t="n">
        <f aca="false">IF(O689=0,"",(G689-O689)/O689)</f>
        <v>0.601540970763149</v>
      </c>
      <c r="Q689" s="5" t="s">
        <v>26</v>
      </c>
      <c r="R689" s="5" t="s">
        <v>27</v>
      </c>
    </row>
    <row r="690" customFormat="false" ht="15" hidden="false" customHeight="true" outlineLevel="0" collapsed="false">
      <c r="A690" s="5" t="s">
        <v>714</v>
      </c>
      <c r="B690" s="6" t="n">
        <v>7538397804.35</v>
      </c>
      <c r="C690" s="6" t="n">
        <v>0</v>
      </c>
      <c r="D690" s="6" t="n">
        <v>7538397804.35</v>
      </c>
      <c r="E690" s="6" t="n">
        <v>2789207.19</v>
      </c>
      <c r="F690" s="6" t="n">
        <v>88.31</v>
      </c>
      <c r="G690" s="6" t="n">
        <f aca="false">E690+F690</f>
        <v>2789295.5</v>
      </c>
      <c r="H690" s="7" t="n">
        <f aca="false">IF(D690=0,0,C690/D690)</f>
        <v>0</v>
      </c>
      <c r="I690" s="7" t="n">
        <f aca="false">IF(D690=0,0,B690/D690)</f>
        <v>1</v>
      </c>
      <c r="J690" s="6" t="n">
        <f aca="false">E690*H690</f>
        <v>0</v>
      </c>
      <c r="K690" s="6" t="n">
        <f aca="false">E690*I690</f>
        <v>2789207.19</v>
      </c>
      <c r="L690" s="6" t="n">
        <v>0</v>
      </c>
      <c r="M690" s="6" t="n">
        <v>2789207.19</v>
      </c>
      <c r="N690" s="6" t="n">
        <v>1719831</v>
      </c>
      <c r="O690" s="6" t="n">
        <v>1825244</v>
      </c>
      <c r="P690" s="7" t="n">
        <f aca="false">IF(O690=0,"",(G690-O690)/O690)</f>
        <v>0.528176780748218</v>
      </c>
      <c r="Q690" s="5" t="s">
        <v>26</v>
      </c>
      <c r="R690" s="5" t="s">
        <v>27</v>
      </c>
    </row>
    <row r="691" customFormat="false" ht="15" hidden="false" customHeight="true" outlineLevel="0" collapsed="false">
      <c r="A691" s="5" t="s">
        <v>715</v>
      </c>
      <c r="B691" s="6" t="n">
        <v>13309974115.71</v>
      </c>
      <c r="C691" s="6" t="n">
        <v>0</v>
      </c>
      <c r="D691" s="6" t="n">
        <v>13309974115.71</v>
      </c>
      <c r="E691" s="6" t="n">
        <v>4924690.42</v>
      </c>
      <c r="F691" s="6" t="n">
        <v>187.64</v>
      </c>
      <c r="G691" s="6" t="n">
        <f aca="false">E691+F691</f>
        <v>4924878.06</v>
      </c>
      <c r="H691" s="7" t="n">
        <f aca="false">IF(D691=0,0,C691/D691)</f>
        <v>0</v>
      </c>
      <c r="I691" s="7" t="n">
        <f aca="false">IF(D691=0,0,B691/D691)</f>
        <v>1</v>
      </c>
      <c r="J691" s="6" t="n">
        <f aca="false">E691*H691</f>
        <v>0</v>
      </c>
      <c r="K691" s="6" t="n">
        <f aca="false">E691*I691</f>
        <v>4924690.42</v>
      </c>
      <c r="L691" s="6" t="n">
        <v>0</v>
      </c>
      <c r="M691" s="6" t="n">
        <v>4924690.42</v>
      </c>
      <c r="N691" s="6" t="n">
        <v>3023660</v>
      </c>
      <c r="O691" s="6" t="n">
        <v>3211425</v>
      </c>
      <c r="P691" s="7" t="n">
        <f aca="false">IF(O691=0,"",(G691-O691)/O691)</f>
        <v>0.533549144071557</v>
      </c>
      <c r="Q691" s="5" t="s">
        <v>26</v>
      </c>
      <c r="R691" s="5" t="s">
        <v>27</v>
      </c>
    </row>
    <row r="692" customFormat="false" ht="15" hidden="false" customHeight="true" outlineLevel="0" collapsed="false">
      <c r="A692" s="5" t="s">
        <v>716</v>
      </c>
      <c r="B692" s="6" t="n">
        <v>7663480477.19</v>
      </c>
      <c r="C692" s="6" t="n">
        <v>0</v>
      </c>
      <c r="D692" s="6" t="n">
        <v>7663480477.19</v>
      </c>
      <c r="E692" s="6" t="n">
        <v>2835487.78</v>
      </c>
      <c r="F692" s="6" t="n">
        <v>290.21</v>
      </c>
      <c r="G692" s="6" t="n">
        <f aca="false">E692+F692</f>
        <v>2835777.99</v>
      </c>
      <c r="H692" s="7" t="n">
        <f aca="false">IF(D692=0,0,C692/D692)</f>
        <v>0</v>
      </c>
      <c r="I692" s="7" t="n">
        <f aca="false">IF(D692=0,0,B692/D692)</f>
        <v>1</v>
      </c>
      <c r="J692" s="6" t="n">
        <f aca="false">E692*H692</f>
        <v>0</v>
      </c>
      <c r="K692" s="6" t="n">
        <f aca="false">E692*I692</f>
        <v>2835487.78</v>
      </c>
      <c r="L692" s="6" t="n">
        <v>0</v>
      </c>
      <c r="M692" s="6" t="n">
        <v>2835487.78</v>
      </c>
      <c r="N692" s="6" t="n">
        <v>1694180</v>
      </c>
      <c r="O692" s="6" t="n">
        <v>1799207</v>
      </c>
      <c r="P692" s="7" t="n">
        <f aca="false">IF(O692=0,"",(G692-O692)/O692)</f>
        <v>0.576126587991265</v>
      </c>
      <c r="Q692" s="5" t="s">
        <v>26</v>
      </c>
      <c r="R692" s="5" t="s">
        <v>27</v>
      </c>
    </row>
    <row r="693" customFormat="false" ht="15" hidden="false" customHeight="true" outlineLevel="0" collapsed="false">
      <c r="A693" s="5" t="s">
        <v>717</v>
      </c>
      <c r="B693" s="6" t="n">
        <v>12444620477.98</v>
      </c>
      <c r="C693" s="6" t="n">
        <v>0</v>
      </c>
      <c r="D693" s="6" t="n">
        <v>12444620477.98</v>
      </c>
      <c r="E693" s="6" t="n">
        <v>4604509.58</v>
      </c>
      <c r="F693" s="6" t="n">
        <v>1604.26</v>
      </c>
      <c r="G693" s="6" t="n">
        <f aca="false">E693+F693</f>
        <v>4606113.84</v>
      </c>
      <c r="H693" s="7" t="n">
        <f aca="false">IF(D693=0,0,C693/D693)</f>
        <v>0</v>
      </c>
      <c r="I693" s="7" t="n">
        <f aca="false">IF(D693=0,0,B693/D693)</f>
        <v>1</v>
      </c>
      <c r="J693" s="6" t="n">
        <f aca="false">E693*H693</f>
        <v>0</v>
      </c>
      <c r="K693" s="6" t="n">
        <f aca="false">E693*I693</f>
        <v>4604509.58</v>
      </c>
      <c r="L693" s="6" t="n">
        <v>0</v>
      </c>
      <c r="M693" s="6" t="n">
        <v>4604509.58</v>
      </c>
      <c r="N693" s="6" t="n">
        <v>2759073</v>
      </c>
      <c r="O693" s="6" t="n">
        <v>2929375</v>
      </c>
      <c r="P693" s="7" t="n">
        <f aca="false">IF(O693=0,"",(G693-O693)/O693)</f>
        <v>0.57238791209729</v>
      </c>
      <c r="Q693" s="5" t="s">
        <v>26</v>
      </c>
      <c r="R693" s="5" t="s">
        <v>27</v>
      </c>
    </row>
    <row r="694" customFormat="false" ht="15" hidden="false" customHeight="true" outlineLevel="0" collapsed="false">
      <c r="A694" s="5" t="s">
        <v>718</v>
      </c>
      <c r="B694" s="6" t="n">
        <v>7229336568.38</v>
      </c>
      <c r="C694" s="6" t="n">
        <v>0</v>
      </c>
      <c r="D694" s="6" t="n">
        <v>7229336568.38</v>
      </c>
      <c r="E694" s="6" t="n">
        <v>2674854.53</v>
      </c>
      <c r="F694" s="6" t="n">
        <v>2159.11</v>
      </c>
      <c r="G694" s="6" t="n">
        <f aca="false">E694+F694</f>
        <v>2677013.64</v>
      </c>
      <c r="H694" s="7" t="n">
        <f aca="false">IF(D694=0,0,C694/D694)</f>
        <v>0</v>
      </c>
      <c r="I694" s="7" t="n">
        <f aca="false">IF(D694=0,0,B694/D694)</f>
        <v>1</v>
      </c>
      <c r="J694" s="6" t="n">
        <f aca="false">E694*H694</f>
        <v>0</v>
      </c>
      <c r="K694" s="6" t="n">
        <f aca="false">E694*I694</f>
        <v>2674854.53</v>
      </c>
      <c r="L694" s="6" t="n">
        <v>0</v>
      </c>
      <c r="M694" s="6" t="n">
        <v>2674854.53</v>
      </c>
      <c r="N694" s="6" t="n">
        <v>1622446</v>
      </c>
      <c r="O694" s="6" t="n">
        <v>1723166</v>
      </c>
      <c r="P694" s="7" t="n">
        <f aca="false">IF(O694=0,"",(G694-O694)/O694)</f>
        <v>0.553543674840381</v>
      </c>
      <c r="Q694" s="5" t="s">
        <v>26</v>
      </c>
      <c r="R694" s="5" t="s">
        <v>27</v>
      </c>
    </row>
    <row r="695" customFormat="false" ht="15" hidden="false" customHeight="true" outlineLevel="0" collapsed="false">
      <c r="A695" s="5" t="s">
        <v>719</v>
      </c>
      <c r="B695" s="6" t="n">
        <v>5544362890.15</v>
      </c>
      <c r="C695" s="6" t="n">
        <v>0</v>
      </c>
      <c r="D695" s="6" t="n">
        <v>5544362890.15</v>
      </c>
      <c r="E695" s="6" t="n">
        <v>2051414.27</v>
      </c>
      <c r="F695" s="6" t="n">
        <v>3707.38</v>
      </c>
      <c r="G695" s="6" t="n">
        <f aca="false">E695+F695</f>
        <v>2055121.65</v>
      </c>
      <c r="H695" s="7" t="n">
        <f aca="false">IF(D695=0,0,C695/D695)</f>
        <v>0</v>
      </c>
      <c r="I695" s="7" t="n">
        <f aca="false">IF(D695=0,0,B695/D695)</f>
        <v>1</v>
      </c>
      <c r="J695" s="6" t="n">
        <f aca="false">E695*H695</f>
        <v>0</v>
      </c>
      <c r="K695" s="6" t="n">
        <f aca="false">E695*I695</f>
        <v>2051414.27</v>
      </c>
      <c r="L695" s="6" t="n">
        <v>0</v>
      </c>
      <c r="M695" s="6" t="n">
        <v>2051414.27</v>
      </c>
      <c r="N695" s="6" t="n">
        <v>1287708</v>
      </c>
      <c r="O695" s="6" t="n">
        <v>1367359</v>
      </c>
      <c r="P695" s="7" t="n">
        <f aca="false">IF(O695=0,"",(G695-O695)/O695)</f>
        <v>0.502986157987771</v>
      </c>
      <c r="Q695" s="5" t="s">
        <v>26</v>
      </c>
      <c r="R695" s="5" t="s">
        <v>27</v>
      </c>
    </row>
    <row r="696" customFormat="false" ht="15" hidden="false" customHeight="true" outlineLevel="0" collapsed="false">
      <c r="A696" s="5" t="s">
        <v>720</v>
      </c>
      <c r="B696" s="6" t="n">
        <v>4949382648.13</v>
      </c>
      <c r="C696" s="6" t="n">
        <v>0</v>
      </c>
      <c r="D696" s="6" t="n">
        <v>4949382648.13</v>
      </c>
      <c r="E696" s="6" t="n">
        <v>1831271.58</v>
      </c>
      <c r="F696" s="6" t="n">
        <v>3340.01</v>
      </c>
      <c r="G696" s="6" t="n">
        <f aca="false">E696+F696</f>
        <v>1834611.59</v>
      </c>
      <c r="H696" s="7" t="n">
        <f aca="false">IF(D696=0,0,C696/D696)</f>
        <v>0</v>
      </c>
      <c r="I696" s="7" t="n">
        <f aca="false">IF(D696=0,0,B696/D696)</f>
        <v>1</v>
      </c>
      <c r="J696" s="6" t="n">
        <f aca="false">E696*H696</f>
        <v>0</v>
      </c>
      <c r="K696" s="6" t="n">
        <f aca="false">E696*I696</f>
        <v>1831271.58</v>
      </c>
      <c r="L696" s="6" t="n">
        <v>0</v>
      </c>
      <c r="M696" s="6" t="n">
        <v>1831271.58</v>
      </c>
      <c r="N696" s="6" t="n">
        <v>1113618</v>
      </c>
      <c r="O696" s="6" t="n">
        <v>1182304</v>
      </c>
      <c r="P696" s="7" t="n">
        <f aca="false">IF(O696=0,"",(G696-O696)/O696)</f>
        <v>0.551725774420115</v>
      </c>
      <c r="Q696" s="5" t="s">
        <v>26</v>
      </c>
      <c r="R696" s="5" t="s">
        <v>27</v>
      </c>
    </row>
    <row r="697" customFormat="false" ht="15" hidden="false" customHeight="true" outlineLevel="0" collapsed="false">
      <c r="A697" s="5" t="s">
        <v>721</v>
      </c>
      <c r="B697" s="6" t="n">
        <v>6199138478.01</v>
      </c>
      <c r="C697" s="6" t="n">
        <v>0</v>
      </c>
      <c r="D697" s="6" t="n">
        <v>6199138478.01</v>
      </c>
      <c r="E697" s="6" t="n">
        <v>2293681.24</v>
      </c>
      <c r="F697" s="6" t="n">
        <v>3460.34</v>
      </c>
      <c r="G697" s="6" t="n">
        <f aca="false">E697+F697</f>
        <v>2297141.58</v>
      </c>
      <c r="H697" s="7" t="n">
        <f aca="false">IF(D697=0,0,C697/D697)</f>
        <v>0</v>
      </c>
      <c r="I697" s="7" t="n">
        <f aca="false">IF(D697=0,0,B697/D697)</f>
        <v>1</v>
      </c>
      <c r="J697" s="6" t="n">
        <f aca="false">E697*H697</f>
        <v>0</v>
      </c>
      <c r="K697" s="6" t="n">
        <f aca="false">E697*I697</f>
        <v>2293681.24</v>
      </c>
      <c r="L697" s="6" t="n">
        <v>0</v>
      </c>
      <c r="M697" s="6" t="n">
        <v>2293681.24</v>
      </c>
      <c r="N697" s="6" t="n">
        <v>1324152</v>
      </c>
      <c r="O697" s="6" t="n">
        <v>1406256</v>
      </c>
      <c r="P697" s="7" t="n">
        <f aca="false">IF(O697=0,"",(G697-O697)/O697)</f>
        <v>0.633515931665358</v>
      </c>
      <c r="Q697" s="5" t="s">
        <v>26</v>
      </c>
      <c r="R697" s="5" t="s">
        <v>27</v>
      </c>
    </row>
    <row r="698" customFormat="false" ht="15" hidden="false" customHeight="true" outlineLevel="0" collapsed="false">
      <c r="A698" s="5" t="s">
        <v>722</v>
      </c>
      <c r="B698" s="6" t="n">
        <v>6189611973.53</v>
      </c>
      <c r="C698" s="6" t="n">
        <v>0</v>
      </c>
      <c r="D698" s="6" t="n">
        <v>6189611973.53</v>
      </c>
      <c r="E698" s="6" t="n">
        <v>2290156.43</v>
      </c>
      <c r="F698" s="6" t="n">
        <v>5733.54</v>
      </c>
      <c r="G698" s="6" t="n">
        <f aca="false">E698+F698</f>
        <v>2295889.97</v>
      </c>
      <c r="H698" s="7" t="n">
        <f aca="false">IF(D698=0,0,C698/D698)</f>
        <v>0</v>
      </c>
      <c r="I698" s="7" t="n">
        <f aca="false">IF(D698=0,0,B698/D698)</f>
        <v>1</v>
      </c>
      <c r="J698" s="6" t="n">
        <f aca="false">E698*H698</f>
        <v>0</v>
      </c>
      <c r="K698" s="6" t="n">
        <f aca="false">E698*I698</f>
        <v>2290156.43</v>
      </c>
      <c r="L698" s="6" t="n">
        <v>0</v>
      </c>
      <c r="M698" s="6" t="n">
        <v>2290156.43</v>
      </c>
      <c r="N698" s="6" t="n">
        <v>1322546</v>
      </c>
      <c r="O698" s="6" t="n">
        <v>1404141</v>
      </c>
      <c r="P698" s="7" t="n">
        <f aca="false">IF(O698=0,"",(G698-O698)/O698)</f>
        <v>0.635085059121556</v>
      </c>
      <c r="Q698" s="5" t="s">
        <v>26</v>
      </c>
      <c r="R698" s="5" t="s">
        <v>27</v>
      </c>
    </row>
    <row r="699" customFormat="false" ht="15" hidden="false" customHeight="true" outlineLevel="0" collapsed="false">
      <c r="A699" s="5" t="s">
        <v>723</v>
      </c>
      <c r="B699" s="6" t="n">
        <v>5704397495.46</v>
      </c>
      <c r="C699" s="6" t="n">
        <v>0</v>
      </c>
      <c r="D699" s="6" t="n">
        <v>5704397495.46</v>
      </c>
      <c r="E699" s="6" t="n">
        <v>2110627.07</v>
      </c>
      <c r="F699" s="6" t="n">
        <v>2775.44</v>
      </c>
      <c r="G699" s="6" t="n">
        <f aca="false">E699+F699</f>
        <v>2113402.51</v>
      </c>
      <c r="H699" s="7" t="n">
        <f aca="false">IF(D699=0,0,C699/D699)</f>
        <v>0</v>
      </c>
      <c r="I699" s="7" t="n">
        <f aca="false">IF(D699=0,0,B699/D699)</f>
        <v>1</v>
      </c>
      <c r="J699" s="6" t="n">
        <f aca="false">E699*H699</f>
        <v>0</v>
      </c>
      <c r="K699" s="6" t="n">
        <f aca="false">E699*I699</f>
        <v>2110627.07</v>
      </c>
      <c r="L699" s="6" t="n">
        <v>0</v>
      </c>
      <c r="M699" s="6" t="n">
        <v>2110627.07</v>
      </c>
      <c r="N699" s="6" t="n">
        <v>1199108</v>
      </c>
      <c r="O699" s="6" t="n">
        <v>1273492</v>
      </c>
      <c r="P699" s="7" t="n">
        <f aca="false">IF(O699=0,"",(G699-O699)/O699)</f>
        <v>0.659533401073583</v>
      </c>
      <c r="Q699" s="5" t="s">
        <v>26</v>
      </c>
      <c r="R699" s="5" t="s">
        <v>27</v>
      </c>
    </row>
    <row r="700" customFormat="false" ht="15" hidden="false" customHeight="true" outlineLevel="0" collapsed="false">
      <c r="A700" s="5" t="s">
        <v>724</v>
      </c>
      <c r="B700" s="6" t="n">
        <v>6826966423.24</v>
      </c>
      <c r="C700" s="6" t="n">
        <v>0</v>
      </c>
      <c r="D700" s="6" t="n">
        <v>6826966423.24</v>
      </c>
      <c r="E700" s="6" t="n">
        <v>2525977.58</v>
      </c>
      <c r="F700" s="6" t="n">
        <v>3787.43</v>
      </c>
      <c r="G700" s="6" t="n">
        <f aca="false">E700+F700</f>
        <v>2529765.01</v>
      </c>
      <c r="H700" s="7" t="n">
        <f aca="false">IF(D700=0,0,C700/D700)</f>
        <v>0</v>
      </c>
      <c r="I700" s="7" t="n">
        <f aca="false">IF(D700=0,0,B700/D700)</f>
        <v>1</v>
      </c>
      <c r="J700" s="6" t="n">
        <f aca="false">E700*H700</f>
        <v>0</v>
      </c>
      <c r="K700" s="6" t="n">
        <f aca="false">E700*I700</f>
        <v>2525977.58</v>
      </c>
      <c r="L700" s="6" t="n">
        <v>0</v>
      </c>
      <c r="M700" s="6" t="n">
        <v>2525977.58</v>
      </c>
      <c r="N700" s="6" t="n">
        <v>1460444</v>
      </c>
      <c r="O700" s="6" t="n">
        <v>1550368</v>
      </c>
      <c r="P700" s="7" t="n">
        <f aca="false">IF(O700=0,"",(G700-O700)/O700)</f>
        <v>0.631719056378873</v>
      </c>
      <c r="Q700" s="5" t="s">
        <v>26</v>
      </c>
      <c r="R700" s="5" t="s">
        <v>27</v>
      </c>
    </row>
    <row r="701" customFormat="false" ht="15" hidden="false" customHeight="true" outlineLevel="0" collapsed="false">
      <c r="A701" s="5" t="s">
        <v>725</v>
      </c>
      <c r="B701" s="6" t="n">
        <v>4931816793.51</v>
      </c>
      <c r="C701" s="6" t="n">
        <v>0</v>
      </c>
      <c r="D701" s="6" t="n">
        <v>4931816793.51</v>
      </c>
      <c r="E701" s="6" t="n">
        <v>1824772.21</v>
      </c>
      <c r="F701" s="6" t="n">
        <v>2252.15</v>
      </c>
      <c r="G701" s="6" t="n">
        <f aca="false">E701+F701</f>
        <v>1827024.36</v>
      </c>
      <c r="H701" s="7" t="n">
        <f aca="false">IF(D701=0,0,C701/D701)</f>
        <v>0</v>
      </c>
      <c r="I701" s="7" t="n">
        <f aca="false">IF(D701=0,0,B701/D701)</f>
        <v>1</v>
      </c>
      <c r="J701" s="6" t="n">
        <f aca="false">E701*H701</f>
        <v>0</v>
      </c>
      <c r="K701" s="6" t="n">
        <f aca="false">E701*I701</f>
        <v>1824772.21</v>
      </c>
      <c r="L701" s="6" t="n">
        <v>0</v>
      </c>
      <c r="M701" s="6" t="n">
        <v>1824772.21</v>
      </c>
      <c r="N701" s="6" t="n">
        <v>1038066</v>
      </c>
      <c r="O701" s="6" t="n">
        <v>1102584</v>
      </c>
      <c r="P701" s="7" t="n">
        <f aca="false">IF(O701=0,"",(G701-O701)/O701)</f>
        <v>0.657038701813195</v>
      </c>
      <c r="Q701" s="5" t="s">
        <v>26</v>
      </c>
      <c r="R701" s="5" t="s">
        <v>27</v>
      </c>
    </row>
    <row r="702" customFormat="false" ht="15" hidden="false" customHeight="true" outlineLevel="0" collapsed="false">
      <c r="A702" s="5" t="s">
        <v>726</v>
      </c>
      <c r="B702" s="6" t="n">
        <v>2170024470.5</v>
      </c>
      <c r="C702" s="6" t="n">
        <v>0</v>
      </c>
      <c r="D702" s="6" t="n">
        <v>2170024470.5</v>
      </c>
      <c r="E702" s="6" t="n">
        <v>802909.05</v>
      </c>
      <c r="F702" s="6" t="n">
        <v>3205.06</v>
      </c>
      <c r="G702" s="6" t="n">
        <f aca="false">E702+F702</f>
        <v>806114.11</v>
      </c>
      <c r="H702" s="7" t="n">
        <f aca="false">IF(D702=0,0,C702/D702)</f>
        <v>0</v>
      </c>
      <c r="I702" s="7" t="n">
        <f aca="false">IF(D702=0,0,B702/D702)</f>
        <v>1</v>
      </c>
      <c r="J702" s="6" t="n">
        <f aca="false">E702*H702</f>
        <v>0</v>
      </c>
      <c r="K702" s="6" t="n">
        <f aca="false">E702*I702</f>
        <v>802909.05</v>
      </c>
      <c r="L702" s="6" t="n">
        <v>0</v>
      </c>
      <c r="M702" s="6" t="n">
        <v>802909.05</v>
      </c>
      <c r="N702" s="6" t="n">
        <v>496788</v>
      </c>
      <c r="O702" s="6" t="n">
        <v>527621</v>
      </c>
      <c r="P702" s="7" t="n">
        <f aca="false">IF(O702=0,"",(G702-O702)/O702)</f>
        <v>0.527827948470588</v>
      </c>
      <c r="Q702" s="5" t="s">
        <v>26</v>
      </c>
      <c r="R702" s="5" t="s">
        <v>27</v>
      </c>
    </row>
    <row r="703" customFormat="false" ht="15" hidden="false" customHeight="true" outlineLevel="0" collapsed="false">
      <c r="A703" s="5" t="s">
        <v>727</v>
      </c>
      <c r="B703" s="6" t="n">
        <v>2477853939.37</v>
      </c>
      <c r="C703" s="6" t="n">
        <v>0</v>
      </c>
      <c r="D703" s="6" t="n">
        <v>2477853939.37</v>
      </c>
      <c r="E703" s="6" t="n">
        <v>916805.96</v>
      </c>
      <c r="F703" s="6" t="n">
        <v>1746.97</v>
      </c>
      <c r="G703" s="6" t="n">
        <f aca="false">E703+F703</f>
        <v>918552.93</v>
      </c>
      <c r="H703" s="7" t="n">
        <f aca="false">IF(D703=0,0,C703/D703)</f>
        <v>0</v>
      </c>
      <c r="I703" s="7" t="n">
        <f aca="false">IF(D703=0,0,B703/D703)</f>
        <v>1</v>
      </c>
      <c r="J703" s="6" t="n">
        <f aca="false">E703*H703</f>
        <v>0</v>
      </c>
      <c r="K703" s="6" t="n">
        <f aca="false">E703*I703</f>
        <v>916805.96</v>
      </c>
      <c r="L703" s="6" t="n">
        <v>0</v>
      </c>
      <c r="M703" s="6" t="n">
        <v>916805.96</v>
      </c>
      <c r="N703" s="6" t="n">
        <v>562144</v>
      </c>
      <c r="O703" s="6" t="n">
        <v>596916</v>
      </c>
      <c r="P703" s="7" t="n">
        <f aca="false">IF(O703=0,"",(G703-O703)/O703)</f>
        <v>0.538831142070241</v>
      </c>
      <c r="Q703" s="5" t="s">
        <v>26</v>
      </c>
      <c r="R703" s="5" t="s">
        <v>27</v>
      </c>
    </row>
    <row r="704" customFormat="false" ht="15" hidden="false" customHeight="true" outlineLevel="0" collapsed="false">
      <c r="A704" s="5" t="s">
        <v>728</v>
      </c>
      <c r="B704" s="6" t="n">
        <v>2831191375.86</v>
      </c>
      <c r="C704" s="6" t="n">
        <v>0</v>
      </c>
      <c r="D704" s="6" t="n">
        <v>2831191375.86</v>
      </c>
      <c r="E704" s="6" t="n">
        <v>1047540.81</v>
      </c>
      <c r="F704" s="6" t="n">
        <v>1275.97</v>
      </c>
      <c r="G704" s="6" t="n">
        <f aca="false">E704+F704</f>
        <v>1048816.78</v>
      </c>
      <c r="H704" s="7" t="n">
        <f aca="false">IF(D704=0,0,C704/D704)</f>
        <v>0</v>
      </c>
      <c r="I704" s="7" t="n">
        <f aca="false">IF(D704=0,0,B704/D704)</f>
        <v>1</v>
      </c>
      <c r="J704" s="6" t="n">
        <f aca="false">E704*H704</f>
        <v>0</v>
      </c>
      <c r="K704" s="6" t="n">
        <f aca="false">E704*I704</f>
        <v>1047540.81</v>
      </c>
      <c r="L704" s="6" t="n">
        <v>0</v>
      </c>
      <c r="M704" s="6" t="n">
        <v>1047540.81</v>
      </c>
      <c r="N704" s="6" t="n">
        <v>642831</v>
      </c>
      <c r="O704" s="6" t="n">
        <v>682449</v>
      </c>
      <c r="P704" s="7" t="n">
        <f aca="false">IF(O704=0,"",(G704-O704)/O704)</f>
        <v>0.536842723778627</v>
      </c>
      <c r="Q704" s="5" t="s">
        <v>26</v>
      </c>
      <c r="R704" s="5" t="s">
        <v>27</v>
      </c>
    </row>
    <row r="705" customFormat="false" ht="15" hidden="false" customHeight="true" outlineLevel="0" collapsed="false">
      <c r="A705" s="5" t="s">
        <v>729</v>
      </c>
      <c r="B705" s="6" t="n">
        <v>6514487934.8</v>
      </c>
      <c r="C705" s="6" t="n">
        <v>0</v>
      </c>
      <c r="D705" s="6" t="n">
        <v>6514487934.8</v>
      </c>
      <c r="E705" s="6" t="n">
        <v>2410360.54</v>
      </c>
      <c r="F705" s="6" t="n">
        <v>4969.53</v>
      </c>
      <c r="G705" s="6" t="n">
        <f aca="false">E705+F705</f>
        <v>2415330.07</v>
      </c>
      <c r="H705" s="7" t="n">
        <f aca="false">IF(D705=0,0,C705/D705)</f>
        <v>0</v>
      </c>
      <c r="I705" s="7" t="n">
        <f aca="false">IF(D705=0,0,B705/D705)</f>
        <v>1</v>
      </c>
      <c r="J705" s="6" t="n">
        <f aca="false">E705*H705</f>
        <v>0</v>
      </c>
      <c r="K705" s="6" t="n">
        <f aca="false">E705*I705</f>
        <v>2410360.54</v>
      </c>
      <c r="L705" s="6" t="n">
        <v>0</v>
      </c>
      <c r="M705" s="6" t="n">
        <v>2410360.54</v>
      </c>
      <c r="N705" s="6" t="n">
        <v>1423948</v>
      </c>
      <c r="O705" s="6" t="n">
        <v>1512173</v>
      </c>
      <c r="P705" s="7" t="n">
        <f aca="false">IF(O705=0,"",(G705-O705)/O705)</f>
        <v>0.597257767464437</v>
      </c>
      <c r="Q705" s="5" t="s">
        <v>26</v>
      </c>
      <c r="R705" s="5" t="s">
        <v>27</v>
      </c>
    </row>
    <row r="706" customFormat="false" ht="15" hidden="false" customHeight="true" outlineLevel="0" collapsed="false">
      <c r="A706" s="5" t="s">
        <v>730</v>
      </c>
      <c r="B706" s="6" t="n">
        <v>9749391466.02</v>
      </c>
      <c r="C706" s="6" t="n">
        <v>0</v>
      </c>
      <c r="D706" s="6" t="n">
        <v>9749391466.02</v>
      </c>
      <c r="E706" s="6" t="n">
        <v>3607274.84</v>
      </c>
      <c r="F706" s="6" t="n">
        <v>4284.73</v>
      </c>
      <c r="G706" s="6" t="n">
        <f aca="false">E706+F706</f>
        <v>3611559.57</v>
      </c>
      <c r="H706" s="7" t="n">
        <f aca="false">IF(D706=0,0,C706/D706)</f>
        <v>0</v>
      </c>
      <c r="I706" s="7" t="n">
        <f aca="false">IF(D706=0,0,B706/D706)</f>
        <v>1</v>
      </c>
      <c r="J706" s="6" t="n">
        <f aca="false">E706*H706</f>
        <v>0</v>
      </c>
      <c r="K706" s="6" t="n">
        <f aca="false">E706*I706</f>
        <v>3607274.84</v>
      </c>
      <c r="L706" s="6" t="n">
        <v>0</v>
      </c>
      <c r="M706" s="6" t="n">
        <v>3607274.84</v>
      </c>
      <c r="N706" s="6" t="n">
        <v>2145623</v>
      </c>
      <c r="O706" s="6" t="n">
        <v>2277881</v>
      </c>
      <c r="P706" s="7" t="n">
        <f aca="false">IF(O706=0,"",(G706-O706)/O706)</f>
        <v>0.585490888242186</v>
      </c>
      <c r="Q706" s="5" t="s">
        <v>26</v>
      </c>
      <c r="R706" s="5" t="s">
        <v>27</v>
      </c>
    </row>
    <row r="707" customFormat="false" ht="15" hidden="false" customHeight="true" outlineLevel="0" collapsed="false">
      <c r="A707" s="5" t="s">
        <v>731</v>
      </c>
      <c r="B707" s="6" t="n">
        <v>8586739199.56</v>
      </c>
      <c r="C707" s="6" t="n">
        <v>0</v>
      </c>
      <c r="D707" s="6" t="n">
        <v>8586739199.56</v>
      </c>
      <c r="E707" s="6" t="n">
        <v>3177093.5</v>
      </c>
      <c r="F707" s="6" t="n">
        <v>5243.99</v>
      </c>
      <c r="G707" s="6" t="n">
        <f aca="false">E707+F707</f>
        <v>3182337.49</v>
      </c>
      <c r="H707" s="7" t="n">
        <f aca="false">IF(D707=0,0,C707/D707)</f>
        <v>0</v>
      </c>
      <c r="I707" s="7" t="n">
        <f aca="false">IF(D707=0,0,B707/D707)</f>
        <v>1</v>
      </c>
      <c r="J707" s="6" t="n">
        <f aca="false">E707*H707</f>
        <v>0</v>
      </c>
      <c r="K707" s="6" t="n">
        <f aca="false">E707*I707</f>
        <v>3177093.5</v>
      </c>
      <c r="L707" s="6" t="n">
        <v>0</v>
      </c>
      <c r="M707" s="6" t="n">
        <v>3177093.5</v>
      </c>
      <c r="N707" s="6" t="n">
        <v>1909969</v>
      </c>
      <c r="O707" s="6" t="n">
        <v>2028574</v>
      </c>
      <c r="P707" s="7" t="n">
        <f aca="false">IF(O707=0,"",(G707-O707)/O707)</f>
        <v>0.56875592904178</v>
      </c>
      <c r="Q707" s="5" t="s">
        <v>26</v>
      </c>
      <c r="R707" s="5" t="s">
        <v>27</v>
      </c>
    </row>
    <row r="708" customFormat="false" ht="15" hidden="false" customHeight="true" outlineLevel="0" collapsed="false">
      <c r="A708" s="5" t="s">
        <v>732</v>
      </c>
      <c r="B708" s="6" t="n">
        <v>5758061914.11</v>
      </c>
      <c r="C708" s="6" t="n">
        <v>0</v>
      </c>
      <c r="D708" s="6" t="n">
        <v>5758061914.11</v>
      </c>
      <c r="E708" s="6" t="n">
        <v>2130482.91</v>
      </c>
      <c r="F708" s="6" t="n">
        <v>2376.48</v>
      </c>
      <c r="G708" s="6" t="n">
        <f aca="false">E708+F708</f>
        <v>2132859.39</v>
      </c>
      <c r="H708" s="7" t="n">
        <f aca="false">IF(D708=0,0,C708/D708)</f>
        <v>0</v>
      </c>
      <c r="I708" s="7" t="n">
        <f aca="false">IF(D708=0,0,B708/D708)</f>
        <v>1</v>
      </c>
      <c r="J708" s="6" t="n">
        <f aca="false">E708*H708</f>
        <v>0</v>
      </c>
      <c r="K708" s="6" t="n">
        <f aca="false">E708*I708</f>
        <v>2130482.91</v>
      </c>
      <c r="L708" s="6" t="n">
        <v>0</v>
      </c>
      <c r="M708" s="6" t="n">
        <v>2130482.91</v>
      </c>
      <c r="N708" s="6" t="n">
        <v>1289136</v>
      </c>
      <c r="O708" s="6" t="n">
        <v>1368876</v>
      </c>
      <c r="P708" s="7" t="n">
        <f aca="false">IF(O708=0,"",(G708-O708)/O708)</f>
        <v>0.558110004120169</v>
      </c>
      <c r="Q708" s="5" t="s">
        <v>26</v>
      </c>
      <c r="R708" s="5" t="s">
        <v>27</v>
      </c>
    </row>
    <row r="709" customFormat="false" ht="15" hidden="false" customHeight="true" outlineLevel="0" collapsed="false">
      <c r="A709" s="5" t="s">
        <v>733</v>
      </c>
      <c r="B709" s="6" t="n">
        <v>7060976063.8</v>
      </c>
      <c r="C709" s="6" t="n">
        <v>0</v>
      </c>
      <c r="D709" s="6" t="n">
        <v>7060976063.8</v>
      </c>
      <c r="E709" s="6" t="n">
        <v>2612561.14</v>
      </c>
      <c r="F709" s="6" t="n">
        <v>2284.62</v>
      </c>
      <c r="G709" s="6" t="n">
        <f aca="false">E709+F709</f>
        <v>2614845.76</v>
      </c>
      <c r="H709" s="7" t="n">
        <f aca="false">IF(D709=0,0,C709/D709)</f>
        <v>0</v>
      </c>
      <c r="I709" s="7" t="n">
        <f aca="false">IF(D709=0,0,B709/D709)</f>
        <v>1</v>
      </c>
      <c r="J709" s="6" t="n">
        <f aca="false">E709*H709</f>
        <v>0</v>
      </c>
      <c r="K709" s="6" t="n">
        <f aca="false">E709*I709</f>
        <v>2612561.14</v>
      </c>
      <c r="L709" s="6" t="n">
        <v>0</v>
      </c>
      <c r="M709" s="6" t="n">
        <v>2612561.14</v>
      </c>
      <c r="N709" s="6" t="n">
        <v>1572104</v>
      </c>
      <c r="O709" s="6" t="n">
        <v>1669348</v>
      </c>
      <c r="P709" s="7" t="n">
        <f aca="false">IF(O709=0,"",(G709-O709)/O709)</f>
        <v>0.566387451867436</v>
      </c>
      <c r="Q709" s="5" t="s">
        <v>26</v>
      </c>
      <c r="R709" s="5" t="s">
        <v>27</v>
      </c>
    </row>
    <row r="710" customFormat="false" ht="15" hidden="false" customHeight="true" outlineLevel="0" collapsed="false">
      <c r="A710" s="5" t="s">
        <v>734</v>
      </c>
      <c r="B710" s="6" t="n">
        <v>3839502376.34</v>
      </c>
      <c r="C710" s="6" t="n">
        <v>0</v>
      </c>
      <c r="D710" s="6" t="n">
        <v>3839502376.34</v>
      </c>
      <c r="E710" s="6" t="n">
        <v>1420615.88</v>
      </c>
      <c r="F710" s="6" t="n">
        <v>4666.32</v>
      </c>
      <c r="G710" s="6" t="n">
        <f aca="false">E710+F710</f>
        <v>1425282.2</v>
      </c>
      <c r="H710" s="7" t="n">
        <f aca="false">IF(D710=0,0,C710/D710)</f>
        <v>0</v>
      </c>
      <c r="I710" s="7" t="n">
        <f aca="false">IF(D710=0,0,B710/D710)</f>
        <v>1</v>
      </c>
      <c r="J710" s="6" t="n">
        <f aca="false">E710*H710</f>
        <v>0</v>
      </c>
      <c r="K710" s="6" t="n">
        <f aca="false">E710*I710</f>
        <v>1420615.88</v>
      </c>
      <c r="L710" s="6" t="n">
        <v>0</v>
      </c>
      <c r="M710" s="6" t="n">
        <v>1420615.88</v>
      </c>
      <c r="N710" s="6" t="n">
        <v>823272</v>
      </c>
      <c r="O710" s="6" t="n">
        <v>874065</v>
      </c>
      <c r="P710" s="7" t="n">
        <f aca="false">IF(O710=0,"",(G710-O710)/O710)</f>
        <v>0.6306363943185</v>
      </c>
      <c r="Q710" s="5" t="s">
        <v>26</v>
      </c>
      <c r="R710" s="5" t="s">
        <v>27</v>
      </c>
    </row>
    <row r="711" customFormat="false" ht="15" hidden="false" customHeight="true" outlineLevel="0" collapsed="false">
      <c r="A711" s="5" t="s">
        <v>735</v>
      </c>
      <c r="B711" s="6" t="n">
        <v>3382764141.41</v>
      </c>
      <c r="C711" s="6" t="n">
        <v>0</v>
      </c>
      <c r="D711" s="6" t="n">
        <v>3382764141.41</v>
      </c>
      <c r="E711" s="6" t="n">
        <v>1251622.73</v>
      </c>
      <c r="F711" s="6" t="n">
        <v>3813.97</v>
      </c>
      <c r="G711" s="6" t="n">
        <f aca="false">E711+F711</f>
        <v>1255436.7</v>
      </c>
      <c r="H711" s="7" t="n">
        <f aca="false">IF(D711=0,0,C711/D711)</f>
        <v>0</v>
      </c>
      <c r="I711" s="7" t="n">
        <f aca="false">IF(D711=0,0,B711/D711)</f>
        <v>1</v>
      </c>
      <c r="J711" s="6" t="n">
        <f aca="false">E711*H711</f>
        <v>0</v>
      </c>
      <c r="K711" s="6" t="n">
        <f aca="false">E711*I711</f>
        <v>1251622.73</v>
      </c>
      <c r="L711" s="6" t="n">
        <v>0</v>
      </c>
      <c r="M711" s="6" t="n">
        <v>1251622.73</v>
      </c>
      <c r="N711" s="6" t="n">
        <v>759749</v>
      </c>
      <c r="O711" s="6" t="n">
        <v>806713</v>
      </c>
      <c r="P711" s="7" t="n">
        <f aca="false">IF(O711=0,"",(G711-O711)/O711)</f>
        <v>0.556237100431008</v>
      </c>
      <c r="Q711" s="5" t="s">
        <v>26</v>
      </c>
      <c r="R711" s="5" t="s">
        <v>27</v>
      </c>
    </row>
    <row r="712" customFormat="false" ht="15" hidden="false" customHeight="true" outlineLevel="0" collapsed="false">
      <c r="A712" s="5" t="s">
        <v>736</v>
      </c>
      <c r="B712" s="6" t="n">
        <v>6671543330.52</v>
      </c>
      <c r="C712" s="6" t="n">
        <v>0</v>
      </c>
      <c r="D712" s="6" t="n">
        <v>6671543330.52</v>
      </c>
      <c r="E712" s="6" t="n">
        <v>2468471.03</v>
      </c>
      <c r="F712" s="6" t="n">
        <v>12181.77</v>
      </c>
      <c r="G712" s="6" t="n">
        <f aca="false">E712+F712</f>
        <v>2480652.8</v>
      </c>
      <c r="H712" s="7" t="n">
        <f aca="false">IF(D712=0,0,C712/D712)</f>
        <v>0</v>
      </c>
      <c r="I712" s="7" t="n">
        <f aca="false">IF(D712=0,0,B712/D712)</f>
        <v>1</v>
      </c>
      <c r="J712" s="6" t="n">
        <f aca="false">E712*H712</f>
        <v>0</v>
      </c>
      <c r="K712" s="6" t="n">
        <f aca="false">E712*I712</f>
        <v>2468471.03</v>
      </c>
      <c r="L712" s="6" t="n">
        <v>0</v>
      </c>
      <c r="M712" s="6" t="n">
        <v>2468471.03</v>
      </c>
      <c r="N712" s="6" t="n">
        <v>1469659</v>
      </c>
      <c r="O712" s="6" t="n">
        <v>1560728</v>
      </c>
      <c r="P712" s="7" t="n">
        <f aca="false">IF(O712=0,"",(G712-O712)/O712)</f>
        <v>0.589420321798545</v>
      </c>
      <c r="Q712" s="5" t="s">
        <v>26</v>
      </c>
      <c r="R712" s="5" t="s">
        <v>27</v>
      </c>
    </row>
    <row r="713" customFormat="false" ht="15" hidden="false" customHeight="true" outlineLevel="0" collapsed="false">
      <c r="A713" s="5" t="s">
        <v>737</v>
      </c>
      <c r="B713" s="6" t="n">
        <v>4981695000.9</v>
      </c>
      <c r="C713" s="6" t="n">
        <v>0</v>
      </c>
      <c r="D713" s="6" t="n">
        <v>4981695000.9</v>
      </c>
      <c r="E713" s="6" t="n">
        <v>1843227.15</v>
      </c>
      <c r="F713" s="6" t="n">
        <v>5903.12</v>
      </c>
      <c r="G713" s="6" t="n">
        <f aca="false">E713+F713</f>
        <v>1849130.27</v>
      </c>
      <c r="H713" s="7" t="n">
        <f aca="false">IF(D713=0,0,C713/D713)</f>
        <v>0</v>
      </c>
      <c r="I713" s="7" t="n">
        <f aca="false">IF(D713=0,0,B713/D713)</f>
        <v>1</v>
      </c>
      <c r="J713" s="6" t="n">
        <f aca="false">E713*H713</f>
        <v>0</v>
      </c>
      <c r="K713" s="6" t="n">
        <f aca="false">E713*I713</f>
        <v>1843227.15</v>
      </c>
      <c r="L713" s="6" t="n">
        <v>0</v>
      </c>
      <c r="M713" s="6" t="n">
        <v>1843227.15</v>
      </c>
      <c r="N713" s="6" t="n">
        <v>1099343</v>
      </c>
      <c r="O713" s="6" t="n">
        <v>1167151</v>
      </c>
      <c r="P713" s="7" t="n">
        <f aca="false">IF(O713=0,"",(G713-O713)/O713)</f>
        <v>0.584311087425706</v>
      </c>
      <c r="Q713" s="5" t="s">
        <v>26</v>
      </c>
      <c r="R713" s="5" t="s">
        <v>27</v>
      </c>
    </row>
    <row r="714" customFormat="false" ht="15" hidden="false" customHeight="true" outlineLevel="0" collapsed="false">
      <c r="A714" s="5" t="s">
        <v>738</v>
      </c>
      <c r="B714" s="6" t="n">
        <v>5886017387.24</v>
      </c>
      <c r="C714" s="6" t="n">
        <v>0</v>
      </c>
      <c r="D714" s="6" t="n">
        <v>5886017387.24</v>
      </c>
      <c r="E714" s="6" t="n">
        <v>2177826.43</v>
      </c>
      <c r="F714" s="6" t="n">
        <v>8484.27</v>
      </c>
      <c r="G714" s="6" t="n">
        <f aca="false">E714+F714</f>
        <v>2186310.7</v>
      </c>
      <c r="H714" s="7" t="n">
        <f aca="false">IF(D714=0,0,C714/D714)</f>
        <v>0</v>
      </c>
      <c r="I714" s="7" t="n">
        <f aca="false">IF(D714=0,0,B714/D714)</f>
        <v>1</v>
      </c>
      <c r="J714" s="6" t="n">
        <f aca="false">E714*H714</f>
        <v>0</v>
      </c>
      <c r="K714" s="6" t="n">
        <f aca="false">E714*I714</f>
        <v>2177826.43</v>
      </c>
      <c r="L714" s="6" t="n">
        <v>0</v>
      </c>
      <c r="M714" s="6" t="n">
        <v>2177826.43</v>
      </c>
      <c r="N714" s="6" t="n">
        <v>1288676</v>
      </c>
      <c r="O714" s="6" t="n">
        <v>1368581</v>
      </c>
      <c r="P714" s="7" t="n">
        <f aca="false">IF(O714=0,"",(G714-O714)/O714)</f>
        <v>0.597501865070464</v>
      </c>
      <c r="Q714" s="5" t="s">
        <v>26</v>
      </c>
      <c r="R714" s="5" t="s">
        <v>27</v>
      </c>
    </row>
    <row r="715" customFormat="false" ht="15" hidden="false" customHeight="true" outlineLevel="0" collapsed="false">
      <c r="A715" s="5" t="s">
        <v>739</v>
      </c>
      <c r="B715" s="6" t="n">
        <v>5844761153.41</v>
      </c>
      <c r="C715" s="6" t="n">
        <v>0</v>
      </c>
      <c r="D715" s="6" t="n">
        <v>5844761153.41</v>
      </c>
      <c r="E715" s="6" t="n">
        <v>2162561.63</v>
      </c>
      <c r="F715" s="6" t="n">
        <v>10576.22</v>
      </c>
      <c r="G715" s="6" t="n">
        <f aca="false">E715+F715</f>
        <v>2173137.85</v>
      </c>
      <c r="H715" s="7" t="n">
        <f aca="false">IF(D715=0,0,C715/D715)</f>
        <v>0</v>
      </c>
      <c r="I715" s="7" t="n">
        <f aca="false">IF(D715=0,0,B715/D715)</f>
        <v>1</v>
      </c>
      <c r="J715" s="6" t="n">
        <f aca="false">E715*H715</f>
        <v>0</v>
      </c>
      <c r="K715" s="6" t="n">
        <f aca="false">E715*I715</f>
        <v>2162561.63</v>
      </c>
      <c r="L715" s="6" t="n">
        <v>0</v>
      </c>
      <c r="M715" s="6" t="n">
        <v>2162561.63</v>
      </c>
      <c r="N715" s="6" t="n">
        <v>1338031</v>
      </c>
      <c r="O715" s="6" t="n">
        <v>1420605</v>
      </c>
      <c r="P715" s="7" t="n">
        <f aca="false">IF(O715=0,"",(G715-O715)/O715)</f>
        <v>0.529727017714284</v>
      </c>
      <c r="Q715" s="5" t="s">
        <v>26</v>
      </c>
      <c r="R715" s="5" t="s">
        <v>27</v>
      </c>
    </row>
    <row r="716" customFormat="false" ht="15" hidden="false" customHeight="true" outlineLevel="0" collapsed="false">
      <c r="A716" s="5" t="s">
        <v>740</v>
      </c>
      <c r="B716" s="6" t="n">
        <v>4184147211.79</v>
      </c>
      <c r="C716" s="6" t="n">
        <v>0</v>
      </c>
      <c r="D716" s="6" t="n">
        <v>4184147211.79</v>
      </c>
      <c r="E716" s="6" t="n">
        <v>1548134.47</v>
      </c>
      <c r="F716" s="6" t="n">
        <v>8567.29</v>
      </c>
      <c r="G716" s="6" t="n">
        <f aca="false">E716+F716</f>
        <v>1556701.76</v>
      </c>
      <c r="H716" s="7" t="n">
        <f aca="false">IF(D716=0,0,C716/D716)</f>
        <v>0</v>
      </c>
      <c r="I716" s="7" t="n">
        <f aca="false">IF(D716=0,0,B716/D716)</f>
        <v>1</v>
      </c>
      <c r="J716" s="6" t="n">
        <f aca="false">E716*H716</f>
        <v>0</v>
      </c>
      <c r="K716" s="6" t="n">
        <f aca="false">E716*I716</f>
        <v>1548134.47</v>
      </c>
      <c r="L716" s="6" t="n">
        <v>0</v>
      </c>
      <c r="M716" s="6" t="n">
        <v>1548134.47</v>
      </c>
      <c r="N716" s="6" t="n">
        <v>939636</v>
      </c>
      <c r="O716" s="6" t="n">
        <v>997950</v>
      </c>
      <c r="P716" s="7" t="n">
        <f aca="false">IF(O716=0,"",(G716-O716)/O716)</f>
        <v>0.559899554085876</v>
      </c>
      <c r="Q716" s="5" t="s">
        <v>26</v>
      </c>
      <c r="R716" s="5" t="s">
        <v>27</v>
      </c>
    </row>
    <row r="717" customFormat="false" ht="15" hidden="false" customHeight="true" outlineLevel="0" collapsed="false">
      <c r="A717" s="5" t="s">
        <v>741</v>
      </c>
      <c r="B717" s="6" t="n">
        <v>2551647647.33</v>
      </c>
      <c r="C717" s="6" t="n">
        <v>0</v>
      </c>
      <c r="D717" s="6" t="n">
        <v>2551647647.33</v>
      </c>
      <c r="E717" s="6" t="n">
        <v>944109.63</v>
      </c>
      <c r="F717" s="6" t="n">
        <v>7304.72</v>
      </c>
      <c r="G717" s="6" t="n">
        <f aca="false">E717+F717</f>
        <v>951414.35</v>
      </c>
      <c r="H717" s="7" t="n">
        <f aca="false">IF(D717=0,0,C717/D717)</f>
        <v>0</v>
      </c>
      <c r="I717" s="7" t="n">
        <f aca="false">IF(D717=0,0,B717/D717)</f>
        <v>1</v>
      </c>
      <c r="J717" s="6" t="n">
        <f aca="false">E717*H717</f>
        <v>0</v>
      </c>
      <c r="K717" s="6" t="n">
        <f aca="false">E717*I717</f>
        <v>944109.63</v>
      </c>
      <c r="L717" s="6" t="n">
        <v>0</v>
      </c>
      <c r="M717" s="6" t="n">
        <v>944109.63</v>
      </c>
      <c r="N717" s="6" t="n">
        <v>592890</v>
      </c>
      <c r="O717" s="6" t="n">
        <v>629456</v>
      </c>
      <c r="P717" s="7" t="n">
        <f aca="false">IF(O717=0,"",(G717-O717)/O717)</f>
        <v>0.511486664675529</v>
      </c>
      <c r="Q717" s="5" t="s">
        <v>26</v>
      </c>
      <c r="R717" s="5" t="s">
        <v>27</v>
      </c>
    </row>
    <row r="718" customFormat="false" ht="15" hidden="false" customHeight="true" outlineLevel="0" collapsed="false">
      <c r="A718" s="5" t="s">
        <v>742</v>
      </c>
      <c r="B718" s="6" t="n">
        <v>3530006395.05</v>
      </c>
      <c r="C718" s="6" t="n">
        <v>0</v>
      </c>
      <c r="D718" s="6" t="n">
        <v>3530006395.05</v>
      </c>
      <c r="E718" s="6" t="n">
        <v>1306102.37</v>
      </c>
      <c r="F718" s="6" t="n">
        <v>5840.07</v>
      </c>
      <c r="G718" s="6" t="n">
        <f aca="false">E718+F718</f>
        <v>1311942.44</v>
      </c>
      <c r="H718" s="7" t="n">
        <f aca="false">IF(D718=0,0,C718/D718)</f>
        <v>0</v>
      </c>
      <c r="I718" s="7" t="n">
        <f aca="false">IF(D718=0,0,B718/D718)</f>
        <v>1</v>
      </c>
      <c r="J718" s="6" t="n">
        <f aca="false">E718*H718</f>
        <v>0</v>
      </c>
      <c r="K718" s="6" t="n">
        <f aca="false">E718*I718</f>
        <v>1306102.37</v>
      </c>
      <c r="L718" s="6" t="n">
        <v>0</v>
      </c>
      <c r="M718" s="6" t="n">
        <v>1306102.37</v>
      </c>
      <c r="N718" s="6" t="n">
        <v>793007</v>
      </c>
      <c r="O718" s="6" t="n">
        <v>842166</v>
      </c>
      <c r="P718" s="7" t="n">
        <f aca="false">IF(O718=0,"",(G718-O718)/O718)</f>
        <v>0.557819289783725</v>
      </c>
      <c r="Q718" s="5" t="s">
        <v>26</v>
      </c>
      <c r="R718" s="5" t="s">
        <v>27</v>
      </c>
    </row>
    <row r="719" customFormat="false" ht="15" hidden="false" customHeight="true" outlineLevel="0" collapsed="false">
      <c r="A719" s="5" t="s">
        <v>743</v>
      </c>
      <c r="B719" s="6" t="n">
        <v>4567961400.62</v>
      </c>
      <c r="C719" s="6" t="n">
        <v>0</v>
      </c>
      <c r="D719" s="6" t="n">
        <v>4567961400.62</v>
      </c>
      <c r="E719" s="6" t="n">
        <v>1690145.72</v>
      </c>
      <c r="F719" s="6" t="n">
        <v>3193.77</v>
      </c>
      <c r="G719" s="6" t="n">
        <f aca="false">E719+F719</f>
        <v>1693339.49</v>
      </c>
      <c r="H719" s="7" t="n">
        <f aca="false">IF(D719=0,0,C719/D719)</f>
        <v>0</v>
      </c>
      <c r="I719" s="7" t="n">
        <f aca="false">IF(D719=0,0,B719/D719)</f>
        <v>1</v>
      </c>
      <c r="J719" s="6" t="n">
        <f aca="false">E719*H719</f>
        <v>0</v>
      </c>
      <c r="K719" s="6" t="n">
        <f aca="false">E719*I719</f>
        <v>1690145.72</v>
      </c>
      <c r="L719" s="6" t="n">
        <v>0</v>
      </c>
      <c r="M719" s="6" t="n">
        <v>1690145.72</v>
      </c>
      <c r="N719" s="6" t="n">
        <v>1281707</v>
      </c>
      <c r="O719" s="6" t="n">
        <v>1360717</v>
      </c>
      <c r="P719" s="7" t="n">
        <f aca="false">IF(O719=0,"",(G719-O719)/O719)</f>
        <v>0.244446486668426</v>
      </c>
      <c r="Q719" s="5" t="s">
        <v>26</v>
      </c>
      <c r="R719" s="5" t="s">
        <v>27</v>
      </c>
    </row>
    <row r="720" customFormat="false" ht="15" hidden="false" customHeight="true" outlineLevel="0" collapsed="false">
      <c r="A720" s="5" t="s">
        <v>744</v>
      </c>
      <c r="B720" s="6" t="n">
        <v>4993697122.46</v>
      </c>
      <c r="C720" s="6" t="n">
        <v>0</v>
      </c>
      <c r="D720" s="6" t="n">
        <v>4993697122.46</v>
      </c>
      <c r="E720" s="6" t="n">
        <v>1847667.94</v>
      </c>
      <c r="F720" s="6" t="n">
        <v>4777.06</v>
      </c>
      <c r="G720" s="6" t="n">
        <f aca="false">E720+F720</f>
        <v>1852445</v>
      </c>
      <c r="H720" s="7" t="n">
        <f aca="false">IF(D720=0,0,C720/D720)</f>
        <v>0</v>
      </c>
      <c r="I720" s="7" t="n">
        <f aca="false">IF(D720=0,0,B720/D720)</f>
        <v>1</v>
      </c>
      <c r="J720" s="6" t="n">
        <f aca="false">E720*H720</f>
        <v>0</v>
      </c>
      <c r="K720" s="6" t="n">
        <f aca="false">E720*I720</f>
        <v>1847667.94</v>
      </c>
      <c r="L720" s="6" t="n">
        <v>0</v>
      </c>
      <c r="M720" s="6" t="n">
        <v>1847667.94</v>
      </c>
      <c r="N720" s="6" t="n">
        <v>1447785</v>
      </c>
      <c r="O720" s="6" t="n">
        <v>1537609</v>
      </c>
      <c r="P720" s="7" t="n">
        <f aca="false">IF(O720=0,"",(G720-O720)/O720)</f>
        <v>0.204756866017304</v>
      </c>
      <c r="Q720" s="5" t="s">
        <v>26</v>
      </c>
      <c r="R720" s="5" t="s">
        <v>27</v>
      </c>
    </row>
    <row r="721" customFormat="false" ht="15" hidden="false" customHeight="true" outlineLevel="0" collapsed="false">
      <c r="A721" s="5" t="s">
        <v>745</v>
      </c>
      <c r="B721" s="6" t="n">
        <v>5302496590.75</v>
      </c>
      <c r="C721" s="6" t="n">
        <v>0</v>
      </c>
      <c r="D721" s="6" t="n">
        <v>5302496590.75</v>
      </c>
      <c r="E721" s="6" t="n">
        <v>1961923.74</v>
      </c>
      <c r="F721" s="6" t="n">
        <v>5309.96</v>
      </c>
      <c r="G721" s="6" t="n">
        <f aca="false">E721+F721</f>
        <v>1967233.7</v>
      </c>
      <c r="H721" s="7" t="n">
        <f aca="false">IF(D721=0,0,C721/D721)</f>
        <v>0</v>
      </c>
      <c r="I721" s="7" t="n">
        <f aca="false">IF(D721=0,0,B721/D721)</f>
        <v>1</v>
      </c>
      <c r="J721" s="6" t="n">
        <f aca="false">E721*H721</f>
        <v>0</v>
      </c>
      <c r="K721" s="6" t="n">
        <f aca="false">E721*I721</f>
        <v>1961923.74</v>
      </c>
      <c r="L721" s="6" t="n">
        <v>0</v>
      </c>
      <c r="M721" s="6" t="n">
        <v>1961923.74</v>
      </c>
      <c r="N721" s="6" t="n">
        <v>1552175</v>
      </c>
      <c r="O721" s="6" t="n">
        <v>1648184</v>
      </c>
      <c r="P721" s="7" t="n">
        <f aca="false">IF(O721=0,"",(G721-O721)/O721)</f>
        <v>0.193576506021172</v>
      </c>
      <c r="Q721" s="5" t="s">
        <v>26</v>
      </c>
      <c r="R721" s="5" t="s">
        <v>27</v>
      </c>
    </row>
    <row r="722" customFormat="false" ht="15" hidden="false" customHeight="true" outlineLevel="0" collapsed="false">
      <c r="A722" s="5" t="s">
        <v>746</v>
      </c>
      <c r="B722" s="6" t="n">
        <v>10744450407.6</v>
      </c>
      <c r="C722" s="6" t="n">
        <v>0</v>
      </c>
      <c r="D722" s="6" t="n">
        <v>10744450407.6</v>
      </c>
      <c r="E722" s="6" t="n">
        <v>3975446.65</v>
      </c>
      <c r="F722" s="6" t="n">
        <v>5346.62</v>
      </c>
      <c r="G722" s="6" t="n">
        <f aca="false">E722+F722</f>
        <v>3980793.27</v>
      </c>
      <c r="H722" s="7" t="n">
        <f aca="false">IF(D722=0,0,C722/D722)</f>
        <v>0</v>
      </c>
      <c r="I722" s="7" t="n">
        <f aca="false">IF(D722=0,0,B722/D722)</f>
        <v>1</v>
      </c>
      <c r="J722" s="6" t="n">
        <f aca="false">E722*H722</f>
        <v>0</v>
      </c>
      <c r="K722" s="6" t="n">
        <f aca="false">E722*I722</f>
        <v>3975446.65</v>
      </c>
      <c r="L722" s="6" t="n">
        <v>0</v>
      </c>
      <c r="M722" s="6" t="n">
        <v>3975446.65</v>
      </c>
      <c r="N722" s="6" t="n">
        <v>3180904</v>
      </c>
      <c r="O722" s="6" t="n">
        <v>3377660</v>
      </c>
      <c r="P722" s="7" t="n">
        <f aca="false">IF(O722=0,"",(G722-O722)/O722)</f>
        <v>0.178565418070499</v>
      </c>
      <c r="Q722" s="5" t="s">
        <v>26</v>
      </c>
      <c r="R722" s="5" t="s">
        <v>27</v>
      </c>
    </row>
    <row r="723" customFormat="false" ht="15" hidden="false" customHeight="true" outlineLevel="0" collapsed="false">
      <c r="A723" s="5" t="s">
        <v>747</v>
      </c>
      <c r="B723" s="6" t="n">
        <v>9205104235.41</v>
      </c>
      <c r="C723" s="6" t="n">
        <v>0</v>
      </c>
      <c r="D723" s="6" t="n">
        <v>9205104235.41</v>
      </c>
      <c r="E723" s="6" t="n">
        <v>3405888.57</v>
      </c>
      <c r="F723" s="6" t="n">
        <v>5138.05</v>
      </c>
      <c r="G723" s="6" t="n">
        <f aca="false">E723+F723</f>
        <v>3411026.62</v>
      </c>
      <c r="H723" s="7" t="n">
        <f aca="false">IF(D723=0,0,C723/D723)</f>
        <v>0</v>
      </c>
      <c r="I723" s="7" t="n">
        <f aca="false">IF(D723=0,0,B723/D723)</f>
        <v>1</v>
      </c>
      <c r="J723" s="6" t="n">
        <f aca="false">E723*H723</f>
        <v>0</v>
      </c>
      <c r="K723" s="6" t="n">
        <f aca="false">E723*I723</f>
        <v>3405888.57</v>
      </c>
      <c r="L723" s="6" t="n">
        <v>0</v>
      </c>
      <c r="M723" s="6" t="n">
        <v>3405888.57</v>
      </c>
      <c r="N723" s="6" t="n">
        <v>2764942</v>
      </c>
      <c r="O723" s="6" t="n">
        <v>2935969</v>
      </c>
      <c r="P723" s="7" t="n">
        <f aca="false">IF(O723=0,"",(G723-O723)/O723)</f>
        <v>0.161806074927903</v>
      </c>
      <c r="Q723" s="5" t="s">
        <v>26</v>
      </c>
      <c r="R723" s="5" t="s">
        <v>27</v>
      </c>
    </row>
    <row r="724" customFormat="false" ht="15" hidden="false" customHeight="true" outlineLevel="0" collapsed="false">
      <c r="A724" s="5" t="s">
        <v>748</v>
      </c>
      <c r="B724" s="6" t="n">
        <v>5771644873.07</v>
      </c>
      <c r="C724" s="6" t="n">
        <v>0</v>
      </c>
      <c r="D724" s="6" t="n">
        <v>5771644873.07</v>
      </c>
      <c r="E724" s="6" t="n">
        <v>2135508.6</v>
      </c>
      <c r="F724" s="6" t="n">
        <v>3575.48</v>
      </c>
      <c r="G724" s="6" t="n">
        <f aca="false">E724+F724</f>
        <v>2139084.08</v>
      </c>
      <c r="H724" s="7" t="n">
        <f aca="false">IF(D724=0,0,C724/D724)</f>
        <v>0</v>
      </c>
      <c r="I724" s="7" t="n">
        <f aca="false">IF(D724=0,0,B724/D724)</f>
        <v>1</v>
      </c>
      <c r="J724" s="6" t="n">
        <f aca="false">E724*H724</f>
        <v>0</v>
      </c>
      <c r="K724" s="6" t="n">
        <f aca="false">E724*I724</f>
        <v>2135508.6</v>
      </c>
      <c r="L724" s="6" t="n">
        <v>0</v>
      </c>
      <c r="M724" s="6" t="n">
        <v>2135508.6</v>
      </c>
      <c r="N724" s="6" t="n">
        <v>1662874</v>
      </c>
      <c r="O724" s="6" t="n">
        <v>1764812</v>
      </c>
      <c r="P724" s="7" t="n">
        <f aca="false">IF(O724=0,"",(G724-O724)/O724)</f>
        <v>0.212074759237811</v>
      </c>
      <c r="Q724" s="5" t="s">
        <v>26</v>
      </c>
      <c r="R724" s="5" t="s">
        <v>27</v>
      </c>
    </row>
    <row r="725" customFormat="false" ht="15" hidden="false" customHeight="true" outlineLevel="0" collapsed="false">
      <c r="A725" s="5" t="s">
        <v>749</v>
      </c>
      <c r="B725" s="6" t="n">
        <v>6586463067.03</v>
      </c>
      <c r="C725" s="6" t="n">
        <v>0</v>
      </c>
      <c r="D725" s="6" t="n">
        <v>6586463067.03</v>
      </c>
      <c r="E725" s="6" t="n">
        <v>2436991.33</v>
      </c>
      <c r="F725" s="6" t="n">
        <v>5141.49</v>
      </c>
      <c r="G725" s="6" t="n">
        <f aca="false">E725+F725</f>
        <v>2442132.82</v>
      </c>
      <c r="H725" s="7" t="n">
        <f aca="false">IF(D725=0,0,C725/D725)</f>
        <v>0</v>
      </c>
      <c r="I725" s="7" t="n">
        <f aca="false">IF(D725=0,0,B725/D725)</f>
        <v>1</v>
      </c>
      <c r="J725" s="6" t="n">
        <f aca="false">E725*H725</f>
        <v>0</v>
      </c>
      <c r="K725" s="6" t="n">
        <f aca="false">E725*I725</f>
        <v>2436991.33</v>
      </c>
      <c r="L725" s="6" t="n">
        <v>0</v>
      </c>
      <c r="M725" s="6" t="n">
        <v>2436991.33</v>
      </c>
      <c r="N725" s="6" t="n">
        <v>1997512</v>
      </c>
      <c r="O725" s="6" t="n">
        <v>2121990</v>
      </c>
      <c r="P725" s="7" t="n">
        <f aca="false">IF(O725=0,"",(G725-O725)/O725)</f>
        <v>0.150869146414451</v>
      </c>
      <c r="Q725" s="5" t="s">
        <v>26</v>
      </c>
      <c r="R725" s="5" t="s">
        <v>27</v>
      </c>
    </row>
    <row r="726" customFormat="false" ht="15" hidden="false" customHeight="true" outlineLevel="0" collapsed="false">
      <c r="A726" s="5" t="s">
        <v>750</v>
      </c>
      <c r="B726" s="6" t="n">
        <v>11465187013.32</v>
      </c>
      <c r="C726" s="6" t="n">
        <v>0</v>
      </c>
      <c r="D726" s="6" t="n">
        <v>11465187013.32</v>
      </c>
      <c r="E726" s="6" t="n">
        <v>4242119.19</v>
      </c>
      <c r="F726" s="6" t="n">
        <v>6026.39</v>
      </c>
      <c r="G726" s="6" t="n">
        <f aca="false">E726+F726</f>
        <v>4248145.58</v>
      </c>
      <c r="H726" s="7" t="n">
        <f aca="false">IF(D726=0,0,C726/D726)</f>
        <v>0</v>
      </c>
      <c r="I726" s="7" t="n">
        <f aca="false">IF(D726=0,0,B726/D726)</f>
        <v>1</v>
      </c>
      <c r="J726" s="6" t="n">
        <f aca="false">E726*H726</f>
        <v>0</v>
      </c>
      <c r="K726" s="6" t="n">
        <f aca="false">E726*I726</f>
        <v>4242119.19</v>
      </c>
      <c r="L726" s="6" t="n">
        <v>0</v>
      </c>
      <c r="M726" s="6" t="n">
        <v>4242119.19</v>
      </c>
      <c r="N726" s="6" t="n">
        <v>3268612</v>
      </c>
      <c r="O726" s="6" t="n">
        <v>3470470</v>
      </c>
      <c r="P726" s="7" t="n">
        <f aca="false">IF(O726=0,"",(G726-O726)/O726)</f>
        <v>0.224083648612436</v>
      </c>
      <c r="Q726" s="5" t="s">
        <v>26</v>
      </c>
      <c r="R726" s="5" t="s">
        <v>27</v>
      </c>
    </row>
    <row r="727" customFormat="false" ht="15" hidden="false" customHeight="true" outlineLevel="0" collapsed="false">
      <c r="A727" s="5" t="s">
        <v>751</v>
      </c>
      <c r="B727" s="6" t="n">
        <v>8383620368.12</v>
      </c>
      <c r="C727" s="6" t="n">
        <v>0</v>
      </c>
      <c r="D727" s="6" t="n">
        <v>8383620368.12</v>
      </c>
      <c r="E727" s="6" t="n">
        <v>3101939.54</v>
      </c>
      <c r="F727" s="6" t="n">
        <v>3747.73</v>
      </c>
      <c r="G727" s="6" t="n">
        <f aca="false">E727+F727</f>
        <v>3105687.27</v>
      </c>
      <c r="H727" s="7" t="n">
        <f aca="false">IF(D727=0,0,C727/D727)</f>
        <v>0</v>
      </c>
      <c r="I727" s="7" t="n">
        <f aca="false">IF(D727=0,0,B727/D727)</f>
        <v>1</v>
      </c>
      <c r="J727" s="6" t="n">
        <f aca="false">E727*H727</f>
        <v>0</v>
      </c>
      <c r="K727" s="6" t="n">
        <f aca="false">E727*I727</f>
        <v>3101939.54</v>
      </c>
      <c r="L727" s="6" t="n">
        <v>0</v>
      </c>
      <c r="M727" s="6" t="n">
        <v>3101939.54</v>
      </c>
      <c r="N727" s="6" t="n">
        <v>2403255</v>
      </c>
      <c r="O727" s="6" t="n">
        <v>2552234</v>
      </c>
      <c r="P727" s="7" t="n">
        <f aca="false">IF(O727=0,"",(G727-O727)/O727)</f>
        <v>0.216850519975833</v>
      </c>
      <c r="Q727" s="5" t="s">
        <v>26</v>
      </c>
      <c r="R727" s="5" t="s">
        <v>27</v>
      </c>
    </row>
    <row r="728" customFormat="false" ht="15" hidden="false" customHeight="true" outlineLevel="0" collapsed="false">
      <c r="A728" s="5" t="s">
        <v>752</v>
      </c>
      <c r="B728" s="6" t="n">
        <v>7000956820.5</v>
      </c>
      <c r="C728" s="6" t="n">
        <v>0</v>
      </c>
      <c r="D728" s="6" t="n">
        <v>7000956820.5</v>
      </c>
      <c r="E728" s="6" t="n">
        <v>2590354.02</v>
      </c>
      <c r="F728" s="6" t="n">
        <v>3975.07</v>
      </c>
      <c r="G728" s="6" t="n">
        <f aca="false">E728+F728</f>
        <v>2594329.09</v>
      </c>
      <c r="H728" s="7" t="n">
        <f aca="false">IF(D728=0,0,C728/D728)</f>
        <v>0</v>
      </c>
      <c r="I728" s="7" t="n">
        <f aca="false">IF(D728=0,0,B728/D728)</f>
        <v>1</v>
      </c>
      <c r="J728" s="6" t="n">
        <f aca="false">E728*H728</f>
        <v>0</v>
      </c>
      <c r="K728" s="6" t="n">
        <f aca="false">E728*I728</f>
        <v>2590354.02</v>
      </c>
      <c r="L728" s="6" t="n">
        <v>0</v>
      </c>
      <c r="M728" s="6" t="n">
        <v>2590354.02</v>
      </c>
      <c r="N728" s="6" t="n">
        <v>1955155</v>
      </c>
      <c r="O728" s="6" t="n">
        <v>2075689</v>
      </c>
      <c r="P728" s="7" t="n">
        <f aca="false">IF(O728=0,"",(G728-O728)/O728)</f>
        <v>0.249864064414274</v>
      </c>
      <c r="Q728" s="5" t="s">
        <v>26</v>
      </c>
      <c r="R728" s="5" t="s">
        <v>27</v>
      </c>
    </row>
    <row r="729" customFormat="false" ht="15" hidden="false" customHeight="true" outlineLevel="0" collapsed="false">
      <c r="A729" s="5" t="s">
        <v>753</v>
      </c>
      <c r="B729" s="6" t="n">
        <v>7691386938.57</v>
      </c>
      <c r="C729" s="6" t="n">
        <v>0</v>
      </c>
      <c r="D729" s="6" t="n">
        <v>7691386938.57</v>
      </c>
      <c r="E729" s="6" t="n">
        <v>2845813.17</v>
      </c>
      <c r="F729" s="6" t="n">
        <v>5418.97</v>
      </c>
      <c r="G729" s="6" t="n">
        <f aca="false">E729+F729</f>
        <v>2851232.14</v>
      </c>
      <c r="H729" s="7" t="n">
        <f aca="false">IF(D729=0,0,C729/D729)</f>
        <v>0</v>
      </c>
      <c r="I729" s="7" t="n">
        <f aca="false">IF(D729=0,0,B729/D729)</f>
        <v>1</v>
      </c>
      <c r="J729" s="6" t="n">
        <f aca="false">E729*H729</f>
        <v>0</v>
      </c>
      <c r="K729" s="6" t="n">
        <f aca="false">E729*I729</f>
        <v>2845813.17</v>
      </c>
      <c r="L729" s="6" t="n">
        <v>0</v>
      </c>
      <c r="M729" s="6" t="n">
        <v>2845813.17</v>
      </c>
      <c r="N729" s="6" t="n">
        <v>2125697</v>
      </c>
      <c r="O729" s="6" t="n">
        <v>2257587</v>
      </c>
      <c r="P729" s="7" t="n">
        <f aca="false">IF(O729=0,"",(G729-O729)/O729)</f>
        <v>0.262955598167424</v>
      </c>
      <c r="Q729" s="5" t="s">
        <v>26</v>
      </c>
      <c r="R729" s="5" t="s">
        <v>27</v>
      </c>
    </row>
    <row r="730" customFormat="false" ht="15" hidden="false" customHeight="true" outlineLevel="0" collapsed="false">
      <c r="A730" s="5" t="s">
        <v>754</v>
      </c>
      <c r="B730" s="6" t="n">
        <v>6286215708.91</v>
      </c>
      <c r="C730" s="6" t="n">
        <v>0</v>
      </c>
      <c r="D730" s="6" t="n">
        <v>6286215708.91</v>
      </c>
      <c r="E730" s="6" t="n">
        <v>2325899.81</v>
      </c>
      <c r="F730" s="6" t="n">
        <v>4887.24</v>
      </c>
      <c r="G730" s="6" t="n">
        <f aca="false">E730+F730</f>
        <v>2330787.05</v>
      </c>
      <c r="H730" s="7" t="n">
        <f aca="false">IF(D730=0,0,C730/D730)</f>
        <v>0</v>
      </c>
      <c r="I730" s="7" t="n">
        <f aca="false">IF(D730=0,0,B730/D730)</f>
        <v>1</v>
      </c>
      <c r="J730" s="6" t="n">
        <f aca="false">E730*H730</f>
        <v>0</v>
      </c>
      <c r="K730" s="6" t="n">
        <f aca="false">E730*I730</f>
        <v>2325899.81</v>
      </c>
      <c r="L730" s="6" t="n">
        <v>0</v>
      </c>
      <c r="M730" s="6" t="n">
        <v>2325899.81</v>
      </c>
      <c r="N730" s="6" t="n">
        <v>1712441</v>
      </c>
      <c r="O730" s="6" t="n">
        <v>1817444</v>
      </c>
      <c r="P730" s="7" t="n">
        <f aca="false">IF(O730=0,"",(G730-O730)/O730)</f>
        <v>0.282453297047942</v>
      </c>
      <c r="Q730" s="5" t="s">
        <v>26</v>
      </c>
      <c r="R730" s="5" t="s">
        <v>27</v>
      </c>
    </row>
    <row r="731" customFormat="false" ht="15" hidden="false" customHeight="true" outlineLevel="0" collapsed="false">
      <c r="A731" s="5" t="s">
        <v>755</v>
      </c>
      <c r="B731" s="6" t="n">
        <v>4365168405.25</v>
      </c>
      <c r="C731" s="6" t="n">
        <v>0</v>
      </c>
      <c r="D731" s="6" t="n">
        <v>4365168405.25</v>
      </c>
      <c r="E731" s="6" t="n">
        <v>1615112.31</v>
      </c>
      <c r="F731" s="6" t="n">
        <v>2769.58</v>
      </c>
      <c r="G731" s="6" t="n">
        <f aca="false">E731+F731</f>
        <v>1617881.89</v>
      </c>
      <c r="H731" s="7" t="n">
        <f aca="false">IF(D731=0,0,C731/D731)</f>
        <v>0</v>
      </c>
      <c r="I731" s="7" t="n">
        <f aca="false">IF(D731=0,0,B731/D731)</f>
        <v>1</v>
      </c>
      <c r="J731" s="6" t="n">
        <f aca="false">E731*H731</f>
        <v>0</v>
      </c>
      <c r="K731" s="6" t="n">
        <f aca="false">E731*I731</f>
        <v>1615112.31</v>
      </c>
      <c r="L731" s="6" t="n">
        <v>0</v>
      </c>
      <c r="M731" s="6" t="n">
        <v>1615112.31</v>
      </c>
      <c r="N731" s="6" t="n">
        <v>1177900</v>
      </c>
      <c r="O731" s="6" t="n">
        <v>1251575</v>
      </c>
      <c r="P731" s="7" t="n">
        <f aca="false">IF(O731=0,"",(G731-O731)/O731)</f>
        <v>0.292676739308471</v>
      </c>
      <c r="Q731" s="5" t="s">
        <v>26</v>
      </c>
      <c r="R731" s="5" t="s">
        <v>27</v>
      </c>
    </row>
    <row r="732" customFormat="false" ht="15" hidden="false" customHeight="true" outlineLevel="0" collapsed="false">
      <c r="A732" s="5" t="s">
        <v>756</v>
      </c>
      <c r="B732" s="6" t="n">
        <v>7314944825.22</v>
      </c>
      <c r="C732" s="6" t="n">
        <v>0</v>
      </c>
      <c r="D732" s="6" t="n">
        <v>7314944825.22</v>
      </c>
      <c r="E732" s="6" t="n">
        <v>2706529.59</v>
      </c>
      <c r="F732" s="6" t="n">
        <v>2148.56</v>
      </c>
      <c r="G732" s="6" t="n">
        <f aca="false">E732+F732</f>
        <v>2708678.15</v>
      </c>
      <c r="H732" s="7" t="n">
        <f aca="false">IF(D732=0,0,C732/D732)</f>
        <v>0</v>
      </c>
      <c r="I732" s="7" t="n">
        <f aca="false">IF(D732=0,0,B732/D732)</f>
        <v>1</v>
      </c>
      <c r="J732" s="6" t="n">
        <f aca="false">E732*H732</f>
        <v>0</v>
      </c>
      <c r="K732" s="6" t="n">
        <f aca="false">E732*I732</f>
        <v>2706529.59</v>
      </c>
      <c r="L732" s="6" t="n">
        <v>0</v>
      </c>
      <c r="M732" s="6" t="n">
        <v>2706529.59</v>
      </c>
      <c r="N732" s="6" t="n">
        <v>2071821</v>
      </c>
      <c r="O732" s="6" t="n">
        <v>2197278</v>
      </c>
      <c r="P732" s="7" t="n">
        <f aca="false">IF(O732=0,"",(G732-O732)/O732)</f>
        <v>0.23274257968268</v>
      </c>
      <c r="Q732" s="5" t="s">
        <v>26</v>
      </c>
      <c r="R732" s="5" t="s">
        <v>27</v>
      </c>
    </row>
    <row r="733" customFormat="false" ht="15" hidden="false" customHeight="true" outlineLevel="0" collapsed="false">
      <c r="A733" s="5" t="s">
        <v>757</v>
      </c>
      <c r="B733" s="6" t="n">
        <v>9535736914.45</v>
      </c>
      <c r="C733" s="6" t="n">
        <v>0</v>
      </c>
      <c r="D733" s="6" t="n">
        <v>9535736914.45</v>
      </c>
      <c r="E733" s="6" t="n">
        <v>3528222.66</v>
      </c>
      <c r="F733" s="6" t="n">
        <v>2192.38</v>
      </c>
      <c r="G733" s="6" t="n">
        <f aca="false">E733+F733</f>
        <v>3530415.04</v>
      </c>
      <c r="H733" s="7" t="n">
        <f aca="false">IF(D733=0,0,C733/D733)</f>
        <v>0</v>
      </c>
      <c r="I733" s="7" t="n">
        <f aca="false">IF(D733=0,0,B733/D733)</f>
        <v>1</v>
      </c>
      <c r="J733" s="6" t="n">
        <f aca="false">E733*H733</f>
        <v>0</v>
      </c>
      <c r="K733" s="6" t="n">
        <f aca="false">E733*I733</f>
        <v>3528222.66</v>
      </c>
      <c r="L733" s="6" t="n">
        <v>0</v>
      </c>
      <c r="M733" s="6" t="n">
        <v>3528222.66</v>
      </c>
      <c r="N733" s="6" t="n">
        <v>2588316</v>
      </c>
      <c r="O733" s="6" t="n">
        <v>2751006</v>
      </c>
      <c r="P733" s="7" t="n">
        <f aca="false">IF(O733=0,"",(G733-O733)/O733)</f>
        <v>0.283317826278823</v>
      </c>
      <c r="Q733" s="5" t="s">
        <v>26</v>
      </c>
      <c r="R733" s="5" t="s">
        <v>27</v>
      </c>
    </row>
    <row r="734" customFormat="false" ht="15" hidden="false" customHeight="true" outlineLevel="0" collapsed="false">
      <c r="A734" s="5" t="s">
        <v>758</v>
      </c>
      <c r="B734" s="6" t="n">
        <v>11112341692.07</v>
      </c>
      <c r="C734" s="6" t="n">
        <v>0</v>
      </c>
      <c r="D734" s="6" t="n">
        <v>11112341692.07</v>
      </c>
      <c r="E734" s="6" t="n">
        <v>4111566.43</v>
      </c>
      <c r="F734" s="6" t="n">
        <v>1914.82</v>
      </c>
      <c r="G734" s="6" t="n">
        <f aca="false">E734+F734</f>
        <v>4113481.25</v>
      </c>
      <c r="H734" s="7" t="n">
        <f aca="false">IF(D734=0,0,C734/D734)</f>
        <v>0</v>
      </c>
      <c r="I734" s="7" t="n">
        <f aca="false">IF(D734=0,0,B734/D734)</f>
        <v>1</v>
      </c>
      <c r="J734" s="6" t="n">
        <f aca="false">E734*H734</f>
        <v>0</v>
      </c>
      <c r="K734" s="6" t="n">
        <f aca="false">E734*I734</f>
        <v>4111566.43</v>
      </c>
      <c r="L734" s="6" t="n">
        <v>0</v>
      </c>
      <c r="M734" s="6" t="n">
        <v>4111566.43</v>
      </c>
      <c r="N734" s="6" t="n">
        <v>3057049</v>
      </c>
      <c r="O734" s="6" t="n">
        <v>3246359</v>
      </c>
      <c r="P734" s="7" t="n">
        <f aca="false">IF(O734=0,"",(G734-O734)/O734)</f>
        <v>0.267106087157951</v>
      </c>
      <c r="Q734" s="5" t="s">
        <v>26</v>
      </c>
      <c r="R734" s="5" t="s">
        <v>27</v>
      </c>
    </row>
    <row r="735" customFormat="false" ht="15" hidden="false" customHeight="true" outlineLevel="0" collapsed="false">
      <c r="A735" s="5" t="s">
        <v>759</v>
      </c>
      <c r="B735" s="6" t="n">
        <v>17607432132.96</v>
      </c>
      <c r="C735" s="6" t="n">
        <v>0</v>
      </c>
      <c r="D735" s="6" t="n">
        <v>17607432132.96</v>
      </c>
      <c r="E735" s="6" t="n">
        <v>6514749.89</v>
      </c>
      <c r="F735" s="6" t="n">
        <v>3228.94</v>
      </c>
      <c r="G735" s="6" t="n">
        <f aca="false">E735+F735</f>
        <v>6517978.83</v>
      </c>
      <c r="H735" s="7" t="n">
        <f aca="false">IF(D735=0,0,C735/D735)</f>
        <v>0</v>
      </c>
      <c r="I735" s="7" t="n">
        <f aca="false">IF(D735=0,0,B735/D735)</f>
        <v>1</v>
      </c>
      <c r="J735" s="6" t="n">
        <f aca="false">E735*H735</f>
        <v>0</v>
      </c>
      <c r="K735" s="6" t="n">
        <f aca="false">E735*I735</f>
        <v>6514749.89</v>
      </c>
      <c r="L735" s="6" t="n">
        <v>0</v>
      </c>
      <c r="M735" s="6" t="n">
        <v>6514749.89</v>
      </c>
      <c r="N735" s="6" t="n">
        <v>4775512</v>
      </c>
      <c r="O735" s="6" t="n">
        <v>5070905</v>
      </c>
      <c r="P735" s="7" t="n">
        <f aca="false">IF(O735=0,"",(G735-O735)/O735)</f>
        <v>0.285367962917862</v>
      </c>
      <c r="Q735" s="5" t="s">
        <v>26</v>
      </c>
      <c r="R735" s="5" t="s">
        <v>27</v>
      </c>
    </row>
    <row r="736" customFormat="false" ht="15" hidden="false" customHeight="true" outlineLevel="0" collapsed="false">
      <c r="A736" s="5" t="s">
        <v>760</v>
      </c>
      <c r="B736" s="6" t="n">
        <v>11653389156.53</v>
      </c>
      <c r="C736" s="6" t="n">
        <v>0</v>
      </c>
      <c r="D736" s="6" t="n">
        <v>11653389156.53</v>
      </c>
      <c r="E736" s="6" t="n">
        <v>4311753.99</v>
      </c>
      <c r="F736" s="6" t="n">
        <v>40559.2</v>
      </c>
      <c r="G736" s="6" t="n">
        <f aca="false">E736+F736</f>
        <v>4352313.19</v>
      </c>
      <c r="H736" s="7" t="n">
        <f aca="false">IF(D736=0,0,C736/D736)</f>
        <v>0</v>
      </c>
      <c r="I736" s="7" t="n">
        <f aca="false">IF(D736=0,0,B736/D736)</f>
        <v>1</v>
      </c>
      <c r="J736" s="6" t="n">
        <f aca="false">E736*H736</f>
        <v>0</v>
      </c>
      <c r="K736" s="6" t="n">
        <f aca="false">E736*I736</f>
        <v>4311753.99</v>
      </c>
      <c r="L736" s="6" t="n">
        <v>0</v>
      </c>
      <c r="M736" s="6" t="n">
        <v>4311753.99</v>
      </c>
      <c r="N736" s="6" t="n">
        <v>3281122</v>
      </c>
      <c r="O736" s="6" t="n">
        <v>3484078</v>
      </c>
      <c r="P736" s="7" t="n">
        <f aca="false">IF(O736=0,"",(G736-O736)/O736)</f>
        <v>0.249200847397791</v>
      </c>
      <c r="Q736" s="5" t="s">
        <v>26</v>
      </c>
      <c r="R736" s="5" t="s">
        <v>27</v>
      </c>
    </row>
    <row r="737" customFormat="false" ht="15" hidden="false" customHeight="true" outlineLevel="0" collapsed="false">
      <c r="A737" s="5" t="s">
        <v>761</v>
      </c>
      <c r="B737" s="6" t="n">
        <v>13132043868.87</v>
      </c>
      <c r="C737" s="6" t="n">
        <v>0</v>
      </c>
      <c r="D737" s="6" t="n">
        <v>13132043868.87</v>
      </c>
      <c r="E737" s="6" t="n">
        <v>4858856.23</v>
      </c>
      <c r="F737" s="6" t="n">
        <v>143854.75</v>
      </c>
      <c r="G737" s="6" t="n">
        <f aca="false">E737+F737</f>
        <v>5002710.98</v>
      </c>
      <c r="H737" s="7" t="n">
        <f aca="false">IF(D737=0,0,C737/D737)</f>
        <v>0</v>
      </c>
      <c r="I737" s="7" t="n">
        <f aca="false">IF(D737=0,0,B737/D737)</f>
        <v>1</v>
      </c>
      <c r="J737" s="6" t="n">
        <f aca="false">E737*H737</f>
        <v>0</v>
      </c>
      <c r="K737" s="6" t="n">
        <f aca="false">E737*I737</f>
        <v>4858856.23</v>
      </c>
      <c r="L737" s="6" t="n">
        <v>0</v>
      </c>
      <c r="M737" s="6" t="n">
        <v>4858856.23</v>
      </c>
      <c r="N737" s="6" t="n">
        <v>3756733</v>
      </c>
      <c r="O737" s="6" t="n">
        <v>3987414</v>
      </c>
      <c r="P737" s="7" t="n">
        <f aca="false">IF(O737=0,"",(G737-O737)/O737)</f>
        <v>0.25462542389629</v>
      </c>
      <c r="Q737" s="5" t="s">
        <v>26</v>
      </c>
      <c r="R737" s="5" t="s">
        <v>27</v>
      </c>
    </row>
    <row r="738" customFormat="false" ht="15" hidden="false" customHeight="true" outlineLevel="0" collapsed="false">
      <c r="A738" s="5" t="s">
        <v>762</v>
      </c>
      <c r="B738" s="6" t="n">
        <v>7439669343.97</v>
      </c>
      <c r="C738" s="6" t="n">
        <v>0</v>
      </c>
      <c r="D738" s="6" t="n">
        <v>7439669343.97</v>
      </c>
      <c r="E738" s="6" t="n">
        <v>2752677.66</v>
      </c>
      <c r="F738" s="6" t="n">
        <v>38721.94</v>
      </c>
      <c r="G738" s="6" t="n">
        <f aca="false">E738+F738</f>
        <v>2791399.6</v>
      </c>
      <c r="H738" s="7" t="n">
        <f aca="false">IF(D738=0,0,C738/D738)</f>
        <v>0</v>
      </c>
      <c r="I738" s="7" t="n">
        <f aca="false">IF(D738=0,0,B738/D738)</f>
        <v>1</v>
      </c>
      <c r="J738" s="6" t="n">
        <f aca="false">E738*H738</f>
        <v>0</v>
      </c>
      <c r="K738" s="6" t="n">
        <f aca="false">E738*I738</f>
        <v>2752677.66</v>
      </c>
      <c r="L738" s="6" t="n">
        <v>0</v>
      </c>
      <c r="M738" s="6" t="n">
        <v>2752677.66</v>
      </c>
      <c r="N738" s="6" t="n">
        <v>1883745</v>
      </c>
      <c r="O738" s="6" t="n">
        <v>2001960</v>
      </c>
      <c r="P738" s="7" t="n">
        <f aca="false">IF(O738=0,"",(G738-O738)/O738)</f>
        <v>0.394333353313753</v>
      </c>
      <c r="Q738" s="5" t="s">
        <v>26</v>
      </c>
      <c r="R738" s="5" t="s">
        <v>27</v>
      </c>
    </row>
    <row r="739" customFormat="false" ht="15" hidden="false" customHeight="true" outlineLevel="0" collapsed="false">
      <c r="A739" s="5" t="s">
        <v>763</v>
      </c>
      <c r="B739" s="6" t="n">
        <v>9377129709.88</v>
      </c>
      <c r="C739" s="6" t="n">
        <v>0</v>
      </c>
      <c r="D739" s="6" t="n">
        <v>9377129709.88</v>
      </c>
      <c r="E739" s="6" t="n">
        <v>3469537.99</v>
      </c>
      <c r="F739" s="6" t="n">
        <v>168119.27</v>
      </c>
      <c r="G739" s="6" t="n">
        <f aca="false">E739+F739</f>
        <v>3637657.26</v>
      </c>
      <c r="H739" s="7" t="n">
        <f aca="false">IF(D739=0,0,C739/D739)</f>
        <v>0</v>
      </c>
      <c r="I739" s="7" t="n">
        <f aca="false">IF(D739=0,0,B739/D739)</f>
        <v>1</v>
      </c>
      <c r="J739" s="6" t="n">
        <f aca="false">E739*H739</f>
        <v>0</v>
      </c>
      <c r="K739" s="6" t="n">
        <f aca="false">E739*I739</f>
        <v>3469537.99</v>
      </c>
      <c r="L739" s="6" t="n">
        <v>0</v>
      </c>
      <c r="M739" s="6" t="n">
        <v>3469537.99</v>
      </c>
      <c r="N739" s="6" t="n">
        <v>2434658</v>
      </c>
      <c r="O739" s="6" t="n">
        <v>2585256</v>
      </c>
      <c r="P739" s="7" t="n">
        <f aca="false">IF(O739=0,"",(G739-O739)/O739)</f>
        <v>0.407078161698493</v>
      </c>
      <c r="Q739" s="5" t="s">
        <v>26</v>
      </c>
      <c r="R739" s="5" t="s">
        <v>27</v>
      </c>
    </row>
    <row r="740" customFormat="false" ht="15" hidden="false" customHeight="true" outlineLevel="0" collapsed="false">
      <c r="A740" s="5" t="s">
        <v>764</v>
      </c>
      <c r="B740" s="6" t="n">
        <v>7002792387.16</v>
      </c>
      <c r="C740" s="6" t="n">
        <v>0</v>
      </c>
      <c r="D740" s="6" t="n">
        <v>7002792387.16</v>
      </c>
      <c r="E740" s="6" t="n">
        <v>2591033.18</v>
      </c>
      <c r="F740" s="6" t="n">
        <v>127130.64</v>
      </c>
      <c r="G740" s="6" t="n">
        <f aca="false">E740+F740</f>
        <v>2718163.82</v>
      </c>
      <c r="H740" s="7" t="n">
        <f aca="false">IF(D740=0,0,C740/D740)</f>
        <v>0</v>
      </c>
      <c r="I740" s="7" t="n">
        <f aca="false">IF(D740=0,0,B740/D740)</f>
        <v>1</v>
      </c>
      <c r="J740" s="6" t="n">
        <f aca="false">E740*H740</f>
        <v>0</v>
      </c>
      <c r="K740" s="6" t="n">
        <f aca="false">E740*I740</f>
        <v>2591033.18</v>
      </c>
      <c r="L740" s="6" t="n">
        <v>0</v>
      </c>
      <c r="M740" s="6" t="n">
        <v>2591033.18</v>
      </c>
      <c r="N740" s="6" t="n">
        <v>1948708</v>
      </c>
      <c r="O740" s="6" t="n">
        <v>2069247</v>
      </c>
      <c r="P740" s="7" t="n">
        <f aca="false">IF(O740=0,"",(G740-O740)/O740)</f>
        <v>0.313600464323496</v>
      </c>
      <c r="Q740" s="5" t="s">
        <v>26</v>
      </c>
      <c r="R740" s="5" t="s">
        <v>27</v>
      </c>
    </row>
    <row r="741" customFormat="false" ht="15" hidden="false" customHeight="true" outlineLevel="0" collapsed="false">
      <c r="A741" s="5" t="s">
        <v>765</v>
      </c>
      <c r="B741" s="6" t="n">
        <v>11173683374.34</v>
      </c>
      <c r="C741" s="6" t="n">
        <v>0</v>
      </c>
      <c r="D741" s="6" t="n">
        <v>11173683374.34</v>
      </c>
      <c r="E741" s="6" t="n">
        <v>4134262.85</v>
      </c>
      <c r="F741" s="6" t="n">
        <v>218116.19</v>
      </c>
      <c r="G741" s="6" t="n">
        <f aca="false">E741+F741</f>
        <v>4352379.04</v>
      </c>
      <c r="H741" s="7" t="n">
        <f aca="false">IF(D741=0,0,C741/D741)</f>
        <v>0</v>
      </c>
      <c r="I741" s="7" t="n">
        <f aca="false">IF(D741=0,0,B741/D741)</f>
        <v>1</v>
      </c>
      <c r="J741" s="6" t="n">
        <f aca="false">E741*H741</f>
        <v>0</v>
      </c>
      <c r="K741" s="6" t="n">
        <f aca="false">E741*I741</f>
        <v>4134262.85</v>
      </c>
      <c r="L741" s="6" t="n">
        <v>0</v>
      </c>
      <c r="M741" s="6" t="n">
        <v>4134262.85</v>
      </c>
      <c r="N741" s="6" t="n">
        <v>3014974</v>
      </c>
      <c r="O741" s="6" t="n">
        <v>3201467</v>
      </c>
      <c r="P741" s="7" t="n">
        <f aca="false">IF(O741=0,"",(G741-O741)/O741)</f>
        <v>0.359495206416309</v>
      </c>
      <c r="Q741" s="5" t="s">
        <v>26</v>
      </c>
      <c r="R741" s="5" t="s">
        <v>27</v>
      </c>
    </row>
    <row r="742" customFormat="false" ht="15" hidden="false" customHeight="true" outlineLevel="0" collapsed="false">
      <c r="A742" s="5" t="s">
        <v>766</v>
      </c>
      <c r="B742" s="6" t="n">
        <v>9155802237.66</v>
      </c>
      <c r="C742" s="6" t="n">
        <v>0</v>
      </c>
      <c r="D742" s="6" t="n">
        <v>9155802237.66</v>
      </c>
      <c r="E742" s="6" t="n">
        <v>3387646.83</v>
      </c>
      <c r="F742" s="6" t="n">
        <v>80761.37</v>
      </c>
      <c r="G742" s="6" t="n">
        <f aca="false">E742+F742</f>
        <v>3468408.2</v>
      </c>
      <c r="H742" s="7" t="n">
        <f aca="false">IF(D742=0,0,C742/D742)</f>
        <v>0</v>
      </c>
      <c r="I742" s="7" t="n">
        <f aca="false">IF(D742=0,0,B742/D742)</f>
        <v>1</v>
      </c>
      <c r="J742" s="6" t="n">
        <f aca="false">E742*H742</f>
        <v>0</v>
      </c>
      <c r="K742" s="6" t="n">
        <f aca="false">E742*I742</f>
        <v>3387646.83</v>
      </c>
      <c r="L742" s="6" t="n">
        <v>0</v>
      </c>
      <c r="M742" s="6" t="n">
        <v>3387646.83</v>
      </c>
      <c r="N742" s="6" t="n">
        <v>2452815</v>
      </c>
      <c r="O742" s="6" t="n">
        <v>2604534</v>
      </c>
      <c r="P742" s="7" t="n">
        <f aca="false">IF(O742=0,"",(G742-O742)/O742)</f>
        <v>0.331680907217952</v>
      </c>
      <c r="Q742" s="5" t="s">
        <v>26</v>
      </c>
      <c r="R742" s="5" t="s">
        <v>27</v>
      </c>
    </row>
    <row r="743" customFormat="false" ht="15" hidden="false" customHeight="true" outlineLevel="0" collapsed="false">
      <c r="A743" s="5" t="s">
        <v>767</v>
      </c>
      <c r="B743" s="6" t="n">
        <v>10872328015.22</v>
      </c>
      <c r="C743" s="6" t="n">
        <v>0</v>
      </c>
      <c r="D743" s="6" t="n">
        <v>10872328015.22</v>
      </c>
      <c r="E743" s="6" t="n">
        <v>4022761.37</v>
      </c>
      <c r="F743" s="6" t="n">
        <v>37607.42</v>
      </c>
      <c r="G743" s="6" t="n">
        <f aca="false">E743+F743</f>
        <v>4060368.79</v>
      </c>
      <c r="H743" s="7" t="n">
        <f aca="false">IF(D743=0,0,C743/D743)</f>
        <v>0</v>
      </c>
      <c r="I743" s="7" t="n">
        <f aca="false">IF(D743=0,0,B743/D743)</f>
        <v>1</v>
      </c>
      <c r="J743" s="6" t="n">
        <f aca="false">E743*H743</f>
        <v>0</v>
      </c>
      <c r="K743" s="6" t="n">
        <f aca="false">E743*I743</f>
        <v>4022761.37</v>
      </c>
      <c r="L743" s="6" t="n">
        <v>0</v>
      </c>
      <c r="M743" s="6" t="n">
        <v>4022761.37</v>
      </c>
      <c r="N743" s="6" t="n">
        <v>3040621</v>
      </c>
      <c r="O743" s="6" t="n">
        <v>3227386</v>
      </c>
      <c r="P743" s="7" t="n">
        <f aca="false">IF(O743=0,"",(G743-O743)/O743)</f>
        <v>0.258098284494015</v>
      </c>
      <c r="Q743" s="5" t="s">
        <v>26</v>
      </c>
      <c r="R743" s="5" t="s">
        <v>27</v>
      </c>
    </row>
    <row r="744" customFormat="false" ht="15" hidden="false" customHeight="true" outlineLevel="0" collapsed="false">
      <c r="A744" s="5" t="s">
        <v>768</v>
      </c>
      <c r="B744" s="6" t="n">
        <v>10883704783.31</v>
      </c>
      <c r="C744" s="6" t="n">
        <v>0</v>
      </c>
      <c r="D744" s="6" t="n">
        <v>10883704783.31</v>
      </c>
      <c r="E744" s="6" t="n">
        <v>4026970.77</v>
      </c>
      <c r="F744" s="6" t="n">
        <v>29213.14</v>
      </c>
      <c r="G744" s="6" t="n">
        <f aca="false">E744+F744</f>
        <v>4056183.91</v>
      </c>
      <c r="H744" s="7" t="n">
        <f aca="false">IF(D744=0,0,C744/D744)</f>
        <v>0</v>
      </c>
      <c r="I744" s="7" t="n">
        <f aca="false">IF(D744=0,0,B744/D744)</f>
        <v>1</v>
      </c>
      <c r="J744" s="6" t="n">
        <f aca="false">E744*H744</f>
        <v>0</v>
      </c>
      <c r="K744" s="6" t="n">
        <f aca="false">E744*I744</f>
        <v>4026970.77</v>
      </c>
      <c r="L744" s="6" t="n">
        <v>0</v>
      </c>
      <c r="M744" s="6" t="n">
        <v>4026970.77</v>
      </c>
      <c r="N744" s="6" t="n">
        <v>2998143</v>
      </c>
      <c r="O744" s="6" t="n">
        <v>3184231</v>
      </c>
      <c r="P744" s="7" t="n">
        <f aca="false">IF(O744=0,"",(G744-O744)/O744)</f>
        <v>0.273834690385214</v>
      </c>
      <c r="Q744" s="5" t="s">
        <v>26</v>
      </c>
      <c r="R744" s="5" t="s">
        <v>27</v>
      </c>
    </row>
    <row r="745" customFormat="false" ht="15" hidden="false" customHeight="true" outlineLevel="0" collapsed="false">
      <c r="A745" s="5" t="s">
        <v>769</v>
      </c>
      <c r="B745" s="6" t="n">
        <v>4406569829.07</v>
      </c>
      <c r="C745" s="6" t="n">
        <v>0</v>
      </c>
      <c r="D745" s="6" t="n">
        <v>4406569829.07</v>
      </c>
      <c r="E745" s="6" t="n">
        <v>1630430.84</v>
      </c>
      <c r="F745" s="6" t="n">
        <v>17366.54</v>
      </c>
      <c r="G745" s="6" t="n">
        <f aca="false">E745+F745</f>
        <v>1647797.38</v>
      </c>
      <c r="H745" s="7" t="n">
        <f aca="false">IF(D745=0,0,C745/D745)</f>
        <v>0</v>
      </c>
      <c r="I745" s="7" t="n">
        <f aca="false">IF(D745=0,0,B745/D745)</f>
        <v>1</v>
      </c>
      <c r="J745" s="6" t="n">
        <f aca="false">E745*H745</f>
        <v>0</v>
      </c>
      <c r="K745" s="6" t="n">
        <f aca="false">E745*I745</f>
        <v>1630430.84</v>
      </c>
      <c r="L745" s="6" t="n">
        <v>0</v>
      </c>
      <c r="M745" s="6" t="n">
        <v>1630430.84</v>
      </c>
      <c r="N745" s="6" t="n">
        <v>1228420</v>
      </c>
      <c r="O745" s="6" t="n">
        <v>1305087</v>
      </c>
      <c r="P745" s="7" t="n">
        <f aca="false">IF(O745=0,"",(G745-O745)/O745)</f>
        <v>0.262595811620222</v>
      </c>
      <c r="Q745" s="5" t="s">
        <v>26</v>
      </c>
      <c r="R745" s="5" t="s">
        <v>27</v>
      </c>
    </row>
    <row r="746" customFormat="false" ht="15" hidden="false" customHeight="true" outlineLevel="0" collapsed="false">
      <c r="A746" s="5" t="s">
        <v>770</v>
      </c>
      <c r="B746" s="6" t="n">
        <v>3705323553.67</v>
      </c>
      <c r="C746" s="6" t="n">
        <v>0</v>
      </c>
      <c r="D746" s="6" t="n">
        <v>3705323553.67</v>
      </c>
      <c r="E746" s="6" t="n">
        <v>1370969.71</v>
      </c>
      <c r="F746" s="6" t="n">
        <v>15015.26</v>
      </c>
      <c r="G746" s="6" t="n">
        <f aca="false">E746+F746</f>
        <v>1385984.97</v>
      </c>
      <c r="H746" s="7" t="n">
        <f aca="false">IF(D746=0,0,C746/D746)</f>
        <v>0</v>
      </c>
      <c r="I746" s="7" t="n">
        <f aca="false">IF(D746=0,0,B746/D746)</f>
        <v>1</v>
      </c>
      <c r="J746" s="6" t="n">
        <f aca="false">E746*H746</f>
        <v>0</v>
      </c>
      <c r="K746" s="6" t="n">
        <f aca="false">E746*I746</f>
        <v>1370969.71</v>
      </c>
      <c r="L746" s="6" t="n">
        <v>0</v>
      </c>
      <c r="M746" s="6" t="n">
        <v>1370969.71</v>
      </c>
      <c r="N746" s="6" t="n">
        <v>1068838</v>
      </c>
      <c r="O746" s="6" t="n">
        <v>1134813</v>
      </c>
      <c r="P746" s="7" t="n">
        <f aca="false">IF(O746=0,"",(G746-O746)/O746)</f>
        <v>0.221333356244597</v>
      </c>
      <c r="Q746" s="5" t="s">
        <v>26</v>
      </c>
      <c r="R746" s="5" t="s">
        <v>27</v>
      </c>
    </row>
    <row r="747" customFormat="false" ht="15" hidden="false" customHeight="true" outlineLevel="0" collapsed="false">
      <c r="A747" s="5" t="s">
        <v>771</v>
      </c>
      <c r="B747" s="6" t="n">
        <v>6302813236.9</v>
      </c>
      <c r="C747" s="6" t="n">
        <v>0</v>
      </c>
      <c r="D747" s="6" t="n">
        <v>6302813236.9</v>
      </c>
      <c r="E747" s="6" t="n">
        <v>2332040.9</v>
      </c>
      <c r="F747" s="6" t="n">
        <v>27506.52</v>
      </c>
      <c r="G747" s="6" t="n">
        <f aca="false">E747+F747</f>
        <v>2359547.42</v>
      </c>
      <c r="H747" s="7" t="n">
        <f aca="false">IF(D747=0,0,C747/D747)</f>
        <v>0</v>
      </c>
      <c r="I747" s="7" t="n">
        <f aca="false">IF(D747=0,0,B747/D747)</f>
        <v>1</v>
      </c>
      <c r="J747" s="6" t="n">
        <f aca="false">E747*H747</f>
        <v>0</v>
      </c>
      <c r="K747" s="6" t="n">
        <f aca="false">E747*I747</f>
        <v>2332040.9</v>
      </c>
      <c r="L747" s="6" t="n">
        <v>0</v>
      </c>
      <c r="M747" s="6" t="n">
        <v>2332040.9</v>
      </c>
      <c r="N747" s="6" t="n">
        <v>1777312</v>
      </c>
      <c r="O747" s="6" t="n">
        <v>1887388</v>
      </c>
      <c r="P747" s="7" t="n">
        <f aca="false">IF(O747=0,"",(G747-O747)/O747)</f>
        <v>0.250165530352</v>
      </c>
      <c r="Q747" s="5" t="s">
        <v>26</v>
      </c>
      <c r="R747" s="5" t="s">
        <v>27</v>
      </c>
    </row>
    <row r="748" customFormat="false" ht="15" hidden="false" customHeight="true" outlineLevel="0" collapsed="false">
      <c r="A748" s="5" t="s">
        <v>772</v>
      </c>
      <c r="B748" s="6" t="n">
        <v>7303712733.69</v>
      </c>
      <c r="C748" s="6" t="n">
        <v>0</v>
      </c>
      <c r="D748" s="6" t="n">
        <v>7303712733.69</v>
      </c>
      <c r="E748" s="6" t="n">
        <v>2702373.71</v>
      </c>
      <c r="F748" s="6" t="n">
        <v>30388.39</v>
      </c>
      <c r="G748" s="6" t="n">
        <f aca="false">E748+F748</f>
        <v>2732762.1</v>
      </c>
      <c r="H748" s="7" t="n">
        <f aca="false">IF(D748=0,0,C748/D748)</f>
        <v>0</v>
      </c>
      <c r="I748" s="7" t="n">
        <f aca="false">IF(D748=0,0,B748/D748)</f>
        <v>1</v>
      </c>
      <c r="J748" s="6" t="n">
        <f aca="false">E748*H748</f>
        <v>0</v>
      </c>
      <c r="K748" s="6" t="n">
        <f aca="false">E748*I748</f>
        <v>2702373.71</v>
      </c>
      <c r="L748" s="6" t="n">
        <v>0</v>
      </c>
      <c r="M748" s="6" t="n">
        <v>2702373.71</v>
      </c>
      <c r="N748" s="6" t="n">
        <v>2101528</v>
      </c>
      <c r="O748" s="6" t="n">
        <v>2231020</v>
      </c>
      <c r="P748" s="7" t="n">
        <f aca="false">IF(O748=0,"",(G748-O748)/O748)</f>
        <v>0.224893591272154</v>
      </c>
      <c r="Q748" s="5" t="s">
        <v>26</v>
      </c>
      <c r="R748" s="5" t="s">
        <v>27</v>
      </c>
    </row>
    <row r="749" customFormat="false" ht="15" hidden="false" customHeight="true" outlineLevel="0" collapsed="false">
      <c r="A749" s="5" t="s">
        <v>773</v>
      </c>
      <c r="B749" s="6" t="n">
        <v>5792362513.07</v>
      </c>
      <c r="C749" s="6" t="n">
        <v>0</v>
      </c>
      <c r="D749" s="6" t="n">
        <v>5792362513.07</v>
      </c>
      <c r="E749" s="6" t="n">
        <v>2143174.13</v>
      </c>
      <c r="F749" s="6" t="n">
        <v>28977.49</v>
      </c>
      <c r="G749" s="6" t="n">
        <f aca="false">E749+F749</f>
        <v>2172151.62</v>
      </c>
      <c r="H749" s="7" t="n">
        <f aca="false">IF(D749=0,0,C749/D749)</f>
        <v>0</v>
      </c>
      <c r="I749" s="7" t="n">
        <f aca="false">IF(D749=0,0,B749/D749)</f>
        <v>1</v>
      </c>
      <c r="J749" s="6" t="n">
        <f aca="false">E749*H749</f>
        <v>0</v>
      </c>
      <c r="K749" s="6" t="n">
        <f aca="false">E749*I749</f>
        <v>2143174.13</v>
      </c>
      <c r="L749" s="6" t="n">
        <v>0</v>
      </c>
      <c r="M749" s="6" t="n">
        <v>2143174.13</v>
      </c>
      <c r="N749" s="6" t="n">
        <v>1643750</v>
      </c>
      <c r="O749" s="6" t="n">
        <v>1745925</v>
      </c>
      <c r="P749" s="7" t="n">
        <f aca="false">IF(O749=0,"",(G749-O749)/O749)</f>
        <v>0.244126534644959</v>
      </c>
      <c r="Q749" s="5" t="s">
        <v>26</v>
      </c>
      <c r="R749" s="5" t="s">
        <v>27</v>
      </c>
    </row>
    <row r="750" customFormat="false" ht="15" hidden="false" customHeight="true" outlineLevel="0" collapsed="false">
      <c r="A750" s="5" t="s">
        <v>774</v>
      </c>
      <c r="B750" s="6" t="n">
        <v>10473782981.78</v>
      </c>
      <c r="C750" s="6" t="n">
        <v>0</v>
      </c>
      <c r="D750" s="6" t="n">
        <v>10473782981.78</v>
      </c>
      <c r="E750" s="6" t="n">
        <v>3875299.7</v>
      </c>
      <c r="F750" s="6" t="n">
        <v>36538.85</v>
      </c>
      <c r="G750" s="6" t="n">
        <f aca="false">E750+F750</f>
        <v>3911838.55</v>
      </c>
      <c r="H750" s="7" t="n">
        <f aca="false">IF(D750=0,0,C750/D750)</f>
        <v>0</v>
      </c>
      <c r="I750" s="7" t="n">
        <f aca="false">IF(D750=0,0,B750/D750)</f>
        <v>1</v>
      </c>
      <c r="J750" s="6" t="n">
        <f aca="false">E750*H750</f>
        <v>0</v>
      </c>
      <c r="K750" s="6" t="n">
        <f aca="false">E750*I750</f>
        <v>3875299.7</v>
      </c>
      <c r="L750" s="6" t="n">
        <v>0</v>
      </c>
      <c r="M750" s="6" t="n">
        <v>3875299.7</v>
      </c>
      <c r="N750" s="6" t="n">
        <v>3007634</v>
      </c>
      <c r="O750" s="6" t="n">
        <v>3193674</v>
      </c>
      <c r="P750" s="7" t="n">
        <f aca="false">IF(O750=0,"",(G750-O750)/O750)</f>
        <v>0.224870963661288</v>
      </c>
      <c r="Q750" s="5" t="s">
        <v>26</v>
      </c>
      <c r="R750" s="5" t="s">
        <v>27</v>
      </c>
    </row>
    <row r="751" customFormat="false" ht="15" hidden="false" customHeight="true" outlineLevel="0" collapsed="false">
      <c r="A751" s="5" t="s">
        <v>775</v>
      </c>
      <c r="B751" s="6" t="n">
        <v>6130444265.57</v>
      </c>
      <c r="C751" s="6" t="n">
        <v>0</v>
      </c>
      <c r="D751" s="6" t="n">
        <v>6130444265.57</v>
      </c>
      <c r="E751" s="6" t="n">
        <v>2268264.38</v>
      </c>
      <c r="F751" s="6" t="n">
        <v>16234.04</v>
      </c>
      <c r="G751" s="6" t="n">
        <f aca="false">E751+F751</f>
        <v>2284498.42</v>
      </c>
      <c r="H751" s="7" t="n">
        <f aca="false">IF(D751=0,0,C751/D751)</f>
        <v>0</v>
      </c>
      <c r="I751" s="7" t="n">
        <f aca="false">IF(D751=0,0,B751/D751)</f>
        <v>1</v>
      </c>
      <c r="J751" s="6" t="n">
        <f aca="false">E751*H751</f>
        <v>0</v>
      </c>
      <c r="K751" s="6" t="n">
        <f aca="false">E751*I751</f>
        <v>2268264.38</v>
      </c>
      <c r="L751" s="6" t="n">
        <v>0</v>
      </c>
      <c r="M751" s="6" t="n">
        <v>2268264.38</v>
      </c>
      <c r="N751" s="6" t="n">
        <v>1813845</v>
      </c>
      <c r="O751" s="6" t="n">
        <v>1926041</v>
      </c>
      <c r="P751" s="7" t="n">
        <f aca="false">IF(O751=0,"",(G751-O751)/O751)</f>
        <v>0.18611100179072</v>
      </c>
      <c r="Q751" s="5" t="s">
        <v>26</v>
      </c>
      <c r="R751" s="5" t="s">
        <v>27</v>
      </c>
    </row>
    <row r="752" customFormat="false" ht="15" hidden="false" customHeight="true" outlineLevel="0" collapsed="false">
      <c r="A752" s="5" t="s">
        <v>776</v>
      </c>
      <c r="B752" s="6" t="n">
        <v>3033732963.31</v>
      </c>
      <c r="C752" s="6" t="n">
        <v>0</v>
      </c>
      <c r="D752" s="6" t="n">
        <v>3033732963.31</v>
      </c>
      <c r="E752" s="6" t="n">
        <v>1122481.2</v>
      </c>
      <c r="F752" s="6" t="n">
        <v>11181.6</v>
      </c>
      <c r="G752" s="6" t="n">
        <f aca="false">E752+F752</f>
        <v>1133662.8</v>
      </c>
      <c r="H752" s="7" t="n">
        <f aca="false">IF(D752=0,0,C752/D752)</f>
        <v>0</v>
      </c>
      <c r="I752" s="7" t="n">
        <f aca="false">IF(D752=0,0,B752/D752)</f>
        <v>1</v>
      </c>
      <c r="J752" s="6" t="n">
        <f aca="false">E752*H752</f>
        <v>0</v>
      </c>
      <c r="K752" s="6" t="n">
        <f aca="false">E752*I752</f>
        <v>1122481.2</v>
      </c>
      <c r="L752" s="6" t="n">
        <v>0</v>
      </c>
      <c r="M752" s="6" t="n">
        <v>1122481.2</v>
      </c>
      <c r="N752" s="6" t="n">
        <v>891466</v>
      </c>
      <c r="O752" s="6" t="n">
        <v>946608</v>
      </c>
      <c r="P752" s="7" t="n">
        <f aca="false">IF(O752=0,"",(G752-O752)/O752)</f>
        <v>0.197605344556564</v>
      </c>
      <c r="Q752" s="5" t="s">
        <v>26</v>
      </c>
      <c r="R752" s="5" t="s">
        <v>27</v>
      </c>
    </row>
    <row r="753" customFormat="false" ht="15" hidden="false" customHeight="true" outlineLevel="0" collapsed="false">
      <c r="A753" s="5" t="s">
        <v>777</v>
      </c>
      <c r="B753" s="6" t="n">
        <v>3121700687.69</v>
      </c>
      <c r="C753" s="6" t="n">
        <v>0</v>
      </c>
      <c r="D753" s="6" t="n">
        <v>3121700687.69</v>
      </c>
      <c r="E753" s="6" t="n">
        <v>1155029.25</v>
      </c>
      <c r="F753" s="6" t="n">
        <v>13536.09</v>
      </c>
      <c r="G753" s="6" t="n">
        <f aca="false">E753+F753</f>
        <v>1168565.34</v>
      </c>
      <c r="H753" s="7" t="n">
        <f aca="false">IF(D753=0,0,C753/D753)</f>
        <v>0</v>
      </c>
      <c r="I753" s="7" t="n">
        <f aca="false">IF(D753=0,0,B753/D753)</f>
        <v>1</v>
      </c>
      <c r="J753" s="6" t="n">
        <f aca="false">E753*H753</f>
        <v>0</v>
      </c>
      <c r="K753" s="6" t="n">
        <f aca="false">E753*I753</f>
        <v>1155029.25</v>
      </c>
      <c r="L753" s="6" t="n">
        <v>0</v>
      </c>
      <c r="M753" s="6" t="n">
        <v>1155029.25</v>
      </c>
      <c r="N753" s="6"/>
      <c r="O753" s="6"/>
      <c r="P753" s="7"/>
      <c r="Q753" s="5" t="s">
        <v>26</v>
      </c>
      <c r="R753" s="5" t="s">
        <v>27</v>
      </c>
    </row>
    <row r="754" customFormat="false" ht="15" hidden="false" customHeight="true" outlineLevel="0" collapsed="false">
      <c r="A754" s="5" t="s">
        <v>778</v>
      </c>
      <c r="B754" s="6" t="n">
        <v>7946952907.38</v>
      </c>
      <c r="C754" s="6" t="n">
        <v>0</v>
      </c>
      <c r="D754" s="6" t="n">
        <v>7946952907.38</v>
      </c>
      <c r="E754" s="6" t="n">
        <v>2940372.58</v>
      </c>
      <c r="F754" s="6" t="n">
        <v>22722.46</v>
      </c>
      <c r="G754" s="6" t="n">
        <f aca="false">E754+F754</f>
        <v>2963095.04</v>
      </c>
      <c r="H754" s="7" t="n">
        <f aca="false">IF(D754=0,0,C754/D754)</f>
        <v>0</v>
      </c>
      <c r="I754" s="7" t="n">
        <f aca="false">IF(D754=0,0,B754/D754)</f>
        <v>1</v>
      </c>
      <c r="J754" s="6" t="n">
        <f aca="false">E754*H754</f>
        <v>0</v>
      </c>
      <c r="K754" s="6" t="n">
        <f aca="false">E754*I754</f>
        <v>2940372.58</v>
      </c>
      <c r="L754" s="6" t="n">
        <v>0</v>
      </c>
      <c r="M754" s="6" t="n">
        <v>2940372.58</v>
      </c>
      <c r="N754" s="6"/>
      <c r="O754" s="6"/>
      <c r="P754" s="7"/>
      <c r="Q754" s="5" t="s">
        <v>26</v>
      </c>
      <c r="R754" s="5" t="s">
        <v>27</v>
      </c>
    </row>
    <row r="755" customFormat="false" ht="15" hidden="false" customHeight="true" outlineLevel="0" collapsed="false">
      <c r="A755" s="5" t="s">
        <v>779</v>
      </c>
      <c r="B755" s="6" t="n">
        <v>8868062326.58</v>
      </c>
      <c r="C755" s="6" t="n">
        <v>0</v>
      </c>
      <c r="D755" s="6" t="n">
        <v>8868062326.58</v>
      </c>
      <c r="E755" s="6" t="n">
        <v>3281183.06</v>
      </c>
      <c r="F755" s="6" t="n">
        <v>40799.24</v>
      </c>
      <c r="G755" s="6" t="n">
        <f aca="false">E755+F755</f>
        <v>3321982.3</v>
      </c>
      <c r="H755" s="7" t="n">
        <f aca="false">IF(D755=0,0,C755/D755)</f>
        <v>0</v>
      </c>
      <c r="I755" s="7" t="n">
        <f aca="false">IF(D755=0,0,B755/D755)</f>
        <v>1</v>
      </c>
      <c r="J755" s="6" t="n">
        <f aca="false">E755*H755</f>
        <v>0</v>
      </c>
      <c r="K755" s="6" t="n">
        <f aca="false">E755*I755</f>
        <v>3281183.06</v>
      </c>
      <c r="L755" s="6" t="n">
        <v>0</v>
      </c>
      <c r="M755" s="6" t="n">
        <v>3281183.06</v>
      </c>
      <c r="N755" s="6" t="n">
        <v>2686696</v>
      </c>
      <c r="O755" s="6" t="n">
        <v>2852884</v>
      </c>
      <c r="P755" s="7" t="n">
        <f aca="false">IF(O755=0,"",(G755-O755)/O755)</f>
        <v>0.164429503618093</v>
      </c>
      <c r="Q755" s="5" t="s">
        <v>26</v>
      </c>
      <c r="R755" s="5" t="s">
        <v>27</v>
      </c>
    </row>
    <row r="756" customFormat="false" ht="15" hidden="false" customHeight="true" outlineLevel="0" collapsed="false">
      <c r="A756" s="5" t="s">
        <v>780</v>
      </c>
      <c r="B756" s="6" t="n">
        <v>8880849385.85</v>
      </c>
      <c r="C756" s="6" t="n">
        <v>0</v>
      </c>
      <c r="D756" s="6" t="n">
        <v>8880849385.85</v>
      </c>
      <c r="E756" s="6" t="n">
        <v>3285914.27</v>
      </c>
      <c r="F756" s="6" t="n">
        <v>26256.26</v>
      </c>
      <c r="G756" s="6" t="n">
        <f aca="false">E756+F756</f>
        <v>3312170.53</v>
      </c>
      <c r="H756" s="7" t="n">
        <f aca="false">IF(D756=0,0,C756/D756)</f>
        <v>0</v>
      </c>
      <c r="I756" s="7" t="n">
        <f aca="false">IF(D756=0,0,B756/D756)</f>
        <v>1</v>
      </c>
      <c r="J756" s="6" t="n">
        <f aca="false">E756*H756</f>
        <v>0</v>
      </c>
      <c r="K756" s="6" t="n">
        <f aca="false">E756*I756</f>
        <v>3285914.27</v>
      </c>
      <c r="L756" s="6" t="n">
        <v>0</v>
      </c>
      <c r="M756" s="6" t="n">
        <v>3285914.27</v>
      </c>
      <c r="N756" s="6" t="n">
        <v>2676739</v>
      </c>
      <c r="O756" s="6" t="n">
        <v>2841822</v>
      </c>
      <c r="P756" s="7" t="n">
        <f aca="false">IF(O756=0,"",(G756-O756)/O756)</f>
        <v>0.165509497076172</v>
      </c>
      <c r="Q756" s="5" t="s">
        <v>26</v>
      </c>
      <c r="R756" s="5" t="s">
        <v>27</v>
      </c>
    </row>
    <row r="757" customFormat="false" ht="15" hidden="false" customHeight="true" outlineLevel="0" collapsed="false">
      <c r="A757" s="5" t="s">
        <v>781</v>
      </c>
      <c r="B757" s="6" t="n">
        <v>9859976825.04</v>
      </c>
      <c r="C757" s="6" t="n">
        <v>0</v>
      </c>
      <c r="D757" s="6" t="n">
        <v>9859976825.04</v>
      </c>
      <c r="E757" s="6" t="n">
        <v>3648191.43</v>
      </c>
      <c r="F757" s="6" t="n">
        <v>23656.95</v>
      </c>
      <c r="G757" s="6" t="n">
        <f aca="false">E757+F757</f>
        <v>3671848.38</v>
      </c>
      <c r="H757" s="7" t="n">
        <f aca="false">IF(D757=0,0,C757/D757)</f>
        <v>0</v>
      </c>
      <c r="I757" s="7" t="n">
        <f aca="false">IF(D757=0,0,B757/D757)</f>
        <v>1</v>
      </c>
      <c r="J757" s="6" t="n">
        <f aca="false">E757*H757</f>
        <v>0</v>
      </c>
      <c r="K757" s="6" t="n">
        <f aca="false">E757*I757</f>
        <v>3648191.43</v>
      </c>
      <c r="L757" s="6" t="n">
        <v>0</v>
      </c>
      <c r="M757" s="6" t="n">
        <v>3648191.43</v>
      </c>
      <c r="N757" s="6" t="n">
        <v>2914973</v>
      </c>
      <c r="O757" s="6" t="n">
        <v>3095768</v>
      </c>
      <c r="P757" s="7" t="n">
        <f aca="false">IF(O757=0,"",(G757-O757)/O757)</f>
        <v>0.186086418620517</v>
      </c>
      <c r="Q757" s="5" t="s">
        <v>26</v>
      </c>
      <c r="R757" s="5" t="s">
        <v>27</v>
      </c>
    </row>
    <row r="758" customFormat="false" ht="15" hidden="false" customHeight="true" outlineLevel="0" collapsed="false">
      <c r="A758" s="5" t="s">
        <v>782</v>
      </c>
      <c r="B758" s="6" t="n">
        <v>13286056841.77</v>
      </c>
      <c r="C758" s="6" t="n">
        <v>0</v>
      </c>
      <c r="D758" s="6" t="n">
        <v>13286056841.77</v>
      </c>
      <c r="E758" s="6" t="n">
        <v>4915841.03</v>
      </c>
      <c r="F758" s="6" t="n">
        <v>27648.27</v>
      </c>
      <c r="G758" s="6" t="n">
        <f aca="false">E758+F758</f>
        <v>4943489.3</v>
      </c>
      <c r="H758" s="7" t="n">
        <f aca="false">IF(D758=0,0,C758/D758)</f>
        <v>0</v>
      </c>
      <c r="I758" s="7" t="n">
        <f aca="false">IF(D758=0,0,B758/D758)</f>
        <v>1</v>
      </c>
      <c r="J758" s="6" t="n">
        <f aca="false">E758*H758</f>
        <v>0</v>
      </c>
      <c r="K758" s="6" t="n">
        <f aca="false">E758*I758</f>
        <v>4915841.03</v>
      </c>
      <c r="L758" s="6" t="n">
        <v>0</v>
      </c>
      <c r="M758" s="6" t="n">
        <v>4915841.03</v>
      </c>
      <c r="N758" s="6" t="n">
        <v>3915066</v>
      </c>
      <c r="O758" s="6" t="n">
        <v>4156560</v>
      </c>
      <c r="P758" s="7" t="n">
        <f aca="false">IF(O758=0,"",(G758-O758)/O758)</f>
        <v>0.189322252054584</v>
      </c>
      <c r="Q758" s="5" t="s">
        <v>26</v>
      </c>
      <c r="R758" s="5" t="s">
        <v>27</v>
      </c>
    </row>
    <row r="759" customFormat="false" ht="15" hidden="false" customHeight="true" outlineLevel="0" collapsed="false">
      <c r="A759" s="5" t="s">
        <v>783</v>
      </c>
      <c r="B759" s="6" t="n">
        <v>4490469119.64</v>
      </c>
      <c r="C759" s="6" t="n">
        <v>0</v>
      </c>
      <c r="D759" s="6" t="n">
        <v>4490469119.64</v>
      </c>
      <c r="E759" s="6" t="n">
        <v>1661473.57</v>
      </c>
      <c r="F759" s="6" t="n">
        <v>10085.16</v>
      </c>
      <c r="G759" s="6" t="n">
        <f aca="false">E759+F759</f>
        <v>1671558.73</v>
      </c>
      <c r="H759" s="7" t="n">
        <f aca="false">IF(D759=0,0,C759/D759)</f>
        <v>0</v>
      </c>
      <c r="I759" s="7" t="n">
        <f aca="false">IF(D759=0,0,B759/D759)</f>
        <v>1</v>
      </c>
      <c r="J759" s="6" t="n">
        <f aca="false">E759*H759</f>
        <v>0</v>
      </c>
      <c r="K759" s="6" t="n">
        <f aca="false">E759*I759</f>
        <v>1661473.57</v>
      </c>
      <c r="L759" s="6" t="n">
        <v>0</v>
      </c>
      <c r="M759" s="6" t="n">
        <v>1661473.57</v>
      </c>
      <c r="N759" s="6" t="n">
        <v>1275234</v>
      </c>
      <c r="O759" s="6" t="n">
        <v>1354488</v>
      </c>
      <c r="P759" s="7" t="n">
        <f aca="false">IF(O759=0,"",(G759-O759)/O759)</f>
        <v>0.23408899155991</v>
      </c>
      <c r="Q759" s="5" t="s">
        <v>26</v>
      </c>
      <c r="R759" s="5" t="s">
        <v>27</v>
      </c>
    </row>
    <row r="760" customFormat="false" ht="15" hidden="false" customHeight="true" outlineLevel="0" collapsed="false">
      <c r="A760" s="5" t="s">
        <v>784</v>
      </c>
      <c r="B760" s="6" t="n">
        <v>4120559320.64</v>
      </c>
      <c r="C760" s="6" t="n">
        <v>0</v>
      </c>
      <c r="D760" s="6" t="n">
        <v>4120559320.64</v>
      </c>
      <c r="E760" s="6" t="n">
        <v>1524606.95</v>
      </c>
      <c r="F760" s="6" t="n">
        <v>6670.1</v>
      </c>
      <c r="G760" s="6" t="n">
        <f aca="false">E760+F760</f>
        <v>1531277.05</v>
      </c>
      <c r="H760" s="7" t="n">
        <f aca="false">IF(D760=0,0,C760/D760)</f>
        <v>0</v>
      </c>
      <c r="I760" s="7" t="n">
        <f aca="false">IF(D760=0,0,B760/D760)</f>
        <v>1</v>
      </c>
      <c r="J760" s="6" t="n">
        <f aca="false">E760*H760</f>
        <v>0</v>
      </c>
      <c r="K760" s="6" t="n">
        <f aca="false">E760*I760</f>
        <v>1524606.95</v>
      </c>
      <c r="L760" s="6" t="n">
        <v>0</v>
      </c>
      <c r="M760" s="6" t="n">
        <v>1524606.95</v>
      </c>
      <c r="N760" s="6" t="n">
        <v>1162491</v>
      </c>
      <c r="O760" s="6" t="n">
        <v>1234698</v>
      </c>
      <c r="P760" s="7" t="n">
        <f aca="false">IF(O760=0,"",(G760-O760)/O760)</f>
        <v>0.240203717832215</v>
      </c>
      <c r="Q760" s="5" t="s">
        <v>26</v>
      </c>
      <c r="R760" s="5" t="s">
        <v>27</v>
      </c>
    </row>
    <row r="761" customFormat="false" ht="15" hidden="false" customHeight="true" outlineLevel="0" collapsed="false">
      <c r="A761" s="5" t="s">
        <v>785</v>
      </c>
      <c r="B761" s="6" t="n">
        <v>9910445108.15</v>
      </c>
      <c r="C761" s="6" t="n">
        <v>0</v>
      </c>
      <c r="D761" s="6" t="n">
        <v>9910445108.15</v>
      </c>
      <c r="E761" s="6" t="n">
        <v>3666864.69</v>
      </c>
      <c r="F761" s="6" t="n">
        <v>14627.07</v>
      </c>
      <c r="G761" s="6" t="n">
        <f aca="false">E761+F761</f>
        <v>3681491.76</v>
      </c>
      <c r="H761" s="7" t="n">
        <f aca="false">IF(D761=0,0,C761/D761)</f>
        <v>0</v>
      </c>
      <c r="I761" s="7" t="n">
        <f aca="false">IF(D761=0,0,B761/D761)</f>
        <v>1</v>
      </c>
      <c r="J761" s="6" t="n">
        <f aca="false">E761*H761</f>
        <v>0</v>
      </c>
      <c r="K761" s="6" t="n">
        <f aca="false">E761*I761</f>
        <v>3666864.69</v>
      </c>
      <c r="L761" s="6" t="n">
        <v>0</v>
      </c>
      <c r="M761" s="6" t="n">
        <v>3666864.69</v>
      </c>
      <c r="N761" s="6" t="n">
        <v>2854433</v>
      </c>
      <c r="O761" s="6" t="n">
        <v>3028846</v>
      </c>
      <c r="P761" s="7" t="n">
        <f aca="false">IF(O761=0,"",(G761-O761)/O761)</f>
        <v>0.215476706309928</v>
      </c>
      <c r="Q761" s="5" t="s">
        <v>26</v>
      </c>
      <c r="R761" s="5" t="s">
        <v>27</v>
      </c>
    </row>
    <row r="762" customFormat="false" ht="15" hidden="false" customHeight="true" outlineLevel="0" collapsed="false">
      <c r="A762" s="5" t="s">
        <v>786</v>
      </c>
      <c r="B762" s="6" t="n">
        <v>11324625683.56</v>
      </c>
      <c r="C762" s="6" t="n">
        <v>0</v>
      </c>
      <c r="D762" s="6" t="n">
        <v>11324625683.56</v>
      </c>
      <c r="E762" s="6" t="n">
        <v>4190111.5</v>
      </c>
      <c r="F762" s="6" t="n">
        <v>22451.47</v>
      </c>
      <c r="G762" s="6" t="n">
        <f aca="false">E762+F762</f>
        <v>4212562.97</v>
      </c>
      <c r="H762" s="7" t="n">
        <f aca="false">IF(D762=0,0,C762/D762)</f>
        <v>0</v>
      </c>
      <c r="I762" s="7" t="n">
        <f aca="false">IF(D762=0,0,B762/D762)</f>
        <v>1</v>
      </c>
      <c r="J762" s="6" t="n">
        <f aca="false">E762*H762</f>
        <v>0</v>
      </c>
      <c r="K762" s="6" t="n">
        <f aca="false">E762*I762</f>
        <v>4190111.5</v>
      </c>
      <c r="L762" s="6" t="n">
        <v>0</v>
      </c>
      <c r="M762" s="6" t="n">
        <v>4190111.5</v>
      </c>
      <c r="N762" s="6" t="n">
        <v>3286231</v>
      </c>
      <c r="O762" s="6" t="n">
        <v>3491655</v>
      </c>
      <c r="P762" s="7" t="n">
        <f aca="false">IF(O762=0,"",(G762-O762)/O762)</f>
        <v>0.206465979599932</v>
      </c>
      <c r="Q762" s="5" t="s">
        <v>26</v>
      </c>
      <c r="R762" s="5" t="s">
        <v>27</v>
      </c>
    </row>
    <row r="763" customFormat="false" ht="15" hidden="false" customHeight="true" outlineLevel="0" collapsed="false">
      <c r="A763" s="5" t="s">
        <v>787</v>
      </c>
      <c r="B763" s="6" t="n">
        <v>7999530032.93</v>
      </c>
      <c r="C763" s="6" t="n">
        <v>0</v>
      </c>
      <c r="D763" s="6" t="n">
        <v>7999530032.93</v>
      </c>
      <c r="E763" s="6" t="n">
        <v>2959826.11</v>
      </c>
      <c r="F763" s="6" t="n">
        <v>16604.13</v>
      </c>
      <c r="G763" s="6" t="n">
        <f aca="false">E763+F763</f>
        <v>2976430.24</v>
      </c>
      <c r="H763" s="7" t="n">
        <f aca="false">IF(D763=0,0,C763/D763)</f>
        <v>0</v>
      </c>
      <c r="I763" s="7" t="n">
        <f aca="false">IF(D763=0,0,B763/D763)</f>
        <v>1</v>
      </c>
      <c r="J763" s="6" t="n">
        <f aca="false">E763*H763</f>
        <v>0</v>
      </c>
      <c r="K763" s="6" t="n">
        <f aca="false">E763*I763</f>
        <v>2959826.11</v>
      </c>
      <c r="L763" s="6" t="n">
        <v>0</v>
      </c>
      <c r="M763" s="6" t="n">
        <v>2959826.11</v>
      </c>
      <c r="N763" s="6" t="n">
        <v>2305701</v>
      </c>
      <c r="O763" s="6" t="n">
        <v>2448165</v>
      </c>
      <c r="P763" s="7" t="n">
        <f aca="false">IF(O763=0,"",(G763-O763)/O763)</f>
        <v>0.215780080182504</v>
      </c>
      <c r="Q763" s="5" t="s">
        <v>26</v>
      </c>
      <c r="R763" s="5" t="s">
        <v>27</v>
      </c>
    </row>
    <row r="764" customFormat="false" ht="15" hidden="false" customHeight="true" outlineLevel="0" collapsed="false">
      <c r="A764" s="5" t="s">
        <v>788</v>
      </c>
      <c r="B764" s="6" t="n">
        <v>5309706181.65</v>
      </c>
      <c r="C764" s="6" t="n">
        <v>0</v>
      </c>
      <c r="D764" s="6" t="n">
        <v>5309706181.65</v>
      </c>
      <c r="E764" s="6" t="n">
        <v>1964591.29</v>
      </c>
      <c r="F764" s="6" t="n">
        <v>20489.62</v>
      </c>
      <c r="G764" s="6" t="n">
        <f aca="false">E764+F764</f>
        <v>1985080.91</v>
      </c>
      <c r="H764" s="7" t="n">
        <f aca="false">IF(D764=0,0,C764/D764)</f>
        <v>0</v>
      </c>
      <c r="I764" s="7" t="n">
        <f aca="false">IF(D764=0,0,B764/D764)</f>
        <v>1</v>
      </c>
      <c r="J764" s="6" t="n">
        <f aca="false">E764*H764</f>
        <v>0</v>
      </c>
      <c r="K764" s="6" t="n">
        <f aca="false">E764*I764</f>
        <v>1964591.29</v>
      </c>
      <c r="L764" s="6" t="n">
        <v>0</v>
      </c>
      <c r="M764" s="6" t="n">
        <v>1964591.29</v>
      </c>
      <c r="N764" s="6" t="n">
        <v>1497051</v>
      </c>
      <c r="O764" s="6" t="n">
        <v>1589810</v>
      </c>
      <c r="P764" s="7" t="n">
        <f aca="false">IF(O764=0,"",(G764-O764)/O764)</f>
        <v>0.248627766840063</v>
      </c>
      <c r="Q764" s="5" t="s">
        <v>26</v>
      </c>
      <c r="R764" s="5" t="s">
        <v>27</v>
      </c>
    </row>
    <row r="765" customFormat="false" ht="15" hidden="false" customHeight="true" outlineLevel="0" collapsed="false">
      <c r="A765" s="5" t="s">
        <v>789</v>
      </c>
      <c r="B765" s="6" t="n">
        <v>8984765570.03</v>
      </c>
      <c r="C765" s="6" t="n">
        <v>0</v>
      </c>
      <c r="D765" s="6" t="n">
        <v>8984765570.03</v>
      </c>
      <c r="E765" s="6" t="n">
        <v>3324363.26</v>
      </c>
      <c r="F765" s="6" t="n">
        <v>23404.02</v>
      </c>
      <c r="G765" s="6" t="n">
        <f aca="false">E765+F765</f>
        <v>3347767.28</v>
      </c>
      <c r="H765" s="7" t="n">
        <f aca="false">IF(D765=0,0,C765/D765)</f>
        <v>0</v>
      </c>
      <c r="I765" s="7" t="n">
        <f aca="false">IF(D765=0,0,B765/D765)</f>
        <v>1</v>
      </c>
      <c r="J765" s="6" t="n">
        <f aca="false">E765*H765</f>
        <v>0</v>
      </c>
      <c r="K765" s="6" t="n">
        <f aca="false">E765*I765</f>
        <v>3324363.26</v>
      </c>
      <c r="L765" s="6" t="n">
        <v>0</v>
      </c>
      <c r="M765" s="6" t="n">
        <v>3324363.26</v>
      </c>
      <c r="N765" s="6" t="n">
        <v>2558842</v>
      </c>
      <c r="O765" s="6" t="n">
        <v>2716981</v>
      </c>
      <c r="P765" s="7" t="n">
        <f aca="false">IF(O765=0,"",(G765-O765)/O765)</f>
        <v>0.232164406007992</v>
      </c>
      <c r="Q765" s="5" t="s">
        <v>26</v>
      </c>
      <c r="R765" s="5" t="s">
        <v>27</v>
      </c>
    </row>
    <row r="766" customFormat="false" ht="15" hidden="false" customHeight="true" outlineLevel="0" collapsed="false">
      <c r="A766" s="5" t="s">
        <v>790</v>
      </c>
      <c r="B766" s="6" t="n">
        <v>5853561717.66</v>
      </c>
      <c r="C766" s="6" t="n">
        <v>0</v>
      </c>
      <c r="D766" s="6" t="n">
        <v>5853561717.66</v>
      </c>
      <c r="E766" s="6" t="n">
        <v>2165817.84</v>
      </c>
      <c r="F766" s="6" t="n">
        <v>12548.64</v>
      </c>
      <c r="G766" s="6" t="n">
        <f aca="false">E766+F766</f>
        <v>2178366.48</v>
      </c>
      <c r="H766" s="7" t="n">
        <f aca="false">IF(D766=0,0,C766/D766)</f>
        <v>0</v>
      </c>
      <c r="I766" s="7" t="n">
        <f aca="false">IF(D766=0,0,B766/D766)</f>
        <v>1</v>
      </c>
      <c r="J766" s="6" t="n">
        <f aca="false">E766*H766</f>
        <v>0</v>
      </c>
      <c r="K766" s="6" t="n">
        <f aca="false">E766*I766</f>
        <v>2165817.84</v>
      </c>
      <c r="L766" s="6" t="n">
        <v>0</v>
      </c>
      <c r="M766" s="6" t="n">
        <v>2165817.84</v>
      </c>
      <c r="N766" s="6" t="n">
        <v>1633258</v>
      </c>
      <c r="O766" s="6" t="n">
        <v>1734423</v>
      </c>
      <c r="P766" s="7" t="n">
        <f aca="false">IF(O766=0,"",(G766-O766)/O766)</f>
        <v>0.255960328016868</v>
      </c>
      <c r="Q766" s="5" t="s">
        <v>26</v>
      </c>
      <c r="R766" s="5" t="s">
        <v>27</v>
      </c>
    </row>
    <row r="767" customFormat="false" ht="15" hidden="false" customHeight="true" outlineLevel="0" collapsed="false">
      <c r="A767" s="5" t="s">
        <v>791</v>
      </c>
      <c r="B767" s="6" t="n">
        <v>12754870645.15</v>
      </c>
      <c r="C767" s="6" t="n">
        <v>0</v>
      </c>
      <c r="D767" s="6" t="n">
        <v>12754870645.15</v>
      </c>
      <c r="E767" s="6" t="n">
        <v>4719302.14</v>
      </c>
      <c r="F767" s="6" t="n">
        <v>15897.72</v>
      </c>
      <c r="G767" s="6" t="n">
        <f aca="false">E767+F767</f>
        <v>4735199.86</v>
      </c>
      <c r="H767" s="7" t="n">
        <f aca="false">IF(D767=0,0,C767/D767)</f>
        <v>0</v>
      </c>
      <c r="I767" s="7" t="n">
        <f aca="false">IF(D767=0,0,B767/D767)</f>
        <v>1</v>
      </c>
      <c r="J767" s="6" t="n">
        <f aca="false">E767*H767</f>
        <v>0</v>
      </c>
      <c r="K767" s="6" t="n">
        <f aca="false">E767*I767</f>
        <v>4719302.14</v>
      </c>
      <c r="L767" s="6" t="n">
        <v>0</v>
      </c>
      <c r="M767" s="6" t="n">
        <v>4719302.14</v>
      </c>
      <c r="N767" s="6" t="n">
        <v>3569490</v>
      </c>
      <c r="O767" s="6" t="n">
        <v>3790283</v>
      </c>
      <c r="P767" s="7" t="n">
        <f aca="false">IF(O767=0,"",(G767-O767)/O767)</f>
        <v>0.249299817454264</v>
      </c>
      <c r="Q767" s="5" t="s">
        <v>26</v>
      </c>
      <c r="R767" s="5" t="s">
        <v>27</v>
      </c>
    </row>
    <row r="768" customFormat="false" ht="15" hidden="false" customHeight="true" outlineLevel="0" collapsed="false">
      <c r="A768" s="5" t="s">
        <v>792</v>
      </c>
      <c r="B768" s="6" t="n">
        <v>13808379727.88</v>
      </c>
      <c r="C768" s="6" t="n">
        <v>0</v>
      </c>
      <c r="D768" s="6" t="n">
        <v>13808379727.88</v>
      </c>
      <c r="E768" s="6" t="n">
        <v>5109100.5</v>
      </c>
      <c r="F768" s="6" t="n">
        <v>19898.99</v>
      </c>
      <c r="G768" s="6" t="n">
        <f aca="false">E768+F768</f>
        <v>5128999.49</v>
      </c>
      <c r="H768" s="7" t="n">
        <f aca="false">IF(D768=0,0,C768/D768)</f>
        <v>0</v>
      </c>
      <c r="I768" s="7" t="n">
        <f aca="false">IF(D768=0,0,B768/D768)</f>
        <v>1</v>
      </c>
      <c r="J768" s="6" t="n">
        <f aca="false">E768*H768</f>
        <v>0</v>
      </c>
      <c r="K768" s="6" t="n">
        <f aca="false">E768*I768</f>
        <v>5109100.5</v>
      </c>
      <c r="L768" s="6" t="n">
        <v>0</v>
      </c>
      <c r="M768" s="6" t="n">
        <v>5109100.5</v>
      </c>
      <c r="N768" s="6" t="n">
        <v>3966284</v>
      </c>
      <c r="O768" s="6" t="n">
        <v>4210914</v>
      </c>
      <c r="P768" s="7" t="n">
        <f aca="false">IF(O768=0,"",(G768-O768)/O768)</f>
        <v>0.218025229202021</v>
      </c>
      <c r="Q768" s="5" t="s">
        <v>26</v>
      </c>
      <c r="R768" s="5" t="s">
        <v>27</v>
      </c>
    </row>
    <row r="769" customFormat="false" ht="15" hidden="false" customHeight="true" outlineLevel="0" collapsed="false">
      <c r="A769" s="5" t="s">
        <v>793</v>
      </c>
      <c r="B769" s="6" t="n">
        <v>7562435082.96</v>
      </c>
      <c r="C769" s="6" t="n">
        <v>0</v>
      </c>
      <c r="D769" s="6" t="n">
        <v>7562435082.96</v>
      </c>
      <c r="E769" s="6" t="n">
        <v>2798100.98</v>
      </c>
      <c r="F769" s="6" t="n">
        <v>7507.43</v>
      </c>
      <c r="G769" s="6" t="n">
        <f aca="false">E769+F769</f>
        <v>2805608.41</v>
      </c>
      <c r="H769" s="7" t="n">
        <f aca="false">IF(D769=0,0,C769/D769)</f>
        <v>0</v>
      </c>
      <c r="I769" s="7" t="n">
        <f aca="false">IF(D769=0,0,B769/D769)</f>
        <v>1</v>
      </c>
      <c r="J769" s="6" t="n">
        <f aca="false">E769*H769</f>
        <v>0</v>
      </c>
      <c r="K769" s="6" t="n">
        <f aca="false">E769*I769</f>
        <v>2798100.98</v>
      </c>
      <c r="L769" s="6" t="n">
        <v>0</v>
      </c>
      <c r="M769" s="6" t="n">
        <v>2798100.98</v>
      </c>
      <c r="N769" s="6" t="n">
        <v>2164479</v>
      </c>
      <c r="O769" s="6" t="n">
        <v>2298780</v>
      </c>
      <c r="P769" s="7" t="n">
        <f aca="false">IF(O769=0,"",(G769-O769)/O769)</f>
        <v>0.220477126997799</v>
      </c>
      <c r="Q769" s="5" t="s">
        <v>26</v>
      </c>
      <c r="R769" s="5" t="s">
        <v>27</v>
      </c>
    </row>
    <row r="770" customFormat="false" ht="15" hidden="false" customHeight="true" outlineLevel="0" collapsed="false">
      <c r="A770" s="5" t="s">
        <v>794</v>
      </c>
      <c r="B770" s="6" t="n">
        <v>7112711274.39</v>
      </c>
      <c r="C770" s="6" t="n">
        <v>0</v>
      </c>
      <c r="D770" s="6" t="n">
        <v>7112711274.39</v>
      </c>
      <c r="E770" s="6" t="n">
        <v>2631703.17</v>
      </c>
      <c r="F770" s="6" t="n">
        <v>8762.9</v>
      </c>
      <c r="G770" s="6" t="n">
        <f aca="false">E770+F770</f>
        <v>2640466.07</v>
      </c>
      <c r="H770" s="7" t="n">
        <f aca="false">IF(D770=0,0,C770/D770)</f>
        <v>0</v>
      </c>
      <c r="I770" s="7" t="n">
        <f aca="false">IF(D770=0,0,B770/D770)</f>
        <v>1</v>
      </c>
      <c r="J770" s="6" t="n">
        <f aca="false">E770*H770</f>
        <v>0</v>
      </c>
      <c r="K770" s="6" t="n">
        <f aca="false">E770*I770</f>
        <v>2631703.17</v>
      </c>
      <c r="L770" s="6" t="n">
        <v>0</v>
      </c>
      <c r="M770" s="6" t="n">
        <v>2631703.17</v>
      </c>
      <c r="N770" s="6" t="n">
        <v>2045161</v>
      </c>
      <c r="O770" s="6" t="n">
        <v>2171722</v>
      </c>
      <c r="P770" s="7" t="n">
        <f aca="false">IF(O770=0,"",(G770-O770)/O770)</f>
        <v>0.215839812830556</v>
      </c>
      <c r="Q770" s="5" t="s">
        <v>26</v>
      </c>
      <c r="R770" s="5" t="s">
        <v>27</v>
      </c>
    </row>
    <row r="771" customFormat="false" ht="15" hidden="false" customHeight="true" outlineLevel="0" collapsed="false">
      <c r="A771" s="5" t="s">
        <v>795</v>
      </c>
      <c r="B771" s="6" t="n">
        <v>6054093572.7</v>
      </c>
      <c r="C771" s="6" t="n">
        <v>0</v>
      </c>
      <c r="D771" s="6" t="n">
        <v>6054093572.7</v>
      </c>
      <c r="E771" s="6" t="n">
        <v>2240014.62</v>
      </c>
      <c r="F771" s="6" t="n">
        <v>10303.47</v>
      </c>
      <c r="G771" s="6" t="n">
        <f aca="false">E771+F771</f>
        <v>2250318.09</v>
      </c>
      <c r="H771" s="7" t="n">
        <f aca="false">IF(D771=0,0,C771/D771)</f>
        <v>0</v>
      </c>
      <c r="I771" s="7" t="n">
        <f aca="false">IF(D771=0,0,B771/D771)</f>
        <v>1</v>
      </c>
      <c r="J771" s="6" t="n">
        <f aca="false">E771*H771</f>
        <v>0</v>
      </c>
      <c r="K771" s="6" t="n">
        <f aca="false">E771*I771</f>
        <v>2240014.62</v>
      </c>
      <c r="L771" s="6" t="n">
        <v>0</v>
      </c>
      <c r="M771" s="6" t="n">
        <v>2240014.62</v>
      </c>
      <c r="N771" s="6" t="n">
        <v>1690238</v>
      </c>
      <c r="O771" s="6" t="n">
        <v>1793353</v>
      </c>
      <c r="P771" s="7" t="n">
        <f aca="false">IF(O771=0,"",(G771-O771)/O771)</f>
        <v>0.254810452822172</v>
      </c>
      <c r="Q771" s="5" t="s">
        <v>26</v>
      </c>
      <c r="R771" s="5" t="s">
        <v>27</v>
      </c>
    </row>
    <row r="772" customFormat="false" ht="15" hidden="false" customHeight="true" outlineLevel="0" collapsed="false">
      <c r="A772" s="5" t="s">
        <v>796</v>
      </c>
      <c r="B772" s="6" t="n">
        <v>5468496333.64</v>
      </c>
      <c r="C772" s="6" t="n">
        <v>0</v>
      </c>
      <c r="D772" s="6" t="n">
        <v>5468496333.64</v>
      </c>
      <c r="E772" s="6" t="n">
        <v>2023343.64</v>
      </c>
      <c r="F772" s="6" t="n">
        <v>4820.08</v>
      </c>
      <c r="G772" s="6" t="n">
        <f aca="false">E772+F772</f>
        <v>2028163.72</v>
      </c>
      <c r="H772" s="7" t="n">
        <f aca="false">IF(D772=0,0,C772/D772)</f>
        <v>0</v>
      </c>
      <c r="I772" s="7" t="n">
        <f aca="false">IF(D772=0,0,B772/D772)</f>
        <v>1</v>
      </c>
      <c r="J772" s="6" t="n">
        <f aca="false">E772*H772</f>
        <v>0</v>
      </c>
      <c r="K772" s="6" t="n">
        <f aca="false">E772*I772</f>
        <v>2023343.64</v>
      </c>
      <c r="L772" s="6" t="n">
        <v>0</v>
      </c>
      <c r="M772" s="6" t="n">
        <v>2023343.64</v>
      </c>
      <c r="N772" s="6" t="n">
        <v>1485371</v>
      </c>
      <c r="O772" s="6" t="n">
        <v>1578724</v>
      </c>
      <c r="P772" s="7" t="n">
        <f aca="false">IF(O772=0,"",(G772-O772)/O772)</f>
        <v>0.28468542949876</v>
      </c>
      <c r="Q772" s="5" t="s">
        <v>26</v>
      </c>
      <c r="R772" s="5" t="s">
        <v>27</v>
      </c>
    </row>
    <row r="773" customFormat="false" ht="15" hidden="false" customHeight="true" outlineLevel="0" collapsed="false">
      <c r="A773" s="5" t="s">
        <v>797</v>
      </c>
      <c r="B773" s="6" t="n">
        <v>2029915379.93</v>
      </c>
      <c r="C773" s="6" t="n">
        <v>0</v>
      </c>
      <c r="D773" s="6" t="n">
        <v>2029915379.93</v>
      </c>
      <c r="E773" s="6" t="n">
        <v>751068.69</v>
      </c>
      <c r="F773" s="6" t="n">
        <v>4503.36</v>
      </c>
      <c r="G773" s="6" t="n">
        <f aca="false">E773+F773</f>
        <v>755572.05</v>
      </c>
      <c r="H773" s="7" t="n">
        <f aca="false">IF(D773=0,0,C773/D773)</f>
        <v>0</v>
      </c>
      <c r="I773" s="7" t="n">
        <f aca="false">IF(D773=0,0,B773/D773)</f>
        <v>1</v>
      </c>
      <c r="J773" s="6" t="n">
        <f aca="false">E773*H773</f>
        <v>0</v>
      </c>
      <c r="K773" s="6" t="n">
        <f aca="false">E773*I773</f>
        <v>751068.69</v>
      </c>
      <c r="L773" s="6" t="n">
        <v>0</v>
      </c>
      <c r="M773" s="6" t="n">
        <v>751068.69</v>
      </c>
      <c r="N773" s="6" t="n">
        <v>602415</v>
      </c>
      <c r="O773" s="6" t="n">
        <v>639678</v>
      </c>
      <c r="P773" s="7" t="n">
        <f aca="false">IF(O773=0,"",(G773-O773)/O773)</f>
        <v>0.181175607102323</v>
      </c>
      <c r="Q773" s="5" t="s">
        <v>26</v>
      </c>
      <c r="R773" s="5" t="s">
        <v>27</v>
      </c>
    </row>
    <row r="774" customFormat="false" ht="15" hidden="false" customHeight="true" outlineLevel="0" collapsed="false">
      <c r="A774" s="5" t="s">
        <v>798</v>
      </c>
      <c r="B774" s="6" t="n">
        <v>3690353142.09</v>
      </c>
      <c r="C774" s="6" t="n">
        <v>0</v>
      </c>
      <c r="D774" s="6" t="n">
        <v>3690353142.09</v>
      </c>
      <c r="E774" s="6" t="n">
        <v>1365430.66</v>
      </c>
      <c r="F774" s="6" t="n">
        <v>4012.35</v>
      </c>
      <c r="G774" s="6" t="n">
        <f aca="false">E774+F774</f>
        <v>1369443.01</v>
      </c>
      <c r="H774" s="7" t="n">
        <f aca="false">IF(D774=0,0,C774/D774)</f>
        <v>0</v>
      </c>
      <c r="I774" s="7" t="n">
        <f aca="false">IF(D774=0,0,B774/D774)</f>
        <v>1</v>
      </c>
      <c r="J774" s="6" t="n">
        <f aca="false">E774*H774</f>
        <v>0</v>
      </c>
      <c r="K774" s="6" t="n">
        <f aca="false">E774*I774</f>
        <v>1365430.66</v>
      </c>
      <c r="L774" s="6" t="n">
        <v>0</v>
      </c>
      <c r="M774" s="6" t="n">
        <v>1365430.66</v>
      </c>
      <c r="N774" s="6" t="n">
        <v>1100815</v>
      </c>
      <c r="O774" s="6" t="n">
        <v>1168771</v>
      </c>
      <c r="P774" s="7" t="n">
        <f aca="false">IF(O774=0,"",(G774-O774)/O774)</f>
        <v>0.171694891471469</v>
      </c>
      <c r="Q774" s="5" t="s">
        <v>26</v>
      </c>
      <c r="R774" s="5" t="s">
        <v>27</v>
      </c>
    </row>
    <row r="775" customFormat="false" ht="15" hidden="false" customHeight="true" outlineLevel="0" collapsed="false">
      <c r="A775" s="5" t="s">
        <v>799</v>
      </c>
      <c r="B775" s="6" t="n">
        <v>6117167590.46</v>
      </c>
      <c r="C775" s="6" t="n">
        <v>0</v>
      </c>
      <c r="D775" s="6" t="n">
        <v>6117167590.46</v>
      </c>
      <c r="E775" s="6" t="n">
        <v>2263352.01</v>
      </c>
      <c r="F775" s="6" t="n">
        <v>44333.74</v>
      </c>
      <c r="G775" s="6" t="n">
        <f aca="false">E775+F775</f>
        <v>2307685.75</v>
      </c>
      <c r="H775" s="7" t="n">
        <f aca="false">IF(D775=0,0,C775/D775)</f>
        <v>0</v>
      </c>
      <c r="I775" s="7" t="n">
        <f aca="false">IF(D775=0,0,B775/D775)</f>
        <v>1</v>
      </c>
      <c r="J775" s="6" t="n">
        <f aca="false">E775*H775</f>
        <v>0</v>
      </c>
      <c r="K775" s="6" t="n">
        <f aca="false">E775*I775</f>
        <v>2263352.01</v>
      </c>
      <c r="L775" s="6" t="n">
        <v>0</v>
      </c>
      <c r="M775" s="6" t="n">
        <v>2263352.01</v>
      </c>
      <c r="N775" s="6" t="n">
        <v>1764837</v>
      </c>
      <c r="O775" s="6" t="n">
        <v>1874332</v>
      </c>
      <c r="P775" s="7" t="n">
        <f aca="false">IF(O775=0,"",(G775-O775)/O775)</f>
        <v>0.231204370410365</v>
      </c>
      <c r="Q775" s="5" t="s">
        <v>26</v>
      </c>
      <c r="R775" s="5" t="s">
        <v>27</v>
      </c>
    </row>
    <row r="776" customFormat="false" ht="15" hidden="false" customHeight="true" outlineLevel="0" collapsed="false">
      <c r="A776" s="5" t="s">
        <v>800</v>
      </c>
      <c r="B776" s="6" t="n">
        <v>6136377450.13</v>
      </c>
      <c r="C776" s="6" t="n">
        <v>0</v>
      </c>
      <c r="D776" s="6" t="n">
        <v>6136377450.13</v>
      </c>
      <c r="E776" s="6" t="n">
        <v>2270459.66</v>
      </c>
      <c r="F776" s="6" t="n">
        <v>9254.22</v>
      </c>
      <c r="G776" s="6" t="n">
        <f aca="false">E776+F776</f>
        <v>2279713.88</v>
      </c>
      <c r="H776" s="7" t="n">
        <f aca="false">IF(D776=0,0,C776/D776)</f>
        <v>0</v>
      </c>
      <c r="I776" s="7" t="n">
        <f aca="false">IF(D776=0,0,B776/D776)</f>
        <v>1</v>
      </c>
      <c r="J776" s="6" t="n">
        <f aca="false">E776*H776</f>
        <v>0</v>
      </c>
      <c r="K776" s="6" t="n">
        <f aca="false">E776*I776</f>
        <v>2270459.66</v>
      </c>
      <c r="L776" s="6" t="n">
        <v>0</v>
      </c>
      <c r="M776" s="6" t="n">
        <v>2270459.66</v>
      </c>
      <c r="N776" s="6" t="n">
        <v>1762027</v>
      </c>
      <c r="O776" s="6" t="n">
        <v>1871019</v>
      </c>
      <c r="P776" s="7" t="n">
        <f aca="false">IF(O776=0,"",(G776-O776)/O776)</f>
        <v>0.218434382547692</v>
      </c>
      <c r="Q776" s="5" t="s">
        <v>26</v>
      </c>
      <c r="R776" s="5" t="s">
        <v>27</v>
      </c>
    </row>
    <row r="777" customFormat="false" ht="15" hidden="false" customHeight="true" outlineLevel="0" collapsed="false">
      <c r="A777" s="5" t="s">
        <v>801</v>
      </c>
      <c r="B777" s="6" t="n">
        <v>8708461911.89</v>
      </c>
      <c r="C777" s="6" t="n">
        <v>0</v>
      </c>
      <c r="D777" s="6" t="n">
        <v>8708461911.89</v>
      </c>
      <c r="E777" s="6" t="n">
        <v>3222130.91</v>
      </c>
      <c r="F777" s="6" t="n">
        <v>7391.31</v>
      </c>
      <c r="G777" s="6" t="n">
        <f aca="false">E777+F777</f>
        <v>3229522.22</v>
      </c>
      <c r="H777" s="7" t="n">
        <f aca="false">IF(D777=0,0,C777/D777)</f>
        <v>0</v>
      </c>
      <c r="I777" s="7" t="n">
        <f aca="false">IF(D777=0,0,B777/D777)</f>
        <v>1</v>
      </c>
      <c r="J777" s="6" t="n">
        <f aca="false">E777*H777</f>
        <v>0</v>
      </c>
      <c r="K777" s="6" t="n">
        <f aca="false">E777*I777</f>
        <v>3222130.91</v>
      </c>
      <c r="L777" s="6" t="n">
        <v>0</v>
      </c>
      <c r="M777" s="6" t="n">
        <v>3222130.91</v>
      </c>
      <c r="N777" s="6" t="n">
        <v>2537083</v>
      </c>
      <c r="O777" s="6" t="n">
        <v>2693531</v>
      </c>
      <c r="P777" s="7" t="n">
        <f aca="false">IF(O777=0,"",(G777-O777)/O777)</f>
        <v>0.198992036846801</v>
      </c>
      <c r="Q777" s="5" t="s">
        <v>26</v>
      </c>
      <c r="R777" s="5" t="s">
        <v>27</v>
      </c>
    </row>
    <row r="778" customFormat="false" ht="15" hidden="false" customHeight="true" outlineLevel="0" collapsed="false">
      <c r="A778" s="5" t="s">
        <v>802</v>
      </c>
      <c r="B778" s="6" t="n">
        <v>6251465096.54</v>
      </c>
      <c r="C778" s="6" t="n">
        <v>0</v>
      </c>
      <c r="D778" s="6" t="n">
        <v>6251465096.54</v>
      </c>
      <c r="E778" s="6" t="n">
        <v>2313042.09</v>
      </c>
      <c r="F778" s="6" t="n">
        <v>10452.37</v>
      </c>
      <c r="G778" s="6" t="n">
        <f aca="false">E778+F778</f>
        <v>2323494.46</v>
      </c>
      <c r="H778" s="7" t="n">
        <f aca="false">IF(D778=0,0,C778/D778)</f>
        <v>0</v>
      </c>
      <c r="I778" s="7" t="n">
        <f aca="false">IF(D778=0,0,B778/D778)</f>
        <v>1</v>
      </c>
      <c r="J778" s="6" t="n">
        <f aca="false">E778*H778</f>
        <v>0</v>
      </c>
      <c r="K778" s="6" t="n">
        <f aca="false">E778*I778</f>
        <v>2313042.09</v>
      </c>
      <c r="L778" s="6" t="n">
        <v>0</v>
      </c>
      <c r="M778" s="6" t="n">
        <v>2313042.09</v>
      </c>
      <c r="N778" s="6" t="n">
        <v>1854022</v>
      </c>
      <c r="O778" s="6" t="n">
        <v>1968704</v>
      </c>
      <c r="P778" s="7" t="n">
        <f aca="false">IF(O778=0,"",(G778-O778)/O778)</f>
        <v>0.180215238044927</v>
      </c>
      <c r="Q778" s="5" t="s">
        <v>26</v>
      </c>
      <c r="R778" s="5" t="s">
        <v>27</v>
      </c>
    </row>
    <row r="779" customFormat="false" ht="15" hidden="false" customHeight="true" outlineLevel="0" collapsed="false">
      <c r="A779" s="5" t="s">
        <v>803</v>
      </c>
      <c r="B779" s="6" t="n">
        <v>5865755226.17</v>
      </c>
      <c r="C779" s="6" t="n">
        <v>0</v>
      </c>
      <c r="D779" s="6" t="n">
        <v>5865755226.17</v>
      </c>
      <c r="E779" s="6" t="n">
        <v>2170329.43</v>
      </c>
      <c r="F779" s="6" t="n">
        <v>8414.55</v>
      </c>
      <c r="G779" s="6" t="n">
        <f aca="false">E779+F779</f>
        <v>2178743.98</v>
      </c>
      <c r="H779" s="7" t="n">
        <f aca="false">IF(D779=0,0,C779/D779)</f>
        <v>0</v>
      </c>
      <c r="I779" s="7" t="n">
        <f aca="false">IF(D779=0,0,B779/D779)</f>
        <v>1</v>
      </c>
      <c r="J779" s="6" t="n">
        <f aca="false">E779*H779</f>
        <v>0</v>
      </c>
      <c r="K779" s="6" t="n">
        <f aca="false">E779*I779</f>
        <v>2170329.43</v>
      </c>
      <c r="L779" s="6" t="n">
        <v>0</v>
      </c>
      <c r="M779" s="6" t="n">
        <v>2170329.43</v>
      </c>
      <c r="N779" s="6" t="n">
        <v>1606529</v>
      </c>
      <c r="O779" s="6" t="n">
        <v>1705902</v>
      </c>
      <c r="P779" s="7" t="n">
        <f aca="false">IF(O779=0,"",(G779-O779)/O779)</f>
        <v>0.277180037305777</v>
      </c>
      <c r="Q779" s="5" t="s">
        <v>26</v>
      </c>
      <c r="R779" s="5" t="s">
        <v>27</v>
      </c>
    </row>
    <row r="780" customFormat="false" ht="15" hidden="false" customHeight="true" outlineLevel="0" collapsed="false">
      <c r="A780" s="5" t="s">
        <v>804</v>
      </c>
      <c r="B780" s="6" t="n">
        <v>2451950269.53</v>
      </c>
      <c r="C780" s="6" t="n">
        <v>0</v>
      </c>
      <c r="D780" s="6" t="n">
        <v>2451950269.53</v>
      </c>
      <c r="E780" s="6" t="n">
        <v>907221.6</v>
      </c>
      <c r="F780" s="6" t="n">
        <v>5893.36</v>
      </c>
      <c r="G780" s="6" t="n">
        <f aca="false">E780+F780</f>
        <v>913114.96</v>
      </c>
      <c r="H780" s="7" t="n">
        <f aca="false">IF(D780=0,0,C780/D780)</f>
        <v>0</v>
      </c>
      <c r="I780" s="7" t="n">
        <f aca="false">IF(D780=0,0,B780/D780)</f>
        <v>1</v>
      </c>
      <c r="J780" s="6" t="n">
        <f aca="false">E780*H780</f>
        <v>0</v>
      </c>
      <c r="K780" s="6" t="n">
        <f aca="false">E780*I780</f>
        <v>907221.6</v>
      </c>
      <c r="L780" s="6" t="n">
        <v>0</v>
      </c>
      <c r="M780" s="6" t="n">
        <v>907221.6</v>
      </c>
      <c r="N780" s="6" t="n">
        <v>716043</v>
      </c>
      <c r="O780" s="6" t="n">
        <v>760649</v>
      </c>
      <c r="P780" s="7" t="n">
        <f aca="false">IF(O780=0,"",(G780-O780)/O780)</f>
        <v>0.200441938397342</v>
      </c>
      <c r="Q780" s="5" t="s">
        <v>26</v>
      </c>
      <c r="R780" s="5" t="s">
        <v>27</v>
      </c>
    </row>
    <row r="781" customFormat="false" ht="15" hidden="false" customHeight="true" outlineLevel="0" collapsed="false">
      <c r="A781" s="5" t="s">
        <v>805</v>
      </c>
      <c r="B781" s="6" t="n">
        <v>4289662636.72</v>
      </c>
      <c r="C781" s="6" t="n">
        <v>0</v>
      </c>
      <c r="D781" s="6" t="n">
        <v>4289662636.72</v>
      </c>
      <c r="E781" s="6" t="n">
        <v>1587175.18</v>
      </c>
      <c r="F781" s="6" t="n">
        <v>5763.66</v>
      </c>
      <c r="G781" s="6" t="n">
        <f aca="false">E781+F781</f>
        <v>1592938.84</v>
      </c>
      <c r="H781" s="7" t="n">
        <f aca="false">IF(D781=0,0,C781/D781)</f>
        <v>0</v>
      </c>
      <c r="I781" s="7" t="n">
        <f aca="false">IF(D781=0,0,B781/D781)</f>
        <v>1</v>
      </c>
      <c r="J781" s="6" t="n">
        <f aca="false">E781*H781</f>
        <v>0</v>
      </c>
      <c r="K781" s="6" t="n">
        <f aca="false">E781*I781</f>
        <v>1587175.18</v>
      </c>
      <c r="L781" s="6" t="n">
        <v>0</v>
      </c>
      <c r="M781" s="6" t="n">
        <v>1587175.18</v>
      </c>
      <c r="N781" s="6" t="n">
        <v>1216434</v>
      </c>
      <c r="O781" s="6" t="n">
        <v>1291460</v>
      </c>
      <c r="P781" s="7" t="n">
        <f aca="false">IF(O781=0,"",(G781-O781)/O781)</f>
        <v>0.233440323354962</v>
      </c>
      <c r="Q781" s="5" t="s">
        <v>26</v>
      </c>
      <c r="R781" s="5" t="s">
        <v>27</v>
      </c>
    </row>
    <row r="782" customFormat="false" ht="15" hidden="false" customHeight="true" outlineLevel="0" collapsed="false">
      <c r="A782" s="5" t="s">
        <v>806</v>
      </c>
      <c r="B782" s="6" t="n">
        <v>5322409239.84</v>
      </c>
      <c r="C782" s="6" t="n">
        <v>0</v>
      </c>
      <c r="D782" s="6" t="n">
        <v>5322409239.84</v>
      </c>
      <c r="E782" s="6" t="n">
        <v>1969291.42</v>
      </c>
      <c r="F782" s="6" t="n">
        <v>57987.12</v>
      </c>
      <c r="G782" s="6" t="n">
        <f aca="false">E782+F782</f>
        <v>2027278.54</v>
      </c>
      <c r="H782" s="7" t="n">
        <f aca="false">IF(D782=0,0,C782/D782)</f>
        <v>0</v>
      </c>
      <c r="I782" s="7" t="n">
        <f aca="false">IF(D782=0,0,B782/D782)</f>
        <v>1</v>
      </c>
      <c r="J782" s="6" t="n">
        <f aca="false">E782*H782</f>
        <v>0</v>
      </c>
      <c r="K782" s="6" t="n">
        <f aca="false">E782*I782</f>
        <v>1969291.42</v>
      </c>
      <c r="L782" s="6" t="n">
        <v>0</v>
      </c>
      <c r="M782" s="6" t="n">
        <v>1969291.42</v>
      </c>
      <c r="N782" s="6" t="n">
        <v>1561436</v>
      </c>
      <c r="O782" s="6" t="n">
        <v>1658236</v>
      </c>
      <c r="P782" s="7" t="n">
        <f aca="false">IF(O782=0,"",(G782-O782)/O782)</f>
        <v>0.222551277381507</v>
      </c>
      <c r="Q782" s="5" t="s">
        <v>26</v>
      </c>
      <c r="R782" s="5" t="s">
        <v>27</v>
      </c>
    </row>
    <row r="783" customFormat="false" ht="15" hidden="false" customHeight="true" outlineLevel="0" collapsed="false">
      <c r="A783" s="5" t="s">
        <v>807</v>
      </c>
      <c r="B783" s="6" t="n">
        <v>5320747621.8</v>
      </c>
      <c r="C783" s="6" t="n">
        <v>0</v>
      </c>
      <c r="D783" s="6" t="n">
        <v>5320747621.8</v>
      </c>
      <c r="E783" s="6" t="n">
        <v>1968676.62</v>
      </c>
      <c r="F783" s="6" t="n">
        <v>12657.12</v>
      </c>
      <c r="G783" s="6" t="n">
        <f aca="false">E783+F783</f>
        <v>1981333.74</v>
      </c>
      <c r="H783" s="7" t="n">
        <f aca="false">IF(D783=0,0,C783/D783)</f>
        <v>0</v>
      </c>
      <c r="I783" s="7" t="n">
        <f aca="false">IF(D783=0,0,B783/D783)</f>
        <v>1</v>
      </c>
      <c r="J783" s="6" t="n">
        <f aca="false">E783*H783</f>
        <v>0</v>
      </c>
      <c r="K783" s="6" t="n">
        <f aca="false">E783*I783</f>
        <v>1968676.62</v>
      </c>
      <c r="L783" s="6" t="n">
        <v>0</v>
      </c>
      <c r="M783" s="6" t="n">
        <v>1968676.62</v>
      </c>
      <c r="N783" s="6" t="n">
        <v>1595903</v>
      </c>
      <c r="O783" s="6" t="n">
        <v>1694619</v>
      </c>
      <c r="P783" s="7" t="n">
        <f aca="false">IF(O783=0,"",(G783-O783)/O783)</f>
        <v>0.169191269542003</v>
      </c>
      <c r="Q783" s="5" t="s">
        <v>26</v>
      </c>
      <c r="R783" s="5" t="s">
        <v>27</v>
      </c>
    </row>
    <row r="784" customFormat="false" ht="15" hidden="false" customHeight="true" outlineLevel="0" collapsed="false">
      <c r="A784" s="5" t="s">
        <v>808</v>
      </c>
      <c r="B784" s="6" t="n">
        <v>8668787164.75</v>
      </c>
      <c r="C784" s="6" t="n">
        <v>0</v>
      </c>
      <c r="D784" s="6" t="n">
        <v>8668787164.75</v>
      </c>
      <c r="E784" s="6" t="n">
        <v>3207451.25</v>
      </c>
      <c r="F784" s="6" t="n">
        <v>17608.9</v>
      </c>
      <c r="G784" s="6" t="n">
        <f aca="false">E784+F784</f>
        <v>3225060.15</v>
      </c>
      <c r="H784" s="7" t="n">
        <f aca="false">IF(D784=0,0,C784/D784)</f>
        <v>0</v>
      </c>
      <c r="I784" s="7" t="n">
        <f aca="false">IF(D784=0,0,B784/D784)</f>
        <v>1</v>
      </c>
      <c r="J784" s="6" t="n">
        <f aca="false">E784*H784</f>
        <v>0</v>
      </c>
      <c r="K784" s="6" t="n">
        <f aca="false">E784*I784</f>
        <v>3207451.25</v>
      </c>
      <c r="L784" s="6" t="n">
        <v>0</v>
      </c>
      <c r="M784" s="6" t="n">
        <v>3207451.25</v>
      </c>
      <c r="N784" s="6" t="n">
        <v>2634456</v>
      </c>
      <c r="O784" s="6" t="n">
        <v>2797411</v>
      </c>
      <c r="P784" s="7" t="n">
        <f aca="false">IF(O784=0,"",(G784-O784)/O784)</f>
        <v>0.152873192391107</v>
      </c>
      <c r="Q784" s="5" t="s">
        <v>26</v>
      </c>
      <c r="R784" s="5" t="s">
        <v>27</v>
      </c>
    </row>
    <row r="785" customFormat="false" ht="15" hidden="false" customHeight="true" outlineLevel="0" collapsed="false">
      <c r="A785" s="5" t="s">
        <v>809</v>
      </c>
      <c r="B785" s="6" t="n">
        <v>10991694982.2</v>
      </c>
      <c r="C785" s="6" t="n">
        <v>0</v>
      </c>
      <c r="D785" s="6" t="n">
        <v>10991694982.2</v>
      </c>
      <c r="E785" s="6" t="n">
        <v>4066927.14</v>
      </c>
      <c r="F785" s="6" t="n">
        <v>14568.24</v>
      </c>
      <c r="G785" s="6" t="n">
        <f aca="false">E785+F785</f>
        <v>4081495.38</v>
      </c>
      <c r="H785" s="7" t="n">
        <f aca="false">IF(D785=0,0,C785/D785)</f>
        <v>0</v>
      </c>
      <c r="I785" s="7" t="n">
        <f aca="false">IF(D785=0,0,B785/D785)</f>
        <v>1</v>
      </c>
      <c r="J785" s="6" t="n">
        <f aca="false">E785*H785</f>
        <v>0</v>
      </c>
      <c r="K785" s="6" t="n">
        <f aca="false">E785*I785</f>
        <v>4066927.14</v>
      </c>
      <c r="L785" s="6" t="n">
        <v>0</v>
      </c>
      <c r="M785" s="6" t="n">
        <v>4066927.14</v>
      </c>
      <c r="N785" s="6" t="n">
        <v>3373427</v>
      </c>
      <c r="O785" s="6" t="n">
        <v>3581266</v>
      </c>
      <c r="P785" s="7" t="n">
        <f aca="false">IF(O785=0,"",(G785-O785)/O785)</f>
        <v>0.139679482060255</v>
      </c>
      <c r="Q785" s="5" t="s">
        <v>26</v>
      </c>
      <c r="R785" s="5" t="s">
        <v>27</v>
      </c>
    </row>
    <row r="786" customFormat="false" ht="15" hidden="false" customHeight="true" outlineLevel="0" collapsed="false">
      <c r="A786" s="5" t="s">
        <v>810</v>
      </c>
      <c r="B786" s="6" t="n">
        <v>12433064594.49</v>
      </c>
      <c r="C786" s="6" t="n">
        <v>0</v>
      </c>
      <c r="D786" s="6" t="n">
        <v>12433064594.49</v>
      </c>
      <c r="E786" s="6" t="n">
        <v>4600233.9</v>
      </c>
      <c r="F786" s="6" t="n">
        <v>18149.18</v>
      </c>
      <c r="G786" s="6" t="n">
        <f aca="false">E786+F786</f>
        <v>4618383.08</v>
      </c>
      <c r="H786" s="7" t="n">
        <f aca="false">IF(D786=0,0,C786/D786)</f>
        <v>0</v>
      </c>
      <c r="I786" s="7" t="n">
        <f aca="false">IF(D786=0,0,B786/D786)</f>
        <v>1</v>
      </c>
      <c r="J786" s="6" t="n">
        <f aca="false">E786*H786</f>
        <v>0</v>
      </c>
      <c r="K786" s="6" t="n">
        <f aca="false">E786*I786</f>
        <v>4600233.9</v>
      </c>
      <c r="L786" s="6" t="n">
        <v>0</v>
      </c>
      <c r="M786" s="6" t="n">
        <v>4600233.9</v>
      </c>
      <c r="N786" s="6" t="n">
        <v>3711898</v>
      </c>
      <c r="O786" s="6" t="n">
        <v>3942047</v>
      </c>
      <c r="P786" s="7" t="n">
        <f aca="false">IF(O786=0,"",(G786-O786)/O786)</f>
        <v>0.171569765657284</v>
      </c>
      <c r="Q786" s="5" t="s">
        <v>26</v>
      </c>
      <c r="R786" s="5" t="s">
        <v>27</v>
      </c>
    </row>
    <row r="787" customFormat="false" ht="15" hidden="false" customHeight="true" outlineLevel="0" collapsed="false">
      <c r="A787" s="5" t="s">
        <v>811</v>
      </c>
      <c r="B787" s="6" t="n">
        <v>5486400795.63</v>
      </c>
      <c r="C787" s="6" t="n">
        <v>0</v>
      </c>
      <c r="D787" s="6" t="n">
        <v>5486400795.63</v>
      </c>
      <c r="E787" s="6" t="n">
        <v>2029968.29</v>
      </c>
      <c r="F787" s="6" t="n">
        <v>17640.67</v>
      </c>
      <c r="G787" s="6" t="n">
        <f aca="false">E787+F787</f>
        <v>2047608.96</v>
      </c>
      <c r="H787" s="7" t="n">
        <f aca="false">IF(D787=0,0,C787/D787)</f>
        <v>0</v>
      </c>
      <c r="I787" s="7" t="n">
        <f aca="false">IF(D787=0,0,B787/D787)</f>
        <v>1</v>
      </c>
      <c r="J787" s="6" t="n">
        <f aca="false">E787*H787</f>
        <v>0</v>
      </c>
      <c r="K787" s="6" t="n">
        <f aca="false">E787*I787</f>
        <v>2029968.29</v>
      </c>
      <c r="L787" s="6" t="n">
        <v>0</v>
      </c>
      <c r="M787" s="6" t="n">
        <v>2029968.29</v>
      </c>
      <c r="N787" s="6" t="n">
        <v>1717431</v>
      </c>
      <c r="O787" s="6" t="n">
        <v>1823942</v>
      </c>
      <c r="P787" s="7" t="n">
        <f aca="false">IF(O787=0,"",(G787-O787)/O787)</f>
        <v>0.122628329190292</v>
      </c>
      <c r="Q787" s="5" t="s">
        <v>26</v>
      </c>
      <c r="R787" s="5" t="s">
        <v>27</v>
      </c>
    </row>
    <row r="788" customFormat="false" ht="15" hidden="false" customHeight="true" outlineLevel="0" collapsed="false">
      <c r="A788" s="5" t="s">
        <v>812</v>
      </c>
      <c r="B788" s="6" t="n">
        <v>6412427250.74</v>
      </c>
      <c r="C788" s="6" t="n">
        <v>0</v>
      </c>
      <c r="D788" s="6" t="n">
        <v>6412427250.74</v>
      </c>
      <c r="E788" s="6" t="n">
        <v>2372598.08</v>
      </c>
      <c r="F788" s="6" t="n">
        <v>12702.52</v>
      </c>
      <c r="G788" s="6" t="n">
        <f aca="false">E788+F788</f>
        <v>2385300.6</v>
      </c>
      <c r="H788" s="7" t="n">
        <f aca="false">IF(D788=0,0,C788/D788)</f>
        <v>0</v>
      </c>
      <c r="I788" s="7" t="n">
        <f aca="false">IF(D788=0,0,B788/D788)</f>
        <v>1</v>
      </c>
      <c r="J788" s="6" t="n">
        <f aca="false">E788*H788</f>
        <v>0</v>
      </c>
      <c r="K788" s="6" t="n">
        <f aca="false">E788*I788</f>
        <v>2372598.08</v>
      </c>
      <c r="L788" s="6" t="n">
        <v>0</v>
      </c>
      <c r="M788" s="6" t="n">
        <v>2372598.08</v>
      </c>
      <c r="N788" s="6" t="n">
        <v>1950704</v>
      </c>
      <c r="O788" s="6" t="n">
        <v>2070715</v>
      </c>
      <c r="P788" s="7" t="n">
        <f aca="false">IF(O788=0,"",(G788-O788)/O788)</f>
        <v>0.151921244594259</v>
      </c>
      <c r="Q788" s="5" t="s">
        <v>26</v>
      </c>
      <c r="R788" s="5" t="s">
        <v>27</v>
      </c>
    </row>
    <row r="789" customFormat="false" ht="15" hidden="false" customHeight="true" outlineLevel="0" collapsed="false">
      <c r="A789" s="5" t="s">
        <v>813</v>
      </c>
      <c r="B789" s="6" t="n">
        <v>13350737289.8</v>
      </c>
      <c r="C789" s="6" t="n">
        <v>0</v>
      </c>
      <c r="D789" s="6" t="n">
        <v>13350737289.8</v>
      </c>
      <c r="E789" s="6" t="n">
        <v>4939772.8</v>
      </c>
      <c r="F789" s="6" t="n">
        <v>19345.84</v>
      </c>
      <c r="G789" s="6" t="n">
        <f aca="false">E789+F789</f>
        <v>4959118.64</v>
      </c>
      <c r="H789" s="7" t="n">
        <f aca="false">IF(D789=0,0,C789/D789)</f>
        <v>0</v>
      </c>
      <c r="I789" s="7" t="n">
        <f aca="false">IF(D789=0,0,B789/D789)</f>
        <v>1</v>
      </c>
      <c r="J789" s="6" t="n">
        <f aca="false">E789*H789</f>
        <v>0</v>
      </c>
      <c r="K789" s="6" t="n">
        <f aca="false">E789*I789</f>
        <v>4939772.8</v>
      </c>
      <c r="L789" s="6" t="n">
        <v>0</v>
      </c>
      <c r="M789" s="6" t="n">
        <v>4939772.8</v>
      </c>
      <c r="N789" s="6" t="n">
        <v>3956307</v>
      </c>
      <c r="O789" s="6" t="n">
        <v>4201679</v>
      </c>
      <c r="P789" s="7" t="n">
        <f aca="false">IF(O789=0,"",(G789-O789)/O789)</f>
        <v>0.180270706067741</v>
      </c>
      <c r="Q789" s="5" t="s">
        <v>26</v>
      </c>
      <c r="R789" s="5" t="s">
        <v>27</v>
      </c>
    </row>
    <row r="790" customFormat="false" ht="15" hidden="false" customHeight="true" outlineLevel="0" collapsed="false">
      <c r="A790" s="5" t="s">
        <v>814</v>
      </c>
      <c r="B790" s="6" t="n">
        <v>17479662857.74</v>
      </c>
      <c r="C790" s="6" t="n">
        <v>0</v>
      </c>
      <c r="D790" s="6" t="n">
        <v>17479662857.74</v>
      </c>
      <c r="E790" s="6" t="n">
        <v>6467475.26</v>
      </c>
      <c r="F790" s="6" t="n">
        <v>32520.75</v>
      </c>
      <c r="G790" s="6" t="n">
        <f aca="false">E790+F790</f>
        <v>6499996.01</v>
      </c>
      <c r="H790" s="7" t="n">
        <f aca="false">IF(D790=0,0,C790/D790)</f>
        <v>0</v>
      </c>
      <c r="I790" s="7" t="n">
        <f aca="false">IF(D790=0,0,B790/D790)</f>
        <v>1</v>
      </c>
      <c r="J790" s="6" t="n">
        <f aca="false">E790*H790</f>
        <v>0</v>
      </c>
      <c r="K790" s="6" t="n">
        <f aca="false">E790*I790</f>
        <v>6467475.26</v>
      </c>
      <c r="L790" s="6" t="n">
        <v>0</v>
      </c>
      <c r="M790" s="6" t="n">
        <v>6467475.26</v>
      </c>
      <c r="N790" s="6" t="n">
        <v>4906721</v>
      </c>
      <c r="O790" s="6" t="n">
        <v>5210229</v>
      </c>
      <c r="P790" s="7" t="n">
        <f aca="false">IF(O790=0,"",(G790-O790)/O790)</f>
        <v>0.247545167400512</v>
      </c>
      <c r="Q790" s="5" t="s">
        <v>26</v>
      </c>
      <c r="R790" s="5" t="s">
        <v>27</v>
      </c>
    </row>
    <row r="791" customFormat="false" ht="15" hidden="false" customHeight="true" outlineLevel="0" collapsed="false">
      <c r="A791" s="5" t="s">
        <v>815</v>
      </c>
      <c r="B791" s="6" t="n">
        <v>14838264786.44</v>
      </c>
      <c r="C791" s="6" t="n">
        <v>0</v>
      </c>
      <c r="D791" s="6" t="n">
        <v>14838264786.44</v>
      </c>
      <c r="E791" s="6" t="n">
        <v>5490157.97</v>
      </c>
      <c r="F791" s="6" t="n">
        <v>29833.46</v>
      </c>
      <c r="G791" s="6" t="n">
        <f aca="false">E791+F791</f>
        <v>5519991.43</v>
      </c>
      <c r="H791" s="7" t="n">
        <f aca="false">IF(D791=0,0,C791/D791)</f>
        <v>0</v>
      </c>
      <c r="I791" s="7" t="n">
        <f aca="false">IF(D791=0,0,B791/D791)</f>
        <v>1</v>
      </c>
      <c r="J791" s="6" t="n">
        <f aca="false">E791*H791</f>
        <v>0</v>
      </c>
      <c r="K791" s="6" t="n">
        <f aca="false">E791*I791</f>
        <v>5490157.97</v>
      </c>
      <c r="L791" s="6" t="n">
        <v>0</v>
      </c>
      <c r="M791" s="6" t="n">
        <v>5490157.97</v>
      </c>
      <c r="N791" s="6" t="n">
        <v>4351078</v>
      </c>
      <c r="O791" s="6" t="n">
        <v>4620216</v>
      </c>
      <c r="P791" s="7" t="n">
        <f aca="false">IF(O791=0,"",(G791-O791)/O791)</f>
        <v>0.194747481503029</v>
      </c>
      <c r="Q791" s="5" t="s">
        <v>26</v>
      </c>
      <c r="R791" s="5" t="s">
        <v>27</v>
      </c>
    </row>
    <row r="792" customFormat="false" ht="15" hidden="false" customHeight="true" outlineLevel="0" collapsed="false">
      <c r="A792" s="5" t="s">
        <v>816</v>
      </c>
      <c r="B792" s="6" t="n">
        <v>16730826628.91</v>
      </c>
      <c r="C792" s="6" t="n">
        <v>0</v>
      </c>
      <c r="D792" s="6" t="n">
        <v>16730826628.91</v>
      </c>
      <c r="E792" s="6" t="n">
        <v>6190405.85</v>
      </c>
      <c r="F792" s="6" t="n">
        <v>36697.2</v>
      </c>
      <c r="G792" s="6" t="n">
        <f aca="false">E792+F792</f>
        <v>6227103.05</v>
      </c>
      <c r="H792" s="7" t="n">
        <f aca="false">IF(D792=0,0,C792/D792)</f>
        <v>0</v>
      </c>
      <c r="I792" s="7" t="n">
        <f aca="false">IF(D792=0,0,B792/D792)</f>
        <v>1</v>
      </c>
      <c r="J792" s="6" t="n">
        <f aca="false">E792*H792</f>
        <v>0</v>
      </c>
      <c r="K792" s="6" t="n">
        <f aca="false">E792*I792</f>
        <v>6190405.85</v>
      </c>
      <c r="L792" s="6" t="n">
        <v>0</v>
      </c>
      <c r="M792" s="6" t="n">
        <v>6190405.85</v>
      </c>
      <c r="N792" s="6" t="n">
        <v>4849291</v>
      </c>
      <c r="O792" s="6" t="n">
        <v>5149247</v>
      </c>
      <c r="P792" s="7" t="n">
        <f aca="false">IF(O792=0,"",(G792-O792)/O792)</f>
        <v>0.209323042767224</v>
      </c>
      <c r="Q792" s="5" t="s">
        <v>26</v>
      </c>
      <c r="R792" s="5" t="s">
        <v>27</v>
      </c>
    </row>
    <row r="793" customFormat="false" ht="15" hidden="false" customHeight="true" outlineLevel="0" collapsed="false">
      <c r="A793" s="5" t="s">
        <v>817</v>
      </c>
      <c r="B793" s="6" t="n">
        <v>17860068610.46</v>
      </c>
      <c r="C793" s="6" t="n">
        <v>0</v>
      </c>
      <c r="D793" s="6" t="n">
        <v>17860068610.46</v>
      </c>
      <c r="E793" s="6" t="n">
        <v>6608225.39</v>
      </c>
      <c r="F793" s="6" t="n">
        <v>32433.58</v>
      </c>
      <c r="G793" s="6" t="n">
        <f aca="false">E793+F793</f>
        <v>6640658.97</v>
      </c>
      <c r="H793" s="7" t="n">
        <f aca="false">IF(D793=0,0,C793/D793)</f>
        <v>0</v>
      </c>
      <c r="I793" s="7" t="n">
        <f aca="false">IF(D793=0,0,B793/D793)</f>
        <v>1</v>
      </c>
      <c r="J793" s="6" t="n">
        <f aca="false">E793*H793</f>
        <v>0</v>
      </c>
      <c r="K793" s="6" t="n">
        <f aca="false">E793*I793</f>
        <v>6608225.39</v>
      </c>
      <c r="L793" s="6" t="n">
        <v>0</v>
      </c>
      <c r="M793" s="6" t="n">
        <v>6608225.39</v>
      </c>
      <c r="N793" s="6" t="n">
        <v>5022645</v>
      </c>
      <c r="O793" s="6" t="n">
        <v>5331332</v>
      </c>
      <c r="P793" s="7" t="n">
        <f aca="false">IF(O793=0,"",(G793-O793)/O793)</f>
        <v>0.245590964884573</v>
      </c>
      <c r="Q793" s="5" t="s">
        <v>26</v>
      </c>
      <c r="R793" s="5" t="s">
        <v>27</v>
      </c>
    </row>
    <row r="794" customFormat="false" ht="15" hidden="false" customHeight="true" outlineLevel="0" collapsed="false">
      <c r="A794" s="5" t="s">
        <v>818</v>
      </c>
      <c r="B794" s="6" t="n">
        <v>5940465680.99</v>
      </c>
      <c r="C794" s="6" t="n">
        <v>0</v>
      </c>
      <c r="D794" s="6" t="n">
        <v>5940465680.99</v>
      </c>
      <c r="E794" s="6" t="n">
        <v>2197972.3</v>
      </c>
      <c r="F794" s="6" t="n">
        <v>11575.53</v>
      </c>
      <c r="G794" s="6" t="n">
        <f aca="false">E794+F794</f>
        <v>2209547.83</v>
      </c>
      <c r="H794" s="7" t="n">
        <f aca="false">IF(D794=0,0,C794/D794)</f>
        <v>0</v>
      </c>
      <c r="I794" s="7" t="n">
        <f aca="false">IF(D794=0,0,B794/D794)</f>
        <v>1</v>
      </c>
      <c r="J794" s="6" t="n">
        <f aca="false">E794*H794</f>
        <v>0</v>
      </c>
      <c r="K794" s="6" t="n">
        <f aca="false">E794*I794</f>
        <v>2197972.3</v>
      </c>
      <c r="L794" s="6" t="n">
        <v>0</v>
      </c>
      <c r="M794" s="6" t="n">
        <v>2197972.3</v>
      </c>
      <c r="N794" s="6" t="n">
        <v>1682330</v>
      </c>
      <c r="O794" s="6" t="n">
        <v>1787996</v>
      </c>
      <c r="P794" s="7" t="n">
        <f aca="false">IF(O794=0,"",(G794-O794)/O794)</f>
        <v>0.235767770173982</v>
      </c>
      <c r="Q794" s="5" t="s">
        <v>26</v>
      </c>
      <c r="R794" s="5" t="s">
        <v>27</v>
      </c>
    </row>
    <row r="795" customFormat="false" ht="15" hidden="false" customHeight="true" outlineLevel="0" collapsed="false">
      <c r="A795" s="5" t="s">
        <v>819</v>
      </c>
      <c r="B795" s="6" t="n">
        <v>11223164737.14</v>
      </c>
      <c r="C795" s="6" t="n">
        <v>0</v>
      </c>
      <c r="D795" s="6" t="n">
        <v>11223164737.14</v>
      </c>
      <c r="E795" s="6" t="n">
        <v>4152570.95</v>
      </c>
      <c r="F795" s="6" t="n">
        <v>16515.64</v>
      </c>
      <c r="G795" s="6" t="n">
        <f aca="false">E795+F795</f>
        <v>4169086.59</v>
      </c>
      <c r="H795" s="7" t="n">
        <f aca="false">IF(D795=0,0,C795/D795)</f>
        <v>0</v>
      </c>
      <c r="I795" s="7" t="n">
        <f aca="false">IF(D795=0,0,B795/D795)</f>
        <v>1</v>
      </c>
      <c r="J795" s="6" t="n">
        <f aca="false">E795*H795</f>
        <v>0</v>
      </c>
      <c r="K795" s="6" t="n">
        <f aca="false">E795*I795</f>
        <v>4152570.95</v>
      </c>
      <c r="L795" s="6" t="n">
        <v>0</v>
      </c>
      <c r="M795" s="6" t="n">
        <v>4152570.95</v>
      </c>
      <c r="N795" s="6" t="n">
        <v>3126281</v>
      </c>
      <c r="O795" s="6" t="n">
        <v>3319257</v>
      </c>
      <c r="P795" s="7" t="n">
        <f aca="false">IF(O795=0,"",(G795-O795)/O795)</f>
        <v>0.256030066367262</v>
      </c>
      <c r="Q795" s="5" t="s">
        <v>26</v>
      </c>
      <c r="R795" s="5" t="s">
        <v>27</v>
      </c>
    </row>
    <row r="796" customFormat="false" ht="15" hidden="false" customHeight="true" outlineLevel="0" collapsed="false">
      <c r="A796" s="5" t="s">
        <v>820</v>
      </c>
      <c r="B796" s="6" t="n">
        <v>15217202579.29</v>
      </c>
      <c r="C796" s="6" t="n">
        <v>0</v>
      </c>
      <c r="D796" s="6" t="n">
        <v>15217202579.29</v>
      </c>
      <c r="E796" s="6" t="n">
        <v>5630364.95</v>
      </c>
      <c r="F796" s="6" t="n">
        <v>33970.41</v>
      </c>
      <c r="G796" s="6" t="n">
        <f aca="false">E796+F796</f>
        <v>5664335.36</v>
      </c>
      <c r="H796" s="7" t="n">
        <f aca="false">IF(D796=0,0,C796/D796)</f>
        <v>0</v>
      </c>
      <c r="I796" s="7" t="n">
        <f aca="false">IF(D796=0,0,B796/D796)</f>
        <v>1</v>
      </c>
      <c r="J796" s="6" t="n">
        <f aca="false">E796*H796</f>
        <v>0</v>
      </c>
      <c r="K796" s="6" t="n">
        <f aca="false">E796*I796</f>
        <v>5630364.95</v>
      </c>
      <c r="L796" s="6" t="n">
        <v>0</v>
      </c>
      <c r="M796" s="6" t="n">
        <v>5630364.95</v>
      </c>
      <c r="N796" s="6" t="n">
        <v>4144314</v>
      </c>
      <c r="O796" s="6" t="n">
        <v>4401455</v>
      </c>
      <c r="P796" s="7" t="n">
        <f aca="false">IF(O796=0,"",(G796-O796)/O796)</f>
        <v>0.286923383290298</v>
      </c>
      <c r="Q796" s="5" t="s">
        <v>26</v>
      </c>
      <c r="R796" s="5" t="s">
        <v>27</v>
      </c>
    </row>
    <row r="797" customFormat="false" ht="15" hidden="false" customHeight="true" outlineLevel="0" collapsed="false">
      <c r="A797" s="5" t="s">
        <v>821</v>
      </c>
      <c r="B797" s="6" t="n">
        <v>17573226980.3</v>
      </c>
      <c r="C797" s="6" t="n">
        <v>0</v>
      </c>
      <c r="D797" s="6" t="n">
        <v>17573226980.3</v>
      </c>
      <c r="E797" s="6" t="n">
        <v>6502093.98</v>
      </c>
      <c r="F797" s="6" t="n">
        <v>33696.9</v>
      </c>
      <c r="G797" s="6" t="n">
        <f aca="false">E797+F797</f>
        <v>6535790.88</v>
      </c>
      <c r="H797" s="7" t="n">
        <f aca="false">IF(D797=0,0,C797/D797)</f>
        <v>0</v>
      </c>
      <c r="I797" s="7" t="n">
        <f aca="false">IF(D797=0,0,B797/D797)</f>
        <v>1</v>
      </c>
      <c r="J797" s="6" t="n">
        <f aca="false">E797*H797</f>
        <v>0</v>
      </c>
      <c r="K797" s="6" t="n">
        <f aca="false">E797*I797</f>
        <v>6502093.98</v>
      </c>
      <c r="L797" s="6" t="n">
        <v>0</v>
      </c>
      <c r="M797" s="6" t="n">
        <v>6502093.98</v>
      </c>
      <c r="N797" s="6" t="n">
        <v>4666512</v>
      </c>
      <c r="O797" s="6" t="n">
        <v>4955163</v>
      </c>
      <c r="P797" s="7" t="n">
        <f aca="false">IF(O797=0,"",(G797-O797)/O797)</f>
        <v>0.318986051518386</v>
      </c>
      <c r="Q797" s="5" t="s">
        <v>26</v>
      </c>
      <c r="R797" s="5" t="s">
        <v>27</v>
      </c>
    </row>
    <row r="798" customFormat="false" ht="15" hidden="false" customHeight="true" outlineLevel="0" collapsed="false">
      <c r="A798" s="5" t="s">
        <v>822</v>
      </c>
      <c r="B798" s="6" t="n">
        <v>13920019812.41</v>
      </c>
      <c r="C798" s="6" t="n">
        <v>0</v>
      </c>
      <c r="D798" s="6" t="n">
        <v>13920019812.41</v>
      </c>
      <c r="E798" s="6" t="n">
        <v>5150407.33</v>
      </c>
      <c r="F798" s="6" t="n">
        <v>27428.99</v>
      </c>
      <c r="G798" s="6" t="n">
        <f aca="false">E798+F798</f>
        <v>5177836.32</v>
      </c>
      <c r="H798" s="7" t="n">
        <f aca="false">IF(D798=0,0,C798/D798)</f>
        <v>0</v>
      </c>
      <c r="I798" s="7" t="n">
        <f aca="false">IF(D798=0,0,B798/D798)</f>
        <v>1</v>
      </c>
      <c r="J798" s="6" t="n">
        <f aca="false">E798*H798</f>
        <v>0</v>
      </c>
      <c r="K798" s="6" t="n">
        <f aca="false">E798*I798</f>
        <v>5150407.33</v>
      </c>
      <c r="L798" s="6" t="n">
        <v>0</v>
      </c>
      <c r="M798" s="6" t="n">
        <v>5150407.33</v>
      </c>
      <c r="N798" s="6" t="n">
        <v>3873940</v>
      </c>
      <c r="O798" s="6" t="n">
        <v>4113566</v>
      </c>
      <c r="P798" s="7" t="n">
        <f aca="false">IF(O798=0,"",(G798-O798)/O798)</f>
        <v>0.258722072284728</v>
      </c>
      <c r="Q798" s="5" t="s">
        <v>26</v>
      </c>
      <c r="R798" s="5" t="s">
        <v>27</v>
      </c>
    </row>
    <row r="799" customFormat="false" ht="15" hidden="false" customHeight="true" outlineLevel="0" collapsed="false">
      <c r="A799" s="5" t="s">
        <v>823</v>
      </c>
      <c r="B799" s="6" t="n">
        <v>13225484310.08</v>
      </c>
      <c r="C799" s="6" t="n">
        <v>0</v>
      </c>
      <c r="D799" s="6" t="n">
        <v>13225484310.08</v>
      </c>
      <c r="E799" s="6" t="n">
        <v>4893429.19</v>
      </c>
      <c r="F799" s="6" t="n">
        <v>18086.5</v>
      </c>
      <c r="G799" s="6" t="n">
        <f aca="false">E799+F799</f>
        <v>4911515.69</v>
      </c>
      <c r="H799" s="7" t="n">
        <f aca="false">IF(D799=0,0,C799/D799)</f>
        <v>0</v>
      </c>
      <c r="I799" s="7" t="n">
        <f aca="false">IF(D799=0,0,B799/D799)</f>
        <v>1</v>
      </c>
      <c r="J799" s="6" t="n">
        <f aca="false">E799*H799</f>
        <v>0</v>
      </c>
      <c r="K799" s="6" t="n">
        <f aca="false">E799*I799</f>
        <v>4893429.19</v>
      </c>
      <c r="L799" s="6" t="n">
        <v>0</v>
      </c>
      <c r="M799" s="6" t="n">
        <v>4893429.19</v>
      </c>
      <c r="N799" s="6" t="n">
        <v>3662390</v>
      </c>
      <c r="O799" s="6" t="n">
        <v>3888929</v>
      </c>
      <c r="P799" s="7" t="n">
        <f aca="false">IF(O799=0,"",(G799-O799)/O799)</f>
        <v>0.2629481510205</v>
      </c>
      <c r="Q799" s="5" t="s">
        <v>26</v>
      </c>
      <c r="R799" s="5" t="s">
        <v>27</v>
      </c>
    </row>
    <row r="800" customFormat="false" ht="15" hidden="false" customHeight="true" outlineLevel="0" collapsed="false">
      <c r="A800" s="5" t="s">
        <v>824</v>
      </c>
      <c r="B800" s="6" t="n">
        <v>15953353062.82</v>
      </c>
      <c r="C800" s="6" t="n">
        <v>0</v>
      </c>
      <c r="D800" s="6" t="n">
        <v>15953353062.82</v>
      </c>
      <c r="E800" s="6" t="n">
        <v>5902740.63</v>
      </c>
      <c r="F800" s="6" t="n">
        <v>19134.61</v>
      </c>
      <c r="G800" s="6" t="n">
        <f aca="false">E800+F800</f>
        <v>5921875.24</v>
      </c>
      <c r="H800" s="7" t="n">
        <f aca="false">IF(D800=0,0,C800/D800)</f>
        <v>0</v>
      </c>
      <c r="I800" s="7" t="n">
        <f aca="false">IF(D800=0,0,B800/D800)</f>
        <v>1</v>
      </c>
      <c r="J800" s="6" t="n">
        <f aca="false">E800*H800</f>
        <v>0</v>
      </c>
      <c r="K800" s="6" t="n">
        <f aca="false">E800*I800</f>
        <v>5902740.63</v>
      </c>
      <c r="L800" s="6" t="n">
        <v>0</v>
      </c>
      <c r="M800" s="6" t="n">
        <v>5902740.63</v>
      </c>
      <c r="N800" s="6" t="n">
        <v>4273232</v>
      </c>
      <c r="O800" s="6" t="n">
        <v>4537093</v>
      </c>
      <c r="P800" s="7" t="n">
        <f aca="false">IF(O800=0,"",(G800-O800)/O800)</f>
        <v>0.305213545325168</v>
      </c>
      <c r="Q800" s="5" t="s">
        <v>26</v>
      </c>
      <c r="R800" s="5" t="s">
        <v>27</v>
      </c>
    </row>
    <row r="801" customFormat="false" ht="15" hidden="false" customHeight="true" outlineLevel="0" collapsed="false">
      <c r="A801" s="5" t="s">
        <v>825</v>
      </c>
      <c r="B801" s="6" t="n">
        <v>5698633537.28</v>
      </c>
      <c r="C801" s="6" t="n">
        <v>0</v>
      </c>
      <c r="D801" s="6" t="n">
        <v>5698633537.28</v>
      </c>
      <c r="E801" s="6" t="n">
        <v>2108494.41</v>
      </c>
      <c r="F801" s="6" t="n">
        <v>11201.58</v>
      </c>
      <c r="G801" s="6" t="n">
        <f aca="false">E801+F801</f>
        <v>2119695.99</v>
      </c>
      <c r="H801" s="7" t="n">
        <f aca="false">IF(D801=0,0,C801/D801)</f>
        <v>0</v>
      </c>
      <c r="I801" s="7" t="n">
        <f aca="false">IF(D801=0,0,B801/D801)</f>
        <v>1</v>
      </c>
      <c r="J801" s="6" t="n">
        <f aca="false">E801*H801</f>
        <v>0</v>
      </c>
      <c r="K801" s="6" t="n">
        <f aca="false">E801*I801</f>
        <v>2108494.41</v>
      </c>
      <c r="L801" s="6" t="n">
        <v>0</v>
      </c>
      <c r="M801" s="6" t="n">
        <v>2108494.41</v>
      </c>
      <c r="N801" s="6" t="n">
        <v>1615004</v>
      </c>
      <c r="O801" s="6" t="n">
        <v>1715002</v>
      </c>
      <c r="P801" s="7" t="n">
        <f aca="false">IF(O801=0,"",(G801-O801)/O801)</f>
        <v>0.23597289682461</v>
      </c>
      <c r="Q801" s="5" t="s">
        <v>26</v>
      </c>
      <c r="R801" s="5" t="s">
        <v>27</v>
      </c>
    </row>
    <row r="802" customFormat="false" ht="15" hidden="false" customHeight="true" outlineLevel="0" collapsed="false">
      <c r="A802" s="5" t="s">
        <v>826</v>
      </c>
      <c r="B802" s="6" t="n">
        <v>7413250946.81</v>
      </c>
      <c r="C802" s="6" t="n">
        <v>0</v>
      </c>
      <c r="D802" s="6" t="n">
        <v>7413250946.81</v>
      </c>
      <c r="E802" s="6" t="n">
        <v>2742902.85</v>
      </c>
      <c r="F802" s="6" t="n">
        <v>17618.95</v>
      </c>
      <c r="G802" s="6" t="n">
        <f aca="false">E802+F802</f>
        <v>2760521.8</v>
      </c>
      <c r="H802" s="7" t="n">
        <f aca="false">IF(D802=0,0,C802/D802)</f>
        <v>0</v>
      </c>
      <c r="I802" s="7" t="n">
        <f aca="false">IF(D802=0,0,B802/D802)</f>
        <v>1</v>
      </c>
      <c r="J802" s="6" t="n">
        <f aca="false">E802*H802</f>
        <v>0</v>
      </c>
      <c r="K802" s="6" t="n">
        <f aca="false">E802*I802</f>
        <v>2742902.85</v>
      </c>
      <c r="L802" s="6" t="n">
        <v>0</v>
      </c>
      <c r="M802" s="6" t="n">
        <v>2742902.85</v>
      </c>
      <c r="N802" s="6" t="n">
        <v>2114191</v>
      </c>
      <c r="O802" s="6" t="n">
        <v>2244382</v>
      </c>
      <c r="P802" s="7" t="n">
        <f aca="false">IF(O802=0,"",(G802-O802)/O802)</f>
        <v>0.229969675393939</v>
      </c>
      <c r="Q802" s="5" t="s">
        <v>26</v>
      </c>
      <c r="R802" s="5" t="s">
        <v>27</v>
      </c>
    </row>
    <row r="803" customFormat="false" ht="15" hidden="false" customHeight="true" outlineLevel="0" collapsed="false">
      <c r="A803" s="5" t="s">
        <v>827</v>
      </c>
      <c r="B803" s="6" t="n">
        <v>12436414976.16</v>
      </c>
      <c r="C803" s="6" t="n">
        <v>0</v>
      </c>
      <c r="D803" s="6" t="n">
        <v>12436414976.16</v>
      </c>
      <c r="E803" s="6" t="n">
        <v>4601473.54</v>
      </c>
      <c r="F803" s="6" t="n">
        <v>46393.04</v>
      </c>
      <c r="G803" s="6" t="n">
        <f aca="false">E803+F803</f>
        <v>4647866.58</v>
      </c>
      <c r="H803" s="7" t="n">
        <f aca="false">IF(D803=0,0,C803/D803)</f>
        <v>0</v>
      </c>
      <c r="I803" s="7" t="n">
        <f aca="false">IF(D803=0,0,B803/D803)</f>
        <v>1</v>
      </c>
      <c r="J803" s="6" t="n">
        <f aca="false">E803*H803</f>
        <v>0</v>
      </c>
      <c r="K803" s="6" t="n">
        <f aca="false">E803*I803</f>
        <v>4601473.54</v>
      </c>
      <c r="L803" s="6" t="n">
        <v>0</v>
      </c>
      <c r="M803" s="6" t="n">
        <v>4601473.54</v>
      </c>
      <c r="N803" s="6" t="n">
        <v>3366083</v>
      </c>
      <c r="O803" s="6" t="n">
        <v>3569760</v>
      </c>
      <c r="P803" s="7" t="n">
        <f aca="false">IF(O803=0,"",(G803-O803)/O803)</f>
        <v>0.302010941912061</v>
      </c>
      <c r="Q803" s="5" t="s">
        <v>26</v>
      </c>
      <c r="R803" s="5" t="s">
        <v>27</v>
      </c>
    </row>
    <row r="804" customFormat="false" ht="15" hidden="false" customHeight="true" outlineLevel="0" collapsed="false">
      <c r="A804" s="5" t="s">
        <v>828</v>
      </c>
      <c r="B804" s="6" t="n">
        <v>11467327116.62</v>
      </c>
      <c r="C804" s="6" t="n">
        <v>0</v>
      </c>
      <c r="D804" s="6" t="n">
        <v>11467327116.62</v>
      </c>
      <c r="E804" s="6" t="n">
        <v>4242911.03</v>
      </c>
      <c r="F804" s="6" t="n">
        <v>38858.27</v>
      </c>
      <c r="G804" s="6" t="n">
        <f aca="false">E804+F804</f>
        <v>4281769.3</v>
      </c>
      <c r="H804" s="7" t="n">
        <f aca="false">IF(D804=0,0,C804/D804)</f>
        <v>0</v>
      </c>
      <c r="I804" s="7" t="n">
        <f aca="false">IF(D804=0,0,B804/D804)</f>
        <v>1</v>
      </c>
      <c r="J804" s="6" t="n">
        <f aca="false">E804*H804</f>
        <v>0</v>
      </c>
      <c r="K804" s="6" t="n">
        <f aca="false">E804*I804</f>
        <v>4242911.03</v>
      </c>
      <c r="L804" s="6" t="n">
        <v>0</v>
      </c>
      <c r="M804" s="6" t="n">
        <v>4242911.03</v>
      </c>
      <c r="N804" s="6" t="n">
        <v>3088940</v>
      </c>
      <c r="O804" s="6" t="n">
        <v>3285487</v>
      </c>
      <c r="P804" s="7" t="n">
        <f aca="false">IF(O804=0,"",(G804-O804)/O804)</f>
        <v>0.303237328286491</v>
      </c>
      <c r="Q804" s="5" t="s">
        <v>26</v>
      </c>
      <c r="R804" s="5" t="s">
        <v>27</v>
      </c>
    </row>
    <row r="805" customFormat="false" ht="15" hidden="false" customHeight="true" outlineLevel="0" collapsed="false">
      <c r="A805" s="5" t="s">
        <v>829</v>
      </c>
      <c r="B805" s="6" t="n">
        <v>10174615682.51</v>
      </c>
      <c r="C805" s="6" t="n">
        <v>0</v>
      </c>
      <c r="D805" s="6" t="n">
        <v>10174615682.51</v>
      </c>
      <c r="E805" s="6" t="n">
        <v>3764607.8</v>
      </c>
      <c r="F805" s="6" t="n">
        <v>24124.88</v>
      </c>
      <c r="G805" s="6" t="n">
        <f aca="false">E805+F805</f>
        <v>3788732.68</v>
      </c>
      <c r="H805" s="7" t="n">
        <f aca="false">IF(D805=0,0,C805/D805)</f>
        <v>0</v>
      </c>
      <c r="I805" s="7" t="n">
        <f aca="false">IF(D805=0,0,B805/D805)</f>
        <v>1</v>
      </c>
      <c r="J805" s="6" t="n">
        <f aca="false">E805*H805</f>
        <v>0</v>
      </c>
      <c r="K805" s="6" t="n">
        <f aca="false">E805*I805</f>
        <v>3764607.8</v>
      </c>
      <c r="L805" s="6" t="n">
        <v>0</v>
      </c>
      <c r="M805" s="6" t="n">
        <v>3764607.8</v>
      </c>
      <c r="N805" s="6" t="n">
        <v>2751061</v>
      </c>
      <c r="O805" s="6" t="n">
        <v>2920676</v>
      </c>
      <c r="P805" s="7" t="n">
        <f aca="false">IF(O805=0,"",(G805-O805)/O805)</f>
        <v>0.297210878577425</v>
      </c>
      <c r="Q805" s="5" t="s">
        <v>26</v>
      </c>
      <c r="R805" s="5" t="s">
        <v>27</v>
      </c>
    </row>
    <row r="806" customFormat="false" ht="15" hidden="false" customHeight="true" outlineLevel="0" collapsed="false">
      <c r="A806" s="5" t="s">
        <v>830</v>
      </c>
      <c r="B806" s="6" t="n">
        <v>11403174318.78</v>
      </c>
      <c r="C806" s="6" t="n">
        <v>0</v>
      </c>
      <c r="D806" s="6" t="n">
        <v>11403174318.78</v>
      </c>
      <c r="E806" s="6" t="n">
        <v>4219174.5</v>
      </c>
      <c r="F806" s="6" t="n">
        <v>27374.91</v>
      </c>
      <c r="G806" s="6" t="n">
        <f aca="false">E806+F806</f>
        <v>4246549.41</v>
      </c>
      <c r="H806" s="7" t="n">
        <f aca="false">IF(D806=0,0,C806/D806)</f>
        <v>0</v>
      </c>
      <c r="I806" s="7" t="n">
        <f aca="false">IF(D806=0,0,B806/D806)</f>
        <v>1</v>
      </c>
      <c r="J806" s="6" t="n">
        <f aca="false">E806*H806</f>
        <v>0</v>
      </c>
      <c r="K806" s="6" t="n">
        <f aca="false">E806*I806</f>
        <v>4219174.5</v>
      </c>
      <c r="L806" s="6" t="n">
        <v>0</v>
      </c>
      <c r="M806" s="6" t="n">
        <v>4219174.5</v>
      </c>
      <c r="N806" s="6" t="n">
        <v>3111381</v>
      </c>
      <c r="O806" s="6" t="n">
        <v>3304391</v>
      </c>
      <c r="P806" s="7" t="n">
        <f aca="false">IF(O806=0,"",(G806-O806)/O806)</f>
        <v>0.285123161877635</v>
      </c>
      <c r="Q806" s="5" t="s">
        <v>26</v>
      </c>
      <c r="R806" s="5" t="s">
        <v>27</v>
      </c>
    </row>
    <row r="807" customFormat="false" ht="15" hidden="false" customHeight="true" outlineLevel="0" collapsed="false">
      <c r="A807" s="5" t="s">
        <v>831</v>
      </c>
      <c r="B807" s="6" t="n">
        <v>18380818442.58</v>
      </c>
      <c r="C807" s="6" t="n">
        <v>0</v>
      </c>
      <c r="D807" s="6" t="n">
        <v>18380818442.58</v>
      </c>
      <c r="E807" s="6" t="n">
        <v>6800902.82</v>
      </c>
      <c r="F807" s="6" t="n">
        <v>52101.76</v>
      </c>
      <c r="G807" s="6" t="n">
        <f aca="false">E807+F807</f>
        <v>6853004.58</v>
      </c>
      <c r="H807" s="7" t="n">
        <f aca="false">IF(D807=0,0,C807/D807)</f>
        <v>0</v>
      </c>
      <c r="I807" s="7" t="n">
        <f aca="false">IF(D807=0,0,B807/D807)</f>
        <v>1</v>
      </c>
      <c r="J807" s="6" t="n">
        <f aca="false">E807*H807</f>
        <v>0</v>
      </c>
      <c r="K807" s="6" t="n">
        <f aca="false">E807*I807</f>
        <v>6800902.82</v>
      </c>
      <c r="L807" s="6" t="n">
        <v>0</v>
      </c>
      <c r="M807" s="6" t="n">
        <v>6800902.82</v>
      </c>
      <c r="N807" s="6" t="n">
        <v>5565168</v>
      </c>
      <c r="O807" s="6" t="n">
        <v>6147397</v>
      </c>
      <c r="P807" s="7" t="n">
        <f aca="false">IF(O807=0,"",(G807-O807)/O807)</f>
        <v>0.114781521349605</v>
      </c>
      <c r="Q807" s="5" t="s">
        <v>26</v>
      </c>
      <c r="R807" s="5" t="s">
        <v>27</v>
      </c>
    </row>
    <row r="808" customFormat="false" ht="15" hidden="false" customHeight="true" outlineLevel="0" collapsed="false">
      <c r="A808" s="5" t="s">
        <v>832</v>
      </c>
      <c r="B808" s="6" t="n">
        <v>8441327240.05</v>
      </c>
      <c r="C808" s="6" t="n">
        <v>0</v>
      </c>
      <c r="D808" s="6" t="n">
        <v>8441327240.05</v>
      </c>
      <c r="E808" s="6" t="n">
        <v>3123291.08</v>
      </c>
      <c r="F808" s="6" t="n">
        <v>16236.14</v>
      </c>
      <c r="G808" s="6" t="n">
        <f aca="false">E808+F808</f>
        <v>3139527.22</v>
      </c>
      <c r="H808" s="7" t="n">
        <f aca="false">IF(D808=0,0,C808/D808)</f>
        <v>0</v>
      </c>
      <c r="I808" s="7" t="n">
        <f aca="false">IF(D808=0,0,B808/D808)</f>
        <v>1</v>
      </c>
      <c r="J808" s="6" t="n">
        <f aca="false">E808*H808</f>
        <v>0</v>
      </c>
      <c r="K808" s="6" t="n">
        <f aca="false">E808*I808</f>
        <v>3123291.08</v>
      </c>
      <c r="L808" s="6" t="n">
        <v>0</v>
      </c>
      <c r="M808" s="6" t="n">
        <v>3123291.08</v>
      </c>
      <c r="N808" s="6" t="n">
        <v>2571541</v>
      </c>
      <c r="O808" s="6" t="n">
        <v>2853841</v>
      </c>
      <c r="P808" s="7" t="n">
        <f aca="false">IF(O808=0,"",(G808-O808)/O808)</f>
        <v>0.100105864342127</v>
      </c>
      <c r="Q808" s="5" t="s">
        <v>26</v>
      </c>
      <c r="R808" s="5" t="s">
        <v>27</v>
      </c>
    </row>
    <row r="809" customFormat="false" ht="15" hidden="false" customHeight="true" outlineLevel="0" collapsed="false">
      <c r="A809" s="5" t="s">
        <v>833</v>
      </c>
      <c r="B809" s="6" t="n">
        <v>5841208708.8</v>
      </c>
      <c r="C809" s="6" t="n">
        <v>0</v>
      </c>
      <c r="D809" s="6" t="n">
        <v>5841208708.8</v>
      </c>
      <c r="E809" s="6" t="n">
        <v>2161247.22</v>
      </c>
      <c r="F809" s="6" t="n">
        <v>11568.11</v>
      </c>
      <c r="G809" s="6" t="n">
        <f aca="false">E809+F809</f>
        <v>2172815.33</v>
      </c>
      <c r="H809" s="7" t="n">
        <f aca="false">IF(D809=0,0,C809/D809)</f>
        <v>0</v>
      </c>
      <c r="I809" s="7" t="n">
        <f aca="false">IF(D809=0,0,B809/D809)</f>
        <v>1</v>
      </c>
      <c r="J809" s="6" t="n">
        <f aca="false">E809*H809</f>
        <v>0</v>
      </c>
      <c r="K809" s="6" t="n">
        <f aca="false">E809*I809</f>
        <v>2161247.22</v>
      </c>
      <c r="L809" s="6" t="n">
        <v>0</v>
      </c>
      <c r="M809" s="6" t="n">
        <v>2161247.22</v>
      </c>
      <c r="N809" s="6" t="n">
        <v>1857636</v>
      </c>
      <c r="O809" s="6" t="n">
        <v>2080517</v>
      </c>
      <c r="P809" s="7" t="n">
        <f aca="false">IF(O809=0,"",(G809-O809)/O809)</f>
        <v>0.0443631703081494</v>
      </c>
      <c r="Q809" s="5" t="s">
        <v>26</v>
      </c>
      <c r="R809" s="5" t="s">
        <v>27</v>
      </c>
    </row>
    <row r="810" customFormat="false" ht="15" hidden="false" customHeight="true" outlineLevel="0" collapsed="false">
      <c r="A810" s="5" t="s">
        <v>834</v>
      </c>
      <c r="B810" s="6" t="n">
        <v>9314089950.95</v>
      </c>
      <c r="C810" s="6" t="n">
        <v>0</v>
      </c>
      <c r="D810" s="6" t="n">
        <v>9314089950.95</v>
      </c>
      <c r="E810" s="6" t="n">
        <v>3446213.28</v>
      </c>
      <c r="F810" s="6" t="n">
        <v>34731.82</v>
      </c>
      <c r="G810" s="6" t="n">
        <f aca="false">E810+F810</f>
        <v>3480945.1</v>
      </c>
      <c r="H810" s="7" t="n">
        <f aca="false">IF(D810=0,0,C810/D810)</f>
        <v>0</v>
      </c>
      <c r="I810" s="7" t="n">
        <f aca="false">IF(D810=0,0,B810/D810)</f>
        <v>1</v>
      </c>
      <c r="J810" s="6" t="n">
        <f aca="false">E810*H810</f>
        <v>0</v>
      </c>
      <c r="K810" s="6" t="n">
        <f aca="false">E810*I810</f>
        <v>3446213.28</v>
      </c>
      <c r="L810" s="6" t="n">
        <v>0</v>
      </c>
      <c r="M810" s="6" t="n">
        <v>3446213.28</v>
      </c>
      <c r="N810" s="6" t="n">
        <v>2825805</v>
      </c>
      <c r="O810" s="6" t="n">
        <v>3158183</v>
      </c>
      <c r="P810" s="7" t="n">
        <f aca="false">IF(O810=0,"",(G810-O810)/O810)</f>
        <v>0.102198669298137</v>
      </c>
      <c r="Q810" s="5" t="s">
        <v>26</v>
      </c>
      <c r="R810" s="5" t="s">
        <v>27</v>
      </c>
    </row>
    <row r="811" customFormat="false" ht="15" hidden="false" customHeight="true" outlineLevel="0" collapsed="false">
      <c r="A811" s="5" t="s">
        <v>835</v>
      </c>
      <c r="B811" s="6" t="n">
        <v>9775208827.43</v>
      </c>
      <c r="C811" s="6" t="n">
        <v>0</v>
      </c>
      <c r="D811" s="6" t="n">
        <v>9775208827.43</v>
      </c>
      <c r="E811" s="6" t="n">
        <v>3616827.27</v>
      </c>
      <c r="F811" s="6" t="n">
        <v>19219.79</v>
      </c>
      <c r="G811" s="6" t="n">
        <f aca="false">E811+F811</f>
        <v>3636047.06</v>
      </c>
      <c r="H811" s="7" t="n">
        <f aca="false">IF(D811=0,0,C811/D811)</f>
        <v>0</v>
      </c>
      <c r="I811" s="7" t="n">
        <f aca="false">IF(D811=0,0,B811/D811)</f>
        <v>1</v>
      </c>
      <c r="J811" s="6" t="n">
        <f aca="false">E811*H811</f>
        <v>0</v>
      </c>
      <c r="K811" s="6" t="n">
        <f aca="false">E811*I811</f>
        <v>3616827.27</v>
      </c>
      <c r="L811" s="6" t="n">
        <v>0</v>
      </c>
      <c r="M811" s="6" t="n">
        <v>3616827.27</v>
      </c>
      <c r="N811" s="6" t="n">
        <v>3111117</v>
      </c>
      <c r="O811" s="6" t="n">
        <v>3465534</v>
      </c>
      <c r="P811" s="7" t="n">
        <f aca="false">IF(O811=0,"",(G811-O811)/O811)</f>
        <v>0.0492025355976886</v>
      </c>
      <c r="Q811" s="5" t="s">
        <v>26</v>
      </c>
      <c r="R811" s="5" t="s">
        <v>27</v>
      </c>
    </row>
    <row r="812" customFormat="false" ht="15" hidden="false" customHeight="true" outlineLevel="0" collapsed="false">
      <c r="A812" s="5" t="s">
        <v>836</v>
      </c>
      <c r="B812" s="6" t="n">
        <v>7858359162.9</v>
      </c>
      <c r="C812" s="6" t="n">
        <v>0</v>
      </c>
      <c r="D812" s="6" t="n">
        <v>7858359162.9</v>
      </c>
      <c r="E812" s="6" t="n">
        <v>2907592.89</v>
      </c>
      <c r="F812" s="6" t="n">
        <v>14443.15</v>
      </c>
      <c r="G812" s="6" t="n">
        <f aca="false">E812+F812</f>
        <v>2922036.04</v>
      </c>
      <c r="H812" s="7" t="n">
        <f aca="false">IF(D812=0,0,C812/D812)</f>
        <v>0</v>
      </c>
      <c r="I812" s="7" t="n">
        <f aca="false">IF(D812=0,0,B812/D812)</f>
        <v>1</v>
      </c>
      <c r="J812" s="6" t="n">
        <f aca="false">E812*H812</f>
        <v>0</v>
      </c>
      <c r="K812" s="6" t="n">
        <f aca="false">E812*I812</f>
        <v>2907592.89</v>
      </c>
      <c r="L812" s="6" t="n">
        <v>0</v>
      </c>
      <c r="M812" s="6" t="n">
        <v>2907592.89</v>
      </c>
      <c r="N812" s="6" t="n">
        <v>2324237</v>
      </c>
      <c r="O812" s="6" t="n">
        <v>2592625</v>
      </c>
      <c r="P812" s="7" t="n">
        <f aca="false">IF(O812=0,"",(G812-O812)/O812)</f>
        <v>0.127056955788053</v>
      </c>
      <c r="Q812" s="5" t="s">
        <v>26</v>
      </c>
      <c r="R812" s="5" t="s">
        <v>27</v>
      </c>
    </row>
    <row r="813" customFormat="false" ht="15" hidden="false" customHeight="true" outlineLevel="0" collapsed="false">
      <c r="A813" s="5" t="s">
        <v>837</v>
      </c>
      <c r="B813" s="6" t="n">
        <v>10373151278.32</v>
      </c>
      <c r="C813" s="6" t="n">
        <v>0</v>
      </c>
      <c r="D813" s="6" t="n">
        <v>10373151278.32</v>
      </c>
      <c r="E813" s="6" t="n">
        <v>3838065.97</v>
      </c>
      <c r="F813" s="6" t="n">
        <v>15246.96</v>
      </c>
      <c r="G813" s="6" t="n">
        <f aca="false">E813+F813</f>
        <v>3853312.93</v>
      </c>
      <c r="H813" s="7" t="n">
        <f aca="false">IF(D813=0,0,C813/D813)</f>
        <v>0</v>
      </c>
      <c r="I813" s="7" t="n">
        <f aca="false">IF(D813=0,0,B813/D813)</f>
        <v>1</v>
      </c>
      <c r="J813" s="6" t="n">
        <f aca="false">E813*H813</f>
        <v>0</v>
      </c>
      <c r="K813" s="6" t="n">
        <f aca="false">E813*I813</f>
        <v>3838065.97</v>
      </c>
      <c r="L813" s="6" t="n">
        <v>0</v>
      </c>
      <c r="M813" s="6" t="n">
        <v>3838065.97</v>
      </c>
      <c r="N813" s="6" t="n">
        <v>3265969</v>
      </c>
      <c r="O813" s="6" t="n">
        <v>3629655</v>
      </c>
      <c r="P813" s="7" t="n">
        <f aca="false">IF(O813=0,"",(G813-O813)/O813)</f>
        <v>0.0616196112302685</v>
      </c>
      <c r="Q813" s="5" t="s">
        <v>26</v>
      </c>
      <c r="R813" s="5" t="s">
        <v>27</v>
      </c>
    </row>
    <row r="814" customFormat="false" ht="15" hidden="false" customHeight="true" outlineLevel="0" collapsed="false">
      <c r="A814" s="5" t="s">
        <v>838</v>
      </c>
      <c r="B814" s="6" t="n">
        <v>11308035796.91</v>
      </c>
      <c r="C814" s="6" t="n">
        <v>0</v>
      </c>
      <c r="D814" s="6" t="n">
        <v>11308035796.91</v>
      </c>
      <c r="E814" s="6" t="n">
        <v>4183973.24</v>
      </c>
      <c r="F814" s="6" t="n">
        <v>13306.18</v>
      </c>
      <c r="G814" s="6" t="n">
        <f aca="false">E814+F814</f>
        <v>4197279.42</v>
      </c>
      <c r="H814" s="7" t="n">
        <f aca="false">IF(D814=0,0,C814/D814)</f>
        <v>0</v>
      </c>
      <c r="I814" s="7" t="n">
        <f aca="false">IF(D814=0,0,B814/D814)</f>
        <v>1</v>
      </c>
      <c r="J814" s="6" t="n">
        <f aca="false">E814*H814</f>
        <v>0</v>
      </c>
      <c r="K814" s="6" t="n">
        <f aca="false">E814*I814</f>
        <v>4183973.24</v>
      </c>
      <c r="L814" s="6" t="n">
        <v>0</v>
      </c>
      <c r="M814" s="6" t="n">
        <v>4183973.24</v>
      </c>
      <c r="N814" s="6" t="n">
        <v>3384426</v>
      </c>
      <c r="O814" s="6" t="n">
        <v>3767903</v>
      </c>
      <c r="P814" s="7" t="n">
        <f aca="false">IF(O814=0,"",(G814-O814)/O814)</f>
        <v>0.113956335924784</v>
      </c>
      <c r="Q814" s="5" t="s">
        <v>26</v>
      </c>
      <c r="R814" s="5" t="s">
        <v>27</v>
      </c>
    </row>
    <row r="815" customFormat="false" ht="15" hidden="false" customHeight="true" outlineLevel="0" collapsed="false">
      <c r="A815" s="5" t="s">
        <v>839</v>
      </c>
      <c r="B815" s="6" t="n">
        <v>10137348599.57</v>
      </c>
      <c r="C815" s="6" t="n">
        <v>0</v>
      </c>
      <c r="D815" s="6" t="n">
        <v>10137348599.57</v>
      </c>
      <c r="E815" s="6" t="n">
        <v>3750818.98</v>
      </c>
      <c r="F815" s="6" t="n">
        <v>15826.23</v>
      </c>
      <c r="G815" s="6" t="n">
        <f aca="false">E815+F815</f>
        <v>3766645.21</v>
      </c>
      <c r="H815" s="7" t="n">
        <f aca="false">IF(D815=0,0,C815/D815)</f>
        <v>0</v>
      </c>
      <c r="I815" s="7" t="n">
        <f aca="false">IF(D815=0,0,B815/D815)</f>
        <v>1</v>
      </c>
      <c r="J815" s="6" t="n">
        <f aca="false">E815*H815</f>
        <v>0</v>
      </c>
      <c r="K815" s="6" t="n">
        <f aca="false">E815*I815</f>
        <v>3750818.98</v>
      </c>
      <c r="L815" s="6" t="n">
        <v>0</v>
      </c>
      <c r="M815" s="6" t="n">
        <v>3750818.98</v>
      </c>
      <c r="N815" s="6" t="n">
        <v>3281422</v>
      </c>
      <c r="O815" s="6" t="n">
        <v>3694314</v>
      </c>
      <c r="P815" s="7" t="n">
        <f aca="false">IF(O815=0,"",(G815-O815)/O815)</f>
        <v>0.0195790639344679</v>
      </c>
      <c r="Q815" s="5" t="s">
        <v>26</v>
      </c>
      <c r="R815" s="5" t="s">
        <v>27</v>
      </c>
    </row>
    <row r="816" customFormat="false" ht="15" hidden="false" customHeight="true" outlineLevel="0" collapsed="false">
      <c r="A816" s="5" t="s">
        <v>840</v>
      </c>
      <c r="B816" s="6" t="n">
        <v>9805998920.34</v>
      </c>
      <c r="C816" s="6" t="n">
        <v>0</v>
      </c>
      <c r="D816" s="6" t="n">
        <v>9805998920.34</v>
      </c>
      <c r="E816" s="6" t="n">
        <v>3628219.6</v>
      </c>
      <c r="F816" s="6" t="n">
        <v>9308.85</v>
      </c>
      <c r="G816" s="6" t="n">
        <f aca="false">E816+F816</f>
        <v>3637528.45</v>
      </c>
      <c r="H816" s="7" t="n">
        <f aca="false">IF(D816=0,0,C816/D816)</f>
        <v>0</v>
      </c>
      <c r="I816" s="7" t="n">
        <f aca="false">IF(D816=0,0,B816/D816)</f>
        <v>1</v>
      </c>
      <c r="J816" s="6" t="n">
        <f aca="false">E816*H816</f>
        <v>0</v>
      </c>
      <c r="K816" s="6" t="n">
        <f aca="false">E816*I816</f>
        <v>3628219.6</v>
      </c>
      <c r="L816" s="6" t="n">
        <v>0</v>
      </c>
      <c r="M816" s="6" t="n">
        <v>3628219.6</v>
      </c>
      <c r="N816" s="6" t="n">
        <v>2973762</v>
      </c>
      <c r="O816" s="6" t="n">
        <v>3375398</v>
      </c>
      <c r="P816" s="7" t="n">
        <f aca="false">IF(O816=0,"",(G816-O816)/O816)</f>
        <v>0.0776591234574412</v>
      </c>
      <c r="Q816" s="5" t="s">
        <v>26</v>
      </c>
      <c r="R816" s="5" t="s">
        <v>27</v>
      </c>
    </row>
    <row r="817" customFormat="false" ht="15" hidden="false" customHeight="true" outlineLevel="0" collapsed="false">
      <c r="A817" s="5" t="s">
        <v>841</v>
      </c>
      <c r="B817" s="6" t="n">
        <v>16607625784.39</v>
      </c>
      <c r="C817" s="6" t="n">
        <v>0</v>
      </c>
      <c r="D817" s="6" t="n">
        <v>16607625784.39</v>
      </c>
      <c r="E817" s="6" t="n">
        <v>6144821.54</v>
      </c>
      <c r="F817" s="6" t="n">
        <v>29710.76</v>
      </c>
      <c r="G817" s="6" t="n">
        <f aca="false">E817+F817</f>
        <v>6174532.3</v>
      </c>
      <c r="H817" s="7" t="n">
        <f aca="false">IF(D817=0,0,C817/D817)</f>
        <v>0</v>
      </c>
      <c r="I817" s="7" t="n">
        <f aca="false">IF(D817=0,0,B817/D817)</f>
        <v>1</v>
      </c>
      <c r="J817" s="6" t="n">
        <f aca="false">E817*H817</f>
        <v>0</v>
      </c>
      <c r="K817" s="6" t="n">
        <f aca="false">E817*I817</f>
        <v>6144821.54</v>
      </c>
      <c r="L817" s="6" t="n">
        <v>0</v>
      </c>
      <c r="M817" s="6" t="n">
        <v>6144821.54</v>
      </c>
      <c r="N817" s="6" t="n">
        <v>5185766</v>
      </c>
      <c r="O817" s="6" t="n">
        <v>5807786</v>
      </c>
      <c r="P817" s="7" t="n">
        <f aca="false">IF(O817=0,"",(G817-O817)/O817)</f>
        <v>0.0631473508149232</v>
      </c>
      <c r="Q817" s="5" t="s">
        <v>26</v>
      </c>
      <c r="R817" s="5" t="s">
        <v>27</v>
      </c>
    </row>
    <row r="818" customFormat="false" ht="15" hidden="false" customHeight="true" outlineLevel="0" collapsed="false">
      <c r="A818" s="5" t="s">
        <v>842</v>
      </c>
      <c r="B818" s="6" t="n">
        <v>16065474194.33</v>
      </c>
      <c r="C818" s="6" t="n">
        <v>0</v>
      </c>
      <c r="D818" s="6" t="n">
        <v>16065474194.33</v>
      </c>
      <c r="E818" s="6" t="n">
        <v>5944225.45</v>
      </c>
      <c r="F818" s="6" t="n">
        <v>33444.01</v>
      </c>
      <c r="G818" s="6" t="n">
        <f aca="false">E818+F818</f>
        <v>5977669.46</v>
      </c>
      <c r="H818" s="7" t="n">
        <f aca="false">IF(D818=0,0,C818/D818)</f>
        <v>0</v>
      </c>
      <c r="I818" s="7" t="n">
        <f aca="false">IF(D818=0,0,B818/D818)</f>
        <v>1</v>
      </c>
      <c r="J818" s="6" t="n">
        <f aca="false">E818*H818</f>
        <v>0</v>
      </c>
      <c r="K818" s="6" t="n">
        <f aca="false">E818*I818</f>
        <v>5944225.45</v>
      </c>
      <c r="L818" s="6" t="n">
        <v>0</v>
      </c>
      <c r="M818" s="6" t="n">
        <v>5944225.45</v>
      </c>
      <c r="N818" s="6" t="n">
        <v>5124037</v>
      </c>
      <c r="O818" s="6" t="n">
        <v>5779884</v>
      </c>
      <c r="P818" s="7" t="n">
        <f aca="false">IF(O818=0,"",(G818-O818)/O818)</f>
        <v>0.0342196244768926</v>
      </c>
      <c r="Q818" s="5" t="s">
        <v>26</v>
      </c>
      <c r="R818" s="5" t="s">
        <v>27</v>
      </c>
    </row>
    <row r="819" customFormat="false" ht="15" hidden="false" customHeight="true" outlineLevel="0" collapsed="false">
      <c r="A819" s="5" t="s">
        <v>843</v>
      </c>
      <c r="B819" s="6" t="n">
        <v>19919714584.67</v>
      </c>
      <c r="C819" s="6" t="n">
        <v>0</v>
      </c>
      <c r="D819" s="6" t="n">
        <v>19919714584.67</v>
      </c>
      <c r="E819" s="6" t="n">
        <v>7370294.4</v>
      </c>
      <c r="F819" s="6" t="n">
        <v>42547.83</v>
      </c>
      <c r="G819" s="6" t="n">
        <f aca="false">E819+F819</f>
        <v>7412842.23</v>
      </c>
      <c r="H819" s="7" t="n">
        <f aca="false">IF(D819=0,0,C819/D819)</f>
        <v>0</v>
      </c>
      <c r="I819" s="7" t="n">
        <f aca="false">IF(D819=0,0,B819/D819)</f>
        <v>1</v>
      </c>
      <c r="J819" s="6" t="n">
        <f aca="false">E819*H819</f>
        <v>0</v>
      </c>
      <c r="K819" s="6" t="n">
        <f aca="false">E819*I819</f>
        <v>7370294.4</v>
      </c>
      <c r="L819" s="6" t="n">
        <v>0</v>
      </c>
      <c r="M819" s="6" t="n">
        <v>7370294.4</v>
      </c>
      <c r="N819" s="6" t="n">
        <v>6285384</v>
      </c>
      <c r="O819" s="6" t="n">
        <v>7139809</v>
      </c>
      <c r="P819" s="7" t="n">
        <f aca="false">IF(O819=0,"",(G819-O819)/O819)</f>
        <v>0.0382409711520295</v>
      </c>
      <c r="Q819" s="5" t="s">
        <v>26</v>
      </c>
      <c r="R819" s="5" t="s">
        <v>27</v>
      </c>
    </row>
    <row r="820" customFormat="false" ht="15" hidden="false" customHeight="true" outlineLevel="0" collapsed="false">
      <c r="A820" s="5" t="s">
        <v>844</v>
      </c>
      <c r="B820" s="6" t="n">
        <v>27376439345.65</v>
      </c>
      <c r="C820" s="6" t="n">
        <v>0</v>
      </c>
      <c r="D820" s="6" t="n">
        <v>27376439345.65</v>
      </c>
      <c r="E820" s="6" t="n">
        <v>10129282.56</v>
      </c>
      <c r="F820" s="6" t="n">
        <v>71765.98</v>
      </c>
      <c r="G820" s="6" t="n">
        <f aca="false">E820+F820</f>
        <v>10201048.54</v>
      </c>
      <c r="H820" s="7" t="n">
        <f aca="false">IF(D820=0,0,C820/D820)</f>
        <v>0</v>
      </c>
      <c r="I820" s="7" t="n">
        <f aca="false">IF(D820=0,0,B820/D820)</f>
        <v>1</v>
      </c>
      <c r="J820" s="6" t="n">
        <f aca="false">E820*H820</f>
        <v>0</v>
      </c>
      <c r="K820" s="6" t="n">
        <f aca="false">E820*I820</f>
        <v>10129282.56</v>
      </c>
      <c r="L820" s="6" t="n">
        <v>0</v>
      </c>
      <c r="M820" s="6" t="n">
        <v>10129282.56</v>
      </c>
      <c r="N820" s="6" t="n">
        <v>8513405</v>
      </c>
      <c r="O820" s="6" t="n">
        <v>9572046</v>
      </c>
      <c r="P820" s="7" t="n">
        <f aca="false">IF(O820=0,"",(G820-O820)/O820)</f>
        <v>0.0657124443405309</v>
      </c>
      <c r="Q820" s="5" t="s">
        <v>26</v>
      </c>
      <c r="R820" s="5" t="s">
        <v>27</v>
      </c>
    </row>
    <row r="821" customFormat="false" ht="15" hidden="false" customHeight="true" outlineLevel="0" collapsed="false">
      <c r="A821" s="5" t="s">
        <v>845</v>
      </c>
      <c r="B821" s="6" t="n">
        <v>13585090718.69</v>
      </c>
      <c r="C821" s="6" t="n">
        <v>0</v>
      </c>
      <c r="D821" s="6" t="n">
        <v>13585090718.69</v>
      </c>
      <c r="E821" s="6" t="n">
        <v>5026483.57</v>
      </c>
      <c r="F821" s="6" t="n">
        <v>42564.93</v>
      </c>
      <c r="G821" s="6" t="n">
        <f aca="false">E821+F821</f>
        <v>5069048.5</v>
      </c>
      <c r="H821" s="7" t="n">
        <f aca="false">IF(D821=0,0,C821/D821)</f>
        <v>0</v>
      </c>
      <c r="I821" s="7" t="n">
        <f aca="false">IF(D821=0,0,B821/D821)</f>
        <v>1</v>
      </c>
      <c r="J821" s="6" t="n">
        <f aca="false">E821*H821</f>
        <v>0</v>
      </c>
      <c r="K821" s="6" t="n">
        <f aca="false">E821*I821</f>
        <v>5026483.57</v>
      </c>
      <c r="L821" s="6" t="n">
        <v>0</v>
      </c>
      <c r="M821" s="6" t="n">
        <v>5026483.57</v>
      </c>
      <c r="N821" s="6" t="n">
        <v>4444759</v>
      </c>
      <c r="O821" s="6" t="n">
        <v>5075291</v>
      </c>
      <c r="P821" s="7" t="n">
        <f aca="false">IF(O821=0,"",(G821-O821)/O821)</f>
        <v>-0.0012299787342243</v>
      </c>
      <c r="Q821" s="5" t="s">
        <v>26</v>
      </c>
      <c r="R821" s="5" t="s">
        <v>27</v>
      </c>
    </row>
    <row r="822" customFormat="false" ht="15" hidden="false" customHeight="true" outlineLevel="0" collapsed="false">
      <c r="A822" s="5" t="s">
        <v>846</v>
      </c>
      <c r="B822" s="6" t="n">
        <v>4928430305.3</v>
      </c>
      <c r="C822" s="6" t="n">
        <v>0</v>
      </c>
      <c r="D822" s="6" t="n">
        <v>4928430305.3</v>
      </c>
      <c r="E822" s="6" t="n">
        <v>1823519.21</v>
      </c>
      <c r="F822" s="6" t="n">
        <v>8718.37</v>
      </c>
      <c r="G822" s="6" t="n">
        <f aca="false">E822+F822</f>
        <v>1832237.58</v>
      </c>
      <c r="H822" s="7" t="n">
        <f aca="false">IF(D822=0,0,C822/D822)</f>
        <v>0</v>
      </c>
      <c r="I822" s="7" t="n">
        <f aca="false">IF(D822=0,0,B822/D822)</f>
        <v>1</v>
      </c>
      <c r="J822" s="6" t="n">
        <f aca="false">E822*H822</f>
        <v>0</v>
      </c>
      <c r="K822" s="6" t="n">
        <f aca="false">E822*I822</f>
        <v>1823519.21</v>
      </c>
      <c r="L822" s="6" t="n">
        <v>0</v>
      </c>
      <c r="M822" s="6" t="n">
        <v>1823519.21</v>
      </c>
      <c r="N822" s="6" t="n">
        <v>1646689</v>
      </c>
      <c r="O822" s="6" t="n">
        <v>1890388</v>
      </c>
      <c r="P822" s="7" t="n">
        <f aca="false">IF(O822=0,"",(G822-O822)/O822)</f>
        <v>-0.0307611030116568</v>
      </c>
      <c r="Q822" s="5" t="s">
        <v>26</v>
      </c>
      <c r="R822" s="5" t="s">
        <v>27</v>
      </c>
    </row>
    <row r="823" customFormat="false" ht="15" hidden="false" customHeight="true" outlineLevel="0" collapsed="false">
      <c r="A823" s="5" t="s">
        <v>847</v>
      </c>
      <c r="B823" s="6" t="n">
        <v>6272412052.74</v>
      </c>
      <c r="C823" s="6" t="n">
        <v>0</v>
      </c>
      <c r="D823" s="6" t="n">
        <v>6272412052.74</v>
      </c>
      <c r="E823" s="6" t="n">
        <v>2320792.46</v>
      </c>
      <c r="F823" s="6" t="n">
        <v>8009.83</v>
      </c>
      <c r="G823" s="6" t="n">
        <f aca="false">E823+F823</f>
        <v>2328802.29</v>
      </c>
      <c r="H823" s="7" t="n">
        <f aca="false">IF(D823=0,0,C823/D823)</f>
        <v>0</v>
      </c>
      <c r="I823" s="7" t="n">
        <f aca="false">IF(D823=0,0,B823/D823)</f>
        <v>1</v>
      </c>
      <c r="J823" s="6" t="n">
        <f aca="false">E823*H823</f>
        <v>0</v>
      </c>
      <c r="K823" s="6" t="n">
        <f aca="false">E823*I823</f>
        <v>2320792.46</v>
      </c>
      <c r="L823" s="6" t="n">
        <v>0</v>
      </c>
      <c r="M823" s="6" t="n">
        <v>2320792.46</v>
      </c>
      <c r="N823" s="6" t="n">
        <v>2072438</v>
      </c>
      <c r="O823" s="6" t="n">
        <v>2372923</v>
      </c>
      <c r="P823" s="7" t="n">
        <f aca="false">IF(O823=0,"",(G823-O823)/O823)</f>
        <v>-0.0185934014715184</v>
      </c>
      <c r="Q823" s="5" t="s">
        <v>26</v>
      </c>
      <c r="R823" s="5" t="s">
        <v>27</v>
      </c>
    </row>
    <row r="824" customFormat="false" ht="15" hidden="false" customHeight="true" outlineLevel="0" collapsed="false">
      <c r="A824" s="5" t="s">
        <v>848</v>
      </c>
      <c r="B824" s="6" t="n">
        <v>15278357611.7</v>
      </c>
      <c r="C824" s="6" t="n">
        <v>0</v>
      </c>
      <c r="D824" s="6" t="n">
        <v>15278357611.7</v>
      </c>
      <c r="E824" s="6" t="n">
        <v>5652992.32</v>
      </c>
      <c r="F824" s="6" t="n">
        <v>15905.19</v>
      </c>
      <c r="G824" s="6" t="n">
        <f aca="false">E824+F824</f>
        <v>5668897.51</v>
      </c>
      <c r="H824" s="7" t="n">
        <f aca="false">IF(D824=0,0,C824/D824)</f>
        <v>0</v>
      </c>
      <c r="I824" s="7" t="n">
        <f aca="false">IF(D824=0,0,B824/D824)</f>
        <v>1</v>
      </c>
      <c r="J824" s="6" t="n">
        <f aca="false">E824*H824</f>
        <v>0</v>
      </c>
      <c r="K824" s="6" t="n">
        <f aca="false">E824*I824</f>
        <v>5652992.32</v>
      </c>
      <c r="L824" s="6" t="n">
        <v>0</v>
      </c>
      <c r="M824" s="6" t="n">
        <v>5652992.32</v>
      </c>
      <c r="N824" s="6" t="n">
        <v>4871286</v>
      </c>
      <c r="O824" s="6" t="n">
        <v>5482226</v>
      </c>
      <c r="P824" s="7" t="n">
        <f aca="false">IF(O824=0,"",(G824-O824)/O824)</f>
        <v>0.0340503127744097</v>
      </c>
      <c r="Q824" s="5" t="s">
        <v>26</v>
      </c>
      <c r="R824" s="5" t="s">
        <v>27</v>
      </c>
    </row>
    <row r="825" customFormat="false" ht="15" hidden="false" customHeight="true" outlineLevel="0" collapsed="false">
      <c r="A825" s="5" t="s">
        <v>849</v>
      </c>
      <c r="B825" s="6" t="n">
        <v>16655285032.81</v>
      </c>
      <c r="C825" s="6" t="n">
        <v>0</v>
      </c>
      <c r="D825" s="6" t="n">
        <v>16655285032.81</v>
      </c>
      <c r="E825" s="6" t="n">
        <v>6162455.46</v>
      </c>
      <c r="F825" s="6" t="n">
        <v>24878.75</v>
      </c>
      <c r="G825" s="6" t="n">
        <f aca="false">E825+F825</f>
        <v>6187334.21</v>
      </c>
      <c r="H825" s="7" t="n">
        <f aca="false">IF(D825=0,0,C825/D825)</f>
        <v>0</v>
      </c>
      <c r="I825" s="7" t="n">
        <f aca="false">IF(D825=0,0,B825/D825)</f>
        <v>1</v>
      </c>
      <c r="J825" s="6" t="n">
        <f aca="false">E825*H825</f>
        <v>0</v>
      </c>
      <c r="K825" s="6" t="n">
        <f aca="false">E825*I825</f>
        <v>6162455.46</v>
      </c>
      <c r="L825" s="6" t="n">
        <v>0</v>
      </c>
      <c r="M825" s="6" t="n">
        <v>6162455.46</v>
      </c>
      <c r="N825" s="6" t="n">
        <v>4913118</v>
      </c>
      <c r="O825" s="6" t="n">
        <v>5484845</v>
      </c>
      <c r="P825" s="7" t="n">
        <f aca="false">IF(O825=0,"",(G825-O825)/O825)</f>
        <v>0.128078224635336</v>
      </c>
      <c r="Q825" s="5" t="s">
        <v>26</v>
      </c>
      <c r="R825" s="5" t="s">
        <v>27</v>
      </c>
    </row>
    <row r="826" customFormat="false" ht="15" hidden="false" customHeight="true" outlineLevel="0" collapsed="false">
      <c r="A826" s="5" t="s">
        <v>850</v>
      </c>
      <c r="B826" s="6" t="n">
        <v>15135209638.43</v>
      </c>
      <c r="C826" s="6" t="n">
        <v>0</v>
      </c>
      <c r="D826" s="6" t="n">
        <v>15135209638.43</v>
      </c>
      <c r="E826" s="6" t="n">
        <v>5600027.57</v>
      </c>
      <c r="F826" s="6" t="n">
        <v>21659.46</v>
      </c>
      <c r="G826" s="6" t="n">
        <f aca="false">E826+F826</f>
        <v>5621687.03</v>
      </c>
      <c r="H826" s="7" t="n">
        <f aca="false">IF(D826=0,0,C826/D826)</f>
        <v>0</v>
      </c>
      <c r="I826" s="7" t="n">
        <f aca="false">IF(D826=0,0,B826/D826)</f>
        <v>1</v>
      </c>
      <c r="J826" s="6" t="n">
        <f aca="false">E826*H826</f>
        <v>0</v>
      </c>
      <c r="K826" s="6" t="n">
        <f aca="false">E826*I826</f>
        <v>5600027.57</v>
      </c>
      <c r="L826" s="6" t="n">
        <v>0</v>
      </c>
      <c r="M826" s="6" t="n">
        <v>5600027.57</v>
      </c>
      <c r="N826" s="6" t="n">
        <v>4482737</v>
      </c>
      <c r="O826" s="6" t="n">
        <v>5020894</v>
      </c>
      <c r="P826" s="7" t="n">
        <f aca="false">IF(O826=0,"",(G826-O826)/O826)</f>
        <v>0.119658576739521</v>
      </c>
      <c r="Q826" s="5" t="s">
        <v>26</v>
      </c>
      <c r="R826" s="5" t="s">
        <v>27</v>
      </c>
    </row>
    <row r="827" customFormat="false" ht="15" hidden="false" customHeight="true" outlineLevel="0" collapsed="false">
      <c r="A827" s="5" t="s">
        <v>851</v>
      </c>
      <c r="B827" s="6" t="n">
        <v>11826851575.69</v>
      </c>
      <c r="C827" s="6" t="n">
        <v>0</v>
      </c>
      <c r="D827" s="6" t="n">
        <v>11826851575.69</v>
      </c>
      <c r="E827" s="6" t="n">
        <v>4375935.08</v>
      </c>
      <c r="F827" s="6" t="n">
        <v>12111.65</v>
      </c>
      <c r="G827" s="6" t="n">
        <f aca="false">E827+F827</f>
        <v>4388046.73</v>
      </c>
      <c r="H827" s="7" t="n">
        <f aca="false">IF(D827=0,0,C827/D827)</f>
        <v>0</v>
      </c>
      <c r="I827" s="7" t="n">
        <f aca="false">IF(D827=0,0,B827/D827)</f>
        <v>1</v>
      </c>
      <c r="J827" s="6" t="n">
        <f aca="false">E827*H827</f>
        <v>0</v>
      </c>
      <c r="K827" s="6" t="n">
        <f aca="false">E827*I827</f>
        <v>4375935.08</v>
      </c>
      <c r="L827" s="6" t="n">
        <v>0</v>
      </c>
      <c r="M827" s="6" t="n">
        <v>4375935.08</v>
      </c>
      <c r="N827" s="6" t="n">
        <v>3576052</v>
      </c>
      <c r="O827" s="6" t="n">
        <v>4092149</v>
      </c>
      <c r="P827" s="7" t="n">
        <f aca="false">IF(O827=0,"",(G827-O827)/O827)</f>
        <v>0.0723086402767838</v>
      </c>
      <c r="Q827" s="5" t="s">
        <v>26</v>
      </c>
      <c r="R827" s="5" t="s">
        <v>27</v>
      </c>
    </row>
    <row r="828" customFormat="false" ht="15" hidden="false" customHeight="true" outlineLevel="0" collapsed="false">
      <c r="A828" s="5" t="s">
        <v>852</v>
      </c>
      <c r="B828" s="6" t="n">
        <v>21155470262.76</v>
      </c>
      <c r="C828" s="6" t="n">
        <v>0</v>
      </c>
      <c r="D828" s="6" t="n">
        <v>21155470262.76</v>
      </c>
      <c r="E828" s="6" t="n">
        <v>7827524</v>
      </c>
      <c r="F828" s="6" t="n">
        <v>45579.96</v>
      </c>
      <c r="G828" s="6" t="n">
        <f aca="false">E828+F828</f>
        <v>7873103.96</v>
      </c>
      <c r="H828" s="7" t="n">
        <f aca="false">IF(D828=0,0,C828/D828)</f>
        <v>0</v>
      </c>
      <c r="I828" s="7" t="n">
        <f aca="false">IF(D828=0,0,B828/D828)</f>
        <v>1</v>
      </c>
      <c r="J828" s="6" t="n">
        <f aca="false">E828*H828</f>
        <v>0</v>
      </c>
      <c r="K828" s="6" t="n">
        <f aca="false">E828*I828</f>
        <v>7827524</v>
      </c>
      <c r="L828" s="6" t="n">
        <v>0</v>
      </c>
      <c r="M828" s="6" t="n">
        <v>7827524</v>
      </c>
      <c r="N828" s="6" t="n">
        <v>6916345</v>
      </c>
      <c r="O828" s="6" t="n">
        <v>7992427</v>
      </c>
      <c r="P828" s="7" t="n">
        <f aca="false">IF(O828=0,"",(G828-O828)/O828)</f>
        <v>-0.0149295126499122</v>
      </c>
      <c r="Q828" s="5" t="s">
        <v>26</v>
      </c>
      <c r="R828" s="5" t="s">
        <v>27</v>
      </c>
    </row>
    <row r="829" customFormat="false" ht="15" hidden="false" customHeight="true" outlineLevel="0" collapsed="false">
      <c r="A829" s="5" t="s">
        <v>853</v>
      </c>
      <c r="B829" s="6" t="n">
        <v>8356300448.04</v>
      </c>
      <c r="C829" s="6" t="n">
        <v>0</v>
      </c>
      <c r="D829" s="6" t="n">
        <v>8356300448.04</v>
      </c>
      <c r="E829" s="6" t="n">
        <v>3091831.17</v>
      </c>
      <c r="F829" s="6" t="n">
        <v>13825.89</v>
      </c>
      <c r="G829" s="6" t="n">
        <f aca="false">E829+F829</f>
        <v>3105657.06</v>
      </c>
      <c r="H829" s="7" t="n">
        <f aca="false">IF(D829=0,0,C829/D829)</f>
        <v>0</v>
      </c>
      <c r="I829" s="7" t="n">
        <f aca="false">IF(D829=0,0,B829/D829)</f>
        <v>1</v>
      </c>
      <c r="J829" s="6" t="n">
        <f aca="false">E829*H829</f>
        <v>0</v>
      </c>
      <c r="K829" s="6" t="n">
        <f aca="false">E829*I829</f>
        <v>3091831.17</v>
      </c>
      <c r="L829" s="6" t="n">
        <v>0</v>
      </c>
      <c r="M829" s="6" t="n">
        <v>3091831.17</v>
      </c>
      <c r="N829" s="6" t="n">
        <v>2890216</v>
      </c>
      <c r="O829" s="6" t="n">
        <v>3497989</v>
      </c>
      <c r="P829" s="7" t="n">
        <f aca="false">IF(O829=0,"",(G829-O829)/O829)</f>
        <v>-0.112159283519759</v>
      </c>
      <c r="Q829" s="5" t="s">
        <v>26</v>
      </c>
      <c r="R829" s="5" t="s">
        <v>27</v>
      </c>
    </row>
    <row r="830" customFormat="false" ht="15" hidden="false" customHeight="true" outlineLevel="0" collapsed="false">
      <c r="A830" s="5" t="s">
        <v>854</v>
      </c>
      <c r="B830" s="6" t="n">
        <v>17185841113.44</v>
      </c>
      <c r="C830" s="6" t="n">
        <v>0</v>
      </c>
      <c r="D830" s="6" t="n">
        <v>17185841113.44</v>
      </c>
      <c r="E830" s="6" t="n">
        <v>6358761.21</v>
      </c>
      <c r="F830" s="6" t="n">
        <v>58230.96</v>
      </c>
      <c r="G830" s="6" t="n">
        <f aca="false">E830+F830</f>
        <v>6416992.17</v>
      </c>
      <c r="H830" s="7" t="n">
        <f aca="false">IF(D830=0,0,C830/D830)</f>
        <v>0</v>
      </c>
      <c r="I830" s="7" t="n">
        <f aca="false">IF(D830=0,0,B830/D830)</f>
        <v>1</v>
      </c>
      <c r="J830" s="6" t="n">
        <f aca="false">E830*H830</f>
        <v>0</v>
      </c>
      <c r="K830" s="6" t="n">
        <f aca="false">E830*I830</f>
        <v>6358761.21</v>
      </c>
      <c r="L830" s="6" t="n">
        <v>0</v>
      </c>
      <c r="M830" s="6" t="n">
        <v>6358761.21</v>
      </c>
      <c r="N830" s="6" t="n">
        <v>6320764</v>
      </c>
      <c r="O830" s="6" t="n">
        <v>7946351</v>
      </c>
      <c r="P830" s="7" t="n">
        <f aca="false">IF(O830=0,"",(G830-O830)/O830)</f>
        <v>-0.192460518041551</v>
      </c>
      <c r="Q830" s="5" t="s">
        <v>26</v>
      </c>
      <c r="R830" s="5" t="s">
        <v>27</v>
      </c>
    </row>
    <row r="831" customFormat="false" ht="15" hidden="false" customHeight="true" outlineLevel="0" collapsed="false">
      <c r="A831" s="5" t="s">
        <v>855</v>
      </c>
      <c r="B831" s="6" t="n">
        <v>20948854170.77</v>
      </c>
      <c r="C831" s="6" t="n">
        <v>0</v>
      </c>
      <c r="D831" s="6" t="n">
        <v>20948854170.77</v>
      </c>
      <c r="E831" s="6" t="n">
        <v>7751076.04</v>
      </c>
      <c r="F831" s="6" t="n">
        <v>64000.68</v>
      </c>
      <c r="G831" s="6" t="n">
        <f aca="false">E831+F831</f>
        <v>7815076.72</v>
      </c>
      <c r="H831" s="7" t="n">
        <f aca="false">IF(D831=0,0,C831/D831)</f>
        <v>0</v>
      </c>
      <c r="I831" s="7" t="n">
        <f aca="false">IF(D831=0,0,B831/D831)</f>
        <v>1</v>
      </c>
      <c r="J831" s="6" t="n">
        <f aca="false">E831*H831</f>
        <v>0</v>
      </c>
      <c r="K831" s="6" t="n">
        <f aca="false">E831*I831</f>
        <v>7751076.04</v>
      </c>
      <c r="L831" s="6" t="n">
        <v>0</v>
      </c>
      <c r="M831" s="6" t="n">
        <v>7751076.04</v>
      </c>
      <c r="N831" s="6" t="n">
        <v>6658074</v>
      </c>
      <c r="O831" s="6" t="n">
        <v>7541216</v>
      </c>
      <c r="P831" s="7" t="n">
        <f aca="false">IF(O831=0,"",(G831-O831)/O831)</f>
        <v>0.0363151937300297</v>
      </c>
      <c r="Q831" s="5" t="s">
        <v>26</v>
      </c>
      <c r="R831" s="5" t="s">
        <v>27</v>
      </c>
    </row>
    <row r="832" customFormat="false" ht="15" hidden="false" customHeight="true" outlineLevel="0" collapsed="false">
      <c r="A832" s="5" t="s">
        <v>856</v>
      </c>
      <c r="B832" s="6" t="n">
        <v>15388541325.82</v>
      </c>
      <c r="C832" s="6" t="n">
        <v>0</v>
      </c>
      <c r="D832" s="6" t="n">
        <v>15388541325.82</v>
      </c>
      <c r="E832" s="6" t="n">
        <v>5693760.29</v>
      </c>
      <c r="F832" s="6" t="n">
        <v>48413.51</v>
      </c>
      <c r="G832" s="6" t="n">
        <f aca="false">E832+F832</f>
        <v>5742173.8</v>
      </c>
      <c r="H832" s="7" t="n">
        <f aca="false">IF(D832=0,0,C832/D832)</f>
        <v>0</v>
      </c>
      <c r="I832" s="7" t="n">
        <f aca="false">IF(D832=0,0,B832/D832)</f>
        <v>1</v>
      </c>
      <c r="J832" s="6" t="n">
        <f aca="false">E832*H832</f>
        <v>0</v>
      </c>
      <c r="K832" s="6" t="n">
        <f aca="false">E832*I832</f>
        <v>5693760.29</v>
      </c>
      <c r="L832" s="6" t="n">
        <v>0</v>
      </c>
      <c r="M832" s="6" t="n">
        <v>5693760.29</v>
      </c>
      <c r="N832" s="6" t="n">
        <v>5216518</v>
      </c>
      <c r="O832" s="6" t="n">
        <v>6060525</v>
      </c>
      <c r="P832" s="7" t="n">
        <f aca="false">IF(O832=0,"",(G832-O832)/O832)</f>
        <v>-0.0525286505707014</v>
      </c>
      <c r="Q832" s="5" t="s">
        <v>26</v>
      </c>
      <c r="R832" s="5" t="s">
        <v>27</v>
      </c>
    </row>
    <row r="833" customFormat="false" ht="15" hidden="false" customHeight="true" outlineLevel="0" collapsed="false">
      <c r="A833" s="5" t="s">
        <v>857</v>
      </c>
      <c r="B833" s="6" t="n">
        <v>13058401010.24</v>
      </c>
      <c r="C833" s="6" t="n">
        <v>0</v>
      </c>
      <c r="D833" s="6" t="n">
        <v>13058401010.24</v>
      </c>
      <c r="E833" s="6" t="n">
        <v>4831608.37</v>
      </c>
      <c r="F833" s="6" t="n">
        <v>59334.93</v>
      </c>
      <c r="G833" s="6" t="n">
        <f aca="false">E833+F833</f>
        <v>4890943.3</v>
      </c>
      <c r="H833" s="7" t="n">
        <f aca="false">IF(D833=0,0,C833/D833)</f>
        <v>0</v>
      </c>
      <c r="I833" s="7" t="n">
        <f aca="false">IF(D833=0,0,B833/D833)</f>
        <v>1</v>
      </c>
      <c r="J833" s="6" t="n">
        <f aca="false">E833*H833</f>
        <v>0</v>
      </c>
      <c r="K833" s="6" t="n">
        <f aca="false">E833*I833</f>
        <v>4831608.37</v>
      </c>
      <c r="L833" s="6" t="n">
        <v>0</v>
      </c>
      <c r="M833" s="6" t="n">
        <v>4831608.37</v>
      </c>
      <c r="N833" s="6" t="n">
        <v>4335438</v>
      </c>
      <c r="O833" s="6" t="n">
        <v>4833488</v>
      </c>
      <c r="P833" s="7" t="n">
        <f aca="false">IF(O833=0,"",(G833-O833)/O833)</f>
        <v>0.0118869230667377</v>
      </c>
      <c r="Q833" s="5" t="s">
        <v>26</v>
      </c>
      <c r="R833" s="5" t="s">
        <v>27</v>
      </c>
    </row>
    <row r="834" customFormat="false" ht="15" hidden="false" customHeight="true" outlineLevel="0" collapsed="false">
      <c r="A834" s="5" t="s">
        <v>858</v>
      </c>
      <c r="B834" s="6" t="n">
        <v>10282718688.72</v>
      </c>
      <c r="C834" s="6" t="n">
        <v>0</v>
      </c>
      <c r="D834" s="6" t="n">
        <v>10282718688.72</v>
      </c>
      <c r="E834" s="6" t="n">
        <v>3804605.91</v>
      </c>
      <c r="F834" s="6" t="n">
        <v>30141.77</v>
      </c>
      <c r="G834" s="6" t="n">
        <f aca="false">E834+F834</f>
        <v>3834747.68</v>
      </c>
      <c r="H834" s="7" t="n">
        <f aca="false">IF(D834=0,0,C834/D834)</f>
        <v>0</v>
      </c>
      <c r="I834" s="7" t="n">
        <f aca="false">IF(D834=0,0,B834/D834)</f>
        <v>1</v>
      </c>
      <c r="J834" s="6" t="n">
        <f aca="false">E834*H834</f>
        <v>0</v>
      </c>
      <c r="K834" s="6" t="n">
        <f aca="false">E834*I834</f>
        <v>3804605.91</v>
      </c>
      <c r="L834" s="6" t="n">
        <v>0</v>
      </c>
      <c r="M834" s="6" t="n">
        <v>3804605.91</v>
      </c>
      <c r="N834" s="6" t="n">
        <v>3395840</v>
      </c>
      <c r="O834" s="6" t="n">
        <v>3809280</v>
      </c>
      <c r="P834" s="7" t="n">
        <f aca="false">IF(O834=0,"",(G834-O834)/O834)</f>
        <v>0.00668569388440865</v>
      </c>
      <c r="Q834" s="5" t="s">
        <v>26</v>
      </c>
      <c r="R834" s="5" t="s">
        <v>27</v>
      </c>
    </row>
    <row r="835" customFormat="false" ht="15" hidden="false" customHeight="true" outlineLevel="0" collapsed="false">
      <c r="A835" s="5" t="s">
        <v>859</v>
      </c>
      <c r="B835" s="6" t="n">
        <v>16727206705.29</v>
      </c>
      <c r="C835" s="6" t="n">
        <v>0</v>
      </c>
      <c r="D835" s="6" t="n">
        <v>16727206705.29</v>
      </c>
      <c r="E835" s="6" t="n">
        <v>6189066.48</v>
      </c>
      <c r="F835" s="6" t="n">
        <v>31543.05</v>
      </c>
      <c r="G835" s="6" t="n">
        <f aca="false">E835+F835</f>
        <v>6220609.53</v>
      </c>
      <c r="H835" s="7" t="n">
        <f aca="false">IF(D835=0,0,C835/D835)</f>
        <v>0</v>
      </c>
      <c r="I835" s="7" t="n">
        <f aca="false">IF(D835=0,0,B835/D835)</f>
        <v>1</v>
      </c>
      <c r="J835" s="6" t="n">
        <f aca="false">E835*H835</f>
        <v>0</v>
      </c>
      <c r="K835" s="6" t="n">
        <f aca="false">E835*I835</f>
        <v>6189066.48</v>
      </c>
      <c r="L835" s="6" t="n">
        <v>0</v>
      </c>
      <c r="M835" s="6" t="n">
        <v>6189066.48</v>
      </c>
      <c r="N835" s="6" t="n">
        <v>5389820</v>
      </c>
      <c r="O835" s="6" t="n">
        <v>6181832</v>
      </c>
      <c r="P835" s="7" t="n">
        <f aca="false">IF(O835=0,"",(G835-O835)/O835)</f>
        <v>0.00627282171369268</v>
      </c>
      <c r="Q835" s="5" t="s">
        <v>26</v>
      </c>
      <c r="R835" s="5" t="s">
        <v>27</v>
      </c>
    </row>
    <row r="836" customFormat="false" ht="15" hidden="false" customHeight="true" outlineLevel="0" collapsed="false">
      <c r="A836" s="5" t="s">
        <v>860</v>
      </c>
      <c r="B836" s="6" t="n">
        <v>6799419657.99</v>
      </c>
      <c r="C836" s="6" t="n">
        <v>0</v>
      </c>
      <c r="D836" s="6" t="n">
        <v>6799419657.99</v>
      </c>
      <c r="E836" s="6" t="n">
        <v>2515785.27</v>
      </c>
      <c r="F836" s="6" t="n">
        <v>9337.73</v>
      </c>
      <c r="G836" s="6" t="n">
        <f aca="false">E836+F836</f>
        <v>2525123</v>
      </c>
      <c r="H836" s="7" t="n">
        <f aca="false">IF(D836=0,0,C836/D836)</f>
        <v>0</v>
      </c>
      <c r="I836" s="7" t="n">
        <f aca="false">IF(D836=0,0,B836/D836)</f>
        <v>1</v>
      </c>
      <c r="J836" s="6" t="n">
        <f aca="false">E836*H836</f>
        <v>0</v>
      </c>
      <c r="K836" s="6" t="n">
        <f aca="false">E836*I836</f>
        <v>2515785.27</v>
      </c>
      <c r="L836" s="6" t="n">
        <v>0</v>
      </c>
      <c r="M836" s="6" t="n">
        <v>2515785.27</v>
      </c>
      <c r="N836" s="6" t="n">
        <v>2216684</v>
      </c>
      <c r="O836" s="6" t="n">
        <v>2574358</v>
      </c>
      <c r="P836" s="7" t="n">
        <f aca="false">IF(O836=0,"",(G836-O836)/O836)</f>
        <v>-0.0191251566409955</v>
      </c>
      <c r="Q836" s="5" t="s">
        <v>26</v>
      </c>
      <c r="R836" s="5" t="s">
        <v>27</v>
      </c>
    </row>
    <row r="837" customFormat="false" ht="15" hidden="false" customHeight="true" outlineLevel="0" collapsed="false">
      <c r="A837" s="5" t="s">
        <v>861</v>
      </c>
      <c r="B837" s="6" t="n">
        <v>5766508404.61</v>
      </c>
      <c r="C837" s="6" t="n">
        <v>0</v>
      </c>
      <c r="D837" s="6" t="n">
        <v>5766508404.61</v>
      </c>
      <c r="E837" s="6" t="n">
        <v>2133608.11</v>
      </c>
      <c r="F837" s="6" t="n">
        <v>7769.98</v>
      </c>
      <c r="G837" s="6" t="n">
        <f aca="false">E837+F837</f>
        <v>2141378.09</v>
      </c>
      <c r="H837" s="7" t="n">
        <f aca="false">IF(D837=0,0,C837/D837)</f>
        <v>0</v>
      </c>
      <c r="I837" s="7" t="n">
        <f aca="false">IF(D837=0,0,B837/D837)</f>
        <v>1</v>
      </c>
      <c r="J837" s="6" t="n">
        <f aca="false">E837*H837</f>
        <v>0</v>
      </c>
      <c r="K837" s="6" t="n">
        <f aca="false">E837*I837</f>
        <v>2133608.11</v>
      </c>
      <c r="L837" s="6" t="n">
        <v>0</v>
      </c>
      <c r="M837" s="6" t="n">
        <v>2133608.11</v>
      </c>
      <c r="N837" s="6" t="n">
        <v>2111819</v>
      </c>
      <c r="O837" s="6" t="n">
        <v>2474732</v>
      </c>
      <c r="P837" s="7" t="n">
        <f aca="false">IF(O837=0,"",(G837-O837)/O837)</f>
        <v>-0.134703034510404</v>
      </c>
      <c r="Q837" s="5" t="s">
        <v>26</v>
      </c>
      <c r="R837" s="5" t="s">
        <v>27</v>
      </c>
    </row>
    <row r="838" customFormat="false" ht="15" hidden="false" customHeight="true" outlineLevel="0" collapsed="false">
      <c r="A838" s="5" t="s">
        <v>862</v>
      </c>
      <c r="B838" s="6" t="n">
        <v>11587932833.88</v>
      </c>
      <c r="C838" s="6" t="n">
        <v>0</v>
      </c>
      <c r="D838" s="6" t="n">
        <v>11587932833.88</v>
      </c>
      <c r="E838" s="6" t="n">
        <v>4287535.15</v>
      </c>
      <c r="F838" s="6" t="n">
        <v>20863.82</v>
      </c>
      <c r="G838" s="6" t="n">
        <f aca="false">E838+F838</f>
        <v>4308398.97</v>
      </c>
      <c r="H838" s="7" t="n">
        <f aca="false">IF(D838=0,0,C838/D838)</f>
        <v>0</v>
      </c>
      <c r="I838" s="7" t="n">
        <f aca="false">IF(D838=0,0,B838/D838)</f>
        <v>1</v>
      </c>
      <c r="J838" s="6" t="n">
        <f aca="false">E838*H838</f>
        <v>0</v>
      </c>
      <c r="K838" s="6" t="n">
        <f aca="false">E838*I838</f>
        <v>4287535.15</v>
      </c>
      <c r="L838" s="6" t="n">
        <v>0</v>
      </c>
      <c r="M838" s="6" t="n">
        <v>4287535.15</v>
      </c>
      <c r="N838" s="6" t="n">
        <v>3662539</v>
      </c>
      <c r="O838" s="6" t="n">
        <v>3998707</v>
      </c>
      <c r="P838" s="7" t="n">
        <f aca="false">IF(O838=0,"",(G838-O838)/O838)</f>
        <v>0.0774480275749138</v>
      </c>
      <c r="Q838" s="5" t="s">
        <v>26</v>
      </c>
      <c r="R838" s="5" t="s">
        <v>27</v>
      </c>
    </row>
    <row r="839" customFormat="false" ht="15" hidden="false" customHeight="true" outlineLevel="0" collapsed="false">
      <c r="A839" s="5" t="s">
        <v>863</v>
      </c>
      <c r="B839" s="6" t="n">
        <v>11422881300.33</v>
      </c>
      <c r="C839" s="6" t="n">
        <v>0</v>
      </c>
      <c r="D839" s="6" t="n">
        <v>11422881300.33</v>
      </c>
      <c r="E839" s="6" t="n">
        <v>4226466.08</v>
      </c>
      <c r="F839" s="6" t="n">
        <v>19368.1</v>
      </c>
      <c r="G839" s="6" t="n">
        <f aca="false">E839+F839</f>
        <v>4245834.18</v>
      </c>
      <c r="H839" s="7" t="n">
        <f aca="false">IF(D839=0,0,C839/D839)</f>
        <v>0</v>
      </c>
      <c r="I839" s="7" t="n">
        <f aca="false">IF(D839=0,0,B839/D839)</f>
        <v>1</v>
      </c>
      <c r="J839" s="6" t="n">
        <f aca="false">E839*H839</f>
        <v>0</v>
      </c>
      <c r="K839" s="6" t="n">
        <f aca="false">E839*I839</f>
        <v>4226466.08</v>
      </c>
      <c r="L839" s="6" t="n">
        <v>0</v>
      </c>
      <c r="M839" s="6" t="n">
        <v>4226466.08</v>
      </c>
      <c r="N839" s="6" t="n">
        <v>3556701</v>
      </c>
      <c r="O839" s="6" t="n">
        <v>3832697</v>
      </c>
      <c r="P839" s="7" t="n">
        <f aca="false">IF(O839=0,"",(G839-O839)/O839)</f>
        <v>0.10779281012822</v>
      </c>
      <c r="Q839" s="5" t="s">
        <v>26</v>
      </c>
      <c r="R839" s="5" t="s">
        <v>27</v>
      </c>
    </row>
    <row r="840" customFormat="false" ht="15" hidden="false" customHeight="true" outlineLevel="0" collapsed="false">
      <c r="A840" s="5" t="s">
        <v>864</v>
      </c>
      <c r="B840" s="6" t="n">
        <v>8200160965.2</v>
      </c>
      <c r="C840" s="6" t="n">
        <v>0</v>
      </c>
      <c r="D840" s="6" t="n">
        <v>8200160965.2</v>
      </c>
      <c r="E840" s="6" t="n">
        <v>3034059.56</v>
      </c>
      <c r="F840" s="6" t="n">
        <v>23842.87</v>
      </c>
      <c r="G840" s="6" t="n">
        <f aca="false">E840+F840</f>
        <v>3057902.43</v>
      </c>
      <c r="H840" s="7" t="n">
        <f aca="false">IF(D840=0,0,C840/D840)</f>
        <v>0</v>
      </c>
      <c r="I840" s="7" t="n">
        <f aca="false">IF(D840=0,0,B840/D840)</f>
        <v>1</v>
      </c>
      <c r="J840" s="6" t="n">
        <f aca="false">E840*H840</f>
        <v>0</v>
      </c>
      <c r="K840" s="6" t="n">
        <f aca="false">E840*I840</f>
        <v>3034059.56</v>
      </c>
      <c r="L840" s="6" t="n">
        <v>0</v>
      </c>
      <c r="M840" s="6" t="n">
        <v>3034059.56</v>
      </c>
      <c r="N840" s="6" t="n">
        <v>2613502</v>
      </c>
      <c r="O840" s="6" t="n">
        <v>2824773</v>
      </c>
      <c r="P840" s="7" t="n">
        <f aca="false">IF(O840=0,"",(G840-O840)/O840)</f>
        <v>0.0825303236755662</v>
      </c>
      <c r="Q840" s="5" t="s">
        <v>26</v>
      </c>
      <c r="R840" s="5" t="s">
        <v>27</v>
      </c>
    </row>
    <row r="841" customFormat="false" ht="15" hidden="false" customHeight="true" outlineLevel="0" collapsed="false">
      <c r="A841" s="5" t="s">
        <v>865</v>
      </c>
      <c r="B841" s="6" t="n">
        <v>9353334458.86</v>
      </c>
      <c r="C841" s="6" t="n">
        <v>0</v>
      </c>
      <c r="D841" s="6" t="n">
        <v>9353334458.86</v>
      </c>
      <c r="E841" s="6" t="n">
        <v>3460733.75</v>
      </c>
      <c r="F841" s="6" t="n">
        <v>24342.56</v>
      </c>
      <c r="G841" s="6" t="n">
        <f aca="false">E841+F841</f>
        <v>3485076.31</v>
      </c>
      <c r="H841" s="7" t="n">
        <f aca="false">IF(D841=0,0,C841/D841)</f>
        <v>0</v>
      </c>
      <c r="I841" s="7" t="n">
        <f aca="false">IF(D841=0,0,B841/D841)</f>
        <v>1</v>
      </c>
      <c r="J841" s="6" t="n">
        <f aca="false">E841*H841</f>
        <v>0</v>
      </c>
      <c r="K841" s="6" t="n">
        <f aca="false">E841*I841</f>
        <v>3460733.75</v>
      </c>
      <c r="L841" s="6" t="n">
        <v>0</v>
      </c>
      <c r="M841" s="6" t="n">
        <v>3460733.75</v>
      </c>
      <c r="N841" s="6" t="n">
        <v>3032367</v>
      </c>
      <c r="O841" s="6" t="n">
        <v>3299780</v>
      </c>
      <c r="P841" s="7" t="n">
        <f aca="false">IF(O841=0,"",(G841-O841)/O841)</f>
        <v>0.0561541405790689</v>
      </c>
      <c r="Q841" s="5" t="s">
        <v>26</v>
      </c>
      <c r="R841" s="5" t="s">
        <v>27</v>
      </c>
    </row>
    <row r="842" customFormat="false" ht="15" hidden="false" customHeight="true" outlineLevel="0" collapsed="false">
      <c r="A842" s="5" t="s">
        <v>866</v>
      </c>
      <c r="B842" s="6" t="n">
        <v>13297495996.65</v>
      </c>
      <c r="C842" s="6" t="n">
        <v>0</v>
      </c>
      <c r="D842" s="6" t="n">
        <v>13297495996.65</v>
      </c>
      <c r="E842" s="6" t="n">
        <v>4920073.52</v>
      </c>
      <c r="F842" s="6" t="n">
        <v>38284.42</v>
      </c>
      <c r="G842" s="6" t="n">
        <f aca="false">E842+F842</f>
        <v>4958357.94</v>
      </c>
      <c r="H842" s="7" t="n">
        <f aca="false">IF(D842=0,0,C842/D842)</f>
        <v>0</v>
      </c>
      <c r="I842" s="7" t="n">
        <f aca="false">IF(D842=0,0,B842/D842)</f>
        <v>1</v>
      </c>
      <c r="J842" s="6" t="n">
        <f aca="false">E842*H842</f>
        <v>0</v>
      </c>
      <c r="K842" s="6" t="n">
        <f aca="false">E842*I842</f>
        <v>4920073.52</v>
      </c>
      <c r="L842" s="6" t="n">
        <v>0</v>
      </c>
      <c r="M842" s="6" t="n">
        <v>4920073.52</v>
      </c>
      <c r="N842" s="6" t="n">
        <v>4136138</v>
      </c>
      <c r="O842" s="6" t="n">
        <v>4501203</v>
      </c>
      <c r="P842" s="7" t="n">
        <f aca="false">IF(O842=0,"",(G842-O842)/O842)</f>
        <v>0.1015628355353</v>
      </c>
      <c r="Q842" s="5" t="s">
        <v>26</v>
      </c>
      <c r="R842" s="5" t="s">
        <v>27</v>
      </c>
    </row>
    <row r="843" customFormat="false" ht="15" hidden="false" customHeight="true" outlineLevel="0" collapsed="false">
      <c r="A843" s="5" t="s">
        <v>867</v>
      </c>
      <c r="B843" s="6" t="n">
        <v>3331797735.06</v>
      </c>
      <c r="C843" s="6" t="n">
        <v>0</v>
      </c>
      <c r="D843" s="6" t="n">
        <v>3331797735.06</v>
      </c>
      <c r="E843" s="6" t="n">
        <v>1232765.16</v>
      </c>
      <c r="F843" s="6" t="n">
        <v>11218.32</v>
      </c>
      <c r="G843" s="6" t="n">
        <f aca="false">E843+F843</f>
        <v>1243983.48</v>
      </c>
      <c r="H843" s="7" t="n">
        <f aca="false">IF(D843=0,0,C843/D843)</f>
        <v>0</v>
      </c>
      <c r="I843" s="7" t="n">
        <f aca="false">IF(D843=0,0,B843/D843)</f>
        <v>1</v>
      </c>
      <c r="J843" s="6" t="n">
        <f aca="false">E843*H843</f>
        <v>0</v>
      </c>
      <c r="K843" s="6" t="n">
        <f aca="false">E843*I843</f>
        <v>1232765.16</v>
      </c>
      <c r="L843" s="6" t="n">
        <v>0</v>
      </c>
      <c r="M843" s="6" t="n">
        <v>1232765.16</v>
      </c>
      <c r="N843" s="6" t="n">
        <v>1199579</v>
      </c>
      <c r="O843" s="6" t="n">
        <v>1363236</v>
      </c>
      <c r="P843" s="7" t="n">
        <f aca="false">IF(O843=0,"",(G843-O843)/O843)</f>
        <v>-0.08747753140322</v>
      </c>
      <c r="Q843" s="5" t="s">
        <v>26</v>
      </c>
      <c r="R843" s="5" t="s">
        <v>27</v>
      </c>
    </row>
    <row r="844" customFormat="false" ht="15" hidden="false" customHeight="true" outlineLevel="0" collapsed="false">
      <c r="A844" s="5" t="s">
        <v>868</v>
      </c>
      <c r="B844" s="6" t="n">
        <v>3844405859.28</v>
      </c>
      <c r="C844" s="6" t="n">
        <v>0</v>
      </c>
      <c r="D844" s="6" t="n">
        <v>3844405859.28</v>
      </c>
      <c r="E844" s="6" t="n">
        <v>1422430.17</v>
      </c>
      <c r="F844" s="6" t="n">
        <v>11947.87</v>
      </c>
      <c r="G844" s="6" t="n">
        <f aca="false">E844+F844</f>
        <v>1434378.04</v>
      </c>
      <c r="H844" s="7" t="n">
        <f aca="false">IF(D844=0,0,C844/D844)</f>
        <v>0</v>
      </c>
      <c r="I844" s="7" t="n">
        <f aca="false">IF(D844=0,0,B844/D844)</f>
        <v>1</v>
      </c>
      <c r="J844" s="6" t="n">
        <f aca="false">E844*H844</f>
        <v>0</v>
      </c>
      <c r="K844" s="6" t="n">
        <f aca="false">E844*I844</f>
        <v>1422430.17</v>
      </c>
      <c r="L844" s="6" t="n">
        <v>0</v>
      </c>
      <c r="M844" s="6" t="n">
        <v>1422430.17</v>
      </c>
      <c r="N844" s="6" t="n">
        <v>1331387</v>
      </c>
      <c r="O844" s="6" t="n">
        <v>1531368</v>
      </c>
      <c r="P844" s="7" t="n">
        <f aca="false">IF(O844=0,"",(G844-O844)/O844)</f>
        <v>-0.0633355013295302</v>
      </c>
      <c r="Q844" s="5" t="s">
        <v>26</v>
      </c>
      <c r="R844" s="5" t="s">
        <v>27</v>
      </c>
    </row>
    <row r="845" customFormat="false" ht="15" hidden="false" customHeight="true" outlineLevel="0" collapsed="false">
      <c r="A845" s="5" t="s">
        <v>869</v>
      </c>
      <c r="B845" s="6" t="n">
        <v>9243638471.37</v>
      </c>
      <c r="C845" s="6" t="n">
        <v>0</v>
      </c>
      <c r="D845" s="6" t="n">
        <v>9243638471.37</v>
      </c>
      <c r="E845" s="6" t="n">
        <v>3420146.23</v>
      </c>
      <c r="F845" s="6" t="n">
        <v>35655.21</v>
      </c>
      <c r="G845" s="6" t="n">
        <f aca="false">E845+F845</f>
        <v>3455801.44</v>
      </c>
      <c r="H845" s="7" t="n">
        <f aca="false">IF(D845=0,0,C845/D845)</f>
        <v>0</v>
      </c>
      <c r="I845" s="7" t="n">
        <f aca="false">IF(D845=0,0,B845/D845)</f>
        <v>1</v>
      </c>
      <c r="J845" s="6" t="n">
        <f aca="false">E845*H845</f>
        <v>0</v>
      </c>
      <c r="K845" s="6" t="n">
        <f aca="false">E845*I845</f>
        <v>3420146.23</v>
      </c>
      <c r="L845" s="6" t="n">
        <v>0</v>
      </c>
      <c r="M845" s="6" t="n">
        <v>3420146.23</v>
      </c>
      <c r="N845" s="6" t="n">
        <v>3239677</v>
      </c>
      <c r="O845" s="6" t="n">
        <v>3617245</v>
      </c>
      <c r="P845" s="7" t="n">
        <f aca="false">IF(O845=0,"",(G845-O845)/O845)</f>
        <v>-0.0446316354020809</v>
      </c>
      <c r="Q845" s="5" t="s">
        <v>26</v>
      </c>
      <c r="R845" s="5" t="s">
        <v>27</v>
      </c>
    </row>
    <row r="846" customFormat="false" ht="15" hidden="false" customHeight="true" outlineLevel="0" collapsed="false">
      <c r="A846" s="5" t="s">
        <v>870</v>
      </c>
      <c r="B846" s="6" t="n">
        <v>10021381731.79</v>
      </c>
      <c r="C846" s="6" t="n">
        <v>0</v>
      </c>
      <c r="D846" s="6" t="n">
        <v>10021381731.79</v>
      </c>
      <c r="E846" s="6" t="n">
        <v>3707911.24</v>
      </c>
      <c r="F846" s="6" t="n">
        <v>49353.74</v>
      </c>
      <c r="G846" s="6" t="n">
        <f aca="false">E846+F846</f>
        <v>3757264.98</v>
      </c>
      <c r="H846" s="7" t="n">
        <f aca="false">IF(D846=0,0,C846/D846)</f>
        <v>0</v>
      </c>
      <c r="I846" s="7" t="n">
        <f aca="false">IF(D846=0,0,B846/D846)</f>
        <v>1</v>
      </c>
      <c r="J846" s="6" t="n">
        <f aca="false">E846*H846</f>
        <v>0</v>
      </c>
      <c r="K846" s="6" t="n">
        <f aca="false">E846*I846</f>
        <v>3707911.24</v>
      </c>
      <c r="L846" s="6" t="n">
        <v>0</v>
      </c>
      <c r="M846" s="6" t="n">
        <v>3707911.24</v>
      </c>
      <c r="N846" s="6" t="n">
        <v>3582659</v>
      </c>
      <c r="O846" s="6" t="n">
        <v>4101334</v>
      </c>
      <c r="P846" s="7" t="n">
        <f aca="false">IF(O846=0,"",(G846-O846)/O846)</f>
        <v>-0.0838919775858293</v>
      </c>
      <c r="Q846" s="5" t="s">
        <v>26</v>
      </c>
      <c r="R846" s="5" t="s">
        <v>27</v>
      </c>
    </row>
    <row r="847" customFormat="false" ht="15" hidden="false" customHeight="true" outlineLevel="0" collapsed="false">
      <c r="A847" s="5" t="s">
        <v>871</v>
      </c>
      <c r="B847" s="6" t="n">
        <v>10548513640.87</v>
      </c>
      <c r="C847" s="6" t="n">
        <v>0</v>
      </c>
      <c r="D847" s="6" t="n">
        <v>10548513640.87</v>
      </c>
      <c r="E847" s="6" t="n">
        <v>3902950.05</v>
      </c>
      <c r="F847" s="6" t="n">
        <v>69319.16</v>
      </c>
      <c r="G847" s="6" t="n">
        <f aca="false">E847+F847</f>
        <v>3972269.21</v>
      </c>
      <c r="H847" s="7" t="n">
        <f aca="false">IF(D847=0,0,C847/D847)</f>
        <v>0</v>
      </c>
      <c r="I847" s="7" t="n">
        <f aca="false">IF(D847=0,0,B847/D847)</f>
        <v>1</v>
      </c>
      <c r="J847" s="6" t="n">
        <f aca="false">E847*H847</f>
        <v>0</v>
      </c>
      <c r="K847" s="6" t="n">
        <f aca="false">E847*I847</f>
        <v>3902950.05</v>
      </c>
      <c r="L847" s="6" t="n">
        <v>0</v>
      </c>
      <c r="M847" s="6" t="n">
        <v>3902950.05</v>
      </c>
      <c r="N847" s="6" t="n">
        <v>3828855</v>
      </c>
      <c r="O847" s="6" t="n">
        <v>4397027</v>
      </c>
      <c r="P847" s="7" t="n">
        <f aca="false">IF(O847=0,"",(G847-O847)/O847)</f>
        <v>-0.0966011329928154</v>
      </c>
      <c r="Q847" s="5" t="s">
        <v>26</v>
      </c>
      <c r="R847" s="5" t="s">
        <v>27</v>
      </c>
    </row>
    <row r="848" customFormat="false" ht="15" hidden="false" customHeight="true" outlineLevel="0" collapsed="false">
      <c r="A848" s="5" t="s">
        <v>872</v>
      </c>
      <c r="B848" s="6" t="n">
        <v>10439854514.6</v>
      </c>
      <c r="C848" s="6" t="n">
        <v>0</v>
      </c>
      <c r="D848" s="6" t="n">
        <v>10439854514.6</v>
      </c>
      <c r="E848" s="6" t="n">
        <v>3862746.17</v>
      </c>
      <c r="F848" s="6" t="n">
        <v>55414.78</v>
      </c>
      <c r="G848" s="6" t="n">
        <f aca="false">E848+F848</f>
        <v>3918160.95</v>
      </c>
      <c r="H848" s="7" t="n">
        <f aca="false">IF(D848=0,0,C848/D848)</f>
        <v>0</v>
      </c>
      <c r="I848" s="7" t="n">
        <f aca="false">IF(D848=0,0,B848/D848)</f>
        <v>1</v>
      </c>
      <c r="J848" s="6" t="n">
        <f aca="false">E848*H848</f>
        <v>0</v>
      </c>
      <c r="K848" s="6" t="n">
        <f aca="false">E848*I848</f>
        <v>3862746.17</v>
      </c>
      <c r="L848" s="6" t="n">
        <v>0</v>
      </c>
      <c r="M848" s="6" t="n">
        <v>3862746.17</v>
      </c>
      <c r="N848" s="6" t="n">
        <v>4143545</v>
      </c>
      <c r="O848" s="6" t="n">
        <v>5050382</v>
      </c>
      <c r="P848" s="7" t="n">
        <f aca="false">IF(O848=0,"",(G848-O848)/O848)</f>
        <v>-0.224185229948943</v>
      </c>
      <c r="Q848" s="5" t="s">
        <v>26</v>
      </c>
      <c r="R848" s="5" t="s">
        <v>27</v>
      </c>
    </row>
    <row r="849" customFormat="false" ht="15" hidden="false" customHeight="true" outlineLevel="0" collapsed="false">
      <c r="A849" s="5" t="s">
        <v>873</v>
      </c>
      <c r="B849" s="6" t="n">
        <v>11233080580.33</v>
      </c>
      <c r="C849" s="6" t="n">
        <v>0</v>
      </c>
      <c r="D849" s="6" t="n">
        <v>11233080580.33</v>
      </c>
      <c r="E849" s="6" t="n">
        <v>4156239.81</v>
      </c>
      <c r="F849" s="6" t="n">
        <v>30980.81</v>
      </c>
      <c r="G849" s="6" t="n">
        <f aca="false">E849+F849</f>
        <v>4187220.62</v>
      </c>
      <c r="H849" s="7" t="n">
        <f aca="false">IF(D849=0,0,C849/D849)</f>
        <v>0</v>
      </c>
      <c r="I849" s="7" t="n">
        <f aca="false">IF(D849=0,0,B849/D849)</f>
        <v>1</v>
      </c>
      <c r="J849" s="6" t="n">
        <f aca="false">E849*H849</f>
        <v>0</v>
      </c>
      <c r="K849" s="6" t="n">
        <f aca="false">E849*I849</f>
        <v>4156239.81</v>
      </c>
      <c r="L849" s="6" t="n">
        <v>0</v>
      </c>
      <c r="M849" s="6" t="n">
        <v>4156239.81</v>
      </c>
      <c r="N849" s="6" t="n">
        <v>4627223</v>
      </c>
      <c r="O849" s="6" t="n">
        <v>5621691</v>
      </c>
      <c r="P849" s="7" t="n">
        <f aca="false">IF(O849=0,"",(G849-O849)/O849)</f>
        <v>-0.255167062721875</v>
      </c>
      <c r="Q849" s="5" t="s">
        <v>26</v>
      </c>
      <c r="R849" s="5" t="s">
        <v>27</v>
      </c>
    </row>
    <row r="850" customFormat="false" ht="15" hidden="false" customHeight="true" outlineLevel="0" collapsed="false">
      <c r="A850" s="5" t="s">
        <v>874</v>
      </c>
      <c r="B850" s="6" t="n">
        <v>7135097960.12</v>
      </c>
      <c r="C850" s="6" t="n">
        <v>0</v>
      </c>
      <c r="D850" s="6" t="n">
        <v>7135097960.12</v>
      </c>
      <c r="E850" s="6" t="n">
        <v>2639986.25</v>
      </c>
      <c r="F850" s="6" t="n">
        <v>29728.95</v>
      </c>
      <c r="G850" s="6" t="n">
        <f aca="false">E850+F850</f>
        <v>2669715.2</v>
      </c>
      <c r="H850" s="7" t="n">
        <f aca="false">IF(D850=0,0,C850/D850)</f>
        <v>0</v>
      </c>
      <c r="I850" s="7" t="n">
        <f aca="false">IF(D850=0,0,B850/D850)</f>
        <v>1</v>
      </c>
      <c r="J850" s="6" t="n">
        <f aca="false">E850*H850</f>
        <v>0</v>
      </c>
      <c r="K850" s="6" t="n">
        <f aca="false">E850*I850</f>
        <v>2639986.25</v>
      </c>
      <c r="L850" s="6" t="n">
        <v>0</v>
      </c>
      <c r="M850" s="6" t="n">
        <v>2639986.25</v>
      </c>
      <c r="N850" s="6" t="n">
        <v>3223167</v>
      </c>
      <c r="O850" s="6" t="n">
        <v>4098927</v>
      </c>
      <c r="P850" s="7" t="n">
        <f aca="false">IF(O850=0,"",(G850-O850)/O850)</f>
        <v>-0.348679495877824</v>
      </c>
      <c r="Q850" s="5" t="s">
        <v>26</v>
      </c>
      <c r="R850" s="5" t="s">
        <v>27</v>
      </c>
    </row>
    <row r="851" customFormat="false" ht="15" hidden="false" customHeight="true" outlineLevel="0" collapsed="false">
      <c r="A851" s="5" t="s">
        <v>875</v>
      </c>
      <c r="B851" s="6" t="n">
        <v>7351240468.23</v>
      </c>
      <c r="C851" s="6" t="n">
        <v>0</v>
      </c>
      <c r="D851" s="6" t="n">
        <v>7351240468.23</v>
      </c>
      <c r="E851" s="6" t="n">
        <v>2719958.97</v>
      </c>
      <c r="F851" s="6" t="n">
        <v>28101.42</v>
      </c>
      <c r="G851" s="6" t="n">
        <f aca="false">E851+F851</f>
        <v>2748060.39</v>
      </c>
      <c r="H851" s="7" t="n">
        <f aca="false">IF(D851=0,0,C851/D851)</f>
        <v>0</v>
      </c>
      <c r="I851" s="7" t="n">
        <f aca="false">IF(D851=0,0,B851/D851)</f>
        <v>1</v>
      </c>
      <c r="J851" s="6" t="n">
        <f aca="false">E851*H851</f>
        <v>0</v>
      </c>
      <c r="K851" s="6" t="n">
        <f aca="false">E851*I851</f>
        <v>2719958.97</v>
      </c>
      <c r="L851" s="6" t="n">
        <v>0</v>
      </c>
      <c r="M851" s="6" t="n">
        <v>2719958.97</v>
      </c>
      <c r="N851" s="6" t="n">
        <v>3715865</v>
      </c>
      <c r="O851" s="6" t="n">
        <v>5098063</v>
      </c>
      <c r="P851" s="7" t="n">
        <f aca="false">IF(O851=0,"",(G851-O851)/O851)</f>
        <v>-0.460959899867852</v>
      </c>
      <c r="Q851" s="5" t="s">
        <v>26</v>
      </c>
      <c r="R851" s="5" t="s">
        <v>27</v>
      </c>
    </row>
    <row r="852" customFormat="false" ht="15" hidden="false" customHeight="true" outlineLevel="0" collapsed="false">
      <c r="A852" s="5" t="s">
        <v>876</v>
      </c>
      <c r="B852" s="6" t="n">
        <v>10569922363.94</v>
      </c>
      <c r="C852" s="6" t="n">
        <v>0</v>
      </c>
      <c r="D852" s="6" t="n">
        <v>10569922363.94</v>
      </c>
      <c r="E852" s="6" t="n">
        <v>3910871.27</v>
      </c>
      <c r="F852" s="6" t="n">
        <v>44008.98</v>
      </c>
      <c r="G852" s="6" t="n">
        <f aca="false">E852+F852</f>
        <v>3954880.25</v>
      </c>
      <c r="H852" s="7" t="n">
        <f aca="false">IF(D852=0,0,C852/D852)</f>
        <v>0</v>
      </c>
      <c r="I852" s="7" t="n">
        <f aca="false">IF(D852=0,0,B852/D852)</f>
        <v>1</v>
      </c>
      <c r="J852" s="6" t="n">
        <f aca="false">E852*H852</f>
        <v>0</v>
      </c>
      <c r="K852" s="6" t="n">
        <f aca="false">E852*I852</f>
        <v>3910871.27</v>
      </c>
      <c r="L852" s="6" t="n">
        <v>0</v>
      </c>
      <c r="M852" s="6" t="n">
        <v>3910871.27</v>
      </c>
      <c r="N852" s="6" t="n">
        <v>4032465</v>
      </c>
      <c r="O852" s="6" t="n">
        <v>4731850</v>
      </c>
      <c r="P852" s="7" t="n">
        <f aca="false">IF(O852=0,"",(G852-O852)/O852)</f>
        <v>-0.164199995773323</v>
      </c>
      <c r="Q852" s="5" t="s">
        <v>26</v>
      </c>
      <c r="R852" s="5" t="s">
        <v>27</v>
      </c>
    </row>
    <row r="853" customFormat="false" ht="15" hidden="false" customHeight="true" outlineLevel="0" collapsed="false">
      <c r="A853" s="5" t="s">
        <v>877</v>
      </c>
      <c r="B853" s="6" t="n">
        <v>8683442695.78</v>
      </c>
      <c r="C853" s="6" t="n">
        <v>0</v>
      </c>
      <c r="D853" s="6" t="n">
        <v>8683442695.78</v>
      </c>
      <c r="E853" s="6" t="n">
        <v>3212873.8</v>
      </c>
      <c r="F853" s="6" t="n">
        <v>44161.04</v>
      </c>
      <c r="G853" s="6" t="n">
        <f aca="false">E853+F853</f>
        <v>3257034.84</v>
      </c>
      <c r="H853" s="7" t="n">
        <f aca="false">IF(D853=0,0,C853/D853)</f>
        <v>0</v>
      </c>
      <c r="I853" s="7" t="n">
        <f aca="false">IF(D853=0,0,B853/D853)</f>
        <v>1</v>
      </c>
      <c r="J853" s="6" t="n">
        <f aca="false">E853*H853</f>
        <v>0</v>
      </c>
      <c r="K853" s="6" t="n">
        <f aca="false">E853*I853</f>
        <v>3212873.8</v>
      </c>
      <c r="L853" s="6" t="n">
        <v>0</v>
      </c>
      <c r="M853" s="6" t="n">
        <v>3212873.8</v>
      </c>
      <c r="N853" s="6" t="n">
        <v>3276886</v>
      </c>
      <c r="O853" s="6" t="n">
        <v>3868429</v>
      </c>
      <c r="P853" s="7" t="n">
        <f aca="false">IF(O853=0,"",(G853-O853)/O853)</f>
        <v>-0.158047145236477</v>
      </c>
      <c r="Q853" s="5" t="s">
        <v>26</v>
      </c>
      <c r="R853" s="5" t="s">
        <v>27</v>
      </c>
    </row>
    <row r="854" customFormat="false" ht="15" hidden="false" customHeight="true" outlineLevel="0" collapsed="false">
      <c r="A854" s="5" t="s">
        <v>878</v>
      </c>
      <c r="B854" s="6" t="n">
        <v>12223979385.22</v>
      </c>
      <c r="C854" s="6" t="n">
        <v>0</v>
      </c>
      <c r="D854" s="6" t="n">
        <v>12223979385.22</v>
      </c>
      <c r="E854" s="6" t="n">
        <v>4522872.37</v>
      </c>
      <c r="F854" s="6" t="n">
        <v>41988.7</v>
      </c>
      <c r="G854" s="6" t="n">
        <f aca="false">E854+F854</f>
        <v>4564861.07</v>
      </c>
      <c r="H854" s="7" t="n">
        <f aca="false">IF(D854=0,0,C854/D854)</f>
        <v>0</v>
      </c>
      <c r="I854" s="7" t="n">
        <f aca="false">IF(D854=0,0,B854/D854)</f>
        <v>1</v>
      </c>
      <c r="J854" s="6" t="n">
        <f aca="false">E854*H854</f>
        <v>0</v>
      </c>
      <c r="K854" s="6" t="n">
        <f aca="false">E854*I854</f>
        <v>4522872.37</v>
      </c>
      <c r="L854" s="6" t="n">
        <v>0</v>
      </c>
      <c r="M854" s="6" t="n">
        <v>4522872.37</v>
      </c>
      <c r="N854" s="6" t="n">
        <v>4716497</v>
      </c>
      <c r="O854" s="6" t="n">
        <v>5585253</v>
      </c>
      <c r="P854" s="7" t="n">
        <f aca="false">IF(O854=0,"",(G854-O854)/O854)</f>
        <v>-0.182693949584737</v>
      </c>
      <c r="Q854" s="5" t="s">
        <v>26</v>
      </c>
      <c r="R854" s="5" t="s">
        <v>27</v>
      </c>
    </row>
    <row r="855" customFormat="false" ht="15" hidden="false" customHeight="true" outlineLevel="0" collapsed="false">
      <c r="A855" s="5" t="s">
        <v>879</v>
      </c>
      <c r="B855" s="6" t="n">
        <v>9613850551.59</v>
      </c>
      <c r="C855" s="6" t="n">
        <v>0</v>
      </c>
      <c r="D855" s="6" t="n">
        <v>9613850551.59</v>
      </c>
      <c r="E855" s="6" t="n">
        <v>3557124.7</v>
      </c>
      <c r="F855" s="6" t="n">
        <v>44961.61</v>
      </c>
      <c r="G855" s="6" t="n">
        <f aca="false">E855+F855</f>
        <v>3602086.31</v>
      </c>
      <c r="H855" s="7" t="n">
        <f aca="false">IF(D855=0,0,C855/D855)</f>
        <v>0</v>
      </c>
      <c r="I855" s="7" t="n">
        <f aca="false">IF(D855=0,0,B855/D855)</f>
        <v>1</v>
      </c>
      <c r="J855" s="6" t="n">
        <f aca="false">E855*H855</f>
        <v>0</v>
      </c>
      <c r="K855" s="6" t="n">
        <f aca="false">E855*I855</f>
        <v>3557124.7</v>
      </c>
      <c r="L855" s="6" t="n">
        <v>0</v>
      </c>
      <c r="M855" s="6" t="n">
        <v>3557124.7</v>
      </c>
      <c r="N855" s="6" t="n">
        <v>3837135</v>
      </c>
      <c r="O855" s="6" t="n">
        <v>4545292</v>
      </c>
      <c r="P855" s="7" t="n">
        <f aca="false">IF(O855=0,"",(G855-O855)/O855)</f>
        <v>-0.207512672453167</v>
      </c>
      <c r="Q855" s="5" t="s">
        <v>26</v>
      </c>
      <c r="R855" s="5" t="s">
        <v>27</v>
      </c>
    </row>
    <row r="856" customFormat="false" ht="15" hidden="false" customHeight="true" outlineLevel="0" collapsed="false">
      <c r="A856" s="5" t="s">
        <v>880</v>
      </c>
      <c r="B856" s="6" t="n">
        <v>9088388320.05</v>
      </c>
      <c r="C856" s="6" t="n">
        <v>0</v>
      </c>
      <c r="D856" s="6" t="n">
        <v>9088388320.05</v>
      </c>
      <c r="E856" s="6" t="n">
        <v>3362703.68</v>
      </c>
      <c r="F856" s="6" t="n">
        <v>42641.6</v>
      </c>
      <c r="G856" s="6" t="n">
        <f aca="false">E856+F856</f>
        <v>3405345.28</v>
      </c>
      <c r="H856" s="7" t="n">
        <f aca="false">IF(D856=0,0,C856/D856)</f>
        <v>0</v>
      </c>
      <c r="I856" s="7" t="n">
        <f aca="false">IF(D856=0,0,B856/D856)</f>
        <v>1</v>
      </c>
      <c r="J856" s="6" t="n">
        <f aca="false">E856*H856</f>
        <v>0</v>
      </c>
      <c r="K856" s="6" t="n">
        <f aca="false">E856*I856</f>
        <v>3362703.68</v>
      </c>
      <c r="L856" s="6" t="n">
        <v>0</v>
      </c>
      <c r="M856" s="6" t="n">
        <v>3362703.68</v>
      </c>
      <c r="N856" s="6" t="n">
        <v>3381187</v>
      </c>
      <c r="O856" s="6" t="n">
        <v>3890545</v>
      </c>
      <c r="P856" s="7" t="n">
        <f aca="false">IF(O856=0,"",(G856-O856)/O856)</f>
        <v>-0.124712532562918</v>
      </c>
      <c r="Q856" s="5" t="s">
        <v>26</v>
      </c>
      <c r="R856" s="5" t="s">
        <v>27</v>
      </c>
    </row>
    <row r="857" customFormat="false" ht="15" hidden="false" customHeight="true" outlineLevel="0" collapsed="false">
      <c r="A857" s="5" t="s">
        <v>881</v>
      </c>
      <c r="B857" s="6" t="n">
        <v>4219380098.35</v>
      </c>
      <c r="C857" s="6" t="n">
        <v>0</v>
      </c>
      <c r="D857" s="6" t="n">
        <v>4219380098.35</v>
      </c>
      <c r="E857" s="6" t="n">
        <v>1561170.64</v>
      </c>
      <c r="F857" s="6" t="n">
        <v>23008.25</v>
      </c>
      <c r="G857" s="6" t="n">
        <f aca="false">E857+F857</f>
        <v>1584178.89</v>
      </c>
      <c r="H857" s="7" t="n">
        <f aca="false">IF(D857=0,0,C857/D857)</f>
        <v>0</v>
      </c>
      <c r="I857" s="7" t="n">
        <f aca="false">IF(D857=0,0,B857/D857)</f>
        <v>1</v>
      </c>
      <c r="J857" s="6" t="n">
        <f aca="false">E857*H857</f>
        <v>0</v>
      </c>
      <c r="K857" s="6" t="n">
        <f aca="false">E857*I857</f>
        <v>1561170.64</v>
      </c>
      <c r="L857" s="6" t="n">
        <v>0</v>
      </c>
      <c r="M857" s="6" t="n">
        <v>1561170.64</v>
      </c>
      <c r="N857" s="6" t="n">
        <v>1863615</v>
      </c>
      <c r="O857" s="6" t="n">
        <v>2262412</v>
      </c>
      <c r="P857" s="7" t="n">
        <f aca="false">IF(O857=0,"",(G857-O857)/O857)</f>
        <v>-0.299783200407353</v>
      </c>
      <c r="Q857" s="5" t="s">
        <v>26</v>
      </c>
      <c r="R857" s="5" t="s">
        <v>27</v>
      </c>
    </row>
    <row r="858" customFormat="false" ht="15" hidden="false" customHeight="true" outlineLevel="0" collapsed="false">
      <c r="A858" s="5" t="s">
        <v>882</v>
      </c>
      <c r="B858" s="6" t="n">
        <v>5311897299.17</v>
      </c>
      <c r="C858" s="6" t="n">
        <v>0</v>
      </c>
      <c r="D858" s="6" t="n">
        <v>5311897299.17</v>
      </c>
      <c r="E858" s="6" t="n">
        <v>1965402</v>
      </c>
      <c r="F858" s="6" t="n">
        <v>28155.69</v>
      </c>
      <c r="G858" s="6" t="n">
        <f aca="false">E858+F858</f>
        <v>1993557.69</v>
      </c>
      <c r="H858" s="7" t="n">
        <f aca="false">IF(D858=0,0,C858/D858)</f>
        <v>0</v>
      </c>
      <c r="I858" s="7" t="n">
        <f aca="false">IF(D858=0,0,B858/D858)</f>
        <v>1</v>
      </c>
      <c r="J858" s="6" t="n">
        <f aca="false">E858*H858</f>
        <v>0</v>
      </c>
      <c r="K858" s="6" t="n">
        <f aca="false">E858*I858</f>
        <v>1965402</v>
      </c>
      <c r="L858" s="6" t="n">
        <v>0</v>
      </c>
      <c r="M858" s="6" t="n">
        <v>1965402</v>
      </c>
      <c r="N858" s="6" t="n">
        <v>2132216</v>
      </c>
      <c r="O858" s="6" t="n">
        <v>2456693</v>
      </c>
      <c r="P858" s="7" t="n">
        <f aca="false">IF(O858=0,"",(G858-O858)/O858)</f>
        <v>-0.188519815052186</v>
      </c>
      <c r="Q858" s="5" t="s">
        <v>26</v>
      </c>
      <c r="R858" s="5" t="s">
        <v>27</v>
      </c>
    </row>
    <row r="859" customFormat="false" ht="15" hidden="false" customHeight="true" outlineLevel="0" collapsed="false">
      <c r="A859" s="5" t="s">
        <v>883</v>
      </c>
      <c r="B859" s="6" t="n">
        <v>16410899803.69</v>
      </c>
      <c r="C859" s="6" t="n">
        <v>0</v>
      </c>
      <c r="D859" s="6" t="n">
        <v>16410899803.69</v>
      </c>
      <c r="E859" s="6" t="n">
        <v>6072032.93</v>
      </c>
      <c r="F859" s="6" t="n">
        <v>98007.98</v>
      </c>
      <c r="G859" s="6" t="n">
        <f aca="false">E859+F859</f>
        <v>6170040.91</v>
      </c>
      <c r="H859" s="7" t="n">
        <f aca="false">IF(D859=0,0,C859/D859)</f>
        <v>0</v>
      </c>
      <c r="I859" s="7" t="n">
        <f aca="false">IF(D859=0,0,B859/D859)</f>
        <v>1</v>
      </c>
      <c r="J859" s="6" t="n">
        <f aca="false">E859*H859</f>
        <v>0</v>
      </c>
      <c r="K859" s="6" t="n">
        <f aca="false">E859*I859</f>
        <v>6072032.93</v>
      </c>
      <c r="L859" s="6" t="n">
        <v>0</v>
      </c>
      <c r="M859" s="6" t="n">
        <v>6072032.93</v>
      </c>
      <c r="N859" s="6" t="n">
        <v>5675346</v>
      </c>
      <c r="O859" s="6" t="n">
        <v>6143809</v>
      </c>
      <c r="P859" s="7" t="n">
        <f aca="false">IF(O859=0,"",(G859-O859)/O859)</f>
        <v>0.00426964933317428</v>
      </c>
      <c r="Q859" s="5" t="s">
        <v>26</v>
      </c>
      <c r="R859" s="5" t="s">
        <v>27</v>
      </c>
    </row>
    <row r="860" customFormat="false" ht="15" hidden="false" customHeight="true" outlineLevel="0" collapsed="false">
      <c r="A860" s="5" t="s">
        <v>884</v>
      </c>
      <c r="B860" s="6" t="n">
        <v>9710818917.33</v>
      </c>
      <c r="C860" s="6" t="n">
        <v>0</v>
      </c>
      <c r="D860" s="6" t="n">
        <v>9710818917.33</v>
      </c>
      <c r="E860" s="6" t="n">
        <v>3593003</v>
      </c>
      <c r="F860" s="6" t="n">
        <v>61476.15</v>
      </c>
      <c r="G860" s="6" t="n">
        <f aca="false">E860+F860</f>
        <v>3654479.15</v>
      </c>
      <c r="H860" s="7" t="n">
        <f aca="false">IF(D860=0,0,C860/D860)</f>
        <v>0</v>
      </c>
      <c r="I860" s="7" t="n">
        <f aca="false">IF(D860=0,0,B860/D860)</f>
        <v>1</v>
      </c>
      <c r="J860" s="6" t="n">
        <f aca="false">E860*H860</f>
        <v>0</v>
      </c>
      <c r="K860" s="6" t="n">
        <f aca="false">E860*I860</f>
        <v>3593003</v>
      </c>
      <c r="L860" s="6" t="n">
        <v>0</v>
      </c>
      <c r="M860" s="6" t="n">
        <v>3593003</v>
      </c>
      <c r="N860" s="6" t="n">
        <v>3217697</v>
      </c>
      <c r="O860" s="6" t="n">
        <v>3548280</v>
      </c>
      <c r="P860" s="7" t="n">
        <f aca="false">IF(O860=0,"",(G860-O860)/O860)</f>
        <v>0.0299297546980509</v>
      </c>
      <c r="Q860" s="5" t="s">
        <v>26</v>
      </c>
      <c r="R860" s="5" t="s">
        <v>27</v>
      </c>
    </row>
    <row r="861" customFormat="false" ht="15" hidden="false" customHeight="true" outlineLevel="0" collapsed="false">
      <c r="A861" s="5" t="s">
        <v>885</v>
      </c>
      <c r="B861" s="6" t="n">
        <v>9364843437.61</v>
      </c>
      <c r="C861" s="6" t="n">
        <v>0</v>
      </c>
      <c r="D861" s="6" t="n">
        <v>9364843437.61</v>
      </c>
      <c r="E861" s="6" t="n">
        <v>3464992.07</v>
      </c>
      <c r="F861" s="6" t="n">
        <v>167194.07</v>
      </c>
      <c r="G861" s="6" t="n">
        <f aca="false">E861+F861</f>
        <v>3632186.14</v>
      </c>
      <c r="H861" s="7" t="n">
        <f aca="false">IF(D861=0,0,C861/D861)</f>
        <v>0</v>
      </c>
      <c r="I861" s="7" t="n">
        <f aca="false">IF(D861=0,0,B861/D861)</f>
        <v>1</v>
      </c>
      <c r="J861" s="6" t="n">
        <f aca="false">E861*H861</f>
        <v>0</v>
      </c>
      <c r="K861" s="6" t="n">
        <f aca="false">E861*I861</f>
        <v>3464992.07</v>
      </c>
      <c r="L861" s="6" t="n">
        <v>0</v>
      </c>
      <c r="M861" s="6" t="n">
        <v>3464992.07</v>
      </c>
      <c r="N861" s="6" t="n">
        <v>2833081</v>
      </c>
      <c r="O861" s="6" t="n">
        <v>3136574</v>
      </c>
      <c r="P861" s="7" t="n">
        <f aca="false">IF(O861=0,"",(G861-O861)/O861)</f>
        <v>0.158010663864458</v>
      </c>
      <c r="Q861" s="5" t="s">
        <v>26</v>
      </c>
      <c r="R861" s="5" t="s">
        <v>27</v>
      </c>
    </row>
    <row r="862" customFormat="false" ht="15" hidden="false" customHeight="true" outlineLevel="0" collapsed="false">
      <c r="A862" s="5" t="s">
        <v>886</v>
      </c>
      <c r="B862" s="6" t="n">
        <v>17338409014.87</v>
      </c>
      <c r="C862" s="6" t="n">
        <v>0</v>
      </c>
      <c r="D862" s="6" t="n">
        <v>17338409014.87</v>
      </c>
      <c r="E862" s="6" t="n">
        <v>6415211.34</v>
      </c>
      <c r="F862" s="6" t="n">
        <v>128599.43</v>
      </c>
      <c r="G862" s="6" t="n">
        <f aca="false">E862+F862</f>
        <v>6543810.77</v>
      </c>
      <c r="H862" s="7" t="n">
        <f aca="false">IF(D862=0,0,C862/D862)</f>
        <v>0</v>
      </c>
      <c r="I862" s="7" t="n">
        <f aca="false">IF(D862=0,0,B862/D862)</f>
        <v>1</v>
      </c>
      <c r="J862" s="6" t="n">
        <f aca="false">E862*H862</f>
        <v>0</v>
      </c>
      <c r="K862" s="6" t="n">
        <f aca="false">E862*I862</f>
        <v>6415211.34</v>
      </c>
      <c r="L862" s="6" t="n">
        <v>0</v>
      </c>
      <c r="M862" s="6" t="n">
        <v>6415211.34</v>
      </c>
      <c r="N862" s="6" t="n">
        <v>5412926</v>
      </c>
      <c r="O862" s="6" t="n">
        <v>6024400</v>
      </c>
      <c r="P862" s="7" t="n">
        <f aca="false">IF(O862=0,"",(G862-O862)/O862)</f>
        <v>0.0862178424407409</v>
      </c>
      <c r="Q862" s="5" t="s">
        <v>26</v>
      </c>
      <c r="R862" s="5" t="s">
        <v>27</v>
      </c>
    </row>
    <row r="863" customFormat="false" ht="15" hidden="false" customHeight="true" outlineLevel="0" collapsed="false">
      <c r="A863" s="5" t="s">
        <v>887</v>
      </c>
      <c r="B863" s="6" t="n">
        <v>9099654714.81</v>
      </c>
      <c r="C863" s="6" t="n">
        <v>0</v>
      </c>
      <c r="D863" s="6" t="n">
        <v>9099654714.81</v>
      </c>
      <c r="E863" s="6" t="n">
        <v>3366872.24</v>
      </c>
      <c r="F863" s="6" t="n">
        <v>116164.44</v>
      </c>
      <c r="G863" s="6" t="n">
        <f aca="false">E863+F863</f>
        <v>3483036.68</v>
      </c>
      <c r="H863" s="7" t="n">
        <f aca="false">IF(D863=0,0,C863/D863)</f>
        <v>0</v>
      </c>
      <c r="I863" s="7" t="n">
        <f aca="false">IF(D863=0,0,B863/D863)</f>
        <v>1</v>
      </c>
      <c r="J863" s="6" t="n">
        <f aca="false">E863*H863</f>
        <v>0</v>
      </c>
      <c r="K863" s="6" t="n">
        <f aca="false">E863*I863</f>
        <v>3366872.24</v>
      </c>
      <c r="L863" s="6" t="n">
        <v>0</v>
      </c>
      <c r="M863" s="6" t="n">
        <v>3366872.24</v>
      </c>
      <c r="N863" s="6" t="n">
        <v>3196433</v>
      </c>
      <c r="O863" s="6" t="n">
        <v>3669632</v>
      </c>
      <c r="P863" s="7" t="n">
        <f aca="false">IF(O863=0,"",(G863-O863)/O863)</f>
        <v>-0.0508485101503366</v>
      </c>
      <c r="Q863" s="5" t="s">
        <v>26</v>
      </c>
      <c r="R863" s="5" t="s">
        <v>27</v>
      </c>
    </row>
    <row r="864" customFormat="false" ht="15" hidden="false" customHeight="true" outlineLevel="0" collapsed="false">
      <c r="A864" s="5" t="s">
        <v>888</v>
      </c>
      <c r="B864" s="6" t="n">
        <v>4181427581.76</v>
      </c>
      <c r="C864" s="6" t="n">
        <v>0</v>
      </c>
      <c r="D864" s="6" t="n">
        <v>4181427581.76</v>
      </c>
      <c r="E864" s="6" t="n">
        <v>1547128.21</v>
      </c>
      <c r="F864" s="6" t="n">
        <v>37925.28</v>
      </c>
      <c r="G864" s="6" t="n">
        <f aca="false">E864+F864</f>
        <v>1585053.49</v>
      </c>
      <c r="H864" s="7" t="n">
        <f aca="false">IF(D864=0,0,C864/D864)</f>
        <v>0</v>
      </c>
      <c r="I864" s="7" t="n">
        <f aca="false">IF(D864=0,0,B864/D864)</f>
        <v>1</v>
      </c>
      <c r="J864" s="6" t="n">
        <f aca="false">E864*H864</f>
        <v>0</v>
      </c>
      <c r="K864" s="6" t="n">
        <f aca="false">E864*I864</f>
        <v>1547128.21</v>
      </c>
      <c r="L864" s="6" t="n">
        <v>0</v>
      </c>
      <c r="M864" s="6" t="n">
        <v>1547128.21</v>
      </c>
      <c r="N864" s="6" t="n">
        <v>1529083</v>
      </c>
      <c r="O864" s="6" t="n">
        <v>1802311</v>
      </c>
      <c r="P864" s="7" t="n">
        <f aca="false">IF(O864=0,"",(G864-O864)/O864)</f>
        <v>-0.120543851754775</v>
      </c>
      <c r="Q864" s="5" t="s">
        <v>26</v>
      </c>
      <c r="R864" s="5" t="s">
        <v>27</v>
      </c>
    </row>
    <row r="865" customFormat="false" ht="15" hidden="false" customHeight="true" outlineLevel="0" collapsed="false">
      <c r="A865" s="5" t="s">
        <v>889</v>
      </c>
      <c r="B865" s="6" t="n">
        <v>5697862969.07</v>
      </c>
      <c r="C865" s="6" t="n">
        <v>0</v>
      </c>
      <c r="D865" s="6" t="n">
        <v>5697862969.07</v>
      </c>
      <c r="E865" s="6" t="n">
        <v>2108209.3</v>
      </c>
      <c r="F865" s="6" t="n">
        <v>46270</v>
      </c>
      <c r="G865" s="6" t="n">
        <f aca="false">E865+F865</f>
        <v>2154479.3</v>
      </c>
      <c r="H865" s="7" t="n">
        <f aca="false">IF(D865=0,0,C865/D865)</f>
        <v>0</v>
      </c>
      <c r="I865" s="7" t="n">
        <f aca="false">IF(D865=0,0,B865/D865)</f>
        <v>1</v>
      </c>
      <c r="J865" s="6" t="n">
        <f aca="false">E865*H865</f>
        <v>0</v>
      </c>
      <c r="K865" s="6" t="n">
        <f aca="false">E865*I865</f>
        <v>2108209.3</v>
      </c>
      <c r="L865" s="6" t="n">
        <v>0</v>
      </c>
      <c r="M865" s="6" t="n">
        <v>2108209.3</v>
      </c>
      <c r="N865" s="6" t="n">
        <v>1928232</v>
      </c>
      <c r="O865" s="6" t="n">
        <v>2165288</v>
      </c>
      <c r="P865" s="7" t="n">
        <f aca="false">IF(O865=0,"",(G865-O865)/O865)</f>
        <v>-0.00499180709448359</v>
      </c>
      <c r="Q865" s="5" t="s">
        <v>26</v>
      </c>
      <c r="R865" s="5" t="s">
        <v>27</v>
      </c>
    </row>
    <row r="866" customFormat="false" ht="15" hidden="false" customHeight="true" outlineLevel="0" collapsed="false">
      <c r="A866" s="5" t="s">
        <v>890</v>
      </c>
      <c r="B866" s="6" t="n">
        <v>7934780754.13</v>
      </c>
      <c r="C866" s="6" t="n">
        <v>0</v>
      </c>
      <c r="D866" s="6" t="n">
        <v>7934780754.13</v>
      </c>
      <c r="E866" s="6" t="n">
        <v>2935868.88</v>
      </c>
      <c r="F866" s="6" t="n">
        <v>69167.09</v>
      </c>
      <c r="G866" s="6" t="n">
        <f aca="false">E866+F866</f>
        <v>3005035.97</v>
      </c>
      <c r="H866" s="7" t="n">
        <f aca="false">IF(D866=0,0,C866/D866)</f>
        <v>0</v>
      </c>
      <c r="I866" s="7" t="n">
        <f aca="false">IF(D866=0,0,B866/D866)</f>
        <v>1</v>
      </c>
      <c r="J866" s="6" t="n">
        <f aca="false">E866*H866</f>
        <v>0</v>
      </c>
      <c r="K866" s="6" t="n">
        <f aca="false">E866*I866</f>
        <v>2935868.88</v>
      </c>
      <c r="L866" s="6" t="n">
        <v>0</v>
      </c>
      <c r="M866" s="6" t="n">
        <v>2935868.88</v>
      </c>
      <c r="N866" s="6" t="n">
        <v>2600887</v>
      </c>
      <c r="O866" s="6" t="n">
        <v>2930758</v>
      </c>
      <c r="P866" s="7" t="n">
        <f aca="false">IF(O866=0,"",(G866-O866)/O866)</f>
        <v>0.0253442863586825</v>
      </c>
      <c r="Q866" s="5" t="s">
        <v>26</v>
      </c>
      <c r="R866" s="5" t="s">
        <v>27</v>
      </c>
    </row>
    <row r="867" customFormat="false" ht="15" hidden="false" customHeight="true" outlineLevel="0" collapsed="false">
      <c r="A867" s="5" t="s">
        <v>891</v>
      </c>
      <c r="B867" s="6" t="n">
        <v>8498007774.04</v>
      </c>
      <c r="C867" s="6" t="n">
        <v>0</v>
      </c>
      <c r="D867" s="6" t="n">
        <v>8498007774.04</v>
      </c>
      <c r="E867" s="6" t="n">
        <v>3144262.88</v>
      </c>
      <c r="F867" s="6" t="n">
        <v>59083.21</v>
      </c>
      <c r="G867" s="6" t="n">
        <f aca="false">E867+F867</f>
        <v>3203346.09</v>
      </c>
      <c r="H867" s="7" t="n">
        <f aca="false">IF(D867=0,0,C867/D867)</f>
        <v>0</v>
      </c>
      <c r="I867" s="7" t="n">
        <f aca="false">IF(D867=0,0,B867/D867)</f>
        <v>1</v>
      </c>
      <c r="J867" s="6" t="n">
        <f aca="false">E867*H867</f>
        <v>0</v>
      </c>
      <c r="K867" s="6" t="n">
        <f aca="false">E867*I867</f>
        <v>3144262.88</v>
      </c>
      <c r="L867" s="6" t="n">
        <v>0</v>
      </c>
      <c r="M867" s="6" t="n">
        <v>3144262.88</v>
      </c>
      <c r="N867" s="6" t="n">
        <v>2712733</v>
      </c>
      <c r="O867" s="6" t="n">
        <v>3038403</v>
      </c>
      <c r="P867" s="7" t="n">
        <f aca="false">IF(O867=0,"",(G867-O867)/O867)</f>
        <v>0.0542861134615783</v>
      </c>
      <c r="Q867" s="5" t="s">
        <v>26</v>
      </c>
      <c r="R867" s="5" t="s">
        <v>27</v>
      </c>
    </row>
    <row r="868" customFormat="false" ht="15" hidden="false" customHeight="true" outlineLevel="0" collapsed="false">
      <c r="A868" s="5" t="s">
        <v>892</v>
      </c>
      <c r="B868" s="6" t="n">
        <v>9824233176.32</v>
      </c>
      <c r="C868" s="6" t="n">
        <v>0</v>
      </c>
      <c r="D868" s="6" t="n">
        <v>9824233176.32</v>
      </c>
      <c r="E868" s="6" t="n">
        <v>3634966.28</v>
      </c>
      <c r="F868" s="6" t="n">
        <v>57005.45</v>
      </c>
      <c r="G868" s="6" t="n">
        <f aca="false">E868+F868</f>
        <v>3691971.73</v>
      </c>
      <c r="H868" s="7" t="n">
        <f aca="false">IF(D868=0,0,C868/D868)</f>
        <v>0</v>
      </c>
      <c r="I868" s="7" t="n">
        <f aca="false">IF(D868=0,0,B868/D868)</f>
        <v>1</v>
      </c>
      <c r="J868" s="6" t="n">
        <f aca="false">E868*H868</f>
        <v>0</v>
      </c>
      <c r="K868" s="6" t="n">
        <f aca="false">E868*I868</f>
        <v>3634966.28</v>
      </c>
      <c r="L868" s="6" t="n">
        <v>0</v>
      </c>
      <c r="M868" s="6" t="n">
        <v>3634966.28</v>
      </c>
      <c r="N868" s="6" t="n">
        <v>3108599</v>
      </c>
      <c r="O868" s="6" t="n">
        <v>3475589</v>
      </c>
      <c r="P868" s="7" t="n">
        <f aca="false">IF(O868=0,"",(G868-O868)/O868)</f>
        <v>0.0622578590276353</v>
      </c>
      <c r="Q868" s="5" t="s">
        <v>26</v>
      </c>
      <c r="R868" s="5" t="s">
        <v>27</v>
      </c>
    </row>
    <row r="869" customFormat="false" ht="15" hidden="false" customHeight="true" outlineLevel="0" collapsed="false">
      <c r="A869" s="5" t="s">
        <v>893</v>
      </c>
      <c r="B869" s="6" t="n">
        <v>10644493010.44</v>
      </c>
      <c r="C869" s="6" t="n">
        <v>0</v>
      </c>
      <c r="D869" s="6" t="n">
        <v>10644493010.44</v>
      </c>
      <c r="E869" s="6" t="n">
        <v>3938462.41</v>
      </c>
      <c r="F869" s="6" t="n">
        <v>64687.95</v>
      </c>
      <c r="G869" s="6" t="n">
        <f aca="false">E869+F869</f>
        <v>4003150.36</v>
      </c>
      <c r="H869" s="7" t="n">
        <f aca="false">IF(D869=0,0,C869/D869)</f>
        <v>0</v>
      </c>
      <c r="I869" s="7" t="n">
        <f aca="false">IF(D869=0,0,B869/D869)</f>
        <v>1</v>
      </c>
      <c r="J869" s="6" t="n">
        <f aca="false">E869*H869</f>
        <v>0</v>
      </c>
      <c r="K869" s="6" t="n">
        <f aca="false">E869*I869</f>
        <v>3938462.41</v>
      </c>
      <c r="L869" s="6" t="n">
        <v>0</v>
      </c>
      <c r="M869" s="6" t="n">
        <v>3938462.41</v>
      </c>
      <c r="N869" s="6" t="n">
        <v>3456115</v>
      </c>
      <c r="O869" s="6" t="n">
        <v>3848384</v>
      </c>
      <c r="P869" s="7" t="n">
        <f aca="false">IF(O869=0,"",(G869-O869)/O869)</f>
        <v>0.0402159347923701</v>
      </c>
      <c r="Q869" s="5" t="s">
        <v>26</v>
      </c>
      <c r="R869" s="5" t="s">
        <v>27</v>
      </c>
    </row>
    <row r="870" customFormat="false" ht="15" hidden="false" customHeight="true" outlineLevel="0" collapsed="false">
      <c r="A870" s="5" t="s">
        <v>894</v>
      </c>
      <c r="B870" s="6" t="n">
        <v>10408189865.9</v>
      </c>
      <c r="C870" s="6" t="n">
        <v>0</v>
      </c>
      <c r="D870" s="6" t="n">
        <v>10408189865.9</v>
      </c>
      <c r="E870" s="6" t="n">
        <v>3851030.25</v>
      </c>
      <c r="F870" s="6" t="n">
        <v>41199.6</v>
      </c>
      <c r="G870" s="6" t="n">
        <f aca="false">E870+F870</f>
        <v>3892229.85</v>
      </c>
      <c r="H870" s="7" t="n">
        <f aca="false">IF(D870=0,0,C870/D870)</f>
        <v>0</v>
      </c>
      <c r="I870" s="7" t="n">
        <f aca="false">IF(D870=0,0,B870/D870)</f>
        <v>1</v>
      </c>
      <c r="J870" s="6" t="n">
        <f aca="false">E870*H870</f>
        <v>0</v>
      </c>
      <c r="K870" s="6" t="n">
        <f aca="false">E870*I870</f>
        <v>3851030.25</v>
      </c>
      <c r="L870" s="6" t="n">
        <v>0</v>
      </c>
      <c r="M870" s="6" t="n">
        <v>3851030.25</v>
      </c>
      <c r="N870" s="6" t="n">
        <v>3299242</v>
      </c>
      <c r="O870" s="6" t="n">
        <v>3676782</v>
      </c>
      <c r="P870" s="7" t="n">
        <f aca="false">IF(O870=0,"",(G870-O870)/O870)</f>
        <v>0.0585968518122641</v>
      </c>
      <c r="Q870" s="5" t="s">
        <v>26</v>
      </c>
      <c r="R870" s="5" t="s">
        <v>27</v>
      </c>
    </row>
    <row r="871" customFormat="false" ht="15" hidden="false" customHeight="true" outlineLevel="0" collapsed="false">
      <c r="A871" s="5" t="s">
        <v>895</v>
      </c>
      <c r="B871" s="6" t="n">
        <v>4766544219.28</v>
      </c>
      <c r="C871" s="6" t="n">
        <v>0</v>
      </c>
      <c r="D871" s="6" t="n">
        <v>4766544219.28</v>
      </c>
      <c r="E871" s="6" t="n">
        <v>1763621.36</v>
      </c>
      <c r="F871" s="6" t="n">
        <v>21066.6</v>
      </c>
      <c r="G871" s="6" t="n">
        <f aca="false">E871+F871</f>
        <v>1784687.96</v>
      </c>
      <c r="H871" s="7" t="n">
        <f aca="false">IF(D871=0,0,C871/D871)</f>
        <v>0</v>
      </c>
      <c r="I871" s="7" t="n">
        <f aca="false">IF(D871=0,0,B871/D871)</f>
        <v>1</v>
      </c>
      <c r="J871" s="6" t="n">
        <f aca="false">E871*H871</f>
        <v>0</v>
      </c>
      <c r="K871" s="6" t="n">
        <f aca="false">E871*I871</f>
        <v>1763621.36</v>
      </c>
      <c r="L871" s="6" t="n">
        <v>0</v>
      </c>
      <c r="M871" s="6" t="n">
        <v>1763621.36</v>
      </c>
      <c r="N871" s="6" t="n">
        <v>1629742</v>
      </c>
      <c r="O871" s="6" t="n">
        <v>1913697</v>
      </c>
      <c r="P871" s="7" t="n">
        <f aca="false">IF(O871=0,"",(G871-O871)/O871)</f>
        <v>-0.0674135142606169</v>
      </c>
      <c r="Q871" s="5" t="s">
        <v>26</v>
      </c>
      <c r="R871" s="5" t="s">
        <v>27</v>
      </c>
    </row>
    <row r="872" customFormat="false" ht="15" hidden="false" customHeight="true" outlineLevel="0" collapsed="false">
      <c r="A872" s="5" t="s">
        <v>896</v>
      </c>
      <c r="B872" s="6" t="n">
        <v>9544080331.34</v>
      </c>
      <c r="C872" s="6" t="n">
        <v>0</v>
      </c>
      <c r="D872" s="6" t="n">
        <v>9544080331.34</v>
      </c>
      <c r="E872" s="6" t="n">
        <v>3531309.72</v>
      </c>
      <c r="F872" s="6" t="n">
        <v>29928.15</v>
      </c>
      <c r="G872" s="6" t="n">
        <f aca="false">E872+F872</f>
        <v>3561237.87</v>
      </c>
      <c r="H872" s="7" t="n">
        <f aca="false">IF(D872=0,0,C872/D872)</f>
        <v>0</v>
      </c>
      <c r="I872" s="7" t="n">
        <f aca="false">IF(D872=0,0,B872/D872)</f>
        <v>1</v>
      </c>
      <c r="J872" s="6" t="n">
        <f aca="false">E872*H872</f>
        <v>0</v>
      </c>
      <c r="K872" s="6" t="n">
        <f aca="false">E872*I872</f>
        <v>3531309.72</v>
      </c>
      <c r="L872" s="6" t="n">
        <v>0</v>
      </c>
      <c r="M872" s="6" t="n">
        <v>3531309.72</v>
      </c>
      <c r="N872" s="6" t="n">
        <v>3033713</v>
      </c>
      <c r="O872" s="6" t="n">
        <v>3454718</v>
      </c>
      <c r="P872" s="7" t="n">
        <f aca="false">IF(O872=0,"",(G872-O872)/O872)</f>
        <v>0.0308331591753654</v>
      </c>
      <c r="Q872" s="5" t="s">
        <v>26</v>
      </c>
      <c r="R872" s="5" t="s">
        <v>27</v>
      </c>
    </row>
    <row r="873" customFormat="false" ht="15" hidden="false" customHeight="true" outlineLevel="0" collapsed="false">
      <c r="A873" s="5" t="s">
        <v>897</v>
      </c>
      <c r="B873" s="6" t="n">
        <v>10603772427.08</v>
      </c>
      <c r="C873" s="6" t="n">
        <v>0</v>
      </c>
      <c r="D873" s="6" t="n">
        <v>10603772427.08</v>
      </c>
      <c r="E873" s="6" t="n">
        <v>3923395.8</v>
      </c>
      <c r="F873" s="6" t="n">
        <v>27643.14</v>
      </c>
      <c r="G873" s="6" t="n">
        <f aca="false">E873+F873</f>
        <v>3951038.94</v>
      </c>
      <c r="H873" s="7" t="n">
        <f aca="false">IF(D873=0,0,C873/D873)</f>
        <v>0</v>
      </c>
      <c r="I873" s="7" t="n">
        <f aca="false">IF(D873=0,0,B873/D873)</f>
        <v>1</v>
      </c>
      <c r="J873" s="6" t="n">
        <f aca="false">E873*H873</f>
        <v>0</v>
      </c>
      <c r="K873" s="6" t="n">
        <f aca="false">E873*I873</f>
        <v>3923395.8</v>
      </c>
      <c r="L873" s="6" t="n">
        <v>0</v>
      </c>
      <c r="M873" s="6" t="n">
        <v>3923395.8</v>
      </c>
      <c r="N873" s="6" t="n">
        <v>3369422</v>
      </c>
      <c r="O873" s="6" t="n">
        <v>3866590</v>
      </c>
      <c r="P873" s="7" t="n">
        <f aca="false">IF(O873=0,"",(G873-O873)/O873)</f>
        <v>0.0218406761513375</v>
      </c>
      <c r="Q873" s="5" t="s">
        <v>26</v>
      </c>
      <c r="R873" s="5" t="s">
        <v>27</v>
      </c>
    </row>
    <row r="874" customFormat="false" ht="15" hidden="false" customHeight="true" outlineLevel="0" collapsed="false">
      <c r="A874" s="5" t="s">
        <v>898</v>
      </c>
      <c r="B874" s="6" t="n">
        <v>14676247652.04</v>
      </c>
      <c r="C874" s="6" t="n">
        <v>0</v>
      </c>
      <c r="D874" s="6" t="n">
        <v>14676247652.04</v>
      </c>
      <c r="E874" s="6" t="n">
        <v>5430211.63</v>
      </c>
      <c r="F874" s="6" t="n">
        <v>42421.49</v>
      </c>
      <c r="G874" s="6" t="n">
        <f aca="false">E874+F874</f>
        <v>5472633.12</v>
      </c>
      <c r="H874" s="7" t="n">
        <f aca="false">IF(D874=0,0,C874/D874)</f>
        <v>0</v>
      </c>
      <c r="I874" s="7" t="n">
        <f aca="false">IF(D874=0,0,B874/D874)</f>
        <v>1</v>
      </c>
      <c r="J874" s="6" t="n">
        <f aca="false">E874*H874</f>
        <v>0</v>
      </c>
      <c r="K874" s="6" t="n">
        <f aca="false">E874*I874</f>
        <v>5430211.63</v>
      </c>
      <c r="L874" s="6" t="n">
        <v>0</v>
      </c>
      <c r="M874" s="6" t="n">
        <v>5430211.63</v>
      </c>
      <c r="N874" s="6" t="n">
        <v>4416839</v>
      </c>
      <c r="O874" s="6" t="n">
        <v>4952139</v>
      </c>
      <c r="P874" s="7" t="n">
        <f aca="false">IF(O874=0,"",(G874-O874)/O874)</f>
        <v>0.105104909211959</v>
      </c>
      <c r="Q874" s="5" t="s">
        <v>26</v>
      </c>
      <c r="R874" s="5" t="s">
        <v>27</v>
      </c>
    </row>
    <row r="875" customFormat="false" ht="15" hidden="false" customHeight="true" outlineLevel="0" collapsed="false">
      <c r="A875" s="5" t="s">
        <v>899</v>
      </c>
      <c r="B875" s="6" t="n">
        <v>8887739221.5</v>
      </c>
      <c r="C875" s="6" t="n">
        <v>0</v>
      </c>
      <c r="D875" s="6" t="n">
        <v>8887739221.5</v>
      </c>
      <c r="E875" s="6" t="n">
        <v>3288463.51</v>
      </c>
      <c r="F875" s="6" t="n">
        <v>25289.95</v>
      </c>
      <c r="G875" s="6" t="n">
        <f aca="false">E875+F875</f>
        <v>3313753.46</v>
      </c>
      <c r="H875" s="7" t="n">
        <f aca="false">IF(D875=0,0,C875/D875)</f>
        <v>0</v>
      </c>
      <c r="I875" s="7" t="n">
        <f aca="false">IF(D875=0,0,B875/D875)</f>
        <v>1</v>
      </c>
      <c r="J875" s="6" t="n">
        <f aca="false">E875*H875</f>
        <v>0</v>
      </c>
      <c r="K875" s="6" t="n">
        <f aca="false">E875*I875</f>
        <v>3288463.51</v>
      </c>
      <c r="L875" s="6" t="n">
        <v>0</v>
      </c>
      <c r="M875" s="6" t="n">
        <v>3288463.51</v>
      </c>
      <c r="N875" s="6" t="n">
        <v>2968401</v>
      </c>
      <c r="O875" s="6" t="n">
        <v>3383407</v>
      </c>
      <c r="P875" s="7" t="n">
        <f aca="false">IF(O875=0,"",(G875-O875)/O875)</f>
        <v>-0.0205868049572517</v>
      </c>
      <c r="Q875" s="5" t="s">
        <v>26</v>
      </c>
      <c r="R875" s="5" t="s">
        <v>27</v>
      </c>
    </row>
    <row r="876" customFormat="false" ht="15" hidden="false" customHeight="true" outlineLevel="0" collapsed="false">
      <c r="A876" s="5" t="s">
        <v>900</v>
      </c>
      <c r="B876" s="6" t="n">
        <v>12273094486.69</v>
      </c>
      <c r="C876" s="6" t="n">
        <v>0</v>
      </c>
      <c r="D876" s="6" t="n">
        <v>12273094486.69</v>
      </c>
      <c r="E876" s="6" t="n">
        <v>4541044.96</v>
      </c>
      <c r="F876" s="6" t="n">
        <v>43158.77</v>
      </c>
      <c r="G876" s="6" t="n">
        <f aca="false">E876+F876</f>
        <v>4584203.73</v>
      </c>
      <c r="H876" s="7" t="n">
        <f aca="false">IF(D876=0,0,C876/D876)</f>
        <v>0</v>
      </c>
      <c r="I876" s="7" t="n">
        <f aca="false">IF(D876=0,0,B876/D876)</f>
        <v>1</v>
      </c>
      <c r="J876" s="6" t="n">
        <f aca="false">E876*H876</f>
        <v>0</v>
      </c>
      <c r="K876" s="6" t="n">
        <f aca="false">E876*I876</f>
        <v>4541044.96</v>
      </c>
      <c r="L876" s="6" t="n">
        <v>0</v>
      </c>
      <c r="M876" s="6" t="n">
        <v>4541044.96</v>
      </c>
      <c r="N876" s="6" t="n">
        <v>3410919</v>
      </c>
      <c r="O876" s="6" t="n">
        <v>3832475</v>
      </c>
      <c r="P876" s="7" t="n">
        <f aca="false">IF(O876=0,"",(G876-O876)/O876)</f>
        <v>0.196147066843228</v>
      </c>
      <c r="Q876" s="5" t="s">
        <v>26</v>
      </c>
      <c r="R876" s="5" t="s">
        <v>27</v>
      </c>
    </row>
    <row r="877" customFormat="false" ht="15" hidden="false" customHeight="true" outlineLevel="0" collapsed="false">
      <c r="A877" s="5" t="s">
        <v>901</v>
      </c>
      <c r="B877" s="6" t="n">
        <v>28724586156.58</v>
      </c>
      <c r="C877" s="6" t="n">
        <v>0</v>
      </c>
      <c r="D877" s="6" t="n">
        <v>28724586156.58</v>
      </c>
      <c r="E877" s="6" t="n">
        <v>10628096.88</v>
      </c>
      <c r="F877" s="6" t="n">
        <v>455928.98</v>
      </c>
      <c r="G877" s="6" t="n">
        <f aca="false">E877+F877</f>
        <v>11084025.86</v>
      </c>
      <c r="H877" s="7" t="n">
        <f aca="false">IF(D877=0,0,C877/D877)</f>
        <v>0</v>
      </c>
      <c r="I877" s="7" t="n">
        <f aca="false">IF(D877=0,0,B877/D877)</f>
        <v>1</v>
      </c>
      <c r="J877" s="6" t="n">
        <f aca="false">E877*H877</f>
        <v>0</v>
      </c>
      <c r="K877" s="6" t="n">
        <f aca="false">E877*I877</f>
        <v>10628096.88</v>
      </c>
      <c r="L877" s="6" t="n">
        <v>0</v>
      </c>
      <c r="M877" s="6" t="n">
        <v>10628096.88</v>
      </c>
      <c r="N877" s="6" t="n">
        <v>9863306</v>
      </c>
      <c r="O877" s="6" t="n">
        <v>10751400</v>
      </c>
      <c r="P877" s="7" t="n">
        <f aca="false">IF(O877=0,"",(G877-O877)/O877)</f>
        <v>0.0309379113417789</v>
      </c>
      <c r="Q877" s="5" t="s">
        <v>26</v>
      </c>
      <c r="R877" s="5" t="s">
        <v>27</v>
      </c>
    </row>
    <row r="878" customFormat="false" ht="15" hidden="false" customHeight="true" outlineLevel="0" collapsed="false">
      <c r="A878" s="5" t="s">
        <v>902</v>
      </c>
      <c r="B878" s="6" t="n">
        <v>10333348903.64</v>
      </c>
      <c r="C878" s="6" t="n">
        <v>0</v>
      </c>
      <c r="D878" s="6" t="n">
        <v>10333348903.64</v>
      </c>
      <c r="E878" s="6" t="n">
        <v>3823339.09</v>
      </c>
      <c r="F878" s="6" t="n">
        <v>127060.95</v>
      </c>
      <c r="G878" s="6" t="n">
        <f aca="false">E878+F878</f>
        <v>3950400.04</v>
      </c>
      <c r="H878" s="7" t="n">
        <f aca="false">IF(D878=0,0,C878/D878)</f>
        <v>0</v>
      </c>
      <c r="I878" s="7" t="n">
        <f aca="false">IF(D878=0,0,B878/D878)</f>
        <v>1</v>
      </c>
      <c r="J878" s="6" t="n">
        <f aca="false">E878*H878</f>
        <v>0</v>
      </c>
      <c r="K878" s="6" t="n">
        <f aca="false">E878*I878</f>
        <v>3823339.09</v>
      </c>
      <c r="L878" s="6" t="n">
        <v>0</v>
      </c>
      <c r="M878" s="6" t="n">
        <v>3823339.09</v>
      </c>
      <c r="N878" s="6" t="n">
        <v>3361969</v>
      </c>
      <c r="O878" s="6" t="n">
        <v>3788457</v>
      </c>
      <c r="P878" s="7" t="n">
        <f aca="false">IF(O878=0,"",(G878-O878)/O878)</f>
        <v>0.0427464374018235</v>
      </c>
      <c r="Q878" s="5" t="s">
        <v>26</v>
      </c>
      <c r="R878" s="5" t="s">
        <v>27</v>
      </c>
    </row>
    <row r="879" customFormat="false" ht="15" hidden="false" customHeight="true" outlineLevel="0" collapsed="false">
      <c r="A879" s="5" t="s">
        <v>903</v>
      </c>
      <c r="B879" s="6" t="n">
        <v>11787564657.26</v>
      </c>
      <c r="C879" s="6" t="n">
        <v>0</v>
      </c>
      <c r="D879" s="6" t="n">
        <v>11787564657.26</v>
      </c>
      <c r="E879" s="6" t="n">
        <v>4361398.92</v>
      </c>
      <c r="F879" s="6" t="n">
        <v>56752.98</v>
      </c>
      <c r="G879" s="6" t="n">
        <f aca="false">E879+F879</f>
        <v>4418151.9</v>
      </c>
      <c r="H879" s="7" t="n">
        <f aca="false">IF(D879=0,0,C879/D879)</f>
        <v>0</v>
      </c>
      <c r="I879" s="7" t="n">
        <f aca="false">IF(D879=0,0,B879/D879)</f>
        <v>1</v>
      </c>
      <c r="J879" s="6" t="n">
        <f aca="false">E879*H879</f>
        <v>0</v>
      </c>
      <c r="K879" s="6" t="n">
        <f aca="false">E879*I879</f>
        <v>4361398.92</v>
      </c>
      <c r="L879" s="6" t="n">
        <v>0</v>
      </c>
      <c r="M879" s="6" t="n">
        <v>4361398.92</v>
      </c>
      <c r="N879" s="6" t="n">
        <v>3617260</v>
      </c>
      <c r="O879" s="6" t="n">
        <v>4093459</v>
      </c>
      <c r="P879" s="7" t="n">
        <f aca="false">IF(O879=0,"",(G879-O879)/O879)</f>
        <v>0.0793199345590124</v>
      </c>
      <c r="Q879" s="5" t="s">
        <v>26</v>
      </c>
      <c r="R879" s="5" t="s">
        <v>27</v>
      </c>
    </row>
    <row r="880" customFormat="false" ht="15" hidden="false" customHeight="true" outlineLevel="0" collapsed="false">
      <c r="A880" s="5" t="s">
        <v>904</v>
      </c>
      <c r="B880" s="6" t="n">
        <v>9587534833.11</v>
      </c>
      <c r="C880" s="6" t="n">
        <v>24137312.62</v>
      </c>
      <c r="D880" s="6" t="n">
        <v>9611672145.73</v>
      </c>
      <c r="E880" s="6" t="n">
        <v>3556318.69</v>
      </c>
      <c r="F880" s="6" t="n">
        <v>63210.32</v>
      </c>
      <c r="G880" s="6" t="n">
        <f aca="false">E880+F880</f>
        <v>3619529.01</v>
      </c>
      <c r="H880" s="7" t="n">
        <f aca="false">IF(D880=0,0,C880/D880)</f>
        <v>0.00251125009821762</v>
      </c>
      <c r="I880" s="7" t="n">
        <f aca="false">IF(D880=0,0,B880/D880)</f>
        <v>0.997488749901783</v>
      </c>
      <c r="J880" s="6" t="n">
        <f aca="false">E880*H880</f>
        <v>8930.80565955565</v>
      </c>
      <c r="K880" s="6" t="n">
        <f aca="false">E880*I880</f>
        <v>3547387.88434044</v>
      </c>
      <c r="L880" s="6" t="n">
        <v>17816.87</v>
      </c>
      <c r="M880" s="6" t="n">
        <v>3538501.83</v>
      </c>
      <c r="N880" s="6" t="n">
        <v>2858078</v>
      </c>
      <c r="O880" s="6" t="n">
        <v>3238512</v>
      </c>
      <c r="P880" s="7" t="n">
        <f aca="false">IF(O880=0,"",(G880-O880)/O880)</f>
        <v>0.117651875305696</v>
      </c>
      <c r="Q880" s="5" t="s">
        <v>26</v>
      </c>
      <c r="R880" s="5" t="s">
        <v>27</v>
      </c>
    </row>
    <row r="881" customFormat="false" ht="15" hidden="false" customHeight="true" outlineLevel="0" collapsed="false">
      <c r="A881" s="5" t="s">
        <v>905</v>
      </c>
      <c r="B881" s="6" t="n">
        <v>16329985172.88</v>
      </c>
      <c r="C881" s="6" t="n">
        <v>21893627.97</v>
      </c>
      <c r="D881" s="6" t="n">
        <v>16351878800.85</v>
      </c>
      <c r="E881" s="6" t="n">
        <v>6050195.16</v>
      </c>
      <c r="F881" s="6" t="n">
        <v>57511.99</v>
      </c>
      <c r="G881" s="6" t="n">
        <f aca="false">E881+F881</f>
        <v>6107707.15</v>
      </c>
      <c r="H881" s="7" t="n">
        <f aca="false">IF(D881=0,0,C881/D881)</f>
        <v>0.00133890595916488</v>
      </c>
      <c r="I881" s="7" t="n">
        <f aca="false">IF(D881=0,0,B881/D881)</f>
        <v>0.998661094040835</v>
      </c>
      <c r="J881" s="6" t="n">
        <f aca="false">E881*H881</f>
        <v>8100.64235383454</v>
      </c>
      <c r="K881" s="6" t="n">
        <f aca="false">E881*I881</f>
        <v>6042094.51764617</v>
      </c>
      <c r="L881" s="6" t="n">
        <v>16179.62</v>
      </c>
      <c r="M881" s="6" t="n">
        <v>6034015.53</v>
      </c>
      <c r="N881" s="6" t="n">
        <v>4639586</v>
      </c>
      <c r="O881" s="6" t="n">
        <v>5160670</v>
      </c>
      <c r="P881" s="7" t="n">
        <f aca="false">IF(O881=0,"",(G881-O881)/O881)</f>
        <v>0.183510503481137</v>
      </c>
      <c r="Q881" s="5" t="s">
        <v>26</v>
      </c>
      <c r="R881" s="5" t="s">
        <v>27</v>
      </c>
    </row>
    <row r="882" customFormat="false" ht="15" hidden="false" customHeight="true" outlineLevel="0" collapsed="false">
      <c r="A882" s="5" t="s">
        <v>906</v>
      </c>
      <c r="B882" s="6" t="n">
        <v>10693663591.49</v>
      </c>
      <c r="C882" s="6" t="n">
        <v>20602638.16</v>
      </c>
      <c r="D882" s="6" t="n">
        <v>10714266229.65</v>
      </c>
      <c r="E882" s="6" t="n">
        <v>3964278.5</v>
      </c>
      <c r="F882" s="6" t="n">
        <v>36961.85</v>
      </c>
      <c r="G882" s="6" t="n">
        <f aca="false">E882+F882</f>
        <v>4001240.35</v>
      </c>
      <c r="H882" s="7" t="n">
        <f aca="false">IF(D882=0,0,C882/D882)</f>
        <v>0.0019229163918837</v>
      </c>
      <c r="I882" s="7" t="n">
        <f aca="false">IF(D882=0,0,B882/D882)</f>
        <v>0.998077083608116</v>
      </c>
      <c r="J882" s="6" t="n">
        <f aca="false">E882*H882</f>
        <v>7622.97610964214</v>
      </c>
      <c r="K882" s="6" t="n">
        <f aca="false">E882*I882</f>
        <v>3956655.52389036</v>
      </c>
      <c r="L882" s="6" t="n">
        <v>15216.69</v>
      </c>
      <c r="M882" s="6" t="n">
        <v>3949061.81</v>
      </c>
      <c r="N882" s="6" t="n">
        <v>2772963</v>
      </c>
      <c r="O882" s="6" t="n">
        <v>3099440</v>
      </c>
      <c r="P882" s="7" t="n">
        <f aca="false">IF(O882=0,"",(G882-O882)/O882)</f>
        <v>0.290955898484888</v>
      </c>
      <c r="Q882" s="5" t="s">
        <v>26</v>
      </c>
      <c r="R882" s="5" t="s">
        <v>27</v>
      </c>
    </row>
    <row r="883" customFormat="false" ht="15" hidden="false" customHeight="true" outlineLevel="0" collapsed="false">
      <c r="A883" s="5" t="s">
        <v>907</v>
      </c>
      <c r="B883" s="6" t="n">
        <v>11412829823.54</v>
      </c>
      <c r="C883" s="6" t="n">
        <v>19139743.64</v>
      </c>
      <c r="D883" s="6" t="n">
        <v>11431969567.18</v>
      </c>
      <c r="E883" s="6" t="n">
        <v>4229828.74</v>
      </c>
      <c r="F883" s="6" t="n">
        <v>38640.69</v>
      </c>
      <c r="G883" s="6" t="n">
        <f aca="false">E883+F883</f>
        <v>4268469.43</v>
      </c>
      <c r="H883" s="7" t="n">
        <f aca="false">IF(D883=0,0,C883/D883)</f>
        <v>0.00167422975783178</v>
      </c>
      <c r="I883" s="7" t="n">
        <f aca="false">IF(D883=0,0,B883/D883)</f>
        <v>0.998325770242168</v>
      </c>
      <c r="J883" s="6" t="n">
        <f aca="false">E883*H883</f>
        <v>7081.70514704009</v>
      </c>
      <c r="K883" s="6" t="n">
        <f aca="false">E883*I883</f>
        <v>4222747.03485296</v>
      </c>
      <c r="L883" s="6" t="n">
        <v>14139.74</v>
      </c>
      <c r="M883" s="6" t="n">
        <v>4215689</v>
      </c>
      <c r="N883" s="6" t="n">
        <v>3485897</v>
      </c>
      <c r="O883" s="6" t="n">
        <v>3904551</v>
      </c>
      <c r="P883" s="7" t="n">
        <f aca="false">IF(O883=0,"",(G883-O883)/O883)</f>
        <v>0.0932036564511517</v>
      </c>
      <c r="Q883" s="5" t="s">
        <v>26</v>
      </c>
      <c r="R883" s="5" t="s">
        <v>27</v>
      </c>
    </row>
    <row r="884" customFormat="false" ht="15" hidden="false" customHeight="true" outlineLevel="0" collapsed="false">
      <c r="A884" s="5" t="s">
        <v>908</v>
      </c>
      <c r="B884" s="6" t="n">
        <v>12042340690.94</v>
      </c>
      <c r="C884" s="6" t="n">
        <v>15100795.48</v>
      </c>
      <c r="D884" s="6" t="n">
        <v>12057441486.42</v>
      </c>
      <c r="E884" s="6" t="n">
        <v>4461253.35</v>
      </c>
      <c r="F884" s="6" t="n">
        <v>71699.84</v>
      </c>
      <c r="G884" s="6" t="n">
        <f aca="false">E884+F884</f>
        <v>4532953.19</v>
      </c>
      <c r="H884" s="7" t="n">
        <f aca="false">IF(D884=0,0,C884/D884)</f>
        <v>0.00125240462472969</v>
      </c>
      <c r="I884" s="7" t="n">
        <f aca="false">IF(D884=0,0,B884/D884)</f>
        <v>0.99874759537527</v>
      </c>
      <c r="J884" s="6" t="n">
        <f aca="false">E884*H884</f>
        <v>5587.29432763081</v>
      </c>
      <c r="K884" s="6" t="n">
        <f aca="false">E884*I884</f>
        <v>4455666.05567237</v>
      </c>
      <c r="L884" s="6" t="n">
        <v>11160.61</v>
      </c>
      <c r="M884" s="6" t="n">
        <v>4450092.74</v>
      </c>
      <c r="N884" s="6" t="n">
        <v>3651550</v>
      </c>
      <c r="O884" s="6" t="n">
        <v>4131814</v>
      </c>
      <c r="P884" s="7" t="n">
        <f aca="false">IF(O884=0,"",(G884-O884)/O884)</f>
        <v>0.0970854907795945</v>
      </c>
      <c r="Q884" s="5" t="s">
        <v>26</v>
      </c>
      <c r="R884" s="5" t="s">
        <v>27</v>
      </c>
    </row>
    <row r="885" customFormat="false" ht="15" hidden="false" customHeight="true" outlineLevel="0" collapsed="false">
      <c r="A885" s="5" t="s">
        <v>909</v>
      </c>
      <c r="B885" s="6" t="n">
        <v>3455398197.36</v>
      </c>
      <c r="C885" s="6" t="n">
        <v>6243638.83</v>
      </c>
      <c r="D885" s="6" t="n">
        <v>3461641836.19</v>
      </c>
      <c r="E885" s="6" t="n">
        <v>1280807.48</v>
      </c>
      <c r="F885" s="6" t="n">
        <v>17441.52</v>
      </c>
      <c r="G885" s="6" t="n">
        <f aca="false">E885+F885</f>
        <v>1298249</v>
      </c>
      <c r="H885" s="7" t="n">
        <f aca="false">IF(D885=0,0,C885/D885)</f>
        <v>0.00180366401998191</v>
      </c>
      <c r="I885" s="7" t="n">
        <f aca="false">IF(D885=0,0,B885/D885)</f>
        <v>0.998196335980018</v>
      </c>
      <c r="J885" s="6" t="n">
        <f aca="false">E885*H885</f>
        <v>2310.14636819969</v>
      </c>
      <c r="K885" s="6" t="n">
        <f aca="false">E885*I885</f>
        <v>1278497.3336318</v>
      </c>
      <c r="L885" s="6" t="n">
        <v>4611.97</v>
      </c>
      <c r="M885" s="6" t="n">
        <v>1276195.51</v>
      </c>
      <c r="N885" s="6" t="n">
        <v>1290709</v>
      </c>
      <c r="O885" s="6" t="n">
        <v>1503848</v>
      </c>
      <c r="P885" s="7" t="n">
        <f aca="false">IF(O885=0,"",(G885-O885)/O885)</f>
        <v>-0.136715279735718</v>
      </c>
      <c r="Q885" s="5" t="s">
        <v>26</v>
      </c>
      <c r="R885" s="5" t="s">
        <v>27</v>
      </c>
    </row>
    <row r="886" customFormat="false" ht="15" hidden="false" customHeight="true" outlineLevel="0" collapsed="false">
      <c r="A886" s="5" t="s">
        <v>910</v>
      </c>
      <c r="B886" s="6" t="n">
        <v>5239254970.26</v>
      </c>
      <c r="C886" s="6" t="n">
        <v>7838676.35</v>
      </c>
      <c r="D886" s="6" t="n">
        <v>5247093646.62</v>
      </c>
      <c r="E886" s="6" t="n">
        <v>1941424.65</v>
      </c>
      <c r="F886" s="6" t="n">
        <v>16433.95</v>
      </c>
      <c r="G886" s="6" t="n">
        <f aca="false">E886+F886</f>
        <v>1957858.6</v>
      </c>
      <c r="H886" s="7" t="n">
        <f aca="false">IF(D886=0,0,C886/D886)</f>
        <v>0.00149390822385063</v>
      </c>
      <c r="I886" s="7" t="n">
        <f aca="false">IF(D886=0,0,B886/D886)</f>
        <v>0.998506091774244</v>
      </c>
      <c r="J886" s="6" t="n">
        <f aca="false">E886*H886</f>
        <v>2900.31025062133</v>
      </c>
      <c r="K886" s="6" t="n">
        <f aca="false">E886*I886</f>
        <v>1938524.33974568</v>
      </c>
      <c r="L886" s="6" t="n">
        <v>5791.97</v>
      </c>
      <c r="M886" s="6" t="n">
        <v>1935632.68</v>
      </c>
      <c r="N886" s="6" t="n">
        <v>1902682</v>
      </c>
      <c r="O886" s="6" t="n">
        <v>2159223</v>
      </c>
      <c r="P886" s="7" t="n">
        <f aca="false">IF(O886=0,"",(G886-O886)/O886)</f>
        <v>-0.0932578061645324</v>
      </c>
      <c r="Q886" s="5" t="s">
        <v>26</v>
      </c>
      <c r="R886" s="5" t="s">
        <v>27</v>
      </c>
    </row>
    <row r="887" customFormat="false" ht="15" hidden="false" customHeight="true" outlineLevel="0" collapsed="false">
      <c r="A887" s="5" t="s">
        <v>911</v>
      </c>
      <c r="B887" s="6" t="n">
        <v>8312329683.03</v>
      </c>
      <c r="C887" s="6" t="n">
        <v>10597513.03</v>
      </c>
      <c r="D887" s="6" t="n">
        <v>8322927196.05</v>
      </c>
      <c r="E887" s="6" t="n">
        <v>3079483.06</v>
      </c>
      <c r="F887" s="6" t="n">
        <v>37078.69</v>
      </c>
      <c r="G887" s="6" t="n">
        <f aca="false">E887+F887</f>
        <v>3116561.75</v>
      </c>
      <c r="H887" s="7" t="n">
        <f aca="false">IF(D887=0,0,C887/D887)</f>
        <v>0.00127329156922453</v>
      </c>
      <c r="I887" s="7" t="n">
        <f aca="false">IF(D887=0,0,B887/D887)</f>
        <v>0.998726708431977</v>
      </c>
      <c r="J887" s="6" t="n">
        <f aca="false">E887*H887</f>
        <v>3921.07981786775</v>
      </c>
      <c r="K887" s="6" t="n">
        <f aca="false">E887*I887</f>
        <v>3075561.98018583</v>
      </c>
      <c r="L887" s="6" t="n">
        <v>7832.19</v>
      </c>
      <c r="M887" s="6" t="n">
        <v>3071650.88</v>
      </c>
      <c r="N887" s="6" t="n">
        <v>2904377</v>
      </c>
      <c r="O887" s="6" t="n">
        <v>3228944</v>
      </c>
      <c r="P887" s="7" t="n">
        <f aca="false">IF(O887=0,"",(G887-O887)/O887)</f>
        <v>-0.0348046451099802</v>
      </c>
      <c r="Q887" s="5" t="s">
        <v>26</v>
      </c>
      <c r="R887" s="5" t="s">
        <v>27</v>
      </c>
    </row>
    <row r="888" customFormat="false" ht="15" hidden="false" customHeight="true" outlineLevel="0" collapsed="false">
      <c r="A888" s="5" t="s">
        <v>912</v>
      </c>
      <c r="B888" s="6" t="n">
        <v>14602505766.97</v>
      </c>
      <c r="C888" s="6" t="n">
        <v>23304373.19</v>
      </c>
      <c r="D888" s="6" t="n">
        <v>14625810140.15</v>
      </c>
      <c r="E888" s="6" t="n">
        <v>5411549.75</v>
      </c>
      <c r="F888" s="6" t="n">
        <v>32199.18</v>
      </c>
      <c r="G888" s="6" t="n">
        <f aca="false">E888+F888</f>
        <v>5443748.93</v>
      </c>
      <c r="H888" s="7" t="n">
        <f aca="false">IF(D888=0,0,C888/D888)</f>
        <v>0.00159337315107257</v>
      </c>
      <c r="I888" s="7" t="n">
        <f aca="false">IF(D888=0,0,B888/D888)</f>
        <v>0.998406626849611</v>
      </c>
      <c r="J888" s="6" t="n">
        <f aca="false">E888*H888</f>
        <v>8622.6180773435</v>
      </c>
      <c r="K888" s="6" t="n">
        <f aca="false">E888*I888</f>
        <v>5402927.13192636</v>
      </c>
      <c r="L888" s="6" t="n">
        <v>17217.8</v>
      </c>
      <c r="M888" s="6" t="n">
        <v>5394331.95</v>
      </c>
      <c r="N888" s="6" t="n">
        <v>4929190</v>
      </c>
      <c r="O888" s="6" t="n">
        <v>5418664</v>
      </c>
      <c r="P888" s="7" t="n">
        <f aca="false">IF(O888=0,"",(G888-O888)/O888)</f>
        <v>0.00462935697802995</v>
      </c>
      <c r="Q888" s="5" t="s">
        <v>26</v>
      </c>
      <c r="R888" s="5" t="s">
        <v>27</v>
      </c>
    </row>
    <row r="889" customFormat="false" ht="15" hidden="false" customHeight="true" outlineLevel="0" collapsed="false">
      <c r="A889" s="5" t="s">
        <v>913</v>
      </c>
      <c r="B889" s="6" t="n">
        <v>11713117815.67</v>
      </c>
      <c r="C889" s="6" t="n">
        <v>36702796.55</v>
      </c>
      <c r="D889" s="6" t="n">
        <v>11749820612.22</v>
      </c>
      <c r="E889" s="6" t="n">
        <v>4347433.63</v>
      </c>
      <c r="F889" s="6" t="n">
        <v>39432.8</v>
      </c>
      <c r="G889" s="6" t="n">
        <f aca="false">E889+F889</f>
        <v>4386866.43</v>
      </c>
      <c r="H889" s="7" t="n">
        <f aca="false">IF(D889=0,0,C889/D889)</f>
        <v>0.00312368994908982</v>
      </c>
      <c r="I889" s="7" t="n">
        <f aca="false">IF(D889=0,0,B889/D889)</f>
        <v>0.99687631005091</v>
      </c>
      <c r="J889" s="6" t="n">
        <f aca="false">E889*H889</f>
        <v>13580.0347343661</v>
      </c>
      <c r="K889" s="6" t="n">
        <f aca="false">E889*I889</f>
        <v>4333853.59526563</v>
      </c>
      <c r="L889" s="6" t="n">
        <v>27075.49</v>
      </c>
      <c r="M889" s="6" t="n">
        <v>4320358.13</v>
      </c>
      <c r="N889" s="6" t="n">
        <v>3925851</v>
      </c>
      <c r="O889" s="6" t="n">
        <v>4258544</v>
      </c>
      <c r="P889" s="7" t="n">
        <f aca="false">IF(O889=0,"",(G889-O889)/O889)</f>
        <v>0.0301329351064589</v>
      </c>
      <c r="Q889" s="5" t="s">
        <v>26</v>
      </c>
      <c r="R889" s="5" t="s">
        <v>27</v>
      </c>
    </row>
    <row r="890" customFormat="false" ht="15" hidden="false" customHeight="true" outlineLevel="0" collapsed="false">
      <c r="A890" s="5" t="s">
        <v>914</v>
      </c>
      <c r="B890" s="6" t="n">
        <v>8724893109.04</v>
      </c>
      <c r="C890" s="6" t="n">
        <v>30181936.88</v>
      </c>
      <c r="D890" s="6" t="n">
        <v>8755075045.92</v>
      </c>
      <c r="E890" s="6" t="n">
        <v>3239377.77</v>
      </c>
      <c r="F890" s="6" t="n">
        <v>129318.52</v>
      </c>
      <c r="G890" s="6" t="n">
        <f aca="false">E890+F890</f>
        <v>3368696.29</v>
      </c>
      <c r="H890" s="7" t="n">
        <f aca="false">IF(D890=0,0,C890/D890)</f>
        <v>0.00344736472522474</v>
      </c>
      <c r="I890" s="7" t="n">
        <f aca="false">IF(D890=0,0,B890/D890)</f>
        <v>0.996552635274775</v>
      </c>
      <c r="J890" s="6" t="n">
        <f aca="false">E890*H890</f>
        <v>11167.3166559752</v>
      </c>
      <c r="K890" s="6" t="n">
        <f aca="false">E890*I890</f>
        <v>3228210.45334403</v>
      </c>
      <c r="L890" s="6" t="n">
        <v>22257.9</v>
      </c>
      <c r="M890" s="6" t="n">
        <v>3217119.86</v>
      </c>
      <c r="N890" s="6" t="n">
        <v>3018218</v>
      </c>
      <c r="O890" s="6" t="n">
        <v>3328633</v>
      </c>
      <c r="P890" s="7" t="n">
        <f aca="false">IF(O890=0,"",(G890-O890)/O890)</f>
        <v>0.0120359589056529</v>
      </c>
      <c r="Q890" s="5" t="s">
        <v>26</v>
      </c>
      <c r="R890" s="5" t="s">
        <v>27</v>
      </c>
    </row>
    <row r="891" customFormat="false" ht="15" hidden="false" customHeight="true" outlineLevel="0" collapsed="false">
      <c r="A891" s="5" t="s">
        <v>915</v>
      </c>
      <c r="B891" s="6" t="n">
        <v>6750264123.22</v>
      </c>
      <c r="C891" s="6" t="n">
        <v>27291719.56</v>
      </c>
      <c r="D891" s="6" t="n">
        <v>6777555842.78</v>
      </c>
      <c r="E891" s="6" t="n">
        <v>2507695.66</v>
      </c>
      <c r="F891" s="6" t="n">
        <v>19003.09</v>
      </c>
      <c r="G891" s="6" t="n">
        <f aca="false">E891+F891</f>
        <v>2526698.75</v>
      </c>
      <c r="H891" s="7" t="n">
        <f aca="false">IF(D891=0,0,C891/D891)</f>
        <v>0.00402677900309347</v>
      </c>
      <c r="I891" s="7" t="n">
        <f aca="false">IF(D891=0,0,B891/D891)</f>
        <v>0.995973220996907</v>
      </c>
      <c r="J891" s="6" t="n">
        <f aca="false">E891*H891</f>
        <v>10097.9362298366</v>
      </c>
      <c r="K891" s="6" t="n">
        <f aca="false">E891*I891</f>
        <v>2497597.72377016</v>
      </c>
      <c r="L891" s="6" t="n">
        <v>20114.87</v>
      </c>
      <c r="M891" s="6" t="n">
        <v>2487580.79</v>
      </c>
      <c r="N891" s="6" t="n">
        <v>2399438</v>
      </c>
      <c r="O891" s="6" t="n">
        <v>2697280</v>
      </c>
      <c r="P891" s="7" t="n">
        <f aca="false">IF(O891=0,"",(G891-O891)/O891)</f>
        <v>-0.0632419511507889</v>
      </c>
      <c r="Q891" s="5" t="s">
        <v>26</v>
      </c>
      <c r="R891" s="5" t="s">
        <v>27</v>
      </c>
    </row>
    <row r="892" customFormat="false" ht="15" hidden="false" customHeight="true" outlineLevel="0" collapsed="false">
      <c r="A892" s="5" t="s">
        <v>916</v>
      </c>
      <c r="B892" s="6" t="n">
        <v>3195465059.06</v>
      </c>
      <c r="C892" s="6" t="n">
        <v>49065137.02</v>
      </c>
      <c r="D892" s="6" t="n">
        <v>3244530196.09</v>
      </c>
      <c r="E892" s="6" t="n">
        <v>1200476.17</v>
      </c>
      <c r="F892" s="6" t="n">
        <v>22754.33</v>
      </c>
      <c r="G892" s="6" t="n">
        <f aca="false">E892+F892</f>
        <v>1223230.5</v>
      </c>
      <c r="H892" s="7" t="n">
        <f aca="false">IF(D892=0,0,C892/D892)</f>
        <v>0.0151224165147634</v>
      </c>
      <c r="I892" s="7" t="n">
        <f aca="false">IF(D892=0,0,B892/D892)</f>
        <v>0.984877583482154</v>
      </c>
      <c r="J892" s="6" t="n">
        <f aca="false">E892*H892</f>
        <v>18154.1006587879</v>
      </c>
      <c r="K892" s="6" t="n">
        <f aca="false">E892*I892</f>
        <v>1182322.06933751</v>
      </c>
      <c r="L892" s="6" t="n">
        <v>35767.31</v>
      </c>
      <c r="M892" s="6" t="n">
        <v>1164708.86</v>
      </c>
      <c r="N892" s="6" t="n">
        <v>1257151</v>
      </c>
      <c r="O892" s="6" t="n">
        <v>1445483</v>
      </c>
      <c r="P892" s="7" t="n">
        <f aca="false">IF(O892=0,"",(G892-O892)/O892)</f>
        <v>-0.153756564414801</v>
      </c>
      <c r="Q892" s="5" t="s">
        <v>26</v>
      </c>
      <c r="R892" s="5" t="s">
        <v>27</v>
      </c>
    </row>
    <row r="893" customFormat="false" ht="15" hidden="false" customHeight="true" outlineLevel="0" collapsed="false">
      <c r="A893" s="5" t="s">
        <v>917</v>
      </c>
      <c r="B893" s="6" t="n">
        <v>6150301937.43</v>
      </c>
      <c r="C893" s="6" t="n">
        <v>47095459.86</v>
      </c>
      <c r="D893" s="6" t="n">
        <v>6197397397.29</v>
      </c>
      <c r="E893" s="6" t="n">
        <v>2293037.04</v>
      </c>
      <c r="F893" s="6" t="n">
        <v>41886.12</v>
      </c>
      <c r="G893" s="6" t="n">
        <f aca="false">E893+F893</f>
        <v>2334923.16</v>
      </c>
      <c r="H893" s="7" t="n">
        <f aca="false">IF(D893=0,0,C893/D893)</f>
        <v>0.00759923187765786</v>
      </c>
      <c r="I893" s="7" t="n">
        <f aca="false">IF(D893=0,0,B893/D893)</f>
        <v>0.992400768122342</v>
      </c>
      <c r="J893" s="6" t="n">
        <f aca="false">E893*H893</f>
        <v>17425.3201710182</v>
      </c>
      <c r="K893" s="6" t="n">
        <f aca="false">E893*I893</f>
        <v>2275611.71982898</v>
      </c>
      <c r="L893" s="6" t="n">
        <v>34587.8</v>
      </c>
      <c r="M893" s="6" t="n">
        <v>2258449.24</v>
      </c>
      <c r="N893" s="6" t="n">
        <v>2370893</v>
      </c>
      <c r="O893" s="6" t="n">
        <v>2683654</v>
      </c>
      <c r="P893" s="7" t="n">
        <f aca="false">IF(O893=0,"",(G893-O893)/O893)</f>
        <v>-0.129946274743316</v>
      </c>
      <c r="Q893" s="5" t="s">
        <v>26</v>
      </c>
      <c r="R893" s="5" t="s">
        <v>27</v>
      </c>
    </row>
    <row r="894" customFormat="false" ht="15" hidden="false" customHeight="true" outlineLevel="0" collapsed="false">
      <c r="A894" s="5" t="s">
        <v>918</v>
      </c>
      <c r="B894" s="6" t="n">
        <v>8295248015.44</v>
      </c>
      <c r="C894" s="6" t="n">
        <v>65432776.41</v>
      </c>
      <c r="D894" s="6" t="n">
        <v>8360680791.85</v>
      </c>
      <c r="E894" s="6" t="n">
        <v>3093451.89</v>
      </c>
      <c r="F894" s="6" t="n">
        <v>63850.01</v>
      </c>
      <c r="G894" s="6" t="n">
        <f aca="false">E894+F894</f>
        <v>3157301.9</v>
      </c>
      <c r="H894" s="7" t="n">
        <f aca="false">IF(D894=0,0,C894/D894)</f>
        <v>0.00782624980417671</v>
      </c>
      <c r="I894" s="7" t="n">
        <f aca="false">IF(D894=0,0,B894/D894)</f>
        <v>0.992173750195823</v>
      </c>
      <c r="J894" s="6" t="n">
        <f aca="false">E894*H894</f>
        <v>24210.1272483426</v>
      </c>
      <c r="K894" s="6" t="n">
        <f aca="false">E894*I894</f>
        <v>3069241.76275166</v>
      </c>
      <c r="L894" s="6" t="n">
        <v>48044.25</v>
      </c>
      <c r="M894" s="6" t="n">
        <v>3045407.64</v>
      </c>
      <c r="N894" s="6" t="n">
        <v>3145144</v>
      </c>
      <c r="O894" s="6" t="n">
        <v>3553066</v>
      </c>
      <c r="P894" s="7" t="n">
        <f aca="false">IF(O894=0,"",(G894-O894)/O894)</f>
        <v>-0.111386644661259</v>
      </c>
      <c r="Q894" s="5" t="s">
        <v>26</v>
      </c>
      <c r="R894" s="5" t="s">
        <v>27</v>
      </c>
    </row>
    <row r="895" customFormat="false" ht="15" hidden="false" customHeight="true" outlineLevel="0" collapsed="false">
      <c r="A895" s="5" t="s">
        <v>919</v>
      </c>
      <c r="B895" s="6" t="n">
        <v>9675678919.31</v>
      </c>
      <c r="C895" s="6" t="n">
        <v>80509374.28</v>
      </c>
      <c r="D895" s="6" t="n">
        <v>9756188293.59</v>
      </c>
      <c r="E895" s="6" t="n">
        <v>3609789.67</v>
      </c>
      <c r="F895" s="6" t="n">
        <v>47930.5</v>
      </c>
      <c r="G895" s="6" t="n">
        <f aca="false">E895+F895</f>
        <v>3657720.17</v>
      </c>
      <c r="H895" s="7" t="n">
        <f aca="false">IF(D895=0,0,C895/D895)</f>
        <v>0.00825213411808546</v>
      </c>
      <c r="I895" s="7" t="n">
        <f aca="false">IF(D895=0,0,B895/D895)</f>
        <v>0.991747865881914</v>
      </c>
      <c r="J895" s="6" t="n">
        <f aca="false">E895*H895</f>
        <v>29788.4684949195</v>
      </c>
      <c r="K895" s="6" t="n">
        <f aca="false">E895*I895</f>
        <v>3580001.20150508</v>
      </c>
      <c r="L895" s="6" t="n">
        <v>59089.32</v>
      </c>
      <c r="M895" s="6" t="n">
        <v>3550700.34</v>
      </c>
      <c r="N895" s="6" t="n">
        <v>3553237</v>
      </c>
      <c r="O895" s="6" t="n">
        <v>4018941</v>
      </c>
      <c r="P895" s="7" t="n">
        <f aca="false">IF(O895=0,"",(G895-O895)/O895)</f>
        <v>-0.0898796050999505</v>
      </c>
      <c r="Q895" s="5" t="s">
        <v>26</v>
      </c>
      <c r="R895" s="5" t="s">
        <v>27</v>
      </c>
    </row>
    <row r="896" customFormat="false" ht="15" hidden="false" customHeight="true" outlineLevel="0" collapsed="false">
      <c r="A896" s="5" t="s">
        <v>920</v>
      </c>
      <c r="B896" s="6" t="n">
        <v>10872804255.18</v>
      </c>
      <c r="C896" s="6" t="n">
        <v>94164067.49</v>
      </c>
      <c r="D896" s="6" t="n">
        <v>10966968322.67</v>
      </c>
      <c r="E896" s="6" t="n">
        <v>4057778.28</v>
      </c>
      <c r="F896" s="6" t="n">
        <v>75547.3</v>
      </c>
      <c r="G896" s="6" t="n">
        <f aca="false">E896+F896</f>
        <v>4133325.58</v>
      </c>
      <c r="H896" s="7" t="n">
        <f aca="false">IF(D896=0,0,C896/D896)</f>
        <v>0.00858615295672478</v>
      </c>
      <c r="I896" s="7" t="n">
        <f aca="false">IF(D896=0,0,B896/D896)</f>
        <v>0.991413847043275</v>
      </c>
      <c r="J896" s="6" t="n">
        <f aca="false">E896*H896</f>
        <v>34840.7049765556</v>
      </c>
      <c r="K896" s="6" t="n">
        <f aca="false">E896*I896</f>
        <v>4022937.57502344</v>
      </c>
      <c r="L896" s="6" t="n">
        <v>69088.21</v>
      </c>
      <c r="M896" s="6" t="n">
        <v>3988690.07</v>
      </c>
      <c r="N896" s="6" t="n">
        <v>3824629</v>
      </c>
      <c r="O896" s="6" t="n">
        <v>4263268</v>
      </c>
      <c r="P896" s="7" t="n">
        <f aca="false">IF(O896=0,"",(G896-O896)/O896)</f>
        <v>-0.0304795335409363</v>
      </c>
      <c r="Q896" s="5" t="s">
        <v>26</v>
      </c>
      <c r="R896" s="5" t="s">
        <v>27</v>
      </c>
    </row>
    <row r="897" customFormat="false" ht="15" hidden="false" customHeight="true" outlineLevel="0" collapsed="false">
      <c r="A897" s="5" t="s">
        <v>921</v>
      </c>
      <c r="B897" s="6" t="n">
        <v>12206281208.31</v>
      </c>
      <c r="C897" s="6" t="n">
        <v>116186101.46</v>
      </c>
      <c r="D897" s="6" t="n">
        <v>12322467309.76</v>
      </c>
      <c r="E897" s="6" t="n">
        <v>4559312.9</v>
      </c>
      <c r="F897" s="6" t="n">
        <v>92117.77</v>
      </c>
      <c r="G897" s="6" t="n">
        <f aca="false">E897+F897</f>
        <v>4651430.67</v>
      </c>
      <c r="H897" s="7" t="n">
        <f aca="false">IF(D897=0,0,C897/D897)</f>
        <v>0.00942880176017792</v>
      </c>
      <c r="I897" s="7" t="n">
        <f aca="false">IF(D897=0,0,B897/D897)</f>
        <v>0.990571198240634</v>
      </c>
      <c r="J897" s="6" t="n">
        <f aca="false">E897*H897</f>
        <v>42988.8574967219</v>
      </c>
      <c r="K897" s="6" t="n">
        <f aca="false">E897*I897</f>
        <v>4516324.04250698</v>
      </c>
      <c r="L897" s="6" t="n">
        <v>85174.62</v>
      </c>
      <c r="M897" s="6" t="n">
        <v>4474138.28</v>
      </c>
      <c r="N897" s="6" t="n">
        <v>4447207</v>
      </c>
      <c r="O897" s="6" t="n">
        <v>4965438</v>
      </c>
      <c r="P897" s="7" t="n">
        <f aca="false">IF(O897=0,"",(G897-O897)/O897)</f>
        <v>-0.0632385964742687</v>
      </c>
      <c r="Q897" s="5" t="s">
        <v>26</v>
      </c>
      <c r="R897" s="5" t="s">
        <v>27</v>
      </c>
    </row>
    <row r="898" customFormat="false" ht="15" hidden="false" customHeight="true" outlineLevel="0" collapsed="false">
      <c r="A898" s="5" t="s">
        <v>922</v>
      </c>
      <c r="B898" s="6" t="n">
        <v>7103496025.92</v>
      </c>
      <c r="C898" s="6" t="n">
        <v>60153173.4</v>
      </c>
      <c r="D898" s="6" t="n">
        <v>7163649199.32</v>
      </c>
      <c r="E898" s="6" t="n">
        <v>2650550.2</v>
      </c>
      <c r="F898" s="6" t="n">
        <v>48289.95</v>
      </c>
      <c r="G898" s="6" t="n">
        <f aca="false">E898+F898</f>
        <v>2698840.15</v>
      </c>
      <c r="H898" s="7" t="n">
        <f aca="false">IF(D898=0,0,C898/D898)</f>
        <v>0.00839700154576385</v>
      </c>
      <c r="I898" s="7" t="n">
        <f aca="false">IF(D898=0,0,B898/D898)</f>
        <v>0.991602998454236</v>
      </c>
      <c r="J898" s="6" t="n">
        <f aca="false">E898*H898</f>
        <v>22256.6741265247</v>
      </c>
      <c r="K898" s="6" t="n">
        <f aca="false">E898*I898</f>
        <v>2628293.52587348</v>
      </c>
      <c r="L898" s="6" t="n">
        <v>44142.68</v>
      </c>
      <c r="M898" s="6" t="n">
        <v>2606407.52</v>
      </c>
      <c r="N898" s="6" t="n">
        <v>2637720</v>
      </c>
      <c r="O898" s="6" t="n">
        <v>2964158</v>
      </c>
      <c r="P898" s="7" t="n">
        <f aca="false">IF(O898=0,"",(G898-O898)/O898)</f>
        <v>-0.0895086732893455</v>
      </c>
      <c r="Q898" s="5" t="s">
        <v>26</v>
      </c>
      <c r="R898" s="5" t="s">
        <v>27</v>
      </c>
    </row>
    <row r="899" customFormat="false" ht="15" hidden="false" customHeight="true" outlineLevel="0" collapsed="false">
      <c r="A899" s="5" t="s">
        <v>923</v>
      </c>
      <c r="B899" s="6" t="n">
        <v>2887228047.64</v>
      </c>
      <c r="C899" s="6" t="n">
        <v>44938796.78</v>
      </c>
      <c r="D899" s="6" t="n">
        <v>2932166844.42</v>
      </c>
      <c r="E899" s="6" t="n">
        <v>1084901.73</v>
      </c>
      <c r="F899" s="6" t="n">
        <v>24214.69</v>
      </c>
      <c r="G899" s="6" t="n">
        <f aca="false">E899+F899</f>
        <v>1109116.42</v>
      </c>
      <c r="H899" s="7" t="n">
        <f aca="false">IF(D899=0,0,C899/D899)</f>
        <v>0.0153261390515754</v>
      </c>
      <c r="I899" s="7" t="n">
        <f aca="false">IF(D899=0,0,B899/D899)</f>
        <v>0.984673860948425</v>
      </c>
      <c r="J899" s="6" t="n">
        <f aca="false">E899*H899</f>
        <v>16627.3547712747</v>
      </c>
      <c r="K899" s="6" t="n">
        <f aca="false">E899*I899</f>
        <v>1068274.37522873</v>
      </c>
      <c r="L899" s="6" t="n">
        <v>32752.74</v>
      </c>
      <c r="M899" s="6" t="n">
        <v>1052149</v>
      </c>
      <c r="N899" s="6" t="n">
        <v>1163595</v>
      </c>
      <c r="O899" s="6" t="n">
        <v>1358289</v>
      </c>
      <c r="P899" s="7" t="n">
        <f aca="false">IF(O899=0,"",(G899-O899)/O899)</f>
        <v>-0.183445923511123</v>
      </c>
      <c r="Q899" s="5" t="s">
        <v>26</v>
      </c>
      <c r="R899" s="5" t="s">
        <v>27</v>
      </c>
    </row>
    <row r="900" customFormat="false" ht="15" hidden="false" customHeight="true" outlineLevel="0" collapsed="false">
      <c r="A900" s="5" t="s">
        <v>924</v>
      </c>
      <c r="B900" s="6" t="n">
        <v>4074309349.14</v>
      </c>
      <c r="C900" s="6" t="n">
        <v>32927392.56</v>
      </c>
      <c r="D900" s="6" t="n">
        <v>4107236741.71</v>
      </c>
      <c r="E900" s="6" t="n">
        <v>1519677.59</v>
      </c>
      <c r="F900" s="6" t="n">
        <v>25197.89</v>
      </c>
      <c r="G900" s="6" t="n">
        <f aca="false">E900+F900</f>
        <v>1544875.48</v>
      </c>
      <c r="H900" s="7" t="n">
        <f aca="false">IF(D900=0,0,C900/D900)</f>
        <v>0.00801692101787419</v>
      </c>
      <c r="I900" s="7" t="n">
        <f aca="false">IF(D900=0,0,B900/D900)</f>
        <v>0.991983078979691</v>
      </c>
      <c r="J900" s="6" t="n">
        <f aca="false">E900*H900</f>
        <v>12183.1352116634</v>
      </c>
      <c r="K900" s="6" t="n">
        <f aca="false">E900*I900</f>
        <v>1507494.45478464</v>
      </c>
      <c r="L900" s="6" t="n">
        <v>24172.48</v>
      </c>
      <c r="M900" s="6" t="n">
        <v>1495505.11</v>
      </c>
      <c r="N900" s="6" t="n">
        <v>1580548</v>
      </c>
      <c r="O900" s="6" t="n">
        <v>1820193</v>
      </c>
      <c r="P900" s="7" t="n">
        <f aca="false">IF(O900=0,"",(G900-O900)/O900)</f>
        <v>-0.151257322712482</v>
      </c>
      <c r="Q900" s="5" t="s">
        <v>26</v>
      </c>
      <c r="R900" s="5" t="s">
        <v>27</v>
      </c>
    </row>
    <row r="901" customFormat="false" ht="15" hidden="false" customHeight="true" outlineLevel="0" collapsed="false">
      <c r="A901" s="5" t="s">
        <v>925</v>
      </c>
      <c r="B901" s="6" t="n">
        <v>12463078980.92</v>
      </c>
      <c r="C901" s="6" t="n">
        <v>76756338.61</v>
      </c>
      <c r="D901" s="6" t="n">
        <v>12539835319.53</v>
      </c>
      <c r="E901" s="6" t="n">
        <v>4639739.07</v>
      </c>
      <c r="F901" s="6" t="n">
        <v>53952.08</v>
      </c>
      <c r="G901" s="6" t="n">
        <f aca="false">E901+F901</f>
        <v>4693691.15</v>
      </c>
      <c r="H901" s="7" t="n">
        <f aca="false">IF(D901=0,0,C901/D901)</f>
        <v>0.00612100052785038</v>
      </c>
      <c r="I901" s="7" t="n">
        <f aca="false">IF(D901=0,0,B901/D901)</f>
        <v>0.99387899947215</v>
      </c>
      <c r="J901" s="6" t="n">
        <f aca="false">E901*H901</f>
        <v>28399.845296558</v>
      </c>
      <c r="K901" s="6" t="n">
        <f aca="false">E901*I901</f>
        <v>4611339.22470344</v>
      </c>
      <c r="L901" s="6" t="n">
        <v>56454.13</v>
      </c>
      <c r="M901" s="6" t="n">
        <v>4583284.93</v>
      </c>
      <c r="N901" s="6" t="n">
        <v>4299210</v>
      </c>
      <c r="O901" s="6" t="n">
        <v>4823505</v>
      </c>
      <c r="P901" s="7" t="n">
        <f aca="false">IF(O901=0,"",(G901-O901)/O901)</f>
        <v>-0.0269127636438647</v>
      </c>
      <c r="Q901" s="5" t="s">
        <v>26</v>
      </c>
      <c r="R901" s="5" t="s">
        <v>27</v>
      </c>
    </row>
    <row r="902" customFormat="false" ht="15" hidden="false" customHeight="true" outlineLevel="0" collapsed="false">
      <c r="A902" s="5" t="s">
        <v>926</v>
      </c>
      <c r="B902" s="6" t="n">
        <v>18847553416.05</v>
      </c>
      <c r="C902" s="6" t="n">
        <v>77109245.05</v>
      </c>
      <c r="D902" s="6" t="n">
        <v>18924662661.09</v>
      </c>
      <c r="E902" s="6" t="n">
        <v>7002125.18</v>
      </c>
      <c r="F902" s="6" t="n">
        <v>101096.65</v>
      </c>
      <c r="G902" s="6" t="n">
        <f aca="false">E902+F902</f>
        <v>7103221.83</v>
      </c>
      <c r="H902" s="7" t="n">
        <f aca="false">IF(D902=0,0,C902/D902)</f>
        <v>0.00407453736063366</v>
      </c>
      <c r="I902" s="7" t="n">
        <f aca="false">IF(D902=0,0,B902/D902)</f>
        <v>0.995925462639895</v>
      </c>
      <c r="J902" s="6" t="n">
        <f aca="false">E902*H902</f>
        <v>28530.4206497437</v>
      </c>
      <c r="K902" s="6" t="n">
        <f aca="false">E902*I902</f>
        <v>6973594.75935396</v>
      </c>
      <c r="L902" s="6" t="n">
        <v>56829.29</v>
      </c>
      <c r="M902" s="6" t="n">
        <v>6945295.9</v>
      </c>
      <c r="N902" s="6" t="n">
        <v>6388273</v>
      </c>
      <c r="O902" s="6" t="n">
        <v>6995992</v>
      </c>
      <c r="P902" s="7" t="n">
        <f aca="false">IF(O902=0,"",(G902-O902)/O902)</f>
        <v>0.015327323130158</v>
      </c>
      <c r="Q902" s="5" t="s">
        <v>26</v>
      </c>
      <c r="R902" s="5" t="s">
        <v>27</v>
      </c>
    </row>
    <row r="903" customFormat="false" ht="15" hidden="false" customHeight="true" outlineLevel="0" collapsed="false">
      <c r="A903" s="5" t="s">
        <v>927</v>
      </c>
      <c r="B903" s="6" t="n">
        <v>8944776968.13</v>
      </c>
      <c r="C903" s="6" t="n">
        <v>74217407.93</v>
      </c>
      <c r="D903" s="6" t="n">
        <v>9018994376.05</v>
      </c>
      <c r="E903" s="6" t="n">
        <v>3337027.92</v>
      </c>
      <c r="F903" s="6" t="n">
        <v>40955.3</v>
      </c>
      <c r="G903" s="6" t="n">
        <f aca="false">E903+F903</f>
        <v>3377983.22</v>
      </c>
      <c r="H903" s="7" t="n">
        <f aca="false">IF(D903=0,0,C903/D903)</f>
        <v>0.00822901144356901</v>
      </c>
      <c r="I903" s="7" t="n">
        <f aca="false">IF(D903=0,0,B903/D903)</f>
        <v>0.99177098855754</v>
      </c>
      <c r="J903" s="6" t="n">
        <f aca="false">E903*H903</f>
        <v>27460.4409411893</v>
      </c>
      <c r="K903" s="6" t="n">
        <f aca="false">E903*I903</f>
        <v>3309567.47906251</v>
      </c>
      <c r="L903" s="6" t="n">
        <v>54472.63</v>
      </c>
      <c r="M903" s="6" t="n">
        <v>3282555.29</v>
      </c>
      <c r="N903" s="6" t="n">
        <v>3284604</v>
      </c>
      <c r="O903" s="6" t="n">
        <v>3679966</v>
      </c>
      <c r="P903" s="7" t="n">
        <f aca="false">IF(O903=0,"",(G903-O903)/O903)</f>
        <v>-0.0820612962184977</v>
      </c>
      <c r="Q903" s="5" t="s">
        <v>26</v>
      </c>
      <c r="R903" s="5" t="s">
        <v>27</v>
      </c>
    </row>
    <row r="904" customFormat="false" ht="15" hidden="false" customHeight="true" outlineLevel="0" collapsed="false">
      <c r="A904" s="5" t="s">
        <v>928</v>
      </c>
      <c r="B904" s="6" t="n">
        <v>9987597323.45</v>
      </c>
      <c r="C904" s="6" t="n">
        <v>72511086.72</v>
      </c>
      <c r="D904" s="6" t="n">
        <v>10060108410.17</v>
      </c>
      <c r="E904" s="6" t="n">
        <v>3722240.11</v>
      </c>
      <c r="F904" s="6" t="n">
        <v>33096.97</v>
      </c>
      <c r="G904" s="6" t="n">
        <f aca="false">E904+F904</f>
        <v>3755337.08</v>
      </c>
      <c r="H904" s="7" t="n">
        <f aca="false">IF(D904=0,0,C904/D904)</f>
        <v>0.00720778382931707</v>
      </c>
      <c r="I904" s="7" t="n">
        <f aca="false">IF(D904=0,0,B904/D904)</f>
        <v>0.992792216170683</v>
      </c>
      <c r="J904" s="6" t="n">
        <f aca="false">E904*H904</f>
        <v>26829.1020736934</v>
      </c>
      <c r="K904" s="6" t="n">
        <f aca="false">E904*I904</f>
        <v>3695411.00792631</v>
      </c>
      <c r="L904" s="6" t="n">
        <v>53274.22</v>
      </c>
      <c r="M904" s="6" t="n">
        <v>3668965.9</v>
      </c>
      <c r="N904" s="6" t="n">
        <v>3550102</v>
      </c>
      <c r="O904" s="6" t="n">
        <v>3991639</v>
      </c>
      <c r="P904" s="7" t="n">
        <f aca="false">IF(O904=0,"",(G904-O904)/O904)</f>
        <v>-0.0591992211720549</v>
      </c>
      <c r="Q904" s="5" t="s">
        <v>26</v>
      </c>
      <c r="R904" s="5" t="s">
        <v>27</v>
      </c>
    </row>
    <row r="905" customFormat="false" ht="15" hidden="false" customHeight="true" outlineLevel="0" collapsed="false">
      <c r="A905" s="5" t="s">
        <v>929</v>
      </c>
      <c r="B905" s="6" t="n">
        <v>11373813794.78</v>
      </c>
      <c r="C905" s="6" t="n">
        <v>86634638.03</v>
      </c>
      <c r="D905" s="6" t="n">
        <v>11460448432.81</v>
      </c>
      <c r="E905" s="6" t="n">
        <v>4240365.92</v>
      </c>
      <c r="F905" s="6" t="n">
        <v>50525.02</v>
      </c>
      <c r="G905" s="6" t="n">
        <f aca="false">E905+F905</f>
        <v>4290890.94</v>
      </c>
      <c r="H905" s="7" t="n">
        <f aca="false">IF(D905=0,0,C905/D905)</f>
        <v>0.00755944573529729</v>
      </c>
      <c r="I905" s="7" t="n">
        <f aca="false">IF(D905=0,0,B905/D905)</f>
        <v>0.992440554264703</v>
      </c>
      <c r="J905" s="6" t="n">
        <f aca="false">E905*H905</f>
        <v>32054.8160700439</v>
      </c>
      <c r="K905" s="6" t="n">
        <f aca="false">E905*I905</f>
        <v>4208311.10392996</v>
      </c>
      <c r="L905" s="6" t="n">
        <v>63628.63</v>
      </c>
      <c r="M905" s="6" t="n">
        <v>4176737.29</v>
      </c>
      <c r="N905" s="6" t="n">
        <v>3986639</v>
      </c>
      <c r="O905" s="6" t="n">
        <v>4406141</v>
      </c>
      <c r="P905" s="7" t="n">
        <f aca="false">IF(O905=0,"",(G905-O905)/O905)</f>
        <v>-0.0261566890392297</v>
      </c>
      <c r="Q905" s="5" t="s">
        <v>26</v>
      </c>
      <c r="R905" s="5" t="s">
        <v>27</v>
      </c>
    </row>
    <row r="906" customFormat="false" ht="15" hidden="false" customHeight="true" outlineLevel="0" collapsed="false">
      <c r="A906" s="5" t="s">
        <v>930</v>
      </c>
      <c r="B906" s="6" t="n">
        <v>5637152097.09</v>
      </c>
      <c r="C906" s="6" t="n">
        <v>17356871.91</v>
      </c>
      <c r="D906" s="6" t="n">
        <v>5654508969</v>
      </c>
      <c r="E906" s="6" t="n">
        <v>2092168.32</v>
      </c>
      <c r="F906" s="6" t="n">
        <v>20423.9</v>
      </c>
      <c r="G906" s="6" t="n">
        <f aca="false">E906+F906</f>
        <v>2112592.22</v>
      </c>
      <c r="H906" s="7" t="n">
        <f aca="false">IF(D906=0,0,C906/D906)</f>
        <v>0.00306956306996</v>
      </c>
      <c r="I906" s="7" t="n">
        <f aca="false">IF(D906=0,0,B906/D906)</f>
        <v>0.99693043693004</v>
      </c>
      <c r="J906" s="6" t="n">
        <f aca="false">E906*H906</f>
        <v>6422.04261121226</v>
      </c>
      <c r="K906" s="6" t="n">
        <f aca="false">E906*I906</f>
        <v>2085746.27738879</v>
      </c>
      <c r="L906" s="6" t="n">
        <v>12804.78</v>
      </c>
      <c r="M906" s="6" t="n">
        <v>2079363.54</v>
      </c>
      <c r="N906" s="6" t="n">
        <v>2089766</v>
      </c>
      <c r="O906" s="6" t="n">
        <v>2455970</v>
      </c>
      <c r="P906" s="7" t="n">
        <f aca="false">IF(O906=0,"",(G906-O906)/O906)</f>
        <v>-0.139813507493984</v>
      </c>
      <c r="Q906" s="5" t="s">
        <v>26</v>
      </c>
      <c r="R906" s="5" t="s">
        <v>27</v>
      </c>
    </row>
    <row r="907" customFormat="false" ht="15" hidden="false" customHeight="true" outlineLevel="0" collapsed="false">
      <c r="A907" s="5" t="s">
        <v>931</v>
      </c>
      <c r="B907" s="6" t="n">
        <v>6096181634.26</v>
      </c>
      <c r="C907" s="6" t="n">
        <v>35955133.88</v>
      </c>
      <c r="D907" s="6" t="n">
        <v>6132136768.14</v>
      </c>
      <c r="E907" s="6" t="n">
        <v>2268890.6</v>
      </c>
      <c r="F907" s="6" t="n">
        <v>20734.01</v>
      </c>
      <c r="G907" s="6" t="n">
        <f aca="false">E907+F907</f>
        <v>2289624.61</v>
      </c>
      <c r="H907" s="7" t="n">
        <f aca="false">IF(D907=0,0,C907/D907)</f>
        <v>0.00586339399127686</v>
      </c>
      <c r="I907" s="7" t="n">
        <f aca="false">IF(D907=0,0,B907/D907)</f>
        <v>0.994136606008723</v>
      </c>
      <c r="J907" s="6" t="n">
        <f aca="false">E907*H907</f>
        <v>13303.3995109046</v>
      </c>
      <c r="K907" s="6" t="n">
        <f aca="false">E907*I907</f>
        <v>2255587.2004891</v>
      </c>
      <c r="L907" s="6" t="n">
        <v>26451.7</v>
      </c>
      <c r="M907" s="6" t="n">
        <v>2242438.9</v>
      </c>
      <c r="N907" s="6" t="n">
        <v>2210298</v>
      </c>
      <c r="O907" s="6" t="n">
        <v>2521340</v>
      </c>
      <c r="P907" s="7" t="n">
        <f aca="false">IF(O907=0,"",(G907-O907)/O907)</f>
        <v>-0.0919016832319323</v>
      </c>
      <c r="Q907" s="5" t="s">
        <v>26</v>
      </c>
      <c r="R907" s="5" t="s">
        <v>27</v>
      </c>
    </row>
    <row r="908" customFormat="false" ht="15" hidden="false" customHeight="true" outlineLevel="0" collapsed="false">
      <c r="A908" s="5" t="s">
        <v>932</v>
      </c>
      <c r="B908" s="6" t="n">
        <v>8702419774.16</v>
      </c>
      <c r="C908" s="6" t="n">
        <v>48261325.35</v>
      </c>
      <c r="D908" s="6" t="n">
        <v>8750681099.5</v>
      </c>
      <c r="E908" s="6" t="n">
        <v>3237752.01</v>
      </c>
      <c r="F908" s="6" t="n">
        <v>29008.72</v>
      </c>
      <c r="G908" s="6" t="n">
        <f aca="false">E908+F908</f>
        <v>3266760.73</v>
      </c>
      <c r="H908" s="7" t="n">
        <f aca="false">IF(D908=0,0,C908/D908)</f>
        <v>0.00551515074098147</v>
      </c>
      <c r="I908" s="7" t="n">
        <f aca="false">IF(D908=0,0,B908/D908)</f>
        <v>0.994484849260161</v>
      </c>
      <c r="J908" s="6" t="n">
        <f aca="false">E908*H908</f>
        <v>17856.6903970658</v>
      </c>
      <c r="K908" s="6" t="n">
        <f aca="false">E908*I908</f>
        <v>3219895.31960663</v>
      </c>
      <c r="L908" s="6" t="n">
        <v>35517.5</v>
      </c>
      <c r="M908" s="6" t="n">
        <v>3202234.51</v>
      </c>
      <c r="N908" s="6" t="n">
        <v>3134694</v>
      </c>
      <c r="O908" s="6" t="n">
        <v>3533251</v>
      </c>
      <c r="P908" s="7" t="n">
        <f aca="false">IF(O908=0,"",(G908-O908)/O908)</f>
        <v>-0.075423532038907</v>
      </c>
      <c r="Q908" s="5" t="s">
        <v>26</v>
      </c>
      <c r="R908" s="5" t="s">
        <v>27</v>
      </c>
    </row>
    <row r="909" customFormat="false" ht="15" hidden="false" customHeight="true" outlineLevel="0" collapsed="false">
      <c r="A909" s="5" t="s">
        <v>933</v>
      </c>
      <c r="B909" s="6" t="n">
        <v>9317724897.79</v>
      </c>
      <c r="C909" s="6" t="n">
        <v>51953191.47</v>
      </c>
      <c r="D909" s="6" t="n">
        <v>9369678089.25</v>
      </c>
      <c r="E909" s="6" t="n">
        <v>3466780.89</v>
      </c>
      <c r="F909" s="6" t="n">
        <v>28026.9</v>
      </c>
      <c r="G909" s="6" t="n">
        <f aca="false">E909+F909</f>
        <v>3494807.79</v>
      </c>
      <c r="H909" s="7" t="n">
        <f aca="false">IF(D909=0,0,C909/D909)</f>
        <v>0.00554482138821896</v>
      </c>
      <c r="I909" s="7" t="n">
        <f aca="false">IF(D909=0,0,B909/D909)</f>
        <v>0.994455178612848</v>
      </c>
      <c r="J909" s="6" t="n">
        <f aca="false">E909*H909</f>
        <v>19222.6808271408</v>
      </c>
      <c r="K909" s="6" t="n">
        <f aca="false">E909*I909</f>
        <v>3447558.20917656</v>
      </c>
      <c r="L909" s="6" t="n">
        <v>38233.36</v>
      </c>
      <c r="M909" s="6" t="n">
        <v>3428547.53</v>
      </c>
      <c r="N909" s="6" t="n">
        <v>3293135</v>
      </c>
      <c r="O909" s="6" t="n">
        <v>3692265</v>
      </c>
      <c r="P909" s="7" t="n">
        <f aca="false">IF(O909=0,"",(G909-O909)/O909)</f>
        <v>-0.0534786127214596</v>
      </c>
      <c r="Q909" s="5" t="s">
        <v>26</v>
      </c>
      <c r="R909" s="5" t="s">
        <v>27</v>
      </c>
    </row>
    <row r="910" customFormat="false" ht="15" hidden="false" customHeight="true" outlineLevel="0" collapsed="false">
      <c r="A910" s="5" t="s">
        <v>934</v>
      </c>
      <c r="B910" s="6" t="n">
        <v>7770874721.24</v>
      </c>
      <c r="C910" s="6" t="n">
        <v>55363788.71</v>
      </c>
      <c r="D910" s="6" t="n">
        <v>7826238509.95</v>
      </c>
      <c r="E910" s="6" t="n">
        <v>2895708.25</v>
      </c>
      <c r="F910" s="6" t="n">
        <v>27887.56</v>
      </c>
      <c r="G910" s="6" t="n">
        <f aca="false">E910+F910</f>
        <v>2923595.81</v>
      </c>
      <c r="H910" s="7" t="n">
        <f aca="false">IF(D910=0,0,C910/D910)</f>
        <v>0.00707412489915973</v>
      </c>
      <c r="I910" s="7" t="n">
        <f aca="false">IF(D910=0,0,B910/D910)</f>
        <v>0.99292587510084</v>
      </c>
      <c r="J910" s="6" t="n">
        <f aca="false">E910*H910</f>
        <v>20484.6018320272</v>
      </c>
      <c r="K910" s="6" t="n">
        <f aca="false">E910*I910</f>
        <v>2875223.64816797</v>
      </c>
      <c r="L910" s="6" t="n">
        <v>40681.42</v>
      </c>
      <c r="M910" s="6" t="n">
        <v>2855026.83</v>
      </c>
      <c r="N910" s="6" t="n">
        <v>2852238</v>
      </c>
      <c r="O910" s="6" t="n">
        <v>3207478</v>
      </c>
      <c r="P910" s="7" t="n">
        <f aca="false">IF(O910=0,"",(G910-O910)/O910)</f>
        <v>-0.0885063560841259</v>
      </c>
      <c r="Q910" s="5" t="s">
        <v>26</v>
      </c>
      <c r="R910" s="5" t="s">
        <v>27</v>
      </c>
    </row>
    <row r="911" customFormat="false" ht="15" hidden="false" customHeight="true" outlineLevel="0" collapsed="false">
      <c r="A911" s="5" t="s">
        <v>935</v>
      </c>
      <c r="B911" s="6" t="n">
        <v>13089934402.71</v>
      </c>
      <c r="C911" s="6" t="n">
        <v>77902079.79</v>
      </c>
      <c r="D911" s="6" t="n">
        <v>13167836482.5</v>
      </c>
      <c r="E911" s="6" t="n">
        <v>4872099.5</v>
      </c>
      <c r="F911" s="6" t="n">
        <v>28382.82</v>
      </c>
      <c r="G911" s="6" t="n">
        <f aca="false">E911+F911</f>
        <v>4900482.32</v>
      </c>
      <c r="H911" s="7" t="n">
        <f aca="false">IF(D911=0,0,C911/D911)</f>
        <v>0.00591608802961151</v>
      </c>
      <c r="I911" s="7" t="n">
        <f aca="false">IF(D911=0,0,B911/D911)</f>
        <v>0.994083911970388</v>
      </c>
      <c r="J911" s="6" t="n">
        <f aca="false">E911*H911</f>
        <v>28823.7695310262</v>
      </c>
      <c r="K911" s="6" t="n">
        <f aca="false">E911*I911</f>
        <v>4843275.73046897</v>
      </c>
      <c r="L911" s="6" t="n">
        <v>57308.5</v>
      </c>
      <c r="M911" s="6" t="n">
        <v>4814791</v>
      </c>
      <c r="N911" s="6" t="n">
        <v>4575057</v>
      </c>
      <c r="O911" s="6" t="n">
        <v>5055688</v>
      </c>
      <c r="P911" s="7" t="n">
        <f aca="false">IF(O911=0,"",(G911-O911)/O911)</f>
        <v>-0.0306992203632819</v>
      </c>
      <c r="Q911" s="5" t="s">
        <v>26</v>
      </c>
      <c r="R911" s="5" t="s">
        <v>27</v>
      </c>
    </row>
    <row r="912" customFormat="false" ht="15" hidden="false" customHeight="true" outlineLevel="0" collapsed="false">
      <c r="A912" s="5" t="s">
        <v>936</v>
      </c>
      <c r="B912" s="6" t="n">
        <v>13579082186.9</v>
      </c>
      <c r="C912" s="6" t="n">
        <v>82960169.18</v>
      </c>
      <c r="D912" s="6" t="n">
        <v>13662042356.08</v>
      </c>
      <c r="E912" s="6" t="n">
        <v>5054955.67</v>
      </c>
      <c r="F912" s="6" t="n">
        <v>31579.8</v>
      </c>
      <c r="G912" s="6" t="n">
        <f aca="false">E912+F912</f>
        <v>5086535.47</v>
      </c>
      <c r="H912" s="7" t="n">
        <f aca="false">IF(D912=0,0,C912/D912)</f>
        <v>0.00607231093402959</v>
      </c>
      <c r="I912" s="7" t="n">
        <f aca="false">IF(D912=0,0,B912/D912)</f>
        <v>0.99392768906597</v>
      </c>
      <c r="J912" s="6" t="n">
        <f aca="false">E912*H912</f>
        <v>30695.2625859759</v>
      </c>
      <c r="K912" s="6" t="n">
        <f aca="false">E912*I912</f>
        <v>5024260.40741402</v>
      </c>
      <c r="L912" s="6" t="n">
        <v>61019.99</v>
      </c>
      <c r="M912" s="6" t="n">
        <v>4993935.68</v>
      </c>
      <c r="N912" s="6" t="n">
        <v>4754492</v>
      </c>
      <c r="O912" s="6" t="n">
        <v>5252903</v>
      </c>
      <c r="P912" s="7" t="n">
        <f aca="false">IF(O912=0,"",(G912-O912)/O912)</f>
        <v>-0.0316715404796168</v>
      </c>
      <c r="Q912" s="5" t="s">
        <v>26</v>
      </c>
      <c r="R912" s="5" t="s">
        <v>27</v>
      </c>
    </row>
    <row r="913" customFormat="false" ht="15" hidden="false" customHeight="true" outlineLevel="0" collapsed="false">
      <c r="A913" s="5" t="s">
        <v>937</v>
      </c>
      <c r="B913" s="6" t="n">
        <v>4555083184.61</v>
      </c>
      <c r="C913" s="6" t="n">
        <v>28924657.76</v>
      </c>
      <c r="D913" s="6" t="n">
        <v>4584007842.37</v>
      </c>
      <c r="E913" s="6" t="n">
        <v>1696082.9</v>
      </c>
      <c r="F913" s="6" t="n">
        <v>22955.44</v>
      </c>
      <c r="G913" s="6" t="n">
        <f aca="false">E913+F913</f>
        <v>1719038.34</v>
      </c>
      <c r="H913" s="7" t="n">
        <f aca="false">IF(D913=0,0,C913/D913)</f>
        <v>0.00630990581923733</v>
      </c>
      <c r="I913" s="7" t="n">
        <f aca="false">IF(D913=0,0,B913/D913)</f>
        <v>0.993690094180763</v>
      </c>
      <c r="J913" s="6" t="n">
        <f aca="false">E913*H913</f>
        <v>10702.1233606189</v>
      </c>
      <c r="K913" s="6" t="n">
        <f aca="false">E913*I913</f>
        <v>1685380.77663938</v>
      </c>
      <c r="L913" s="6" t="n">
        <v>21270.03</v>
      </c>
      <c r="M913" s="6" t="n">
        <v>1674812.87</v>
      </c>
      <c r="N913" s="6" t="n">
        <v>1714279</v>
      </c>
      <c r="O913" s="6" t="n">
        <v>1948105</v>
      </c>
      <c r="P913" s="7" t="n">
        <f aca="false">IF(O913=0,"",(G913-O913)/O913)</f>
        <v>-0.117584349919537</v>
      </c>
      <c r="Q913" s="5" t="s">
        <v>26</v>
      </c>
      <c r="R913" s="5" t="s">
        <v>27</v>
      </c>
    </row>
    <row r="914" customFormat="false" ht="15" hidden="false" customHeight="true" outlineLevel="0" collapsed="false">
      <c r="A914" s="5" t="s">
        <v>938</v>
      </c>
      <c r="B914" s="6" t="n">
        <v>7008918884.73</v>
      </c>
      <c r="C914" s="6" t="n">
        <v>39039629.67</v>
      </c>
      <c r="D914" s="6" t="n">
        <v>7047958514.4</v>
      </c>
      <c r="E914" s="6" t="n">
        <v>2607744.65</v>
      </c>
      <c r="F914" s="6" t="n">
        <v>20095.28</v>
      </c>
      <c r="G914" s="6" t="n">
        <f aca="false">E914+F914</f>
        <v>2627839.93</v>
      </c>
      <c r="H914" s="7" t="n">
        <f aca="false">IF(D914=0,0,C914/D914)</f>
        <v>0.00553914010564001</v>
      </c>
      <c r="I914" s="7" t="n">
        <f aca="false">IF(D914=0,0,B914/D914)</f>
        <v>0.99446085989436</v>
      </c>
      <c r="J914" s="6" t="n">
        <f aca="false">E914*H914</f>
        <v>14444.6629760832</v>
      </c>
      <c r="K914" s="6" t="n">
        <f aca="false">E914*I914</f>
        <v>2593299.98702392</v>
      </c>
      <c r="L914" s="6" t="n">
        <v>28730.19</v>
      </c>
      <c r="M914" s="6" t="n">
        <v>2579014.46</v>
      </c>
      <c r="N914" s="6" t="n">
        <v>2603695</v>
      </c>
      <c r="O914" s="6" t="n">
        <v>2939630</v>
      </c>
      <c r="P914" s="7" t="n">
        <f aca="false">IF(O914=0,"",(G914-O914)/O914)</f>
        <v>-0.106064392457554</v>
      </c>
      <c r="Q914" s="5" t="s">
        <v>26</v>
      </c>
      <c r="R914" s="5" t="s">
        <v>27</v>
      </c>
    </row>
    <row r="915" customFormat="false" ht="15" hidden="false" customHeight="true" outlineLevel="0" collapsed="false">
      <c r="A915" s="5" t="s">
        <v>939</v>
      </c>
      <c r="B915" s="6" t="n">
        <v>9642776954.06</v>
      </c>
      <c r="C915" s="6" t="n">
        <v>125007419.57</v>
      </c>
      <c r="D915" s="6" t="n">
        <v>9767784373.63</v>
      </c>
      <c r="E915" s="6" t="n">
        <v>3614080.22</v>
      </c>
      <c r="F915" s="6" t="n">
        <v>29238.62</v>
      </c>
      <c r="G915" s="6" t="n">
        <f aca="false">E915+F915</f>
        <v>3643318.84</v>
      </c>
      <c r="H915" s="7" t="n">
        <f aca="false">IF(D915=0,0,C915/D915)</f>
        <v>0.0127979298875067</v>
      </c>
      <c r="I915" s="7" t="n">
        <f aca="false">IF(D915=0,0,B915/D915)</f>
        <v>0.987202070112493</v>
      </c>
      <c r="J915" s="6" t="n">
        <f aca="false">E915*H915</f>
        <v>46252.7452633847</v>
      </c>
      <c r="K915" s="6" t="n">
        <f aca="false">E915*I915</f>
        <v>3567827.47473662</v>
      </c>
      <c r="L915" s="6" t="n">
        <v>91336.57</v>
      </c>
      <c r="M915" s="6" t="n">
        <v>3522743.65</v>
      </c>
      <c r="N915" s="6" t="n">
        <v>3545968</v>
      </c>
      <c r="O915" s="6" t="n">
        <v>3980315</v>
      </c>
      <c r="P915" s="7" t="n">
        <f aca="false">IF(O915=0,"",(G915-O915)/O915)</f>
        <v>-0.084665701081447</v>
      </c>
      <c r="Q915" s="5" t="s">
        <v>26</v>
      </c>
      <c r="R915" s="5" t="s">
        <v>27</v>
      </c>
    </row>
    <row r="916" customFormat="false" ht="15" hidden="false" customHeight="true" outlineLevel="0" collapsed="false">
      <c r="A916" s="5" t="s">
        <v>940</v>
      </c>
      <c r="B916" s="6" t="n">
        <v>9711301899.14</v>
      </c>
      <c r="C916" s="6" t="n">
        <v>143533995.46</v>
      </c>
      <c r="D916" s="6" t="n">
        <v>9854835894.59</v>
      </c>
      <c r="E916" s="6" t="n">
        <v>3646289.28</v>
      </c>
      <c r="F916" s="6" t="n">
        <v>54240.24</v>
      </c>
      <c r="G916" s="6" t="n">
        <f aca="false">E916+F916</f>
        <v>3700529.52</v>
      </c>
      <c r="H916" s="7" t="n">
        <f aca="false">IF(D916=0,0,C916/D916)</f>
        <v>0.0145648285770842</v>
      </c>
      <c r="I916" s="7" t="n">
        <f aca="false">IF(D916=0,0,B916/D916)</f>
        <v>0.98543517142393</v>
      </c>
      <c r="J916" s="6" t="n">
        <f aca="false">E916*H916</f>
        <v>53107.5783056599</v>
      </c>
      <c r="K916" s="6" t="n">
        <f aca="false">E916*I916</f>
        <v>3593181.70169804</v>
      </c>
      <c r="L916" s="6" t="n">
        <v>104690.36</v>
      </c>
      <c r="M916" s="6" t="n">
        <v>3541598.92</v>
      </c>
      <c r="N916" s="6" t="n">
        <v>3059692</v>
      </c>
      <c r="O916" s="6" t="n">
        <v>3401566</v>
      </c>
      <c r="P916" s="7" t="n">
        <f aca="false">IF(O916=0,"",(G916-O916)/O916)</f>
        <v>0.0878899659744953</v>
      </c>
      <c r="Q916" s="5" t="s">
        <v>26</v>
      </c>
      <c r="R916" s="5" t="s">
        <v>27</v>
      </c>
    </row>
    <row r="917" customFormat="false" ht="15" hidden="false" customHeight="true" outlineLevel="0" collapsed="false">
      <c r="A917" s="5" t="s">
        <v>941</v>
      </c>
      <c r="B917" s="6" t="n">
        <v>9626403512.33</v>
      </c>
      <c r="C917" s="6" t="n">
        <v>231645047.74</v>
      </c>
      <c r="D917" s="6" t="n">
        <v>9858048560.07</v>
      </c>
      <c r="E917" s="6" t="n">
        <v>3647477.97</v>
      </c>
      <c r="F917" s="6" t="n">
        <v>29747.91</v>
      </c>
      <c r="G917" s="6" t="n">
        <f aca="false">E917+F917</f>
        <v>3677225.88</v>
      </c>
      <c r="H917" s="7" t="n">
        <f aca="false">IF(D917=0,0,C917/D917)</f>
        <v>0.023498063164172</v>
      </c>
      <c r="I917" s="7" t="n">
        <f aca="false">IF(D917=0,0,B917/D917)</f>
        <v>0.976501936835828</v>
      </c>
      <c r="J917" s="6" t="n">
        <f aca="false">E917*H917</f>
        <v>85708.667728986</v>
      </c>
      <c r="K917" s="6" t="n">
        <f aca="false">E917*I917</f>
        <v>3561769.30227101</v>
      </c>
      <c r="L917" s="6" t="n">
        <v>167481.84</v>
      </c>
      <c r="M917" s="6" t="n">
        <v>3479996.13</v>
      </c>
      <c r="N917" s="6" t="n">
        <v>3706429</v>
      </c>
      <c r="O917" s="6" t="n">
        <v>4188351</v>
      </c>
      <c r="P917" s="7" t="n">
        <f aca="false">IF(O917=0,"",(G917-O917)/O917)</f>
        <v>-0.122034929737264</v>
      </c>
      <c r="Q917" s="5" t="s">
        <v>26</v>
      </c>
      <c r="R917" s="5" t="s">
        <v>27</v>
      </c>
    </row>
    <row r="918" customFormat="false" ht="15" hidden="false" customHeight="true" outlineLevel="0" collapsed="false">
      <c r="A918" s="5" t="s">
        <v>942</v>
      </c>
      <c r="B918" s="6" t="n">
        <v>10603223773.45</v>
      </c>
      <c r="C918" s="6" t="n">
        <v>314004813.03</v>
      </c>
      <c r="D918" s="6" t="n">
        <v>10917228586.47</v>
      </c>
      <c r="E918" s="6" t="n">
        <v>4039374.58</v>
      </c>
      <c r="F918" s="6" t="n">
        <v>24547.18</v>
      </c>
      <c r="G918" s="6" t="n">
        <f aca="false">E918+F918</f>
        <v>4063921.76</v>
      </c>
      <c r="H918" s="7" t="n">
        <f aca="false">IF(D918=0,0,C918/D918)</f>
        <v>0.0287623191676278</v>
      </c>
      <c r="I918" s="7" t="n">
        <f aca="false">IF(D918=0,0,B918/D918)</f>
        <v>0.971237680833288</v>
      </c>
      <c r="J918" s="6" t="n">
        <f aca="false">E918*H918</f>
        <v>116181.780907562</v>
      </c>
      <c r="K918" s="6" t="n">
        <f aca="false">E918*I918</f>
        <v>3923192.79909614</v>
      </c>
      <c r="L918" s="6" t="n">
        <v>225867.1</v>
      </c>
      <c r="M918" s="6" t="n">
        <v>3813507.48</v>
      </c>
      <c r="N918" s="6" t="n">
        <v>4196685</v>
      </c>
      <c r="O918" s="6" t="n">
        <v>4710471</v>
      </c>
      <c r="P918" s="7" t="n">
        <f aca="false">IF(O918=0,"",(G918-O918)/O918)</f>
        <v>-0.137257875061751</v>
      </c>
      <c r="Q918" s="5" t="s">
        <v>26</v>
      </c>
      <c r="R918" s="5" t="s">
        <v>27</v>
      </c>
    </row>
    <row r="919" customFormat="false" ht="15" hidden="false" customHeight="true" outlineLevel="0" collapsed="false">
      <c r="A919" s="5" t="s">
        <v>943</v>
      </c>
      <c r="B919" s="6" t="n">
        <v>15700535188.89</v>
      </c>
      <c r="C919" s="6" t="n">
        <v>321009467.68</v>
      </c>
      <c r="D919" s="6" t="n">
        <v>16021544656.57</v>
      </c>
      <c r="E919" s="6" t="n">
        <v>5927971.52</v>
      </c>
      <c r="F919" s="6" t="n">
        <v>154794.86</v>
      </c>
      <c r="G919" s="6" t="n">
        <f aca="false">E919+F919</f>
        <v>6082766.38</v>
      </c>
      <c r="H919" s="7" t="n">
        <f aca="false">IF(D919=0,0,C919/D919)</f>
        <v>0.0200361122826171</v>
      </c>
      <c r="I919" s="7" t="n">
        <f aca="false">IF(D919=0,0,B919/D919)</f>
        <v>0.979963887717383</v>
      </c>
      <c r="J919" s="6" t="n">
        <f aca="false">E919*H919</f>
        <v>118773.502982876</v>
      </c>
      <c r="K919" s="6" t="n">
        <f aca="false">E919*I919</f>
        <v>5809198.01701712</v>
      </c>
      <c r="L919" s="6" t="n">
        <v>232880.98</v>
      </c>
      <c r="M919" s="6" t="n">
        <v>5695090.55</v>
      </c>
      <c r="N919" s="6" t="n">
        <v>5416989</v>
      </c>
      <c r="O919" s="6" t="n">
        <v>5970122</v>
      </c>
      <c r="P919" s="7" t="n">
        <f aca="false">IF(O919=0,"",(G919-O919)/O919)</f>
        <v>0.0188680197825103</v>
      </c>
      <c r="Q919" s="5" t="s">
        <v>26</v>
      </c>
      <c r="R919" s="5" t="s">
        <v>27</v>
      </c>
    </row>
    <row r="920" customFormat="false" ht="15" hidden="false" customHeight="true" outlineLevel="0" collapsed="false">
      <c r="A920" s="5" t="s">
        <v>944</v>
      </c>
      <c r="B920" s="6" t="n">
        <v>4596310537.95</v>
      </c>
      <c r="C920" s="6" t="n">
        <v>56479977.83</v>
      </c>
      <c r="D920" s="6" t="n">
        <v>4652790515.78</v>
      </c>
      <c r="E920" s="6" t="n">
        <v>1721532.49</v>
      </c>
      <c r="F920" s="6" t="n">
        <v>72299.53</v>
      </c>
      <c r="G920" s="6" t="n">
        <f aca="false">E920+F920</f>
        <v>1793832.02</v>
      </c>
      <c r="H920" s="7" t="n">
        <f aca="false">IF(D920=0,0,C920/D920)</f>
        <v>0.0121389470766946</v>
      </c>
      <c r="I920" s="7" t="n">
        <f aca="false">IF(D920=0,0,B920/D920)</f>
        <v>0.987861052923305</v>
      </c>
      <c r="J920" s="6" t="n">
        <f aca="false">E920*H920</f>
        <v>20897.5917869203</v>
      </c>
      <c r="K920" s="6" t="n">
        <f aca="false">E920*I920</f>
        <v>1700634.89821308</v>
      </c>
      <c r="L920" s="6" t="n">
        <v>41293.92</v>
      </c>
      <c r="M920" s="6" t="n">
        <v>1680238.57</v>
      </c>
      <c r="N920" s="6" t="n">
        <v>1755491</v>
      </c>
      <c r="O920" s="6" t="n">
        <v>1973831</v>
      </c>
      <c r="P920" s="7" t="n">
        <f aca="false">IF(O920=0,"",(G920-O920)/O920)</f>
        <v>-0.0911927008948588</v>
      </c>
      <c r="Q920" s="5" t="s">
        <v>26</v>
      </c>
      <c r="R920" s="5" t="s">
        <v>27</v>
      </c>
    </row>
    <row r="921" customFormat="false" ht="15" hidden="false" customHeight="true" outlineLevel="0" collapsed="false">
      <c r="A921" s="5" t="s">
        <v>945</v>
      </c>
      <c r="B921" s="6" t="n">
        <v>6165947183.88</v>
      </c>
      <c r="C921" s="6" t="n">
        <v>54384435.06</v>
      </c>
      <c r="D921" s="6" t="n">
        <v>6220331618.94</v>
      </c>
      <c r="E921" s="6" t="n">
        <v>2301522.7</v>
      </c>
      <c r="F921" s="6" t="n">
        <v>35263.93</v>
      </c>
      <c r="G921" s="6" t="n">
        <f aca="false">E921+F921</f>
        <v>2336786.63</v>
      </c>
      <c r="H921" s="7" t="n">
        <f aca="false">IF(D921=0,0,C921/D921)</f>
        <v>0.0087430121722783</v>
      </c>
      <c r="I921" s="7" t="n">
        <f aca="false">IF(D921=0,0,B921/D921)</f>
        <v>0.991256987827722</v>
      </c>
      <c r="J921" s="6" t="n">
        <f aca="false">E921*H921</f>
        <v>20122.2409808748</v>
      </c>
      <c r="K921" s="6" t="n">
        <f aca="false">E921*I921</f>
        <v>2281400.45901913</v>
      </c>
      <c r="L921" s="6" t="n">
        <v>39895.67</v>
      </c>
      <c r="M921" s="6" t="n">
        <v>2261627.03</v>
      </c>
      <c r="N921" s="6" t="n">
        <v>2285831</v>
      </c>
      <c r="O921" s="6" t="n">
        <v>2534327</v>
      </c>
      <c r="P921" s="7" t="n">
        <f aca="false">IF(O921=0,"",(G921-O921)/O921)</f>
        <v>-0.0779458885929084</v>
      </c>
      <c r="Q921" s="5" t="s">
        <v>26</v>
      </c>
      <c r="R921" s="5" t="s">
        <v>27</v>
      </c>
    </row>
    <row r="922" customFormat="false" ht="15" hidden="false" customHeight="true" outlineLevel="0" collapsed="false">
      <c r="A922" s="5" t="s">
        <v>946</v>
      </c>
      <c r="B922" s="6" t="n">
        <v>9428477851.88</v>
      </c>
      <c r="C922" s="6" t="n">
        <v>447191479.34</v>
      </c>
      <c r="D922" s="6" t="n">
        <v>9875669331.22</v>
      </c>
      <c r="E922" s="6" t="n">
        <v>3653997.65</v>
      </c>
      <c r="F922" s="6" t="n">
        <v>37136.02</v>
      </c>
      <c r="G922" s="6" t="n">
        <f aca="false">E922+F922</f>
        <v>3691133.67</v>
      </c>
      <c r="H922" s="7" t="n">
        <f aca="false">IF(D922=0,0,C922/D922)</f>
        <v>0.0452821438569527</v>
      </c>
      <c r="I922" s="7" t="n">
        <f aca="false">IF(D922=0,0,B922/D922)</f>
        <v>0.954717856143047</v>
      </c>
      <c r="J922" s="6" t="n">
        <f aca="false">E922*H922</f>
        <v>165460.847240267</v>
      </c>
      <c r="K922" s="6" t="n">
        <f aca="false">E922*I922</f>
        <v>3488536.80275973</v>
      </c>
      <c r="L922" s="6" t="n">
        <v>316586</v>
      </c>
      <c r="M922" s="6" t="n">
        <v>3337411.65</v>
      </c>
      <c r="N922" s="6" t="n">
        <v>3284307</v>
      </c>
      <c r="O922" s="6" t="n">
        <v>3624238</v>
      </c>
      <c r="P922" s="7" t="n">
        <f aca="false">IF(O922=0,"",(G922-O922)/O922)</f>
        <v>0.0184578579000606</v>
      </c>
      <c r="Q922" s="5" t="s">
        <v>26</v>
      </c>
      <c r="R922" s="5" t="s">
        <v>27</v>
      </c>
    </row>
    <row r="923" customFormat="false" ht="15" hidden="false" customHeight="true" outlineLevel="0" collapsed="false">
      <c r="A923" s="5" t="s">
        <v>947</v>
      </c>
      <c r="B923" s="6" t="n">
        <v>7560665189.07</v>
      </c>
      <c r="C923" s="6" t="n">
        <v>527411695.66</v>
      </c>
      <c r="D923" s="6" t="n">
        <v>8088076884.73</v>
      </c>
      <c r="E923" s="6" t="n">
        <v>2992588.45</v>
      </c>
      <c r="F923" s="6" t="n">
        <v>45920.85</v>
      </c>
      <c r="G923" s="6" t="n">
        <f aca="false">E923+F923</f>
        <v>3038509.3</v>
      </c>
      <c r="H923" s="7" t="n">
        <f aca="false">IF(D923=0,0,C923/D923)</f>
        <v>0.0652085413104485</v>
      </c>
      <c r="I923" s="7" t="n">
        <f aca="false">IF(D923=0,0,B923/D923)</f>
        <v>0.934791458689552</v>
      </c>
      <c r="J923" s="6" t="n">
        <f aca="false">E923*H923</f>
        <v>195142.327566996</v>
      </c>
      <c r="K923" s="6" t="n">
        <f aca="false">E923*I923</f>
        <v>2797446.122433</v>
      </c>
      <c r="L923" s="6" t="n">
        <v>366392.72</v>
      </c>
      <c r="M923" s="6" t="n">
        <v>2626195.73</v>
      </c>
      <c r="N923" s="6" t="n">
        <v>2794604</v>
      </c>
      <c r="O923" s="6" t="n">
        <v>3088016</v>
      </c>
      <c r="P923" s="7" t="n">
        <f aca="false">IF(O923=0,"",(G923-O923)/O923)</f>
        <v>-0.0160318793685006</v>
      </c>
      <c r="Q923" s="5" t="s">
        <v>26</v>
      </c>
      <c r="R923" s="5" t="s">
        <v>27</v>
      </c>
    </row>
    <row r="924" customFormat="false" ht="15" hidden="false" customHeight="true" outlineLevel="0" collapsed="false">
      <c r="A924" s="5" t="s">
        <v>948</v>
      </c>
      <c r="B924" s="6" t="n">
        <v>6851266930.15</v>
      </c>
      <c r="C924" s="6" t="n">
        <v>398396017.33</v>
      </c>
      <c r="D924" s="6" t="n">
        <v>7249662947.47</v>
      </c>
      <c r="E924" s="6" t="n">
        <v>2682375.29</v>
      </c>
      <c r="F924" s="6" t="n">
        <v>27508.75</v>
      </c>
      <c r="G924" s="6" t="n">
        <f aca="false">E924+F924</f>
        <v>2709884.04</v>
      </c>
      <c r="H924" s="7" t="n">
        <f aca="false">IF(D924=0,0,C924/D924)</f>
        <v>0.0549537296032546</v>
      </c>
      <c r="I924" s="7" t="n">
        <f aca="false">IF(D924=0,0,B924/D924)</f>
        <v>0.945046270398125</v>
      </c>
      <c r="J924" s="6" t="n">
        <f aca="false">E924*H924</f>
        <v>147406.526381112</v>
      </c>
      <c r="K924" s="6" t="n">
        <f aca="false">E924*I924</f>
        <v>2534968.76362259</v>
      </c>
      <c r="L924" s="6" t="n">
        <v>279455.91</v>
      </c>
      <c r="M924" s="6" t="n">
        <v>2402919.38</v>
      </c>
      <c r="N924" s="6" t="n">
        <v>2484382</v>
      </c>
      <c r="O924" s="6" t="n">
        <v>2778501</v>
      </c>
      <c r="P924" s="7" t="n">
        <f aca="false">IF(O924=0,"",(G924-O924)/O924)</f>
        <v>-0.0246956758338399</v>
      </c>
      <c r="Q924" s="5" t="s">
        <v>26</v>
      </c>
      <c r="R924" s="5" t="s">
        <v>27</v>
      </c>
    </row>
    <row r="925" customFormat="false" ht="15" hidden="false" customHeight="true" outlineLevel="0" collapsed="false">
      <c r="A925" s="5" t="s">
        <v>949</v>
      </c>
      <c r="B925" s="6" t="n">
        <v>4534095996.13</v>
      </c>
      <c r="C925" s="6" t="n">
        <v>188984049.67</v>
      </c>
      <c r="D925" s="6" t="n">
        <v>4723080045.8</v>
      </c>
      <c r="E925" s="6" t="n">
        <v>1747539.62</v>
      </c>
      <c r="F925" s="6" t="n">
        <v>17647.52</v>
      </c>
      <c r="G925" s="6" t="n">
        <f aca="false">E925+F925</f>
        <v>1765187.14</v>
      </c>
      <c r="H925" s="7" t="n">
        <f aca="false">IF(D925=0,0,C925/D925)</f>
        <v>0.0400128830842183</v>
      </c>
      <c r="I925" s="7" t="n">
        <f aca="false">IF(D925=0,0,B925/D925)</f>
        <v>0.959987116915782</v>
      </c>
      <c r="J925" s="6" t="n">
        <f aca="false">E925*H925</f>
        <v>69924.0985000993</v>
      </c>
      <c r="K925" s="6" t="n">
        <f aca="false">E925*I925</f>
        <v>1677615.5214999</v>
      </c>
      <c r="L925" s="6" t="n">
        <v>134467.75</v>
      </c>
      <c r="M925" s="6" t="n">
        <v>1613071.86</v>
      </c>
      <c r="N925" s="6" t="n">
        <v>1740764</v>
      </c>
      <c r="O925" s="6" t="n">
        <v>1994612</v>
      </c>
      <c r="P925" s="7" t="n">
        <f aca="false">IF(O925=0,"",(G925-O925)/O925)</f>
        <v>-0.115022300076406</v>
      </c>
      <c r="Q925" s="5" t="s">
        <v>26</v>
      </c>
      <c r="R925" s="5" t="s">
        <v>27</v>
      </c>
    </row>
    <row r="926" customFormat="false" ht="15" hidden="false" customHeight="true" outlineLevel="0" collapsed="false">
      <c r="A926" s="5" t="s">
        <v>950</v>
      </c>
      <c r="B926" s="6" t="n">
        <v>5243667224.09</v>
      </c>
      <c r="C926" s="6" t="n">
        <v>258707694.74</v>
      </c>
      <c r="D926" s="6" t="n">
        <v>5502374918.82</v>
      </c>
      <c r="E926" s="6" t="n">
        <v>2035878.72</v>
      </c>
      <c r="F926" s="6" t="n">
        <v>29264.3</v>
      </c>
      <c r="G926" s="6" t="n">
        <f aca="false">E926+F926</f>
        <v>2065143.02</v>
      </c>
      <c r="H926" s="7" t="n">
        <f aca="false">IF(D926=0,0,C926/D926)</f>
        <v>0.0470174603797228</v>
      </c>
      <c r="I926" s="7" t="n">
        <f aca="false">IF(D926=0,0,B926/D926)</f>
        <v>0.952982539622095</v>
      </c>
      <c r="J926" s="6" t="n">
        <f aca="false">E926*H926</f>
        <v>95721.8470555209</v>
      </c>
      <c r="K926" s="6" t="n">
        <f aca="false">E926*I926</f>
        <v>1940156.87294818</v>
      </c>
      <c r="L926" s="6" t="n">
        <v>182846.71</v>
      </c>
      <c r="M926" s="6" t="n">
        <v>1853032.01</v>
      </c>
      <c r="N926" s="6" t="n">
        <v>2008056</v>
      </c>
      <c r="O926" s="6" t="n">
        <v>2321818</v>
      </c>
      <c r="P926" s="7" t="n">
        <f aca="false">IF(O926=0,"",(G926-O926)/O926)</f>
        <v>-0.11054913864911</v>
      </c>
      <c r="Q926" s="5" t="s">
        <v>26</v>
      </c>
      <c r="R926" s="5" t="s">
        <v>27</v>
      </c>
    </row>
    <row r="927" customFormat="false" ht="15" hidden="false" customHeight="true" outlineLevel="0" collapsed="false">
      <c r="A927" s="5" t="s">
        <v>951</v>
      </c>
      <c r="B927" s="6" t="n">
        <v>2749011804.79</v>
      </c>
      <c r="C927" s="6" t="n">
        <v>138058631.5</v>
      </c>
      <c r="D927" s="6" t="n">
        <v>2887070436.3</v>
      </c>
      <c r="E927" s="6" t="n">
        <v>1068216.06</v>
      </c>
      <c r="F927" s="6" t="n">
        <v>33198.45</v>
      </c>
      <c r="G927" s="6" t="n">
        <f aca="false">E927+F927</f>
        <v>1101414.51</v>
      </c>
      <c r="H927" s="7" t="n">
        <f aca="false">IF(D927=0,0,C927/D927)</f>
        <v>0.0478196270392809</v>
      </c>
      <c r="I927" s="7" t="n">
        <f aca="false">IF(D927=0,0,B927/D927)</f>
        <v>0.952180372957255</v>
      </c>
      <c r="J927" s="6" t="n">
        <f aca="false">E927*H927</f>
        <v>51081.6935865701</v>
      </c>
      <c r="K927" s="6" t="n">
        <f aca="false">E927*I927</f>
        <v>1017134.36640973</v>
      </c>
      <c r="L927" s="6" t="n">
        <v>97500.93</v>
      </c>
      <c r="M927" s="6" t="n">
        <v>970715.13</v>
      </c>
      <c r="N927" s="6" t="n">
        <v>1064236</v>
      </c>
      <c r="O927" s="6" t="n">
        <v>1231163</v>
      </c>
      <c r="P927" s="7" t="n">
        <f aca="false">IF(O927=0,"",(G927-O927)/O927)</f>
        <v>-0.105386930893797</v>
      </c>
      <c r="Q927" s="5" t="s">
        <v>26</v>
      </c>
      <c r="R927" s="5" t="s">
        <v>27</v>
      </c>
    </row>
    <row r="928" customFormat="false" ht="15" hidden="false" customHeight="true" outlineLevel="0" collapsed="false">
      <c r="A928" s="5" t="s">
        <v>952</v>
      </c>
      <c r="B928" s="6" t="n">
        <v>2620049398.72</v>
      </c>
      <c r="C928" s="6" t="n">
        <v>103685934.12</v>
      </c>
      <c r="D928" s="6" t="n">
        <v>2723735332.83</v>
      </c>
      <c r="E928" s="6" t="n">
        <v>1007782.07</v>
      </c>
      <c r="F928" s="6" t="n">
        <v>13216.25</v>
      </c>
      <c r="G928" s="6" t="n">
        <f aca="false">E928+F928</f>
        <v>1020998.32</v>
      </c>
      <c r="H928" s="7" t="n">
        <f aca="false">IF(D928=0,0,C928/D928)</f>
        <v>0.0380675511567671</v>
      </c>
      <c r="I928" s="7" t="n">
        <f aca="false">IF(D928=0,0,B928/D928)</f>
        <v>0.961932448846904</v>
      </c>
      <c r="J928" s="6" t="n">
        <f aca="false">E928*H928</f>
        <v>38363.7955045976</v>
      </c>
      <c r="K928" s="6" t="n">
        <f aca="false">E928*I928</f>
        <v>969418.274499102</v>
      </c>
      <c r="L928" s="6" t="n">
        <v>73913.87</v>
      </c>
      <c r="M928" s="6" t="n">
        <v>933868.2</v>
      </c>
      <c r="N928" s="6" t="n">
        <v>1054555</v>
      </c>
      <c r="O928" s="6" t="n">
        <v>1232054</v>
      </c>
      <c r="P928" s="7" t="n">
        <f aca="false">IF(O928=0,"",(G928-O928)/O928)</f>
        <v>-0.171303920120384</v>
      </c>
      <c r="Q928" s="5" t="s">
        <v>26</v>
      </c>
      <c r="R928" s="5" t="s">
        <v>27</v>
      </c>
    </row>
    <row r="929" customFormat="false" ht="15" hidden="false" customHeight="true" outlineLevel="0" collapsed="false">
      <c r="A929" s="5" t="s">
        <v>953</v>
      </c>
      <c r="B929" s="6" t="n">
        <v>10209933420.56</v>
      </c>
      <c r="C929" s="6" t="n">
        <v>398423432.45</v>
      </c>
      <c r="D929" s="6" t="n">
        <v>10608356853.01</v>
      </c>
      <c r="E929" s="6" t="n">
        <v>3925092.04</v>
      </c>
      <c r="F929" s="6" t="n">
        <v>41595.33</v>
      </c>
      <c r="G929" s="6" t="n">
        <f aca="false">E929+F929</f>
        <v>3966687.37</v>
      </c>
      <c r="H929" s="7" t="n">
        <f aca="false">IF(D929=0,0,C929/D929)</f>
        <v>0.0375575065932055</v>
      </c>
      <c r="I929" s="7" t="n">
        <f aca="false">IF(D929=0,0,B929/D929)</f>
        <v>0.962442493406794</v>
      </c>
      <c r="J929" s="6" t="n">
        <f aca="false">E929*H929</f>
        <v>147416.670171238</v>
      </c>
      <c r="K929" s="6" t="n">
        <f aca="false">E929*I929</f>
        <v>3777675.36982876</v>
      </c>
      <c r="L929" s="6" t="n">
        <v>284160.96</v>
      </c>
      <c r="M929" s="6" t="n">
        <v>3640931.07</v>
      </c>
      <c r="N929" s="6" t="n">
        <v>3812007</v>
      </c>
      <c r="O929" s="6" t="n">
        <v>4402667</v>
      </c>
      <c r="P929" s="7" t="n">
        <f aca="false">IF(O929=0,"",(G929-O929)/O929)</f>
        <v>-0.099026256130659</v>
      </c>
      <c r="Q929" s="5" t="s">
        <v>26</v>
      </c>
      <c r="R929" s="5" t="s">
        <v>27</v>
      </c>
    </row>
    <row r="930" customFormat="false" ht="15" hidden="false" customHeight="true" outlineLevel="0" collapsed="false">
      <c r="A930" s="5" t="s">
        <v>954</v>
      </c>
      <c r="B930" s="6" t="n">
        <v>7511529283.45</v>
      </c>
      <c r="C930" s="6" t="n">
        <v>380008767.25</v>
      </c>
      <c r="D930" s="6" t="n">
        <v>7891538050.7</v>
      </c>
      <c r="E930" s="6" t="n">
        <v>2919869.08</v>
      </c>
      <c r="F930" s="6" t="n">
        <v>43153.44</v>
      </c>
      <c r="G930" s="6" t="n">
        <f aca="false">E930+F930</f>
        <v>2963022.52</v>
      </c>
      <c r="H930" s="7" t="n">
        <f aca="false">IF(D930=0,0,C930/D930)</f>
        <v>0.0481539548828878</v>
      </c>
      <c r="I930" s="7" t="n">
        <f aca="false">IF(D930=0,0,B930/D930)</f>
        <v>0.951846045117112</v>
      </c>
      <c r="J930" s="6" t="n">
        <f aca="false">E930*H930</f>
        <v>140603.243942259</v>
      </c>
      <c r="K930" s="6" t="n">
        <f aca="false">E930*I930</f>
        <v>2779265.83605774</v>
      </c>
      <c r="L930" s="6" t="n">
        <v>268287.39</v>
      </c>
      <c r="M930" s="6" t="n">
        <v>2651581.69</v>
      </c>
      <c r="N930" s="6" t="n">
        <v>2722168</v>
      </c>
      <c r="O930" s="6" t="n">
        <v>3143261</v>
      </c>
      <c r="P930" s="7" t="n">
        <f aca="false">IF(O930=0,"",(G930-O930)/O930)</f>
        <v>-0.0573412389235256</v>
      </c>
      <c r="Q930" s="5" t="s">
        <v>26</v>
      </c>
      <c r="R930" s="5" t="s">
        <v>27</v>
      </c>
    </row>
    <row r="931" customFormat="false" ht="15" hidden="false" customHeight="true" outlineLevel="0" collapsed="false">
      <c r="A931" s="5" t="s">
        <v>955</v>
      </c>
      <c r="B931" s="6" t="n">
        <v>6875175215.9</v>
      </c>
      <c r="C931" s="6" t="n">
        <v>408842621.49</v>
      </c>
      <c r="D931" s="6" t="n">
        <v>7284017837.39</v>
      </c>
      <c r="E931" s="6" t="n">
        <v>2695086.6</v>
      </c>
      <c r="F931" s="6" t="n">
        <v>28737.73</v>
      </c>
      <c r="G931" s="6" t="n">
        <f aca="false">E931+F931</f>
        <v>2723824.33</v>
      </c>
      <c r="H931" s="7" t="n">
        <f aca="false">IF(D931=0,0,C931/D931)</f>
        <v>0.0561287232701912</v>
      </c>
      <c r="I931" s="7" t="n">
        <f aca="false">IF(D931=0,0,B931/D931)</f>
        <v>0.943871276729809</v>
      </c>
      <c r="J931" s="6" t="n">
        <f aca="false">E931*H931</f>
        <v>151271.769960601</v>
      </c>
      <c r="K931" s="6" t="n">
        <f aca="false">E931*I931</f>
        <v>2543814.8300394</v>
      </c>
      <c r="L931" s="6" t="n">
        <v>286464.65</v>
      </c>
      <c r="M931" s="6" t="n">
        <v>2408621.95</v>
      </c>
      <c r="N931" s="6" t="n">
        <v>2689493</v>
      </c>
      <c r="O931" s="6" t="n">
        <v>3087129</v>
      </c>
      <c r="P931" s="7" t="n">
        <f aca="false">IF(O931=0,"",(G931-O931)/O931)</f>
        <v>-0.117683669843405</v>
      </c>
      <c r="Q931" s="5" t="s">
        <v>26</v>
      </c>
      <c r="R931" s="5" t="s">
        <v>27</v>
      </c>
    </row>
    <row r="932" customFormat="false" ht="15" hidden="false" customHeight="true" outlineLevel="0" collapsed="false">
      <c r="A932" s="5" t="s">
        <v>956</v>
      </c>
      <c r="B932" s="6" t="n">
        <v>5779503733.59</v>
      </c>
      <c r="C932" s="6" t="n">
        <v>514070575.12</v>
      </c>
      <c r="D932" s="6" t="n">
        <v>6293574308.71</v>
      </c>
      <c r="E932" s="6" t="n">
        <v>2328622.49</v>
      </c>
      <c r="F932" s="6" t="n">
        <v>22200.53</v>
      </c>
      <c r="G932" s="6" t="n">
        <f aca="false">E932+F932</f>
        <v>2350823.02</v>
      </c>
      <c r="H932" s="7" t="n">
        <f aca="false">IF(D932=0,0,C932/D932)</f>
        <v>0.0816818154365082</v>
      </c>
      <c r="I932" s="7" t="n">
        <f aca="false">IF(D932=0,0,B932/D932)</f>
        <v>0.918318184563492</v>
      </c>
      <c r="J932" s="6" t="n">
        <f aca="false">E932*H932</f>
        <v>190206.112449482</v>
      </c>
      <c r="K932" s="6" t="n">
        <f aca="false">E932*I932</f>
        <v>2138416.37755052</v>
      </c>
      <c r="L932" s="6" t="n">
        <v>351685.88</v>
      </c>
      <c r="M932" s="6" t="n">
        <v>1976936.61</v>
      </c>
      <c r="N932" s="6" t="n">
        <v>2279614</v>
      </c>
      <c r="O932" s="6" t="n">
        <v>2636998</v>
      </c>
      <c r="P932" s="7" t="n">
        <f aca="false">IF(O932=0,"",(G932-O932)/O932)</f>
        <v>-0.108523017461523</v>
      </c>
      <c r="Q932" s="5" t="s">
        <v>26</v>
      </c>
      <c r="R932" s="5" t="s">
        <v>27</v>
      </c>
    </row>
    <row r="933" customFormat="false" ht="15" hidden="false" customHeight="true" outlineLevel="0" collapsed="false">
      <c r="A933" s="5" t="s">
        <v>957</v>
      </c>
      <c r="B933" s="6" t="n">
        <v>7078405379.52</v>
      </c>
      <c r="C933" s="6" t="n">
        <v>337688928.71</v>
      </c>
      <c r="D933" s="6" t="n">
        <v>7416094308.23</v>
      </c>
      <c r="E933" s="6" t="n">
        <v>2743954.89</v>
      </c>
      <c r="F933" s="6" t="n">
        <v>20143.05</v>
      </c>
      <c r="G933" s="6" t="n">
        <f aca="false">E933+F933</f>
        <v>2764097.94</v>
      </c>
      <c r="H933" s="7" t="n">
        <f aca="false">IF(D933=0,0,C933/D933)</f>
        <v>0.0455346055045781</v>
      </c>
      <c r="I933" s="7" t="n">
        <f aca="false">IF(D933=0,0,B933/D933)</f>
        <v>0.954465394495422</v>
      </c>
      <c r="J933" s="6" t="n">
        <f aca="false">E933*H933</f>
        <v>124944.903438508</v>
      </c>
      <c r="K933" s="6" t="n">
        <f aca="false">E933*I933</f>
        <v>2619009.98656149</v>
      </c>
      <c r="L933" s="6" t="n">
        <v>239006.73</v>
      </c>
      <c r="M933" s="6" t="n">
        <v>2504948.16</v>
      </c>
      <c r="N933" s="6" t="n">
        <v>2567388</v>
      </c>
      <c r="O933" s="6" t="n">
        <v>2892903</v>
      </c>
      <c r="P933" s="7" t="n">
        <f aca="false">IF(O933=0,"",(G933-O933)/O933)</f>
        <v>-0.0445245001301461</v>
      </c>
      <c r="Q933" s="5" t="s">
        <v>26</v>
      </c>
      <c r="R933" s="5" t="s">
        <v>27</v>
      </c>
    </row>
    <row r="934" customFormat="false" ht="15" hidden="false" customHeight="true" outlineLevel="0" collapsed="false">
      <c r="A934" s="5" t="s">
        <v>958</v>
      </c>
      <c r="B934" s="6" t="n">
        <v>2342409581.15</v>
      </c>
      <c r="C934" s="6" t="n">
        <v>60225116.11</v>
      </c>
      <c r="D934" s="6" t="n">
        <v>2402634697.27</v>
      </c>
      <c r="E934" s="6" t="n">
        <v>888974.84</v>
      </c>
      <c r="F934" s="6" t="n">
        <v>7085.75</v>
      </c>
      <c r="G934" s="6" t="n">
        <f aca="false">E934+F934</f>
        <v>896060.59</v>
      </c>
      <c r="H934" s="7" t="n">
        <f aca="false">IF(D934=0,0,C934/D934)</f>
        <v>0.0250662808534443</v>
      </c>
      <c r="I934" s="7" t="n">
        <f aca="false">IF(D934=0,0,B934/D934)</f>
        <v>0.974933719142394</v>
      </c>
      <c r="J934" s="6" t="n">
        <f aca="false">E934*H934</f>
        <v>22283.2930110857</v>
      </c>
      <c r="K934" s="6" t="n">
        <f aca="false">E934*I934</f>
        <v>866691.546985214</v>
      </c>
      <c r="L934" s="6" t="n">
        <v>43476.78</v>
      </c>
      <c r="M934" s="6" t="n">
        <v>845498.05</v>
      </c>
      <c r="N934" s="6" t="n">
        <v>887055</v>
      </c>
      <c r="O934" s="6" t="n">
        <v>1030548</v>
      </c>
      <c r="P934" s="7" t="n">
        <f aca="false">IF(O934=0,"",(G934-O934)/O934)</f>
        <v>-0.130500869440337</v>
      </c>
      <c r="Q934" s="5" t="s">
        <v>26</v>
      </c>
      <c r="R934" s="5" t="s">
        <v>27</v>
      </c>
    </row>
    <row r="935" customFormat="false" ht="15" hidden="false" customHeight="true" outlineLevel="0" collapsed="false">
      <c r="A935" s="5" t="s">
        <v>959</v>
      </c>
      <c r="B935" s="6" t="n">
        <v>6051691032.19</v>
      </c>
      <c r="C935" s="6" t="n">
        <v>101338016.23</v>
      </c>
      <c r="D935" s="6" t="n">
        <v>6153029048.42</v>
      </c>
      <c r="E935" s="6" t="n">
        <v>2276620.75</v>
      </c>
      <c r="F935" s="6" t="n">
        <v>32537.24</v>
      </c>
      <c r="G935" s="6" t="n">
        <f aca="false">E935+F935</f>
        <v>2309157.99</v>
      </c>
      <c r="H935" s="7" t="n">
        <f aca="false">IF(D935=0,0,C935/D935)</f>
        <v>0.016469614466719</v>
      </c>
      <c r="I935" s="7" t="n">
        <f aca="false">IF(D935=0,0,B935/D935)</f>
        <v>0.983530385533281</v>
      </c>
      <c r="J935" s="6" t="n">
        <f aca="false">E935*H935</f>
        <v>37495.0660394326</v>
      </c>
      <c r="K935" s="6" t="n">
        <f aca="false">E935*I935</f>
        <v>2239125.68396057</v>
      </c>
      <c r="L935" s="6" t="n">
        <v>73775.08</v>
      </c>
      <c r="M935" s="6" t="n">
        <v>2202845.66</v>
      </c>
      <c r="N935" s="6" t="n">
        <v>2256876</v>
      </c>
      <c r="O935" s="6" t="n">
        <v>2504280</v>
      </c>
      <c r="P935" s="7" t="n">
        <f aca="false">IF(O935=0,"",(G935-O935)/O935)</f>
        <v>-0.0779154128132636</v>
      </c>
      <c r="Q935" s="5" t="s">
        <v>26</v>
      </c>
      <c r="R935" s="5" t="s">
        <v>27</v>
      </c>
    </row>
    <row r="936" customFormat="false" ht="15" hidden="false" customHeight="true" outlineLevel="0" collapsed="false">
      <c r="A936" s="5" t="s">
        <v>960</v>
      </c>
      <c r="B936" s="6" t="n">
        <v>5995925599.91</v>
      </c>
      <c r="C936" s="6" t="n">
        <v>303424289.35</v>
      </c>
      <c r="D936" s="6" t="n">
        <v>6299349889.26</v>
      </c>
      <c r="E936" s="6" t="n">
        <v>2330759.46</v>
      </c>
      <c r="F936" s="6" t="n">
        <v>18392.34</v>
      </c>
      <c r="G936" s="6" t="n">
        <f aca="false">E936+F936</f>
        <v>2349151.8</v>
      </c>
      <c r="H936" s="7" t="n">
        <f aca="false">IF(D936=0,0,C936/D936)</f>
        <v>0.0481675561262789</v>
      </c>
      <c r="I936" s="7" t="n">
        <f aca="false">IF(D936=0,0,B936/D936)</f>
        <v>0.951832443873721</v>
      </c>
      <c r="J936" s="6" t="n">
        <f aca="false">E936*H936</f>
        <v>112266.987106406</v>
      </c>
      <c r="K936" s="6" t="n">
        <f aca="false">E936*I936</f>
        <v>2218492.47289359</v>
      </c>
      <c r="L936" s="6" t="n">
        <v>214215.73</v>
      </c>
      <c r="M936" s="6" t="n">
        <v>2116543.73</v>
      </c>
      <c r="N936" s="6" t="n">
        <v>2231413</v>
      </c>
      <c r="O936" s="6" t="n">
        <v>2532435</v>
      </c>
      <c r="P936" s="7" t="n">
        <f aca="false">IF(O936=0,"",(G936-O936)/O936)</f>
        <v>-0.0723742958851857</v>
      </c>
      <c r="Q936" s="5" t="s">
        <v>26</v>
      </c>
      <c r="R936" s="5" t="s">
        <v>27</v>
      </c>
    </row>
    <row r="937" customFormat="false" ht="15" hidden="false" customHeight="true" outlineLevel="0" collapsed="false">
      <c r="A937" s="5" t="s">
        <v>961</v>
      </c>
      <c r="B937" s="6" t="n">
        <v>8394571898.99</v>
      </c>
      <c r="C937" s="6" t="n">
        <v>288573447.49</v>
      </c>
      <c r="D937" s="6" t="n">
        <v>8683145346.49</v>
      </c>
      <c r="E937" s="6" t="n">
        <v>3212763.78</v>
      </c>
      <c r="F937" s="6" t="n">
        <v>44360.27</v>
      </c>
      <c r="G937" s="6" t="n">
        <f aca="false">E937+F937</f>
        <v>3257124.05</v>
      </c>
      <c r="H937" s="7" t="n">
        <f aca="false">IF(D937=0,0,C937/D937)</f>
        <v>0.0332337460649153</v>
      </c>
      <c r="I937" s="7" t="n">
        <f aca="false">IF(D937=0,0,B937/D937)</f>
        <v>0.966766253933933</v>
      </c>
      <c r="J937" s="6" t="n">
        <f aca="false">E937*H937</f>
        <v>106772.175631078</v>
      </c>
      <c r="K937" s="6" t="n">
        <f aca="false">E937*I937</f>
        <v>3105991.60436522</v>
      </c>
      <c r="L937" s="6" t="n">
        <v>206675.74</v>
      </c>
      <c r="M937" s="6" t="n">
        <v>3006088.04</v>
      </c>
      <c r="N937" s="6" t="n">
        <v>3033155</v>
      </c>
      <c r="O937" s="6" t="n">
        <v>3376235</v>
      </c>
      <c r="P937" s="7" t="n">
        <f aca="false">IF(O937=0,"",(G937-O937)/O937)</f>
        <v>-0.0352792237507165</v>
      </c>
      <c r="Q937" s="5" t="s">
        <v>26</v>
      </c>
      <c r="R937" s="5" t="s">
        <v>27</v>
      </c>
    </row>
    <row r="938" customFormat="false" ht="15" hidden="false" customHeight="true" outlineLevel="0" collapsed="false">
      <c r="A938" s="5" t="s">
        <v>962</v>
      </c>
      <c r="B938" s="6" t="n">
        <v>7948970492.46</v>
      </c>
      <c r="C938" s="6" t="n">
        <v>396820136.35</v>
      </c>
      <c r="D938" s="6" t="n">
        <v>8345790628.81</v>
      </c>
      <c r="E938" s="6" t="n">
        <v>3087942.53</v>
      </c>
      <c r="F938" s="6" t="n">
        <v>25125.59</v>
      </c>
      <c r="G938" s="6" t="n">
        <f aca="false">E938+F938</f>
        <v>3113068.12</v>
      </c>
      <c r="H938" s="7" t="n">
        <f aca="false">IF(D938=0,0,C938/D938)</f>
        <v>0.047547339011856</v>
      </c>
      <c r="I938" s="7" t="n">
        <f aca="false">IF(D938=0,0,B938/D938)</f>
        <v>0.952452660988144</v>
      </c>
      <c r="J938" s="6" t="n">
        <f aca="false">E938*H938</f>
        <v>146823.450323038</v>
      </c>
      <c r="K938" s="6" t="n">
        <f aca="false">E938*I938</f>
        <v>2941119.07967696</v>
      </c>
      <c r="L938" s="6" t="n">
        <v>280318.5</v>
      </c>
      <c r="M938" s="6" t="n">
        <v>2807624.03</v>
      </c>
      <c r="N938" s="6" t="n">
        <v>2864859</v>
      </c>
      <c r="O938" s="6" t="n">
        <v>3224496</v>
      </c>
      <c r="P938" s="7" t="n">
        <f aca="false">IF(O938=0,"",(G938-O938)/O938)</f>
        <v>-0.0345566811061327</v>
      </c>
      <c r="Q938" s="5" t="s">
        <v>26</v>
      </c>
      <c r="R938" s="5" t="s">
        <v>27</v>
      </c>
    </row>
    <row r="939" customFormat="false" ht="15" hidden="false" customHeight="true" outlineLevel="0" collapsed="false">
      <c r="A939" s="5" t="s">
        <v>963</v>
      </c>
      <c r="B939" s="6" t="n">
        <v>7799431900.45</v>
      </c>
      <c r="C939" s="6" t="n">
        <v>476510012.25</v>
      </c>
      <c r="D939" s="6" t="n">
        <v>8275941912.7</v>
      </c>
      <c r="E939" s="6" t="n">
        <v>3062098.51</v>
      </c>
      <c r="F939" s="6" t="n">
        <v>25672.92</v>
      </c>
      <c r="G939" s="6" t="n">
        <f aca="false">E939+F939</f>
        <v>3087771.43</v>
      </c>
      <c r="H939" s="7" t="n">
        <f aca="false">IF(D939=0,0,C939/D939)</f>
        <v>0.0575777376492654</v>
      </c>
      <c r="I939" s="7" t="n">
        <f aca="false">IF(D939=0,0,B939/D939)</f>
        <v>0.942422262350735</v>
      </c>
      <c r="J939" s="6" t="n">
        <f aca="false">E939*H939</f>
        <v>176308.704664986</v>
      </c>
      <c r="K939" s="6" t="n">
        <f aca="false">E939*I939</f>
        <v>2885789.80533501</v>
      </c>
      <c r="L939" s="6" t="n">
        <v>333419.85</v>
      </c>
      <c r="M939" s="6" t="n">
        <v>2728678.66</v>
      </c>
      <c r="N939" s="6" t="n">
        <v>2882930</v>
      </c>
      <c r="O939" s="6" t="n">
        <v>3213392</v>
      </c>
      <c r="P939" s="7" t="n">
        <f aca="false">IF(O939=0,"",(G939-O939)/O939)</f>
        <v>-0.0390928246538238</v>
      </c>
      <c r="Q939" s="5" t="s">
        <v>26</v>
      </c>
      <c r="R939" s="5" t="s">
        <v>27</v>
      </c>
    </row>
    <row r="940" customFormat="false" ht="15" hidden="false" customHeight="true" outlineLevel="0" collapsed="false">
      <c r="A940" s="5" t="s">
        <v>964</v>
      </c>
      <c r="B940" s="6" t="n">
        <v>5893889703.06</v>
      </c>
      <c r="C940" s="6" t="n">
        <v>491267765.39</v>
      </c>
      <c r="D940" s="6" t="n">
        <v>6385157468.45</v>
      </c>
      <c r="E940" s="6" t="n">
        <v>2362508.26</v>
      </c>
      <c r="F940" s="6" t="n">
        <v>29186.65</v>
      </c>
      <c r="G940" s="6" t="n">
        <f aca="false">E940+F940</f>
        <v>2391694.91</v>
      </c>
      <c r="H940" s="7" t="n">
        <f aca="false">IF(D940=0,0,C940/D940)</f>
        <v>0.0769390211310255</v>
      </c>
      <c r="I940" s="7" t="n">
        <f aca="false">IF(D940=0,0,B940/D940)</f>
        <v>0.923060978868975</v>
      </c>
      <c r="J940" s="6" t="n">
        <f aca="false">E940*H940</f>
        <v>181769.072938362</v>
      </c>
      <c r="K940" s="6" t="n">
        <f aca="false">E940*I940</f>
        <v>2180739.18706164</v>
      </c>
      <c r="L940" s="6" t="n">
        <v>337566.14</v>
      </c>
      <c r="M940" s="6" t="n">
        <v>2024942.13</v>
      </c>
      <c r="N940" s="6" t="n">
        <v>2136305</v>
      </c>
      <c r="O940" s="6" t="n">
        <v>2381451</v>
      </c>
      <c r="P940" s="7" t="n">
        <f aca="false">IF(O940=0,"",(G940-O940)/O940)</f>
        <v>0.00430154137120591</v>
      </c>
      <c r="Q940" s="5" t="s">
        <v>26</v>
      </c>
      <c r="R940" s="5" t="s">
        <v>27</v>
      </c>
    </row>
    <row r="941" customFormat="false" ht="15" hidden="false" customHeight="true" outlineLevel="0" collapsed="false">
      <c r="A941" s="5" t="s">
        <v>965</v>
      </c>
      <c r="B941" s="6" t="n">
        <v>1449347167.14</v>
      </c>
      <c r="C941" s="6" t="n">
        <v>46591635.47</v>
      </c>
      <c r="D941" s="6" t="n">
        <v>1495938802.61</v>
      </c>
      <c r="E941" s="6" t="n">
        <v>553497.36</v>
      </c>
      <c r="F941" s="6" t="n">
        <v>14638.89</v>
      </c>
      <c r="G941" s="6" t="n">
        <f aca="false">E941+F941</f>
        <v>568136.25</v>
      </c>
      <c r="H941" s="7" t="n">
        <f aca="false">IF(D941=0,0,C941/D941)</f>
        <v>0.0311454154332453</v>
      </c>
      <c r="I941" s="7" t="n">
        <f aca="false">IF(D941=0,0,B941/D941)</f>
        <v>0.968854584566755</v>
      </c>
      <c r="J941" s="6" t="n">
        <f aca="false">E941*H941</f>
        <v>17238.9052184045</v>
      </c>
      <c r="K941" s="6" t="n">
        <f aca="false">E941*I941</f>
        <v>536258.454781596</v>
      </c>
      <c r="L941" s="6" t="n">
        <v>33436.42</v>
      </c>
      <c r="M941" s="6" t="n">
        <v>520060.94</v>
      </c>
      <c r="N941" s="6" t="n">
        <v>580436</v>
      </c>
      <c r="O941" s="6" t="n">
        <v>682421</v>
      </c>
      <c r="P941" s="7" t="n">
        <f aca="false">IF(O941=0,"",(G941-O941)/O941)</f>
        <v>-0.167469567906029</v>
      </c>
      <c r="Q941" s="5" t="s">
        <v>26</v>
      </c>
      <c r="R941" s="5" t="s">
        <v>27</v>
      </c>
    </row>
    <row r="942" customFormat="false" ht="15" hidden="false" customHeight="true" outlineLevel="0" collapsed="false">
      <c r="A942" s="5" t="s">
        <v>966</v>
      </c>
      <c r="B942" s="6" t="n">
        <v>3168539416.95</v>
      </c>
      <c r="C942" s="6" t="n">
        <v>142350093.39</v>
      </c>
      <c r="D942" s="6" t="n">
        <v>3310889510.34</v>
      </c>
      <c r="E942" s="6" t="n">
        <v>1225029.12</v>
      </c>
      <c r="F942" s="6" t="n">
        <v>19987.98</v>
      </c>
      <c r="G942" s="6" t="n">
        <f aca="false">E942+F942</f>
        <v>1245017.1</v>
      </c>
      <c r="H942" s="7" t="n">
        <f aca="false">IF(D942=0,0,C942/D942)</f>
        <v>0.0429945164118092</v>
      </c>
      <c r="I942" s="7" t="n">
        <f aca="false">IF(D942=0,0,B942/D942)</f>
        <v>0.957005483588191</v>
      </c>
      <c r="J942" s="6" t="n">
        <f aca="false">E942*H942</f>
        <v>52669.5346047842</v>
      </c>
      <c r="K942" s="6" t="n">
        <f aca="false">E942*I942</f>
        <v>1172359.58539522</v>
      </c>
      <c r="L942" s="6" t="n">
        <v>100996.76</v>
      </c>
      <c r="M942" s="6" t="n">
        <v>1124032.36</v>
      </c>
      <c r="N942" s="6" t="n">
        <v>1239775</v>
      </c>
      <c r="O942" s="6" t="n">
        <v>1433896</v>
      </c>
      <c r="P942" s="7" t="n">
        <f aca="false">IF(O942=0,"",(G942-O942)/O942)</f>
        <v>-0.131724267310879</v>
      </c>
      <c r="Q942" s="5" t="s">
        <v>26</v>
      </c>
      <c r="R942" s="5" t="s">
        <v>27</v>
      </c>
    </row>
    <row r="943" customFormat="false" ht="15" hidden="false" customHeight="true" outlineLevel="0" collapsed="false">
      <c r="A943" s="5" t="s">
        <v>967</v>
      </c>
      <c r="B943" s="6" t="n">
        <v>7466293547.35</v>
      </c>
      <c r="C943" s="6" t="n">
        <v>340496991.35</v>
      </c>
      <c r="D943" s="6" t="n">
        <v>7806790538.7</v>
      </c>
      <c r="E943" s="6" t="n">
        <v>2888512.5</v>
      </c>
      <c r="F943" s="6" t="n">
        <v>28621.06</v>
      </c>
      <c r="G943" s="6" t="n">
        <f aca="false">E943+F943</f>
        <v>2917133.56</v>
      </c>
      <c r="H943" s="7" t="n">
        <f aca="false">IF(D943=0,0,C943/D943)</f>
        <v>0.0436154895743751</v>
      </c>
      <c r="I943" s="7" t="n">
        <f aca="false">IF(D943=0,0,B943/D943)</f>
        <v>0.956384510425625</v>
      </c>
      <c r="J943" s="6" t="n">
        <f aca="false">E943*H943</f>
        <v>125983.886829202</v>
      </c>
      <c r="K943" s="6" t="n">
        <f aca="false">E943*I943</f>
        <v>2762528.6131708</v>
      </c>
      <c r="L943" s="6" t="n">
        <v>241437.36</v>
      </c>
      <c r="M943" s="6" t="n">
        <v>2647075.13</v>
      </c>
      <c r="N943" s="6" t="n">
        <v>2508769</v>
      </c>
      <c r="O943" s="6" t="n">
        <v>2800056</v>
      </c>
      <c r="P943" s="7" t="n">
        <f aca="false">IF(O943=0,"",(G943-O943)/O943)</f>
        <v>0.0418125780341536</v>
      </c>
      <c r="Q943" s="5" t="s">
        <v>26</v>
      </c>
      <c r="R943" s="5" t="s">
        <v>27</v>
      </c>
    </row>
    <row r="944" customFormat="false" ht="15" hidden="false" customHeight="true" outlineLevel="0" collapsed="false">
      <c r="A944" s="5" t="s">
        <v>968</v>
      </c>
      <c r="B944" s="6" t="n">
        <v>5164187267.6</v>
      </c>
      <c r="C944" s="6" t="n">
        <v>376738432.91</v>
      </c>
      <c r="D944" s="6" t="n">
        <v>5540925700.5</v>
      </c>
      <c r="E944" s="6" t="n">
        <v>2050142.51</v>
      </c>
      <c r="F944" s="6" t="n">
        <v>26377.93</v>
      </c>
      <c r="G944" s="6" t="n">
        <f aca="false">E944+F944</f>
        <v>2076520.44</v>
      </c>
      <c r="H944" s="7" t="n">
        <f aca="false">IF(D944=0,0,C944/D944)</f>
        <v>0.067991966193664</v>
      </c>
      <c r="I944" s="7" t="n">
        <f aca="false">IF(D944=0,0,B944/D944)</f>
        <v>0.932008033808141</v>
      </c>
      <c r="J944" s="6" t="n">
        <f aca="false">E944*H944</f>
        <v>139393.220232113</v>
      </c>
      <c r="K944" s="6" t="n">
        <f aca="false">E944*I944</f>
        <v>1910749.28977159</v>
      </c>
      <c r="L944" s="6" t="n">
        <v>261037.96</v>
      </c>
      <c r="M944" s="6" t="n">
        <v>1789104.55</v>
      </c>
      <c r="N944" s="6" t="n">
        <v>1917513</v>
      </c>
      <c r="O944" s="6" t="n">
        <v>2174371</v>
      </c>
      <c r="P944" s="7" t="n">
        <f aca="false">IF(O944=0,"",(G944-O944)/O944)</f>
        <v>-0.0450017775255465</v>
      </c>
      <c r="Q944" s="5" t="s">
        <v>26</v>
      </c>
      <c r="R944" s="5" t="s">
        <v>27</v>
      </c>
    </row>
    <row r="945" customFormat="false" ht="15" hidden="false" customHeight="true" outlineLevel="0" collapsed="false">
      <c r="A945" s="5" t="s">
        <v>969</v>
      </c>
      <c r="B945" s="6" t="n">
        <v>7767570286.71</v>
      </c>
      <c r="C945" s="6" t="n">
        <v>376182993.88</v>
      </c>
      <c r="D945" s="6" t="n">
        <v>8143753280.58</v>
      </c>
      <c r="E945" s="6" t="n">
        <v>3013188.71</v>
      </c>
      <c r="F945" s="6" t="n">
        <v>60744.52</v>
      </c>
      <c r="G945" s="6" t="n">
        <f aca="false">E945+F945</f>
        <v>3073933.23</v>
      </c>
      <c r="H945" s="7" t="n">
        <f aca="false">IF(D945=0,0,C945/D945)</f>
        <v>0.0461928279159764</v>
      </c>
      <c r="I945" s="7" t="n">
        <f aca="false">IF(D945=0,0,B945/D945)</f>
        <v>0.953807172085252</v>
      </c>
      <c r="J945" s="6" t="n">
        <f aca="false">E945*H945</f>
        <v>139187.707559393</v>
      </c>
      <c r="K945" s="6" t="n">
        <f aca="false">E945*I945</f>
        <v>2874001.00244431</v>
      </c>
      <c r="L945" s="6" t="n">
        <v>266084.23</v>
      </c>
      <c r="M945" s="6" t="n">
        <v>2747104.48</v>
      </c>
      <c r="N945" s="6" t="n">
        <v>2811574</v>
      </c>
      <c r="O945" s="6" t="n">
        <v>3155330</v>
      </c>
      <c r="P945" s="7" t="n">
        <f aca="false">IF(O945=0,"",(G945-O945)/O945)</f>
        <v>-0.0257965949678798</v>
      </c>
      <c r="Q945" s="5" t="s">
        <v>26</v>
      </c>
      <c r="R945" s="5" t="s">
        <v>27</v>
      </c>
    </row>
    <row r="946" customFormat="false" ht="15" hidden="false" customHeight="true" outlineLevel="0" collapsed="false">
      <c r="A946" s="5" t="s">
        <v>970</v>
      </c>
      <c r="B946" s="6" t="n">
        <v>8210529594.51</v>
      </c>
      <c r="C946" s="6" t="n">
        <v>380613769.84</v>
      </c>
      <c r="D946" s="6" t="n">
        <v>8591143364.35</v>
      </c>
      <c r="E946" s="6" t="n">
        <v>3178723.04</v>
      </c>
      <c r="F946" s="6" t="n">
        <v>61724.03</v>
      </c>
      <c r="G946" s="6" t="n">
        <f aca="false">E946+F946</f>
        <v>3240447.07</v>
      </c>
      <c r="H946" s="7" t="n">
        <f aca="false">IF(D946=0,0,C946/D946)</f>
        <v>0.0443030402006098</v>
      </c>
      <c r="I946" s="7" t="n">
        <f aca="false">IF(D946=0,0,B946/D946)</f>
        <v>0.95569695979939</v>
      </c>
      <c r="J946" s="6" t="n">
        <f aca="false">E946*H946</f>
        <v>140827.094627725</v>
      </c>
      <c r="K946" s="6" t="n">
        <f aca="false">E946*I946</f>
        <v>3037895.94537228</v>
      </c>
      <c r="L946" s="6" t="n">
        <v>269705.42</v>
      </c>
      <c r="M946" s="6" t="n">
        <v>2909017.63</v>
      </c>
      <c r="N946" s="6" t="n">
        <v>3104259</v>
      </c>
      <c r="O946" s="6" t="n">
        <v>3464573</v>
      </c>
      <c r="P946" s="7" t="n">
        <f aca="false">IF(O946=0,"",(G946-O946)/O946)</f>
        <v>-0.0646907800759286</v>
      </c>
      <c r="Q946" s="5" t="s">
        <v>26</v>
      </c>
      <c r="R946" s="5" t="s">
        <v>27</v>
      </c>
    </row>
    <row r="947" customFormat="false" ht="15" hidden="false" customHeight="true" outlineLevel="0" collapsed="false">
      <c r="A947" s="5" t="s">
        <v>971</v>
      </c>
      <c r="B947" s="6" t="n">
        <v>6981320861.51</v>
      </c>
      <c r="C947" s="6" t="n">
        <v>280574366.98</v>
      </c>
      <c r="D947" s="6" t="n">
        <v>7261895228.49</v>
      </c>
      <c r="E947" s="6" t="n">
        <v>2686901.23</v>
      </c>
      <c r="F947" s="6" t="n">
        <v>30212.21</v>
      </c>
      <c r="G947" s="6" t="n">
        <f aca="false">E947+F947</f>
        <v>2717113.44</v>
      </c>
      <c r="H947" s="7" t="n">
        <f aca="false">IF(D947=0,0,C947/D947)</f>
        <v>0.0386365209290332</v>
      </c>
      <c r="I947" s="7" t="n">
        <f aca="false">IF(D947=0,0,B947/D947)</f>
        <v>0.961363479070967</v>
      </c>
      <c r="J947" s="6" t="n">
        <f aca="false">E947*H947</f>
        <v>103812.51560714</v>
      </c>
      <c r="K947" s="6" t="n">
        <f aca="false">E947*I947</f>
        <v>2583088.71439286</v>
      </c>
      <c r="L947" s="6" t="n">
        <v>199901.53</v>
      </c>
      <c r="M947" s="6" t="n">
        <v>2486999.7</v>
      </c>
      <c r="N947" s="6" t="n">
        <v>2439717</v>
      </c>
      <c r="O947" s="6" t="n">
        <v>2732919</v>
      </c>
      <c r="P947" s="7" t="n">
        <f aca="false">IF(O947=0,"",(G947-O947)/O947)</f>
        <v>-0.00578339862981671</v>
      </c>
      <c r="Q947" s="5" t="s">
        <v>26</v>
      </c>
      <c r="R947" s="5" t="s">
        <v>27</v>
      </c>
    </row>
    <row r="948" customFormat="false" ht="15" hidden="false" customHeight="true" outlineLevel="0" collapsed="false">
      <c r="A948" s="5" t="s">
        <v>972</v>
      </c>
      <c r="B948" s="6" t="n">
        <v>1593104348.47</v>
      </c>
      <c r="C948" s="6" t="n">
        <v>63353478.05</v>
      </c>
      <c r="D948" s="6" t="n">
        <v>1656457826.52</v>
      </c>
      <c r="E948" s="6" t="n">
        <v>612889.4</v>
      </c>
      <c r="F948" s="6" t="n">
        <v>11551.12</v>
      </c>
      <c r="G948" s="6" t="n">
        <f aca="false">E948+F948</f>
        <v>624440.52</v>
      </c>
      <c r="H948" s="7" t="n">
        <f aca="false">IF(D948=0,0,C948/D948)</f>
        <v>0.0382463573993292</v>
      </c>
      <c r="I948" s="7" t="n">
        <f aca="false">IF(D948=0,0,B948/D948)</f>
        <v>0.961753642600671</v>
      </c>
      <c r="J948" s="6" t="n">
        <f aca="false">E948*H948</f>
        <v>23440.7870386604</v>
      </c>
      <c r="K948" s="6" t="n">
        <f aca="false">E948*I948</f>
        <v>589448.61296134</v>
      </c>
      <c r="L948" s="6" t="n">
        <v>45154.58</v>
      </c>
      <c r="M948" s="6" t="n">
        <v>567734.82</v>
      </c>
      <c r="N948" s="6" t="n">
        <v>625308</v>
      </c>
      <c r="O948" s="6" t="n">
        <v>738524</v>
      </c>
      <c r="P948" s="7" t="n">
        <f aca="false">IF(O948=0,"",(G948-O948)/O948)</f>
        <v>-0.154474979824623</v>
      </c>
      <c r="Q948" s="5" t="s">
        <v>26</v>
      </c>
      <c r="R948" s="5" t="s">
        <v>27</v>
      </c>
    </row>
    <row r="949" customFormat="false" ht="15" hidden="false" customHeight="true" outlineLevel="0" collapsed="false">
      <c r="A949" s="5" t="s">
        <v>973</v>
      </c>
      <c r="B949" s="6" t="n">
        <v>2416410947.34</v>
      </c>
      <c r="C949" s="6" t="n">
        <v>57160395.6</v>
      </c>
      <c r="D949" s="6" t="n">
        <v>2473571342.94</v>
      </c>
      <c r="E949" s="6" t="n">
        <v>915221.4</v>
      </c>
      <c r="F949" s="6" t="n">
        <v>9772.71</v>
      </c>
      <c r="G949" s="6" t="n">
        <f aca="false">E949+F949</f>
        <v>924994.11</v>
      </c>
      <c r="H949" s="7" t="n">
        <f aca="false">IF(D949=0,0,C949/D949)</f>
        <v>0.0231084483425738</v>
      </c>
      <c r="I949" s="7" t="n">
        <f aca="false">IF(D949=0,0,B949/D949)</f>
        <v>0.976891551657426</v>
      </c>
      <c r="J949" s="6" t="n">
        <f aca="false">E949*H949</f>
        <v>21149.3464439181</v>
      </c>
      <c r="K949" s="6" t="n">
        <f aca="false">E949*I949</f>
        <v>894072.053556082</v>
      </c>
      <c r="L949" s="6" t="n">
        <v>41343.31</v>
      </c>
      <c r="M949" s="6" t="n">
        <v>873878.08</v>
      </c>
      <c r="N949" s="6" t="n">
        <v>908950</v>
      </c>
      <c r="O949" s="6" t="n">
        <v>1045870</v>
      </c>
      <c r="P949" s="7" t="n">
        <f aca="false">IF(O949=0,"",(G949-O949)/O949)</f>
        <v>-0.115574488225114</v>
      </c>
      <c r="Q949" s="5" t="s">
        <v>26</v>
      </c>
      <c r="R949" s="5" t="s">
        <v>27</v>
      </c>
    </row>
    <row r="950" customFormat="false" ht="15" hidden="false" customHeight="true" outlineLevel="0" collapsed="false">
      <c r="A950" s="5" t="s">
        <v>974</v>
      </c>
      <c r="B950" s="6" t="n">
        <v>6039055916.9</v>
      </c>
      <c r="C950" s="6" t="n">
        <v>200600846.87</v>
      </c>
      <c r="D950" s="6" t="n">
        <v>6239656763.77</v>
      </c>
      <c r="E950" s="6" t="n">
        <v>2308673</v>
      </c>
      <c r="F950" s="6" t="n">
        <v>13900.16</v>
      </c>
      <c r="G950" s="6" t="n">
        <f aca="false">E950+F950</f>
        <v>2322573.16</v>
      </c>
      <c r="H950" s="7" t="n">
        <f aca="false">IF(D950=0,0,C950/D950)</f>
        <v>0.0321493400141448</v>
      </c>
      <c r="I950" s="7" t="n">
        <f aca="false">IF(D950=0,0,B950/D950)</f>
        <v>0.967850659985855</v>
      </c>
      <c r="J950" s="6" t="n">
        <f aca="false">E950*H950</f>
        <v>74222.3132584757</v>
      </c>
      <c r="K950" s="6" t="n">
        <f aca="false">E950*I950</f>
        <v>2234450.68674152</v>
      </c>
      <c r="L950" s="6" t="n">
        <v>143820.88</v>
      </c>
      <c r="M950" s="6" t="n">
        <v>2164852.12</v>
      </c>
      <c r="N950" s="6" t="n">
        <v>2171058</v>
      </c>
      <c r="O950" s="6" t="n">
        <v>2453148</v>
      </c>
      <c r="P950" s="7" t="n">
        <f aca="false">IF(O950=0,"",(G950-O950)/O950)</f>
        <v>-0.0532274612049497</v>
      </c>
      <c r="Q950" s="5" t="s">
        <v>26</v>
      </c>
      <c r="R950" s="5" t="s">
        <v>27</v>
      </c>
    </row>
    <row r="951" customFormat="false" ht="15" hidden="false" customHeight="true" outlineLevel="0" collapsed="false">
      <c r="A951" s="5" t="s">
        <v>975</v>
      </c>
      <c r="B951" s="6" t="n">
        <v>5144879158.45</v>
      </c>
      <c r="C951" s="6" t="n">
        <v>274471326.21</v>
      </c>
      <c r="D951" s="6" t="n">
        <v>5419350484.66</v>
      </c>
      <c r="E951" s="6" t="n">
        <v>2005159.68</v>
      </c>
      <c r="F951" s="6" t="n">
        <v>12208.07</v>
      </c>
      <c r="G951" s="6" t="n">
        <f aca="false">E951+F951</f>
        <v>2017367.75</v>
      </c>
      <c r="H951" s="7" t="n">
        <f aca="false">IF(D951=0,0,C951/D951)</f>
        <v>0.0506465354080563</v>
      </c>
      <c r="I951" s="7" t="n">
        <f aca="false">IF(D951=0,0,B951/D951)</f>
        <v>0.949353464591944</v>
      </c>
      <c r="J951" s="6" t="n">
        <f aca="false">E951*H951</f>
        <v>101554.390731927</v>
      </c>
      <c r="K951" s="6" t="n">
        <f aca="false">E951*I951</f>
        <v>1903605.28926807</v>
      </c>
      <c r="L951" s="6" t="n">
        <v>193317.9</v>
      </c>
      <c r="M951" s="6" t="n">
        <v>1811841.78</v>
      </c>
      <c r="N951" s="6" t="n">
        <v>1922898</v>
      </c>
      <c r="O951" s="6" t="n">
        <v>2160574</v>
      </c>
      <c r="P951" s="7" t="n">
        <f aca="false">IF(O951=0,"",(G951-O951)/O951)</f>
        <v>-0.0662815760996846</v>
      </c>
      <c r="Q951" s="5" t="s">
        <v>26</v>
      </c>
      <c r="R951" s="5" t="s">
        <v>27</v>
      </c>
    </row>
    <row r="952" customFormat="false" ht="15" hidden="false" customHeight="true" outlineLevel="0" collapsed="false">
      <c r="A952" s="5" t="s">
        <v>976</v>
      </c>
      <c r="B952" s="6" t="n">
        <v>3397530941.4</v>
      </c>
      <c r="C952" s="6" t="n">
        <v>153810285.28</v>
      </c>
      <c r="D952" s="6" t="n">
        <v>3551341226.68</v>
      </c>
      <c r="E952" s="6" t="n">
        <v>1313996.25</v>
      </c>
      <c r="F952" s="6" t="n">
        <v>8642.59</v>
      </c>
      <c r="G952" s="6" t="n">
        <f aca="false">E952+F952</f>
        <v>1322638.84</v>
      </c>
      <c r="H952" s="7" t="n">
        <f aca="false">IF(D952=0,0,C952/D952)</f>
        <v>0.0433104777779382</v>
      </c>
      <c r="I952" s="7" t="n">
        <f aca="false">IF(D952=0,0,B952/D952)</f>
        <v>0.956689522222062</v>
      </c>
      <c r="J952" s="6" t="n">
        <f aca="false">E952*H952</f>
        <v>56909.8053859192</v>
      </c>
      <c r="K952" s="6" t="n">
        <f aca="false">E952*I952</f>
        <v>1257086.44461408</v>
      </c>
      <c r="L952" s="6" t="n">
        <v>109094.67</v>
      </c>
      <c r="M952" s="6" t="n">
        <v>1204901.58</v>
      </c>
      <c r="N952" s="6" t="n">
        <v>1204545</v>
      </c>
      <c r="O952" s="6" t="n">
        <v>1359378</v>
      </c>
      <c r="P952" s="7" t="n">
        <f aca="false">IF(O952=0,"",(G952-O952)/O952)</f>
        <v>-0.0270264488611703</v>
      </c>
      <c r="Q952" s="5" t="s">
        <v>26</v>
      </c>
      <c r="R952" s="5" t="s">
        <v>27</v>
      </c>
    </row>
    <row r="953" customFormat="false" ht="15" hidden="false" customHeight="true" outlineLevel="0" collapsed="false">
      <c r="A953" s="5" t="s">
        <v>977</v>
      </c>
      <c r="B953" s="6" t="n">
        <v>2441499510.25</v>
      </c>
      <c r="C953" s="6" t="n">
        <v>61339405</v>
      </c>
      <c r="D953" s="6" t="n">
        <v>2502838915.25</v>
      </c>
      <c r="E953" s="6" t="n">
        <v>926050.4</v>
      </c>
      <c r="F953" s="6" t="n">
        <v>7368.95</v>
      </c>
      <c r="G953" s="6" t="n">
        <f aca="false">E953+F953</f>
        <v>933419.35</v>
      </c>
      <c r="H953" s="7" t="n">
        <f aca="false">IF(D953=0,0,C953/D953)</f>
        <v>0.024507931623667</v>
      </c>
      <c r="I953" s="7" t="n">
        <f aca="false">IF(D953=0,0,B953/D953)</f>
        <v>0.975492068376333</v>
      </c>
      <c r="J953" s="6" t="n">
        <f aca="false">E953*H953</f>
        <v>22695.5798832695</v>
      </c>
      <c r="K953" s="6" t="n">
        <f aca="false">E953*I953</f>
        <v>903354.820116731</v>
      </c>
      <c r="L953" s="6" t="n">
        <v>44305.33</v>
      </c>
      <c r="M953" s="6" t="n">
        <v>881745.07</v>
      </c>
      <c r="N953" s="6" t="n">
        <v>851772</v>
      </c>
      <c r="O953" s="6" t="n">
        <v>975968</v>
      </c>
      <c r="P953" s="7" t="n">
        <f aca="false">IF(O953=0,"",(G953-O953)/O953)</f>
        <v>-0.0435963576674645</v>
      </c>
      <c r="Q953" s="5" t="s">
        <v>26</v>
      </c>
      <c r="R953" s="5" t="s">
        <v>27</v>
      </c>
    </row>
    <row r="954" customFormat="false" ht="15" hidden="false" customHeight="true" outlineLevel="0" collapsed="false">
      <c r="A954" s="5" t="s">
        <v>978</v>
      </c>
      <c r="B954" s="6" t="n">
        <v>4679468130.41</v>
      </c>
      <c r="C954" s="6" t="n">
        <v>230692597.83</v>
      </c>
      <c r="D954" s="6" t="n">
        <v>4910160728.23</v>
      </c>
      <c r="E954" s="6" t="n">
        <v>1816759.47</v>
      </c>
      <c r="F954" s="6" t="n">
        <v>8626.65</v>
      </c>
      <c r="G954" s="6" t="n">
        <f aca="false">E954+F954</f>
        <v>1825386.12</v>
      </c>
      <c r="H954" s="7" t="n">
        <f aca="false">IF(D954=0,0,C954/D954)</f>
        <v>0.0469826978379096</v>
      </c>
      <c r="I954" s="7" t="n">
        <f aca="false">IF(D954=0,0,B954/D954)</f>
        <v>0.953017302164127</v>
      </c>
      <c r="J954" s="6" t="n">
        <f aca="false">E954*H954</f>
        <v>85356.2612231707</v>
      </c>
      <c r="K954" s="6" t="n">
        <f aca="false">E954*I954</f>
        <v>1731403.20878053</v>
      </c>
      <c r="L954" s="6" t="n">
        <v>163051.9</v>
      </c>
      <c r="M954" s="6" t="n">
        <v>1653707.57</v>
      </c>
      <c r="N954" s="6" t="n">
        <v>1687383</v>
      </c>
      <c r="O954" s="6" t="n">
        <v>1914245</v>
      </c>
      <c r="P954" s="7" t="n">
        <f aca="false">IF(O954=0,"",(G954-O954)/O954)</f>
        <v>-0.0464198051973494</v>
      </c>
      <c r="Q954" s="5" t="s">
        <v>26</v>
      </c>
      <c r="R954" s="5" t="s">
        <v>27</v>
      </c>
    </row>
    <row r="955" customFormat="false" ht="15" hidden="false" customHeight="true" outlineLevel="0" collapsed="false">
      <c r="A955" s="5" t="s">
        <v>979</v>
      </c>
      <c r="B955" s="6" t="n">
        <v>1344478743.93</v>
      </c>
      <c r="C955" s="6" t="n">
        <v>64067621.14</v>
      </c>
      <c r="D955" s="6" t="n">
        <v>1408546365.07</v>
      </c>
      <c r="E955" s="6" t="n">
        <v>521162.16</v>
      </c>
      <c r="F955" s="6" t="n">
        <v>7993.64</v>
      </c>
      <c r="G955" s="6" t="n">
        <f aca="false">E955+F955</f>
        <v>529155.8</v>
      </c>
      <c r="H955" s="7" t="n">
        <f aca="false">IF(D955=0,0,C955/D955)</f>
        <v>0.045484921709919</v>
      </c>
      <c r="I955" s="7" t="n">
        <f aca="false">IF(D955=0,0,B955/D955)</f>
        <v>0.954515078290081</v>
      </c>
      <c r="J955" s="6" t="n">
        <f aca="false">E955*H955</f>
        <v>23705.0200457723</v>
      </c>
      <c r="K955" s="6" t="n">
        <f aca="false">E955*I955</f>
        <v>497457.139954228</v>
      </c>
      <c r="L955" s="6" t="n">
        <v>45347.42</v>
      </c>
      <c r="M955" s="6" t="n">
        <v>475814.74</v>
      </c>
      <c r="N955" s="6" t="n">
        <v>538802</v>
      </c>
      <c r="O955" s="6" t="n">
        <v>637349</v>
      </c>
      <c r="P955" s="7" t="n">
        <f aca="false">IF(O955=0,"",(G955-O955)/O955)</f>
        <v>-0.169755032172326</v>
      </c>
      <c r="Q955" s="5" t="s">
        <v>26</v>
      </c>
      <c r="R955" s="5" t="s">
        <v>27</v>
      </c>
    </row>
    <row r="956" customFormat="false" ht="15" hidden="false" customHeight="true" outlineLevel="0" collapsed="false">
      <c r="A956" s="5" t="s">
        <v>980</v>
      </c>
      <c r="B956" s="6" t="n">
        <v>1865394194.42</v>
      </c>
      <c r="C956" s="6" t="n">
        <v>74842540.77</v>
      </c>
      <c r="D956" s="6" t="n">
        <v>1940236735.2</v>
      </c>
      <c r="E956" s="6" t="n">
        <v>717887.59</v>
      </c>
      <c r="F956" s="6" t="n">
        <v>8397.42</v>
      </c>
      <c r="G956" s="6" t="n">
        <f aca="false">E956+F956</f>
        <v>726285.01</v>
      </c>
      <c r="H956" s="7" t="n">
        <f aca="false">IF(D956=0,0,C956/D956)</f>
        <v>0.0385739221468174</v>
      </c>
      <c r="I956" s="7" t="n">
        <f aca="false">IF(D956=0,0,B956/D956)</f>
        <v>0.961426077848029</v>
      </c>
      <c r="J956" s="6" t="n">
        <f aca="false">E956*H956</f>
        <v>27691.7400068264</v>
      </c>
      <c r="K956" s="6" t="n">
        <f aca="false">E956*I956</f>
        <v>690195.849989474</v>
      </c>
      <c r="L956" s="6" t="n">
        <v>53326.47</v>
      </c>
      <c r="M956" s="6" t="n">
        <v>664561.12</v>
      </c>
      <c r="N956" s="6" t="n">
        <v>695497</v>
      </c>
      <c r="O956" s="6" t="n">
        <v>811047</v>
      </c>
      <c r="P956" s="7" t="n">
        <f aca="false">IF(O956=0,"",(G956-O956)/O956)</f>
        <v>-0.104509344094732</v>
      </c>
      <c r="Q956" s="5" t="s">
        <v>26</v>
      </c>
      <c r="R956" s="5" t="s">
        <v>27</v>
      </c>
    </row>
    <row r="957" customFormat="false" ht="15" hidden="false" customHeight="true" outlineLevel="0" collapsed="false">
      <c r="A957" s="5" t="s">
        <v>981</v>
      </c>
      <c r="B957" s="6" t="n">
        <v>6657247052.17</v>
      </c>
      <c r="C957" s="6" t="n">
        <v>300426472.63</v>
      </c>
      <c r="D957" s="6" t="n">
        <v>6957673524.8</v>
      </c>
      <c r="E957" s="6" t="n">
        <v>2574339.2</v>
      </c>
      <c r="F957" s="6" t="n">
        <v>16272.22</v>
      </c>
      <c r="G957" s="6" t="n">
        <f aca="false">E957+F957</f>
        <v>2590611.42</v>
      </c>
      <c r="H957" s="7" t="n">
        <f aca="false">IF(D957=0,0,C957/D957)</f>
        <v>0.0431791563026286</v>
      </c>
      <c r="I957" s="7" t="n">
        <f aca="false">IF(D957=0,0,B957/D957)</f>
        <v>0.956820843697371</v>
      </c>
      <c r="J957" s="6" t="n">
        <f aca="false">E957*H957</f>
        <v>111157.794692784</v>
      </c>
      <c r="K957" s="6" t="n">
        <f aca="false">E957*I957</f>
        <v>2463181.40530722</v>
      </c>
      <c r="L957" s="6" t="n">
        <v>213113.53</v>
      </c>
      <c r="M957" s="6" t="n">
        <v>2361225.68</v>
      </c>
      <c r="N957" s="6" t="n">
        <v>2358263</v>
      </c>
      <c r="O957" s="6" t="n">
        <v>2636009</v>
      </c>
      <c r="P957" s="7" t="n">
        <f aca="false">IF(O957=0,"",(G957-O957)/O957)</f>
        <v>-0.0172220883919591</v>
      </c>
      <c r="Q957" s="5" t="s">
        <v>26</v>
      </c>
      <c r="R957" s="5" t="s">
        <v>27</v>
      </c>
    </row>
    <row r="958" customFormat="false" ht="15" hidden="false" customHeight="true" outlineLevel="0" collapsed="false">
      <c r="A958" s="5" t="s">
        <v>982</v>
      </c>
      <c r="B958" s="6" t="n">
        <v>3777819731.83</v>
      </c>
      <c r="C958" s="6" t="n">
        <v>316073006.36</v>
      </c>
      <c r="D958" s="6" t="n">
        <v>4093892738.19</v>
      </c>
      <c r="E958" s="6" t="n">
        <v>1514740.31</v>
      </c>
      <c r="F958" s="6" t="n">
        <v>10275.55</v>
      </c>
      <c r="G958" s="6" t="n">
        <f aca="false">E958+F958</f>
        <v>1525015.86</v>
      </c>
      <c r="H958" s="7" t="n">
        <f aca="false">IF(D958=0,0,C958/D958)</f>
        <v>0.0772059813417933</v>
      </c>
      <c r="I958" s="7" t="n">
        <f aca="false">IF(D958=0,0,B958/D958)</f>
        <v>0.922794018658207</v>
      </c>
      <c r="J958" s="6" t="n">
        <f aca="false">E958*H958</f>
        <v>116947.012111522</v>
      </c>
      <c r="K958" s="6" t="n">
        <f aca="false">E958*I958</f>
        <v>1397793.29788848</v>
      </c>
      <c r="L958" s="6" t="n">
        <v>217130.27</v>
      </c>
      <c r="M958" s="6" t="n">
        <v>1297610.04</v>
      </c>
      <c r="N958" s="6" t="n">
        <v>1459474</v>
      </c>
      <c r="O958" s="6" t="n">
        <v>1689591</v>
      </c>
      <c r="P958" s="7" t="n">
        <f aca="false">IF(O958=0,"",(G958-O958)/O958)</f>
        <v>-0.0974053128834137</v>
      </c>
      <c r="Q958" s="5" t="s">
        <v>26</v>
      </c>
      <c r="R958" s="5" t="s">
        <v>27</v>
      </c>
    </row>
    <row r="959" customFormat="false" ht="15" hidden="false" customHeight="true" outlineLevel="0" collapsed="false">
      <c r="A959" s="5" t="s">
        <v>983</v>
      </c>
      <c r="B959" s="6" t="n">
        <v>3105265399.65</v>
      </c>
      <c r="C959" s="6" t="n">
        <v>233443844.04</v>
      </c>
      <c r="D959" s="6" t="n">
        <v>3338709243.69</v>
      </c>
      <c r="E959" s="6" t="n">
        <v>1235322.42</v>
      </c>
      <c r="F959" s="6" t="n">
        <v>6587.88</v>
      </c>
      <c r="G959" s="6" t="n">
        <f aca="false">E959+F959</f>
        <v>1241910.3</v>
      </c>
      <c r="H959" s="7" t="n">
        <f aca="false">IF(D959=0,0,C959/D959)</f>
        <v>0.0699203874914228</v>
      </c>
      <c r="I959" s="7" t="n">
        <f aca="false">IF(D959=0,0,B959/D959)</f>
        <v>0.930079612508577</v>
      </c>
      <c r="J959" s="6" t="n">
        <f aca="false">E959*H959</f>
        <v>86374.2222832421</v>
      </c>
      <c r="K959" s="6" t="n">
        <f aca="false">E959*I959</f>
        <v>1148948.19771676</v>
      </c>
      <c r="L959" s="6" t="n">
        <v>161459.16</v>
      </c>
      <c r="M959" s="6" t="n">
        <v>1073863.26</v>
      </c>
      <c r="N959" s="6" t="n">
        <v>1239076</v>
      </c>
      <c r="O959" s="6" t="n">
        <v>1474783</v>
      </c>
      <c r="P959" s="7" t="n">
        <f aca="false">IF(O959=0,"",(G959-O959)/O959)</f>
        <v>-0.157903027089409</v>
      </c>
      <c r="Q959" s="5" t="s">
        <v>26</v>
      </c>
      <c r="R959" s="5" t="s">
        <v>27</v>
      </c>
    </row>
    <row r="960" customFormat="false" ht="15" hidden="false" customHeight="true" outlineLevel="0" collapsed="false">
      <c r="A960" s="5" t="s">
        <v>984</v>
      </c>
      <c r="B960" s="6" t="n">
        <v>2218803410.33</v>
      </c>
      <c r="C960" s="6" t="n">
        <v>60685263.13</v>
      </c>
      <c r="D960" s="6" t="n">
        <v>2279488673.46</v>
      </c>
      <c r="E960" s="6" t="n">
        <v>843410.81</v>
      </c>
      <c r="F960" s="6" t="n">
        <v>13968.28</v>
      </c>
      <c r="G960" s="6" t="n">
        <f aca="false">E960+F960</f>
        <v>857379.09</v>
      </c>
      <c r="H960" s="7" t="n">
        <f aca="false">IF(D960=0,0,C960/D960)</f>
        <v>0.026622313958633</v>
      </c>
      <c r="I960" s="7" t="n">
        <f aca="false">IF(D960=0,0,B960/D960)</f>
        <v>0.973377686041367</v>
      </c>
      <c r="J960" s="6" t="n">
        <f aca="false">E960*H960</f>
        <v>22453.547379925</v>
      </c>
      <c r="K960" s="6" t="n">
        <f aca="false">E960*I960</f>
        <v>820957.262620075</v>
      </c>
      <c r="L960" s="6" t="n">
        <v>43742.57</v>
      </c>
      <c r="M960" s="6" t="n">
        <v>799668.24</v>
      </c>
      <c r="N960" s="6" t="n">
        <v>917184</v>
      </c>
      <c r="O960" s="6" t="n">
        <v>1082768</v>
      </c>
      <c r="P960" s="7" t="n">
        <f aca="false">IF(O960=0,"",(G960-O960)/O960)</f>
        <v>-0.208159928996793</v>
      </c>
      <c r="Q960" s="5" t="s">
        <v>26</v>
      </c>
      <c r="R960" s="5" t="s">
        <v>27</v>
      </c>
    </row>
    <row r="961" customFormat="false" ht="15" hidden="false" customHeight="true" outlineLevel="0" collapsed="false">
      <c r="A961" s="5" t="s">
        <v>985</v>
      </c>
      <c r="B961" s="6" t="n">
        <v>6742786200.98</v>
      </c>
      <c r="C961" s="6" t="n">
        <v>324107717.91</v>
      </c>
      <c r="D961" s="6" t="n">
        <v>7066893918.88</v>
      </c>
      <c r="E961" s="6" t="n">
        <v>2614750.75</v>
      </c>
      <c r="F961" s="6" t="n">
        <v>15857.78</v>
      </c>
      <c r="G961" s="6" t="n">
        <f aca="false">E961+F961</f>
        <v>2630608.53</v>
      </c>
      <c r="H961" s="7" t="n">
        <f aca="false">IF(D961=0,0,C961/D961)</f>
        <v>0.0458628248322944</v>
      </c>
      <c r="I961" s="7" t="n">
        <f aca="false">IF(D961=0,0,B961/D961)</f>
        <v>0.954137175169121</v>
      </c>
      <c r="J961" s="6" t="n">
        <f aca="false">E961*H961</f>
        <v>119919.85562736</v>
      </c>
      <c r="K961" s="6" t="n">
        <f aca="false">E961*I961</f>
        <v>2494830.89437634</v>
      </c>
      <c r="L961" s="6" t="n">
        <v>229322.34</v>
      </c>
      <c r="M961" s="6" t="n">
        <v>2385428.41</v>
      </c>
      <c r="N961" s="6" t="n">
        <v>2537008</v>
      </c>
      <c r="O961" s="6" t="n">
        <v>2873263</v>
      </c>
      <c r="P961" s="7" t="n">
        <f aca="false">IF(O961=0,"",(G961-O961)/O961)</f>
        <v>-0.0844525788276257</v>
      </c>
      <c r="Q961" s="5" t="s">
        <v>26</v>
      </c>
      <c r="R961" s="5" t="s">
        <v>27</v>
      </c>
    </row>
    <row r="962" customFormat="false" ht="15" hidden="false" customHeight="true" outlineLevel="0" collapsed="false">
      <c r="A962" s="5" t="s">
        <v>986</v>
      </c>
      <c r="B962" s="6" t="n">
        <v>3238060651.07</v>
      </c>
      <c r="C962" s="6" t="n">
        <v>79936222.68</v>
      </c>
      <c r="D962" s="6" t="n">
        <v>3317996873.75</v>
      </c>
      <c r="E962" s="6" t="n">
        <v>1227658.84</v>
      </c>
      <c r="F962" s="6" t="n">
        <v>9055.51</v>
      </c>
      <c r="G962" s="6" t="n">
        <f aca="false">E962+F962</f>
        <v>1236714.35</v>
      </c>
      <c r="H962" s="7" t="n">
        <f aca="false">IF(D962=0,0,C962/D962)</f>
        <v>0.0240917112708597</v>
      </c>
      <c r="I962" s="7" t="n">
        <f aca="false">IF(D962=0,0,B962/D962)</f>
        <v>0.97590828872914</v>
      </c>
      <c r="J962" s="6" t="n">
        <f aca="false">E962*H962</f>
        <v>29576.4023123985</v>
      </c>
      <c r="K962" s="6" t="n">
        <f aca="false">E962*I962</f>
        <v>1198082.4376876</v>
      </c>
      <c r="L962" s="6" t="n">
        <v>57761.24</v>
      </c>
      <c r="M962" s="6" t="n">
        <v>1169897.61</v>
      </c>
      <c r="N962" s="6" t="n">
        <v>1214868</v>
      </c>
      <c r="O962" s="6" t="n">
        <v>1378062</v>
      </c>
      <c r="P962" s="7" t="n">
        <f aca="false">IF(O962=0,"",(G962-O962)/O962)</f>
        <v>-0.102569877117285</v>
      </c>
      <c r="Q962" s="5" t="s">
        <v>26</v>
      </c>
      <c r="R962" s="5" t="s">
        <v>27</v>
      </c>
    </row>
    <row r="963" customFormat="false" ht="15" hidden="false" customHeight="true" outlineLevel="0" collapsed="false">
      <c r="A963" s="5" t="s">
        <v>987</v>
      </c>
      <c r="B963" s="6" t="n">
        <v>3512692118.34</v>
      </c>
      <c r="C963" s="6" t="n">
        <v>75858129.55</v>
      </c>
      <c r="D963" s="6" t="n">
        <v>3588550247.89</v>
      </c>
      <c r="E963" s="6" t="n">
        <v>1327763.59</v>
      </c>
      <c r="F963" s="6" t="n">
        <v>11222.75</v>
      </c>
      <c r="G963" s="6" t="n">
        <f aca="false">E963+F963</f>
        <v>1338986.34</v>
      </c>
      <c r="H963" s="7" t="n">
        <f aca="false">IF(D963=0,0,C963/D963)</f>
        <v>0.0211389347535549</v>
      </c>
      <c r="I963" s="7" t="n">
        <f aca="false">IF(D963=0,0,B963/D963)</f>
        <v>0.978861065246445</v>
      </c>
      <c r="J963" s="6" t="n">
        <f aca="false">E963*H963</f>
        <v>28067.5078971558</v>
      </c>
      <c r="K963" s="6" t="n">
        <f aca="false">E963*I963</f>
        <v>1299696.08210284</v>
      </c>
      <c r="L963" s="6" t="n">
        <v>54972.95</v>
      </c>
      <c r="M963" s="6" t="n">
        <v>1272790.65</v>
      </c>
      <c r="N963" s="6" t="n">
        <v>1286536</v>
      </c>
      <c r="O963" s="6" t="n">
        <v>1434740</v>
      </c>
      <c r="P963" s="7" t="n">
        <f aca="false">IF(O963=0,"",(G963-O963)/O963)</f>
        <v>-0.0667393813513249</v>
      </c>
      <c r="Q963" s="5" t="s">
        <v>26</v>
      </c>
      <c r="R963" s="5" t="s">
        <v>27</v>
      </c>
    </row>
    <row r="964" customFormat="false" ht="15" hidden="false" customHeight="true" outlineLevel="0" collapsed="false">
      <c r="A964" s="5" t="s">
        <v>988</v>
      </c>
      <c r="B964" s="6" t="n">
        <v>7236736072.74</v>
      </c>
      <c r="C964" s="6" t="n">
        <v>331966119.69</v>
      </c>
      <c r="D964" s="6" t="n">
        <v>7568702192.42</v>
      </c>
      <c r="E964" s="6" t="n">
        <v>2800419.81</v>
      </c>
      <c r="F964" s="6" t="n">
        <v>20640.02</v>
      </c>
      <c r="G964" s="6" t="n">
        <f aca="false">E964+F964</f>
        <v>2821059.83</v>
      </c>
      <c r="H964" s="7" t="n">
        <f aca="false">IF(D964=0,0,C964/D964)</f>
        <v>0.0438603754316641</v>
      </c>
      <c r="I964" s="7" t="n">
        <f aca="false">IF(D964=0,0,B964/D964)</f>
        <v>0.956139624569657</v>
      </c>
      <c r="J964" s="6" t="n">
        <f aca="false">E964*H964</f>
        <v>122827.464232869</v>
      </c>
      <c r="K964" s="6" t="n">
        <f aca="false">E964*I964</f>
        <v>2677592.34577083</v>
      </c>
      <c r="L964" s="6" t="n">
        <v>235333.13</v>
      </c>
      <c r="M964" s="6" t="n">
        <v>2565086.68</v>
      </c>
      <c r="N964" s="6" t="n">
        <v>2646159</v>
      </c>
      <c r="O964" s="6" t="n">
        <v>2935998</v>
      </c>
      <c r="P964" s="7" t="n">
        <f aca="false">IF(O964=0,"",(G964-O964)/O964)</f>
        <v>-0.0391479047329051</v>
      </c>
      <c r="Q964" s="5" t="s">
        <v>26</v>
      </c>
      <c r="R964" s="5" t="s">
        <v>27</v>
      </c>
    </row>
    <row r="965" customFormat="false" ht="15" hidden="false" customHeight="true" outlineLevel="0" collapsed="false">
      <c r="A965" s="5" t="s">
        <v>989</v>
      </c>
      <c r="B965" s="6" t="n">
        <v>7937633992.08</v>
      </c>
      <c r="C965" s="6" t="n">
        <v>327670324.73</v>
      </c>
      <c r="D965" s="6" t="n">
        <v>8265304316.81</v>
      </c>
      <c r="E965" s="6" t="n">
        <v>3058162.6</v>
      </c>
      <c r="F965" s="6" t="n">
        <v>21866.92</v>
      </c>
      <c r="G965" s="6" t="n">
        <f aca="false">E965+F965</f>
        <v>3080029.52</v>
      </c>
      <c r="H965" s="7" t="n">
        <f aca="false">IF(D965=0,0,C965/D965)</f>
        <v>0.0396440726403241</v>
      </c>
      <c r="I965" s="7" t="n">
        <f aca="false">IF(D965=0,0,B965/D965)</f>
        <v>0.960355927359676</v>
      </c>
      <c r="J965" s="6" t="n">
        <f aca="false">E965*H965</f>
        <v>121238.020260322</v>
      </c>
      <c r="K965" s="6" t="n">
        <f aca="false">E965*I965</f>
        <v>2936924.57973968</v>
      </c>
      <c r="L965" s="6" t="n">
        <v>233229.86</v>
      </c>
      <c r="M965" s="6" t="n">
        <v>2824932.74</v>
      </c>
      <c r="N965" s="6" t="n">
        <v>2953807</v>
      </c>
      <c r="O965" s="6" t="n">
        <v>3228035</v>
      </c>
      <c r="P965" s="7" t="n">
        <f aca="false">IF(O965=0,"",(G965-O965)/O965)</f>
        <v>-0.0458500233113953</v>
      </c>
      <c r="Q965" s="5" t="s">
        <v>26</v>
      </c>
      <c r="R965" s="5" t="s">
        <v>27</v>
      </c>
    </row>
    <row r="966" customFormat="false" ht="15" hidden="false" customHeight="true" outlineLevel="0" collapsed="false">
      <c r="A966" s="5" t="s">
        <v>990</v>
      </c>
      <c r="B966" s="6" t="n">
        <v>6136634547.88</v>
      </c>
      <c r="C966" s="6" t="n">
        <v>332729557.08</v>
      </c>
      <c r="D966" s="6" t="n">
        <v>6469364104.96</v>
      </c>
      <c r="E966" s="6" t="n">
        <v>2393664.72</v>
      </c>
      <c r="F966" s="6" t="n">
        <v>17599.46</v>
      </c>
      <c r="G966" s="6" t="n">
        <f aca="false">E966+F966</f>
        <v>2411264.18</v>
      </c>
      <c r="H966" s="7" t="n">
        <f aca="false">IF(D966=0,0,C966/D966)</f>
        <v>0.0514315706585288</v>
      </c>
      <c r="I966" s="7" t="n">
        <f aca="false">IF(D966=0,0,B966/D966)</f>
        <v>0.948568429341471</v>
      </c>
      <c r="J966" s="6" t="n">
        <f aca="false">E966*H966</f>
        <v>123109.936179508</v>
      </c>
      <c r="K966" s="6" t="n">
        <f aca="false">E966*I966</f>
        <v>2270554.78382049</v>
      </c>
      <c r="L966" s="6" t="n">
        <v>234175.84</v>
      </c>
      <c r="M966" s="6" t="n">
        <v>2159488.88</v>
      </c>
      <c r="N966" s="6" t="n">
        <v>2256194</v>
      </c>
      <c r="O966" s="6" t="n">
        <v>2490213</v>
      </c>
      <c r="P966" s="7" t="n">
        <f aca="false">IF(O966=0,"",(G966-O966)/O966)</f>
        <v>-0.031703641415413</v>
      </c>
      <c r="Q966" s="5" t="s">
        <v>26</v>
      </c>
      <c r="R966" s="5" t="s">
        <v>27</v>
      </c>
    </row>
    <row r="967" customFormat="false" ht="15" hidden="false" customHeight="true" outlineLevel="0" collapsed="false">
      <c r="A967" s="5" t="s">
        <v>991</v>
      </c>
      <c r="B967" s="6" t="n">
        <v>7190845724.55</v>
      </c>
      <c r="C967" s="6" t="n">
        <v>419621834.6</v>
      </c>
      <c r="D967" s="6" t="n">
        <v>7610467559.15</v>
      </c>
      <c r="E967" s="6" t="n">
        <v>2815873</v>
      </c>
      <c r="F967" s="6" t="n">
        <v>9769.27</v>
      </c>
      <c r="G967" s="6" t="n">
        <f aca="false">E967+F967</f>
        <v>2825642.27</v>
      </c>
      <c r="H967" s="7" t="n">
        <f aca="false">IF(D967=0,0,C967/D967)</f>
        <v>0.055137457894488</v>
      </c>
      <c r="I967" s="7" t="n">
        <f aca="false">IF(D967=0,0,B967/D967)</f>
        <v>0.944862542105512</v>
      </c>
      <c r="J967" s="6" t="n">
        <f aca="false">E967*H967</f>
        <v>155260.078973726</v>
      </c>
      <c r="K967" s="6" t="n">
        <f aca="false">E967*I967</f>
        <v>2660612.92102627</v>
      </c>
      <c r="L967" s="6" t="n">
        <v>294293.56</v>
      </c>
      <c r="M967" s="6" t="n">
        <v>2521579.44</v>
      </c>
      <c r="N967" s="6" t="n">
        <v>2621468</v>
      </c>
      <c r="O967" s="6" t="n">
        <v>2857323</v>
      </c>
      <c r="P967" s="7" t="n">
        <f aca="false">IF(O967=0,"",(G967-O967)/O967)</f>
        <v>-0.0110875564295671</v>
      </c>
      <c r="Q967" s="5" t="s">
        <v>26</v>
      </c>
      <c r="R967" s="5" t="s">
        <v>27</v>
      </c>
    </row>
    <row r="968" customFormat="false" ht="15" hidden="false" customHeight="true" outlineLevel="0" collapsed="false">
      <c r="A968" s="5" t="s">
        <v>992</v>
      </c>
      <c r="B968" s="6" t="n">
        <v>6932577333.93</v>
      </c>
      <c r="C968" s="6" t="n">
        <v>311747368.46</v>
      </c>
      <c r="D968" s="6" t="n">
        <v>7244324702.39</v>
      </c>
      <c r="E968" s="6" t="n">
        <v>2680400.14</v>
      </c>
      <c r="F968" s="6" t="n">
        <v>10747.94</v>
      </c>
      <c r="G968" s="6" t="n">
        <f aca="false">E968+F968</f>
        <v>2691148.08</v>
      </c>
      <c r="H968" s="7" t="n">
        <f aca="false">IF(D968=0,0,C968/D968)</f>
        <v>0.0430333235004155</v>
      </c>
      <c r="I968" s="7" t="n">
        <f aca="false">IF(D968=0,0,B968/D968)</f>
        <v>0.956966676499585</v>
      </c>
      <c r="J968" s="6" t="n">
        <f aca="false">E968*H968</f>
        <v>115346.526335179</v>
      </c>
      <c r="K968" s="6" t="n">
        <f aca="false">E968*I968</f>
        <v>2565053.61366482</v>
      </c>
      <c r="L968" s="6" t="n">
        <v>221175.15</v>
      </c>
      <c r="M968" s="6" t="n">
        <v>2459224.99</v>
      </c>
      <c r="N968" s="6" t="n">
        <v>2203471</v>
      </c>
      <c r="O968" s="6" t="n">
        <v>2388548</v>
      </c>
      <c r="P968" s="7" t="n">
        <f aca="false">IF(O968=0,"",(G968-O968)/O968)</f>
        <v>0.126687878995942</v>
      </c>
      <c r="Q968" s="5" t="s">
        <v>26</v>
      </c>
      <c r="R968" s="5" t="s">
        <v>27</v>
      </c>
    </row>
    <row r="969" customFormat="false" ht="15" hidden="false" customHeight="true" outlineLevel="0" collapsed="false">
      <c r="A969" s="5" t="s">
        <v>993</v>
      </c>
      <c r="B969" s="6" t="n">
        <v>1439990710.69</v>
      </c>
      <c r="C969" s="6" t="n">
        <v>78168233.38</v>
      </c>
      <c r="D969" s="6" t="n">
        <v>1518158944.07</v>
      </c>
      <c r="E969" s="6" t="n">
        <v>561718.81</v>
      </c>
      <c r="F969" s="6" t="n">
        <v>7363.46</v>
      </c>
      <c r="G969" s="6" t="n">
        <f aca="false">E969+F969</f>
        <v>569082.27</v>
      </c>
      <c r="H969" s="7" t="n">
        <f aca="false">IF(D969=0,0,C969/D969)</f>
        <v>0.051488833685912</v>
      </c>
      <c r="I969" s="7" t="n">
        <f aca="false">IF(D969=0,0,B969/D969)</f>
        <v>0.948511166314088</v>
      </c>
      <c r="J969" s="6" t="n">
        <f aca="false">E969*H969</f>
        <v>28922.2463863384</v>
      </c>
      <c r="K969" s="6" t="n">
        <f aca="false">E969*I969</f>
        <v>532796.563613662</v>
      </c>
      <c r="L969" s="6" t="n">
        <v>55011.99</v>
      </c>
      <c r="M969" s="6" t="n">
        <v>506706.82</v>
      </c>
      <c r="N969" s="6" t="n">
        <v>556235</v>
      </c>
      <c r="O969" s="6" t="n">
        <v>615695</v>
      </c>
      <c r="P969" s="7" t="n">
        <f aca="false">IF(O969=0,"",(G969-O969)/O969)</f>
        <v>-0.0757075012790424</v>
      </c>
      <c r="Q969" s="5" t="s">
        <v>26</v>
      </c>
      <c r="R969" s="5" t="s">
        <v>27</v>
      </c>
    </row>
    <row r="970" customFormat="false" ht="15" hidden="false" customHeight="true" outlineLevel="0" collapsed="false">
      <c r="A970" s="5" t="s">
        <v>994</v>
      </c>
      <c r="B970" s="6" t="n">
        <v>2900575618.3</v>
      </c>
      <c r="C970" s="6" t="n">
        <v>172892115.16</v>
      </c>
      <c r="D970" s="6" t="n">
        <v>3073467733.46</v>
      </c>
      <c r="E970" s="6" t="n">
        <v>1137183.06</v>
      </c>
      <c r="F970" s="6" t="n">
        <v>3561.43</v>
      </c>
      <c r="G970" s="6" t="n">
        <f aca="false">E970+F970</f>
        <v>1140744.49</v>
      </c>
      <c r="H970" s="7" t="n">
        <f aca="false">IF(D970=0,0,C970/D970)</f>
        <v>0.0562531089159554</v>
      </c>
      <c r="I970" s="7" t="n">
        <f aca="false">IF(D970=0,0,B970/D970)</f>
        <v>0.943746891084045</v>
      </c>
      <c r="J970" s="6" t="n">
        <f aca="false">E970*H970</f>
        <v>63970.0825315595</v>
      </c>
      <c r="K970" s="6" t="n">
        <f aca="false">E970*I970</f>
        <v>1073212.97746844</v>
      </c>
      <c r="L970" s="6" t="n">
        <v>121126.43</v>
      </c>
      <c r="M970" s="6" t="n">
        <v>1016056.63</v>
      </c>
      <c r="N970" s="6" t="n">
        <v>1064579</v>
      </c>
      <c r="O970" s="6" t="n">
        <v>1235480</v>
      </c>
      <c r="P970" s="7" t="n">
        <f aca="false">IF(O970=0,"",(G970-O970)/O970)</f>
        <v>-0.0766791125716321</v>
      </c>
      <c r="Q970" s="5" t="s">
        <v>26</v>
      </c>
      <c r="R970" s="5" t="s">
        <v>27</v>
      </c>
    </row>
    <row r="971" customFormat="false" ht="15" hidden="false" customHeight="true" outlineLevel="0" collapsed="false">
      <c r="A971" s="5" t="s">
        <v>995</v>
      </c>
      <c r="B971" s="6" t="n">
        <v>6684693885.21</v>
      </c>
      <c r="C971" s="6" t="n">
        <v>445655150.27</v>
      </c>
      <c r="D971" s="6" t="n">
        <v>7130349035.48</v>
      </c>
      <c r="E971" s="6" t="n">
        <v>2638229.14</v>
      </c>
      <c r="F971" s="6" t="n">
        <v>15189.92</v>
      </c>
      <c r="G971" s="6" t="n">
        <f aca="false">E971+F971</f>
        <v>2653419.06</v>
      </c>
      <c r="H971" s="7" t="n">
        <f aca="false">IF(D971=0,0,C971/D971)</f>
        <v>0.0625011690244697</v>
      </c>
      <c r="I971" s="7" t="n">
        <f aca="false">IF(D971=0,0,B971/D971)</f>
        <v>0.93749883097553</v>
      </c>
      <c r="J971" s="6" t="n">
        <f aca="false">E971*H971</f>
        <v>164892.405404421</v>
      </c>
      <c r="K971" s="6" t="n">
        <f aca="false">E971*I971</f>
        <v>2473336.73459558</v>
      </c>
      <c r="L971" s="6" t="n">
        <v>310385.36</v>
      </c>
      <c r="M971" s="6" t="n">
        <v>2327843.78</v>
      </c>
      <c r="N971" s="6" t="n">
        <v>2377754</v>
      </c>
      <c r="O971" s="6" t="n">
        <v>2615398</v>
      </c>
      <c r="P971" s="7" t="n">
        <f aca="false">IF(O971=0,"",(G971-O971)/O971)</f>
        <v>0.0145373897204173</v>
      </c>
      <c r="Q971" s="5" t="s">
        <v>26</v>
      </c>
      <c r="R971" s="5" t="s">
        <v>27</v>
      </c>
    </row>
    <row r="972" customFormat="false" ht="15" hidden="false" customHeight="true" outlineLevel="0" collapsed="false">
      <c r="A972" s="5" t="s">
        <v>996</v>
      </c>
      <c r="B972" s="6" t="n">
        <v>8466035742.96</v>
      </c>
      <c r="C972" s="6" t="n">
        <v>580538259.26</v>
      </c>
      <c r="D972" s="6" t="n">
        <v>9046574002.22</v>
      </c>
      <c r="E972" s="6" t="n">
        <v>3347232.38</v>
      </c>
      <c r="F972" s="6" t="n">
        <v>12297.73</v>
      </c>
      <c r="G972" s="6" t="n">
        <f aca="false">E972+F972</f>
        <v>3359530.11</v>
      </c>
      <c r="H972" s="7" t="n">
        <f aca="false">IF(D972=0,0,C972/D972)</f>
        <v>0.0641721671781536</v>
      </c>
      <c r="I972" s="7" t="n">
        <f aca="false">IF(D972=0,0,B972/D972)</f>
        <v>0.935827832821847</v>
      </c>
      <c r="J972" s="6" t="n">
        <f aca="false">E972*H972</f>
        <v>214799.155873489</v>
      </c>
      <c r="K972" s="6" t="n">
        <f aca="false">E972*I972</f>
        <v>3132433.22412651</v>
      </c>
      <c r="L972" s="6" t="n">
        <v>403692.49</v>
      </c>
      <c r="M972" s="6" t="n">
        <v>2943539.89</v>
      </c>
      <c r="N972" s="6" t="n">
        <v>2869296</v>
      </c>
      <c r="O972" s="6" t="n">
        <v>3139086</v>
      </c>
      <c r="P972" s="7" t="n">
        <f aca="false">IF(O972=0,"",(G972-O972)/O972)</f>
        <v>0.0702255720295653</v>
      </c>
      <c r="Q972" s="5" t="s">
        <v>26</v>
      </c>
      <c r="R972" s="5" t="s">
        <v>27</v>
      </c>
    </row>
    <row r="973" customFormat="false" ht="15" hidden="false" customHeight="true" outlineLevel="0" collapsed="false">
      <c r="A973" s="5" t="s">
        <v>997</v>
      </c>
      <c r="B973" s="6" t="n">
        <v>8219958038.58</v>
      </c>
      <c r="C973" s="6" t="n">
        <v>706622982.74</v>
      </c>
      <c r="D973" s="6" t="n">
        <v>8926581021.33</v>
      </c>
      <c r="E973" s="6" t="n">
        <v>3302834.98</v>
      </c>
      <c r="F973" s="6" t="n">
        <v>11712.47</v>
      </c>
      <c r="G973" s="6" t="n">
        <f aca="false">E973+F973</f>
        <v>3314547.45</v>
      </c>
      <c r="H973" s="7" t="n">
        <f aca="false">IF(D973=0,0,C973/D973)</f>
        <v>0.0791594207291156</v>
      </c>
      <c r="I973" s="7" t="n">
        <f aca="false">IF(D973=0,0,B973/D973)</f>
        <v>0.920840579269764</v>
      </c>
      <c r="J973" s="6" t="n">
        <f aca="false">E973*H973</f>
        <v>261450.50378066</v>
      </c>
      <c r="K973" s="6" t="n">
        <f aca="false">E973*I973</f>
        <v>3041384.47621564</v>
      </c>
      <c r="L973" s="6" t="n">
        <v>484544.73</v>
      </c>
      <c r="M973" s="6" t="n">
        <v>2818290.25</v>
      </c>
      <c r="N973" s="6" t="n">
        <v>2949271</v>
      </c>
      <c r="O973" s="6" t="n">
        <v>3243321</v>
      </c>
      <c r="P973" s="7" t="n">
        <f aca="false">IF(O973=0,"",(G973-O973)/O973)</f>
        <v>0.0219609622359305</v>
      </c>
      <c r="Q973" s="5" t="s">
        <v>26</v>
      </c>
      <c r="R973" s="5" t="s">
        <v>27</v>
      </c>
    </row>
    <row r="974" customFormat="false" ht="15" hidden="false" customHeight="true" outlineLevel="0" collapsed="false">
      <c r="A974" s="5" t="s">
        <v>998</v>
      </c>
      <c r="B974" s="6" t="n">
        <v>6587910191.37</v>
      </c>
      <c r="C974" s="6" t="n">
        <v>726261251.04</v>
      </c>
      <c r="D974" s="6" t="n">
        <v>7314171442.41</v>
      </c>
      <c r="E974" s="6" t="n">
        <v>2706243.43</v>
      </c>
      <c r="F974" s="6" t="n">
        <v>11292.86</v>
      </c>
      <c r="G974" s="6" t="n">
        <f aca="false">E974+F974</f>
        <v>2717536.29</v>
      </c>
      <c r="H974" s="7" t="n">
        <f aca="false">IF(D974=0,0,C974/D974)</f>
        <v>0.0992950817134113</v>
      </c>
      <c r="I974" s="7" t="n">
        <f aca="false">IF(D974=0,0,B974/D974)</f>
        <v>0.900704918286589</v>
      </c>
      <c r="J974" s="6" t="n">
        <f aca="false">E974*H974</f>
        <v>268716.662518232</v>
      </c>
      <c r="K974" s="6" t="n">
        <f aca="false">E974*I974</f>
        <v>2437526.76748177</v>
      </c>
      <c r="L974" s="6" t="n">
        <v>488889.05</v>
      </c>
      <c r="M974" s="6" t="n">
        <v>2217354.39</v>
      </c>
      <c r="N974" s="6" t="n">
        <v>2356925</v>
      </c>
      <c r="O974" s="6" t="n">
        <v>2633745</v>
      </c>
      <c r="P974" s="7" t="n">
        <f aca="false">IF(O974=0,"",(G974-O974)/O974)</f>
        <v>0.0318145036820193</v>
      </c>
      <c r="Q974" s="5" t="s">
        <v>26</v>
      </c>
      <c r="R974" s="5" t="s">
        <v>27</v>
      </c>
    </row>
    <row r="975" customFormat="false" ht="15" hidden="false" customHeight="true" outlineLevel="0" collapsed="false">
      <c r="A975" s="5" t="s">
        <v>999</v>
      </c>
      <c r="B975" s="6" t="n">
        <v>3680382990.97</v>
      </c>
      <c r="C975" s="6" t="n">
        <v>546552809.1</v>
      </c>
      <c r="D975" s="6" t="n">
        <v>4226935800.07</v>
      </c>
      <c r="E975" s="6" t="n">
        <v>1563966.25</v>
      </c>
      <c r="F975" s="6" t="n">
        <v>5521.3</v>
      </c>
      <c r="G975" s="6" t="n">
        <f aca="false">E975+F975</f>
        <v>1569487.55</v>
      </c>
      <c r="H975" s="7" t="n">
        <f aca="false">IF(D975=0,0,C975/D975)</f>
        <v>0.129302368181449</v>
      </c>
      <c r="I975" s="7" t="n">
        <f aca="false">IF(D975=0,0,B975/D975)</f>
        <v>0.870697631818551</v>
      </c>
      <c r="J975" s="6" t="n">
        <f aca="false">E975*H975</f>
        <v>202224.539880861</v>
      </c>
      <c r="K975" s="6" t="n">
        <f aca="false">E975*I975</f>
        <v>1361741.71011914</v>
      </c>
      <c r="L975" s="6" t="n">
        <v>358140.65</v>
      </c>
      <c r="M975" s="6" t="n">
        <v>1205825.6</v>
      </c>
      <c r="N975" s="6" t="n">
        <v>1509550</v>
      </c>
      <c r="O975" s="6" t="n">
        <v>1777466</v>
      </c>
      <c r="P975" s="7" t="n">
        <f aca="false">IF(O975=0,"",(G975-O975)/O975)</f>
        <v>-0.117008398472882</v>
      </c>
      <c r="Q975" s="5" t="s">
        <v>26</v>
      </c>
      <c r="R975" s="5" t="s">
        <v>27</v>
      </c>
    </row>
    <row r="976" customFormat="false" ht="15" hidden="false" customHeight="true" outlineLevel="0" collapsed="false">
      <c r="A976" s="5" t="s">
        <v>1000</v>
      </c>
      <c r="B976" s="6" t="n">
        <v>1630527036.51</v>
      </c>
      <c r="C976" s="6" t="n">
        <v>172135960.37</v>
      </c>
      <c r="D976" s="6" t="n">
        <v>1802662996.87</v>
      </c>
      <c r="E976" s="6" t="n">
        <v>666985.31</v>
      </c>
      <c r="F976" s="6" t="n">
        <v>3612.32</v>
      </c>
      <c r="G976" s="6" t="n">
        <f aca="false">E976+F976</f>
        <v>670597.63</v>
      </c>
      <c r="H976" s="7" t="n">
        <f aca="false">IF(D976=0,0,C976/D976)</f>
        <v>0.0954898173806658</v>
      </c>
      <c r="I976" s="7" t="n">
        <f aca="false">IF(D976=0,0,B976/D976)</f>
        <v>0.904510182624882</v>
      </c>
      <c r="J976" s="6" t="n">
        <f aca="false">E976*H976</f>
        <v>63690.3054474868</v>
      </c>
      <c r="K976" s="6" t="n">
        <f aca="false">E976*I976</f>
        <v>603295.004556213</v>
      </c>
      <c r="L976" s="6" t="n">
        <v>116277.31</v>
      </c>
      <c r="M976" s="6" t="n">
        <v>550708</v>
      </c>
      <c r="N976" s="6" t="n">
        <v>706662</v>
      </c>
      <c r="O976" s="6" t="n">
        <v>873438</v>
      </c>
      <c r="P976" s="7" t="n">
        <f aca="false">IF(O976=0,"",(G976-O976)/O976)</f>
        <v>-0.232232133248153</v>
      </c>
      <c r="Q976" s="5" t="s">
        <v>26</v>
      </c>
      <c r="R976" s="5" t="s">
        <v>27</v>
      </c>
    </row>
    <row r="977" customFormat="false" ht="15" hidden="false" customHeight="true" outlineLevel="0" collapsed="false">
      <c r="A977" s="5" t="s">
        <v>1001</v>
      </c>
      <c r="B977" s="6" t="n">
        <v>2699241901.19</v>
      </c>
      <c r="C977" s="6" t="n">
        <v>184847427.14</v>
      </c>
      <c r="D977" s="6" t="n">
        <v>2884089328.33</v>
      </c>
      <c r="E977" s="6" t="n">
        <v>1067113.05</v>
      </c>
      <c r="F977" s="6" t="n">
        <v>5845.5</v>
      </c>
      <c r="G977" s="6" t="n">
        <f aca="false">E977+F977</f>
        <v>1072958.55</v>
      </c>
      <c r="H977" s="7" t="n">
        <f aca="false">IF(D977=0,0,C977/D977)</f>
        <v>0.0640921296453165</v>
      </c>
      <c r="I977" s="7" t="n">
        <f aca="false">IF(D977=0,0,B977/D977)</f>
        <v>0.935907870354684</v>
      </c>
      <c r="J977" s="6" t="n">
        <f aca="false">E977*H977</f>
        <v>68393.5479468091</v>
      </c>
      <c r="K977" s="6" t="n">
        <f aca="false">E977*I977</f>
        <v>998719.502053191</v>
      </c>
      <c r="L977" s="6" t="n">
        <v>128548.17</v>
      </c>
      <c r="M977" s="6" t="n">
        <v>938564.88</v>
      </c>
      <c r="N977" s="6" t="n">
        <v>990418</v>
      </c>
      <c r="O977" s="6" t="n">
        <v>1099128</v>
      </c>
      <c r="P977" s="7" t="n">
        <f aca="false">IF(O977=0,"",(G977-O977)/O977)</f>
        <v>-0.023809283359172</v>
      </c>
      <c r="Q977" s="5" t="s">
        <v>26</v>
      </c>
      <c r="R977" s="5" t="s">
        <v>27</v>
      </c>
    </row>
    <row r="978" customFormat="false" ht="15" hidden="false" customHeight="true" outlineLevel="0" collapsed="false">
      <c r="A978" s="5" t="s">
        <v>1002</v>
      </c>
      <c r="B978" s="6" t="n">
        <v>6013442913.36</v>
      </c>
      <c r="C978" s="6" t="n">
        <v>427432035.37</v>
      </c>
      <c r="D978" s="6" t="n">
        <v>6440874948.73</v>
      </c>
      <c r="E978" s="6" t="n">
        <v>2383123.73</v>
      </c>
      <c r="F978" s="6" t="n">
        <v>24158.92</v>
      </c>
      <c r="G978" s="6" t="n">
        <f aca="false">E978+F978</f>
        <v>2407282.65</v>
      </c>
      <c r="H978" s="7" t="n">
        <f aca="false">IF(D978=0,0,C978/D978)</f>
        <v>0.0663624179591129</v>
      </c>
      <c r="I978" s="7" t="n">
        <f aca="false">IF(D978=0,0,B978/D978)</f>
        <v>0.933637582040887</v>
      </c>
      <c r="J978" s="6" t="n">
        <f aca="false">E978*H978</f>
        <v>158149.85301854</v>
      </c>
      <c r="K978" s="6" t="n">
        <f aca="false">E978*I978</f>
        <v>2224973.87698146</v>
      </c>
      <c r="L978" s="6" t="n">
        <v>296615.58</v>
      </c>
      <c r="M978" s="6" t="n">
        <v>2086508.15</v>
      </c>
      <c r="N978" s="6" t="n">
        <v>2108725</v>
      </c>
      <c r="O978" s="6" t="n">
        <v>2302363</v>
      </c>
      <c r="P978" s="7" t="n">
        <f aca="false">IF(O978=0,"",(G978-O978)/O978)</f>
        <v>0.0455704204767015</v>
      </c>
      <c r="Q978" s="5" t="s">
        <v>26</v>
      </c>
      <c r="R978" s="5" t="s">
        <v>27</v>
      </c>
    </row>
    <row r="979" customFormat="false" ht="15" hidden="false" customHeight="true" outlineLevel="0" collapsed="false">
      <c r="A979" s="5" t="s">
        <v>1003</v>
      </c>
      <c r="B979" s="6" t="n">
        <v>8421930690.86</v>
      </c>
      <c r="C979" s="6" t="n">
        <v>761702992.45</v>
      </c>
      <c r="D979" s="6" t="n">
        <v>9183633683.3</v>
      </c>
      <c r="E979" s="6" t="n">
        <v>3397944.46</v>
      </c>
      <c r="F979" s="6" t="n">
        <v>21523.81</v>
      </c>
      <c r="G979" s="6" t="n">
        <f aca="false">E979+F979</f>
        <v>3419468.27</v>
      </c>
      <c r="H979" s="7" t="n">
        <f aca="false">IF(D979=0,0,C979/D979)</f>
        <v>0.0829413518349628</v>
      </c>
      <c r="I979" s="7" t="n">
        <f aca="false">IF(D979=0,0,B979/D979)</f>
        <v>0.917058648166126</v>
      </c>
      <c r="J979" s="6" t="n">
        <f aca="false">E979*H979</f>
        <v>281830.106972523</v>
      </c>
      <c r="K979" s="6" t="n">
        <f aca="false">E979*I979</f>
        <v>3116114.35303118</v>
      </c>
      <c r="L979" s="6" t="n">
        <v>520490.06</v>
      </c>
      <c r="M979" s="6" t="n">
        <v>2877454.4</v>
      </c>
      <c r="N979" s="6" t="n">
        <v>2979773</v>
      </c>
      <c r="O979" s="6" t="n">
        <v>3238877</v>
      </c>
      <c r="P979" s="7" t="n">
        <f aca="false">IF(O979=0,"",(G979-O979)/O979)</f>
        <v>0.0557573720768032</v>
      </c>
      <c r="Q979" s="5" t="s">
        <v>26</v>
      </c>
      <c r="R979" s="5" t="s">
        <v>27</v>
      </c>
    </row>
    <row r="980" customFormat="false" ht="15" hidden="false" customHeight="true" outlineLevel="0" collapsed="false">
      <c r="A980" s="5" t="s">
        <v>1004</v>
      </c>
      <c r="B980" s="6" t="n">
        <v>8995511956.9</v>
      </c>
      <c r="C980" s="6" t="n">
        <v>985570732.37</v>
      </c>
      <c r="D980" s="6" t="n">
        <v>9981082689.27</v>
      </c>
      <c r="E980" s="6" t="n">
        <v>3693000.6</v>
      </c>
      <c r="F980" s="6" t="n">
        <v>13872.62</v>
      </c>
      <c r="G980" s="6" t="n">
        <f aca="false">E980+F980</f>
        <v>3706873.22</v>
      </c>
      <c r="H980" s="7" t="n">
        <f aca="false">IF(D980=0,0,C980/D980)</f>
        <v>0.0987438700843068</v>
      </c>
      <c r="I980" s="7" t="n">
        <f aca="false">IF(D980=0,0,B980/D980)</f>
        <v>0.901256129915693</v>
      </c>
      <c r="J980" s="6" t="n">
        <f aca="false">E980*H980</f>
        <v>364661.171467667</v>
      </c>
      <c r="K980" s="6" t="n">
        <f aca="false">E980*I980</f>
        <v>3328339.42853233</v>
      </c>
      <c r="L980" s="6" t="n">
        <v>663778.3</v>
      </c>
      <c r="M980" s="6" t="n">
        <v>3029222.29</v>
      </c>
      <c r="N980" s="6" t="n">
        <v>3124197</v>
      </c>
      <c r="O980" s="6" t="n">
        <v>3409277</v>
      </c>
      <c r="P980" s="7" t="n">
        <f aca="false">IF(O980=0,"",(G980-O980)/O980)</f>
        <v>0.0872901263229712</v>
      </c>
      <c r="Q980" s="5" t="s">
        <v>26</v>
      </c>
      <c r="R980" s="5" t="s">
        <v>27</v>
      </c>
    </row>
    <row r="981" customFormat="false" ht="15" hidden="false" customHeight="true" outlineLevel="0" collapsed="false">
      <c r="A981" s="5" t="s">
        <v>1005</v>
      </c>
      <c r="B981" s="6" t="n">
        <v>5239104696.73</v>
      </c>
      <c r="C981" s="6" t="n">
        <v>921048637.94</v>
      </c>
      <c r="D981" s="6" t="n">
        <v>6160153334.67</v>
      </c>
      <c r="E981" s="6" t="n">
        <v>2279256.73</v>
      </c>
      <c r="F981" s="6" t="n">
        <v>5294.93</v>
      </c>
      <c r="G981" s="6" t="n">
        <f aca="false">E981+F981</f>
        <v>2284551.66</v>
      </c>
      <c r="H981" s="7" t="n">
        <f aca="false">IF(D981=0,0,C981/D981)</f>
        <v>0.149517161002509</v>
      </c>
      <c r="I981" s="7" t="n">
        <f aca="false">IF(D981=0,0,B981/D981)</f>
        <v>0.85048283899749</v>
      </c>
      <c r="J981" s="6" t="n">
        <f aca="false">E981*H981</f>
        <v>340787.995465463</v>
      </c>
      <c r="K981" s="6" t="n">
        <f aca="false">E981*I981</f>
        <v>1938468.73453454</v>
      </c>
      <c r="L981" s="6" t="n">
        <v>592923.72</v>
      </c>
      <c r="M981" s="6" t="n">
        <v>1686333.01</v>
      </c>
      <c r="N981" s="6" t="n">
        <v>2084601</v>
      </c>
      <c r="O981" s="6" t="n">
        <v>2484202</v>
      </c>
      <c r="P981" s="7" t="n">
        <f aca="false">IF(O981=0,"",(G981-O981)/O981)</f>
        <v>-0.0803679974494827</v>
      </c>
      <c r="Q981" s="5" t="s">
        <v>26</v>
      </c>
      <c r="R981" s="5" t="s">
        <v>27</v>
      </c>
    </row>
    <row r="982" customFormat="false" ht="15" hidden="false" customHeight="true" outlineLevel="0" collapsed="false">
      <c r="A982" s="5" t="s">
        <v>1006</v>
      </c>
      <c r="B982" s="6" t="n">
        <v>6156586362.88</v>
      </c>
      <c r="C982" s="6" t="n">
        <v>879774169.56</v>
      </c>
      <c r="D982" s="6" t="n">
        <v>7036360532.44</v>
      </c>
      <c r="E982" s="6" t="n">
        <v>2603453.4</v>
      </c>
      <c r="F982" s="6" t="n">
        <v>10007.66</v>
      </c>
      <c r="G982" s="6" t="n">
        <f aca="false">E982+F982</f>
        <v>2613461.06</v>
      </c>
      <c r="H982" s="7" t="n">
        <f aca="false">IF(D982=0,0,C982/D982)</f>
        <v>0.125032559872955</v>
      </c>
      <c r="I982" s="7" t="n">
        <f aca="false">IF(D982=0,0,B982/D982)</f>
        <v>0.874967440127045</v>
      </c>
      <c r="J982" s="6" t="n">
        <f aca="false">E982*H982</f>
        <v>325516.443111948</v>
      </c>
      <c r="K982" s="6" t="n">
        <f aca="false">E982*I982</f>
        <v>2277936.95688805</v>
      </c>
      <c r="L982" s="6" t="n">
        <v>578679.15</v>
      </c>
      <c r="M982" s="6" t="n">
        <v>2024774.25</v>
      </c>
      <c r="N982" s="6" t="n">
        <v>2251697</v>
      </c>
      <c r="O982" s="6" t="n">
        <v>2650615</v>
      </c>
      <c r="P982" s="7" t="n">
        <f aca="false">IF(O982=0,"",(G982-O982)/O982)</f>
        <v>-0.0140171016914942</v>
      </c>
      <c r="Q982" s="5" t="s">
        <v>26</v>
      </c>
      <c r="R982" s="5" t="s">
        <v>27</v>
      </c>
    </row>
    <row r="983" customFormat="false" ht="15" hidden="false" customHeight="true" outlineLevel="0" collapsed="false">
      <c r="A983" s="5" t="s">
        <v>1007</v>
      </c>
      <c r="B983" s="6" t="n">
        <v>1329722684.09</v>
      </c>
      <c r="C983" s="6" t="n">
        <v>196541142.21</v>
      </c>
      <c r="D983" s="6" t="n">
        <v>1526263826.29</v>
      </c>
      <c r="E983" s="6" t="n">
        <v>564717.62</v>
      </c>
      <c r="F983" s="6" t="n">
        <v>8089.35</v>
      </c>
      <c r="G983" s="6" t="n">
        <f aca="false">E983+F983</f>
        <v>572806.97</v>
      </c>
      <c r="H983" s="7" t="n">
        <f aca="false">IF(D983=0,0,C983/D983)</f>
        <v>0.128772718598558</v>
      </c>
      <c r="I983" s="7" t="n">
        <f aca="false">IF(D983=0,0,B983/D983)</f>
        <v>0.871227281407994</v>
      </c>
      <c r="J983" s="6" t="n">
        <f aca="false">E983*H983</f>
        <v>72720.2231679072</v>
      </c>
      <c r="K983" s="6" t="n">
        <f aca="false">E983*I983</f>
        <v>491997.396835793</v>
      </c>
      <c r="L983" s="6" t="n">
        <v>128848.3</v>
      </c>
      <c r="M983" s="6" t="n">
        <v>435869.32</v>
      </c>
      <c r="N983" s="6" t="n">
        <v>519206</v>
      </c>
      <c r="O983" s="6" t="n">
        <v>593287</v>
      </c>
      <c r="P983" s="7" t="n">
        <f aca="false">IF(O983=0,"",(G983-O983)/O983)</f>
        <v>-0.0345196001260773</v>
      </c>
      <c r="Q983" s="5" t="s">
        <v>26</v>
      </c>
      <c r="R983" s="5" t="s">
        <v>27</v>
      </c>
    </row>
    <row r="984" customFormat="false" ht="15" hidden="false" customHeight="true" outlineLevel="0" collapsed="false">
      <c r="A984" s="5" t="s">
        <v>1008</v>
      </c>
      <c r="B984" s="6" t="n">
        <v>5536552062.86</v>
      </c>
      <c r="C984" s="6" t="n">
        <v>446920723.86</v>
      </c>
      <c r="D984" s="6" t="n">
        <v>5983472786.72</v>
      </c>
      <c r="E984" s="6" t="n">
        <v>2213884.93</v>
      </c>
      <c r="F984" s="6" t="n">
        <v>9428.83</v>
      </c>
      <c r="G984" s="6" t="n">
        <f aca="false">E984+F984</f>
        <v>2223313.76</v>
      </c>
      <c r="H984" s="7" t="n">
        <f aca="false">IF(D984=0,0,C984/D984)</f>
        <v>0.0746925305404441</v>
      </c>
      <c r="I984" s="7" t="n">
        <f aca="false">IF(D984=0,0,B984/D984)</f>
        <v>0.925307469459556</v>
      </c>
      <c r="J984" s="6" t="n">
        <f aca="false">E984*H984</f>
        <v>165360.667747054</v>
      </c>
      <c r="K984" s="6" t="n">
        <f aca="false">E984*I984</f>
        <v>2048524.26225295</v>
      </c>
      <c r="L984" s="6" t="n">
        <v>307735.77</v>
      </c>
      <c r="M984" s="6" t="n">
        <v>1906149.16</v>
      </c>
      <c r="N984" s="6" t="n">
        <v>1893994</v>
      </c>
      <c r="O984" s="6" t="n">
        <v>2132202</v>
      </c>
      <c r="P984" s="7" t="n">
        <f aca="false">IF(O984=0,"",(G984-O984)/O984)</f>
        <v>0.042731298441705</v>
      </c>
      <c r="Q984" s="5" t="s">
        <v>26</v>
      </c>
      <c r="R984" s="5" t="s">
        <v>27</v>
      </c>
    </row>
    <row r="985" customFormat="false" ht="15" hidden="false" customHeight="true" outlineLevel="0" collapsed="false">
      <c r="A985" s="5" t="s">
        <v>1009</v>
      </c>
      <c r="B985" s="6" t="n">
        <v>5544134683.91</v>
      </c>
      <c r="C985" s="6" t="n">
        <v>1695665627.09</v>
      </c>
      <c r="D985" s="6" t="n">
        <v>7239800311</v>
      </c>
      <c r="E985" s="6" t="n">
        <v>2678726.12</v>
      </c>
      <c r="F985" s="6" t="n">
        <v>16338.81</v>
      </c>
      <c r="G985" s="6" t="n">
        <f aca="false">E985+F985</f>
        <v>2695064.93</v>
      </c>
      <c r="H985" s="7" t="n">
        <f aca="false">IF(D985=0,0,C985/D985)</f>
        <v>0.234214419493538</v>
      </c>
      <c r="I985" s="7" t="n">
        <f aca="false">IF(D985=0,0,B985/D985)</f>
        <v>0.765785580506462</v>
      </c>
      <c r="J985" s="6" t="n">
        <f aca="false">E985*H985</f>
        <v>627396.283177977</v>
      </c>
      <c r="K985" s="6" t="n">
        <f aca="false">E985*I985</f>
        <v>2051329.83682202</v>
      </c>
      <c r="L985" s="6" t="n">
        <v>1016673.07</v>
      </c>
      <c r="M985" s="6" t="n">
        <v>1662053.04</v>
      </c>
      <c r="N985" s="6" t="n">
        <v>2161284</v>
      </c>
      <c r="O985" s="6" t="n">
        <v>2457014</v>
      </c>
      <c r="P985" s="7" t="n">
        <f aca="false">IF(O985=0,"",(G985-O985)/O985)</f>
        <v>0.0968862733382879</v>
      </c>
      <c r="Q985" s="5" t="s">
        <v>26</v>
      </c>
      <c r="R985" s="5" t="s">
        <v>27</v>
      </c>
    </row>
    <row r="986" customFormat="false" ht="15" hidden="false" customHeight="true" outlineLevel="0" collapsed="false">
      <c r="A986" s="5" t="s">
        <v>1010</v>
      </c>
      <c r="B986" s="6" t="n">
        <v>5192276666.27</v>
      </c>
      <c r="C986" s="6" t="n">
        <v>1786393675.56</v>
      </c>
      <c r="D986" s="6" t="n">
        <v>6978670341.84</v>
      </c>
      <c r="E986" s="6" t="n">
        <v>2582108.03</v>
      </c>
      <c r="F986" s="6" t="n">
        <v>38265.2</v>
      </c>
      <c r="G986" s="6" t="n">
        <f aca="false">E986+F986</f>
        <v>2620373.23</v>
      </c>
      <c r="H986" s="7" t="n">
        <f aca="false">IF(D986=0,0,C986/D986)</f>
        <v>0.255979088860214</v>
      </c>
      <c r="I986" s="7" t="n">
        <f aca="false">IF(D986=0,0,B986/D986)</f>
        <v>0.744020911138353</v>
      </c>
      <c r="J986" s="6" t="n">
        <f aca="false">E986*H986</f>
        <v>660965.660858042</v>
      </c>
      <c r="K986" s="6" t="n">
        <f aca="false">E986*I986</f>
        <v>1921142.36913826</v>
      </c>
      <c r="L986" s="6" t="n">
        <v>1052510.61</v>
      </c>
      <c r="M986" s="6" t="n">
        <v>1529597.41</v>
      </c>
      <c r="N986" s="6" t="n">
        <v>1975662</v>
      </c>
      <c r="O986" s="6" t="n">
        <v>2206304</v>
      </c>
      <c r="P986" s="7" t="n">
        <f aca="false">IF(O986=0,"",(G986-O986)/O986)</f>
        <v>0.187675510718378</v>
      </c>
      <c r="Q986" s="5" t="s">
        <v>26</v>
      </c>
      <c r="R986" s="5" t="s">
        <v>27</v>
      </c>
    </row>
    <row r="987" customFormat="false" ht="15" hidden="false" customHeight="true" outlineLevel="0" collapsed="false">
      <c r="A987" s="5" t="s">
        <v>1011</v>
      </c>
      <c r="B987" s="6" t="n">
        <v>7223191379.37</v>
      </c>
      <c r="C987" s="6" t="n">
        <v>2225317776.75</v>
      </c>
      <c r="D987" s="6" t="n">
        <v>9448509156.11</v>
      </c>
      <c r="E987" s="6" t="n">
        <v>3495948.39</v>
      </c>
      <c r="F987" s="6" t="n">
        <v>64666.98</v>
      </c>
      <c r="G987" s="6" t="n">
        <f aca="false">E987+F987</f>
        <v>3560615.37</v>
      </c>
      <c r="H987" s="7" t="n">
        <f aca="false">IF(D987=0,0,C987/D987)</f>
        <v>0.235520518632399</v>
      </c>
      <c r="I987" s="7" t="n">
        <f aca="false">IF(D987=0,0,B987/D987)</f>
        <v>0.764479481368659</v>
      </c>
      <c r="J987" s="6" t="n">
        <f aca="false">E987*H987</f>
        <v>823367.577924901</v>
      </c>
      <c r="K987" s="6" t="n">
        <f aca="false">E987*I987</f>
        <v>2672580.8120788</v>
      </c>
      <c r="L987" s="6" t="n">
        <v>1332827.04</v>
      </c>
      <c r="M987" s="6" t="n">
        <v>2163121.35</v>
      </c>
      <c r="N987" s="6" t="n">
        <v>2709847</v>
      </c>
      <c r="O987" s="6" t="n">
        <v>2978703</v>
      </c>
      <c r="P987" s="7" t="n">
        <f aca="false">IF(O987=0,"",(G987-O987)/O987)</f>
        <v>0.195357633842649</v>
      </c>
      <c r="Q987" s="5" t="s">
        <v>26</v>
      </c>
      <c r="R987" s="5" t="s">
        <v>27</v>
      </c>
    </row>
    <row r="988" customFormat="false" ht="15" hidden="false" customHeight="true" outlineLevel="0" collapsed="false">
      <c r="A988" s="5" t="s">
        <v>1012</v>
      </c>
      <c r="B988" s="6" t="n">
        <v>11593690775.93</v>
      </c>
      <c r="C988" s="6" t="n">
        <v>3335351796.15</v>
      </c>
      <c r="D988" s="6" t="n">
        <v>14929042572.08</v>
      </c>
      <c r="E988" s="6" t="n">
        <v>5523745.75</v>
      </c>
      <c r="F988" s="6" t="n">
        <v>73725.82</v>
      </c>
      <c r="G988" s="6" t="n">
        <f aca="false">E988+F988</f>
        <v>5597471.57</v>
      </c>
      <c r="H988" s="7" t="n">
        <f aca="false">IF(D988=0,0,C988/D988)</f>
        <v>0.223413643577366</v>
      </c>
      <c r="I988" s="7" t="n">
        <f aca="false">IF(D988=0,0,B988/D988)</f>
        <v>0.776586356422634</v>
      </c>
      <c r="J988" s="6" t="n">
        <f aca="false">E988*H988</f>
        <v>1234080.16420249</v>
      </c>
      <c r="K988" s="6" t="n">
        <f aca="false">E988*I988</f>
        <v>4289665.58579751</v>
      </c>
      <c r="L988" s="6" t="n">
        <v>2017437.31</v>
      </c>
      <c r="M988" s="6" t="n">
        <v>3506308.44</v>
      </c>
      <c r="N988" s="6" t="n">
        <v>4300098</v>
      </c>
      <c r="O988" s="6" t="n">
        <v>4736926</v>
      </c>
      <c r="P988" s="7" t="n">
        <f aca="false">IF(O988=0,"",(G988-O988)/O988)</f>
        <v>0.18166751391092</v>
      </c>
      <c r="Q988" s="5" t="s">
        <v>26</v>
      </c>
      <c r="R988" s="5" t="s">
        <v>27</v>
      </c>
    </row>
    <row r="989" customFormat="false" ht="15" hidden="false" customHeight="true" outlineLevel="0" collapsed="false">
      <c r="A989" s="5" t="s">
        <v>1013</v>
      </c>
      <c r="B989" s="6" t="n">
        <v>10744921449.01</v>
      </c>
      <c r="C989" s="6" t="n">
        <v>4986241499.89</v>
      </c>
      <c r="D989" s="6" t="n">
        <v>15731162948.9</v>
      </c>
      <c r="E989" s="6" t="n">
        <v>5820530.29</v>
      </c>
      <c r="F989" s="6" t="n">
        <v>56007.44</v>
      </c>
      <c r="G989" s="6" t="n">
        <f aca="false">E989+F989</f>
        <v>5876537.73</v>
      </c>
      <c r="H989" s="7" t="n">
        <f aca="false">IF(D989=0,0,C989/D989)</f>
        <v>0.316965854087645</v>
      </c>
      <c r="I989" s="7" t="n">
        <f aca="false">IF(D989=0,0,B989/D989)</f>
        <v>0.683034145912355</v>
      </c>
      <c r="J989" s="6" t="n">
        <f aca="false">E989*H989</f>
        <v>1844909.35461286</v>
      </c>
      <c r="K989" s="6" t="n">
        <f aca="false">E989*I989</f>
        <v>3975620.93538714</v>
      </c>
      <c r="L989" s="6" t="n">
        <v>2801757.31</v>
      </c>
      <c r="M989" s="6" t="n">
        <v>3018772.98</v>
      </c>
      <c r="N989" s="6" t="n">
        <v>4350711</v>
      </c>
      <c r="O989" s="6" t="n">
        <v>4783569</v>
      </c>
      <c r="P989" s="7" t="n">
        <f aca="false">IF(O989=0,"",(G989-O989)/O989)</f>
        <v>0.228483947864032</v>
      </c>
      <c r="Q989" s="5" t="s">
        <v>26</v>
      </c>
      <c r="R989" s="5" t="s">
        <v>27</v>
      </c>
    </row>
    <row r="990" customFormat="false" ht="15" hidden="false" customHeight="true" outlineLevel="0" collapsed="false">
      <c r="A990" s="5" t="s">
        <v>1014</v>
      </c>
      <c r="B990" s="6" t="n">
        <v>12880731728.44</v>
      </c>
      <c r="C990" s="6" t="n">
        <v>453762452.83</v>
      </c>
      <c r="D990" s="6" t="n">
        <v>13334494181.27</v>
      </c>
      <c r="E990" s="6" t="n">
        <v>4933762.85</v>
      </c>
      <c r="F990" s="6" t="n">
        <v>69074.58</v>
      </c>
      <c r="G990" s="6" t="n">
        <f aca="false">E990+F990</f>
        <v>5002837.43</v>
      </c>
      <c r="H990" s="7" t="n">
        <f aca="false">IF(D990=0,0,C990/D990)</f>
        <v>0.0340292212559039</v>
      </c>
      <c r="I990" s="7" t="n">
        <f aca="false">IF(D990=0,0,B990/D990)</f>
        <v>0.965970778744096</v>
      </c>
      <c r="J990" s="6" t="n">
        <f aca="false">E990*H990</f>
        <v>167892.107646809</v>
      </c>
      <c r="K990" s="6" t="n">
        <f aca="false">E990*I990</f>
        <v>4765870.74235319</v>
      </c>
      <c r="L990" s="6" t="n">
        <v>324733.78</v>
      </c>
      <c r="M990" s="6" t="n">
        <v>4609029.07</v>
      </c>
      <c r="N990" s="6" t="n">
        <v>4315723</v>
      </c>
      <c r="O990" s="6" t="n">
        <v>4683213</v>
      </c>
      <c r="P990" s="7" t="n">
        <f aca="false">IF(O990=0,"",(G990-O990)/O990)</f>
        <v>0.0682489628381198</v>
      </c>
      <c r="Q990" s="5" t="s">
        <v>26</v>
      </c>
      <c r="R990" s="5" t="s">
        <v>27</v>
      </c>
    </row>
    <row r="991" customFormat="false" ht="15" hidden="false" customHeight="true" outlineLevel="0" collapsed="false">
      <c r="A991" s="5" t="s">
        <v>1015</v>
      </c>
      <c r="B991" s="6" t="n">
        <v>7709887204.09</v>
      </c>
      <c r="C991" s="6" t="n">
        <v>573256994.85</v>
      </c>
      <c r="D991" s="6" t="n">
        <v>8283144198.94</v>
      </c>
      <c r="E991" s="6" t="n">
        <v>3064763.35</v>
      </c>
      <c r="F991" s="6" t="n">
        <v>47907.6</v>
      </c>
      <c r="G991" s="6" t="n">
        <f aca="false">E991+F991</f>
        <v>3112670.95</v>
      </c>
      <c r="H991" s="7" t="n">
        <f aca="false">IF(D991=0,0,C991/D991)</f>
        <v>0.0692076560641502</v>
      </c>
      <c r="I991" s="7" t="n">
        <f aca="false">IF(D991=0,0,B991/D991)</f>
        <v>0.93079234393585</v>
      </c>
      <c r="J991" s="6" t="n">
        <f aca="false">E991*H991</f>
        <v>212105.087844813</v>
      </c>
      <c r="K991" s="6" t="n">
        <f aca="false">E991*I991</f>
        <v>2852658.26215519</v>
      </c>
      <c r="L991" s="6" t="n">
        <v>396751.91</v>
      </c>
      <c r="M991" s="6" t="n">
        <v>2668011.45</v>
      </c>
      <c r="N991" s="6" t="n">
        <v>2945934</v>
      </c>
      <c r="O991" s="6" t="n">
        <v>3305633</v>
      </c>
      <c r="P991" s="7" t="n">
        <f aca="false">IF(O991=0,"",(G991-O991)/O991)</f>
        <v>-0.0583737063370313</v>
      </c>
      <c r="Q991" s="5" t="s">
        <v>26</v>
      </c>
      <c r="R991" s="5" t="s">
        <v>27</v>
      </c>
    </row>
    <row r="992" customFormat="false" ht="15" hidden="false" customHeight="true" outlineLevel="0" collapsed="false">
      <c r="A992" s="5" t="s">
        <v>1016</v>
      </c>
      <c r="B992" s="6" t="n">
        <v>8410401449.92</v>
      </c>
      <c r="C992" s="6" t="n">
        <v>3535691413.87</v>
      </c>
      <c r="D992" s="6" t="n">
        <v>11946092863.79</v>
      </c>
      <c r="E992" s="6" t="n">
        <v>4420054.36</v>
      </c>
      <c r="F992" s="6" t="n">
        <v>71075.41</v>
      </c>
      <c r="G992" s="6" t="n">
        <f aca="false">E992+F992</f>
        <v>4491129.77</v>
      </c>
      <c r="H992" s="7" t="n">
        <f aca="false">IF(D992=0,0,C992/D992)</f>
        <v>0.295970528120294</v>
      </c>
      <c r="I992" s="7" t="n">
        <f aca="false">IF(D992=0,0,B992/D992)</f>
        <v>0.704029471879706</v>
      </c>
      <c r="J992" s="6" t="n">
        <f aca="false">E992*H992</f>
        <v>1308205.82324961</v>
      </c>
      <c r="K992" s="6" t="n">
        <f aca="false">E992*I992</f>
        <v>3111848.53675039</v>
      </c>
      <c r="L992" s="6" t="n">
        <v>2018882.06</v>
      </c>
      <c r="M992" s="6" t="n">
        <v>2401172.3</v>
      </c>
      <c r="N992" s="6" t="n">
        <v>3385716</v>
      </c>
      <c r="O992" s="6" t="n">
        <v>3731999</v>
      </c>
      <c r="P992" s="7" t="n">
        <f aca="false">IF(O992=0,"",(G992-O992)/O992)</f>
        <v>0.203411300485343</v>
      </c>
      <c r="Q992" s="5" t="s">
        <v>26</v>
      </c>
      <c r="R992" s="5" t="s">
        <v>27</v>
      </c>
    </row>
    <row r="993" customFormat="false" ht="15" hidden="false" customHeight="true" outlineLevel="0" collapsed="false">
      <c r="A993" s="5" t="s">
        <v>1017</v>
      </c>
      <c r="B993" s="6" t="n">
        <v>10448088018.21</v>
      </c>
      <c r="C993" s="6" t="n">
        <v>2746628279.64</v>
      </c>
      <c r="D993" s="6" t="n">
        <v>13194716297.85</v>
      </c>
      <c r="E993" s="6" t="n">
        <v>4882045.03</v>
      </c>
      <c r="F993" s="6" t="n">
        <v>73528.05</v>
      </c>
      <c r="G993" s="6" t="n">
        <f aca="false">E993+F993</f>
        <v>4955573.08</v>
      </c>
      <c r="H993" s="7" t="n">
        <f aca="false">IF(D993=0,0,C993/D993)</f>
        <v>0.208161222843991</v>
      </c>
      <c r="I993" s="7" t="n">
        <f aca="false">IF(D993=0,0,B993/D993)</f>
        <v>0.791838777156009</v>
      </c>
      <c r="J993" s="6" t="n">
        <f aca="false">E993*H993</f>
        <v>1016252.46342423</v>
      </c>
      <c r="K993" s="6" t="n">
        <f aca="false">E993*I993</f>
        <v>3865792.56657577</v>
      </c>
      <c r="L993" s="6" t="n">
        <v>1682312.67</v>
      </c>
      <c r="M993" s="6" t="n">
        <v>3199732.36</v>
      </c>
      <c r="N993" s="6" t="n">
        <v>3947414</v>
      </c>
      <c r="O993" s="6" t="n">
        <v>4308912</v>
      </c>
      <c r="P993" s="7" t="n">
        <f aca="false">IF(O993=0,"",(G993-O993)/O993)</f>
        <v>0.150075257976956</v>
      </c>
      <c r="Q993" s="5" t="s">
        <v>26</v>
      </c>
      <c r="R993" s="5" t="s">
        <v>27</v>
      </c>
    </row>
    <row r="994" customFormat="false" ht="15" hidden="false" customHeight="true" outlineLevel="0" collapsed="false">
      <c r="A994" s="5" t="s">
        <v>1018</v>
      </c>
      <c r="B994" s="6" t="n">
        <v>10216254336.33</v>
      </c>
      <c r="C994" s="6" t="n">
        <v>2644071681.11</v>
      </c>
      <c r="D994" s="6" t="n">
        <v>12860326017.44</v>
      </c>
      <c r="E994" s="6" t="n">
        <v>4758320.63</v>
      </c>
      <c r="F994" s="6" t="n">
        <v>47841.59</v>
      </c>
      <c r="G994" s="6" t="n">
        <f aca="false">E994+F994</f>
        <v>4806162.22</v>
      </c>
      <c r="H994" s="7" t="n">
        <f aca="false">IF(D994=0,0,C994/D994)</f>
        <v>0.205599117590359</v>
      </c>
      <c r="I994" s="7" t="n">
        <f aca="false">IF(D994=0,0,B994/D994)</f>
        <v>0.794400882409641</v>
      </c>
      <c r="J994" s="6" t="n">
        <f aca="false">E994*H994</f>
        <v>978306.522740001</v>
      </c>
      <c r="K994" s="6" t="n">
        <f aca="false">E994*I994</f>
        <v>3780014.10726</v>
      </c>
      <c r="L994" s="6" t="n">
        <v>1622938.35</v>
      </c>
      <c r="M994" s="6" t="n">
        <v>3135382.28</v>
      </c>
      <c r="N994" s="6" t="n">
        <v>3941854</v>
      </c>
      <c r="O994" s="6" t="n">
        <v>4320175</v>
      </c>
      <c r="P994" s="7" t="n">
        <f aca="false">IF(O994=0,"",(G994-O994)/O994)</f>
        <v>0.11249248467944</v>
      </c>
      <c r="Q994" s="5" t="s">
        <v>26</v>
      </c>
      <c r="R994" s="5" t="s">
        <v>27</v>
      </c>
    </row>
    <row r="995" customFormat="false" ht="15" hidden="false" customHeight="true" outlineLevel="0" collapsed="false">
      <c r="A995" s="5" t="s">
        <v>1019</v>
      </c>
      <c r="B995" s="6" t="n">
        <v>20020496107.07</v>
      </c>
      <c r="C995" s="6" t="n">
        <v>5287058767.74</v>
      </c>
      <c r="D995" s="6" t="n">
        <v>25307554874.8</v>
      </c>
      <c r="E995" s="6" t="n">
        <v>9363795.3</v>
      </c>
      <c r="F995" s="6" t="n">
        <v>79022.53</v>
      </c>
      <c r="G995" s="6" t="n">
        <f aca="false">E995+F995</f>
        <v>9442817.83</v>
      </c>
      <c r="H995" s="7" t="n">
        <f aca="false">IF(D995=0,0,C995/D995)</f>
        <v>0.208912271212917</v>
      </c>
      <c r="I995" s="7" t="n">
        <f aca="false">IF(D995=0,0,B995/D995)</f>
        <v>0.791087728787478</v>
      </c>
      <c r="J995" s="6" t="n">
        <f aca="false">E995*H995</f>
        <v>1956211.74329584</v>
      </c>
      <c r="K995" s="6" t="n">
        <f aca="false">E995*I995</f>
        <v>7407583.55670786</v>
      </c>
      <c r="L995" s="6" t="n">
        <v>3236317.13</v>
      </c>
      <c r="M995" s="6" t="n">
        <v>6127478.18</v>
      </c>
      <c r="N995" s="6" t="n">
        <v>6841945</v>
      </c>
      <c r="O995" s="6" t="n">
        <v>7492108</v>
      </c>
      <c r="P995" s="7" t="n">
        <f aca="false">IF(O995=0,"",(G995-O995)/O995)</f>
        <v>0.260368621221157</v>
      </c>
      <c r="Q995" s="5" t="s">
        <v>26</v>
      </c>
      <c r="R995" s="5" t="s">
        <v>27</v>
      </c>
    </row>
    <row r="996" customFormat="false" ht="15" hidden="false" customHeight="true" outlineLevel="0" collapsed="false">
      <c r="A996" s="5" t="s">
        <v>1020</v>
      </c>
      <c r="B996" s="6" t="n">
        <v>13809374959.68</v>
      </c>
      <c r="C996" s="6" t="n">
        <v>3088162874.1</v>
      </c>
      <c r="D996" s="6" t="n">
        <v>16897537833.78</v>
      </c>
      <c r="E996" s="6" t="n">
        <v>6252089</v>
      </c>
      <c r="F996" s="6" t="n">
        <v>94000.77</v>
      </c>
      <c r="G996" s="6" t="n">
        <f aca="false">E996+F996</f>
        <v>6346089.77</v>
      </c>
      <c r="H996" s="7" t="n">
        <f aca="false">IF(D996=0,0,C996/D996)</f>
        <v>0.182758157104192</v>
      </c>
      <c r="I996" s="7" t="n">
        <f aca="false">IF(D996=0,0,B996/D996)</f>
        <v>0.817241842895808</v>
      </c>
      <c r="J996" s="6" t="n">
        <f aca="false">E996*H996</f>
        <v>1142620.26369139</v>
      </c>
      <c r="K996" s="6" t="n">
        <f aca="false">E996*I996</f>
        <v>5109468.73630861</v>
      </c>
      <c r="L996" s="6" t="n">
        <v>1932128.32</v>
      </c>
      <c r="M996" s="6" t="n">
        <v>4319960.68</v>
      </c>
      <c r="N996" s="6" t="n">
        <v>4999164</v>
      </c>
      <c r="O996" s="6" t="n">
        <v>5639427</v>
      </c>
      <c r="P996" s="7" t="n">
        <f aca="false">IF(O996=0,"",(G996-O996)/O996)</f>
        <v>0.125307548089549</v>
      </c>
      <c r="Q996" s="5" t="s">
        <v>26</v>
      </c>
      <c r="R996" s="5" t="s">
        <v>27</v>
      </c>
    </row>
    <row r="997" customFormat="false" ht="15" hidden="false" customHeight="true" outlineLevel="0" collapsed="false">
      <c r="A997" s="5" t="s">
        <v>1021</v>
      </c>
      <c r="B997" s="6" t="n">
        <v>6290232454.9</v>
      </c>
      <c r="C997" s="6" t="n">
        <v>154170328.32</v>
      </c>
      <c r="D997" s="6" t="n">
        <v>6444402783.22</v>
      </c>
      <c r="E997" s="6" t="n">
        <v>2384429.03</v>
      </c>
      <c r="F997" s="6" t="n">
        <v>38236.07</v>
      </c>
      <c r="G997" s="6" t="n">
        <f aca="false">E997+F997</f>
        <v>2422665.1</v>
      </c>
      <c r="H997" s="7" t="n">
        <f aca="false">IF(D997=0,0,C997/D997)</f>
        <v>0.0239231366359394</v>
      </c>
      <c r="I997" s="7" t="n">
        <f aca="false">IF(D997=0,0,B997/D997)</f>
        <v>0.976076863364061</v>
      </c>
      <c r="J997" s="6" t="n">
        <f aca="false">E997*H997</f>
        <v>57043.0214833904</v>
      </c>
      <c r="K997" s="6" t="n">
        <f aca="false">E997*I997</f>
        <v>2327386.00851661</v>
      </c>
      <c r="L997" s="6" t="n">
        <v>111420.51</v>
      </c>
      <c r="M997" s="6" t="n">
        <v>2273008.52</v>
      </c>
      <c r="N997" s="6" t="n">
        <v>2069695</v>
      </c>
      <c r="O997" s="6" t="n">
        <v>2356407</v>
      </c>
      <c r="P997" s="7" t="n">
        <f aca="false">IF(O997=0,"",(G997-O997)/O997)</f>
        <v>0.0281182749839054</v>
      </c>
      <c r="Q997" s="5" t="s">
        <v>26</v>
      </c>
      <c r="R997" s="5" t="s">
        <v>27</v>
      </c>
    </row>
    <row r="998" customFormat="false" ht="15" hidden="false" customHeight="true" outlineLevel="0" collapsed="false">
      <c r="A998" s="5" t="s">
        <v>1022</v>
      </c>
      <c r="B998" s="6" t="n">
        <v>3613387085.94</v>
      </c>
      <c r="C998" s="6" t="n">
        <v>268637350.74</v>
      </c>
      <c r="D998" s="6" t="n">
        <v>3882024436.68</v>
      </c>
      <c r="E998" s="6" t="n">
        <v>1436349.04</v>
      </c>
      <c r="F998" s="6" t="n">
        <v>22528.32</v>
      </c>
      <c r="G998" s="6" t="n">
        <f aca="false">E998+F998</f>
        <v>1458877.36</v>
      </c>
      <c r="H998" s="7" t="n">
        <f aca="false">IF(D998=0,0,C998/D998)</f>
        <v>0.0692003245012402</v>
      </c>
      <c r="I998" s="7" t="n">
        <f aca="false">IF(D998=0,0,B998/D998)</f>
        <v>0.93079967549876</v>
      </c>
      <c r="J998" s="6" t="n">
        <f aca="false">E998*H998</f>
        <v>99395.8196650448</v>
      </c>
      <c r="K998" s="6" t="n">
        <f aca="false">E998*I998</f>
        <v>1336953.22033496</v>
      </c>
      <c r="L998" s="6" t="n">
        <v>185925.53</v>
      </c>
      <c r="M998" s="6" t="n">
        <v>1250423.51</v>
      </c>
      <c r="N998" s="6" t="n">
        <v>1374691</v>
      </c>
      <c r="O998" s="6" t="n">
        <v>1555024</v>
      </c>
      <c r="P998" s="7" t="n">
        <f aca="false">IF(O998=0,"",(G998-O998)/O998)</f>
        <v>-0.0618296823714617</v>
      </c>
      <c r="Q998" s="5" t="s">
        <v>26</v>
      </c>
      <c r="R998" s="5" t="s">
        <v>27</v>
      </c>
    </row>
    <row r="999" customFormat="false" ht="15" hidden="false" customHeight="true" outlineLevel="0" collapsed="false">
      <c r="A999" s="5" t="s">
        <v>1023</v>
      </c>
      <c r="B999" s="6" t="n">
        <v>5355649078.98</v>
      </c>
      <c r="C999" s="6" t="n">
        <v>1365060008.21</v>
      </c>
      <c r="D999" s="6" t="n">
        <v>6720709087.19</v>
      </c>
      <c r="E999" s="6" t="n">
        <v>2486662.36</v>
      </c>
      <c r="F999" s="6" t="n">
        <v>21968.98</v>
      </c>
      <c r="G999" s="6" t="n">
        <f aca="false">E999+F999</f>
        <v>2508631.34</v>
      </c>
      <c r="H999" s="7" t="n">
        <f aca="false">IF(D999=0,0,C999/D999)</f>
        <v>0.203112497580333</v>
      </c>
      <c r="I999" s="7" t="n">
        <f aca="false">IF(D999=0,0,B999/D999)</f>
        <v>0.796887502419667</v>
      </c>
      <c r="J999" s="6" t="n">
        <f aca="false">E999*H999</f>
        <v>505072.202578605</v>
      </c>
      <c r="K999" s="6" t="n">
        <f aca="false">E999*I999</f>
        <v>1981590.1574214</v>
      </c>
      <c r="L999" s="6" t="n">
        <v>839609.27</v>
      </c>
      <c r="M999" s="6" t="n">
        <v>1647053.09</v>
      </c>
      <c r="N999" s="6" t="n">
        <v>2090434</v>
      </c>
      <c r="O999" s="6" t="n">
        <v>2328516</v>
      </c>
      <c r="P999" s="7" t="n">
        <f aca="false">IF(O999=0,"",(G999-O999)/O999)</f>
        <v>0.0773519872742983</v>
      </c>
      <c r="Q999" s="5" t="s">
        <v>26</v>
      </c>
      <c r="R999" s="5" t="s">
        <v>27</v>
      </c>
    </row>
    <row r="1000" customFormat="false" ht="15" hidden="false" customHeight="true" outlineLevel="0" collapsed="false">
      <c r="A1000" s="5" t="s">
        <v>1024</v>
      </c>
      <c r="B1000" s="6" t="n">
        <v>4890772662.86</v>
      </c>
      <c r="C1000" s="6" t="n">
        <v>1121940128.05</v>
      </c>
      <c r="D1000" s="6" t="n">
        <v>6012712790.91</v>
      </c>
      <c r="E1000" s="6" t="n">
        <v>2224703.73</v>
      </c>
      <c r="F1000" s="6" t="n">
        <v>17944.8</v>
      </c>
      <c r="G1000" s="6" t="n">
        <f aca="false">E1000+F1000</f>
        <v>2242648.53</v>
      </c>
      <c r="H1000" s="7" t="n">
        <f aca="false">IF(D1000=0,0,C1000/D1000)</f>
        <v>0.186594664848477</v>
      </c>
      <c r="I1000" s="7" t="n">
        <f aca="false">IF(D1000=0,0,B1000/D1000)</f>
        <v>0.813405335151523</v>
      </c>
      <c r="J1000" s="6" t="n">
        <f aca="false">E1000*H1000</f>
        <v>415117.846886506</v>
      </c>
      <c r="K1000" s="6" t="n">
        <f aca="false">E1000*I1000</f>
        <v>1809585.88311349</v>
      </c>
      <c r="L1000" s="6" t="n">
        <v>699679.27</v>
      </c>
      <c r="M1000" s="6" t="n">
        <v>1525024.46</v>
      </c>
      <c r="N1000" s="6" t="n">
        <v>1799439</v>
      </c>
      <c r="O1000" s="6" t="n">
        <v>2003498</v>
      </c>
      <c r="P1000" s="7" t="n">
        <f aca="false">IF(O1000=0,"",(G1000-O1000)/O1000)</f>
        <v>0.119366493003736</v>
      </c>
      <c r="Q1000" s="5" t="s">
        <v>26</v>
      </c>
      <c r="R1000" s="5" t="s">
        <v>27</v>
      </c>
    </row>
    <row r="1001" customFormat="false" ht="15" hidden="false" customHeight="true" outlineLevel="0" collapsed="false">
      <c r="A1001" s="5" t="s">
        <v>1025</v>
      </c>
      <c r="B1001" s="6" t="n">
        <v>6073821007.15</v>
      </c>
      <c r="C1001" s="6" t="n">
        <v>1378309412.19</v>
      </c>
      <c r="D1001" s="6" t="n">
        <v>7452130419.34</v>
      </c>
      <c r="E1001" s="6" t="n">
        <v>2757288.26</v>
      </c>
      <c r="F1001" s="6" t="n">
        <v>17618.64</v>
      </c>
      <c r="G1001" s="6" t="n">
        <f aca="false">E1001+F1001</f>
        <v>2774906.9</v>
      </c>
      <c r="H1001" s="7" t="n">
        <f aca="false">IF(D1001=0,0,C1001/D1001)</f>
        <v>0.184955084604125</v>
      </c>
      <c r="I1001" s="7" t="n">
        <f aca="false">IF(D1001=0,0,B1001/D1001)</f>
        <v>0.815044915395875</v>
      </c>
      <c r="J1001" s="6" t="n">
        <f aca="false">E1001*H1001</f>
        <v>509974.483406259</v>
      </c>
      <c r="K1001" s="6" t="n">
        <f aca="false">E1001*I1001</f>
        <v>2247313.77659374</v>
      </c>
      <c r="L1001" s="6" t="n">
        <v>860749.05</v>
      </c>
      <c r="M1001" s="6" t="n">
        <v>1896539.2</v>
      </c>
      <c r="N1001" s="6" t="n">
        <v>2329330</v>
      </c>
      <c r="O1001" s="6" t="n">
        <v>2597083</v>
      </c>
      <c r="P1001" s="7" t="n">
        <f aca="false">IF(O1001=0,"",(G1001-O1001)/O1001)</f>
        <v>0.0684706264682338</v>
      </c>
      <c r="Q1001" s="5" t="s">
        <v>26</v>
      </c>
      <c r="R1001" s="5" t="s">
        <v>27</v>
      </c>
    </row>
    <row r="1002" customFormat="false" ht="15" hidden="false" customHeight="true" outlineLevel="0" collapsed="false">
      <c r="A1002" s="5" t="s">
        <v>1026</v>
      </c>
      <c r="B1002" s="6" t="n">
        <v>4959760947.34</v>
      </c>
      <c r="C1002" s="6" t="n">
        <v>1817533711.43</v>
      </c>
      <c r="D1002" s="6" t="n">
        <v>6777294658.77</v>
      </c>
      <c r="E1002" s="6" t="n">
        <v>2507599.02</v>
      </c>
      <c r="F1002" s="6" t="n">
        <v>17934.69</v>
      </c>
      <c r="G1002" s="6" t="n">
        <f aca="false">E1002+F1002</f>
        <v>2525533.71</v>
      </c>
      <c r="H1002" s="7" t="n">
        <f aca="false">IF(D1002=0,0,C1002/D1002)</f>
        <v>0.268179827341292</v>
      </c>
      <c r="I1002" s="7" t="n">
        <f aca="false">IF(D1002=0,0,B1002/D1002)</f>
        <v>0.731820172658708</v>
      </c>
      <c r="J1002" s="6" t="n">
        <f aca="false">E1002*H1002</f>
        <v>672487.472224793</v>
      </c>
      <c r="K1002" s="6" t="n">
        <f aca="false">E1002*I1002</f>
        <v>1835111.54777521</v>
      </c>
      <c r="L1002" s="6" t="n">
        <v>1060555.39</v>
      </c>
      <c r="M1002" s="6" t="n">
        <v>1447043.64</v>
      </c>
      <c r="N1002" s="6" t="n">
        <v>1816261</v>
      </c>
      <c r="O1002" s="6" t="n">
        <v>2007008</v>
      </c>
      <c r="P1002" s="7" t="n">
        <f aca="false">IF(O1002=0,"",(G1002-O1002)/O1002)</f>
        <v>0.258357570074459</v>
      </c>
      <c r="Q1002" s="5" t="s">
        <v>26</v>
      </c>
      <c r="R1002" s="5" t="s">
        <v>27</v>
      </c>
    </row>
    <row r="1003" customFormat="false" ht="15" hidden="false" customHeight="true" outlineLevel="0" collapsed="false">
      <c r="A1003" s="5" t="s">
        <v>1027</v>
      </c>
      <c r="B1003" s="6" t="n">
        <v>4176929200.79</v>
      </c>
      <c r="C1003" s="6" t="n">
        <v>1457985348.84</v>
      </c>
      <c r="D1003" s="6" t="n">
        <v>5634914549.63</v>
      </c>
      <c r="E1003" s="6" t="n">
        <v>2084918.38</v>
      </c>
      <c r="F1003" s="6" t="n">
        <v>18606.8</v>
      </c>
      <c r="G1003" s="6" t="n">
        <f aca="false">E1003+F1003</f>
        <v>2103525.18</v>
      </c>
      <c r="H1003" s="7" t="n">
        <f aca="false">IF(D1003=0,0,C1003/D1003)</f>
        <v>0.258741341328013</v>
      </c>
      <c r="I1003" s="7" t="n">
        <f aca="false">IF(D1003=0,0,B1003/D1003)</f>
        <v>0.741258658671987</v>
      </c>
      <c r="J1003" s="6" t="n">
        <f aca="false">E1003*H1003</f>
        <v>539454.578200627</v>
      </c>
      <c r="K1003" s="6" t="n">
        <f aca="false">E1003*I1003</f>
        <v>1545463.80179937</v>
      </c>
      <c r="L1003" s="6" t="n">
        <v>857133.33</v>
      </c>
      <c r="M1003" s="6" t="n">
        <v>1227785.05</v>
      </c>
      <c r="N1003" s="6" t="n">
        <v>1595205</v>
      </c>
      <c r="O1003" s="6" t="n">
        <v>1792364</v>
      </c>
      <c r="P1003" s="7" t="n">
        <f aca="false">IF(O1003=0,"",(G1003-O1003)/O1003)</f>
        <v>0.173603788069834</v>
      </c>
      <c r="Q1003" s="5" t="s">
        <v>26</v>
      </c>
      <c r="R1003" s="5" t="s">
        <v>27</v>
      </c>
    </row>
    <row r="1004" customFormat="false" ht="15" hidden="false" customHeight="true" outlineLevel="0" collapsed="false">
      <c r="A1004" s="5" t="s">
        <v>1028</v>
      </c>
      <c r="B1004" s="6" t="n">
        <v>2558509697.51</v>
      </c>
      <c r="C1004" s="6" t="n">
        <v>110989746.99</v>
      </c>
      <c r="D1004" s="6" t="n">
        <v>2669499444.49</v>
      </c>
      <c r="E1004" s="6" t="n">
        <v>987714.79</v>
      </c>
      <c r="F1004" s="6" t="n">
        <v>11811.27</v>
      </c>
      <c r="G1004" s="6" t="n">
        <f aca="false">E1004+F1004</f>
        <v>999526.06</v>
      </c>
      <c r="H1004" s="7" t="n">
        <f aca="false">IF(D1004=0,0,C1004/D1004)</f>
        <v>0.0415769882324153</v>
      </c>
      <c r="I1004" s="7" t="n">
        <f aca="false">IF(D1004=0,0,B1004/D1004)</f>
        <v>0.958423011771331</v>
      </c>
      <c r="J1004" s="6" t="n">
        <f aca="false">E1004*H1004</f>
        <v>41066.2062008126</v>
      </c>
      <c r="K1004" s="6" t="n">
        <f aca="false">E1004*I1004</f>
        <v>946648.583802888</v>
      </c>
      <c r="L1004" s="6" t="n">
        <v>78853.9</v>
      </c>
      <c r="M1004" s="6" t="n">
        <v>908860.89</v>
      </c>
      <c r="N1004" s="6" t="n">
        <v>941787</v>
      </c>
      <c r="O1004" s="6" t="n">
        <v>1062479</v>
      </c>
      <c r="P1004" s="7" t="n">
        <f aca="false">IF(O1004=0,"",(G1004-O1004)/O1004)</f>
        <v>-0.0592509969608811</v>
      </c>
      <c r="Q1004" s="5" t="s">
        <v>26</v>
      </c>
      <c r="R1004" s="5" t="s">
        <v>27</v>
      </c>
    </row>
    <row r="1005" customFormat="false" ht="15" hidden="false" customHeight="true" outlineLevel="0" collapsed="false">
      <c r="A1005" s="5" t="s">
        <v>1029</v>
      </c>
      <c r="B1005" s="6" t="n">
        <v>3378583385.42</v>
      </c>
      <c r="C1005" s="6" t="n">
        <v>261444231.63</v>
      </c>
      <c r="D1005" s="6" t="n">
        <v>3640027617.05</v>
      </c>
      <c r="E1005" s="6" t="n">
        <v>1346810.22</v>
      </c>
      <c r="F1005" s="6" t="n">
        <v>12689.99</v>
      </c>
      <c r="G1005" s="6" t="n">
        <f aca="false">E1005+F1005</f>
        <v>1359500.21</v>
      </c>
      <c r="H1005" s="7" t="n">
        <f aca="false">IF(D1005=0,0,C1005/D1005)</f>
        <v>0.0718247934178816</v>
      </c>
      <c r="I1005" s="7" t="n">
        <f aca="false">IF(D1005=0,0,B1005/D1005)</f>
        <v>0.928175206582118</v>
      </c>
      <c r="J1005" s="6" t="n">
        <f aca="false">E1005*H1005</f>
        <v>96734.3658245916</v>
      </c>
      <c r="K1005" s="6" t="n">
        <f aca="false">E1005*I1005</f>
        <v>1250075.85417541</v>
      </c>
      <c r="L1005" s="6" t="n">
        <v>180504.06</v>
      </c>
      <c r="M1005" s="6" t="n">
        <v>1166306.15</v>
      </c>
      <c r="N1005" s="6" t="n">
        <v>1261840</v>
      </c>
      <c r="O1005" s="6" t="n">
        <v>1422325</v>
      </c>
      <c r="P1005" s="7" t="n">
        <f aca="false">IF(O1005=0,"",(G1005-O1005)/O1005)</f>
        <v>-0.0441704884607949</v>
      </c>
      <c r="Q1005" s="5" t="s">
        <v>26</v>
      </c>
      <c r="R1005" s="5" t="s">
        <v>27</v>
      </c>
    </row>
    <row r="1006" customFormat="false" ht="15" hidden="false" customHeight="true" outlineLevel="0" collapsed="false">
      <c r="A1006" s="5" t="s">
        <v>1030</v>
      </c>
      <c r="B1006" s="6" t="n">
        <v>3258245724.38</v>
      </c>
      <c r="C1006" s="6" t="n">
        <v>440376955.43</v>
      </c>
      <c r="D1006" s="6" t="n">
        <v>3698622679.81</v>
      </c>
      <c r="E1006" s="6" t="n">
        <v>1368490.39</v>
      </c>
      <c r="F1006" s="6" t="n">
        <v>9295.7</v>
      </c>
      <c r="G1006" s="6" t="n">
        <f aca="false">E1006+F1006</f>
        <v>1377786.09</v>
      </c>
      <c r="H1006" s="7" t="n">
        <f aca="false">IF(D1006=0,0,C1006/D1006)</f>
        <v>0.119065120601224</v>
      </c>
      <c r="I1006" s="7" t="n">
        <f aca="false">IF(D1006=0,0,B1006/D1006)</f>
        <v>0.880934879398776</v>
      </c>
      <c r="J1006" s="6" t="n">
        <f aca="false">E1006*H1006</f>
        <v>162939.473326966</v>
      </c>
      <c r="K1006" s="6" t="n">
        <f aca="false">E1006*I1006</f>
        <v>1205550.91667303</v>
      </c>
      <c r="L1006" s="6" t="n">
        <v>291206.42</v>
      </c>
      <c r="M1006" s="6" t="n">
        <v>1077283.97</v>
      </c>
      <c r="N1006" s="6" t="n">
        <v>1182506</v>
      </c>
      <c r="O1006" s="6" t="n">
        <v>1324088</v>
      </c>
      <c r="P1006" s="7" t="n">
        <f aca="false">IF(O1006=0,"",(G1006-O1006)/O1006)</f>
        <v>0.040554774305031</v>
      </c>
      <c r="Q1006" s="5" t="s">
        <v>26</v>
      </c>
      <c r="R1006" s="5" t="s">
        <v>27</v>
      </c>
    </row>
    <row r="1007" customFormat="false" ht="15" hidden="false" customHeight="true" outlineLevel="0" collapsed="false">
      <c r="A1007" s="5" t="s">
        <v>1031</v>
      </c>
      <c r="B1007" s="6" t="n">
        <v>4233647628.23</v>
      </c>
      <c r="C1007" s="6" t="n">
        <v>1356915465.98</v>
      </c>
      <c r="D1007" s="6" t="n">
        <v>5590563094.22</v>
      </c>
      <c r="E1007" s="6" t="n">
        <v>2068508.34</v>
      </c>
      <c r="F1007" s="6" t="n">
        <v>8747.58</v>
      </c>
      <c r="G1007" s="6" t="n">
        <f aca="false">E1007+F1007</f>
        <v>2077255.92</v>
      </c>
      <c r="H1007" s="7" t="n">
        <f aca="false">IF(D1007=0,0,C1007/D1007)</f>
        <v>0.242715347830149</v>
      </c>
      <c r="I1007" s="7" t="n">
        <f aca="false">IF(D1007=0,0,B1007/D1007)</f>
        <v>0.757284652168063</v>
      </c>
      <c r="J1007" s="6" t="n">
        <f aca="false">E1007*H1007</f>
        <v>502058.721232664</v>
      </c>
      <c r="K1007" s="6" t="n">
        <f aca="false">E1007*I1007</f>
        <v>1566449.61876364</v>
      </c>
      <c r="L1007" s="6" t="n">
        <v>808002.77</v>
      </c>
      <c r="M1007" s="6" t="n">
        <v>1260505.57</v>
      </c>
      <c r="N1007" s="6" t="n">
        <v>1562243</v>
      </c>
      <c r="O1007" s="6" t="n">
        <v>1727710</v>
      </c>
      <c r="P1007" s="7" t="n">
        <f aca="false">IF(O1007=0,"",(G1007-O1007)/O1007)</f>
        <v>0.20231747226097</v>
      </c>
      <c r="Q1007" s="5" t="s">
        <v>26</v>
      </c>
      <c r="R1007" s="5" t="s">
        <v>27</v>
      </c>
    </row>
    <row r="1008" customFormat="false" ht="15" hidden="false" customHeight="true" outlineLevel="0" collapsed="false">
      <c r="A1008" s="5" t="s">
        <v>1032</v>
      </c>
      <c r="B1008" s="6" t="n">
        <v>3949344180.88</v>
      </c>
      <c r="C1008" s="6" t="n">
        <v>864856258.45</v>
      </c>
      <c r="D1008" s="6" t="n">
        <v>4814200439.33</v>
      </c>
      <c r="E1008" s="6" t="n">
        <v>1781254.16</v>
      </c>
      <c r="F1008" s="6" t="n">
        <v>8232</v>
      </c>
      <c r="G1008" s="6" t="n">
        <f aca="false">E1008+F1008</f>
        <v>1789486.16</v>
      </c>
      <c r="H1008" s="7" t="n">
        <f aca="false">IF(D1008=0,0,C1008/D1008)</f>
        <v>0.179646915276831</v>
      </c>
      <c r="I1008" s="7" t="n">
        <f aca="false">IF(D1008=0,0,B1008/D1008)</f>
        <v>0.820353084723169</v>
      </c>
      <c r="J1008" s="6" t="n">
        <f aca="false">E1008*H1008</f>
        <v>319996.815168023</v>
      </c>
      <c r="K1008" s="6" t="n">
        <f aca="false">E1008*I1008</f>
        <v>1461257.34483198</v>
      </c>
      <c r="L1008" s="6" t="n">
        <v>542529.82</v>
      </c>
      <c r="M1008" s="6" t="n">
        <v>1238724.34</v>
      </c>
      <c r="N1008" s="6" t="n">
        <v>1467702</v>
      </c>
      <c r="O1008" s="6" t="n">
        <v>1641839</v>
      </c>
      <c r="P1008" s="7" t="n">
        <f aca="false">IF(O1008=0,"",(G1008-O1008)/O1008)</f>
        <v>0.0899279161964114</v>
      </c>
      <c r="Q1008" s="5" t="s">
        <v>26</v>
      </c>
      <c r="R1008" s="5" t="s">
        <v>27</v>
      </c>
    </row>
    <row r="1009" customFormat="false" ht="15" hidden="false" customHeight="true" outlineLevel="0" collapsed="false">
      <c r="A1009" s="5" t="s">
        <v>1033</v>
      </c>
      <c r="B1009" s="6" t="n">
        <v>3394527222.82</v>
      </c>
      <c r="C1009" s="6" t="n">
        <v>1019263680.81</v>
      </c>
      <c r="D1009" s="6" t="n">
        <v>4413790903.63</v>
      </c>
      <c r="E1009" s="6" t="n">
        <v>1633102.63</v>
      </c>
      <c r="F1009" s="6" t="n">
        <v>8571.91</v>
      </c>
      <c r="G1009" s="6" t="n">
        <f aca="false">E1009+F1009</f>
        <v>1641674.54</v>
      </c>
      <c r="H1009" s="7" t="n">
        <f aca="false">IF(D1009=0,0,C1009/D1009)</f>
        <v>0.230927042776706</v>
      </c>
      <c r="I1009" s="7" t="n">
        <f aca="false">IF(D1009=0,0,B1009/D1009)</f>
        <v>0.769072957223294</v>
      </c>
      <c r="J1009" s="6" t="n">
        <f aca="false">E1009*H1009</f>
        <v>377127.560896761</v>
      </c>
      <c r="K1009" s="6" t="n">
        <f aca="false">E1009*I1009</f>
        <v>1255975.06910324</v>
      </c>
      <c r="L1009" s="6" t="n">
        <v>612753.72</v>
      </c>
      <c r="M1009" s="6" t="n">
        <v>1020348.91</v>
      </c>
      <c r="N1009" s="6" t="n">
        <v>1302516</v>
      </c>
      <c r="O1009" s="6" t="n">
        <v>1475614</v>
      </c>
      <c r="P1009" s="7" t="n">
        <f aca="false">IF(O1009=0,"",(G1009-O1009)/O1009)</f>
        <v>0.112536571217134</v>
      </c>
      <c r="Q1009" s="5" t="s">
        <v>26</v>
      </c>
      <c r="R1009" s="5" t="s">
        <v>27</v>
      </c>
    </row>
    <row r="1010" customFormat="false" ht="15" hidden="false" customHeight="true" outlineLevel="0" collapsed="false">
      <c r="A1010" s="5" t="s">
        <v>1034</v>
      </c>
      <c r="B1010" s="6" t="n">
        <v>4540174807.05</v>
      </c>
      <c r="C1010" s="6" t="n">
        <v>1601164994.27</v>
      </c>
      <c r="D1010" s="6" t="n">
        <v>6141339801.32</v>
      </c>
      <c r="E1010" s="6" t="n">
        <v>2272295.73</v>
      </c>
      <c r="F1010" s="6" t="n">
        <v>9591.96</v>
      </c>
      <c r="G1010" s="6" t="n">
        <f aca="false">E1010+F1010</f>
        <v>2281887.69</v>
      </c>
      <c r="H1010" s="7" t="n">
        <f aca="false">IF(D1010=0,0,C1010/D1010)</f>
        <v>0.260719166512469</v>
      </c>
      <c r="I1010" s="7" t="n">
        <f aca="false">IF(D1010=0,0,B1010/D1010)</f>
        <v>0.739280833487532</v>
      </c>
      <c r="J1010" s="6" t="n">
        <f aca="false">E1010*H1010</f>
        <v>592431.048795441</v>
      </c>
      <c r="K1010" s="6" t="n">
        <f aca="false">E1010*I1010</f>
        <v>1679864.68120456</v>
      </c>
      <c r="L1010" s="6" t="n">
        <v>939830.32</v>
      </c>
      <c r="M1010" s="6" t="n">
        <v>1332465.41</v>
      </c>
      <c r="N1010" s="6" t="n">
        <v>1733324</v>
      </c>
      <c r="O1010" s="6" t="n">
        <v>1936221</v>
      </c>
      <c r="P1010" s="7" t="n">
        <f aca="false">IF(O1010=0,"",(G1010-O1010)/O1010)</f>
        <v>0.178526464695921</v>
      </c>
      <c r="Q1010" s="5" t="s">
        <v>26</v>
      </c>
      <c r="R1010" s="5" t="s">
        <v>27</v>
      </c>
    </row>
    <row r="1011" customFormat="false" ht="15" hidden="false" customHeight="true" outlineLevel="0" collapsed="false">
      <c r="A1011" s="5" t="s">
        <v>1035</v>
      </c>
      <c r="B1011" s="6" t="n">
        <v>1525661792.03</v>
      </c>
      <c r="C1011" s="6" t="n">
        <v>212487416.09</v>
      </c>
      <c r="D1011" s="6" t="n">
        <v>1738149208.12</v>
      </c>
      <c r="E1011" s="6" t="n">
        <v>643115.21</v>
      </c>
      <c r="F1011" s="6" t="n">
        <v>3546.28</v>
      </c>
      <c r="G1011" s="6" t="n">
        <f aca="false">E1011+F1011</f>
        <v>646661.49</v>
      </c>
      <c r="H1011" s="7" t="n">
        <f aca="false">IF(D1011=0,0,C1011/D1011)</f>
        <v>0.122249237923497</v>
      </c>
      <c r="I1011" s="7" t="n">
        <f aca="false">IF(D1011=0,0,B1011/D1011)</f>
        <v>0.877750762076503</v>
      </c>
      <c r="J1011" s="6" t="n">
        <f aca="false">E1011*H1011</f>
        <v>78620.3443195098</v>
      </c>
      <c r="K1011" s="6" t="n">
        <f aca="false">E1011*I1011</f>
        <v>564494.86568049</v>
      </c>
      <c r="L1011" s="6" t="n">
        <v>140112.09</v>
      </c>
      <c r="M1011" s="6" t="n">
        <v>503003.12</v>
      </c>
      <c r="N1011" s="6" t="n">
        <v>649253</v>
      </c>
      <c r="O1011" s="6" t="n">
        <v>764617</v>
      </c>
      <c r="P1011" s="7" t="n">
        <f aca="false">IF(O1011=0,"",(G1011-O1011)/O1011)</f>
        <v>-0.154267443700572</v>
      </c>
      <c r="Q1011" s="5" t="s">
        <v>26</v>
      </c>
      <c r="R1011" s="5" t="s">
        <v>27</v>
      </c>
    </row>
    <row r="1012" customFormat="false" ht="15" hidden="false" customHeight="true" outlineLevel="0" collapsed="false">
      <c r="A1012" s="5" t="s">
        <v>1036</v>
      </c>
      <c r="B1012" s="6" t="n">
        <v>1564968333.92</v>
      </c>
      <c r="C1012" s="6" t="n">
        <v>339213110.02</v>
      </c>
      <c r="D1012" s="6" t="n">
        <v>1904181443.94</v>
      </c>
      <c r="E1012" s="6" t="n">
        <v>704547.13</v>
      </c>
      <c r="F1012" s="6" t="n">
        <v>2799.3</v>
      </c>
      <c r="G1012" s="6" t="n">
        <f aca="false">E1012+F1012</f>
        <v>707346.43</v>
      </c>
      <c r="H1012" s="7" t="n">
        <f aca="false">IF(D1012=0,0,C1012/D1012)</f>
        <v>0.178141169844678</v>
      </c>
      <c r="I1012" s="7" t="n">
        <f aca="false">IF(D1012=0,0,B1012/D1012)</f>
        <v>0.821858830155322</v>
      </c>
      <c r="J1012" s="6" t="n">
        <f aca="false">E1012*H1012</f>
        <v>125508.849948911</v>
      </c>
      <c r="K1012" s="6" t="n">
        <f aca="false">E1012*I1012</f>
        <v>579038.28005109</v>
      </c>
      <c r="L1012" s="6" t="n">
        <v>213062.5</v>
      </c>
      <c r="M1012" s="6" t="n">
        <v>491484.64</v>
      </c>
      <c r="N1012" s="6" t="n">
        <v>638203</v>
      </c>
      <c r="O1012" s="6" t="n">
        <v>746477</v>
      </c>
      <c r="P1012" s="7" t="n">
        <f aca="false">IF(O1012=0,"",(G1012-O1012)/O1012)</f>
        <v>-0.0524203290925239</v>
      </c>
      <c r="Q1012" s="5" t="s">
        <v>26</v>
      </c>
      <c r="R1012" s="5" t="s">
        <v>27</v>
      </c>
    </row>
    <row r="1013" customFormat="false" ht="15" hidden="false" customHeight="true" outlineLevel="0" collapsed="false">
      <c r="A1013" s="5" t="s">
        <v>1037</v>
      </c>
      <c r="B1013" s="6" t="n">
        <v>5505684756.58</v>
      </c>
      <c r="C1013" s="6" t="n">
        <v>1334898476.11</v>
      </c>
      <c r="D1013" s="6" t="n">
        <v>6840583232.69</v>
      </c>
      <c r="E1013" s="6" t="n">
        <v>2531015.8</v>
      </c>
      <c r="F1013" s="6" t="n">
        <v>33903.04</v>
      </c>
      <c r="G1013" s="6" t="n">
        <f aca="false">E1013+F1013</f>
        <v>2564918.84</v>
      </c>
      <c r="H1013" s="7" t="n">
        <f aca="false">IF(D1013=0,0,C1013/D1013)</f>
        <v>0.195143956399908</v>
      </c>
      <c r="I1013" s="7" t="n">
        <f aca="false">IF(D1013=0,0,B1013/D1013)</f>
        <v>0.804856043600092</v>
      </c>
      <c r="J1013" s="6" t="n">
        <f aca="false">E1013*H1013</f>
        <v>493912.436922679</v>
      </c>
      <c r="K1013" s="6" t="n">
        <f aca="false">E1013*I1013</f>
        <v>2037103.36307732</v>
      </c>
      <c r="L1013" s="6" t="n">
        <v>826532.12</v>
      </c>
      <c r="M1013" s="6" t="n">
        <v>1704483.67</v>
      </c>
      <c r="N1013" s="6" t="n">
        <v>2114456</v>
      </c>
      <c r="O1013" s="6" t="n">
        <v>2351610</v>
      </c>
      <c r="P1013" s="7" t="n">
        <f aca="false">IF(O1013=0,"",(G1013-O1013)/O1013)</f>
        <v>0.0907075748104489</v>
      </c>
      <c r="Q1013" s="5" t="s">
        <v>26</v>
      </c>
      <c r="R1013" s="5" t="s">
        <v>27</v>
      </c>
    </row>
    <row r="1014" customFormat="false" ht="15" hidden="false" customHeight="true" outlineLevel="0" collapsed="false">
      <c r="A1014" s="5" t="s">
        <v>1038</v>
      </c>
      <c r="B1014" s="6" t="n">
        <v>4905981647.07</v>
      </c>
      <c r="C1014" s="6" t="n">
        <v>1545542142.44</v>
      </c>
      <c r="D1014" s="6" t="n">
        <v>6451523789.51</v>
      </c>
      <c r="E1014" s="6" t="n">
        <v>2387063.8</v>
      </c>
      <c r="F1014" s="6" t="n">
        <v>9588</v>
      </c>
      <c r="G1014" s="6" t="n">
        <f aca="false">E1014+F1014</f>
        <v>2396651.8</v>
      </c>
      <c r="H1014" s="7" t="n">
        <f aca="false">IF(D1014=0,0,C1014/D1014)</f>
        <v>0.239562341063209</v>
      </c>
      <c r="I1014" s="7" t="n">
        <f aca="false">IF(D1014=0,0,B1014/D1014)</f>
        <v>0.760437658936791</v>
      </c>
      <c r="J1014" s="6" t="n">
        <f aca="false">E1014*H1014</f>
        <v>571850.592195239</v>
      </c>
      <c r="K1014" s="6" t="n">
        <f aca="false">E1014*I1014</f>
        <v>1815213.20780476</v>
      </c>
      <c r="L1014" s="6" t="n">
        <v>922665.32</v>
      </c>
      <c r="M1014" s="6" t="n">
        <v>1464398.48</v>
      </c>
      <c r="N1014" s="6" t="n">
        <v>1962112</v>
      </c>
      <c r="O1014" s="6" t="n">
        <v>2178436</v>
      </c>
      <c r="P1014" s="7" t="n">
        <f aca="false">IF(O1014=0,"",(G1014-O1014)/O1014)</f>
        <v>0.100170856522753</v>
      </c>
      <c r="Q1014" s="5" t="s">
        <v>26</v>
      </c>
      <c r="R1014" s="5" t="s">
        <v>27</v>
      </c>
    </row>
    <row r="1015" customFormat="false" ht="15" hidden="false" customHeight="true" outlineLevel="0" collapsed="false">
      <c r="A1015" s="5" t="s">
        <v>1039</v>
      </c>
      <c r="B1015" s="6" t="n">
        <v>6732727148.89</v>
      </c>
      <c r="C1015" s="6" t="n">
        <v>1919021665.78</v>
      </c>
      <c r="D1015" s="6" t="n">
        <v>8651748814.67</v>
      </c>
      <c r="E1015" s="6" t="n">
        <v>3201147.06</v>
      </c>
      <c r="F1015" s="6" t="n">
        <v>11914.68</v>
      </c>
      <c r="G1015" s="6" t="n">
        <f aca="false">E1015+F1015</f>
        <v>3213061.74</v>
      </c>
      <c r="H1015" s="7" t="n">
        <f aca="false">IF(D1015=0,0,C1015/D1015)</f>
        <v>0.221807371768132</v>
      </c>
      <c r="I1015" s="7" t="n">
        <f aca="false">IF(D1015=0,0,B1015/D1015)</f>
        <v>0.778192628231869</v>
      </c>
      <c r="J1015" s="6" t="n">
        <f aca="false">E1015*H1015</f>
        <v>710038.016021881</v>
      </c>
      <c r="K1015" s="6" t="n">
        <f aca="false">E1015*I1015</f>
        <v>2491109.04397812</v>
      </c>
      <c r="L1015" s="6" t="n">
        <v>1162274.89</v>
      </c>
      <c r="M1015" s="6" t="n">
        <v>2038872.17</v>
      </c>
      <c r="N1015" s="6" t="n">
        <v>2204711</v>
      </c>
      <c r="O1015" s="6" t="n">
        <v>2461321</v>
      </c>
      <c r="P1015" s="7" t="n">
        <f aca="false">IF(O1015=0,"",(G1015-O1015)/O1015)</f>
        <v>0.305421657719574</v>
      </c>
      <c r="Q1015" s="5" t="s">
        <v>26</v>
      </c>
      <c r="R1015" s="5" t="s">
        <v>27</v>
      </c>
    </row>
    <row r="1016" customFormat="false" ht="15" hidden="false" customHeight="true" outlineLevel="0" collapsed="false">
      <c r="A1016" s="5" t="s">
        <v>1040</v>
      </c>
      <c r="B1016" s="6" t="n">
        <v>4572377200.74</v>
      </c>
      <c r="C1016" s="6" t="n">
        <v>1710210217.58</v>
      </c>
      <c r="D1016" s="6" t="n">
        <v>6282587418.32</v>
      </c>
      <c r="E1016" s="6" t="n">
        <v>2324557.34</v>
      </c>
      <c r="F1016" s="6" t="n">
        <v>15412.73</v>
      </c>
      <c r="G1016" s="6" t="n">
        <f aca="false">E1016+F1016</f>
        <v>2339970.07</v>
      </c>
      <c r="H1016" s="7" t="n">
        <f aca="false">IF(D1016=0,0,C1016/D1016)</f>
        <v>0.272214312942632</v>
      </c>
      <c r="I1016" s="7" t="n">
        <f aca="false">IF(D1016=0,0,B1016/D1016)</f>
        <v>0.727785687057369</v>
      </c>
      <c r="J1016" s="6" t="n">
        <f aca="false">E1016*H1016</f>
        <v>632777.779203851</v>
      </c>
      <c r="K1016" s="6" t="n">
        <f aca="false">E1016*I1016</f>
        <v>1691779.56079615</v>
      </c>
      <c r="L1016" s="6" t="n">
        <v>994766.01</v>
      </c>
      <c r="M1016" s="6" t="n">
        <v>1329791.33</v>
      </c>
      <c r="N1016" s="6" t="n">
        <v>1779411</v>
      </c>
      <c r="O1016" s="6" t="n">
        <v>2038071</v>
      </c>
      <c r="P1016" s="7" t="n">
        <f aca="false">IF(O1016=0,"",(G1016-O1016)/O1016)</f>
        <v>0.148129810001712</v>
      </c>
      <c r="Q1016" s="5" t="s">
        <v>26</v>
      </c>
      <c r="R1016" s="5" t="s">
        <v>27</v>
      </c>
    </row>
    <row r="1017" customFormat="false" ht="15" hidden="false" customHeight="true" outlineLevel="0" collapsed="false">
      <c r="A1017" s="5" t="s">
        <v>1041</v>
      </c>
      <c r="B1017" s="6" t="n">
        <v>4095817647.68</v>
      </c>
      <c r="C1017" s="6" t="n">
        <v>1486608800.54</v>
      </c>
      <c r="D1017" s="6" t="n">
        <v>5582426448.23</v>
      </c>
      <c r="E1017" s="6" t="n">
        <v>2065497.79</v>
      </c>
      <c r="F1017" s="6" t="n">
        <v>12339.18</v>
      </c>
      <c r="G1017" s="6" t="n">
        <f aca="false">E1017+F1017</f>
        <v>2077836.97</v>
      </c>
      <c r="H1017" s="7" t="n">
        <f aca="false">IF(D1017=0,0,C1017/D1017)</f>
        <v>0.266301547244094</v>
      </c>
      <c r="I1017" s="7" t="n">
        <f aca="false">IF(D1017=0,0,B1017/D1017)</f>
        <v>0.733698452754115</v>
      </c>
      <c r="J1017" s="6" t="n">
        <f aca="false">E1017*H1017</f>
        <v>550045.257306256</v>
      </c>
      <c r="K1017" s="6" t="n">
        <f aca="false">E1017*I1017</f>
        <v>1515452.53269004</v>
      </c>
      <c r="L1017" s="6" t="n">
        <v>868742.93</v>
      </c>
      <c r="M1017" s="6" t="n">
        <v>1196754.86</v>
      </c>
      <c r="N1017" s="6" t="n">
        <v>1658838</v>
      </c>
      <c r="O1017" s="6" t="n">
        <v>1889212</v>
      </c>
      <c r="P1017" s="7" t="n">
        <f aca="false">IF(O1017=0,"",(G1017-O1017)/O1017)</f>
        <v>0.0998431991751058</v>
      </c>
      <c r="Q1017" s="5" t="s">
        <v>26</v>
      </c>
      <c r="R1017" s="5" t="s">
        <v>27</v>
      </c>
    </row>
    <row r="1018" customFormat="false" ht="15" hidden="false" customHeight="true" outlineLevel="0" collapsed="false">
      <c r="A1018" s="5" t="s">
        <v>1042</v>
      </c>
      <c r="B1018" s="6" t="n">
        <v>5891188961.3</v>
      </c>
      <c r="C1018" s="6" t="n">
        <v>802335810.62</v>
      </c>
      <c r="D1018" s="6" t="n">
        <v>6693524771.91</v>
      </c>
      <c r="E1018" s="6" t="n">
        <v>2476604.17</v>
      </c>
      <c r="F1018" s="6" t="n">
        <v>19181.81</v>
      </c>
      <c r="G1018" s="6" t="n">
        <f aca="false">E1018+F1018</f>
        <v>2495785.98</v>
      </c>
      <c r="H1018" s="7" t="n">
        <f aca="false">IF(D1018=0,0,C1018/D1018)</f>
        <v>0.119867459665956</v>
      </c>
      <c r="I1018" s="7" t="n">
        <f aca="false">IF(D1018=0,0,B1018/D1018)</f>
        <v>0.880132540335538</v>
      </c>
      <c r="J1018" s="6" t="n">
        <f aca="false">E1018*H1018</f>
        <v>296864.250456014</v>
      </c>
      <c r="K1018" s="6" t="n">
        <f aca="false">E1018*I1018</f>
        <v>2179739.91954769</v>
      </c>
      <c r="L1018" s="6" t="n">
        <v>530177.47</v>
      </c>
      <c r="M1018" s="6" t="n">
        <v>1946426.69</v>
      </c>
      <c r="N1018" s="6" t="n">
        <v>2468977</v>
      </c>
      <c r="O1018" s="6" t="n">
        <v>2817991</v>
      </c>
      <c r="P1018" s="7" t="n">
        <f aca="false">IF(O1018=0,"",(G1018-O1018)/O1018)</f>
        <v>-0.114338555375088</v>
      </c>
      <c r="Q1018" s="5" t="s">
        <v>26</v>
      </c>
      <c r="R1018" s="5" t="s">
        <v>27</v>
      </c>
    </row>
    <row r="1019" customFormat="false" ht="15" hidden="false" customHeight="true" outlineLevel="0" collapsed="false">
      <c r="A1019" s="5" t="s">
        <v>1043</v>
      </c>
      <c r="B1019" s="6" t="n">
        <v>4547115999.36</v>
      </c>
      <c r="C1019" s="6" t="n">
        <v>674952474.31</v>
      </c>
      <c r="D1019" s="6" t="n">
        <v>5222068473.66</v>
      </c>
      <c r="E1019" s="6" t="n">
        <v>1932165.34</v>
      </c>
      <c r="F1019" s="6" t="n">
        <v>26133.93</v>
      </c>
      <c r="G1019" s="6" t="n">
        <f aca="false">E1019+F1019</f>
        <v>1958299.27</v>
      </c>
      <c r="H1019" s="7" t="n">
        <f aca="false">IF(D1019=0,0,C1019/D1019)</f>
        <v>0.129250023762508</v>
      </c>
      <c r="I1019" s="7" t="n">
        <f aca="false">IF(D1019=0,0,B1019/D1019)</f>
        <v>0.870749976239407</v>
      </c>
      <c r="J1019" s="6" t="n">
        <f aca="false">E1019*H1019</f>
        <v>249732.416108095</v>
      </c>
      <c r="K1019" s="6" t="n">
        <f aca="false">E1019*I1019</f>
        <v>1682432.92389561</v>
      </c>
      <c r="L1019" s="6" t="n">
        <v>442297.83</v>
      </c>
      <c r="M1019" s="6" t="n">
        <v>1489867.51</v>
      </c>
      <c r="N1019" s="6" t="n">
        <v>1906572</v>
      </c>
      <c r="O1019" s="6" t="n">
        <v>2188518</v>
      </c>
      <c r="P1019" s="7" t="n">
        <f aca="false">IF(O1019=0,"",(G1019-O1019)/O1019)</f>
        <v>-0.10519389376738</v>
      </c>
      <c r="Q1019" s="5" t="s">
        <v>26</v>
      </c>
      <c r="R1019" s="5" t="s">
        <v>27</v>
      </c>
    </row>
    <row r="1020" customFormat="false" ht="15" hidden="false" customHeight="true" outlineLevel="0" collapsed="false">
      <c r="A1020" s="5" t="s">
        <v>1044</v>
      </c>
      <c r="B1020" s="6" t="n">
        <v>6215232506.72</v>
      </c>
      <c r="C1020" s="6" t="n">
        <v>2622547393.35</v>
      </c>
      <c r="D1020" s="6" t="n">
        <v>8837779900.07</v>
      </c>
      <c r="E1020" s="6" t="n">
        <v>3269978.56</v>
      </c>
      <c r="F1020" s="6" t="n">
        <v>25056.15</v>
      </c>
      <c r="G1020" s="6" t="n">
        <f aca="false">E1020+F1020</f>
        <v>3295034.71</v>
      </c>
      <c r="H1020" s="7" t="n">
        <f aca="false">IF(D1020=0,0,C1020/D1020)</f>
        <v>0.296742781898113</v>
      </c>
      <c r="I1020" s="7" t="n">
        <f aca="false">IF(D1020=0,0,B1020/D1020)</f>
        <v>0.703257218101887</v>
      </c>
      <c r="J1020" s="6" t="n">
        <f aca="false">E1020*H1020</f>
        <v>970342.534641586</v>
      </c>
      <c r="K1020" s="6" t="n">
        <f aca="false">E1020*I1020</f>
        <v>2299636.02535841</v>
      </c>
      <c r="L1020" s="6" t="n">
        <v>1496584.44</v>
      </c>
      <c r="M1020" s="6" t="n">
        <v>1773394.12</v>
      </c>
      <c r="N1020" s="6" t="n">
        <v>2537992</v>
      </c>
      <c r="O1020" s="6" t="n">
        <v>2830192</v>
      </c>
      <c r="P1020" s="7" t="n">
        <f aca="false">IF(O1020=0,"",(G1020-O1020)/O1020)</f>
        <v>0.164244231486768</v>
      </c>
      <c r="Q1020" s="5" t="s">
        <v>26</v>
      </c>
      <c r="R1020" s="5" t="s">
        <v>27</v>
      </c>
    </row>
    <row r="1021" customFormat="false" ht="15" hidden="false" customHeight="true" outlineLevel="0" collapsed="false">
      <c r="A1021" s="5" t="s">
        <v>1045</v>
      </c>
      <c r="B1021" s="6" t="n">
        <v>6245339721.38</v>
      </c>
      <c r="C1021" s="6" t="n">
        <v>3970747772.51</v>
      </c>
      <c r="D1021" s="6" t="n">
        <v>10216087493.89</v>
      </c>
      <c r="E1021" s="6" t="n">
        <v>3779952.37</v>
      </c>
      <c r="F1021" s="6" t="n">
        <v>20570.12</v>
      </c>
      <c r="G1021" s="6" t="n">
        <f aca="false">E1021+F1021</f>
        <v>3800522.49</v>
      </c>
      <c r="H1021" s="7" t="n">
        <f aca="false">IF(D1021=0,0,C1021/D1021)</f>
        <v>0.388675975502834</v>
      </c>
      <c r="I1021" s="7" t="n">
        <f aca="false">IF(D1021=0,0,B1021/D1021)</f>
        <v>0.611324024497166</v>
      </c>
      <c r="J1021" s="6" t="n">
        <f aca="false">E1021*H1021</f>
        <v>1469176.674764</v>
      </c>
      <c r="K1021" s="6" t="n">
        <f aca="false">E1021*I1021</f>
        <v>2310775.695236</v>
      </c>
      <c r="L1021" s="6" t="n">
        <v>2115938.78</v>
      </c>
      <c r="M1021" s="6" t="n">
        <v>1664013.59</v>
      </c>
      <c r="N1021" s="6" t="n">
        <v>2476886</v>
      </c>
      <c r="O1021" s="6" t="n">
        <v>2736625</v>
      </c>
      <c r="P1021" s="7" t="n">
        <f aca="false">IF(O1021=0,"",(G1021-O1021)/O1021)</f>
        <v>0.388762614534326</v>
      </c>
      <c r="Q1021" s="5" t="s">
        <v>26</v>
      </c>
      <c r="R1021" s="5" t="s">
        <v>27</v>
      </c>
    </row>
    <row r="1022" customFormat="false" ht="15" hidden="false" customHeight="true" outlineLevel="0" collapsed="false">
      <c r="A1022" s="5" t="s">
        <v>1046</v>
      </c>
      <c r="B1022" s="6" t="n">
        <v>7672968416.22</v>
      </c>
      <c r="C1022" s="6" t="n">
        <v>2625618610.69</v>
      </c>
      <c r="D1022" s="6" t="n">
        <v>10298587026.91</v>
      </c>
      <c r="E1022" s="6" t="n">
        <v>3810477.2</v>
      </c>
      <c r="F1022" s="6" t="n">
        <v>17753.54</v>
      </c>
      <c r="G1022" s="6" t="n">
        <f aca="false">E1022+F1022</f>
        <v>3828230.74</v>
      </c>
      <c r="H1022" s="7" t="n">
        <f aca="false">IF(D1022=0,0,C1022/D1022)</f>
        <v>0.254949402653909</v>
      </c>
      <c r="I1022" s="7" t="n">
        <f aca="false">IF(D1022=0,0,B1022/D1022)</f>
        <v>0.745050597346091</v>
      </c>
      <c r="J1022" s="6" t="n">
        <f aca="false">E1022*H1022</f>
        <v>971478.88596634</v>
      </c>
      <c r="K1022" s="6" t="n">
        <f aca="false">E1022*I1022</f>
        <v>2838998.31403366</v>
      </c>
      <c r="L1022" s="6" t="n">
        <v>1548235.94</v>
      </c>
      <c r="M1022" s="6" t="n">
        <v>2262241.26</v>
      </c>
      <c r="N1022" s="6" t="n">
        <v>3117586</v>
      </c>
      <c r="O1022" s="6" t="n">
        <v>3502806</v>
      </c>
      <c r="P1022" s="7" t="n">
        <f aca="false">IF(O1022=0,"",(G1022-O1022)/O1022)</f>
        <v>0.0929040146670984</v>
      </c>
      <c r="Q1022" s="5" t="s">
        <v>26</v>
      </c>
      <c r="R1022" s="5" t="s">
        <v>27</v>
      </c>
    </row>
    <row r="1023" customFormat="false" ht="15" hidden="false" customHeight="true" outlineLevel="0" collapsed="false">
      <c r="A1023" s="5" t="s">
        <v>1047</v>
      </c>
      <c r="B1023" s="6" t="n">
        <v>5195422668.23</v>
      </c>
      <c r="C1023" s="6" t="n">
        <v>2307526091.29</v>
      </c>
      <c r="D1023" s="6" t="n">
        <v>7502948759.53</v>
      </c>
      <c r="E1023" s="6" t="n">
        <v>2776091.04</v>
      </c>
      <c r="F1023" s="6" t="n">
        <v>10377.02</v>
      </c>
      <c r="G1023" s="6" t="n">
        <f aca="false">E1023+F1023</f>
        <v>2786468.06</v>
      </c>
      <c r="H1023" s="7" t="n">
        <f aca="false">IF(D1023=0,0,C1023/D1023)</f>
        <v>0.307549227010121</v>
      </c>
      <c r="I1023" s="7" t="n">
        <f aca="false">IF(D1023=0,0,B1023/D1023)</f>
        <v>0.692450772988546</v>
      </c>
      <c r="J1023" s="6" t="n">
        <f aca="false">E1023*H1023</f>
        <v>853784.653461724</v>
      </c>
      <c r="K1023" s="6" t="n">
        <f aca="false">E1023*I1023</f>
        <v>1922306.38653458</v>
      </c>
      <c r="L1023" s="6" t="n">
        <v>1305931.18</v>
      </c>
      <c r="M1023" s="6" t="n">
        <v>1470159.86</v>
      </c>
      <c r="N1023" s="6" t="n">
        <v>2077129</v>
      </c>
      <c r="O1023" s="6" t="n">
        <v>2332109</v>
      </c>
      <c r="P1023" s="7" t="n">
        <f aca="false">IF(O1023=0,"",(G1023-O1023)/O1023)</f>
        <v>0.194827540222177</v>
      </c>
      <c r="Q1023" s="5" t="s">
        <v>26</v>
      </c>
      <c r="R1023" s="5" t="s">
        <v>27</v>
      </c>
    </row>
    <row r="1024" customFormat="false" ht="15" hidden="false" customHeight="true" outlineLevel="0" collapsed="false">
      <c r="A1024" s="5" t="s">
        <v>1048</v>
      </c>
      <c r="B1024" s="6" t="n">
        <v>5743031424.95</v>
      </c>
      <c r="C1024" s="6" t="n">
        <v>2350692291.47</v>
      </c>
      <c r="D1024" s="6" t="n">
        <v>8093723716.42</v>
      </c>
      <c r="E1024" s="6" t="n">
        <v>2994677.78</v>
      </c>
      <c r="F1024" s="6" t="n">
        <v>10211.01</v>
      </c>
      <c r="G1024" s="6" t="n">
        <f aca="false">E1024+F1024</f>
        <v>3004888.79</v>
      </c>
      <c r="H1024" s="7" t="n">
        <f aca="false">IF(D1024=0,0,C1024/D1024)</f>
        <v>0.290433967581705</v>
      </c>
      <c r="I1024" s="7" t="n">
        <f aca="false">IF(D1024=0,0,B1024/D1024)</f>
        <v>0.709566032418295</v>
      </c>
      <c r="J1024" s="6" t="n">
        <f aca="false">E1024*H1024</f>
        <v>869756.149274171</v>
      </c>
      <c r="K1024" s="6" t="n">
        <f aca="false">E1024*I1024</f>
        <v>2124921.63072583</v>
      </c>
      <c r="L1024" s="6" t="n">
        <v>1348005.66</v>
      </c>
      <c r="M1024" s="6" t="n">
        <v>1646672.11</v>
      </c>
      <c r="N1024" s="6" t="n">
        <v>2433020</v>
      </c>
      <c r="O1024" s="6" t="n">
        <v>2722948</v>
      </c>
      <c r="P1024" s="7" t="n">
        <f aca="false">IF(O1024=0,"",(G1024-O1024)/O1024)</f>
        <v>0.103542480429299</v>
      </c>
      <c r="Q1024" s="5" t="s">
        <v>26</v>
      </c>
      <c r="R1024" s="5" t="s">
        <v>27</v>
      </c>
    </row>
    <row r="1025" customFormat="false" ht="15" hidden="false" customHeight="true" outlineLevel="0" collapsed="false">
      <c r="A1025" s="5" t="s">
        <v>1049</v>
      </c>
      <c r="B1025" s="6" t="n">
        <v>2483108671.45</v>
      </c>
      <c r="C1025" s="6" t="n">
        <v>442352707.13</v>
      </c>
      <c r="D1025" s="6" t="n">
        <v>2925461378.58</v>
      </c>
      <c r="E1025" s="6" t="n">
        <v>1082420.71</v>
      </c>
      <c r="F1025" s="6" t="n">
        <v>5967.6</v>
      </c>
      <c r="G1025" s="6" t="n">
        <f aca="false">E1025+F1025</f>
        <v>1088388.31</v>
      </c>
      <c r="H1025" s="7" t="n">
        <f aca="false">IF(D1025=0,0,C1025/D1025)</f>
        <v>0.15120784378453</v>
      </c>
      <c r="I1025" s="7" t="n">
        <f aca="false">IF(D1025=0,0,B1025/D1025)</f>
        <v>0.84879215621547</v>
      </c>
      <c r="J1025" s="6" t="n">
        <f aca="false">E1025*H1025</f>
        <v>163670.50162682</v>
      </c>
      <c r="K1025" s="6" t="n">
        <f aca="false">E1025*I1025</f>
        <v>918750.20837318</v>
      </c>
      <c r="L1025" s="6" t="n">
        <v>284345.7</v>
      </c>
      <c r="M1025" s="6" t="n">
        <v>798075.01</v>
      </c>
      <c r="N1025" s="6" t="n">
        <v>985002</v>
      </c>
      <c r="O1025" s="6" t="n">
        <v>1131668</v>
      </c>
      <c r="P1025" s="7" t="n">
        <f aca="false">IF(O1025=0,"",(G1025-O1025)/O1025)</f>
        <v>-0.0382441581806678</v>
      </c>
      <c r="Q1025" s="5" t="s">
        <v>26</v>
      </c>
      <c r="R1025" s="5" t="s">
        <v>27</v>
      </c>
    </row>
    <row r="1026" customFormat="false" ht="15" hidden="false" customHeight="true" outlineLevel="0" collapsed="false">
      <c r="A1026" s="5" t="s">
        <v>1050</v>
      </c>
      <c r="B1026" s="6" t="n">
        <v>3757524066.12</v>
      </c>
      <c r="C1026" s="6" t="n">
        <v>875541392.57</v>
      </c>
      <c r="D1026" s="6" t="n">
        <v>4633065458.69</v>
      </c>
      <c r="E1026" s="6" t="n">
        <v>1714234.22</v>
      </c>
      <c r="F1026" s="6" t="n">
        <v>7312.22</v>
      </c>
      <c r="G1026" s="6" t="n">
        <f aca="false">E1026+F1026</f>
        <v>1721546.44</v>
      </c>
      <c r="H1026" s="7" t="n">
        <f aca="false">IF(D1026=0,0,C1026/D1026)</f>
        <v>0.188976693805997</v>
      </c>
      <c r="I1026" s="7" t="n">
        <f aca="false">IF(D1026=0,0,B1026/D1026)</f>
        <v>0.811023306194003</v>
      </c>
      <c r="J1026" s="6" t="n">
        <f aca="false">E1026*H1026</f>
        <v>323950.315304702</v>
      </c>
      <c r="K1026" s="6" t="n">
        <f aca="false">E1026*I1026</f>
        <v>1390283.9046953</v>
      </c>
      <c r="L1026" s="6" t="n">
        <v>544922.9</v>
      </c>
      <c r="M1026" s="6" t="n">
        <v>1169311.32</v>
      </c>
      <c r="N1026" s="6" t="n">
        <v>1570941</v>
      </c>
      <c r="O1026" s="6" t="n">
        <v>1834830</v>
      </c>
      <c r="P1026" s="7" t="n">
        <f aca="false">IF(O1026=0,"",(G1026-O1026)/O1026)</f>
        <v>-0.0617406299221182</v>
      </c>
      <c r="Q1026" s="5" t="s">
        <v>26</v>
      </c>
      <c r="R1026" s="5" t="s">
        <v>27</v>
      </c>
    </row>
    <row r="1027" customFormat="false" ht="15" hidden="false" customHeight="true" outlineLevel="0" collapsed="false">
      <c r="A1027" s="5" t="s">
        <v>1051</v>
      </c>
      <c r="B1027" s="6" t="n">
        <v>6133376257.35</v>
      </c>
      <c r="C1027" s="6" t="n">
        <v>4129289893.77</v>
      </c>
      <c r="D1027" s="6" t="n">
        <v>10262666151.12</v>
      </c>
      <c r="E1027" s="6" t="n">
        <v>3797186.48</v>
      </c>
      <c r="F1027" s="6" t="n">
        <v>30477.09</v>
      </c>
      <c r="G1027" s="6" t="n">
        <f aca="false">E1027+F1027</f>
        <v>3827663.57</v>
      </c>
      <c r="H1027" s="7" t="n">
        <f aca="false">IF(D1027=0,0,C1027/D1027)</f>
        <v>0.402360345057055</v>
      </c>
      <c r="I1027" s="7" t="n">
        <f aca="false">IF(D1027=0,0,B1027/D1027)</f>
        <v>0.597639654942945</v>
      </c>
      <c r="J1027" s="6" t="n">
        <f aca="false">E1027*H1027</f>
        <v>1527837.26233878</v>
      </c>
      <c r="K1027" s="6" t="n">
        <f aca="false">E1027*I1027</f>
        <v>2269349.21766122</v>
      </c>
      <c r="L1027" s="6" t="n">
        <v>2178951.03</v>
      </c>
      <c r="M1027" s="6" t="n">
        <v>1618235.44</v>
      </c>
      <c r="N1027" s="6" t="n">
        <v>2671587</v>
      </c>
      <c r="O1027" s="6" t="n">
        <v>3045238</v>
      </c>
      <c r="P1027" s="7" t="n">
        <f aca="false">IF(O1027=0,"",(G1027-O1027)/O1027)</f>
        <v>0.25693412797292</v>
      </c>
      <c r="Q1027" s="5" t="s">
        <v>26</v>
      </c>
      <c r="R1027" s="5" t="s">
        <v>27</v>
      </c>
    </row>
    <row r="1028" customFormat="false" ht="15" hidden="false" customHeight="true" outlineLevel="0" collapsed="false">
      <c r="A1028" s="5" t="s">
        <v>1052</v>
      </c>
      <c r="B1028" s="6" t="n">
        <v>5305133316.71</v>
      </c>
      <c r="C1028" s="6" t="n">
        <v>2699625399.39</v>
      </c>
      <c r="D1028" s="6" t="n">
        <v>8004758716.1</v>
      </c>
      <c r="E1028" s="6" t="n">
        <v>2961760.72</v>
      </c>
      <c r="F1028" s="6" t="n">
        <v>19833.71</v>
      </c>
      <c r="G1028" s="6" t="n">
        <f aca="false">E1028+F1028</f>
        <v>2981594.43</v>
      </c>
      <c r="H1028" s="7" t="n">
        <f aca="false">IF(D1028=0,0,C1028/D1028)</f>
        <v>0.337252563773126</v>
      </c>
      <c r="I1028" s="7" t="n">
        <f aca="false">IF(D1028=0,0,B1028/D1028)</f>
        <v>0.662747436226874</v>
      </c>
      <c r="J1028" s="6" t="n">
        <f aca="false">E1028*H1028</f>
        <v>998861.396102539</v>
      </c>
      <c r="K1028" s="6" t="n">
        <f aca="false">E1028*I1028</f>
        <v>1962899.32389746</v>
      </c>
      <c r="L1028" s="6" t="n">
        <v>1493900.89</v>
      </c>
      <c r="M1028" s="6" t="n">
        <v>1467859.83</v>
      </c>
      <c r="N1028" s="6" t="n">
        <v>2334541</v>
      </c>
      <c r="O1028" s="6" t="n">
        <v>2659317</v>
      </c>
      <c r="P1028" s="7" t="n">
        <f aca="false">IF(O1028=0,"",(G1028-O1028)/O1028)</f>
        <v>0.121188045652324</v>
      </c>
      <c r="Q1028" s="5" t="s">
        <v>26</v>
      </c>
      <c r="R1028" s="5" t="s">
        <v>27</v>
      </c>
    </row>
    <row r="1029" customFormat="false" ht="15" hidden="false" customHeight="true" outlineLevel="0" collapsed="false">
      <c r="A1029" s="5" t="s">
        <v>1053</v>
      </c>
      <c r="B1029" s="6" t="n">
        <v>4413251988.94</v>
      </c>
      <c r="C1029" s="6" t="n">
        <v>2321195729.17</v>
      </c>
      <c r="D1029" s="6" t="n">
        <v>6734447718.11</v>
      </c>
      <c r="E1029" s="6" t="n">
        <v>2491745.66</v>
      </c>
      <c r="F1029" s="6" t="n">
        <v>14249.41</v>
      </c>
      <c r="G1029" s="6" t="n">
        <f aca="false">E1029+F1029</f>
        <v>2505995.07</v>
      </c>
      <c r="H1029" s="7" t="n">
        <f aca="false">IF(D1029=0,0,C1029/D1029)</f>
        <v>0.34467499434704</v>
      </c>
      <c r="I1029" s="7" t="n">
        <f aca="false">IF(D1029=0,0,B1029/D1029)</f>
        <v>0.65532500565296</v>
      </c>
      <c r="J1029" s="6" t="n">
        <f aca="false">E1029*H1029</f>
        <v>858842.421274761</v>
      </c>
      <c r="K1029" s="6" t="n">
        <f aca="false">E1029*I1029</f>
        <v>1632903.23872524</v>
      </c>
      <c r="L1029" s="6" t="n">
        <v>1277397.77</v>
      </c>
      <c r="M1029" s="6" t="n">
        <v>1214347.89</v>
      </c>
      <c r="N1029" s="6" t="n">
        <v>1812355</v>
      </c>
      <c r="O1029" s="6" t="n">
        <v>2044750</v>
      </c>
      <c r="P1029" s="7" t="n">
        <f aca="false">IF(O1029=0,"",(G1029-O1029)/O1029)</f>
        <v>0.22557528793251</v>
      </c>
      <c r="Q1029" s="5" t="s">
        <v>26</v>
      </c>
      <c r="R1029" s="5" t="s">
        <v>27</v>
      </c>
    </row>
    <row r="1030" customFormat="false" ht="15" hidden="false" customHeight="true" outlineLevel="0" collapsed="false">
      <c r="A1030" s="5" t="s">
        <v>1054</v>
      </c>
      <c r="B1030" s="6" t="n">
        <v>4232718804.17</v>
      </c>
      <c r="C1030" s="6" t="n">
        <v>2718505715.42</v>
      </c>
      <c r="D1030" s="6" t="n">
        <v>6951224519.59</v>
      </c>
      <c r="E1030" s="6" t="n">
        <v>2571953.07</v>
      </c>
      <c r="F1030" s="6" t="n">
        <v>12783.29</v>
      </c>
      <c r="G1030" s="6" t="n">
        <f aca="false">E1030+F1030</f>
        <v>2584736.36</v>
      </c>
      <c r="H1030" s="7" t="n">
        <f aca="false">IF(D1030=0,0,C1030/D1030)</f>
        <v>0.39108299663731</v>
      </c>
      <c r="I1030" s="7" t="n">
        <f aca="false">IF(D1030=0,0,B1030/D1030)</f>
        <v>0.60891700336269</v>
      </c>
      <c r="J1030" s="6" t="n">
        <f aca="false">E1030*H1030</f>
        <v>1005847.11382613</v>
      </c>
      <c r="K1030" s="6" t="n">
        <f aca="false">E1030*I1030</f>
        <v>1566105.95617387</v>
      </c>
      <c r="L1030" s="6" t="n">
        <v>1446135.3</v>
      </c>
      <c r="M1030" s="6" t="n">
        <v>1125817.77</v>
      </c>
      <c r="N1030" s="6" t="n">
        <v>1803264</v>
      </c>
      <c r="O1030" s="6" t="n">
        <v>2056524</v>
      </c>
      <c r="P1030" s="7" t="n">
        <f aca="false">IF(O1030=0,"",(G1030-O1030)/O1030)</f>
        <v>0.25684716541115</v>
      </c>
      <c r="Q1030" s="5" t="s">
        <v>26</v>
      </c>
      <c r="R1030" s="5" t="s">
        <v>27</v>
      </c>
    </row>
    <row r="1031" customFormat="false" ht="15" hidden="false" customHeight="true" outlineLevel="0" collapsed="false">
      <c r="A1031" s="5" t="s">
        <v>1055</v>
      </c>
      <c r="B1031" s="6" t="n">
        <v>5911524982.12</v>
      </c>
      <c r="C1031" s="6" t="n">
        <v>2101414975.84</v>
      </c>
      <c r="D1031" s="6" t="n">
        <v>8012939957.96</v>
      </c>
      <c r="E1031" s="6" t="n">
        <v>2964787.78</v>
      </c>
      <c r="F1031" s="6" t="n">
        <v>16691.37</v>
      </c>
      <c r="G1031" s="6" t="n">
        <f aca="false">E1031+F1031</f>
        <v>2981479.15</v>
      </c>
      <c r="H1031" s="7" t="n">
        <f aca="false">IF(D1031=0,0,C1031/D1031)</f>
        <v>0.262252679648806</v>
      </c>
      <c r="I1031" s="7" t="n">
        <f aca="false">IF(D1031=0,0,B1031/D1031)</f>
        <v>0.737747320351194</v>
      </c>
      <c r="J1031" s="6" t="n">
        <f aca="false">E1031*H1031</f>
        <v>777523.539895034</v>
      </c>
      <c r="K1031" s="6" t="n">
        <f aca="false">E1031*I1031</f>
        <v>2187264.24010497</v>
      </c>
      <c r="L1031" s="6" t="n">
        <v>1231961.8</v>
      </c>
      <c r="M1031" s="6" t="n">
        <v>1732825.99</v>
      </c>
      <c r="N1031" s="6" t="n">
        <v>2443164</v>
      </c>
      <c r="O1031" s="6" t="n">
        <v>2760168</v>
      </c>
      <c r="P1031" s="7" t="n">
        <f aca="false">IF(O1031=0,"",(G1031-O1031)/O1031)</f>
        <v>0.080180318734222</v>
      </c>
      <c r="Q1031" s="5" t="s">
        <v>26</v>
      </c>
      <c r="R1031" s="5" t="s">
        <v>27</v>
      </c>
    </row>
    <row r="1032" customFormat="false" ht="15" hidden="false" customHeight="true" outlineLevel="0" collapsed="false">
      <c r="A1032" s="5" t="s">
        <v>1056</v>
      </c>
      <c r="B1032" s="6" t="n">
        <v>1960683156.58</v>
      </c>
      <c r="C1032" s="6" t="n">
        <v>631763413.64</v>
      </c>
      <c r="D1032" s="6" t="n">
        <v>2592446570.22</v>
      </c>
      <c r="E1032" s="6" t="n">
        <v>959205.23</v>
      </c>
      <c r="F1032" s="6" t="n">
        <v>8755.93</v>
      </c>
      <c r="G1032" s="6" t="n">
        <f aca="false">E1032+F1032</f>
        <v>967961.16</v>
      </c>
      <c r="H1032" s="7" t="n">
        <f aca="false">IF(D1032=0,0,C1032/D1032)</f>
        <v>0.243693899383387</v>
      </c>
      <c r="I1032" s="7" t="n">
        <f aca="false">IF(D1032=0,0,B1032/D1032)</f>
        <v>0.756306100616613</v>
      </c>
      <c r="J1032" s="6" t="n">
        <f aca="false">E1032*H1032</f>
        <v>233752.462807639</v>
      </c>
      <c r="K1032" s="6" t="n">
        <f aca="false">E1032*I1032</f>
        <v>725452.767192361</v>
      </c>
      <c r="L1032" s="6" t="n">
        <v>375900.31</v>
      </c>
      <c r="M1032" s="6" t="n">
        <v>583304.92</v>
      </c>
      <c r="N1032" s="6" t="n">
        <v>816722</v>
      </c>
      <c r="O1032" s="6" t="n">
        <v>949859</v>
      </c>
      <c r="P1032" s="7" t="n">
        <f aca="false">IF(O1032=0,"",(G1032-O1032)/O1032)</f>
        <v>0.0190577338320741</v>
      </c>
      <c r="Q1032" s="5" t="s">
        <v>26</v>
      </c>
      <c r="R1032" s="5" t="s">
        <v>27</v>
      </c>
    </row>
    <row r="1033" customFormat="false" ht="15" hidden="false" customHeight="true" outlineLevel="0" collapsed="false">
      <c r="A1033" s="5" t="s">
        <v>1057</v>
      </c>
      <c r="B1033" s="6" t="n">
        <v>2957907186.08</v>
      </c>
      <c r="C1033" s="6" t="n">
        <v>963730907.56</v>
      </c>
      <c r="D1033" s="6" t="n">
        <v>3921638093.64</v>
      </c>
      <c r="E1033" s="6" t="n">
        <v>1451006.09</v>
      </c>
      <c r="F1033" s="6" t="n">
        <v>8094</v>
      </c>
      <c r="G1033" s="6" t="n">
        <f aca="false">E1033+F1033</f>
        <v>1459100.09</v>
      </c>
      <c r="H1033" s="7" t="n">
        <f aca="false">IF(D1033=0,0,C1033/D1033)</f>
        <v>0.245747028294873</v>
      </c>
      <c r="I1033" s="7" t="n">
        <f aca="false">IF(D1033=0,0,B1033/D1033)</f>
        <v>0.754252971705127</v>
      </c>
      <c r="J1033" s="6" t="n">
        <f aca="false">E1033*H1033</f>
        <v>356580.434655263</v>
      </c>
      <c r="K1033" s="6" t="n">
        <f aca="false">E1033*I1033</f>
        <v>1094425.65534474</v>
      </c>
      <c r="L1033" s="6" t="n">
        <v>572476.48</v>
      </c>
      <c r="M1033" s="6" t="n">
        <v>878529.62</v>
      </c>
      <c r="N1033" s="6" t="n">
        <v>1266979</v>
      </c>
      <c r="O1033" s="6" t="n">
        <v>1445901</v>
      </c>
      <c r="P1033" s="7" t="n">
        <f aca="false">IF(O1033=0,"",(G1033-O1033)/O1033)</f>
        <v>0.00912862637206841</v>
      </c>
      <c r="Q1033" s="5" t="s">
        <v>26</v>
      </c>
      <c r="R1033" s="5" t="s">
        <v>27</v>
      </c>
    </row>
    <row r="1034" customFormat="false" ht="15" hidden="false" customHeight="true" outlineLevel="0" collapsed="false">
      <c r="A1034" s="5" t="s">
        <v>1058</v>
      </c>
      <c r="B1034" s="6" t="n">
        <v>6531047568.44</v>
      </c>
      <c r="C1034" s="6" t="n">
        <v>2059851992.09</v>
      </c>
      <c r="D1034" s="6" t="n">
        <v>8590899560.53</v>
      </c>
      <c r="E1034" s="6" t="n">
        <v>3178632.84</v>
      </c>
      <c r="F1034" s="6" t="n">
        <v>21320.16</v>
      </c>
      <c r="G1034" s="6" t="n">
        <f aca="false">E1034+F1034</f>
        <v>3199953</v>
      </c>
      <c r="H1034" s="7" t="n">
        <f aca="false">IF(D1034=0,0,C1034/D1034)</f>
        <v>0.239771397346301</v>
      </c>
      <c r="I1034" s="7" t="n">
        <f aca="false">IF(D1034=0,0,B1034/D1034)</f>
        <v>0.760228602653699</v>
      </c>
      <c r="J1034" s="6" t="n">
        <f aca="false">E1034*H1034</f>
        <v>762145.237697641</v>
      </c>
      <c r="K1034" s="6" t="n">
        <f aca="false">E1034*I1034</f>
        <v>2416487.60230236</v>
      </c>
      <c r="L1034" s="6" t="n">
        <v>1229493.18</v>
      </c>
      <c r="M1034" s="6" t="n">
        <v>1949139.66</v>
      </c>
      <c r="N1034" s="6" t="n">
        <v>2675670</v>
      </c>
      <c r="O1034" s="6" t="n">
        <v>2982851</v>
      </c>
      <c r="P1034" s="7" t="n">
        <f aca="false">IF(O1034=0,"",(G1034-O1034)/O1034)</f>
        <v>0.0727833874370527</v>
      </c>
      <c r="Q1034" s="5" t="s">
        <v>26</v>
      </c>
      <c r="R1034" s="5" t="s">
        <v>27</v>
      </c>
    </row>
    <row r="1035" customFormat="false" ht="15" hidden="false" customHeight="true" outlineLevel="0" collapsed="false">
      <c r="A1035" s="5" t="s">
        <v>1059</v>
      </c>
      <c r="B1035" s="6" t="n">
        <v>5637136890.53</v>
      </c>
      <c r="C1035" s="6" t="n">
        <v>1418430243.02</v>
      </c>
      <c r="D1035" s="6" t="n">
        <v>7055567133.55</v>
      </c>
      <c r="E1035" s="6" t="n">
        <v>2610559.84</v>
      </c>
      <c r="F1035" s="6" t="n">
        <v>18888.12</v>
      </c>
      <c r="G1035" s="6" t="n">
        <f aca="false">E1035+F1035</f>
        <v>2629447.96</v>
      </c>
      <c r="H1035" s="7" t="n">
        <f aca="false">IF(D1035=0,0,C1035/D1035)</f>
        <v>0.20103702738157</v>
      </c>
      <c r="I1035" s="7" t="n">
        <f aca="false">IF(D1035=0,0,B1035/D1035)</f>
        <v>0.79896297261843</v>
      </c>
      <c r="J1035" s="6" t="n">
        <f aca="false">E1035*H1035</f>
        <v>524819.190035308</v>
      </c>
      <c r="K1035" s="6" t="n">
        <f aca="false">E1035*I1035</f>
        <v>2085740.64996469</v>
      </c>
      <c r="L1035" s="6" t="n">
        <v>873943.4</v>
      </c>
      <c r="M1035" s="6" t="n">
        <v>1736616.44</v>
      </c>
      <c r="N1035" s="6" t="n">
        <v>2203661</v>
      </c>
      <c r="O1035" s="6" t="n">
        <v>2477196</v>
      </c>
      <c r="P1035" s="7" t="n">
        <f aca="false">IF(O1035=0,"",(G1035-O1035)/O1035)</f>
        <v>0.0614614104011148</v>
      </c>
      <c r="Q1035" s="5" t="s">
        <v>26</v>
      </c>
      <c r="R1035" s="5" t="s">
        <v>27</v>
      </c>
    </row>
    <row r="1036" customFormat="false" ht="15" hidden="false" customHeight="true" outlineLevel="0" collapsed="false">
      <c r="A1036" s="5" t="s">
        <v>1060</v>
      </c>
      <c r="B1036" s="6" t="n">
        <v>6125236903.61</v>
      </c>
      <c r="C1036" s="6" t="n">
        <v>2452609457.7</v>
      </c>
      <c r="D1036" s="6" t="n">
        <v>8577846361.3</v>
      </c>
      <c r="E1036" s="6" t="n">
        <v>3173803.15</v>
      </c>
      <c r="F1036" s="6" t="n">
        <v>44367.22</v>
      </c>
      <c r="G1036" s="6" t="n">
        <f aca="false">E1036+F1036</f>
        <v>3218170.37</v>
      </c>
      <c r="H1036" s="7" t="n">
        <f aca="false">IF(D1036=0,0,C1036/D1036)</f>
        <v>0.285923686948422</v>
      </c>
      <c r="I1036" s="7" t="n">
        <f aca="false">IF(D1036=0,0,B1036/D1036)</f>
        <v>0.714076313052744</v>
      </c>
      <c r="J1036" s="6" t="n">
        <f aca="false">E1036*H1036</f>
        <v>907465.498296515</v>
      </c>
      <c r="K1036" s="6" t="n">
        <f aca="false">E1036*I1036</f>
        <v>2266337.65170719</v>
      </c>
      <c r="L1036" s="6" t="n">
        <v>1411383.13</v>
      </c>
      <c r="M1036" s="6" t="n">
        <v>1762420.02</v>
      </c>
      <c r="N1036" s="6" t="n">
        <v>2600880</v>
      </c>
      <c r="O1036" s="6" t="n">
        <v>2879550</v>
      </c>
      <c r="P1036" s="7" t="n">
        <f aca="false">IF(O1036=0,"",(G1036-O1036)/O1036)</f>
        <v>0.117594891562918</v>
      </c>
      <c r="Q1036" s="5" t="s">
        <v>26</v>
      </c>
      <c r="R1036" s="5" t="s">
        <v>27</v>
      </c>
    </row>
    <row r="1037" customFormat="false" ht="15" hidden="false" customHeight="true" outlineLevel="0" collapsed="false">
      <c r="A1037" s="5" t="s">
        <v>1061</v>
      </c>
      <c r="B1037" s="6" t="n">
        <v>5811944336.33</v>
      </c>
      <c r="C1037" s="6" t="n">
        <v>3946538604.35</v>
      </c>
      <c r="D1037" s="6" t="n">
        <v>9758482940.68</v>
      </c>
      <c r="E1037" s="6" t="n">
        <v>3610638.69</v>
      </c>
      <c r="F1037" s="6" t="n">
        <v>23347.53</v>
      </c>
      <c r="G1037" s="6" t="n">
        <f aca="false">E1037+F1037</f>
        <v>3633986.22</v>
      </c>
      <c r="H1037" s="7" t="n">
        <f aca="false">IF(D1037=0,0,C1037/D1037)</f>
        <v>0.404421325357668</v>
      </c>
      <c r="I1037" s="7" t="n">
        <f aca="false">IF(D1037=0,0,B1037/D1037)</f>
        <v>0.595578674642332</v>
      </c>
      <c r="J1037" s="6" t="n">
        <f aca="false">E1037*H1037</f>
        <v>1460219.28439747</v>
      </c>
      <c r="K1037" s="6" t="n">
        <f aca="false">E1037*I1037</f>
        <v>2150419.40560253</v>
      </c>
      <c r="L1037" s="6" t="n">
        <v>2079460.43</v>
      </c>
      <c r="M1037" s="6" t="n">
        <v>1531178.26</v>
      </c>
      <c r="N1037" s="6" t="n">
        <v>2543390</v>
      </c>
      <c r="O1037" s="6" t="n">
        <v>2820347</v>
      </c>
      <c r="P1037" s="7" t="n">
        <f aca="false">IF(O1037=0,"",(G1037-O1037)/O1037)</f>
        <v>0.288489047624282</v>
      </c>
      <c r="Q1037" s="5" t="s">
        <v>26</v>
      </c>
      <c r="R1037" s="5" t="s">
        <v>27</v>
      </c>
    </row>
    <row r="1038" customFormat="false" ht="15" hidden="false" customHeight="true" outlineLevel="0" collapsed="false">
      <c r="A1038" s="5" t="s">
        <v>1062</v>
      </c>
      <c r="B1038" s="6" t="n">
        <v>4389707256.65</v>
      </c>
      <c r="C1038" s="6" t="n">
        <v>2324820773.99</v>
      </c>
      <c r="D1038" s="6" t="n">
        <v>6714528030.64</v>
      </c>
      <c r="E1038" s="6" t="n">
        <v>2484375.37</v>
      </c>
      <c r="F1038" s="6" t="n">
        <v>22865.59</v>
      </c>
      <c r="G1038" s="6" t="n">
        <f aca="false">E1038+F1038</f>
        <v>2507240.96</v>
      </c>
      <c r="H1038" s="7" t="n">
        <f aca="false">IF(D1038=0,0,C1038/D1038)</f>
        <v>0.346237406915465</v>
      </c>
      <c r="I1038" s="7" t="n">
        <f aca="false">IF(D1038=0,0,B1038/D1038)</f>
        <v>0.653762593084535</v>
      </c>
      <c r="J1038" s="6" t="n">
        <f aca="false">E1038*H1038</f>
        <v>860183.68591345</v>
      </c>
      <c r="K1038" s="6" t="n">
        <f aca="false">E1038*I1038</f>
        <v>1624191.68408655</v>
      </c>
      <c r="L1038" s="6" t="n">
        <v>1277907.87</v>
      </c>
      <c r="M1038" s="6" t="n">
        <v>1206467.5</v>
      </c>
      <c r="N1038" s="6" t="n">
        <v>1894520</v>
      </c>
      <c r="O1038" s="6" t="n">
        <v>2115920</v>
      </c>
      <c r="P1038" s="7" t="n">
        <f aca="false">IF(O1038=0,"",(G1038-O1038)/O1038)</f>
        <v>0.184941283224319</v>
      </c>
      <c r="Q1038" s="5" t="s">
        <v>26</v>
      </c>
      <c r="R1038" s="5" t="s">
        <v>27</v>
      </c>
    </row>
    <row r="1039" customFormat="false" ht="15" hidden="false" customHeight="true" outlineLevel="0" collapsed="false">
      <c r="A1039" s="5" t="s">
        <v>1063</v>
      </c>
      <c r="B1039" s="6" t="n">
        <v>1817402958.32</v>
      </c>
      <c r="C1039" s="6" t="n">
        <v>386899671.9</v>
      </c>
      <c r="D1039" s="6" t="n">
        <v>2204302630.22</v>
      </c>
      <c r="E1039" s="6" t="n">
        <v>815591.97</v>
      </c>
      <c r="F1039" s="6" t="n">
        <v>5517.55</v>
      </c>
      <c r="G1039" s="6" t="n">
        <f aca="false">E1039+F1039</f>
        <v>821109.52</v>
      </c>
      <c r="H1039" s="7" t="n">
        <f aca="false">IF(D1039=0,0,C1039/D1039)</f>
        <v>0.17552021514459</v>
      </c>
      <c r="I1039" s="7" t="n">
        <f aca="false">IF(D1039=0,0,B1039/D1039)</f>
        <v>0.82447978485541</v>
      </c>
      <c r="J1039" s="6" t="n">
        <f aca="false">E1039*H1039</f>
        <v>143152.8780446</v>
      </c>
      <c r="K1039" s="6" t="n">
        <f aca="false">E1039*I1039</f>
        <v>672439.0919554</v>
      </c>
      <c r="L1039" s="6" t="n">
        <v>243556.64</v>
      </c>
      <c r="M1039" s="6" t="n">
        <v>572035.33</v>
      </c>
      <c r="N1039" s="6" t="n">
        <v>764240</v>
      </c>
      <c r="O1039" s="6" t="n">
        <v>877572</v>
      </c>
      <c r="P1039" s="7" t="n">
        <f aca="false">IF(O1039=0,"",(G1039-O1039)/O1039)</f>
        <v>-0.0643394274202003</v>
      </c>
      <c r="Q1039" s="5" t="s">
        <v>26</v>
      </c>
      <c r="R1039" s="5" t="s">
        <v>27</v>
      </c>
    </row>
    <row r="1040" customFormat="false" ht="15" hidden="false" customHeight="true" outlineLevel="0" collapsed="false">
      <c r="A1040" s="5" t="s">
        <v>1064</v>
      </c>
      <c r="B1040" s="6" t="n">
        <v>4118695064.14</v>
      </c>
      <c r="C1040" s="6" t="n">
        <v>931723061.23</v>
      </c>
      <c r="D1040" s="6" t="n">
        <v>5050418125.37</v>
      </c>
      <c r="E1040" s="6" t="n">
        <v>1868654.71</v>
      </c>
      <c r="F1040" s="6" t="n">
        <v>10236.94</v>
      </c>
      <c r="G1040" s="6" t="n">
        <f aca="false">E1040+F1040</f>
        <v>1878891.65</v>
      </c>
      <c r="H1040" s="7" t="n">
        <f aca="false">IF(D1040=0,0,C1040/D1040)</f>
        <v>0.184484341316144</v>
      </c>
      <c r="I1040" s="7" t="n">
        <f aca="false">IF(D1040=0,0,B1040/D1040)</f>
        <v>0.815515658683856</v>
      </c>
      <c r="J1040" s="6" t="n">
        <f aca="false">E1040*H1040</f>
        <v>344737.53332166</v>
      </c>
      <c r="K1040" s="6" t="n">
        <f aca="false">E1040*I1040</f>
        <v>1523917.17667834</v>
      </c>
      <c r="L1040" s="6" t="n">
        <v>582088.8</v>
      </c>
      <c r="M1040" s="6" t="n">
        <v>1286565.91</v>
      </c>
      <c r="N1040" s="6" t="n">
        <v>1620093</v>
      </c>
      <c r="O1040" s="6" t="n">
        <v>1824019</v>
      </c>
      <c r="P1040" s="7" t="n">
        <f aca="false">IF(O1040=0,"",(G1040-O1040)/O1040)</f>
        <v>0.030083376324479</v>
      </c>
      <c r="Q1040" s="5" t="s">
        <v>26</v>
      </c>
      <c r="R1040" s="5" t="s">
        <v>27</v>
      </c>
    </row>
    <row r="1041" customFormat="false" ht="15" hidden="false" customHeight="true" outlineLevel="0" collapsed="false">
      <c r="A1041" s="5" t="s">
        <v>1065</v>
      </c>
      <c r="B1041" s="6" t="n">
        <v>6523699526.44</v>
      </c>
      <c r="C1041" s="6" t="n">
        <v>5961410742.85</v>
      </c>
      <c r="D1041" s="6" t="n">
        <v>12485110269.29</v>
      </c>
      <c r="E1041" s="6" t="n">
        <v>4619490.8</v>
      </c>
      <c r="F1041" s="6" t="n">
        <v>31259.42</v>
      </c>
      <c r="G1041" s="6" t="n">
        <f aca="false">E1041+F1041</f>
        <v>4650750.22</v>
      </c>
      <c r="H1041" s="7" t="n">
        <f aca="false">IF(D1041=0,0,C1041/D1041)</f>
        <v>0.47748162525352</v>
      </c>
      <c r="I1041" s="7" t="n">
        <f aca="false">IF(D1041=0,0,B1041/D1041)</f>
        <v>0.52251837474648</v>
      </c>
      <c r="J1041" s="6" t="n">
        <f aca="false">E1041*H1041</f>
        <v>2205721.97502768</v>
      </c>
      <c r="K1041" s="6" t="n">
        <f aca="false">E1041*I1041</f>
        <v>2413768.82497232</v>
      </c>
      <c r="L1041" s="6" t="n">
        <v>2985786</v>
      </c>
      <c r="M1041" s="6" t="n">
        <v>1633704.8</v>
      </c>
      <c r="N1041" s="6" t="n">
        <v>3174051</v>
      </c>
      <c r="O1041" s="6" t="n">
        <v>3520479</v>
      </c>
      <c r="P1041" s="7" t="n">
        <f aca="false">IF(O1041=0,"",(G1041-O1041)/O1041)</f>
        <v>0.321056089242401</v>
      </c>
      <c r="Q1041" s="5" t="s">
        <v>26</v>
      </c>
      <c r="R1041" s="5" t="s">
        <v>27</v>
      </c>
    </row>
    <row r="1042" customFormat="false" ht="15" hidden="false" customHeight="true" outlineLevel="0" collapsed="false">
      <c r="A1042" s="5" t="s">
        <v>1066</v>
      </c>
      <c r="B1042" s="6" t="n">
        <v>4661942955.94</v>
      </c>
      <c r="C1042" s="6" t="n">
        <v>3482831917.29</v>
      </c>
      <c r="D1042" s="6" t="n">
        <v>8144774873.23</v>
      </c>
      <c r="E1042" s="6" t="n">
        <v>3013566.7</v>
      </c>
      <c r="F1042" s="6" t="n">
        <v>15546.93</v>
      </c>
      <c r="G1042" s="6" t="n">
        <f aca="false">E1042+F1042</f>
        <v>3029113.63</v>
      </c>
      <c r="H1042" s="7" t="n">
        <f aca="false">IF(D1042=0,0,C1042/D1042)</f>
        <v>0.427615492324689</v>
      </c>
      <c r="I1042" s="7" t="n">
        <f aca="false">IF(D1042=0,0,B1042/D1042)</f>
        <v>0.572384507675311</v>
      </c>
      <c r="J1042" s="6" t="n">
        <f aca="false">E1042*H1042</f>
        <v>1288647.80807379</v>
      </c>
      <c r="K1042" s="6" t="n">
        <f aca="false">E1042*I1042</f>
        <v>1724918.89192621</v>
      </c>
      <c r="L1042" s="6" t="n">
        <v>1805314.97</v>
      </c>
      <c r="M1042" s="6" t="n">
        <v>1208251.73</v>
      </c>
      <c r="N1042" s="6" t="n">
        <v>2076045</v>
      </c>
      <c r="O1042" s="6" t="n">
        <v>2302620</v>
      </c>
      <c r="P1042" s="7" t="n">
        <f aca="false">IF(O1042=0,"",(G1042-O1042)/O1042)</f>
        <v>0.315507391580026</v>
      </c>
      <c r="Q1042" s="5" t="s">
        <v>26</v>
      </c>
      <c r="R1042" s="5" t="s">
        <v>27</v>
      </c>
    </row>
    <row r="1043" customFormat="false" ht="15" hidden="false" customHeight="true" outlineLevel="0" collapsed="false">
      <c r="A1043" s="5" t="s">
        <v>1067</v>
      </c>
      <c r="B1043" s="6" t="n">
        <v>4584129064.8</v>
      </c>
      <c r="C1043" s="6" t="n">
        <v>2546300862.7</v>
      </c>
      <c r="D1043" s="6" t="n">
        <v>7130429927.49</v>
      </c>
      <c r="E1043" s="6" t="n">
        <v>2638259.07</v>
      </c>
      <c r="F1043" s="6" t="n">
        <v>10502.31</v>
      </c>
      <c r="G1043" s="6" t="n">
        <f aca="false">E1043+F1043</f>
        <v>2648761.38</v>
      </c>
      <c r="H1043" s="7" t="n">
        <f aca="false">IF(D1043=0,0,C1043/D1043)</f>
        <v>0.357103412920899</v>
      </c>
      <c r="I1043" s="7" t="n">
        <f aca="false">IF(D1043=0,0,B1043/D1043)</f>
        <v>0.642896587080503</v>
      </c>
      <c r="J1043" s="6" t="n">
        <f aca="false">E1043*H1043</f>
        <v>942131.318066518</v>
      </c>
      <c r="K1043" s="6" t="n">
        <f aca="false">E1043*I1043</f>
        <v>1696127.75193718</v>
      </c>
      <c r="L1043" s="6" t="n">
        <v>1388444.4</v>
      </c>
      <c r="M1043" s="6" t="n">
        <v>1249814.67</v>
      </c>
      <c r="N1043" s="6" t="n">
        <v>1905128</v>
      </c>
      <c r="O1043" s="6" t="n">
        <v>2118032</v>
      </c>
      <c r="P1043" s="7" t="n">
        <f aca="false">IF(O1043=0,"",(G1043-O1043)/O1043)</f>
        <v>0.250576657954176</v>
      </c>
      <c r="Q1043" s="5" t="s">
        <v>26</v>
      </c>
      <c r="R1043" s="5" t="s">
        <v>27</v>
      </c>
    </row>
    <row r="1044" customFormat="false" ht="15" hidden="false" customHeight="true" outlineLevel="0" collapsed="false">
      <c r="A1044" s="5" t="s">
        <v>1068</v>
      </c>
      <c r="B1044" s="6" t="n">
        <v>4504998235.42</v>
      </c>
      <c r="C1044" s="6" t="n">
        <v>2417392546.06</v>
      </c>
      <c r="D1044" s="6" t="n">
        <v>6922390781.48</v>
      </c>
      <c r="E1044" s="6" t="n">
        <v>2561284.59</v>
      </c>
      <c r="F1044" s="6" t="n">
        <v>9219.36</v>
      </c>
      <c r="G1044" s="6" t="n">
        <f aca="false">E1044+F1044</f>
        <v>2570503.95</v>
      </c>
      <c r="H1044" s="7" t="n">
        <f aca="false">IF(D1044=0,0,C1044/D1044)</f>
        <v>0.349213533643237</v>
      </c>
      <c r="I1044" s="7" t="n">
        <f aca="false">IF(D1044=0,0,B1044/D1044)</f>
        <v>0.650786466356763</v>
      </c>
      <c r="J1044" s="6" t="n">
        <f aca="false">E1044*H1044</f>
        <v>894435.24233987</v>
      </c>
      <c r="K1044" s="6" t="n">
        <f aca="false">E1044*I1044</f>
        <v>1666849.34766013</v>
      </c>
      <c r="L1044" s="6" t="n">
        <v>1325861.65</v>
      </c>
      <c r="M1044" s="6" t="n">
        <v>1235422.94</v>
      </c>
      <c r="N1044" s="6" t="n">
        <v>1888946</v>
      </c>
      <c r="O1044" s="6" t="n">
        <v>2142177</v>
      </c>
      <c r="P1044" s="7" t="n">
        <f aca="false">IF(O1044=0,"",(G1044-O1044)/O1044)</f>
        <v>0.199949373931286</v>
      </c>
      <c r="Q1044" s="5" t="s">
        <v>26</v>
      </c>
      <c r="R1044" s="5" t="s">
        <v>27</v>
      </c>
    </row>
    <row r="1045" customFormat="false" ht="15" hidden="false" customHeight="true" outlineLevel="0" collapsed="false">
      <c r="A1045" s="5" t="s">
        <v>1069</v>
      </c>
      <c r="B1045" s="6" t="n">
        <v>4108634204.38</v>
      </c>
      <c r="C1045" s="6" t="n">
        <v>2332432540.58</v>
      </c>
      <c r="D1045" s="6" t="n">
        <v>6441066744.97</v>
      </c>
      <c r="E1045" s="6" t="n">
        <v>2383194.7</v>
      </c>
      <c r="F1045" s="6" t="n">
        <v>8329.33</v>
      </c>
      <c r="G1045" s="6" t="n">
        <f aca="false">E1045+F1045</f>
        <v>2391524.03</v>
      </c>
      <c r="H1045" s="7" t="n">
        <f aca="false">IF(D1045=0,0,C1045/D1045)</f>
        <v>0.362118983226103</v>
      </c>
      <c r="I1045" s="7" t="n">
        <f aca="false">IF(D1045=0,0,B1045/D1045)</f>
        <v>0.637881016772345</v>
      </c>
      <c r="J1045" s="6" t="n">
        <f aca="false">E1045*H1045</f>
        <v>863000.041593837</v>
      </c>
      <c r="K1045" s="6" t="n">
        <f aca="false">E1045*I1045</f>
        <v>1520194.65840246</v>
      </c>
      <c r="L1045" s="6" t="n">
        <v>1267143.4</v>
      </c>
      <c r="M1045" s="6" t="n">
        <v>1116051.3</v>
      </c>
      <c r="N1045" s="6" t="n">
        <v>1832439</v>
      </c>
      <c r="O1045" s="6" t="n">
        <v>2110208</v>
      </c>
      <c r="P1045" s="7" t="n">
        <f aca="false">IF(O1045=0,"",(G1045-O1045)/O1045)</f>
        <v>0.133311991045433</v>
      </c>
      <c r="Q1045" s="5" t="s">
        <v>26</v>
      </c>
      <c r="R1045" s="5" t="s">
        <v>27</v>
      </c>
    </row>
    <row r="1046" customFormat="false" ht="15" hidden="false" customHeight="true" outlineLevel="0" collapsed="false">
      <c r="A1046" s="5" t="s">
        <v>1070</v>
      </c>
      <c r="B1046" s="6" t="n">
        <v>2008402372.05</v>
      </c>
      <c r="C1046" s="6" t="n">
        <v>387184913.1</v>
      </c>
      <c r="D1046" s="6" t="n">
        <v>2395587285.15</v>
      </c>
      <c r="E1046" s="6" t="n">
        <v>886367.3</v>
      </c>
      <c r="F1046" s="6" t="n">
        <v>4794.66</v>
      </c>
      <c r="G1046" s="6" t="n">
        <f aca="false">E1046+F1046</f>
        <v>891161.96</v>
      </c>
      <c r="H1046" s="7" t="n">
        <f aca="false">IF(D1046=0,0,C1046/D1046)</f>
        <v>0.161624214446336</v>
      </c>
      <c r="I1046" s="7" t="n">
        <f aca="false">IF(D1046=0,0,B1046/D1046)</f>
        <v>0.838375785553664</v>
      </c>
      <c r="J1046" s="6" t="n">
        <f aca="false">E1046*H1046</f>
        <v>143258.41857342</v>
      </c>
      <c r="K1046" s="6" t="n">
        <f aca="false">E1046*I1046</f>
        <v>743108.88142658</v>
      </c>
      <c r="L1046" s="6" t="n">
        <v>246651.91</v>
      </c>
      <c r="M1046" s="6" t="n">
        <v>639715.38</v>
      </c>
      <c r="N1046" s="6" t="n">
        <v>814259</v>
      </c>
      <c r="O1046" s="6" t="n">
        <v>934726</v>
      </c>
      <c r="P1046" s="7" t="n">
        <f aca="false">IF(O1046=0,"",(G1046-O1046)/O1046)</f>
        <v>-0.0466062140135183</v>
      </c>
      <c r="Q1046" s="5" t="s">
        <v>26</v>
      </c>
      <c r="R1046" s="5" t="s">
        <v>27</v>
      </c>
    </row>
    <row r="1047" customFormat="false" ht="15" hidden="false" customHeight="true" outlineLevel="0" collapsed="false">
      <c r="A1047" s="5" t="s">
        <v>1071</v>
      </c>
      <c r="B1047" s="6" t="n">
        <v>2199415237.1</v>
      </c>
      <c r="C1047" s="6" t="n">
        <v>643844781.62</v>
      </c>
      <c r="D1047" s="6" t="n">
        <v>2843260018.71</v>
      </c>
      <c r="E1047" s="6" t="n">
        <v>1052006.21</v>
      </c>
      <c r="F1047" s="6" t="n">
        <v>5150.48</v>
      </c>
      <c r="G1047" s="6" t="n">
        <f aca="false">E1047+F1047</f>
        <v>1057156.69</v>
      </c>
      <c r="H1047" s="7" t="n">
        <f aca="false">IF(D1047=0,0,C1047/D1047)</f>
        <v>0.226445973067252</v>
      </c>
      <c r="I1047" s="7" t="n">
        <f aca="false">IF(D1047=0,0,B1047/D1047)</f>
        <v>0.773554026936265</v>
      </c>
      <c r="J1047" s="6" t="n">
        <f aca="false">E1047*H1047</f>
        <v>238222.569896242</v>
      </c>
      <c r="K1047" s="6" t="n">
        <f aca="false">E1047*I1047</f>
        <v>813783.640107458</v>
      </c>
      <c r="L1047" s="6" t="n">
        <v>388476.25</v>
      </c>
      <c r="M1047" s="6" t="n">
        <v>663529.95</v>
      </c>
      <c r="N1047" s="6" t="n">
        <v>936787</v>
      </c>
      <c r="O1047" s="6" t="n">
        <v>1071660</v>
      </c>
      <c r="P1047" s="7" t="n">
        <f aca="false">IF(O1047=0,"",(G1047-O1047)/O1047)</f>
        <v>-0.0135334994307897</v>
      </c>
      <c r="Q1047" s="5" t="s">
        <v>26</v>
      </c>
      <c r="R1047" s="5" t="s">
        <v>27</v>
      </c>
    </row>
    <row r="1048" customFormat="false" ht="15" hidden="false" customHeight="true" outlineLevel="0" collapsed="false">
      <c r="A1048" s="5" t="s">
        <v>1072</v>
      </c>
      <c r="B1048" s="6" t="n">
        <v>3825866607.06</v>
      </c>
      <c r="C1048" s="6" t="n">
        <v>2298306018.07</v>
      </c>
      <c r="D1048" s="6" t="n">
        <v>6124172625.12</v>
      </c>
      <c r="E1048" s="6" t="n">
        <v>2265943.87</v>
      </c>
      <c r="F1048" s="6" t="n">
        <v>14893.95</v>
      </c>
      <c r="G1048" s="6" t="n">
        <f aca="false">E1048+F1048</f>
        <v>2280837.82</v>
      </c>
      <c r="H1048" s="7" t="n">
        <f aca="false">IF(D1048=0,0,C1048/D1048)</f>
        <v>0.375284329615866</v>
      </c>
      <c r="I1048" s="7" t="n">
        <f aca="false">IF(D1048=0,0,B1048/D1048)</f>
        <v>0.624715670385767</v>
      </c>
      <c r="J1048" s="6" t="n">
        <f aca="false">E1048*H1048</f>
        <v>850373.226200132</v>
      </c>
      <c r="K1048" s="6" t="n">
        <f aca="false">E1048*I1048</f>
        <v>1415570.64380357</v>
      </c>
      <c r="L1048" s="6" t="n">
        <v>1236650.79</v>
      </c>
      <c r="M1048" s="6" t="n">
        <v>1029293.08</v>
      </c>
      <c r="N1048" s="6" t="n">
        <v>1688818</v>
      </c>
      <c r="O1048" s="6" t="n">
        <v>1898841</v>
      </c>
      <c r="P1048" s="7" t="n">
        <f aca="false">IF(O1048=0,"",(G1048-O1048)/O1048)</f>
        <v>0.201173673835777</v>
      </c>
      <c r="Q1048" s="5" t="s">
        <v>26</v>
      </c>
      <c r="R1048" s="5" t="s">
        <v>27</v>
      </c>
    </row>
    <row r="1049" customFormat="false" ht="15" hidden="false" customHeight="true" outlineLevel="0" collapsed="false">
      <c r="A1049" s="5" t="s">
        <v>1073</v>
      </c>
      <c r="B1049" s="6" t="n">
        <v>6145403430.05</v>
      </c>
      <c r="C1049" s="6" t="n">
        <v>3635530094.15</v>
      </c>
      <c r="D1049" s="6" t="n">
        <v>9780933524.2</v>
      </c>
      <c r="E1049" s="6" t="n">
        <v>3618945.4</v>
      </c>
      <c r="F1049" s="6" t="n">
        <v>10017.56</v>
      </c>
      <c r="G1049" s="6" t="n">
        <f aca="false">E1049+F1049</f>
        <v>3628962.96</v>
      </c>
      <c r="H1049" s="7" t="n">
        <f aca="false">IF(D1049=0,0,C1049/D1049)</f>
        <v>0.371695614243259</v>
      </c>
      <c r="I1049" s="7" t="n">
        <f aca="false">IF(D1049=0,0,B1049/D1049)</f>
        <v>0.628304385756741</v>
      </c>
      <c r="J1049" s="6" t="n">
        <f aca="false">E1049*H1049</f>
        <v>1345146.13336582</v>
      </c>
      <c r="K1049" s="6" t="n">
        <f aca="false">E1049*I1049</f>
        <v>2273799.26663418</v>
      </c>
      <c r="L1049" s="6" t="n">
        <v>1961289.55</v>
      </c>
      <c r="M1049" s="6" t="n">
        <v>1657655.86</v>
      </c>
      <c r="N1049" s="6" t="n">
        <v>2527356</v>
      </c>
      <c r="O1049" s="6" t="n">
        <v>2805535</v>
      </c>
      <c r="P1049" s="7" t="n">
        <f aca="false">IF(O1049=0,"",(G1049-O1049)/O1049)</f>
        <v>0.293501225256502</v>
      </c>
      <c r="Q1049" s="5" t="s">
        <v>26</v>
      </c>
      <c r="R1049" s="5" t="s">
        <v>27</v>
      </c>
    </row>
    <row r="1050" customFormat="false" ht="15" hidden="false" customHeight="true" outlineLevel="0" collapsed="false">
      <c r="A1050" s="5" t="s">
        <v>1074</v>
      </c>
      <c r="B1050" s="6" t="n">
        <v>4987928250.75</v>
      </c>
      <c r="C1050" s="6" t="n">
        <v>3221732947.56</v>
      </c>
      <c r="D1050" s="6" t="n">
        <v>8209661198.31</v>
      </c>
      <c r="E1050" s="6" t="n">
        <v>3037574.64</v>
      </c>
      <c r="F1050" s="6" t="n">
        <v>7999.14</v>
      </c>
      <c r="G1050" s="6" t="n">
        <f aca="false">E1050+F1050</f>
        <v>3045573.78</v>
      </c>
      <c r="H1050" s="7" t="n">
        <f aca="false">IF(D1050=0,0,C1050/D1050)</f>
        <v>0.392431900627423</v>
      </c>
      <c r="I1050" s="7" t="n">
        <f aca="false">IF(D1050=0,0,B1050/D1050)</f>
        <v>0.607568099372577</v>
      </c>
      <c r="J1050" s="6" t="n">
        <f aca="false">E1050*H1050</f>
        <v>1192041.18927286</v>
      </c>
      <c r="K1050" s="6" t="n">
        <f aca="false">E1050*I1050</f>
        <v>1845533.45072714</v>
      </c>
      <c r="L1050" s="6" t="n">
        <v>1712171.62</v>
      </c>
      <c r="M1050" s="6" t="n">
        <v>1325403.02</v>
      </c>
      <c r="N1050" s="6" t="n">
        <v>2130683</v>
      </c>
      <c r="O1050" s="6" t="n">
        <v>2390646</v>
      </c>
      <c r="P1050" s="7" t="n">
        <f aca="false">IF(O1050=0,"",(G1050-O1050)/O1050)</f>
        <v>0.27395431193075</v>
      </c>
      <c r="Q1050" s="5" t="s">
        <v>26</v>
      </c>
      <c r="R1050" s="5" t="s">
        <v>27</v>
      </c>
    </row>
    <row r="1051" customFormat="false" ht="15" hidden="false" customHeight="true" outlineLevel="0" collapsed="false">
      <c r="A1051" s="5" t="s">
        <v>1075</v>
      </c>
      <c r="B1051" s="6" t="n">
        <v>5289345653.89</v>
      </c>
      <c r="C1051" s="6" t="n">
        <v>4257436050.6</v>
      </c>
      <c r="D1051" s="6" t="n">
        <v>9546781704.49</v>
      </c>
      <c r="E1051" s="6" t="n">
        <v>3532309.23</v>
      </c>
      <c r="F1051" s="6" t="n">
        <v>6134.23</v>
      </c>
      <c r="G1051" s="6" t="n">
        <f aca="false">E1051+F1051</f>
        <v>3538443.46</v>
      </c>
      <c r="H1051" s="7" t="n">
        <f aca="false">IF(D1051=0,0,C1051/D1051)</f>
        <v>0.445955106378693</v>
      </c>
      <c r="I1051" s="7" t="n">
        <f aca="false">IF(D1051=0,0,B1051/D1051)</f>
        <v>0.554044893621307</v>
      </c>
      <c r="J1051" s="6" t="n">
        <f aca="false">E1051*H1051</f>
        <v>1575251.33842709</v>
      </c>
      <c r="K1051" s="6" t="n">
        <f aca="false">E1051*I1051</f>
        <v>1957057.89157291</v>
      </c>
      <c r="L1051" s="6" t="n">
        <v>2178838.52</v>
      </c>
      <c r="M1051" s="6" t="n">
        <v>1353470.72</v>
      </c>
      <c r="N1051" s="6" t="n">
        <v>2437633</v>
      </c>
      <c r="O1051" s="6" t="n">
        <v>2767327</v>
      </c>
      <c r="P1051" s="7" t="n">
        <f aca="false">IF(O1051=0,"",(G1051-O1051)/O1051)</f>
        <v>0.278650285998005</v>
      </c>
      <c r="Q1051" s="5" t="s">
        <v>26</v>
      </c>
      <c r="R1051" s="5" t="s">
        <v>27</v>
      </c>
    </row>
    <row r="1052" customFormat="false" ht="15" hidden="false" customHeight="true" outlineLevel="0" collapsed="false">
      <c r="A1052" s="5" t="s">
        <v>1076</v>
      </c>
      <c r="B1052" s="6" t="n">
        <v>2436403173.14</v>
      </c>
      <c r="C1052" s="6" t="n">
        <v>475343463.98</v>
      </c>
      <c r="D1052" s="6" t="n">
        <v>2911746637.12</v>
      </c>
      <c r="E1052" s="6" t="n">
        <v>1077346.26</v>
      </c>
      <c r="F1052" s="6" t="n">
        <v>3143.43</v>
      </c>
      <c r="G1052" s="6" t="n">
        <f aca="false">E1052+F1052</f>
        <v>1080489.69</v>
      </c>
      <c r="H1052" s="7" t="n">
        <f aca="false">IF(D1052=0,0,C1052/D1052)</f>
        <v>0.163250283496562</v>
      </c>
      <c r="I1052" s="7" t="n">
        <f aca="false">IF(D1052=0,0,B1052/D1052)</f>
        <v>0.836749716503438</v>
      </c>
      <c r="J1052" s="6" t="n">
        <f aca="false">E1052*H1052</f>
        <v>175877.08236896</v>
      </c>
      <c r="K1052" s="6" t="n">
        <f aca="false">E1052*I1052</f>
        <v>901469.17763104</v>
      </c>
      <c r="L1052" s="6" t="n">
        <v>302389.06</v>
      </c>
      <c r="M1052" s="6" t="n">
        <v>774957.19</v>
      </c>
      <c r="N1052" s="6" t="n">
        <v>957578</v>
      </c>
      <c r="O1052" s="6" t="n">
        <v>1075409</v>
      </c>
      <c r="P1052" s="7" t="n">
        <f aca="false">IF(O1052=0,"",(G1052-O1052)/O1052)</f>
        <v>0.00472442577661145</v>
      </c>
      <c r="Q1052" s="5" t="s">
        <v>26</v>
      </c>
      <c r="R1052" s="5" t="s">
        <v>27</v>
      </c>
    </row>
    <row r="1053" customFormat="false" ht="15" hidden="false" customHeight="true" outlineLevel="0" collapsed="false">
      <c r="A1053" s="5" t="s">
        <v>1077</v>
      </c>
      <c r="B1053" s="6" t="n">
        <v>1228125067.76</v>
      </c>
      <c r="C1053" s="6" t="n">
        <v>213778772.59</v>
      </c>
      <c r="D1053" s="6" t="n">
        <v>1441903840.36</v>
      </c>
      <c r="E1053" s="6" t="n">
        <v>533504.42</v>
      </c>
      <c r="F1053" s="6" t="n">
        <v>2059.15</v>
      </c>
      <c r="G1053" s="6" t="n">
        <f aca="false">E1053+F1053</f>
        <v>535563.57</v>
      </c>
      <c r="H1053" s="7" t="n">
        <f aca="false">IF(D1053=0,0,C1053/D1053)</f>
        <v>0.148261462800894</v>
      </c>
      <c r="I1053" s="7" t="n">
        <f aca="false">IF(D1053=0,0,B1053/D1053)</f>
        <v>0.851738537192171</v>
      </c>
      <c r="J1053" s="6" t="n">
        <f aca="false">E1053*H1053</f>
        <v>79098.1457199424</v>
      </c>
      <c r="K1053" s="6" t="n">
        <f aca="false">E1053*I1053</f>
        <v>454406.274276358</v>
      </c>
      <c r="L1053" s="6" t="n">
        <v>137770.27</v>
      </c>
      <c r="M1053" s="6" t="n">
        <v>395734.15</v>
      </c>
      <c r="N1053" s="6" t="n">
        <v>527992</v>
      </c>
      <c r="O1053" s="6" t="n">
        <v>618387</v>
      </c>
      <c r="P1053" s="7" t="n">
        <f aca="false">IF(O1053=0,"",(G1053-O1053)/O1053)</f>
        <v>-0.133934623463947</v>
      </c>
      <c r="Q1053" s="5" t="s">
        <v>26</v>
      </c>
      <c r="R1053" s="5" t="s">
        <v>27</v>
      </c>
    </row>
    <row r="1054" customFormat="false" ht="15" hidden="false" customHeight="true" outlineLevel="0" collapsed="false">
      <c r="A1054" s="5" t="s">
        <v>1078</v>
      </c>
      <c r="B1054" s="6" t="n">
        <v>2483587092.32</v>
      </c>
      <c r="C1054" s="6" t="n">
        <v>760617550.82</v>
      </c>
      <c r="D1054" s="6" t="n">
        <v>3244204643.14</v>
      </c>
      <c r="E1054" s="6" t="n">
        <v>1200355.72</v>
      </c>
      <c r="F1054" s="6" t="n">
        <v>3284.94</v>
      </c>
      <c r="G1054" s="6" t="n">
        <f aca="false">E1054+F1054</f>
        <v>1203640.66</v>
      </c>
      <c r="H1054" s="7" t="n">
        <f aca="false">IF(D1054=0,0,C1054/D1054)</f>
        <v>0.234454245180974</v>
      </c>
      <c r="I1054" s="7" t="n">
        <f aca="false">IF(D1054=0,0,B1054/D1054)</f>
        <v>0.765545754819026</v>
      </c>
      <c r="J1054" s="6" t="n">
        <f aca="false">E1054*H1054</f>
        <v>281428.494281265</v>
      </c>
      <c r="K1054" s="6" t="n">
        <f aca="false">E1054*I1054</f>
        <v>918927.225718735</v>
      </c>
      <c r="L1054" s="6" t="n">
        <v>455956.14</v>
      </c>
      <c r="M1054" s="6" t="n">
        <v>744399.58</v>
      </c>
      <c r="N1054" s="6" t="n">
        <v>1053655</v>
      </c>
      <c r="O1054" s="6" t="n">
        <v>1197055</v>
      </c>
      <c r="P1054" s="7" t="n">
        <f aca="false">IF(O1054=0,"",(G1054-O1054)/O1054)</f>
        <v>0.00550155172485802</v>
      </c>
      <c r="Q1054" s="5" t="s">
        <v>26</v>
      </c>
      <c r="R1054" s="5" t="s">
        <v>27</v>
      </c>
    </row>
    <row r="1055" customFormat="false" ht="15" hidden="false" customHeight="true" outlineLevel="0" collapsed="false">
      <c r="A1055" s="5" t="s">
        <v>1079</v>
      </c>
      <c r="B1055" s="6" t="n">
        <v>4595306827.6</v>
      </c>
      <c r="C1055" s="6" t="n">
        <v>2690260514.22</v>
      </c>
      <c r="D1055" s="6" t="n">
        <v>7285567341.83</v>
      </c>
      <c r="E1055" s="6" t="n">
        <v>2695659.92</v>
      </c>
      <c r="F1055" s="6" t="n">
        <v>7644.75</v>
      </c>
      <c r="G1055" s="6" t="n">
        <f aca="false">E1055+F1055</f>
        <v>2703304.67</v>
      </c>
      <c r="H1055" s="7" t="n">
        <f aca="false">IF(D1055=0,0,C1055/D1055)</f>
        <v>0.369258890625292</v>
      </c>
      <c r="I1055" s="7" t="n">
        <f aca="false">IF(D1055=0,0,B1055/D1055)</f>
        <v>0.630741109373336</v>
      </c>
      <c r="J1055" s="6" t="n">
        <f aca="false">E1055*H1055</f>
        <v>995396.391562262</v>
      </c>
      <c r="K1055" s="6" t="n">
        <f aca="false">E1055*I1055</f>
        <v>1700263.52843404</v>
      </c>
      <c r="L1055" s="6" t="n">
        <v>1453919.92</v>
      </c>
      <c r="M1055" s="6" t="n">
        <v>1241739.99</v>
      </c>
      <c r="N1055" s="6" t="n">
        <v>1957708</v>
      </c>
      <c r="O1055" s="6" t="n">
        <v>2177417</v>
      </c>
      <c r="P1055" s="7" t="n">
        <f aca="false">IF(O1055=0,"",(G1055-O1055)/O1055)</f>
        <v>0.24151904297615</v>
      </c>
      <c r="Q1055" s="5" t="s">
        <v>26</v>
      </c>
      <c r="R1055" s="5" t="s">
        <v>27</v>
      </c>
    </row>
    <row r="1056" customFormat="false" ht="15" hidden="false" customHeight="true" outlineLevel="0" collapsed="false">
      <c r="A1056" s="5" t="s">
        <v>1080</v>
      </c>
      <c r="B1056" s="6" t="n">
        <v>6460062931.72</v>
      </c>
      <c r="C1056" s="6" t="n">
        <v>5469209347.11</v>
      </c>
      <c r="D1056" s="6" t="n">
        <v>11929272278.83</v>
      </c>
      <c r="E1056" s="6" t="n">
        <v>4413830.74</v>
      </c>
      <c r="F1056" s="6" t="n">
        <v>11234.75</v>
      </c>
      <c r="G1056" s="6" t="n">
        <f aca="false">E1056+F1056</f>
        <v>4425065.49</v>
      </c>
      <c r="H1056" s="7" t="n">
        <f aca="false">IF(D1056=0,0,C1056/D1056)</f>
        <v>0.458469655086656</v>
      </c>
      <c r="I1056" s="7" t="n">
        <f aca="false">IF(D1056=0,0,B1056/D1056)</f>
        <v>0.541530344913344</v>
      </c>
      <c r="J1056" s="6" t="n">
        <f aca="false">E1056*H1056</f>
        <v>2023607.45697868</v>
      </c>
      <c r="K1056" s="6" t="n">
        <f aca="false">E1056*I1056</f>
        <v>2390223.28302132</v>
      </c>
      <c r="L1056" s="6" t="n">
        <v>2774973.69</v>
      </c>
      <c r="M1056" s="6" t="n">
        <v>1638857.06</v>
      </c>
      <c r="N1056" s="6" t="n">
        <v>2872748</v>
      </c>
      <c r="O1056" s="6" t="n">
        <v>3265249</v>
      </c>
      <c r="P1056" s="7" t="n">
        <f aca="false">IF(O1056=0,"",(G1056-O1056)/O1056)</f>
        <v>0.355200013842742</v>
      </c>
      <c r="Q1056" s="5" t="s">
        <v>26</v>
      </c>
      <c r="R1056" s="5" t="s">
        <v>27</v>
      </c>
    </row>
    <row r="1057" customFormat="false" ht="15" hidden="false" customHeight="true" outlineLevel="0" collapsed="false">
      <c r="A1057" s="5" t="s">
        <v>1081</v>
      </c>
      <c r="B1057" s="6" t="n">
        <v>5074261886.22</v>
      </c>
      <c r="C1057" s="6" t="n">
        <v>4715527280.32</v>
      </c>
      <c r="D1057" s="6" t="n">
        <v>9789789166.54</v>
      </c>
      <c r="E1057" s="6" t="n">
        <v>3622221.99</v>
      </c>
      <c r="F1057" s="6" t="n">
        <v>14861.34</v>
      </c>
      <c r="G1057" s="6" t="n">
        <f aca="false">E1057+F1057</f>
        <v>3637083.33</v>
      </c>
      <c r="H1057" s="7" t="n">
        <f aca="false">IF(D1057=0,0,C1057/D1057)</f>
        <v>0.481678124023033</v>
      </c>
      <c r="I1057" s="7" t="n">
        <f aca="false">IF(D1057=0,0,B1057/D1057)</f>
        <v>0.518321875976967</v>
      </c>
      <c r="J1057" s="6" t="n">
        <f aca="false">E1057*H1057</f>
        <v>1744745.09293818</v>
      </c>
      <c r="K1057" s="6" t="n">
        <f aca="false">E1057*I1057</f>
        <v>1877476.89706182</v>
      </c>
      <c r="L1057" s="6" t="n">
        <v>2355093.28</v>
      </c>
      <c r="M1057" s="6" t="n">
        <v>1267128.72</v>
      </c>
      <c r="N1057" s="6" t="n">
        <v>2364971</v>
      </c>
      <c r="O1057" s="6" t="n">
        <v>2686045</v>
      </c>
      <c r="P1057" s="7" t="n">
        <f aca="false">IF(O1057=0,"",(G1057-O1057)/O1057)</f>
        <v>0.354066417353395</v>
      </c>
      <c r="Q1057" s="5" t="s">
        <v>26</v>
      </c>
      <c r="R1057" s="5" t="s">
        <v>27</v>
      </c>
    </row>
    <row r="1058" customFormat="false" ht="15" hidden="false" customHeight="true" outlineLevel="0" collapsed="false">
      <c r="A1058" s="5" t="s">
        <v>1082</v>
      </c>
      <c r="B1058" s="6" t="n">
        <v>5161111759.88</v>
      </c>
      <c r="C1058" s="6" t="n">
        <v>3293688178.91</v>
      </c>
      <c r="D1058" s="6" t="n">
        <v>8454799938.79</v>
      </c>
      <c r="E1058" s="6" t="n">
        <v>3128275.98</v>
      </c>
      <c r="F1058" s="6" t="n">
        <v>9404</v>
      </c>
      <c r="G1058" s="6" t="n">
        <f aca="false">E1058+F1058</f>
        <v>3137679.98</v>
      </c>
      <c r="H1058" s="7" t="n">
        <f aca="false">IF(D1058=0,0,C1058/D1058)</f>
        <v>0.389564295164313</v>
      </c>
      <c r="I1058" s="7" t="n">
        <f aca="false">IF(D1058=0,0,B1058/D1058)</f>
        <v>0.610435704835687</v>
      </c>
      <c r="J1058" s="6" t="n">
        <f aca="false">E1058*H1058</f>
        <v>1218664.62722815</v>
      </c>
      <c r="K1058" s="6" t="n">
        <f aca="false">E1058*I1058</f>
        <v>1909611.35277185</v>
      </c>
      <c r="L1058" s="6" t="n">
        <v>1754024.09</v>
      </c>
      <c r="M1058" s="6" t="n">
        <v>1374251.88</v>
      </c>
      <c r="N1058" s="6" t="n">
        <v>2246346</v>
      </c>
      <c r="O1058" s="6" t="n">
        <v>2547202</v>
      </c>
      <c r="P1058" s="7" t="n">
        <f aca="false">IF(O1058=0,"",(G1058-O1058)/O1058)</f>
        <v>0.23181435159049</v>
      </c>
      <c r="Q1058" s="5" t="s">
        <v>26</v>
      </c>
      <c r="R1058" s="5" t="s">
        <v>27</v>
      </c>
    </row>
    <row r="1059" customFormat="false" ht="15" hidden="false" customHeight="true" outlineLevel="0" collapsed="false">
      <c r="A1059" s="5" t="s">
        <v>1083</v>
      </c>
      <c r="B1059" s="6" t="n">
        <v>3916764791.25</v>
      </c>
      <c r="C1059" s="6" t="n">
        <v>2003318945.54</v>
      </c>
      <c r="D1059" s="6" t="n">
        <v>5920083736.79</v>
      </c>
      <c r="E1059" s="6" t="n">
        <v>2190430.98</v>
      </c>
      <c r="F1059" s="6" t="n">
        <v>12328.45</v>
      </c>
      <c r="G1059" s="6" t="n">
        <f aca="false">E1059+F1059</f>
        <v>2202759.43</v>
      </c>
      <c r="H1059" s="7" t="n">
        <f aca="false">IF(D1059=0,0,C1059/D1059)</f>
        <v>0.338393684043774</v>
      </c>
      <c r="I1059" s="7" t="n">
        <f aca="false">IF(D1059=0,0,B1059/D1059)</f>
        <v>0.661606315956226</v>
      </c>
      <c r="J1059" s="6" t="n">
        <f aca="false">E1059*H1059</f>
        <v>741228.008965814</v>
      </c>
      <c r="K1059" s="6" t="n">
        <f aca="false">E1059*I1059</f>
        <v>1449202.97103419</v>
      </c>
      <c r="L1059" s="6" t="n">
        <v>1107638.24</v>
      </c>
      <c r="M1059" s="6" t="n">
        <v>1082792.75</v>
      </c>
      <c r="N1059" s="6" t="n">
        <v>1700416</v>
      </c>
      <c r="O1059" s="6" t="n">
        <v>1896638</v>
      </c>
      <c r="P1059" s="7" t="n">
        <f aca="false">IF(O1059=0,"",(G1059-O1059)/O1059)</f>
        <v>0.161402138942698</v>
      </c>
      <c r="Q1059" s="5" t="s">
        <v>26</v>
      </c>
      <c r="R1059" s="5" t="s">
        <v>27</v>
      </c>
    </row>
    <row r="1060" customFormat="false" ht="15" hidden="false" customHeight="true" outlineLevel="0" collapsed="false">
      <c r="A1060" s="5" t="s">
        <v>1084</v>
      </c>
      <c r="B1060" s="6" t="n">
        <v>2265924052.88</v>
      </c>
      <c r="C1060" s="6" t="n">
        <v>546485976.39</v>
      </c>
      <c r="D1060" s="6" t="n">
        <v>2812410029.26</v>
      </c>
      <c r="E1060" s="6" t="n">
        <v>1040591.71</v>
      </c>
      <c r="F1060" s="6" t="n">
        <v>7329.07</v>
      </c>
      <c r="G1060" s="6" t="n">
        <f aca="false">E1060+F1060</f>
        <v>1047920.78</v>
      </c>
      <c r="H1060" s="7" t="n">
        <f aca="false">IF(D1060=0,0,C1060/D1060)</f>
        <v>0.194312340912037</v>
      </c>
      <c r="I1060" s="7" t="n">
        <f aca="false">IF(D1060=0,0,B1060/D1060)</f>
        <v>0.805687659091519</v>
      </c>
      <c r="J1060" s="6" t="n">
        <f aca="false">E1060*H1060</f>
        <v>202199.811103759</v>
      </c>
      <c r="K1060" s="6" t="n">
        <f aca="false">E1060*I1060</f>
        <v>838391.898899941</v>
      </c>
      <c r="L1060" s="6" t="n">
        <v>338604.57</v>
      </c>
      <c r="M1060" s="6" t="n">
        <v>701987.14</v>
      </c>
      <c r="N1060" s="6" t="n">
        <v>980188</v>
      </c>
      <c r="O1060" s="6" t="n">
        <v>1134114</v>
      </c>
      <c r="P1060" s="7" t="n">
        <f aca="false">IF(O1060=0,"",(G1060-O1060)/O1060)</f>
        <v>-0.0760004902505393</v>
      </c>
      <c r="Q1060" s="5" t="s">
        <v>26</v>
      </c>
      <c r="R1060" s="5" t="s">
        <v>27</v>
      </c>
    </row>
    <row r="1061" customFormat="false" ht="15" hidden="false" customHeight="true" outlineLevel="0" collapsed="false">
      <c r="A1061" s="5" t="s">
        <v>1085</v>
      </c>
      <c r="B1061" s="6" t="n">
        <v>3506506816.25</v>
      </c>
      <c r="C1061" s="6" t="n">
        <v>1961035125.84</v>
      </c>
      <c r="D1061" s="6" t="n">
        <v>5467541942.09</v>
      </c>
      <c r="E1061" s="6" t="n">
        <v>2022990.52</v>
      </c>
      <c r="F1061" s="6" t="n">
        <v>8542.38</v>
      </c>
      <c r="G1061" s="6" t="n">
        <f aca="false">E1061+F1061</f>
        <v>2031532.9</v>
      </c>
      <c r="H1061" s="7" t="n">
        <f aca="false">IF(D1061=0,0,C1061/D1061)</f>
        <v>0.358668510751357</v>
      </c>
      <c r="I1061" s="7" t="n">
        <f aca="false">IF(D1061=0,0,B1061/D1061)</f>
        <v>0.641331489248644</v>
      </c>
      <c r="J1061" s="6" t="n">
        <f aca="false">E1061*H1061</f>
        <v>725582.997072512</v>
      </c>
      <c r="K1061" s="6" t="n">
        <f aca="false">E1061*I1061</f>
        <v>1297407.52292749</v>
      </c>
      <c r="L1061" s="6" t="n">
        <v>1068079.51</v>
      </c>
      <c r="M1061" s="6" t="n">
        <v>954911.01</v>
      </c>
      <c r="N1061" s="6" t="n">
        <v>1555017</v>
      </c>
      <c r="O1061" s="6" t="n">
        <v>1785790</v>
      </c>
      <c r="P1061" s="7" t="n">
        <f aca="false">IF(O1061=0,"",(G1061-O1061)/O1061)</f>
        <v>0.137610189327972</v>
      </c>
      <c r="Q1061" s="5" t="s">
        <v>26</v>
      </c>
      <c r="R1061" s="5" t="s">
        <v>27</v>
      </c>
    </row>
    <row r="1062" customFormat="false" ht="15" hidden="false" customHeight="true" outlineLevel="0" collapsed="false">
      <c r="A1062" s="5" t="s">
        <v>1086</v>
      </c>
      <c r="B1062" s="6" t="n">
        <v>5296830121.9</v>
      </c>
      <c r="C1062" s="6" t="n">
        <v>2674583225.34</v>
      </c>
      <c r="D1062" s="6" t="n">
        <v>7971413347.23</v>
      </c>
      <c r="E1062" s="6" t="n">
        <v>2949422.94</v>
      </c>
      <c r="F1062" s="6" t="n">
        <v>13967.01</v>
      </c>
      <c r="G1062" s="6" t="n">
        <f aca="false">E1062+F1062</f>
        <v>2963389.95</v>
      </c>
      <c r="H1062" s="7" t="n">
        <f aca="false">IF(D1062=0,0,C1062/D1062)</f>
        <v>0.335521833937942</v>
      </c>
      <c r="I1062" s="7" t="n">
        <f aca="false">IF(D1062=0,0,B1062/D1062)</f>
        <v>0.664478166063312</v>
      </c>
      <c r="J1062" s="6" t="n">
        <f aca="false">E1062*H1062</f>
        <v>989595.793887437</v>
      </c>
      <c r="K1062" s="6" t="n">
        <f aca="false">E1062*I1062</f>
        <v>1959827.14611626</v>
      </c>
      <c r="L1062" s="6" t="n">
        <v>1481961.24</v>
      </c>
      <c r="M1062" s="6" t="n">
        <v>1467461.7</v>
      </c>
      <c r="N1062" s="6" t="n">
        <v>2096254</v>
      </c>
      <c r="O1062" s="6" t="n">
        <v>2327012</v>
      </c>
      <c r="P1062" s="7" t="n">
        <f aca="false">IF(O1062=0,"",(G1062-O1062)/O1062)</f>
        <v>0.273474288056959</v>
      </c>
      <c r="Q1062" s="5" t="s">
        <v>26</v>
      </c>
      <c r="R1062" s="5" t="s">
        <v>27</v>
      </c>
    </row>
    <row r="1063" customFormat="false" ht="15" hidden="false" customHeight="true" outlineLevel="0" collapsed="false">
      <c r="A1063" s="5" t="s">
        <v>1087</v>
      </c>
      <c r="B1063" s="6" t="n">
        <v>5642745694.36</v>
      </c>
      <c r="C1063" s="6" t="n">
        <v>2221769151.72</v>
      </c>
      <c r="D1063" s="6" t="n">
        <v>7864514846.08</v>
      </c>
      <c r="E1063" s="6" t="n">
        <v>2909870.49</v>
      </c>
      <c r="F1063" s="6" t="n">
        <v>15539</v>
      </c>
      <c r="G1063" s="6" t="n">
        <f aca="false">E1063+F1063</f>
        <v>2925409.49</v>
      </c>
      <c r="H1063" s="7" t="n">
        <f aca="false">IF(D1063=0,0,C1063/D1063)</f>
        <v>0.282505557584067</v>
      </c>
      <c r="I1063" s="7" t="n">
        <f aca="false">IF(D1063=0,0,B1063/D1063)</f>
        <v>0.717494442415933</v>
      </c>
      <c r="J1063" s="6" t="n">
        <f aca="false">E1063*H1063</f>
        <v>822054.585274871</v>
      </c>
      <c r="K1063" s="6" t="n">
        <f aca="false">E1063*I1063</f>
        <v>2087815.90472513</v>
      </c>
      <c r="L1063" s="6" t="n">
        <v>1281950.91</v>
      </c>
      <c r="M1063" s="6" t="n">
        <v>1627919.58</v>
      </c>
      <c r="N1063" s="6" t="n">
        <v>2511343</v>
      </c>
      <c r="O1063" s="6" t="n">
        <v>2783933</v>
      </c>
      <c r="P1063" s="7" t="n">
        <f aca="false">IF(O1063=0,"",(G1063-O1063)/O1063)</f>
        <v>0.0508189277543677</v>
      </c>
      <c r="Q1063" s="5" t="s">
        <v>26</v>
      </c>
      <c r="R1063" s="5" t="s">
        <v>27</v>
      </c>
    </row>
    <row r="1064" customFormat="false" ht="15" hidden="false" customHeight="true" outlineLevel="0" collapsed="false">
      <c r="A1064" s="5" t="s">
        <v>1088</v>
      </c>
      <c r="B1064" s="6" t="n">
        <v>4022178926.25</v>
      </c>
      <c r="C1064" s="6" t="n">
        <v>2049221398.16</v>
      </c>
      <c r="D1064" s="6" t="n">
        <v>6071400324.42</v>
      </c>
      <c r="E1064" s="6" t="n">
        <v>2246418.12</v>
      </c>
      <c r="F1064" s="6" t="n">
        <v>11925.74</v>
      </c>
      <c r="G1064" s="6" t="n">
        <f aca="false">E1064+F1064</f>
        <v>2258343.86</v>
      </c>
      <c r="H1064" s="7" t="n">
        <f aca="false">IF(D1064=0,0,C1064/D1064)</f>
        <v>0.337520388816687</v>
      </c>
      <c r="I1064" s="7" t="n">
        <f aca="false">IF(D1064=0,0,B1064/D1064)</f>
        <v>0.662479611181666</v>
      </c>
      <c r="J1064" s="6" t="n">
        <f aca="false">E1064*H1064</f>
        <v>758211.917307252</v>
      </c>
      <c r="K1064" s="6" t="n">
        <f aca="false">E1064*I1064</f>
        <v>1488206.20268905</v>
      </c>
      <c r="L1064" s="6" t="n">
        <v>1133757.55</v>
      </c>
      <c r="M1064" s="6" t="n">
        <v>1112660.57</v>
      </c>
      <c r="N1064" s="6" t="n">
        <v>1704818</v>
      </c>
      <c r="O1064" s="6" t="n">
        <v>1900068</v>
      </c>
      <c r="P1064" s="7" t="n">
        <f aca="false">IF(O1064=0,"",(G1064-O1064)/O1064)</f>
        <v>0.188559493660227</v>
      </c>
      <c r="Q1064" s="5" t="s">
        <v>26</v>
      </c>
      <c r="R1064" s="5" t="s">
        <v>27</v>
      </c>
    </row>
    <row r="1065" customFormat="false" ht="15" hidden="false" customHeight="true" outlineLevel="0" collapsed="false">
      <c r="A1065" s="5" t="s">
        <v>1089</v>
      </c>
      <c r="B1065" s="6" t="n">
        <v>5167577550.92</v>
      </c>
      <c r="C1065" s="6" t="n">
        <v>1789154932.4</v>
      </c>
      <c r="D1065" s="6" t="n">
        <v>6956732483.33</v>
      </c>
      <c r="E1065" s="6" t="n">
        <v>2573991.02</v>
      </c>
      <c r="F1065" s="6" t="n">
        <v>11506.45</v>
      </c>
      <c r="G1065" s="6" t="n">
        <f aca="false">E1065+F1065</f>
        <v>2585497.47</v>
      </c>
      <c r="H1065" s="7" t="n">
        <f aca="false">IF(D1065=0,0,C1065/D1065)</f>
        <v>0.257183230300611</v>
      </c>
      <c r="I1065" s="7" t="n">
        <f aca="false">IF(D1065=0,0,B1065/D1065)</f>
        <v>0.742816769697952</v>
      </c>
      <c r="J1065" s="6" t="n">
        <f aca="false">E1065*H1065</f>
        <v>661987.325288364</v>
      </c>
      <c r="K1065" s="6" t="n">
        <f aca="false">E1065*I1065</f>
        <v>1912003.69470794</v>
      </c>
      <c r="L1065" s="6" t="n">
        <v>1053127.83</v>
      </c>
      <c r="M1065" s="6" t="n">
        <v>1520863.19</v>
      </c>
      <c r="N1065" s="6" t="n">
        <v>2034185</v>
      </c>
      <c r="O1065" s="6" t="n">
        <v>2277523</v>
      </c>
      <c r="P1065" s="7" t="n">
        <f aca="false">IF(O1065=0,"",(G1065-O1065)/O1065)</f>
        <v>0.135223429137708</v>
      </c>
      <c r="Q1065" s="5" t="s">
        <v>26</v>
      </c>
      <c r="R1065" s="5" t="s">
        <v>27</v>
      </c>
    </row>
    <row r="1066" customFormat="false" ht="15" hidden="false" customHeight="true" outlineLevel="0" collapsed="false">
      <c r="A1066" s="5" t="s">
        <v>1090</v>
      </c>
      <c r="B1066" s="6" t="n">
        <v>5816989369.25</v>
      </c>
      <c r="C1066" s="6" t="n">
        <v>2689503709.8</v>
      </c>
      <c r="D1066" s="6" t="n">
        <v>8506493079.05</v>
      </c>
      <c r="E1066" s="6" t="n">
        <v>3147402.44</v>
      </c>
      <c r="F1066" s="6" t="n">
        <v>13691.98</v>
      </c>
      <c r="G1066" s="6" t="n">
        <f aca="false">E1066+F1066</f>
        <v>3161094.42</v>
      </c>
      <c r="H1066" s="7" t="n">
        <f aca="false">IF(D1066=0,0,C1066/D1066)</f>
        <v>0.316170681008814</v>
      </c>
      <c r="I1066" s="7" t="n">
        <f aca="false">IF(D1066=0,0,B1066/D1066)</f>
        <v>0.683829318991186</v>
      </c>
      <c r="J1066" s="6" t="n">
        <f aca="false">E1066*H1066</f>
        <v>995116.372863602</v>
      </c>
      <c r="K1066" s="6" t="n">
        <f aca="false">E1066*I1066</f>
        <v>2152286.0671364</v>
      </c>
      <c r="L1066" s="6" t="n">
        <v>1512138.79</v>
      </c>
      <c r="M1066" s="6" t="n">
        <v>1635263.65</v>
      </c>
      <c r="N1066" s="6" t="n">
        <v>2577517</v>
      </c>
      <c r="O1066" s="6" t="n">
        <v>2899313</v>
      </c>
      <c r="P1066" s="7" t="n">
        <f aca="false">IF(O1066=0,"",(G1066-O1066)/O1066)</f>
        <v>0.0902908447621902</v>
      </c>
      <c r="Q1066" s="5" t="s">
        <v>26</v>
      </c>
      <c r="R1066" s="5" t="s">
        <v>27</v>
      </c>
    </row>
    <row r="1067" customFormat="false" ht="15" hidden="false" customHeight="true" outlineLevel="0" collapsed="false">
      <c r="A1067" s="5" t="s">
        <v>1091</v>
      </c>
      <c r="B1067" s="6" t="n">
        <v>2712772923.77</v>
      </c>
      <c r="C1067" s="6" t="n">
        <v>701433721.04</v>
      </c>
      <c r="D1067" s="6" t="n">
        <v>3414206644.8</v>
      </c>
      <c r="E1067" s="6" t="n">
        <v>1263256.46</v>
      </c>
      <c r="F1067" s="6" t="n">
        <v>7398.47</v>
      </c>
      <c r="G1067" s="6" t="n">
        <f aca="false">E1067+F1067</f>
        <v>1270654.93</v>
      </c>
      <c r="H1067" s="7" t="n">
        <f aca="false">IF(D1067=0,0,C1067/D1067)</f>
        <v>0.205445596595132</v>
      </c>
      <c r="I1067" s="7" t="n">
        <f aca="false">IF(D1067=0,0,B1067/D1067)</f>
        <v>0.794554403407797</v>
      </c>
      <c r="J1067" s="6" t="n">
        <f aca="false">E1067*H1067</f>
        <v>259530.477077355</v>
      </c>
      <c r="K1067" s="6" t="n">
        <f aca="false">E1067*I1067</f>
        <v>1003725.98292635</v>
      </c>
      <c r="L1067" s="6" t="n">
        <v>430596.75</v>
      </c>
      <c r="M1067" s="6" t="n">
        <v>832659.71</v>
      </c>
      <c r="N1067" s="6" t="n">
        <v>1140394</v>
      </c>
      <c r="O1067" s="6" t="n">
        <v>1303499</v>
      </c>
      <c r="P1067" s="7" t="n">
        <f aca="false">IF(O1067=0,"",(G1067-O1067)/O1067)</f>
        <v>-0.0251968509373617</v>
      </c>
      <c r="Q1067" s="5" t="s">
        <v>26</v>
      </c>
      <c r="R1067" s="5" t="s">
        <v>27</v>
      </c>
    </row>
    <row r="1068" customFormat="false" ht="15" hidden="false" customHeight="true" outlineLevel="0" collapsed="false">
      <c r="A1068" s="5" t="s">
        <v>1092</v>
      </c>
      <c r="B1068" s="6" t="n">
        <v>4234853702.08</v>
      </c>
      <c r="C1068" s="6" t="n">
        <v>1106759045.99</v>
      </c>
      <c r="D1068" s="6" t="n">
        <v>5341612748.07</v>
      </c>
      <c r="E1068" s="6" t="n">
        <v>1976396.72</v>
      </c>
      <c r="F1068" s="6" t="n">
        <v>10307.15</v>
      </c>
      <c r="G1068" s="6" t="n">
        <f aca="false">E1068+F1068</f>
        <v>1986703.87</v>
      </c>
      <c r="H1068" s="7" t="n">
        <f aca="false">IF(D1068=0,0,C1068/D1068)</f>
        <v>0.207195672578453</v>
      </c>
      <c r="I1068" s="7" t="n">
        <f aca="false">IF(D1068=0,0,B1068/D1068)</f>
        <v>0.792804327421548</v>
      </c>
      <c r="J1068" s="6" t="n">
        <f aca="false">E1068*H1068</f>
        <v>409500.847682248</v>
      </c>
      <c r="K1068" s="6" t="n">
        <f aca="false">E1068*I1068</f>
        <v>1566895.87231775</v>
      </c>
      <c r="L1068" s="6" t="n">
        <v>678433.26</v>
      </c>
      <c r="M1068" s="6" t="n">
        <v>1297963.46</v>
      </c>
      <c r="N1068" s="6" t="n">
        <v>1663136</v>
      </c>
      <c r="O1068" s="6" t="n">
        <v>1862433</v>
      </c>
      <c r="P1068" s="7" t="n">
        <f aca="false">IF(O1068=0,"",(G1068-O1068)/O1068)</f>
        <v>0.0667250150743677</v>
      </c>
      <c r="Q1068" s="5" t="s">
        <v>26</v>
      </c>
      <c r="R1068" s="5" t="s">
        <v>27</v>
      </c>
    </row>
    <row r="1069" customFormat="false" ht="15" hidden="false" customHeight="true" outlineLevel="0" collapsed="false">
      <c r="A1069" s="5" t="s">
        <v>1093</v>
      </c>
      <c r="B1069" s="6" t="n">
        <v>4058293784.07</v>
      </c>
      <c r="C1069" s="6" t="n">
        <v>2139681562.5</v>
      </c>
      <c r="D1069" s="6" t="n">
        <v>6197975346.57</v>
      </c>
      <c r="E1069" s="6" t="n">
        <v>2293250.88</v>
      </c>
      <c r="F1069" s="6" t="n">
        <v>9592.65</v>
      </c>
      <c r="G1069" s="6" t="n">
        <f aca="false">E1069+F1069</f>
        <v>2302843.53</v>
      </c>
      <c r="H1069" s="7" t="n">
        <f aca="false">IF(D1069=0,0,C1069/D1069)</f>
        <v>0.345222664314745</v>
      </c>
      <c r="I1069" s="7" t="n">
        <f aca="false">IF(D1069=0,0,B1069/D1069)</f>
        <v>0.654777335685255</v>
      </c>
      <c r="J1069" s="6" t="n">
        <f aca="false">E1069*H1069</f>
        <v>791682.178735734</v>
      </c>
      <c r="K1069" s="6" t="n">
        <f aca="false">E1069*I1069</f>
        <v>1501568.70126427</v>
      </c>
      <c r="L1069" s="6" t="n">
        <v>1177027.71</v>
      </c>
      <c r="M1069" s="6" t="n">
        <v>1116223.17</v>
      </c>
      <c r="N1069" s="6" t="n">
        <v>1726980</v>
      </c>
      <c r="O1069" s="6" t="n">
        <v>1933582</v>
      </c>
      <c r="P1069" s="7" t="n">
        <f aca="false">IF(O1069=0,"",(G1069-O1069)/O1069)</f>
        <v>0.190972780052772</v>
      </c>
      <c r="Q1069" s="5" t="s">
        <v>26</v>
      </c>
      <c r="R1069" s="5" t="s">
        <v>27</v>
      </c>
    </row>
    <row r="1070" customFormat="false" ht="15" hidden="false" customHeight="true" outlineLevel="0" collapsed="false">
      <c r="A1070" s="5" t="s">
        <v>1094</v>
      </c>
      <c r="B1070" s="6" t="n">
        <v>4994273036.25</v>
      </c>
      <c r="C1070" s="6" t="n">
        <v>2529122736.82</v>
      </c>
      <c r="D1070" s="6" t="n">
        <v>7523395773.07</v>
      </c>
      <c r="E1070" s="6" t="n">
        <v>2783656.44</v>
      </c>
      <c r="F1070" s="6" t="n">
        <v>12316.63</v>
      </c>
      <c r="G1070" s="6" t="n">
        <f aca="false">E1070+F1070</f>
        <v>2795973.07</v>
      </c>
      <c r="H1070" s="7" t="n">
        <f aca="false">IF(D1070=0,0,C1070/D1070)</f>
        <v>0.336167711111649</v>
      </c>
      <c r="I1070" s="7" t="n">
        <f aca="false">IF(D1070=0,0,B1070/D1070)</f>
        <v>0.663832288888351</v>
      </c>
      <c r="J1070" s="6" t="n">
        <f aca="false">E1070*H1070</f>
        <v>935775.413956003</v>
      </c>
      <c r="K1070" s="6" t="n">
        <f aca="false">E1070*I1070</f>
        <v>1847881.026044</v>
      </c>
      <c r="L1070" s="6" t="n">
        <v>1400685.56</v>
      </c>
      <c r="M1070" s="6" t="n">
        <v>1382970.87</v>
      </c>
      <c r="N1070" s="6" t="n">
        <v>2149816</v>
      </c>
      <c r="O1070" s="6" t="n">
        <v>2401919</v>
      </c>
      <c r="P1070" s="7" t="n">
        <f aca="false">IF(O1070=0,"",(G1070-O1070)/O1070)</f>
        <v>0.164058017776619</v>
      </c>
      <c r="Q1070" s="5" t="s">
        <v>26</v>
      </c>
      <c r="R1070" s="5" t="s">
        <v>27</v>
      </c>
    </row>
    <row r="1071" customFormat="false" ht="15" hidden="false" customHeight="true" outlineLevel="0" collapsed="false">
      <c r="A1071" s="5" t="s">
        <v>1095</v>
      </c>
      <c r="B1071" s="6" t="n">
        <v>4816091751.83</v>
      </c>
      <c r="C1071" s="6" t="n">
        <v>1824132531.39</v>
      </c>
      <c r="D1071" s="6" t="n">
        <v>6640224283.22</v>
      </c>
      <c r="E1071" s="6" t="n">
        <v>2456882.98</v>
      </c>
      <c r="F1071" s="6" t="n">
        <v>9676.89</v>
      </c>
      <c r="G1071" s="6" t="n">
        <f aca="false">E1071+F1071</f>
        <v>2466559.87</v>
      </c>
      <c r="H1071" s="7" t="n">
        <f aca="false">IF(D1071=0,0,C1071/D1071)</f>
        <v>0.274709475702444</v>
      </c>
      <c r="I1071" s="7" t="n">
        <f aca="false">IF(D1071=0,0,B1071/D1071)</f>
        <v>0.725290524297557</v>
      </c>
      <c r="J1071" s="6" t="n">
        <f aca="false">E1071*H1071</f>
        <v>674929.035298057</v>
      </c>
      <c r="K1071" s="6" t="n">
        <f aca="false">E1071*I1071</f>
        <v>1781953.94470194</v>
      </c>
      <c r="L1071" s="6" t="n">
        <v>1058953.51</v>
      </c>
      <c r="M1071" s="6" t="n">
        <v>1397929.48</v>
      </c>
      <c r="N1071" s="6" t="n">
        <v>2019150</v>
      </c>
      <c r="O1071" s="6" t="n">
        <v>2249969</v>
      </c>
      <c r="P1071" s="7" t="n">
        <f aca="false">IF(O1071=0,"",(G1071-O1071)/O1071)</f>
        <v>0.096263935191996</v>
      </c>
      <c r="Q1071" s="5" t="s">
        <v>26</v>
      </c>
      <c r="R1071" s="5" t="s">
        <v>27</v>
      </c>
    </row>
    <row r="1072" customFormat="false" ht="15" hidden="false" customHeight="true" outlineLevel="0" collapsed="false">
      <c r="A1072" s="5" t="s">
        <v>1096</v>
      </c>
      <c r="B1072" s="6" t="n">
        <v>4963968243.62</v>
      </c>
      <c r="C1072" s="6" t="n">
        <v>2700249742.87</v>
      </c>
      <c r="D1072" s="6" t="n">
        <v>7664217986.49</v>
      </c>
      <c r="E1072" s="6" t="n">
        <v>2835760.66</v>
      </c>
      <c r="F1072" s="6" t="n">
        <v>10899</v>
      </c>
      <c r="G1072" s="6" t="n">
        <f aca="false">E1072+F1072</f>
        <v>2846659.66</v>
      </c>
      <c r="H1072" s="7" t="n">
        <f aca="false">IF(D1072=0,0,C1072/D1072)</f>
        <v>0.352319016451493</v>
      </c>
      <c r="I1072" s="7" t="n">
        <f aca="false">IF(D1072=0,0,B1072/D1072)</f>
        <v>0.647680983548507</v>
      </c>
      <c r="J1072" s="6" t="n">
        <f aca="false">E1072*H1072</f>
        <v>999092.406623037</v>
      </c>
      <c r="K1072" s="6" t="n">
        <f aca="false">E1072*I1072</f>
        <v>1836668.25337696</v>
      </c>
      <c r="L1072" s="6" t="n">
        <v>1477598.69</v>
      </c>
      <c r="M1072" s="6" t="n">
        <v>1358161.96</v>
      </c>
      <c r="N1072" s="6" t="n">
        <v>2048740</v>
      </c>
      <c r="O1072" s="6" t="n">
        <v>2266377</v>
      </c>
      <c r="P1072" s="7" t="n">
        <f aca="false">IF(O1072=0,"",(G1072-O1072)/O1072)</f>
        <v>0.256039776259643</v>
      </c>
      <c r="Q1072" s="5" t="s">
        <v>26</v>
      </c>
      <c r="R1072" s="5" t="s">
        <v>27</v>
      </c>
    </row>
    <row r="1073" customFormat="false" ht="15" hidden="false" customHeight="true" outlineLevel="0" collapsed="false">
      <c r="A1073" s="5" t="s">
        <v>1097</v>
      </c>
      <c r="B1073" s="6" t="n">
        <v>3300662588.13</v>
      </c>
      <c r="C1073" s="6" t="n">
        <v>2242972827.58</v>
      </c>
      <c r="D1073" s="6" t="n">
        <v>5543635415.71</v>
      </c>
      <c r="E1073" s="6" t="n">
        <v>2051145.1</v>
      </c>
      <c r="F1073" s="6" t="n">
        <v>4071.42</v>
      </c>
      <c r="G1073" s="6" t="n">
        <f aca="false">E1073+F1073</f>
        <v>2055216.52</v>
      </c>
      <c r="H1073" s="7" t="n">
        <f aca="false">IF(D1073=0,0,C1073/D1073)</f>
        <v>0.404603235851998</v>
      </c>
      <c r="I1073" s="7" t="n">
        <f aca="false">IF(D1073=0,0,B1073/D1073)</f>
        <v>0.595396764148002</v>
      </c>
      <c r="J1073" s="6" t="n">
        <f aca="false">E1073*H1073</f>
        <v>829899.944661969</v>
      </c>
      <c r="K1073" s="6" t="n">
        <f aca="false">E1073*I1073</f>
        <v>1221245.15533803</v>
      </c>
      <c r="L1073" s="6" t="n">
        <v>1181685.94</v>
      </c>
      <c r="M1073" s="6" t="n">
        <v>869459.17</v>
      </c>
      <c r="N1073" s="6" t="n">
        <v>1409675</v>
      </c>
      <c r="O1073" s="6" t="n">
        <v>1601258</v>
      </c>
      <c r="P1073" s="7" t="n">
        <f aca="false">IF(O1073=0,"",(G1073-O1073)/O1073)</f>
        <v>0.283501172203355</v>
      </c>
      <c r="Q1073" s="5" t="s">
        <v>26</v>
      </c>
      <c r="R1073" s="5" t="s">
        <v>27</v>
      </c>
    </row>
    <row r="1074" customFormat="false" ht="15" hidden="false" customHeight="true" outlineLevel="0" collapsed="false">
      <c r="A1074" s="5" t="s">
        <v>1098</v>
      </c>
      <c r="B1074" s="6" t="n">
        <v>1383524813.59</v>
      </c>
      <c r="C1074" s="6" t="n">
        <v>316992190.48</v>
      </c>
      <c r="D1074" s="6" t="n">
        <v>1700517004.07</v>
      </c>
      <c r="E1074" s="6" t="n">
        <v>629191.29</v>
      </c>
      <c r="F1074" s="6" t="n">
        <v>2995.9</v>
      </c>
      <c r="G1074" s="6" t="n">
        <f aca="false">E1074+F1074</f>
        <v>632187.19</v>
      </c>
      <c r="H1074" s="7" t="n">
        <f aca="false">IF(D1074=0,0,C1074/D1074)</f>
        <v>0.186409303594915</v>
      </c>
      <c r="I1074" s="7" t="n">
        <f aca="false">IF(D1074=0,0,B1074/D1074)</f>
        <v>0.813590696405085</v>
      </c>
      <c r="J1074" s="6" t="n">
        <f aca="false">E1074*H1074</f>
        <v>117287.110196886</v>
      </c>
      <c r="K1074" s="6" t="n">
        <f aca="false">E1074*I1074</f>
        <v>511904.179803114</v>
      </c>
      <c r="L1074" s="6" t="n">
        <v>197717.79</v>
      </c>
      <c r="M1074" s="6" t="n">
        <v>431473.51</v>
      </c>
      <c r="N1074" s="6" t="n">
        <v>565981</v>
      </c>
      <c r="O1074" s="6" t="n">
        <v>651612</v>
      </c>
      <c r="P1074" s="7" t="n">
        <f aca="false">IF(O1074=0,"",(G1074-O1074)/O1074)</f>
        <v>-0.0298103933015352</v>
      </c>
      <c r="Q1074" s="5" t="s">
        <v>26</v>
      </c>
      <c r="R1074" s="5" t="s">
        <v>27</v>
      </c>
    </row>
    <row r="1075" customFormat="false" ht="15" hidden="false" customHeight="true" outlineLevel="0" collapsed="false">
      <c r="A1075" s="5" t="s">
        <v>1099</v>
      </c>
      <c r="B1075" s="6" t="n">
        <v>2132404227.89</v>
      </c>
      <c r="C1075" s="6" t="n">
        <v>557229313.71</v>
      </c>
      <c r="D1075" s="6" t="n">
        <v>2689633541.61</v>
      </c>
      <c r="E1075" s="6" t="n">
        <v>995164.41</v>
      </c>
      <c r="F1075" s="6" t="n">
        <v>3736.51</v>
      </c>
      <c r="G1075" s="6" t="n">
        <f aca="false">E1075+F1075</f>
        <v>998900.92</v>
      </c>
      <c r="H1075" s="7" t="n">
        <f aca="false">IF(D1075=0,0,C1075/D1075)</f>
        <v>0.20717666741189</v>
      </c>
      <c r="I1075" s="7" t="n">
        <f aca="false">IF(D1075=0,0,B1075/D1075)</f>
        <v>0.792823332584392</v>
      </c>
      <c r="J1075" s="6" t="n">
        <f aca="false">E1075*H1075</f>
        <v>206174.84599072</v>
      </c>
      <c r="K1075" s="6" t="n">
        <f aca="false">E1075*I1075</f>
        <v>788989.56400558</v>
      </c>
      <c r="L1075" s="6" t="n">
        <v>341581.89</v>
      </c>
      <c r="M1075" s="6" t="n">
        <v>653582.52</v>
      </c>
      <c r="N1075" s="6" t="n">
        <v>879370</v>
      </c>
      <c r="O1075" s="6" t="n">
        <v>991685</v>
      </c>
      <c r="P1075" s="7" t="n">
        <f aca="false">IF(O1075=0,"",(G1075-O1075)/O1075)</f>
        <v>0.00727642346107891</v>
      </c>
      <c r="Q1075" s="5" t="s">
        <v>26</v>
      </c>
      <c r="R1075" s="5" t="s">
        <v>27</v>
      </c>
    </row>
    <row r="1076" customFormat="false" ht="15" hidden="false" customHeight="true" outlineLevel="0" collapsed="false">
      <c r="A1076" s="5" t="s">
        <v>1100</v>
      </c>
      <c r="B1076" s="6" t="n">
        <v>4064087617.71</v>
      </c>
      <c r="C1076" s="6" t="n">
        <v>1708185313.89</v>
      </c>
      <c r="D1076" s="6" t="n">
        <v>5772272931.6</v>
      </c>
      <c r="E1076" s="6" t="n">
        <v>2135740.98</v>
      </c>
      <c r="F1076" s="6" t="n">
        <v>8645.06</v>
      </c>
      <c r="G1076" s="6" t="n">
        <f aca="false">E1076+F1076</f>
        <v>2144386.04</v>
      </c>
      <c r="H1076" s="7" t="n">
        <f aca="false">IF(D1076=0,0,C1076/D1076)</f>
        <v>0.295929408420491</v>
      </c>
      <c r="I1076" s="7" t="n">
        <f aca="false">IF(D1076=0,0,B1076/D1076)</f>
        <v>0.704070591579509</v>
      </c>
      <c r="J1076" s="6" t="n">
        <f aca="false">E1076*H1076</f>
        <v>632028.564750799</v>
      </c>
      <c r="K1076" s="6" t="n">
        <f aca="false">E1076*I1076</f>
        <v>1503712.4152492</v>
      </c>
      <c r="L1076" s="6" t="n">
        <v>975405.85</v>
      </c>
      <c r="M1076" s="6" t="n">
        <v>1160335.13</v>
      </c>
      <c r="N1076" s="6" t="n">
        <v>1645040</v>
      </c>
      <c r="O1076" s="6" t="n">
        <v>1847844</v>
      </c>
      <c r="P1076" s="7" t="n">
        <f aca="false">IF(O1076=0,"",(G1076-O1076)/O1076)</f>
        <v>0.160480018876052</v>
      </c>
      <c r="Q1076" s="5" t="s">
        <v>26</v>
      </c>
      <c r="R1076" s="5" t="s">
        <v>27</v>
      </c>
    </row>
    <row r="1077" customFormat="false" ht="15" hidden="false" customHeight="true" outlineLevel="0" collapsed="false">
      <c r="A1077" s="5" t="s">
        <v>1101</v>
      </c>
      <c r="B1077" s="6" t="n">
        <v>3424089671.57</v>
      </c>
      <c r="C1077" s="6" t="n">
        <v>2420831169.74</v>
      </c>
      <c r="D1077" s="6" t="n">
        <v>5844920841.31</v>
      </c>
      <c r="E1077" s="6" t="n">
        <v>2162620.71</v>
      </c>
      <c r="F1077" s="6" t="n">
        <v>6832.15</v>
      </c>
      <c r="G1077" s="6" t="n">
        <f aca="false">E1077+F1077</f>
        <v>2169452.86</v>
      </c>
      <c r="H1077" s="7" t="n">
        <f aca="false">IF(D1077=0,0,C1077/D1077)</f>
        <v>0.414176895712659</v>
      </c>
      <c r="I1077" s="7" t="n">
        <f aca="false">IF(D1077=0,0,B1077/D1077)</f>
        <v>0.585823104287341</v>
      </c>
      <c r="J1077" s="6" t="n">
        <f aca="false">E1077*H1077</f>
        <v>895707.532271707</v>
      </c>
      <c r="K1077" s="6" t="n">
        <f aca="false">E1077*I1077</f>
        <v>1266913.17772829</v>
      </c>
      <c r="L1077" s="6" t="n">
        <v>1266754.58</v>
      </c>
      <c r="M1077" s="6" t="n">
        <v>895866.13</v>
      </c>
      <c r="N1077" s="6" t="n">
        <v>1550538</v>
      </c>
      <c r="O1077" s="6" t="n">
        <v>1727559</v>
      </c>
      <c r="P1077" s="7" t="n">
        <f aca="false">IF(O1077=0,"",(G1077-O1077)/O1077)</f>
        <v>0.255790893393511</v>
      </c>
      <c r="Q1077" s="5" t="s">
        <v>26</v>
      </c>
      <c r="R1077" s="5" t="s">
        <v>27</v>
      </c>
    </row>
    <row r="1078" customFormat="false" ht="15" hidden="false" customHeight="true" outlineLevel="0" collapsed="false">
      <c r="A1078" s="5" t="s">
        <v>1102</v>
      </c>
      <c r="B1078" s="6" t="n">
        <v>4854199470.97</v>
      </c>
      <c r="C1078" s="6" t="n">
        <v>2933014955.94</v>
      </c>
      <c r="D1078" s="6" t="n">
        <v>7787214426.92</v>
      </c>
      <c r="E1078" s="6" t="n">
        <v>2881269.34</v>
      </c>
      <c r="F1078" s="6" t="n">
        <v>7191.41</v>
      </c>
      <c r="G1078" s="6" t="n">
        <f aca="false">E1078+F1078</f>
        <v>2888460.75</v>
      </c>
      <c r="H1078" s="7" t="n">
        <f aca="false">IF(D1078=0,0,C1078/D1078)</f>
        <v>0.376644945823081</v>
      </c>
      <c r="I1078" s="7" t="n">
        <f aca="false">IF(D1078=0,0,B1078/D1078)</f>
        <v>0.623355054175635</v>
      </c>
      <c r="J1078" s="6" t="n">
        <f aca="false">E1078*H1078</f>
        <v>1085215.53446601</v>
      </c>
      <c r="K1078" s="6" t="n">
        <f aca="false">E1078*I1078</f>
        <v>1796053.8055303</v>
      </c>
      <c r="L1078" s="6" t="n">
        <v>1576609.19</v>
      </c>
      <c r="M1078" s="6" t="n">
        <v>1304660.15</v>
      </c>
      <c r="N1078" s="6" t="n">
        <v>2071804</v>
      </c>
      <c r="O1078" s="6" t="n">
        <v>2319226</v>
      </c>
      <c r="P1078" s="7" t="n">
        <f aca="false">IF(O1078=0,"",(G1078-O1078)/O1078)</f>
        <v>0.245441690460524</v>
      </c>
      <c r="Q1078" s="5" t="s">
        <v>26</v>
      </c>
      <c r="R1078" s="5" t="s">
        <v>27</v>
      </c>
    </row>
    <row r="1079" customFormat="false" ht="15" hidden="false" customHeight="true" outlineLevel="0" collapsed="false">
      <c r="A1079" s="5" t="s">
        <v>1103</v>
      </c>
      <c r="B1079" s="6" t="n">
        <v>3653523406.19</v>
      </c>
      <c r="C1079" s="6" t="n">
        <v>2856832342.69</v>
      </c>
      <c r="D1079" s="6" t="n">
        <v>6510355748.88</v>
      </c>
      <c r="E1079" s="6" t="n">
        <v>2408831.63</v>
      </c>
      <c r="F1079" s="6" t="n">
        <v>4250.41</v>
      </c>
      <c r="G1079" s="6" t="n">
        <f aca="false">E1079+F1079</f>
        <v>2413082.04</v>
      </c>
      <c r="H1079" s="7" t="n">
        <f aca="false">IF(D1079=0,0,C1079/D1079)</f>
        <v>0.438813553803334</v>
      </c>
      <c r="I1079" s="7" t="n">
        <f aca="false">IF(D1079=0,0,B1079/D1079)</f>
        <v>0.561186446196666</v>
      </c>
      <c r="J1079" s="6" t="n">
        <f aca="false">E1079*H1079</f>
        <v>1057027.96807418</v>
      </c>
      <c r="K1079" s="6" t="n">
        <f aca="false">E1079*I1079</f>
        <v>1351803.66192582</v>
      </c>
      <c r="L1079" s="6" t="n">
        <v>1469304.99</v>
      </c>
      <c r="M1079" s="6" t="n">
        <v>939526.64</v>
      </c>
      <c r="N1079" s="6" t="n">
        <v>1637170</v>
      </c>
      <c r="O1079" s="6" t="n">
        <v>1886544</v>
      </c>
      <c r="P1079" s="7" t="n">
        <f aca="false">IF(O1079=0,"",(G1079-O1079)/O1079)</f>
        <v>0.279101913339949</v>
      </c>
      <c r="Q1079" s="5" t="s">
        <v>26</v>
      </c>
      <c r="R1079" s="5" t="s">
        <v>27</v>
      </c>
    </row>
    <row r="1080" customFormat="false" ht="15" hidden="false" customHeight="true" outlineLevel="0" collapsed="false">
      <c r="A1080" s="5" t="s">
        <v>1104</v>
      </c>
      <c r="B1080" s="6" t="n">
        <v>3909311276.87</v>
      </c>
      <c r="C1080" s="6" t="n">
        <v>2322920331</v>
      </c>
      <c r="D1080" s="6" t="n">
        <v>6232231607.87</v>
      </c>
      <c r="E1080" s="6" t="n">
        <v>2305925.69</v>
      </c>
      <c r="F1080" s="6" t="n">
        <v>4750.68</v>
      </c>
      <c r="G1080" s="6" t="n">
        <f aca="false">E1080+F1080</f>
        <v>2310676.37</v>
      </c>
      <c r="H1080" s="7" t="n">
        <f aca="false">IF(D1080=0,0,C1080/D1080)</f>
        <v>0.372726894178105</v>
      </c>
      <c r="I1080" s="7" t="n">
        <f aca="false">IF(D1080=0,0,B1080/D1080)</f>
        <v>0.627273105821895</v>
      </c>
      <c r="J1080" s="6" t="n">
        <f aca="false">E1080*H1080</f>
        <v>859480.520639203</v>
      </c>
      <c r="K1080" s="6" t="n">
        <f aca="false">E1080*I1080</f>
        <v>1446445.1693608</v>
      </c>
      <c r="L1080" s="6" t="n">
        <v>1252223.62</v>
      </c>
      <c r="M1080" s="6" t="n">
        <v>1053702.07</v>
      </c>
      <c r="N1080" s="6" t="n">
        <v>1637877</v>
      </c>
      <c r="O1080" s="6" t="n">
        <v>1836583</v>
      </c>
      <c r="P1080" s="7" t="n">
        <f aca="false">IF(O1080=0,"",(G1080-O1080)/O1080)</f>
        <v>0.258138820842837</v>
      </c>
      <c r="Q1080" s="5" t="s">
        <v>26</v>
      </c>
      <c r="R1080" s="5" t="s">
        <v>27</v>
      </c>
    </row>
    <row r="1081" customFormat="false" ht="15" hidden="false" customHeight="true" outlineLevel="0" collapsed="false">
      <c r="A1081" s="5" t="s">
        <v>1105</v>
      </c>
      <c r="B1081" s="6" t="n">
        <v>1733079087.07</v>
      </c>
      <c r="C1081" s="6" t="n">
        <v>229825622.77</v>
      </c>
      <c r="D1081" s="6" t="n">
        <v>1962904709.84</v>
      </c>
      <c r="E1081" s="6" t="n">
        <v>726274.74</v>
      </c>
      <c r="F1081" s="6" t="n">
        <v>2909.67</v>
      </c>
      <c r="G1081" s="6" t="n">
        <f aca="false">E1081+F1081</f>
        <v>729184.41</v>
      </c>
      <c r="H1081" s="7" t="n">
        <f aca="false">IF(D1081=0,0,C1081/D1081)</f>
        <v>0.117084452249714</v>
      </c>
      <c r="I1081" s="7" t="n">
        <f aca="false">IF(D1081=0,0,B1081/D1081)</f>
        <v>0.882915547750286</v>
      </c>
      <c r="J1081" s="6" t="n">
        <f aca="false">E1081*H1081</f>
        <v>85035.4801157034</v>
      </c>
      <c r="K1081" s="6" t="n">
        <f aca="false">E1081*I1081</f>
        <v>641239.259884297</v>
      </c>
      <c r="L1081" s="6" t="n">
        <v>152245.39</v>
      </c>
      <c r="M1081" s="6" t="n">
        <v>574029.35</v>
      </c>
      <c r="N1081" s="6" t="n">
        <v>659798</v>
      </c>
      <c r="O1081" s="6" t="n">
        <v>745564</v>
      </c>
      <c r="P1081" s="7" t="n">
        <f aca="false">IF(O1081=0,"",(G1081-O1081)/O1081)</f>
        <v>-0.0219693949815173</v>
      </c>
      <c r="Q1081" s="5" t="s">
        <v>26</v>
      </c>
      <c r="R1081" s="5" t="s">
        <v>27</v>
      </c>
    </row>
    <row r="1082" customFormat="false" ht="15" hidden="false" customHeight="true" outlineLevel="0" collapsed="false">
      <c r="A1082" s="5" t="s">
        <v>1106</v>
      </c>
      <c r="B1082" s="6" t="n">
        <v>2296714073.61</v>
      </c>
      <c r="C1082" s="6" t="n">
        <v>691033738.73</v>
      </c>
      <c r="D1082" s="6" t="n">
        <v>2987747812.34</v>
      </c>
      <c r="E1082" s="6" t="n">
        <v>1105466.69</v>
      </c>
      <c r="F1082" s="6" t="n">
        <v>2692.14</v>
      </c>
      <c r="G1082" s="6" t="n">
        <f aca="false">E1082+F1082</f>
        <v>1108158.83</v>
      </c>
      <c r="H1082" s="7" t="n">
        <f aca="false">IF(D1082=0,0,C1082/D1082)</f>
        <v>0.231289179051823</v>
      </c>
      <c r="I1082" s="7" t="n">
        <f aca="false">IF(D1082=0,0,B1082/D1082)</f>
        <v>0.768710820948177</v>
      </c>
      <c r="J1082" s="6" t="n">
        <f aca="false">E1082*H1082</f>
        <v>255682.483199237</v>
      </c>
      <c r="K1082" s="6" t="n">
        <f aca="false">E1082*I1082</f>
        <v>849784.206800763</v>
      </c>
      <c r="L1082" s="6" t="n">
        <v>415308.58</v>
      </c>
      <c r="M1082" s="6" t="n">
        <v>690158.11</v>
      </c>
      <c r="N1082" s="6" t="n">
        <v>939803</v>
      </c>
      <c r="O1082" s="6" t="n">
        <v>1083356</v>
      </c>
      <c r="P1082" s="7" t="n">
        <f aca="false">IF(O1082=0,"",(G1082-O1082)/O1082)</f>
        <v>0.0228944409778502</v>
      </c>
      <c r="Q1082" s="5" t="s">
        <v>26</v>
      </c>
      <c r="R1082" s="5" t="s">
        <v>27</v>
      </c>
    </row>
    <row r="1083" customFormat="false" ht="15" hidden="false" customHeight="true" outlineLevel="0" collapsed="false">
      <c r="A1083" s="5" t="s">
        <v>1107</v>
      </c>
      <c r="B1083" s="6" t="n">
        <v>5976535140.12</v>
      </c>
      <c r="C1083" s="6" t="n">
        <v>3308564622.22</v>
      </c>
      <c r="D1083" s="6" t="n">
        <v>9285099762.34</v>
      </c>
      <c r="E1083" s="6" t="n">
        <v>3435486.91</v>
      </c>
      <c r="F1083" s="6" t="n">
        <v>8030.18</v>
      </c>
      <c r="G1083" s="6" t="n">
        <f aca="false">E1083+F1083</f>
        <v>3443517.09</v>
      </c>
      <c r="H1083" s="7" t="n">
        <f aca="false">IF(D1083=0,0,C1083/D1083)</f>
        <v>0.356330541071773</v>
      </c>
      <c r="I1083" s="7" t="n">
        <f aca="false">IF(D1083=0,0,B1083/D1083)</f>
        <v>0.643669458928227</v>
      </c>
      <c r="J1083" s="6" t="n">
        <f aca="false">E1083*H1083</f>
        <v>1224168.90948529</v>
      </c>
      <c r="K1083" s="6" t="n">
        <f aca="false">E1083*I1083</f>
        <v>2211318.00051471</v>
      </c>
      <c r="L1083" s="6" t="n">
        <v>1805118.85</v>
      </c>
      <c r="M1083" s="6" t="n">
        <v>1630368.07</v>
      </c>
      <c r="N1083" s="6" t="n">
        <v>2526847</v>
      </c>
      <c r="O1083" s="6" t="n">
        <v>2832285</v>
      </c>
      <c r="P1083" s="7" t="n">
        <f aca="false">IF(O1083=0,"",(G1083-O1083)/O1083)</f>
        <v>0.215808822205393</v>
      </c>
      <c r="Q1083" s="5" t="s">
        <v>26</v>
      </c>
      <c r="R1083" s="5" t="s">
        <v>27</v>
      </c>
    </row>
    <row r="1084" customFormat="false" ht="15" hidden="false" customHeight="true" outlineLevel="0" collapsed="false">
      <c r="A1084" s="5" t="s">
        <v>1108</v>
      </c>
      <c r="B1084" s="6" t="n">
        <v>4949133444.15</v>
      </c>
      <c r="C1084" s="6" t="n">
        <v>2356667754.2</v>
      </c>
      <c r="D1084" s="6" t="n">
        <v>7305801198.35</v>
      </c>
      <c r="E1084" s="6" t="n">
        <v>2703146.44</v>
      </c>
      <c r="F1084" s="6" t="n">
        <v>7300.79</v>
      </c>
      <c r="G1084" s="6" t="n">
        <f aca="false">E1084+F1084</f>
        <v>2710447.23</v>
      </c>
      <c r="H1084" s="7" t="n">
        <f aca="false">IF(D1084=0,0,C1084/D1084)</f>
        <v>0.322574853902711</v>
      </c>
      <c r="I1084" s="7" t="n">
        <f aca="false">IF(D1084=0,0,B1084/D1084)</f>
        <v>0.677425146097289</v>
      </c>
      <c r="J1084" s="6" t="n">
        <f aca="false">E1084*H1084</f>
        <v>871967.067960633</v>
      </c>
      <c r="K1084" s="6" t="n">
        <f aca="false">E1084*I1084</f>
        <v>1831179.37203937</v>
      </c>
      <c r="L1084" s="6" t="n">
        <v>1318590.12</v>
      </c>
      <c r="M1084" s="6" t="n">
        <v>1384556.32</v>
      </c>
      <c r="N1084" s="6" t="n">
        <v>2106344</v>
      </c>
      <c r="O1084" s="6" t="n">
        <v>2348144</v>
      </c>
      <c r="P1084" s="7" t="n">
        <f aca="false">IF(O1084=0,"",(G1084-O1084)/O1084)</f>
        <v>0.15429344622817</v>
      </c>
      <c r="Q1084" s="5" t="s">
        <v>26</v>
      </c>
      <c r="R1084" s="5" t="s">
        <v>27</v>
      </c>
    </row>
    <row r="1085" customFormat="false" ht="15" hidden="false" customHeight="true" outlineLevel="0" collapsed="false">
      <c r="A1085" s="5" t="s">
        <v>1109</v>
      </c>
      <c r="B1085" s="6" t="n">
        <v>5981705992.92</v>
      </c>
      <c r="C1085" s="6" t="n">
        <v>3587951764.2</v>
      </c>
      <c r="D1085" s="6" t="n">
        <v>9569657757.13</v>
      </c>
      <c r="E1085" s="6" t="n">
        <v>3540773.37</v>
      </c>
      <c r="F1085" s="6" t="n">
        <v>7627.45</v>
      </c>
      <c r="G1085" s="6" t="n">
        <f aca="false">E1085+F1085</f>
        <v>3548400.82</v>
      </c>
      <c r="H1085" s="7" t="n">
        <f aca="false">IF(D1085=0,0,C1085/D1085)</f>
        <v>0.374929998047919</v>
      </c>
      <c r="I1085" s="7" t="n">
        <f aca="false">IF(D1085=0,0,B1085/D1085)</f>
        <v>0.625070001951037</v>
      </c>
      <c r="J1085" s="6" t="n">
        <f aca="false">E1085*H1085</f>
        <v>1327542.15270222</v>
      </c>
      <c r="K1085" s="6" t="n">
        <f aca="false">E1085*I1085</f>
        <v>2213231.21729408</v>
      </c>
      <c r="L1085" s="6" t="n">
        <v>1931068.72</v>
      </c>
      <c r="M1085" s="6" t="n">
        <v>1609704.65</v>
      </c>
      <c r="N1085" s="6" t="n">
        <v>2552179</v>
      </c>
      <c r="O1085" s="6" t="n">
        <v>2818775</v>
      </c>
      <c r="P1085" s="7" t="n">
        <f aca="false">IF(O1085=0,"",(G1085-O1085)/O1085)</f>
        <v>0.258845001818166</v>
      </c>
      <c r="Q1085" s="5" t="s">
        <v>26</v>
      </c>
      <c r="R1085" s="5" t="s">
        <v>27</v>
      </c>
    </row>
    <row r="1086" customFormat="false" ht="15" hidden="false" customHeight="true" outlineLevel="0" collapsed="false">
      <c r="A1086" s="5" t="s">
        <v>1110</v>
      </c>
      <c r="B1086" s="6" t="n">
        <v>5002311688.75</v>
      </c>
      <c r="C1086" s="6" t="n">
        <v>3663773293.76</v>
      </c>
      <c r="D1086" s="6" t="n">
        <v>8666084982.52</v>
      </c>
      <c r="E1086" s="6" t="n">
        <v>3206451.44</v>
      </c>
      <c r="F1086" s="6" t="n">
        <v>6024.38</v>
      </c>
      <c r="G1086" s="6" t="n">
        <f aca="false">E1086+F1086</f>
        <v>3212475.82</v>
      </c>
      <c r="H1086" s="7" t="n">
        <f aca="false">IF(D1086=0,0,C1086/D1086)</f>
        <v>0.422771447677936</v>
      </c>
      <c r="I1086" s="7" t="n">
        <f aca="false">IF(D1086=0,0,B1086/D1086)</f>
        <v>0.57722855232091</v>
      </c>
      <c r="J1086" s="6" t="n">
        <f aca="false">E1086*H1086</f>
        <v>1355596.1171978</v>
      </c>
      <c r="K1086" s="6" t="n">
        <f aca="false">E1086*I1086</f>
        <v>1850855.3227985</v>
      </c>
      <c r="L1086" s="6" t="n">
        <v>1905571.16</v>
      </c>
      <c r="M1086" s="6" t="n">
        <v>1300880.28</v>
      </c>
      <c r="N1086" s="6" t="n">
        <v>2075930</v>
      </c>
      <c r="O1086" s="6" t="n">
        <v>2308806</v>
      </c>
      <c r="P1086" s="7" t="n">
        <f aca="false">IF(O1086=0,"",(G1086-O1086)/O1086)</f>
        <v>0.391401365034568</v>
      </c>
      <c r="Q1086" s="5" t="s">
        <v>26</v>
      </c>
      <c r="R1086" s="5" t="s">
        <v>27</v>
      </c>
    </row>
    <row r="1087" customFormat="false" ht="15" hidden="false" customHeight="true" outlineLevel="0" collapsed="false">
      <c r="A1087" s="5" t="s">
        <v>1111</v>
      </c>
      <c r="B1087" s="6" t="n">
        <v>4312624504.25</v>
      </c>
      <c r="C1087" s="6" t="n">
        <v>2406272803.17</v>
      </c>
      <c r="D1087" s="6" t="n">
        <v>6718897307.43</v>
      </c>
      <c r="E1087" s="6" t="n">
        <v>2485992</v>
      </c>
      <c r="F1087" s="6" t="n">
        <v>5095.47</v>
      </c>
      <c r="G1087" s="6" t="n">
        <f aca="false">E1087+F1087</f>
        <v>2491087.47</v>
      </c>
      <c r="H1087" s="7" t="n">
        <f aca="false">IF(D1087=0,0,C1087/D1087)</f>
        <v>0.358135076794381</v>
      </c>
      <c r="I1087" s="7" t="n">
        <f aca="false">IF(D1087=0,0,B1087/D1087)</f>
        <v>0.641864923204131</v>
      </c>
      <c r="J1087" s="6" t="n">
        <f aca="false">E1087*H1087</f>
        <v>890320.935830216</v>
      </c>
      <c r="K1087" s="6" t="n">
        <f aca="false">E1087*I1087</f>
        <v>1595671.06416608</v>
      </c>
      <c r="L1087" s="6" t="n">
        <v>1311093.35</v>
      </c>
      <c r="M1087" s="6" t="n">
        <v>1174898.65</v>
      </c>
      <c r="N1087" s="6" t="n">
        <v>1745656</v>
      </c>
      <c r="O1087" s="6" t="n">
        <v>1948627</v>
      </c>
      <c r="P1087" s="7" t="n">
        <f aca="false">IF(O1087=0,"",(G1087-O1087)/O1087)</f>
        <v>0.278380865091164</v>
      </c>
      <c r="Q1087" s="5" t="s">
        <v>26</v>
      </c>
      <c r="R1087" s="5" t="s">
        <v>27</v>
      </c>
    </row>
    <row r="1088" customFormat="false" ht="15" hidden="false" customHeight="true" outlineLevel="0" collapsed="false">
      <c r="A1088" s="5" t="s">
        <v>1112</v>
      </c>
      <c r="B1088" s="6" t="n">
        <v>2588102509.49</v>
      </c>
      <c r="C1088" s="6" t="n">
        <v>310968363.08</v>
      </c>
      <c r="D1088" s="6" t="n">
        <v>2899070872.57</v>
      </c>
      <c r="E1088" s="6" t="n">
        <v>1072656.22</v>
      </c>
      <c r="F1088" s="6" t="n">
        <v>6175.43</v>
      </c>
      <c r="G1088" s="6" t="n">
        <f aca="false">E1088+F1088</f>
        <v>1078831.65</v>
      </c>
      <c r="H1088" s="7" t="n">
        <f aca="false">IF(D1088=0,0,C1088/D1088)</f>
        <v>0.107264836476498</v>
      </c>
      <c r="I1088" s="7" t="n">
        <f aca="false">IF(D1088=0,0,B1088/D1088)</f>
        <v>0.892735163523502</v>
      </c>
      <c r="J1088" s="6" t="n">
        <f aca="false">E1088*H1088</f>
        <v>115058.294033799</v>
      </c>
      <c r="K1088" s="6" t="n">
        <f aca="false">E1088*I1088</f>
        <v>957597.925966201</v>
      </c>
      <c r="L1088" s="6" t="n">
        <v>207824.34</v>
      </c>
      <c r="M1088" s="6" t="n">
        <v>864831.88</v>
      </c>
      <c r="N1088" s="6" t="n">
        <v>1033588</v>
      </c>
      <c r="O1088" s="6" t="n">
        <v>1165453</v>
      </c>
      <c r="P1088" s="7" t="n">
        <f aca="false">IF(O1088=0,"",(G1088-O1088)/O1088)</f>
        <v>-0.0743241898214686</v>
      </c>
      <c r="Q1088" s="5" t="s">
        <v>26</v>
      </c>
      <c r="R1088" s="5" t="s">
        <v>27</v>
      </c>
    </row>
    <row r="1089" customFormat="false" ht="15" hidden="false" customHeight="true" outlineLevel="0" collapsed="false">
      <c r="A1089" s="5" t="s">
        <v>1113</v>
      </c>
      <c r="B1089" s="6" t="n">
        <v>3790978434.38</v>
      </c>
      <c r="C1089" s="6" t="n">
        <v>834468766.21</v>
      </c>
      <c r="D1089" s="6" t="n">
        <v>4625447200.59</v>
      </c>
      <c r="E1089" s="6" t="n">
        <v>1711415.46</v>
      </c>
      <c r="F1089" s="6" t="n">
        <v>4951.58</v>
      </c>
      <c r="G1089" s="6" t="n">
        <f aca="false">E1089+F1089</f>
        <v>1716367.04</v>
      </c>
      <c r="H1089" s="7" t="n">
        <f aca="false">IF(D1089=0,0,C1089/D1089)</f>
        <v>0.180408235143957</v>
      </c>
      <c r="I1089" s="7" t="n">
        <f aca="false">IF(D1089=0,0,B1089/D1089)</f>
        <v>0.819591764856043</v>
      </c>
      <c r="J1089" s="6" t="n">
        <f aca="false">E1089*H1089</f>
        <v>308753.442736684</v>
      </c>
      <c r="K1089" s="6" t="n">
        <f aca="false">E1089*I1089</f>
        <v>1402662.01726332</v>
      </c>
      <c r="L1089" s="6" t="n">
        <v>523129.94</v>
      </c>
      <c r="M1089" s="6" t="n">
        <v>1188285.53</v>
      </c>
      <c r="N1089" s="6" t="n">
        <v>1507588</v>
      </c>
      <c r="O1089" s="6" t="n">
        <v>1676492</v>
      </c>
      <c r="P1089" s="7" t="n">
        <f aca="false">IF(O1089=0,"",(G1089-O1089)/O1089)</f>
        <v>0.0237848078010513</v>
      </c>
      <c r="Q1089" s="5" t="s">
        <v>26</v>
      </c>
      <c r="R1089" s="5" t="s">
        <v>27</v>
      </c>
    </row>
    <row r="1090" customFormat="false" ht="15" hidden="false" customHeight="true" outlineLevel="0" collapsed="false">
      <c r="A1090" s="5" t="s">
        <v>1114</v>
      </c>
      <c r="B1090" s="6" t="n">
        <v>4437432025.8</v>
      </c>
      <c r="C1090" s="6" t="n">
        <v>2547098867.05</v>
      </c>
      <c r="D1090" s="6" t="n">
        <v>6984530892.85</v>
      </c>
      <c r="E1090" s="6" t="n">
        <v>2584276.43</v>
      </c>
      <c r="F1090" s="6" t="n">
        <v>5461.58</v>
      </c>
      <c r="G1090" s="6" t="n">
        <f aca="false">E1090+F1090</f>
        <v>2589738.01</v>
      </c>
      <c r="H1090" s="7" t="n">
        <f aca="false">IF(D1090=0,0,C1090/D1090)</f>
        <v>0.364677156723216</v>
      </c>
      <c r="I1090" s="7" t="n">
        <f aca="false">IF(D1090=0,0,B1090/D1090)</f>
        <v>0.635322843276785</v>
      </c>
      <c r="J1090" s="6" t="n">
        <f aca="false">E1090*H1090</f>
        <v>942426.580679222</v>
      </c>
      <c r="K1090" s="6" t="n">
        <f aca="false">E1090*I1090</f>
        <v>1641849.84932078</v>
      </c>
      <c r="L1090" s="6" t="n">
        <v>1381171.48</v>
      </c>
      <c r="M1090" s="6" t="n">
        <v>1203104.96</v>
      </c>
      <c r="N1090" s="6" t="n">
        <v>1808822</v>
      </c>
      <c r="O1090" s="6" t="n">
        <v>2018130</v>
      </c>
      <c r="P1090" s="7" t="n">
        <f aca="false">IF(O1090=0,"",(G1090-O1090)/O1090)</f>
        <v>0.283236466431796</v>
      </c>
      <c r="Q1090" s="5" t="s">
        <v>26</v>
      </c>
      <c r="R1090" s="5" t="s">
        <v>27</v>
      </c>
    </row>
    <row r="1091" customFormat="false" ht="15" hidden="false" customHeight="true" outlineLevel="0" collapsed="false">
      <c r="A1091" s="5" t="s">
        <v>1115</v>
      </c>
      <c r="B1091" s="6" t="n">
        <v>3850095832.77</v>
      </c>
      <c r="C1091" s="6" t="n">
        <v>2481041310.37</v>
      </c>
      <c r="D1091" s="6" t="n">
        <v>6331137143.14</v>
      </c>
      <c r="E1091" s="6" t="n">
        <v>2342520.74</v>
      </c>
      <c r="F1091" s="6" t="n">
        <v>5707.67</v>
      </c>
      <c r="G1091" s="6" t="n">
        <f aca="false">E1091+F1091</f>
        <v>2348228.41</v>
      </c>
      <c r="H1091" s="7" t="n">
        <f aca="false">IF(D1091=0,0,C1091/D1091)</f>
        <v>0.391879255539156</v>
      </c>
      <c r="I1091" s="7" t="n">
        <f aca="false">IF(D1091=0,0,B1091/D1091)</f>
        <v>0.608120744460844</v>
      </c>
      <c r="J1091" s="6" t="n">
        <f aca="false">E1091*H1091</f>
        <v>917985.283676232</v>
      </c>
      <c r="K1091" s="6" t="n">
        <f aca="false">E1091*I1091</f>
        <v>1424535.45632377</v>
      </c>
      <c r="L1091" s="6" t="n">
        <v>1319058.79</v>
      </c>
      <c r="M1091" s="6" t="n">
        <v>1023461.95</v>
      </c>
      <c r="N1091" s="6" t="n">
        <v>1716764</v>
      </c>
      <c r="O1091" s="6" t="n">
        <v>1924072</v>
      </c>
      <c r="P1091" s="7" t="n">
        <f aca="false">IF(O1091=0,"",(G1091-O1091)/O1091)</f>
        <v>0.220447264967215</v>
      </c>
      <c r="Q1091" s="5" t="s">
        <v>26</v>
      </c>
      <c r="R1091" s="5" t="s">
        <v>27</v>
      </c>
    </row>
    <row r="1092" customFormat="false" ht="15" hidden="false" customHeight="true" outlineLevel="0" collapsed="false">
      <c r="A1092" s="5" t="s">
        <v>1116</v>
      </c>
      <c r="B1092" s="6" t="n">
        <v>4167182327.94</v>
      </c>
      <c r="C1092" s="6" t="n">
        <v>2370813929.34</v>
      </c>
      <c r="D1092" s="6" t="n">
        <v>6537996257.28</v>
      </c>
      <c r="E1092" s="6" t="n">
        <v>2419058.62</v>
      </c>
      <c r="F1092" s="6" t="n">
        <v>6430.38</v>
      </c>
      <c r="G1092" s="6" t="n">
        <f aca="false">E1092+F1092</f>
        <v>2425489</v>
      </c>
      <c r="H1092" s="7" t="n">
        <f aca="false">IF(D1092=0,0,C1092/D1092)</f>
        <v>0.362620875883818</v>
      </c>
      <c r="I1092" s="7" t="n">
        <f aca="false">IF(D1092=0,0,B1092/D1092)</f>
        <v>0.637379124116182</v>
      </c>
      <c r="J1092" s="6" t="n">
        <f aca="false">E1092*H1092</f>
        <v>877201.155598701</v>
      </c>
      <c r="K1092" s="6" t="n">
        <f aca="false">E1092*I1092</f>
        <v>1541857.4644013</v>
      </c>
      <c r="L1092" s="6" t="n">
        <v>1287520.5</v>
      </c>
      <c r="M1092" s="6" t="n">
        <v>1131538.12</v>
      </c>
      <c r="N1092" s="6" t="n">
        <v>1761289</v>
      </c>
      <c r="O1092" s="6" t="n">
        <v>1976308</v>
      </c>
      <c r="P1092" s="7" t="n">
        <f aca="false">IF(O1092=0,"",(G1092-O1092)/O1092)</f>
        <v>0.227282893152282</v>
      </c>
      <c r="Q1092" s="5" t="s">
        <v>26</v>
      </c>
      <c r="R1092" s="5" t="s">
        <v>27</v>
      </c>
    </row>
    <row r="1093" customFormat="false" ht="15" hidden="false" customHeight="true" outlineLevel="0" collapsed="false">
      <c r="A1093" s="5" t="s">
        <v>1117</v>
      </c>
      <c r="B1093" s="6" t="n">
        <v>5315894261.58</v>
      </c>
      <c r="C1093" s="6" t="n">
        <v>2768265128.04</v>
      </c>
      <c r="D1093" s="6" t="n">
        <v>8084159389.62</v>
      </c>
      <c r="E1093" s="6" t="n">
        <v>2991138.97</v>
      </c>
      <c r="F1093" s="6" t="n">
        <v>38427.11</v>
      </c>
      <c r="G1093" s="6" t="n">
        <f aca="false">E1093+F1093</f>
        <v>3029566.08</v>
      </c>
      <c r="H1093" s="7" t="n">
        <f aca="false">IF(D1093=0,0,C1093/D1093)</f>
        <v>0.342430795166462</v>
      </c>
      <c r="I1093" s="7" t="n">
        <f aca="false">IF(D1093=0,0,B1093/D1093)</f>
        <v>0.657569204833538</v>
      </c>
      <c r="J1093" s="6" t="n">
        <f aca="false">E1093*H1093</f>
        <v>1024258.09595049</v>
      </c>
      <c r="K1093" s="6" t="n">
        <f aca="false">E1093*I1093</f>
        <v>1966880.87404951</v>
      </c>
      <c r="L1093" s="6" t="n">
        <v>1525975.27</v>
      </c>
      <c r="M1093" s="6" t="n">
        <v>1465163.7</v>
      </c>
      <c r="N1093" s="6" t="n">
        <v>2293765</v>
      </c>
      <c r="O1093" s="6" t="n">
        <v>2565438</v>
      </c>
      <c r="P1093" s="7" t="n">
        <f aca="false">IF(O1093=0,"",(G1093-O1093)/O1093)</f>
        <v>0.180915726671235</v>
      </c>
      <c r="Q1093" s="5" t="s">
        <v>26</v>
      </c>
      <c r="R1093" s="5" t="s">
        <v>27</v>
      </c>
    </row>
    <row r="1094" customFormat="false" ht="15" hidden="false" customHeight="true" outlineLevel="0" collapsed="false">
      <c r="A1094" s="5" t="s">
        <v>1118</v>
      </c>
      <c r="B1094" s="6" t="n">
        <v>5178753406.46</v>
      </c>
      <c r="C1094" s="6" t="n">
        <v>2956002966.25</v>
      </c>
      <c r="D1094" s="6" t="n">
        <v>8134756372.71</v>
      </c>
      <c r="E1094" s="6" t="n">
        <v>3009859.86</v>
      </c>
      <c r="F1094" s="6" t="n">
        <v>64645.44</v>
      </c>
      <c r="G1094" s="6" t="n">
        <f aca="false">E1094+F1094</f>
        <v>3074505.3</v>
      </c>
      <c r="H1094" s="7" t="n">
        <f aca="false">IF(D1094=0,0,C1094/D1094)</f>
        <v>0.363379409390381</v>
      </c>
      <c r="I1094" s="7" t="n">
        <f aca="false">IF(D1094=0,0,B1094/D1094)</f>
        <v>0.636620590609619</v>
      </c>
      <c r="J1094" s="6" t="n">
        <f aca="false">E1094*H1094</f>
        <v>1093721.09827462</v>
      </c>
      <c r="K1094" s="6" t="n">
        <f aca="false">E1094*I1094</f>
        <v>1916138.76172538</v>
      </c>
      <c r="L1094" s="6" t="n">
        <v>1604426.6</v>
      </c>
      <c r="M1094" s="6" t="n">
        <v>1405433.25</v>
      </c>
      <c r="N1094" s="6" t="n">
        <v>2221884</v>
      </c>
      <c r="O1094" s="6" t="n">
        <v>2463571</v>
      </c>
      <c r="P1094" s="7" t="n">
        <f aca="false">IF(O1094=0,"",(G1094-O1094)/O1094)</f>
        <v>0.247987291618549</v>
      </c>
      <c r="Q1094" s="5" t="s">
        <v>26</v>
      </c>
      <c r="R1094" s="5" t="s">
        <v>27</v>
      </c>
    </row>
    <row r="1095" customFormat="false" ht="15" hidden="false" customHeight="true" outlineLevel="0" collapsed="false">
      <c r="A1095" s="5" t="s">
        <v>1119</v>
      </c>
      <c r="B1095" s="6" t="n">
        <v>3179282899.59</v>
      </c>
      <c r="C1095" s="6" t="n">
        <v>302932910.2</v>
      </c>
      <c r="D1095" s="6" t="n">
        <v>3482215809.79</v>
      </c>
      <c r="E1095" s="6" t="n">
        <v>1288419.85</v>
      </c>
      <c r="F1095" s="6" t="n">
        <v>27828.93</v>
      </c>
      <c r="G1095" s="6" t="n">
        <f aca="false">E1095+F1095</f>
        <v>1316248.78</v>
      </c>
      <c r="H1095" s="7" t="n">
        <f aca="false">IF(D1095=0,0,C1095/D1095)</f>
        <v>0.0869942952267134</v>
      </c>
      <c r="I1095" s="7" t="n">
        <f aca="false">IF(D1095=0,0,B1095/D1095)</f>
        <v>0.913005704773287</v>
      </c>
      <c r="J1095" s="6" t="n">
        <f aca="false">E1095*H1095</f>
        <v>112085.176806858</v>
      </c>
      <c r="K1095" s="6" t="n">
        <f aca="false">E1095*I1095</f>
        <v>1176334.67319314</v>
      </c>
      <c r="L1095" s="6" t="n">
        <v>206229.56</v>
      </c>
      <c r="M1095" s="6" t="n">
        <v>1082190.29</v>
      </c>
      <c r="N1095" s="6" t="n">
        <v>1225367</v>
      </c>
      <c r="O1095" s="6" t="n">
        <v>1355771</v>
      </c>
      <c r="P1095" s="7" t="n">
        <f aca="false">IF(O1095=0,"",(G1095-O1095)/O1095)</f>
        <v>-0.0291511029517522</v>
      </c>
      <c r="Q1095" s="5" t="s">
        <v>26</v>
      </c>
      <c r="R1095" s="5" t="s">
        <v>27</v>
      </c>
    </row>
    <row r="1096" customFormat="false" ht="15" hidden="false" customHeight="true" outlineLevel="0" collapsed="false">
      <c r="A1096" s="5" t="s">
        <v>1120</v>
      </c>
      <c r="B1096" s="6" t="n">
        <v>3483019195.7</v>
      </c>
      <c r="C1096" s="6" t="n">
        <v>480977985.02</v>
      </c>
      <c r="D1096" s="6" t="n">
        <v>3963997180.72</v>
      </c>
      <c r="E1096" s="6" t="n">
        <v>1466678.96</v>
      </c>
      <c r="F1096" s="6" t="n">
        <v>54279.88</v>
      </c>
      <c r="G1096" s="6" t="n">
        <f aca="false">E1096+F1096</f>
        <v>1520958.84</v>
      </c>
      <c r="H1096" s="7" t="n">
        <f aca="false">IF(D1096=0,0,C1096/D1096)</f>
        <v>0.121336611276963</v>
      </c>
      <c r="I1096" s="7" t="n">
        <f aca="false">IF(D1096=0,0,B1096/D1096)</f>
        <v>0.878663388723037</v>
      </c>
      <c r="J1096" s="6" t="n">
        <f aca="false">E1096*H1096</f>
        <v>177961.85483762</v>
      </c>
      <c r="K1096" s="6" t="n">
        <f aca="false">E1096*I1096</f>
        <v>1288717.10516238</v>
      </c>
      <c r="L1096" s="6" t="n">
        <v>317410.23</v>
      </c>
      <c r="M1096" s="6" t="n">
        <v>1149268.73</v>
      </c>
      <c r="N1096" s="6" t="n">
        <v>1385982</v>
      </c>
      <c r="O1096" s="6" t="n">
        <v>1531485</v>
      </c>
      <c r="P1096" s="7" t="n">
        <f aca="false">IF(O1096=0,"",(G1096-O1096)/O1096)</f>
        <v>-0.00687317211725884</v>
      </c>
      <c r="Q1096" s="5" t="s">
        <v>26</v>
      </c>
      <c r="R1096" s="5" t="s">
        <v>27</v>
      </c>
    </row>
    <row r="1097" customFormat="false" ht="15" hidden="false" customHeight="true" outlineLevel="0" collapsed="false">
      <c r="A1097" s="8" t="s">
        <v>1121</v>
      </c>
      <c r="B1097" s="9" t="n">
        <v>5881158113.55</v>
      </c>
      <c r="C1097" s="9" t="n">
        <v>3540504508.72</v>
      </c>
      <c r="D1097" s="9" t="n">
        <v>9421662622.27</v>
      </c>
      <c r="E1097" s="9" t="n">
        <v>3486015.17</v>
      </c>
      <c r="F1097" s="9" t="n">
        <v>37433.85</v>
      </c>
      <c r="G1097" s="9" t="n">
        <f aca="false">E1097+F1097</f>
        <v>3523449.02</v>
      </c>
      <c r="H1097" s="10" t="n">
        <f aca="false">IF(D1097=0,0,C1097/D1097)</f>
        <v>0.375783410069397</v>
      </c>
      <c r="I1097" s="10" t="n">
        <f aca="false">IF(D1097=0,0,B1097/D1097)</f>
        <v>0.624216589930603</v>
      </c>
      <c r="J1097" s="9" t="n">
        <f aca="false">E1097*H1097</f>
        <v>1309986.66813625</v>
      </c>
      <c r="K1097" s="9" t="n">
        <f aca="false">E1097*I1097</f>
        <v>2176028.50186375</v>
      </c>
      <c r="L1097" s="9" t="n">
        <v>1904350.14</v>
      </c>
      <c r="M1097" s="9" t="n">
        <v>1581665.03</v>
      </c>
      <c r="N1097" s="9" t="n">
        <v>2249099</v>
      </c>
      <c r="O1097" s="9" t="n">
        <v>2503444</v>
      </c>
      <c r="P1097" s="10" t="n">
        <f aca="false">IF(O1097=0,"",(G1097-O1097)/O1097)</f>
        <v>0.407440717667341</v>
      </c>
      <c r="Q1097" s="8" t="s">
        <v>1122</v>
      </c>
      <c r="R1097" s="8" t="s">
        <v>1123</v>
      </c>
    </row>
  </sheetData>
  <mergeCells count="6">
    <mergeCell ref="B1:D1"/>
    <mergeCell ref="E1:I1"/>
    <mergeCell ref="J1:K1"/>
    <mergeCell ref="L1:M1"/>
    <mergeCell ref="O1:P1"/>
    <mergeCell ref="Q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5"/>
    <col collapsed="false" customWidth="true" hidden="false" outlineLevel="0" max="7" min="4" style="1" width="16"/>
    <col collapsed="false" customWidth="true" hidden="false" outlineLevel="0" max="8" min="8" style="1" width="14"/>
    <col collapsed="false" customWidth="true" hidden="false" outlineLevel="0" max="10" min="9" style="1" width="16"/>
  </cols>
  <sheetData>
    <row r="1" customFormat="false" ht="26.25" hidden="false" customHeight="true" outlineLevel="0" collapsed="false">
      <c r="A1" s="11" t="s">
        <v>1124</v>
      </c>
      <c r="B1" s="11" t="s">
        <v>8</v>
      </c>
      <c r="C1" s="11" t="s">
        <v>9</v>
      </c>
      <c r="D1" s="11" t="s">
        <v>10</v>
      </c>
      <c r="E1" s="11" t="s">
        <v>13</v>
      </c>
      <c r="F1" s="11" t="s">
        <v>16</v>
      </c>
      <c r="G1" s="11" t="s">
        <v>18</v>
      </c>
      <c r="H1" s="11" t="s">
        <v>12</v>
      </c>
      <c r="I1" s="11" t="s">
        <v>20</v>
      </c>
      <c r="J1" s="11" t="s">
        <v>21</v>
      </c>
    </row>
    <row r="2" customFormat="false" ht="15" hidden="false" customHeight="true" outlineLevel="0" collapsed="false">
      <c r="A2" s="5" t="s">
        <v>1125</v>
      </c>
      <c r="B2" s="6" t="n">
        <f aca="false">SUM('Daily Breakdown'!B3:B14)</f>
        <v>7339530425.23</v>
      </c>
      <c r="C2" s="6" t="n">
        <f aca="false">SUM('Daily Breakdown'!C3:C14)</f>
        <v>0</v>
      </c>
      <c r="D2" s="6" t="n">
        <f aca="false">SUM('Daily Breakdown'!D3:D14)</f>
        <v>7339530425.23</v>
      </c>
      <c r="E2" s="6" t="n">
        <f aca="false">SUM('Daily Breakdown'!G3:G14)</f>
        <v>2715626.28</v>
      </c>
      <c r="F2" s="6" t="n">
        <f aca="false">SUM('Daily Breakdown'!J3:J14)</f>
        <v>0</v>
      </c>
      <c r="G2" s="6" t="n">
        <f aca="false">SUM('Daily Breakdown'!L3:L14)</f>
        <v>0</v>
      </c>
      <c r="H2" s="6" t="n">
        <f aca="false">SUM('Daily Breakdown'!F3:F14)</f>
        <v>0</v>
      </c>
      <c r="I2" s="6" t="n">
        <f aca="false">SUM('Daily Breakdown'!N3:N14)</f>
        <v>0</v>
      </c>
      <c r="J2" s="6" t="n">
        <f aca="false">SUM('Daily Breakdown'!O3:O14)</f>
        <v>0</v>
      </c>
    </row>
    <row r="3" customFormat="false" ht="15" hidden="false" customHeight="true" outlineLevel="0" collapsed="false">
      <c r="A3" s="5" t="s">
        <v>1126</v>
      </c>
      <c r="B3" s="6" t="n">
        <f aca="false">SUM('Daily Breakdown'!B15:B44)</f>
        <v>19381922636.32</v>
      </c>
      <c r="C3" s="6" t="n">
        <f aca="false">SUM('Daily Breakdown'!C15:C44)</f>
        <v>0</v>
      </c>
      <c r="D3" s="6" t="n">
        <f aca="false">SUM('Daily Breakdown'!D15:D44)</f>
        <v>19381922636.32</v>
      </c>
      <c r="E3" s="6" t="n">
        <f aca="false">SUM('Daily Breakdown'!G15:G44)</f>
        <v>7171311.4</v>
      </c>
      <c r="F3" s="6" t="n">
        <f aca="false">SUM('Daily Breakdown'!J15:J44)</f>
        <v>0</v>
      </c>
      <c r="G3" s="6" t="n">
        <f aca="false">SUM('Daily Breakdown'!L15:L44)</f>
        <v>0</v>
      </c>
      <c r="H3" s="6" t="n">
        <f aca="false">SUM('Daily Breakdown'!F15:F44)</f>
        <v>0</v>
      </c>
      <c r="I3" s="6" t="n">
        <f aca="false">SUM('Daily Breakdown'!N15:N44)</f>
        <v>0</v>
      </c>
      <c r="J3" s="6" t="n">
        <f aca="false">SUM('Daily Breakdown'!O15:O44)</f>
        <v>0</v>
      </c>
    </row>
    <row r="4" customFormat="false" ht="15" hidden="false" customHeight="true" outlineLevel="0" collapsed="false">
      <c r="A4" s="5" t="s">
        <v>1127</v>
      </c>
      <c r="B4" s="6" t="n">
        <f aca="false">SUM('Daily Breakdown'!B45:B75)</f>
        <v>1416094210.61</v>
      </c>
      <c r="C4" s="6" t="n">
        <f aca="false">SUM('Daily Breakdown'!C45:C75)</f>
        <v>0</v>
      </c>
      <c r="D4" s="6" t="n">
        <f aca="false">SUM('Daily Breakdown'!D45:D75)</f>
        <v>1416094210.61</v>
      </c>
      <c r="E4" s="6" t="n">
        <f aca="false">SUM('Daily Breakdown'!G45:G75)</f>
        <v>523954.85</v>
      </c>
      <c r="F4" s="6" t="n">
        <f aca="false">SUM('Daily Breakdown'!J45:J75)</f>
        <v>0</v>
      </c>
      <c r="G4" s="6" t="n">
        <f aca="false">SUM('Daily Breakdown'!L45:L75)</f>
        <v>0</v>
      </c>
      <c r="H4" s="6" t="n">
        <f aca="false">SUM('Daily Breakdown'!F45:F75)</f>
        <v>0</v>
      </c>
      <c r="I4" s="6" t="n">
        <f aca="false">SUM('Daily Breakdown'!N45:N75)</f>
        <v>0</v>
      </c>
      <c r="J4" s="6" t="n">
        <f aca="false">SUM('Daily Breakdown'!O45:O75)</f>
        <v>0</v>
      </c>
    </row>
    <row r="5" customFormat="false" ht="15" hidden="false" customHeight="true" outlineLevel="0" collapsed="false">
      <c r="A5" s="5" t="s">
        <v>1128</v>
      </c>
      <c r="B5" s="6" t="n">
        <f aca="false">SUM('Daily Breakdown'!B76:B106)</f>
        <v>1931645222.32</v>
      </c>
      <c r="C5" s="6" t="n">
        <f aca="false">SUM('Daily Breakdown'!C76:C106)</f>
        <v>0</v>
      </c>
      <c r="D5" s="6" t="n">
        <f aca="false">SUM('Daily Breakdown'!D76:D106)</f>
        <v>1931645222.32</v>
      </c>
      <c r="E5" s="6" t="n">
        <f aca="false">SUM('Daily Breakdown'!G76:G106)</f>
        <v>714708.71</v>
      </c>
      <c r="F5" s="6" t="n">
        <f aca="false">SUM('Daily Breakdown'!J76:J106)</f>
        <v>0</v>
      </c>
      <c r="G5" s="6" t="n">
        <f aca="false">SUM('Daily Breakdown'!L76:L106)</f>
        <v>0</v>
      </c>
      <c r="H5" s="6" t="n">
        <f aca="false">SUM('Daily Breakdown'!F76:F106)</f>
        <v>0</v>
      </c>
      <c r="I5" s="6" t="n">
        <f aca="false">SUM('Daily Breakdown'!N76:N106)</f>
        <v>0</v>
      </c>
      <c r="J5" s="6" t="n">
        <f aca="false">SUM('Daily Breakdown'!O76:O106)</f>
        <v>0</v>
      </c>
    </row>
    <row r="6" customFormat="false" ht="15" hidden="false" customHeight="true" outlineLevel="0" collapsed="false">
      <c r="A6" s="5" t="s">
        <v>1129</v>
      </c>
      <c r="B6" s="6" t="n">
        <f aca="false">SUM('Daily Breakdown'!B107:B136)</f>
        <v>1368247757.17</v>
      </c>
      <c r="C6" s="6" t="n">
        <f aca="false">SUM('Daily Breakdown'!C107:C136)</f>
        <v>0</v>
      </c>
      <c r="D6" s="6" t="n">
        <f aca="false">SUM('Daily Breakdown'!D107:D136)</f>
        <v>1368247757.17</v>
      </c>
      <c r="E6" s="6" t="n">
        <f aca="false">SUM('Daily Breakdown'!G107:G136)</f>
        <v>506251.68</v>
      </c>
      <c r="F6" s="6" t="n">
        <f aca="false">SUM('Daily Breakdown'!J107:J136)</f>
        <v>0</v>
      </c>
      <c r="G6" s="6" t="n">
        <f aca="false">SUM('Daily Breakdown'!L107:L136)</f>
        <v>0</v>
      </c>
      <c r="H6" s="6" t="n">
        <f aca="false">SUM('Daily Breakdown'!F107:F136)</f>
        <v>0</v>
      </c>
      <c r="I6" s="6" t="n">
        <f aca="false">SUM('Daily Breakdown'!N107:N136)</f>
        <v>0</v>
      </c>
      <c r="J6" s="6" t="n">
        <f aca="false">SUM('Daily Breakdown'!O107:O136)</f>
        <v>0</v>
      </c>
    </row>
    <row r="7" customFormat="false" ht="15" hidden="false" customHeight="true" outlineLevel="0" collapsed="false">
      <c r="A7" s="5" t="s">
        <v>1130</v>
      </c>
      <c r="B7" s="6" t="n">
        <f aca="false">SUM('Daily Breakdown'!B137:B167)</f>
        <v>1646652621.02</v>
      </c>
      <c r="C7" s="6" t="n">
        <f aca="false">SUM('Daily Breakdown'!C137:C167)</f>
        <v>0</v>
      </c>
      <c r="D7" s="6" t="n">
        <f aca="false">SUM('Daily Breakdown'!D137:D167)</f>
        <v>1646652621.02</v>
      </c>
      <c r="E7" s="6" t="n">
        <f aca="false">SUM('Daily Breakdown'!G137:G167)</f>
        <v>609261.47</v>
      </c>
      <c r="F7" s="6" t="n">
        <f aca="false">SUM('Daily Breakdown'!J137:J167)</f>
        <v>0</v>
      </c>
      <c r="G7" s="6" t="n">
        <f aca="false">SUM('Daily Breakdown'!L137:L167)</f>
        <v>0</v>
      </c>
      <c r="H7" s="6" t="n">
        <f aca="false">SUM('Daily Breakdown'!F137:F167)</f>
        <v>0</v>
      </c>
      <c r="I7" s="6" t="n">
        <f aca="false">SUM('Daily Breakdown'!N137:N167)</f>
        <v>0</v>
      </c>
      <c r="J7" s="6" t="n">
        <f aca="false">SUM('Daily Breakdown'!O137:O167)</f>
        <v>0</v>
      </c>
    </row>
    <row r="8" customFormat="false" ht="15" hidden="false" customHeight="true" outlineLevel="0" collapsed="false">
      <c r="A8" s="5" t="s">
        <v>1131</v>
      </c>
      <c r="B8" s="6" t="n">
        <f aca="false">SUM('Daily Breakdown'!B168:B197)</f>
        <v>3947493056.49</v>
      </c>
      <c r="C8" s="6" t="n">
        <f aca="false">SUM('Daily Breakdown'!C168:C197)</f>
        <v>0</v>
      </c>
      <c r="D8" s="6" t="n">
        <f aca="false">SUM('Daily Breakdown'!D168:D197)</f>
        <v>3947493056.49</v>
      </c>
      <c r="E8" s="6" t="n">
        <f aca="false">SUM('Daily Breakdown'!G168:G197)</f>
        <v>1460572.43</v>
      </c>
      <c r="F8" s="6" t="n">
        <f aca="false">SUM('Daily Breakdown'!J168:J197)</f>
        <v>0</v>
      </c>
      <c r="G8" s="6" t="n">
        <f aca="false">SUM('Daily Breakdown'!L168:L197)</f>
        <v>0</v>
      </c>
      <c r="H8" s="6" t="n">
        <f aca="false">SUM('Daily Breakdown'!F168:F197)</f>
        <v>0</v>
      </c>
      <c r="I8" s="6" t="n">
        <f aca="false">SUM('Daily Breakdown'!N168:N197)</f>
        <v>0</v>
      </c>
      <c r="J8" s="6" t="n">
        <f aca="false">SUM('Daily Breakdown'!O168:O197)</f>
        <v>0</v>
      </c>
    </row>
    <row r="9" customFormat="false" ht="15" hidden="false" customHeight="true" outlineLevel="0" collapsed="false">
      <c r="A9" s="5" t="s">
        <v>1132</v>
      </c>
      <c r="B9" s="6" t="n">
        <f aca="false">SUM('Daily Breakdown'!B198:B228)</f>
        <v>10181166220.8</v>
      </c>
      <c r="C9" s="6" t="n">
        <f aca="false">SUM('Daily Breakdown'!C198:C228)</f>
        <v>0</v>
      </c>
      <c r="D9" s="6" t="n">
        <f aca="false">SUM('Daily Breakdown'!D198:D228)</f>
        <v>10181166220.8</v>
      </c>
      <c r="E9" s="6" t="n">
        <f aca="false">SUM('Daily Breakdown'!G198:G228)</f>
        <v>3767031.46</v>
      </c>
      <c r="F9" s="6" t="n">
        <f aca="false">SUM('Daily Breakdown'!J198:J228)</f>
        <v>0</v>
      </c>
      <c r="G9" s="6" t="n">
        <f aca="false">SUM('Daily Breakdown'!L198:L228)</f>
        <v>0</v>
      </c>
      <c r="H9" s="6" t="n">
        <f aca="false">SUM('Daily Breakdown'!F198:F228)</f>
        <v>0</v>
      </c>
      <c r="I9" s="6" t="n">
        <f aca="false">SUM('Daily Breakdown'!N198:N228)</f>
        <v>0</v>
      </c>
      <c r="J9" s="6" t="n">
        <f aca="false">SUM('Daily Breakdown'!O198:O228)</f>
        <v>0</v>
      </c>
    </row>
    <row r="10" customFormat="false" ht="15" hidden="false" customHeight="true" outlineLevel="0" collapsed="false">
      <c r="A10" s="5" t="s">
        <v>1133</v>
      </c>
      <c r="B10" s="6" t="n">
        <f aca="false">SUM('Daily Breakdown'!B229:B259)</f>
        <v>17411821240.54</v>
      </c>
      <c r="C10" s="6" t="n">
        <f aca="false">SUM('Daily Breakdown'!C229:C259)</f>
        <v>0</v>
      </c>
      <c r="D10" s="6" t="n">
        <f aca="false">SUM('Daily Breakdown'!D229:D259)</f>
        <v>17411821240.54</v>
      </c>
      <c r="E10" s="6" t="n">
        <f aca="false">SUM('Daily Breakdown'!G229:G259)</f>
        <v>6442373.84</v>
      </c>
      <c r="F10" s="6" t="n">
        <f aca="false">SUM('Daily Breakdown'!J229:J259)</f>
        <v>0</v>
      </c>
      <c r="G10" s="6" t="n">
        <f aca="false">SUM('Daily Breakdown'!L229:L259)</f>
        <v>0</v>
      </c>
      <c r="H10" s="6" t="n">
        <f aca="false">SUM('Daily Breakdown'!F229:F259)</f>
        <v>0</v>
      </c>
      <c r="I10" s="6" t="n">
        <f aca="false">SUM('Daily Breakdown'!N229:N259)</f>
        <v>0</v>
      </c>
      <c r="J10" s="6" t="n">
        <f aca="false">SUM('Daily Breakdown'!O229:O259)</f>
        <v>0</v>
      </c>
    </row>
    <row r="11" customFormat="false" ht="15" hidden="false" customHeight="true" outlineLevel="0" collapsed="false">
      <c r="A11" s="5" t="s">
        <v>1134</v>
      </c>
      <c r="B11" s="6" t="n">
        <f aca="false">SUM('Daily Breakdown'!B260:B288)</f>
        <v>33043241274.15</v>
      </c>
      <c r="C11" s="6" t="n">
        <f aca="false">SUM('Daily Breakdown'!C260:C288)</f>
        <v>0</v>
      </c>
      <c r="D11" s="6" t="n">
        <f aca="false">SUM('Daily Breakdown'!D260:D288)</f>
        <v>33043241274.15</v>
      </c>
      <c r="E11" s="6" t="n">
        <f aca="false">SUM('Daily Breakdown'!G260:G288)</f>
        <v>12225999.25</v>
      </c>
      <c r="F11" s="6" t="n">
        <f aca="false">SUM('Daily Breakdown'!J260:J288)</f>
        <v>0</v>
      </c>
      <c r="G11" s="6" t="n">
        <f aca="false">SUM('Daily Breakdown'!L260:L288)</f>
        <v>0</v>
      </c>
      <c r="H11" s="6" t="n">
        <f aca="false">SUM('Daily Breakdown'!F260:F288)</f>
        <v>0</v>
      </c>
      <c r="I11" s="6" t="n">
        <f aca="false">SUM('Daily Breakdown'!N260:N288)</f>
        <v>0</v>
      </c>
      <c r="J11" s="6" t="n">
        <f aca="false">SUM('Daily Breakdown'!O260:O288)</f>
        <v>0</v>
      </c>
    </row>
    <row r="12" customFormat="false" ht="15" hidden="false" customHeight="true" outlineLevel="0" collapsed="false">
      <c r="A12" s="5" t="s">
        <v>1135</v>
      </c>
      <c r="B12" s="6" t="n">
        <f aca="false">SUM('Daily Breakdown'!B289:B319)</f>
        <v>52343860563.47</v>
      </c>
      <c r="C12" s="6" t="n">
        <f aca="false">SUM('Daily Breakdown'!C289:C319)</f>
        <v>0</v>
      </c>
      <c r="D12" s="6" t="n">
        <f aca="false">SUM('Daily Breakdown'!D289:D319)</f>
        <v>52343860563.47</v>
      </c>
      <c r="E12" s="6" t="n">
        <f aca="false">SUM('Daily Breakdown'!G289:G319)</f>
        <v>19367228.41</v>
      </c>
      <c r="F12" s="6" t="n">
        <f aca="false">SUM('Daily Breakdown'!J289:J319)</f>
        <v>0</v>
      </c>
      <c r="G12" s="6" t="n">
        <f aca="false">SUM('Daily Breakdown'!L289:L319)</f>
        <v>0</v>
      </c>
      <c r="H12" s="6" t="n">
        <f aca="false">SUM('Daily Breakdown'!F289:F319)</f>
        <v>0</v>
      </c>
      <c r="I12" s="6" t="n">
        <f aca="false">SUM('Daily Breakdown'!N289:N319)</f>
        <v>0</v>
      </c>
      <c r="J12" s="6" t="n">
        <f aca="false">SUM('Daily Breakdown'!O289:O319)</f>
        <v>0</v>
      </c>
    </row>
    <row r="13" customFormat="false" ht="15" hidden="false" customHeight="true" outlineLevel="0" collapsed="false">
      <c r="A13" s="5" t="s">
        <v>1136</v>
      </c>
      <c r="B13" s="6" t="n">
        <f aca="false">SUM('Daily Breakdown'!B320:B349)</f>
        <v>44816013194.55</v>
      </c>
      <c r="C13" s="6" t="n">
        <f aca="false">SUM('Daily Breakdown'!C320:C349)</f>
        <v>0</v>
      </c>
      <c r="D13" s="6" t="n">
        <f aca="false">SUM('Daily Breakdown'!D320:D349)</f>
        <v>44816013194.55</v>
      </c>
      <c r="E13" s="6" t="n">
        <f aca="false">SUM('Daily Breakdown'!G320:G349)</f>
        <v>16581924.89</v>
      </c>
      <c r="F13" s="6" t="n">
        <f aca="false">SUM('Daily Breakdown'!J320:J349)</f>
        <v>0</v>
      </c>
      <c r="G13" s="6" t="n">
        <f aca="false">SUM('Daily Breakdown'!L320:L349)</f>
        <v>0</v>
      </c>
      <c r="H13" s="6" t="n">
        <f aca="false">SUM('Daily Breakdown'!F320:F349)</f>
        <v>0</v>
      </c>
      <c r="I13" s="6" t="n">
        <f aca="false">SUM('Daily Breakdown'!N320:N349)</f>
        <v>0</v>
      </c>
      <c r="J13" s="6" t="n">
        <f aca="false">SUM('Daily Breakdown'!O320:O349)</f>
        <v>0</v>
      </c>
    </row>
    <row r="14" customFormat="false" ht="15" hidden="false" customHeight="true" outlineLevel="0" collapsed="false">
      <c r="A14" s="5" t="s">
        <v>1137</v>
      </c>
      <c r="B14" s="6" t="n">
        <f aca="false">SUM('Daily Breakdown'!B350:B380)</f>
        <v>26186163514.37</v>
      </c>
      <c r="C14" s="6" t="n">
        <f aca="false">SUM('Daily Breakdown'!C350:C380)</f>
        <v>0</v>
      </c>
      <c r="D14" s="6" t="n">
        <f aca="false">SUM('Daily Breakdown'!D350:D380)</f>
        <v>26186163514.37</v>
      </c>
      <c r="E14" s="6" t="n">
        <f aca="false">SUM('Daily Breakdown'!G350:G380)</f>
        <v>9688880.45</v>
      </c>
      <c r="F14" s="6" t="n">
        <f aca="false">SUM('Daily Breakdown'!J350:J380)</f>
        <v>0</v>
      </c>
      <c r="G14" s="6" t="n">
        <f aca="false">SUM('Daily Breakdown'!L350:L380)</f>
        <v>0</v>
      </c>
      <c r="H14" s="6" t="n">
        <f aca="false">SUM('Daily Breakdown'!F350:F380)</f>
        <v>0</v>
      </c>
      <c r="I14" s="6" t="n">
        <f aca="false">SUM('Daily Breakdown'!N350:N380)</f>
        <v>0</v>
      </c>
      <c r="J14" s="6" t="n">
        <f aca="false">SUM('Daily Breakdown'!O350:O380)</f>
        <v>0</v>
      </c>
    </row>
    <row r="15" customFormat="false" ht="15" hidden="false" customHeight="true" outlineLevel="0" collapsed="false">
      <c r="A15" s="5" t="s">
        <v>1138</v>
      </c>
      <c r="B15" s="6" t="n">
        <f aca="false">SUM('Daily Breakdown'!B381:B410)</f>
        <v>25939754910.03</v>
      </c>
      <c r="C15" s="6" t="n">
        <f aca="false">SUM('Daily Breakdown'!C381:C410)</f>
        <v>0</v>
      </c>
      <c r="D15" s="6" t="n">
        <f aca="false">SUM('Daily Breakdown'!D381:D410)</f>
        <v>25939754910.03</v>
      </c>
      <c r="E15" s="6" t="n">
        <f aca="false">SUM('Daily Breakdown'!G381:G410)</f>
        <v>9597709.32</v>
      </c>
      <c r="F15" s="6" t="n">
        <f aca="false">SUM('Daily Breakdown'!J381:J410)</f>
        <v>0</v>
      </c>
      <c r="G15" s="6" t="n">
        <f aca="false">SUM('Daily Breakdown'!L381:L410)</f>
        <v>0</v>
      </c>
      <c r="H15" s="6" t="n">
        <f aca="false">SUM('Daily Breakdown'!F381:F410)</f>
        <v>0</v>
      </c>
      <c r="I15" s="6" t="n">
        <f aca="false">SUM('Daily Breakdown'!N381:N410)</f>
        <v>0</v>
      </c>
      <c r="J15" s="6" t="n">
        <f aca="false">SUM('Daily Breakdown'!O381:O410)</f>
        <v>0</v>
      </c>
    </row>
    <row r="16" customFormat="false" ht="15" hidden="false" customHeight="true" outlineLevel="0" collapsed="false">
      <c r="A16" s="5" t="s">
        <v>1139</v>
      </c>
      <c r="B16" s="6" t="n">
        <f aca="false">SUM('Daily Breakdown'!B411:B441)</f>
        <v>33126200237.32</v>
      </c>
      <c r="C16" s="6" t="n">
        <f aca="false">SUM('Daily Breakdown'!C411:C441)</f>
        <v>0</v>
      </c>
      <c r="D16" s="6" t="n">
        <f aca="false">SUM('Daily Breakdown'!D411:D441)</f>
        <v>33126200237.32</v>
      </c>
      <c r="E16" s="6" t="n">
        <f aca="false">SUM('Daily Breakdown'!G411:G441)</f>
        <v>12256694.09</v>
      </c>
      <c r="F16" s="6" t="n">
        <f aca="false">SUM('Daily Breakdown'!J411:J441)</f>
        <v>0</v>
      </c>
      <c r="G16" s="6" t="n">
        <f aca="false">SUM('Daily Breakdown'!L411:L441)</f>
        <v>0</v>
      </c>
      <c r="H16" s="6" t="n">
        <f aca="false">SUM('Daily Breakdown'!F411:F441)</f>
        <v>0</v>
      </c>
      <c r="I16" s="6" t="n">
        <f aca="false">SUM('Daily Breakdown'!N411:N441)</f>
        <v>0</v>
      </c>
      <c r="J16" s="6" t="n">
        <f aca="false">SUM('Daily Breakdown'!O411:O441)</f>
        <v>0</v>
      </c>
    </row>
    <row r="17" customFormat="false" ht="15" hidden="false" customHeight="true" outlineLevel="0" collapsed="false">
      <c r="A17" s="5" t="s">
        <v>1140</v>
      </c>
      <c r="B17" s="6" t="n">
        <f aca="false">SUM('Daily Breakdown'!B442:B472)</f>
        <v>35157295005.62</v>
      </c>
      <c r="C17" s="6" t="n">
        <f aca="false">SUM('Daily Breakdown'!C442:C472)</f>
        <v>0</v>
      </c>
      <c r="D17" s="6" t="n">
        <f aca="false">SUM('Daily Breakdown'!D442:D472)</f>
        <v>35157295005.62</v>
      </c>
      <c r="E17" s="6" t="n">
        <f aca="false">SUM('Daily Breakdown'!G442:G472)</f>
        <v>13008199.13</v>
      </c>
      <c r="F17" s="6" t="n">
        <f aca="false">SUM('Daily Breakdown'!J442:J472)</f>
        <v>0</v>
      </c>
      <c r="G17" s="6" t="n">
        <f aca="false">SUM('Daily Breakdown'!L442:L472)</f>
        <v>0</v>
      </c>
      <c r="H17" s="6" t="n">
        <f aca="false">SUM('Daily Breakdown'!F442:F472)</f>
        <v>0</v>
      </c>
      <c r="I17" s="6" t="n">
        <f aca="false">SUM('Daily Breakdown'!N442:N472)</f>
        <v>0</v>
      </c>
      <c r="J17" s="6" t="n">
        <f aca="false">SUM('Daily Breakdown'!O442:O472)</f>
        <v>0</v>
      </c>
    </row>
    <row r="18" customFormat="false" ht="15" hidden="false" customHeight="true" outlineLevel="0" collapsed="false">
      <c r="A18" s="5" t="s">
        <v>1141</v>
      </c>
      <c r="B18" s="6" t="n">
        <f aca="false">SUM('Daily Breakdown'!B473:B502)</f>
        <v>29680392383.58</v>
      </c>
      <c r="C18" s="6" t="n">
        <f aca="false">SUM('Daily Breakdown'!C473:C502)</f>
        <v>0</v>
      </c>
      <c r="D18" s="6" t="n">
        <f aca="false">SUM('Daily Breakdown'!D473:D502)</f>
        <v>29680392383.58</v>
      </c>
      <c r="E18" s="6" t="n">
        <f aca="false">SUM('Daily Breakdown'!G473:G502)</f>
        <v>10981745.17</v>
      </c>
      <c r="F18" s="6" t="n">
        <f aca="false">SUM('Daily Breakdown'!J473:J502)</f>
        <v>0</v>
      </c>
      <c r="G18" s="6" t="n">
        <f aca="false">SUM('Daily Breakdown'!L473:L502)</f>
        <v>0</v>
      </c>
      <c r="H18" s="6" t="n">
        <f aca="false">SUM('Daily Breakdown'!F473:F502)</f>
        <v>0</v>
      </c>
      <c r="I18" s="6" t="n">
        <f aca="false">SUM('Daily Breakdown'!N473:N502)</f>
        <v>0</v>
      </c>
      <c r="J18" s="6" t="n">
        <f aca="false">SUM('Daily Breakdown'!O473:O502)</f>
        <v>0</v>
      </c>
    </row>
    <row r="19" customFormat="false" ht="15" hidden="false" customHeight="true" outlineLevel="0" collapsed="false">
      <c r="A19" s="5" t="s">
        <v>1142</v>
      </c>
      <c r="B19" s="6" t="n">
        <f aca="false">SUM('Daily Breakdown'!B503:B533)</f>
        <v>35869893056.18</v>
      </c>
      <c r="C19" s="6" t="n">
        <f aca="false">SUM('Daily Breakdown'!C503:C533)</f>
        <v>0</v>
      </c>
      <c r="D19" s="6" t="n">
        <f aca="false">SUM('Daily Breakdown'!D503:D533)</f>
        <v>35869893056.18</v>
      </c>
      <c r="E19" s="6" t="n">
        <f aca="false">SUM('Daily Breakdown'!G503:G533)</f>
        <v>13271860.46</v>
      </c>
      <c r="F19" s="6" t="n">
        <f aca="false">SUM('Daily Breakdown'!J503:J533)</f>
        <v>0</v>
      </c>
      <c r="G19" s="6" t="n">
        <f aca="false">SUM('Daily Breakdown'!L503:L533)</f>
        <v>0</v>
      </c>
      <c r="H19" s="6" t="n">
        <f aca="false">SUM('Daily Breakdown'!F503:F533)</f>
        <v>0</v>
      </c>
      <c r="I19" s="6" t="n">
        <f aca="false">SUM('Daily Breakdown'!N503:N533)</f>
        <v>0</v>
      </c>
      <c r="J19" s="6" t="n">
        <f aca="false">SUM('Daily Breakdown'!O503:O533)</f>
        <v>0</v>
      </c>
    </row>
    <row r="20" customFormat="false" ht="15" hidden="false" customHeight="true" outlineLevel="0" collapsed="false">
      <c r="A20" s="5" t="s">
        <v>1143</v>
      </c>
      <c r="B20" s="6" t="n">
        <f aca="false">SUM('Daily Breakdown'!B534:B563)</f>
        <v>73441018804.1</v>
      </c>
      <c r="C20" s="6" t="n">
        <f aca="false">SUM('Daily Breakdown'!C534:C563)</f>
        <v>0</v>
      </c>
      <c r="D20" s="6" t="n">
        <f aca="false">SUM('Daily Breakdown'!D534:D563)</f>
        <v>73441018804.1</v>
      </c>
      <c r="E20" s="6" t="n">
        <f aca="false">SUM('Daily Breakdown'!G534:G563)</f>
        <v>27173176.96</v>
      </c>
      <c r="F20" s="6" t="n">
        <f aca="false">SUM('Daily Breakdown'!J534:J563)</f>
        <v>0</v>
      </c>
      <c r="G20" s="6" t="n">
        <f aca="false">SUM('Daily Breakdown'!L534:L563)</f>
        <v>0</v>
      </c>
      <c r="H20" s="6" t="n">
        <f aca="false">SUM('Daily Breakdown'!F534:F563)</f>
        <v>0</v>
      </c>
      <c r="I20" s="6" t="n">
        <f aca="false">SUM('Daily Breakdown'!N534:N563)</f>
        <v>0</v>
      </c>
      <c r="J20" s="6" t="n">
        <f aca="false">SUM('Daily Breakdown'!O534:O563)</f>
        <v>0</v>
      </c>
    </row>
    <row r="21" customFormat="false" ht="15" hidden="false" customHeight="true" outlineLevel="0" collapsed="false">
      <c r="A21" s="5" t="s">
        <v>1144</v>
      </c>
      <c r="B21" s="6" t="n">
        <f aca="false">SUM('Daily Breakdown'!B564:B594)</f>
        <v>163054245371.14</v>
      </c>
      <c r="C21" s="6" t="n">
        <f aca="false">SUM('Daily Breakdown'!C564:C594)</f>
        <v>0</v>
      </c>
      <c r="D21" s="6" t="n">
        <f aca="false">SUM('Daily Breakdown'!D564:D594)</f>
        <v>163054245371.14</v>
      </c>
      <c r="E21" s="6" t="n">
        <f aca="false">SUM('Daily Breakdown'!G564:G594)</f>
        <v>60330070.78</v>
      </c>
      <c r="F21" s="6" t="n">
        <f aca="false">SUM('Daily Breakdown'!J564:J594)</f>
        <v>0</v>
      </c>
      <c r="G21" s="6" t="n">
        <f aca="false">SUM('Daily Breakdown'!L564:L594)</f>
        <v>0</v>
      </c>
      <c r="H21" s="6" t="n">
        <f aca="false">SUM('Daily Breakdown'!F564:F594)</f>
        <v>0</v>
      </c>
      <c r="I21" s="6" t="n">
        <f aca="false">SUM('Daily Breakdown'!N564:N594)</f>
        <v>10510315</v>
      </c>
      <c r="J21" s="6" t="n">
        <f aca="false">SUM('Daily Breakdown'!O564:O594)</f>
        <v>11116222</v>
      </c>
    </row>
    <row r="22" customFormat="false" ht="15" hidden="false" customHeight="true" outlineLevel="0" collapsed="false">
      <c r="A22" s="5" t="s">
        <v>1145</v>
      </c>
      <c r="B22" s="6" t="n">
        <f aca="false">SUM('Daily Breakdown'!B595:B625)</f>
        <v>194978175013.87</v>
      </c>
      <c r="C22" s="6" t="n">
        <f aca="false">SUM('Daily Breakdown'!C595:C625)</f>
        <v>0</v>
      </c>
      <c r="D22" s="6" t="n">
        <f aca="false">SUM('Daily Breakdown'!D595:D625)</f>
        <v>194978175013.87</v>
      </c>
      <c r="E22" s="6" t="n">
        <f aca="false">SUM('Daily Breakdown'!G595:G625)</f>
        <v>72141924.75</v>
      </c>
      <c r="F22" s="6" t="n">
        <f aca="false">SUM('Daily Breakdown'!J595:J625)</f>
        <v>0</v>
      </c>
      <c r="G22" s="6" t="n">
        <f aca="false">SUM('Daily Breakdown'!L595:L625)</f>
        <v>0</v>
      </c>
      <c r="H22" s="6" t="n">
        <f aca="false">SUM('Daily Breakdown'!F595:F625)</f>
        <v>0</v>
      </c>
      <c r="I22" s="6" t="n">
        <f aca="false">SUM('Daily Breakdown'!N595:N625)</f>
        <v>49126542</v>
      </c>
      <c r="J22" s="6" t="n">
        <f aca="false">SUM('Daily Breakdown'!O595:O625)</f>
        <v>52165603</v>
      </c>
    </row>
    <row r="23" customFormat="false" ht="15" hidden="false" customHeight="true" outlineLevel="0" collapsed="false">
      <c r="A23" s="5" t="s">
        <v>1146</v>
      </c>
      <c r="B23" s="6" t="n">
        <f aca="false">SUM('Daily Breakdown'!B626:B653)</f>
        <v>189434572244.71</v>
      </c>
      <c r="C23" s="6" t="n">
        <f aca="false">SUM('Daily Breakdown'!C626:C653)</f>
        <v>0</v>
      </c>
      <c r="D23" s="6" t="n">
        <f aca="false">SUM('Daily Breakdown'!D626:D653)</f>
        <v>189434572244.71</v>
      </c>
      <c r="E23" s="6" t="n">
        <f aca="false">SUM('Daily Breakdown'!G626:G653)</f>
        <v>70211918.91</v>
      </c>
      <c r="F23" s="6" t="n">
        <f aca="false">SUM('Daily Breakdown'!J626:J653)</f>
        <v>0</v>
      </c>
      <c r="G23" s="6" t="n">
        <f aca="false">SUM('Daily Breakdown'!L626:L653)</f>
        <v>0</v>
      </c>
      <c r="H23" s="6" t="n">
        <f aca="false">SUM('Daily Breakdown'!F626:F653)</f>
        <v>121127.18</v>
      </c>
      <c r="I23" s="6" t="n">
        <f aca="false">SUM('Daily Breakdown'!N626:N653)</f>
        <v>44206582</v>
      </c>
      <c r="J23" s="6" t="n">
        <f aca="false">SUM('Daily Breakdown'!O626:O653)</f>
        <v>46585009</v>
      </c>
    </row>
    <row r="24" customFormat="false" ht="15" hidden="false" customHeight="true" outlineLevel="0" collapsed="false">
      <c r="A24" s="5" t="s">
        <v>1147</v>
      </c>
      <c r="B24" s="6" t="n">
        <f aca="false">SUM('Daily Breakdown'!B654:B684)</f>
        <v>170389854258.46</v>
      </c>
      <c r="C24" s="6" t="n">
        <f aca="false">SUM('Daily Breakdown'!C654:C684)</f>
        <v>0</v>
      </c>
      <c r="D24" s="6" t="n">
        <f aca="false">SUM('Daily Breakdown'!D654:D684)</f>
        <v>170389854258.46</v>
      </c>
      <c r="E24" s="6" t="n">
        <f aca="false">SUM('Daily Breakdown'!G654:G684)</f>
        <v>63086569.57</v>
      </c>
      <c r="F24" s="6" t="n">
        <f aca="false">SUM('Daily Breakdown'!J654:J684)</f>
        <v>0</v>
      </c>
      <c r="G24" s="6" t="n">
        <f aca="false">SUM('Daily Breakdown'!L654:L684)</f>
        <v>0</v>
      </c>
      <c r="H24" s="6" t="n">
        <f aca="false">SUM('Daily Breakdown'!F654:F684)</f>
        <v>42323.51</v>
      </c>
      <c r="I24" s="6" t="n">
        <f aca="false">SUM('Daily Breakdown'!N654:N684)</f>
        <v>38687274</v>
      </c>
      <c r="J24" s="6" t="n">
        <f aca="false">SUM('Daily Breakdown'!O654:O684)</f>
        <v>40923469</v>
      </c>
    </row>
    <row r="25" customFormat="false" ht="15" hidden="false" customHeight="true" outlineLevel="0" collapsed="false">
      <c r="A25" s="5" t="s">
        <v>1148</v>
      </c>
      <c r="B25" s="6" t="n">
        <f aca="false">SUM('Daily Breakdown'!B685:B714)</f>
        <v>187687735822.41</v>
      </c>
      <c r="C25" s="6" t="n">
        <f aca="false">SUM('Daily Breakdown'!C685:C714)</f>
        <v>0</v>
      </c>
      <c r="D25" s="6" t="n">
        <f aca="false">SUM('Daily Breakdown'!D685:D714)</f>
        <v>187687735822.41</v>
      </c>
      <c r="E25" s="6" t="n">
        <f aca="false">SUM('Daily Breakdown'!G685:G714)</f>
        <v>69535156.22</v>
      </c>
      <c r="F25" s="6" t="n">
        <f aca="false">SUM('Daily Breakdown'!J685:J714)</f>
        <v>0</v>
      </c>
      <c r="G25" s="6" t="n">
        <f aca="false">SUM('Daily Breakdown'!L685:L714)</f>
        <v>0</v>
      </c>
      <c r="H25" s="6" t="n">
        <f aca="false">SUM('Daily Breakdown'!F685:F714)</f>
        <v>90693.97</v>
      </c>
      <c r="I25" s="6" t="n">
        <f aca="false">SUM('Daily Breakdown'!N685:N714)</f>
        <v>41660180</v>
      </c>
      <c r="J25" s="6" t="n">
        <f aca="false">SUM('Daily Breakdown'!O685:O714)</f>
        <v>44237098</v>
      </c>
    </row>
    <row r="26" customFormat="false" ht="15" hidden="false" customHeight="true" outlineLevel="0" collapsed="false">
      <c r="A26" s="5" t="s">
        <v>1149</v>
      </c>
      <c r="B26" s="6" t="n">
        <f aca="false">SUM('Daily Breakdown'!B715:B745)</f>
        <v>249142483629.9</v>
      </c>
      <c r="C26" s="6" t="n">
        <f aca="false">SUM('Daily Breakdown'!C715:C745)</f>
        <v>0</v>
      </c>
      <c r="D26" s="6" t="n">
        <f aca="false">SUM('Daily Breakdown'!D715:D745)</f>
        <v>249142483629.9</v>
      </c>
      <c r="E26" s="6" t="n">
        <f aca="false">SUM('Daily Breakdown'!G715:G745)</f>
        <v>93185249.84</v>
      </c>
      <c r="F26" s="6" t="n">
        <f aca="false">SUM('Daily Breakdown'!J715:J745)</f>
        <v>0</v>
      </c>
      <c r="G26" s="6" t="n">
        <f aca="false">SUM('Daily Breakdown'!L715:L745)</f>
        <v>0</v>
      </c>
      <c r="H26" s="6" t="n">
        <f aca="false">SUM('Daily Breakdown'!F715:F745)</f>
        <v>1002530.87</v>
      </c>
      <c r="I26" s="6" t="n">
        <f aca="false">SUM('Daily Breakdown'!N715:N745)</f>
        <v>68727160</v>
      </c>
      <c r="J26" s="6" t="n">
        <f aca="false">SUM('Daily Breakdown'!O715:O745)</f>
        <v>72978325</v>
      </c>
    </row>
    <row r="27" customFormat="false" ht="15" hidden="false" customHeight="true" outlineLevel="0" collapsed="false">
      <c r="A27" s="5" t="s">
        <v>1150</v>
      </c>
      <c r="B27" s="6" t="n">
        <f aca="false">SUM('Daily Breakdown'!B746:B775)</f>
        <v>217297856705.76</v>
      </c>
      <c r="C27" s="6" t="n">
        <f aca="false">SUM('Daily Breakdown'!C746:C775)</f>
        <v>0</v>
      </c>
      <c r="D27" s="6" t="n">
        <f aca="false">SUM('Daily Breakdown'!D746:D775)</f>
        <v>217297856705.76</v>
      </c>
      <c r="E27" s="6" t="n">
        <f aca="false">SUM('Daily Breakdown'!G746:G775)</f>
        <v>80967588.64</v>
      </c>
      <c r="F27" s="6" t="n">
        <f aca="false">SUM('Daily Breakdown'!J746:J775)</f>
        <v>0</v>
      </c>
      <c r="G27" s="6" t="n">
        <f aca="false">SUM('Daily Breakdown'!L746:L775)</f>
        <v>0</v>
      </c>
      <c r="H27" s="6" t="n">
        <f aca="false">SUM('Daily Breakdown'!F746:F775)</f>
        <v>567381.67</v>
      </c>
      <c r="I27" s="6" t="n">
        <f aca="false">SUM('Daily Breakdown'!N746:N775)</f>
        <v>59460178</v>
      </c>
      <c r="J27" s="6" t="n">
        <f aca="false">SUM('Daily Breakdown'!O746:O775)</f>
        <v>63138126</v>
      </c>
    </row>
    <row r="28" customFormat="false" ht="15" hidden="false" customHeight="true" outlineLevel="0" collapsed="false">
      <c r="A28" s="5" t="s">
        <v>1151</v>
      </c>
      <c r="B28" s="6" t="n">
        <f aca="false">SUM('Daily Breakdown'!B776:B806)</f>
        <v>320245098154.97</v>
      </c>
      <c r="C28" s="6" t="n">
        <f aca="false">SUM('Daily Breakdown'!C776:C806)</f>
        <v>0</v>
      </c>
      <c r="D28" s="6" t="n">
        <f aca="false">SUM('Daily Breakdown'!D776:D806)</f>
        <v>320245098154.97</v>
      </c>
      <c r="E28" s="6" t="n">
        <f aca="false">SUM('Daily Breakdown'!G776:G806)</f>
        <v>119165980.56</v>
      </c>
      <c r="F28" s="6" t="n">
        <f aca="false">SUM('Daily Breakdown'!J776:J806)</f>
        <v>0</v>
      </c>
      <c r="G28" s="6" t="n">
        <f aca="false">SUM('Daily Breakdown'!L776:L806)</f>
        <v>0</v>
      </c>
      <c r="H28" s="6" t="n">
        <f aca="false">SUM('Daily Breakdown'!F776:F806)</f>
        <v>675294.26</v>
      </c>
      <c r="I28" s="6" t="n">
        <f aca="false">SUM('Daily Breakdown'!N776:N806)</f>
        <v>90799094</v>
      </c>
      <c r="J28" s="6" t="n">
        <f aca="false">SUM('Daily Breakdown'!O776:O806)</f>
        <v>96415361</v>
      </c>
    </row>
    <row r="29" customFormat="false" ht="15" hidden="false" customHeight="true" outlineLevel="0" collapsed="false">
      <c r="A29" s="5" t="s">
        <v>1152</v>
      </c>
      <c r="B29" s="6" t="n">
        <f aca="false">SUM('Daily Breakdown'!B807:B837)</f>
        <v>400555699559.93</v>
      </c>
      <c r="C29" s="6" t="n">
        <f aca="false">SUM('Daily Breakdown'!C807:C837)</f>
        <v>0</v>
      </c>
      <c r="D29" s="6" t="n">
        <f aca="false">SUM('Daily Breakdown'!D807:D837)</f>
        <v>400555699559.93</v>
      </c>
      <c r="E29" s="6" t="n">
        <f aca="false">SUM('Daily Breakdown'!G807:G837)</f>
        <v>149087093.03</v>
      </c>
      <c r="F29" s="6" t="n">
        <f aca="false">SUM('Daily Breakdown'!J807:J837)</f>
        <v>0</v>
      </c>
      <c r="G29" s="6" t="n">
        <f aca="false">SUM('Daily Breakdown'!L807:L837)</f>
        <v>0</v>
      </c>
      <c r="H29" s="6" t="n">
        <f aca="false">SUM('Daily Breakdown'!F807:F837)</f>
        <v>881484.21</v>
      </c>
      <c r="I29" s="6" t="n">
        <f aca="false">SUM('Daily Breakdown'!N807:N837)</f>
        <v>127728272</v>
      </c>
      <c r="J29" s="6" t="n">
        <f aca="false">SUM('Daily Breakdown'!O807:O837)</f>
        <v>145395806</v>
      </c>
    </row>
    <row r="30" customFormat="false" ht="15" hidden="false" customHeight="true" outlineLevel="0" collapsed="false">
      <c r="A30" s="5" t="s">
        <v>1153</v>
      </c>
      <c r="B30" s="6" t="n">
        <f aca="false">SUM('Daily Breakdown'!B838:B867)</f>
        <v>274958382197.98</v>
      </c>
      <c r="C30" s="6" t="n">
        <f aca="false">SUM('Daily Breakdown'!C838:C867)</f>
        <v>0</v>
      </c>
      <c r="D30" s="6" t="n">
        <f aca="false">SUM('Daily Breakdown'!D838:D867)</f>
        <v>274958382197.98</v>
      </c>
      <c r="E30" s="6" t="n">
        <f aca="false">SUM('Daily Breakdown'!G838:G867)</f>
        <v>103235836.97</v>
      </c>
      <c r="F30" s="6" t="n">
        <f aca="false">SUM('Daily Breakdown'!J838:J867)</f>
        <v>0</v>
      </c>
      <c r="G30" s="6" t="n">
        <f aca="false">SUM('Daily Breakdown'!L838:L867)</f>
        <v>0</v>
      </c>
      <c r="H30" s="6" t="n">
        <f aca="false">SUM('Daily Breakdown'!F838:F867)</f>
        <v>1501235.55</v>
      </c>
      <c r="I30" s="6" t="n">
        <f aca="false">SUM('Daily Breakdown'!N838:N867)</f>
        <v>98239623</v>
      </c>
      <c r="J30" s="6" t="n">
        <f aca="false">SUM('Daily Breakdown'!O838:O867)</f>
        <v>113136362</v>
      </c>
    </row>
    <row r="31" customFormat="false" ht="15" hidden="false" customHeight="true" outlineLevel="0" collapsed="false">
      <c r="A31" s="5" t="s">
        <v>1154</v>
      </c>
      <c r="B31" s="6" t="n">
        <f aca="false">SUM('Daily Breakdown'!B868:B898)</f>
        <v>318837287306.23</v>
      </c>
      <c r="C31" s="6" t="n">
        <f aca="false">SUM('Daily Breakdown'!C868:C898)</f>
        <v>755640862.18</v>
      </c>
      <c r="D31" s="6" t="n">
        <f aca="false">SUM('Daily Breakdown'!D868:D898)</f>
        <v>319592928168.4</v>
      </c>
      <c r="E31" s="6" t="n">
        <f aca="false">SUM('Daily Breakdown'!G868:G898)</f>
        <v>120192835.83</v>
      </c>
      <c r="F31" s="6" t="n">
        <f aca="false">SUM('Daily Breakdown'!J868:J898)</f>
        <v>279587.118904784</v>
      </c>
      <c r="G31" s="6" t="n">
        <f aca="false">SUM('Daily Breakdown'!L868:L898)</f>
        <v>555309.91</v>
      </c>
      <c r="H31" s="6" t="n">
        <f aca="false">SUM('Daily Breakdown'!F868:F898)</f>
        <v>1943452.43</v>
      </c>
      <c r="I31" s="6" t="n">
        <f aca="false">SUM('Daily Breakdown'!N868:N898)</f>
        <v>104550047</v>
      </c>
      <c r="J31" s="6" t="n">
        <f aca="false">SUM('Daily Breakdown'!O868:O898)</f>
        <v>117061228</v>
      </c>
    </row>
    <row r="32" customFormat="false" ht="15" hidden="false" customHeight="true" outlineLevel="0" collapsed="false">
      <c r="A32" s="5" t="s">
        <v>1155</v>
      </c>
      <c r="B32" s="6" t="n">
        <f aca="false">SUM('Daily Breakdown'!B899:B928)</f>
        <v>249369463108.13</v>
      </c>
      <c r="C32" s="6" t="n">
        <f aca="false">SUM('Daily Breakdown'!C899:C928)</f>
        <v>4211312412.13</v>
      </c>
      <c r="D32" s="6" t="n">
        <f aca="false">SUM('Daily Breakdown'!D899:D928)</f>
        <v>253580775520.19</v>
      </c>
      <c r="E32" s="6" t="n">
        <f aca="false">SUM('Daily Breakdown'!G899:G928)</f>
        <v>94987044.37</v>
      </c>
      <c r="F32" s="6" t="n">
        <f aca="false">SUM('Daily Breakdown'!J899:J928)</f>
        <v>1558185.59243765</v>
      </c>
      <c r="G32" s="6" t="n">
        <f aca="false">SUM('Daily Breakdown'!L899:L928)</f>
        <v>3018211.92</v>
      </c>
      <c r="H32" s="6" t="n">
        <f aca="false">SUM('Daily Breakdown'!F899:F928)</f>
        <v>1162157.44</v>
      </c>
      <c r="I32" s="6" t="n">
        <f aca="false">SUM('Daily Breakdown'!N899:N928)</f>
        <v>89878614</v>
      </c>
      <c r="J32" s="6" t="n">
        <f aca="false">SUM('Daily Breakdown'!O899:O928)</f>
        <v>100711740</v>
      </c>
    </row>
    <row r="33" customFormat="false" ht="15" hidden="false" customHeight="true" outlineLevel="0" collapsed="false">
      <c r="A33" s="5" t="s">
        <v>1156</v>
      </c>
      <c r="B33" s="6" t="n">
        <f aca="false">SUM('Daily Breakdown'!B929:B959)</f>
        <v>164551379458.22</v>
      </c>
      <c r="C33" s="6" t="n">
        <f aca="false">SUM('Daily Breakdown'!C929:C959)</f>
        <v>8131023211.79</v>
      </c>
      <c r="D33" s="6" t="n">
        <f aca="false">SUM('Daily Breakdown'!D929:D959)</f>
        <v>172682402670.01</v>
      </c>
      <c r="E33" s="6" t="n">
        <f aca="false">SUM('Daily Breakdown'!G929:G959)</f>
        <v>64594583.4</v>
      </c>
      <c r="F33" s="6" t="n">
        <f aca="false">SUM('Daily Breakdown'!J929:J959)</f>
        <v>3008478.58746073</v>
      </c>
      <c r="G33" s="6" t="n">
        <f aca="false">SUM('Daily Breakdown'!L929:L959)</f>
        <v>5722118.53</v>
      </c>
      <c r="H33" s="6" t="n">
        <f aca="false">SUM('Daily Breakdown'!F929:F959)</f>
        <v>702094.42</v>
      </c>
      <c r="I33" s="6" t="n">
        <f aca="false">SUM('Daily Breakdown'!N929:N959)</f>
        <v>60628332</v>
      </c>
      <c r="J33" s="6" t="n">
        <f aca="false">SUM('Daily Breakdown'!O929:O959)</f>
        <v>68765847</v>
      </c>
    </row>
    <row r="34" customFormat="false" ht="15" hidden="false" customHeight="true" outlineLevel="0" collapsed="false">
      <c r="A34" s="5" t="s">
        <v>1157</v>
      </c>
      <c r="B34" s="6" t="n">
        <f aca="false">SUM('Daily Breakdown'!B960:B990)</f>
        <v>188327884218.29</v>
      </c>
      <c r="C34" s="6" t="n">
        <f aca="false">SUM('Daily Breakdown'!C960:C990)</f>
        <v>24979719988.32</v>
      </c>
      <c r="D34" s="6" t="n">
        <f aca="false">SUM('Daily Breakdown'!D960:D990)</f>
        <v>213307604206.57</v>
      </c>
      <c r="E34" s="6" t="n">
        <f aca="false">SUM('Daily Breakdown'!G960:G990)</f>
        <v>79541393.44</v>
      </c>
      <c r="F34" s="6" t="n">
        <f aca="false">SUM('Daily Breakdown'!J960:J990)</f>
        <v>9242496.39834248</v>
      </c>
      <c r="G34" s="6" t="n">
        <f aca="false">SUM('Daily Breakdown'!L960:L990)</f>
        <v>15705632.82</v>
      </c>
      <c r="H34" s="6" t="n">
        <f aca="false">SUM('Daily Breakdown'!F960:F990)</f>
        <v>617579.87</v>
      </c>
      <c r="I34" s="6" t="n">
        <f aca="false">SUM('Daily Breakdown'!N960:N990)</f>
        <v>68792903</v>
      </c>
      <c r="J34" s="6" t="n">
        <f aca="false">SUM('Daily Breakdown'!O960:O990)</f>
        <v>76558259</v>
      </c>
    </row>
    <row r="35" customFormat="false" ht="15" hidden="false" customHeight="true" outlineLevel="0" collapsed="false">
      <c r="A35" s="5" t="s">
        <v>1158</v>
      </c>
      <c r="B35" s="6" t="n">
        <f aca="false">SUM('Daily Breakdown'!B991:B1018)</f>
        <v>166082494647.76</v>
      </c>
      <c r="C35" s="6" t="n">
        <f aca="false">SUM('Daily Breakdown'!C991:C1018)</f>
        <v>40443835271.83</v>
      </c>
      <c r="D35" s="6" t="n">
        <f aca="false">SUM('Daily Breakdown'!D991:D1018)</f>
        <v>206526329919.58</v>
      </c>
      <c r="E35" s="6" t="n">
        <f aca="false">SUM('Daily Breakdown'!G991:G1018)</f>
        <v>77160581.73</v>
      </c>
      <c r="F35" s="6" t="n">
        <f aca="false">SUM('Daily Breakdown'!J991:J1018)</f>
        <v>14964219.0465107</v>
      </c>
      <c r="G35" s="6" t="n">
        <f aca="false">SUM('Daily Breakdown'!L991:L1018)</f>
        <v>24616417.13</v>
      </c>
      <c r="H35" s="6" t="n">
        <f aca="false">SUM('Daily Breakdown'!F991:F1018)</f>
        <v>745839.68</v>
      </c>
      <c r="I35" s="6" t="n">
        <f aca="false">SUM('Daily Breakdown'!N991:N1018)</f>
        <v>62064961</v>
      </c>
      <c r="J35" s="6" t="n">
        <f aca="false">SUM('Daily Breakdown'!O991:O1018)</f>
        <v>69276165</v>
      </c>
    </row>
    <row r="36" customFormat="false" ht="15" hidden="false" customHeight="true" outlineLevel="0" collapsed="false">
      <c r="A36" s="5" t="s">
        <v>1159</v>
      </c>
      <c r="B36" s="6" t="n">
        <f aca="false">SUM('Daily Breakdown'!B1019:B1049)</f>
        <v>145768001777.64</v>
      </c>
      <c r="C36" s="6" t="n">
        <f aca="false">SUM('Daily Breakdown'!C1019:C1049)</f>
        <v>68661612988.81</v>
      </c>
      <c r="D36" s="6" t="n">
        <f aca="false">SUM('Daily Breakdown'!D1019:D1049)</f>
        <v>214429614766.42</v>
      </c>
      <c r="E36" s="6" t="n">
        <f aca="false">SUM('Daily Breakdown'!G1019:G1049)</f>
        <v>79829480.96</v>
      </c>
      <c r="F36" s="6" t="n">
        <f aca="false">SUM('Daily Breakdown'!J1019:J1049)</f>
        <v>25404796.8028915</v>
      </c>
      <c r="G36" s="6" t="n">
        <f aca="false">SUM('Daily Breakdown'!L1019:L1049)</f>
        <v>37966438.38</v>
      </c>
      <c r="H36" s="6" t="n">
        <f aca="false">SUM('Daily Breakdown'!F1019:F1049)</f>
        <v>490523.5</v>
      </c>
      <c r="I36" s="6" t="n">
        <f aca="false">SUM('Daily Breakdown'!N1019:N1049)</f>
        <v>61400023</v>
      </c>
      <c r="J36" s="6" t="n">
        <f aca="false">SUM('Daily Breakdown'!O1019:O1049)</f>
        <v>69123186</v>
      </c>
    </row>
    <row r="37" customFormat="false" ht="15" hidden="false" customHeight="true" outlineLevel="0" collapsed="false">
      <c r="A37" s="5" t="s">
        <v>1160</v>
      </c>
      <c r="B37" s="6" t="n">
        <f aca="false">SUM('Daily Breakdown'!B1050:B1079)</f>
        <v>121944395204.01</v>
      </c>
      <c r="C37" s="6" t="n">
        <f aca="false">SUM('Daily Breakdown'!C1050:C1079)</f>
        <v>65070104025.94</v>
      </c>
      <c r="D37" s="6" t="n">
        <f aca="false">SUM('Daily Breakdown'!D1050:D1079)</f>
        <v>187014499229.98</v>
      </c>
      <c r="E37" s="6" t="n">
        <f aca="false">SUM('Daily Breakdown'!G1050:G1079)</f>
        <v>69453874.18</v>
      </c>
      <c r="F37" s="6" t="n">
        <f aca="false">SUM('Daily Breakdown'!J1050:J1079)</f>
        <v>24075938.4903257</v>
      </c>
      <c r="G37" s="6" t="n">
        <f aca="false">SUM('Daily Breakdown'!L1050:L1079)</f>
        <v>35334750.94</v>
      </c>
      <c r="H37" s="6" t="n">
        <f aca="false">SUM('Daily Breakdown'!F1050:F1079)</f>
        <v>258509.46</v>
      </c>
      <c r="I37" s="6" t="n">
        <f aca="false">SUM('Daily Breakdown'!N1050:N1079)</f>
        <v>52216846</v>
      </c>
      <c r="J37" s="6" t="n">
        <f aca="false">SUM('Daily Breakdown'!O1050:O1079)</f>
        <v>58772635</v>
      </c>
    </row>
    <row r="38" customFormat="false" ht="15" hidden="false" customHeight="true" outlineLevel="0" collapsed="false">
      <c r="A38" s="5" t="s">
        <v>1161</v>
      </c>
      <c r="B38" s="6" t="n">
        <f aca="false">SUM('Daily Breakdown'!B1080:B1097)</f>
        <v>76033314215</v>
      </c>
      <c r="C38" s="6" t="n">
        <f aca="false">SUM('Daily Breakdown'!C1080:C1097)</f>
        <v>37160084664.33</v>
      </c>
      <c r="D38" s="6" t="n">
        <f aca="false">SUM('Daily Breakdown'!D1080:D1097)</f>
        <v>113193398879.36</v>
      </c>
      <c r="E38" s="6" t="n">
        <f aca="false">SUM('Daily Breakdown'!G1080:G1097)</f>
        <v>42177330.17</v>
      </c>
      <c r="F38" s="6" t="n">
        <f aca="false">SUM('Daily Breakdown'!J1080:J1097)</f>
        <v>13749231.3178608</v>
      </c>
      <c r="G38" s="6" t="n">
        <f aca="false">SUM('Daily Breakdown'!L1080:L1097)</f>
        <v>20368316.64</v>
      </c>
      <c r="H38" s="6" t="n">
        <f aca="false">SUM('Daily Breakdown'!F1080:F1097)</f>
        <v>295772.61</v>
      </c>
      <c r="I38" s="6" t="n">
        <f aca="false">SUM('Daily Breakdown'!N1080:N1097)</f>
        <v>31448582</v>
      </c>
      <c r="J38" s="6" t="n">
        <f aca="false">SUM('Daily Breakdown'!O1080:O1097)</f>
        <v>35102304</v>
      </c>
    </row>
    <row r="39" customFormat="false" ht="15" hidden="false" customHeight="true" outlineLevel="0" collapsed="false">
      <c r="A39" s="12" t="s">
        <v>1162</v>
      </c>
      <c r="B39" s="13" t="n">
        <f aca="false">SUM(B2:B38)</f>
        <v>4252886729228.28</v>
      </c>
      <c r="C39" s="13" t="n">
        <f aca="false">SUM(C2:C38)</f>
        <v>249413333425.33</v>
      </c>
      <c r="D39" s="13" t="n">
        <f aca="false">SUM(D2:D38)</f>
        <v>4502300062653.51</v>
      </c>
      <c r="E39" s="13" t="n">
        <f aca="false">SUM(E2:E38)</f>
        <v>1676949023.6</v>
      </c>
      <c r="F39" s="13" t="n">
        <f aca="false">SUM(F2:F38)</f>
        <v>92282933.3547344</v>
      </c>
      <c r="G39" s="13" t="n">
        <f aca="false">SUM(G2:G38)</f>
        <v>143287196.27</v>
      </c>
      <c r="H39" s="13" t="n">
        <f aca="false">SUM(H2:H38)</f>
        <v>11098000.63</v>
      </c>
      <c r="I39" s="13" t="n">
        <f aca="false">SUM(I2:I38)</f>
        <v>1160125528</v>
      </c>
      <c r="J39" s="13" t="n">
        <f aca="false">SUM(J2:J38)</f>
        <v>1281462745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6"/>
  </cols>
  <sheetData>
    <row r="1" customFormat="false" ht="15.75" hidden="false" customHeight="true" outlineLevel="0" collapsed="false">
      <c r="A1" s="14" t="s">
        <v>1163</v>
      </c>
      <c r="B1" s="5"/>
    </row>
    <row r="2" customFormat="false" ht="15" hidden="false" customHeight="true" outlineLevel="0" collapsed="false">
      <c r="A2" s="5"/>
      <c r="B2" s="5"/>
    </row>
    <row r="3" customFormat="false" ht="15" hidden="false" customHeight="true" outlineLevel="0" collapsed="false">
      <c r="A3" s="15" t="s">
        <v>1164</v>
      </c>
      <c r="B3" s="15" t="s">
        <v>1165</v>
      </c>
    </row>
    <row r="4" customFormat="false" ht="15" hidden="false" customHeight="true" outlineLevel="0" collapsed="false">
      <c r="A4" s="5" t="s">
        <v>1166</v>
      </c>
      <c r="B4" s="5" t="n">
        <f aca="false">COUNTA('Daily Breakdown'!A3:A1097)</f>
        <v>1095</v>
      </c>
    </row>
    <row r="5" customFormat="false" ht="15" hidden="false" customHeight="true" outlineLevel="0" collapsed="false">
      <c r="A5" s="5" t="s">
        <v>1167</v>
      </c>
      <c r="B5" s="5" t="s">
        <v>1168</v>
      </c>
    </row>
    <row r="6" customFormat="false" ht="15" hidden="false" customHeight="true" outlineLevel="0" collapsed="false">
      <c r="A6" s="5" t="s">
        <v>1169</v>
      </c>
      <c r="B6" s="5" t="s">
        <v>904</v>
      </c>
    </row>
    <row r="7" customFormat="false" ht="15" hidden="false" customHeight="true" outlineLevel="0" collapsed="false">
      <c r="A7" s="5" t="s">
        <v>1170</v>
      </c>
      <c r="B7" s="5" t="s">
        <v>1171</v>
      </c>
    </row>
    <row r="8" customFormat="false" ht="15" hidden="false" customHeight="true" outlineLevel="0" collapsed="false">
      <c r="A8" s="5"/>
      <c r="B8" s="5"/>
    </row>
    <row r="9" customFormat="false" ht="15" hidden="false" customHeight="true" outlineLevel="0" collapsed="false">
      <c r="A9" s="15" t="s">
        <v>1172</v>
      </c>
      <c r="B9" s="5"/>
    </row>
    <row r="10" customFormat="false" ht="15" hidden="false" customHeight="true" outlineLevel="0" collapsed="false">
      <c r="A10" s="5" t="s">
        <v>1173</v>
      </c>
      <c r="B10" s="6" t="n">
        <f aca="false">SUM('Daily Breakdown'!G3:G1097)</f>
        <v>1676949023.6</v>
      </c>
    </row>
    <row r="11" customFormat="false" ht="15" hidden="false" customHeight="true" outlineLevel="0" collapsed="false">
      <c r="A11" s="5" t="s">
        <v>1174</v>
      </c>
      <c r="B11" s="6" t="n">
        <f aca="false">SUM('Daily Breakdown'!E3:E1097)+SUM('Daily Breakdown'!F3:F1097)</f>
        <v>1676949023.6</v>
      </c>
    </row>
    <row r="12" customFormat="false" ht="15" hidden="false" customHeight="true" outlineLevel="0" collapsed="false">
      <c r="A12" s="5" t="s">
        <v>1175</v>
      </c>
      <c r="B12" s="6" t="n">
        <f aca="false">B10-B11</f>
        <v>0</v>
      </c>
    </row>
    <row r="13" customFormat="false" ht="15" hidden="false" customHeight="true" outlineLevel="0" collapsed="false">
      <c r="A13" s="5" t="s">
        <v>1176</v>
      </c>
      <c r="B13" s="6" t="n">
        <f aca="false">SUM('Daily Breakdown'!J3:J1097)+SUM('Daily Breakdown'!K3:K1097)</f>
        <v>1665851022.97004</v>
      </c>
    </row>
    <row r="14" customFormat="false" ht="15" hidden="false" customHeight="true" outlineLevel="0" collapsed="false">
      <c r="A14" s="5" t="s">
        <v>1177</v>
      </c>
      <c r="B14" s="6" t="n">
        <f aca="false">SUM('Daily Breakdown'!E3:E1097)</f>
        <v>1665851022.97</v>
      </c>
    </row>
    <row r="15" customFormat="false" ht="15" hidden="false" customHeight="true" outlineLevel="0" collapsed="false">
      <c r="A15" s="5" t="s">
        <v>1175</v>
      </c>
      <c r="B15" s="6" t="n">
        <f aca="false">B13-B14</f>
        <v>3.69548797607422E-005</v>
      </c>
    </row>
    <row r="16" customFormat="false" ht="15" hidden="false" customHeight="true" outlineLevel="0" collapsed="false">
      <c r="A16" s="5" t="s">
        <v>1178</v>
      </c>
      <c r="B16" s="6" t="n">
        <f aca="false">SUM('Daily Breakdown'!L3:L1097)+SUM('Daily Breakdown'!M3:M1097)</f>
        <v>1665851022.98</v>
      </c>
    </row>
    <row r="17" customFormat="false" ht="15" hidden="false" customHeight="true" outlineLevel="0" collapsed="false">
      <c r="A17" s="5" t="s">
        <v>1177</v>
      </c>
      <c r="B17" s="6" t="n">
        <f aca="false">SUM('Daily Breakdown'!E3:E1097)</f>
        <v>1665851022.97</v>
      </c>
    </row>
    <row r="18" customFormat="false" ht="15" hidden="false" customHeight="true" outlineLevel="0" collapsed="false">
      <c r="A18" s="5" t="s">
        <v>1175</v>
      </c>
      <c r="B18" s="6" t="n">
        <f aca="false">B16-B17</f>
        <v>0.00999999046325684</v>
      </c>
    </row>
    <row r="19" customFormat="false" ht="15" hidden="false" customHeight="true" outlineLevel="0" collapsed="false">
      <c r="A19" s="5"/>
      <c r="B19" s="5"/>
    </row>
    <row r="20" customFormat="false" ht="15" hidden="false" customHeight="true" outlineLevel="0" collapsed="false">
      <c r="A20" s="15" t="s">
        <v>1179</v>
      </c>
      <c r="B20" s="5"/>
    </row>
    <row r="21" customFormat="false" ht="15" hidden="false" customHeight="true" outlineLevel="0" collapsed="false">
      <c r="A21" s="5" t="s">
        <v>1180</v>
      </c>
      <c r="B21" s="16" t="n">
        <f aca="false">SUMPRODUCT(('Daily Breakdown'!O3:O1097&lt;&gt;"")*'Daily Breakdown'!G3:G1097)</f>
        <v>1453359795.39</v>
      </c>
    </row>
    <row r="22" customFormat="false" ht="15" hidden="false" customHeight="true" outlineLevel="0" collapsed="false">
      <c r="A22" s="5" t="s">
        <v>1181</v>
      </c>
      <c r="B22" s="6" t="n">
        <f aca="false">SUM('Daily Breakdown'!O3:O1097)</f>
        <v>1281462745</v>
      </c>
    </row>
    <row r="23" customFormat="false" ht="15" hidden="false" customHeight="true" outlineLevel="0" collapsed="false">
      <c r="A23" s="5" t="s">
        <v>1182</v>
      </c>
      <c r="B23" s="17" t="n">
        <f aca="false">B21/B22</f>
        <v>1.13414127805175</v>
      </c>
    </row>
    <row r="24" customFormat="false" ht="15" hidden="false" customHeight="true" outlineLevel="0" collapsed="false">
      <c r="A24" s="5" t="s">
        <v>1183</v>
      </c>
      <c r="B24" s="6" t="n">
        <f aca="false">SUM('Daily Breakdown'!N3:N1097)</f>
        <v>1160125528</v>
      </c>
    </row>
    <row r="25" customFormat="false" ht="15" hidden="false" customHeight="true" outlineLevel="0" collapsed="false">
      <c r="A25" s="5" t="s">
        <v>1184</v>
      </c>
      <c r="B25" s="17" t="n">
        <f aca="false">B24/B22</f>
        <v>0.90531350406133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8"/>
  </cols>
  <sheetData>
    <row r="1" customFormat="false" ht="15.75" hidden="false" customHeight="true" outlineLevel="0" collapsed="false">
      <c r="A1" s="14" t="s">
        <v>1185</v>
      </c>
      <c r="B1" s="5"/>
    </row>
    <row r="2" customFormat="false" ht="15" hidden="false" customHeight="true" outlineLevel="0" collapsed="false">
      <c r="A2" s="5"/>
      <c r="B2" s="5"/>
    </row>
    <row r="3" customFormat="false" ht="15" hidden="false" customHeight="true" outlineLevel="0" collapsed="false">
      <c r="A3" s="15" t="s">
        <v>1186</v>
      </c>
      <c r="B3" s="5"/>
    </row>
    <row r="4" customFormat="false" ht="15" hidden="false" customHeight="true" outlineLevel="0" collapsed="false">
      <c r="A4" s="5" t="s">
        <v>1187</v>
      </c>
      <c r="B4" s="5" t="s">
        <v>1188</v>
      </c>
    </row>
    <row r="5" customFormat="false" ht="15" hidden="false" customHeight="true" outlineLevel="0" collapsed="false">
      <c r="A5" s="5"/>
      <c r="B5" s="5" t="s">
        <v>1189</v>
      </c>
    </row>
    <row r="6" customFormat="false" ht="15" hidden="false" customHeight="true" outlineLevel="0" collapsed="false">
      <c r="A6" s="5" t="s">
        <v>1190</v>
      </c>
      <c r="B6" s="5" t="s">
        <v>1191</v>
      </c>
    </row>
    <row r="7" customFormat="false" ht="15" hidden="false" customHeight="true" outlineLevel="0" collapsed="false">
      <c r="A7" s="5"/>
      <c r="B7" s="5" t="s">
        <v>1192</v>
      </c>
    </row>
    <row r="8" customFormat="false" ht="15" hidden="false" customHeight="true" outlineLevel="0" collapsed="false">
      <c r="A8" s="5"/>
      <c r="B8" s="5"/>
    </row>
    <row r="9" customFormat="false" ht="15" hidden="false" customHeight="true" outlineLevel="0" collapsed="false">
      <c r="A9" s="15" t="s">
        <v>1193</v>
      </c>
      <c r="B9" s="5"/>
    </row>
    <row r="10" customFormat="false" ht="15" hidden="false" customHeight="true" outlineLevel="0" collapsed="false">
      <c r="A10" s="5" t="s">
        <v>1194</v>
      </c>
      <c r="B10" s="5" t="s">
        <v>1195</v>
      </c>
    </row>
    <row r="11" customFormat="false" ht="15" hidden="false" customHeight="true" outlineLevel="0" collapsed="false">
      <c r="A11" s="5"/>
      <c r="B11" s="5" t="s">
        <v>1196</v>
      </c>
    </row>
    <row r="12" customFormat="false" ht="15" hidden="false" customHeight="true" outlineLevel="0" collapsed="false">
      <c r="A12" s="5" t="s">
        <v>1197</v>
      </c>
      <c r="B12" s="5" t="s">
        <v>1198</v>
      </c>
    </row>
    <row r="13" customFormat="false" ht="15" hidden="false" customHeight="true" outlineLevel="0" collapsed="false">
      <c r="A13" s="5"/>
      <c r="B13" s="5" t="s">
        <v>1199</v>
      </c>
    </row>
    <row r="14" customFormat="false" ht="15" hidden="false" customHeight="true" outlineLevel="0" collapsed="false">
      <c r="A14" s="5" t="s">
        <v>1200</v>
      </c>
      <c r="B14" s="5" t="s">
        <v>1201</v>
      </c>
    </row>
    <row r="15" customFormat="false" ht="15" hidden="false" customHeight="true" outlineLevel="0" collapsed="false">
      <c r="A15" s="5"/>
      <c r="B15" s="5" t="s">
        <v>1202</v>
      </c>
    </row>
    <row r="16" customFormat="false" ht="15" hidden="false" customHeight="true" outlineLevel="0" collapsed="false">
      <c r="A16" s="5" t="s">
        <v>1203</v>
      </c>
      <c r="B16" s="5" t="s">
        <v>1204</v>
      </c>
    </row>
    <row r="17" customFormat="false" ht="15" hidden="false" customHeight="true" outlineLevel="0" collapsed="false">
      <c r="A17" s="5"/>
      <c r="B17" s="5" t="s">
        <v>1205</v>
      </c>
    </row>
    <row r="18" customFormat="false" ht="15" hidden="false" customHeight="true" outlineLevel="0" collapsed="false">
      <c r="A18" s="5" t="s">
        <v>1206</v>
      </c>
      <c r="B18" s="5" t="s">
        <v>1207</v>
      </c>
    </row>
    <row r="19" customFormat="false" ht="15" hidden="false" customHeight="true" outlineLevel="0" collapsed="false">
      <c r="A19" s="5"/>
      <c r="B19" s="5" t="s">
        <v>1208</v>
      </c>
    </row>
    <row r="20" customFormat="false" ht="15" hidden="false" customHeight="true" outlineLevel="0" collapsed="false">
      <c r="A20" s="5" t="s">
        <v>1209</v>
      </c>
      <c r="B20" s="5" t="s">
        <v>1210</v>
      </c>
    </row>
    <row r="21" customFormat="false" ht="15" hidden="false" customHeight="true" outlineLevel="0" collapsed="false">
      <c r="A21" s="5" t="s">
        <v>1211</v>
      </c>
      <c r="B21" s="5" t="s">
        <v>1212</v>
      </c>
    </row>
    <row r="22" customFormat="false" ht="15" hidden="false" customHeight="true" outlineLevel="0" collapsed="false">
      <c r="A22" s="5"/>
      <c r="B22" s="5" t="s">
        <v>1213</v>
      </c>
    </row>
    <row r="23" customFormat="false" ht="15" hidden="false" customHeight="true" outlineLevel="0" collapsed="false">
      <c r="A23" s="5"/>
      <c r="B23" s="5"/>
    </row>
    <row r="24" customFormat="false" ht="15" hidden="false" customHeight="true" outlineLevel="0" collapsed="false">
      <c r="A24" s="15" t="s">
        <v>1214</v>
      </c>
      <c r="B24" s="5"/>
    </row>
    <row r="25" customFormat="false" ht="15" hidden="false" customHeight="true" outlineLevel="0" collapsed="false">
      <c r="A25" s="5"/>
      <c r="B25" s="5" t="s">
        <v>1215</v>
      </c>
    </row>
    <row r="26" customFormat="false" ht="15" hidden="false" customHeight="true" outlineLevel="0" collapsed="false">
      <c r="A26" s="5"/>
      <c r="B26" s="5" t="s">
        <v>1216</v>
      </c>
    </row>
    <row r="27" customFormat="false" ht="15" hidden="false" customHeight="true" outlineLevel="0" collapsed="false">
      <c r="A27" s="5"/>
      <c r="B27" s="5" t="s">
        <v>1217</v>
      </c>
    </row>
    <row r="28" customFormat="false" ht="15" hidden="false" customHeight="true" outlineLevel="0" collapsed="false">
      <c r="A28" s="5"/>
      <c r="B28" s="5" t="s">
        <v>1218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2026-05-19T06:35:10Z</dcterms:created>
  <dc:creator>openpyxl</dc:creator>
  <dc:description/>
  <dc:language>en-US</dc:language>
  <cp:lastModifiedBy/>
  <dcterms:modified xsi:type="dcterms:W3CDTF">2026-05-19T06:35:43Z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