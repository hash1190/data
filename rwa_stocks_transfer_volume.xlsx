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AppData\Local\Temp\rwa_recalc\"/>
    </mc:Choice>
  </mc:AlternateContent>
  <xr:revisionPtr revIDLastSave="0" documentId="13_ncr:1_{F9B4CDF6-1E87-4C94-882D-67D9E79709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" sheetId="1" r:id="rId1"/>
    <sheet name="Monthly" sheetId="2" r:id="rId2"/>
  </sheets>
  <calcPr calcId="191029"/>
</workbook>
</file>

<file path=xl/calcChain.xml><?xml version="1.0" encoding="utf-8"?>
<calcChain xmlns="http://schemas.openxmlformats.org/spreadsheetml/2006/main">
  <c r="S22" i="2" l="1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T22" i="2" s="1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T21" i="2" s="1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T18" i="2" s="1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T14" i="2" s="1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T10" i="2" s="1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T9" i="2" s="1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T5" i="2" s="1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T7" i="2" l="1"/>
  <c r="T11" i="2"/>
  <c r="V11" i="2" s="1"/>
  <c r="T15" i="2"/>
  <c r="V16" i="2" s="1"/>
  <c r="T19" i="2"/>
  <c r="U19" i="2" s="1"/>
  <c r="T2" i="2"/>
  <c r="V3" i="2" s="1"/>
  <c r="T3" i="2"/>
  <c r="U3" i="2" s="1"/>
  <c r="T8" i="2"/>
  <c r="V9" i="2" s="1"/>
  <c r="T16" i="2"/>
  <c r="U16" i="2" s="1"/>
  <c r="T12" i="2"/>
  <c r="T13" i="2"/>
  <c r="U13" i="2" s="1"/>
  <c r="T17" i="2"/>
  <c r="U17" i="2" s="1"/>
  <c r="T20" i="2"/>
  <c r="T6" i="2"/>
  <c r="V7" i="2" s="1"/>
  <c r="U22" i="2"/>
  <c r="T4" i="2"/>
  <c r="V5" i="2" s="1"/>
  <c r="U10" i="2"/>
  <c r="U11" i="2"/>
  <c r="V12" i="2"/>
  <c r="U15" i="2"/>
  <c r="U4" i="2"/>
  <c r="V10" i="2"/>
  <c r="U12" i="2"/>
  <c r="V13" i="2"/>
  <c r="V14" i="2"/>
  <c r="V18" i="2"/>
  <c r="U20" i="2"/>
  <c r="V21" i="2"/>
  <c r="V22" i="2"/>
  <c r="U21" i="2"/>
  <c r="U6" i="2"/>
  <c r="U14" i="2"/>
  <c r="V15" i="2"/>
  <c r="U18" i="2"/>
  <c r="V19" i="2"/>
  <c r="V17" i="2" l="1"/>
  <c r="U8" i="2"/>
  <c r="U9" i="2"/>
  <c r="U7" i="2"/>
  <c r="V20" i="2"/>
  <c r="V4" i="2"/>
  <c r="V8" i="2"/>
  <c r="U5" i="2"/>
  <c r="V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2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Partial month: data through 2026-09-09 only.</t>
        </r>
      </text>
    </comment>
  </commentList>
</comments>
</file>

<file path=xl/sharedStrings.xml><?xml version="1.0" encoding="utf-8"?>
<sst xmlns="http://schemas.openxmlformats.org/spreadsheetml/2006/main" count="48" uniqueCount="28">
  <si>
    <t>Date</t>
  </si>
  <si>
    <t>BNB Chain</t>
  </si>
  <si>
    <t>Solana</t>
  </si>
  <si>
    <t>Robinhood</t>
  </si>
  <si>
    <t>Ethereum</t>
  </si>
  <si>
    <t>Base</t>
  </si>
  <si>
    <t>Provenance</t>
  </si>
  <si>
    <t>Arbitrum</t>
  </si>
  <si>
    <t>Ink</t>
  </si>
  <si>
    <t>Avalanche C-Chain</t>
  </si>
  <si>
    <t>HyperEVM</t>
  </si>
  <si>
    <t>Liquid Network</t>
  </si>
  <si>
    <t>Mantle</t>
  </si>
  <si>
    <t>Polygon</t>
  </si>
  <si>
    <t>Stellar</t>
  </si>
  <si>
    <t>Monad</t>
  </si>
  <si>
    <t>Plume</t>
  </si>
  <si>
    <t>Hedera</t>
  </si>
  <si>
    <t>Optimism</t>
  </si>
  <si>
    <t>Total</t>
  </si>
  <si>
    <t>Source: rwa.xyz Asset Classes &gt; Stocks &gt; Tokenized Stock Metrics &gt; Transfer Volume, Underlying Type = All, Group By = Network, Interval = Daily (USD). Extracted 2026-09-11 via app.rwa.xyz API; data through 2026-09-09. Values rounded to whole dollars. Networks ordered by 2025+ cumulative volume.</t>
  </si>
  <si>
    <t>Total column = SUM of network columns.</t>
  </si>
  <si>
    <t>Month</t>
  </si>
  <si>
    <t>MoM Change ($)</t>
  </si>
  <si>
    <t>MoM Change (%)</t>
  </si>
  <si>
    <t>-</t>
  </si>
  <si>
    <t>Monthly figures = SUMIFS over the Daily sheet by calendar month; MoM change compares each month's Total to the prior month.</t>
  </si>
  <si>
    <t>2026-09 is a partial month (data through 2026-09-09) — its MoM change is not like-for-like.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</si>
</sst>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;\(\$#,##0\);\-"/>
    <numFmt numFmtId="166" formatCode="mmm\ yyyy"/>
    <numFmt numFmtId="167" formatCode="0.0%;\(0.0%\);\-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i/>
      <sz val="9"/>
      <name val="Arial"/>
    </font>
    <font>
      <b/>
      <sz val="11"/>
      <color rgb="FFC00000"/>
      <name val="Arial"/>
    </font>
    <font>
      <i/>
      <sz val="9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6" fontId="2" fillId="0" borderId="0" xfId="0" applyNumberFormat="1" applyFont="1"/>
    <xf numFmtId="165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/>
    <xf numFmtId="166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19" width="19" customWidth="1"/>
    <col min="20" max="20" width="21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45658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3000</v>
      </c>
      <c r="M2" s="3">
        <v>0</v>
      </c>
      <c r="N2" s="3">
        <v>440</v>
      </c>
      <c r="O2" s="3">
        <v>258</v>
      </c>
      <c r="P2" s="3">
        <v>0</v>
      </c>
      <c r="Q2" s="3">
        <v>0</v>
      </c>
      <c r="R2" s="3">
        <v>0</v>
      </c>
      <c r="S2" s="3">
        <v>0</v>
      </c>
      <c r="T2" s="3">
        <f t="shared" ref="T2:T65" si="0">SUM(B2:S2)</f>
        <v>3698</v>
      </c>
    </row>
    <row r="3" spans="1:20" x14ac:dyDescent="0.25">
      <c r="A3" s="2">
        <v>45659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973</v>
      </c>
      <c r="O3" s="3">
        <v>1077</v>
      </c>
      <c r="P3" s="3">
        <v>0</v>
      </c>
      <c r="Q3" s="3">
        <v>0</v>
      </c>
      <c r="R3" s="3">
        <v>0</v>
      </c>
      <c r="S3" s="3">
        <v>0</v>
      </c>
      <c r="T3" s="3">
        <f t="shared" si="0"/>
        <v>2050</v>
      </c>
    </row>
    <row r="4" spans="1:20" x14ac:dyDescent="0.25">
      <c r="A4" s="2">
        <v>45660</v>
      </c>
      <c r="B4" s="3">
        <v>0</v>
      </c>
      <c r="C4" s="3">
        <v>0</v>
      </c>
      <c r="D4" s="3">
        <v>0</v>
      </c>
      <c r="E4" s="3">
        <v>79677</v>
      </c>
      <c r="F4" s="3">
        <v>0</v>
      </c>
      <c r="G4" s="3">
        <v>0</v>
      </c>
      <c r="H4" s="3">
        <v>1249</v>
      </c>
      <c r="I4" s="3">
        <v>0</v>
      </c>
      <c r="J4" s="3">
        <v>0</v>
      </c>
      <c r="K4" s="3">
        <v>0</v>
      </c>
      <c r="L4" s="3">
        <v>3397</v>
      </c>
      <c r="M4" s="3">
        <v>0</v>
      </c>
      <c r="N4" s="3">
        <v>0</v>
      </c>
      <c r="O4" s="3">
        <v>158</v>
      </c>
      <c r="P4" s="3">
        <v>0</v>
      </c>
      <c r="Q4" s="3">
        <v>0</v>
      </c>
      <c r="R4" s="3">
        <v>0</v>
      </c>
      <c r="S4" s="3">
        <v>0</v>
      </c>
      <c r="T4" s="3">
        <f t="shared" si="0"/>
        <v>84481</v>
      </c>
    </row>
    <row r="5" spans="1:20" x14ac:dyDescent="0.25">
      <c r="A5" s="2">
        <v>45661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3397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f t="shared" si="0"/>
        <v>3397</v>
      </c>
    </row>
    <row r="6" spans="1:20" x14ac:dyDescent="0.25">
      <c r="A6" s="2">
        <v>45662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66113</v>
      </c>
      <c r="M6" s="3">
        <v>0</v>
      </c>
      <c r="N6" s="3">
        <v>0</v>
      </c>
      <c r="O6" s="3">
        <v>99</v>
      </c>
      <c r="P6" s="3">
        <v>0</v>
      </c>
      <c r="Q6" s="3">
        <v>0</v>
      </c>
      <c r="R6" s="3">
        <v>0</v>
      </c>
      <c r="S6" s="3">
        <v>0</v>
      </c>
      <c r="T6" s="3">
        <f t="shared" si="0"/>
        <v>66212</v>
      </c>
    </row>
    <row r="7" spans="1:20" x14ac:dyDescent="0.25">
      <c r="A7" s="2">
        <v>45663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2113</v>
      </c>
      <c r="I7" s="3">
        <v>0</v>
      </c>
      <c r="J7" s="3">
        <v>0</v>
      </c>
      <c r="K7" s="3">
        <v>0</v>
      </c>
      <c r="L7" s="3">
        <v>3414</v>
      </c>
      <c r="M7" s="3">
        <v>0</v>
      </c>
      <c r="N7" s="3">
        <v>30539</v>
      </c>
      <c r="O7" s="3">
        <v>2399</v>
      </c>
      <c r="P7" s="3">
        <v>0</v>
      </c>
      <c r="Q7" s="3">
        <v>0</v>
      </c>
      <c r="R7" s="3">
        <v>0</v>
      </c>
      <c r="S7" s="3">
        <v>0</v>
      </c>
      <c r="T7" s="3">
        <f t="shared" si="0"/>
        <v>38465</v>
      </c>
    </row>
    <row r="8" spans="1:20" x14ac:dyDescent="0.25">
      <c r="A8" s="2">
        <v>45664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2613</v>
      </c>
      <c r="I8" s="3">
        <v>0</v>
      </c>
      <c r="J8" s="3">
        <v>0</v>
      </c>
      <c r="K8" s="3">
        <v>0</v>
      </c>
      <c r="L8" s="3">
        <v>10283</v>
      </c>
      <c r="M8" s="3">
        <v>0</v>
      </c>
      <c r="N8" s="3">
        <v>6418</v>
      </c>
      <c r="O8" s="3">
        <v>476</v>
      </c>
      <c r="P8" s="3">
        <v>0</v>
      </c>
      <c r="Q8" s="3">
        <v>0</v>
      </c>
      <c r="R8" s="3">
        <v>0</v>
      </c>
      <c r="S8" s="3">
        <v>0</v>
      </c>
      <c r="T8" s="3">
        <f t="shared" si="0"/>
        <v>19790</v>
      </c>
    </row>
    <row r="9" spans="1:20" x14ac:dyDescent="0.25">
      <c r="A9" s="2">
        <v>45665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705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7360</v>
      </c>
      <c r="O9" s="3">
        <v>100</v>
      </c>
      <c r="P9" s="3">
        <v>0</v>
      </c>
      <c r="Q9" s="3">
        <v>0</v>
      </c>
      <c r="R9" s="3">
        <v>0</v>
      </c>
      <c r="S9" s="3">
        <v>0</v>
      </c>
      <c r="T9" s="3">
        <f t="shared" si="0"/>
        <v>8165</v>
      </c>
    </row>
    <row r="10" spans="1:20" x14ac:dyDescent="0.25">
      <c r="A10" s="2">
        <v>45666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33119</v>
      </c>
      <c r="M10" s="3">
        <v>0</v>
      </c>
      <c r="N10" s="3">
        <v>8727</v>
      </c>
      <c r="O10" s="3">
        <v>25</v>
      </c>
      <c r="P10" s="3">
        <v>0</v>
      </c>
      <c r="Q10" s="3">
        <v>0</v>
      </c>
      <c r="R10" s="3">
        <v>0</v>
      </c>
      <c r="S10" s="3">
        <v>0</v>
      </c>
      <c r="T10" s="3">
        <f t="shared" si="0"/>
        <v>41871</v>
      </c>
    </row>
    <row r="11" spans="1:20" x14ac:dyDescent="0.25">
      <c r="A11" s="2">
        <v>45667</v>
      </c>
      <c r="B11" s="3">
        <v>0</v>
      </c>
      <c r="C11" s="3">
        <v>0</v>
      </c>
      <c r="D11" s="3">
        <v>0</v>
      </c>
      <c r="E11" s="3">
        <v>66011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40989</v>
      </c>
      <c r="M11" s="3">
        <v>0</v>
      </c>
      <c r="N11" s="3">
        <v>5146</v>
      </c>
      <c r="O11" s="3">
        <v>275</v>
      </c>
      <c r="P11" s="3">
        <v>0</v>
      </c>
      <c r="Q11" s="3">
        <v>0</v>
      </c>
      <c r="R11" s="3">
        <v>0</v>
      </c>
      <c r="S11" s="3">
        <v>0</v>
      </c>
      <c r="T11" s="3">
        <f t="shared" si="0"/>
        <v>112421</v>
      </c>
    </row>
    <row r="12" spans="1:20" x14ac:dyDescent="0.25">
      <c r="A12" s="2">
        <v>45668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3</v>
      </c>
      <c r="M12" s="3">
        <v>0</v>
      </c>
      <c r="N12" s="3">
        <v>0</v>
      </c>
      <c r="O12" s="3">
        <v>97</v>
      </c>
      <c r="P12" s="3">
        <v>0</v>
      </c>
      <c r="Q12" s="3">
        <v>0</v>
      </c>
      <c r="R12" s="3">
        <v>0</v>
      </c>
      <c r="S12" s="3">
        <v>0</v>
      </c>
      <c r="T12" s="3">
        <f t="shared" si="0"/>
        <v>100</v>
      </c>
    </row>
    <row r="13" spans="1:20" x14ac:dyDescent="0.25">
      <c r="A13" s="2">
        <v>45669</v>
      </c>
      <c r="B13" s="3">
        <v>0</v>
      </c>
      <c r="C13" s="3">
        <v>0</v>
      </c>
      <c r="D13" s="3">
        <v>0</v>
      </c>
      <c r="E13" s="3">
        <v>59504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28</v>
      </c>
      <c r="P13" s="3">
        <v>0</v>
      </c>
      <c r="Q13" s="3">
        <v>0</v>
      </c>
      <c r="R13" s="3">
        <v>0</v>
      </c>
      <c r="S13" s="3">
        <v>0</v>
      </c>
      <c r="T13" s="3">
        <f t="shared" si="0"/>
        <v>59534</v>
      </c>
    </row>
    <row r="14" spans="1:20" x14ac:dyDescent="0.25">
      <c r="A14" s="2">
        <v>45670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2223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661</v>
      </c>
      <c r="O14" s="3">
        <v>15681</v>
      </c>
      <c r="P14" s="3">
        <v>0</v>
      </c>
      <c r="Q14" s="3">
        <v>0</v>
      </c>
      <c r="R14" s="3">
        <v>0</v>
      </c>
      <c r="S14" s="3">
        <v>0</v>
      </c>
      <c r="T14" s="3">
        <f t="shared" si="0"/>
        <v>18565</v>
      </c>
    </row>
    <row r="15" spans="1:20" x14ac:dyDescent="0.25">
      <c r="A15" s="2">
        <v>45671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97780</v>
      </c>
      <c r="O15" s="3">
        <v>101</v>
      </c>
      <c r="P15" s="3">
        <v>0</v>
      </c>
      <c r="Q15" s="3">
        <v>0</v>
      </c>
      <c r="R15" s="3">
        <v>0</v>
      </c>
      <c r="S15" s="3">
        <v>0</v>
      </c>
      <c r="T15" s="3">
        <f t="shared" si="0"/>
        <v>97881</v>
      </c>
    </row>
    <row r="16" spans="1:20" x14ac:dyDescent="0.25">
      <c r="A16" s="2">
        <v>45672</v>
      </c>
      <c r="B16" s="3">
        <v>0</v>
      </c>
      <c r="C16" s="3">
        <v>0</v>
      </c>
      <c r="D16" s="3">
        <v>0</v>
      </c>
      <c r="E16" s="3">
        <v>71787</v>
      </c>
      <c r="F16" s="3">
        <v>0</v>
      </c>
      <c r="G16" s="3">
        <v>0</v>
      </c>
      <c r="H16" s="3">
        <v>3243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36065</v>
      </c>
      <c r="O16" s="3">
        <v>3140</v>
      </c>
      <c r="P16" s="3">
        <v>0</v>
      </c>
      <c r="Q16" s="3">
        <v>0</v>
      </c>
      <c r="R16" s="3">
        <v>0</v>
      </c>
      <c r="S16" s="3">
        <v>0</v>
      </c>
      <c r="T16" s="3">
        <f t="shared" si="0"/>
        <v>114235</v>
      </c>
    </row>
    <row r="17" spans="1:20" x14ac:dyDescent="0.25">
      <c r="A17" s="2">
        <v>45673</v>
      </c>
      <c r="B17" s="3">
        <v>0</v>
      </c>
      <c r="C17" s="3">
        <v>0</v>
      </c>
      <c r="D17" s="3">
        <v>0</v>
      </c>
      <c r="E17" s="3">
        <v>682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744</v>
      </c>
      <c r="P17" s="3">
        <v>0</v>
      </c>
      <c r="Q17" s="3">
        <v>0</v>
      </c>
      <c r="R17" s="3">
        <v>0</v>
      </c>
      <c r="S17" s="3">
        <v>0</v>
      </c>
      <c r="T17" s="3">
        <f t="shared" si="0"/>
        <v>1426</v>
      </c>
    </row>
    <row r="18" spans="1:20" x14ac:dyDescent="0.25">
      <c r="A18" s="2">
        <v>45674</v>
      </c>
      <c r="B18" s="3">
        <v>0</v>
      </c>
      <c r="C18" s="3">
        <v>0</v>
      </c>
      <c r="D18" s="3">
        <v>0</v>
      </c>
      <c r="E18" s="3">
        <v>173955</v>
      </c>
      <c r="F18" s="3">
        <v>0</v>
      </c>
      <c r="G18" s="3">
        <v>0</v>
      </c>
      <c r="H18" s="3">
        <v>1661</v>
      </c>
      <c r="I18" s="3">
        <v>0</v>
      </c>
      <c r="J18" s="3">
        <v>0</v>
      </c>
      <c r="K18" s="3">
        <v>0</v>
      </c>
      <c r="L18" s="3">
        <v>3608</v>
      </c>
      <c r="M18" s="3">
        <v>0</v>
      </c>
      <c r="N18" s="3">
        <v>0</v>
      </c>
      <c r="O18" s="3">
        <v>5349</v>
      </c>
      <c r="P18" s="3">
        <v>0</v>
      </c>
      <c r="Q18" s="3">
        <v>0</v>
      </c>
      <c r="R18" s="3">
        <v>0</v>
      </c>
      <c r="S18" s="3">
        <v>0</v>
      </c>
      <c r="T18" s="3">
        <f t="shared" si="0"/>
        <v>184573</v>
      </c>
    </row>
    <row r="19" spans="1:20" x14ac:dyDescent="0.25">
      <c r="A19" s="2">
        <v>45675</v>
      </c>
      <c r="B19" s="3">
        <v>0</v>
      </c>
      <c r="C19" s="3">
        <v>0</v>
      </c>
      <c r="D19" s="3">
        <v>0</v>
      </c>
      <c r="E19" s="3">
        <v>126288</v>
      </c>
      <c r="F19" s="3">
        <v>0</v>
      </c>
      <c r="G19" s="3">
        <v>0</v>
      </c>
      <c r="H19" s="3">
        <v>1496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f t="shared" si="0"/>
        <v>127784</v>
      </c>
    </row>
    <row r="20" spans="1:20" x14ac:dyDescent="0.25">
      <c r="A20" s="2">
        <v>45676</v>
      </c>
      <c r="B20" s="3">
        <v>0</v>
      </c>
      <c r="C20" s="3">
        <v>0</v>
      </c>
      <c r="D20" s="3">
        <v>0</v>
      </c>
      <c r="E20" s="3">
        <v>424335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129</v>
      </c>
      <c r="P20" s="3">
        <v>0</v>
      </c>
      <c r="Q20" s="3">
        <v>0</v>
      </c>
      <c r="R20" s="3">
        <v>0</v>
      </c>
      <c r="S20" s="3">
        <v>0</v>
      </c>
      <c r="T20" s="3">
        <f t="shared" si="0"/>
        <v>424464</v>
      </c>
    </row>
    <row r="21" spans="1:20" x14ac:dyDescent="0.25">
      <c r="A21" s="2">
        <v>45677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637</v>
      </c>
      <c r="O21" s="3">
        <v>26</v>
      </c>
      <c r="P21" s="3">
        <v>0</v>
      </c>
      <c r="Q21" s="3">
        <v>0</v>
      </c>
      <c r="R21" s="3">
        <v>0</v>
      </c>
      <c r="S21" s="3">
        <v>0</v>
      </c>
      <c r="T21" s="3">
        <f t="shared" si="0"/>
        <v>663</v>
      </c>
    </row>
    <row r="22" spans="1:20" x14ac:dyDescent="0.25">
      <c r="A22" s="2">
        <v>45678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5218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2613</v>
      </c>
      <c r="O22" s="3">
        <v>1414</v>
      </c>
      <c r="P22" s="3">
        <v>0</v>
      </c>
      <c r="Q22" s="3">
        <v>0</v>
      </c>
      <c r="R22" s="3">
        <v>0</v>
      </c>
      <c r="S22" s="3">
        <v>0</v>
      </c>
      <c r="T22" s="3">
        <f t="shared" si="0"/>
        <v>9245</v>
      </c>
    </row>
    <row r="23" spans="1:20" x14ac:dyDescent="0.25">
      <c r="A23" s="2">
        <v>45679</v>
      </c>
      <c r="B23" s="3">
        <v>0</v>
      </c>
      <c r="C23" s="3">
        <v>0</v>
      </c>
      <c r="D23" s="3">
        <v>0</v>
      </c>
      <c r="E23" s="3">
        <v>859115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590</v>
      </c>
      <c r="O23" s="3">
        <v>837</v>
      </c>
      <c r="P23" s="3">
        <v>0</v>
      </c>
      <c r="Q23" s="3">
        <v>0</v>
      </c>
      <c r="R23" s="3">
        <v>0</v>
      </c>
      <c r="S23" s="3">
        <v>0</v>
      </c>
      <c r="T23" s="3">
        <f t="shared" si="0"/>
        <v>860542</v>
      </c>
    </row>
    <row r="24" spans="1:20" x14ac:dyDescent="0.25">
      <c r="A24" s="2">
        <v>45680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980</v>
      </c>
      <c r="M24" s="3">
        <v>0</v>
      </c>
      <c r="N24" s="3">
        <v>0</v>
      </c>
      <c r="O24" s="3">
        <v>38805</v>
      </c>
      <c r="P24" s="3">
        <v>0</v>
      </c>
      <c r="Q24" s="3">
        <v>0</v>
      </c>
      <c r="R24" s="3">
        <v>0</v>
      </c>
      <c r="S24" s="3">
        <v>0</v>
      </c>
      <c r="T24" s="3">
        <f t="shared" si="0"/>
        <v>39785</v>
      </c>
    </row>
    <row r="25" spans="1:20" x14ac:dyDescent="0.25">
      <c r="A25" s="2">
        <v>45681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49263</v>
      </c>
      <c r="M25" s="3">
        <v>0</v>
      </c>
      <c r="N25" s="3">
        <v>0</v>
      </c>
      <c r="O25" s="3">
        <v>375</v>
      </c>
      <c r="P25" s="3">
        <v>0</v>
      </c>
      <c r="Q25" s="3">
        <v>0</v>
      </c>
      <c r="R25" s="3">
        <v>0</v>
      </c>
      <c r="S25" s="3">
        <v>0</v>
      </c>
      <c r="T25" s="3">
        <f t="shared" si="0"/>
        <v>49639</v>
      </c>
    </row>
    <row r="26" spans="1:20" x14ac:dyDescent="0.25">
      <c r="A26" s="2">
        <v>45682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f t="shared" si="0"/>
        <v>0</v>
      </c>
    </row>
    <row r="27" spans="1:20" x14ac:dyDescent="0.25">
      <c r="A27" s="2">
        <v>45683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f t="shared" si="0"/>
        <v>1</v>
      </c>
    </row>
    <row r="28" spans="1:20" x14ac:dyDescent="0.25">
      <c r="A28" s="2">
        <v>45684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2221</v>
      </c>
      <c r="I28" s="3">
        <v>0</v>
      </c>
      <c r="J28" s="3">
        <v>0</v>
      </c>
      <c r="K28" s="3">
        <v>0</v>
      </c>
      <c r="L28" s="3">
        <v>3359</v>
      </c>
      <c r="M28" s="3">
        <v>0</v>
      </c>
      <c r="N28" s="3">
        <v>7668</v>
      </c>
      <c r="O28" s="3">
        <v>2283</v>
      </c>
      <c r="P28" s="3">
        <v>0</v>
      </c>
      <c r="Q28" s="3">
        <v>0</v>
      </c>
      <c r="R28" s="3">
        <v>0</v>
      </c>
      <c r="S28" s="3">
        <v>0</v>
      </c>
      <c r="T28" s="3">
        <f t="shared" si="0"/>
        <v>15531</v>
      </c>
    </row>
    <row r="29" spans="1:20" x14ac:dyDescent="0.25">
      <c r="A29" s="2">
        <v>45685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2164</v>
      </c>
      <c r="O29" s="3">
        <v>678</v>
      </c>
      <c r="P29" s="3">
        <v>0</v>
      </c>
      <c r="Q29" s="3">
        <v>0</v>
      </c>
      <c r="R29" s="3">
        <v>0</v>
      </c>
      <c r="S29" s="3">
        <v>0</v>
      </c>
      <c r="T29" s="3">
        <f t="shared" si="0"/>
        <v>2842</v>
      </c>
    </row>
    <row r="30" spans="1:20" x14ac:dyDescent="0.25">
      <c r="A30" s="2">
        <v>45686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3880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1000</v>
      </c>
      <c r="P30" s="3">
        <v>0</v>
      </c>
      <c r="Q30" s="3">
        <v>0</v>
      </c>
      <c r="R30" s="3">
        <v>0</v>
      </c>
      <c r="S30" s="3">
        <v>0</v>
      </c>
      <c r="T30" s="3">
        <f t="shared" si="0"/>
        <v>4880</v>
      </c>
    </row>
    <row r="31" spans="1:20" x14ac:dyDescent="0.25">
      <c r="A31" s="2">
        <v>45687</v>
      </c>
      <c r="B31" s="3">
        <v>0</v>
      </c>
      <c r="C31" s="3">
        <v>0</v>
      </c>
      <c r="D31" s="3">
        <v>0</v>
      </c>
      <c r="E31" s="3">
        <v>402</v>
      </c>
      <c r="F31" s="3">
        <v>0</v>
      </c>
      <c r="G31" s="3">
        <v>0</v>
      </c>
      <c r="H31" s="3">
        <v>2772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109</v>
      </c>
      <c r="O31" s="3">
        <v>574</v>
      </c>
      <c r="P31" s="3">
        <v>0</v>
      </c>
      <c r="Q31" s="3">
        <v>0</v>
      </c>
      <c r="R31" s="3">
        <v>0</v>
      </c>
      <c r="S31" s="3">
        <v>0</v>
      </c>
      <c r="T31" s="3">
        <f t="shared" si="0"/>
        <v>3857</v>
      </c>
    </row>
    <row r="32" spans="1:20" x14ac:dyDescent="0.25">
      <c r="A32" s="2">
        <v>45688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380</v>
      </c>
      <c r="P32" s="3">
        <v>0</v>
      </c>
      <c r="Q32" s="3">
        <v>0</v>
      </c>
      <c r="R32" s="3">
        <v>0</v>
      </c>
      <c r="S32" s="3">
        <v>0</v>
      </c>
      <c r="T32" s="3">
        <f t="shared" si="0"/>
        <v>380</v>
      </c>
    </row>
    <row r="33" spans="1:20" x14ac:dyDescent="0.25">
      <c r="A33" s="2">
        <v>45689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14596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f t="shared" si="0"/>
        <v>14596</v>
      </c>
    </row>
    <row r="34" spans="1:20" x14ac:dyDescent="0.25">
      <c r="A34" s="2">
        <v>45690</v>
      </c>
      <c r="B34" s="3">
        <v>0</v>
      </c>
      <c r="C34" s="3">
        <v>0</v>
      </c>
      <c r="D34" s="3">
        <v>0</v>
      </c>
      <c r="E34" s="3">
        <v>764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f t="shared" si="0"/>
        <v>764</v>
      </c>
    </row>
    <row r="35" spans="1:20" x14ac:dyDescent="0.25">
      <c r="A35" s="2">
        <v>45691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1629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3180</v>
      </c>
      <c r="O35" s="3">
        <v>12762</v>
      </c>
      <c r="P35" s="3">
        <v>0</v>
      </c>
      <c r="Q35" s="3">
        <v>0</v>
      </c>
      <c r="R35" s="3">
        <v>0</v>
      </c>
      <c r="S35" s="3">
        <v>0</v>
      </c>
      <c r="T35" s="3">
        <f t="shared" si="0"/>
        <v>17571</v>
      </c>
    </row>
    <row r="36" spans="1:20" x14ac:dyDescent="0.25">
      <c r="A36" s="2">
        <v>45692</v>
      </c>
      <c r="B36" s="3">
        <v>0</v>
      </c>
      <c r="C36" s="3">
        <v>0</v>
      </c>
      <c r="D36" s="3">
        <v>0</v>
      </c>
      <c r="E36" s="3">
        <v>165737</v>
      </c>
      <c r="F36" s="3">
        <v>0</v>
      </c>
      <c r="G36" s="3">
        <v>0</v>
      </c>
      <c r="H36" s="3">
        <v>32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10301</v>
      </c>
      <c r="P36" s="3">
        <v>0</v>
      </c>
      <c r="Q36" s="3">
        <v>0</v>
      </c>
      <c r="R36" s="3">
        <v>0</v>
      </c>
      <c r="S36" s="3">
        <v>0</v>
      </c>
      <c r="T36" s="3">
        <f t="shared" si="0"/>
        <v>176070</v>
      </c>
    </row>
    <row r="37" spans="1:20" x14ac:dyDescent="0.25">
      <c r="A37" s="2">
        <v>45693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3497</v>
      </c>
      <c r="K37" s="3">
        <v>0</v>
      </c>
      <c r="L37" s="3">
        <v>0</v>
      </c>
      <c r="M37" s="3">
        <v>0</v>
      </c>
      <c r="N37" s="3">
        <v>0</v>
      </c>
      <c r="O37" s="3">
        <v>10673</v>
      </c>
      <c r="P37" s="3">
        <v>0</v>
      </c>
      <c r="Q37" s="3">
        <v>0</v>
      </c>
      <c r="R37" s="3">
        <v>0</v>
      </c>
      <c r="S37" s="3">
        <v>0</v>
      </c>
      <c r="T37" s="3">
        <f t="shared" si="0"/>
        <v>14170</v>
      </c>
    </row>
    <row r="38" spans="1:20" x14ac:dyDescent="0.25">
      <c r="A38" s="2">
        <v>45694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1399</v>
      </c>
      <c r="P38" s="3">
        <v>0</v>
      </c>
      <c r="Q38" s="3">
        <v>0</v>
      </c>
      <c r="R38" s="3">
        <v>0</v>
      </c>
      <c r="S38" s="3">
        <v>0</v>
      </c>
      <c r="T38" s="3">
        <f t="shared" si="0"/>
        <v>1399</v>
      </c>
    </row>
    <row r="39" spans="1:20" x14ac:dyDescent="0.25">
      <c r="A39" s="2">
        <v>45695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322</v>
      </c>
      <c r="K39" s="3">
        <v>0</v>
      </c>
      <c r="L39" s="3">
        <v>0</v>
      </c>
      <c r="M39" s="3">
        <v>0</v>
      </c>
      <c r="N39" s="3">
        <v>0</v>
      </c>
      <c r="O39" s="3">
        <v>2352</v>
      </c>
      <c r="P39" s="3">
        <v>0</v>
      </c>
      <c r="Q39" s="3">
        <v>0</v>
      </c>
      <c r="R39" s="3">
        <v>0</v>
      </c>
      <c r="S39" s="3">
        <v>0</v>
      </c>
      <c r="T39" s="3">
        <f t="shared" si="0"/>
        <v>2674</v>
      </c>
    </row>
    <row r="40" spans="1:20" x14ac:dyDescent="0.25">
      <c r="A40" s="2">
        <v>45696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1186</v>
      </c>
      <c r="O40" s="3">
        <v>100</v>
      </c>
      <c r="P40" s="3">
        <v>0</v>
      </c>
      <c r="Q40" s="3">
        <v>0</v>
      </c>
      <c r="R40" s="3">
        <v>0</v>
      </c>
      <c r="S40" s="3">
        <v>0</v>
      </c>
      <c r="T40" s="3">
        <f t="shared" si="0"/>
        <v>1286</v>
      </c>
    </row>
    <row r="41" spans="1:20" x14ac:dyDescent="0.25">
      <c r="A41" s="2">
        <v>45697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4964</v>
      </c>
      <c r="O41" s="3">
        <v>311</v>
      </c>
      <c r="P41" s="3">
        <v>0</v>
      </c>
      <c r="Q41" s="3">
        <v>0</v>
      </c>
      <c r="R41" s="3">
        <v>0</v>
      </c>
      <c r="S41" s="3">
        <v>0</v>
      </c>
      <c r="T41" s="3">
        <f t="shared" si="0"/>
        <v>5275</v>
      </c>
    </row>
    <row r="42" spans="1:20" x14ac:dyDescent="0.25">
      <c r="A42" s="2">
        <v>45698</v>
      </c>
      <c r="B42" s="3">
        <v>0</v>
      </c>
      <c r="C42" s="3">
        <v>0</v>
      </c>
      <c r="D42" s="3">
        <v>0</v>
      </c>
      <c r="E42" s="3">
        <v>49460</v>
      </c>
      <c r="F42" s="3">
        <v>0</v>
      </c>
      <c r="G42" s="3">
        <v>0</v>
      </c>
      <c r="H42" s="3">
        <v>1</v>
      </c>
      <c r="I42" s="3">
        <v>0</v>
      </c>
      <c r="J42" s="3">
        <v>52960</v>
      </c>
      <c r="K42" s="3">
        <v>0</v>
      </c>
      <c r="L42" s="3">
        <v>0</v>
      </c>
      <c r="M42" s="3">
        <v>0</v>
      </c>
      <c r="N42" s="3">
        <v>117</v>
      </c>
      <c r="O42" s="3">
        <v>954</v>
      </c>
      <c r="P42" s="3">
        <v>0</v>
      </c>
      <c r="Q42" s="3">
        <v>0</v>
      </c>
      <c r="R42" s="3">
        <v>0</v>
      </c>
      <c r="S42" s="3">
        <v>0</v>
      </c>
      <c r="T42" s="3">
        <f t="shared" si="0"/>
        <v>103492</v>
      </c>
    </row>
    <row r="43" spans="1:20" x14ac:dyDescent="0.25">
      <c r="A43" s="2">
        <v>45699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998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2136</v>
      </c>
      <c r="P43" s="3">
        <v>0</v>
      </c>
      <c r="Q43" s="3">
        <v>0</v>
      </c>
      <c r="R43" s="3">
        <v>0</v>
      </c>
      <c r="S43" s="3">
        <v>0</v>
      </c>
      <c r="T43" s="3">
        <f t="shared" si="0"/>
        <v>3134</v>
      </c>
    </row>
    <row r="44" spans="1:20" x14ac:dyDescent="0.25">
      <c r="A44" s="2">
        <v>45700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3397</v>
      </c>
      <c r="P44" s="3">
        <v>0</v>
      </c>
      <c r="Q44" s="3">
        <v>0</v>
      </c>
      <c r="R44" s="3">
        <v>0</v>
      </c>
      <c r="S44" s="3">
        <v>0</v>
      </c>
      <c r="T44" s="3">
        <f t="shared" si="0"/>
        <v>3397</v>
      </c>
    </row>
    <row r="45" spans="1:20" x14ac:dyDescent="0.25">
      <c r="A45" s="2">
        <v>45701</v>
      </c>
      <c r="B45" s="3">
        <v>0</v>
      </c>
      <c r="C45" s="3">
        <v>0</v>
      </c>
      <c r="D45" s="3">
        <v>0</v>
      </c>
      <c r="E45" s="3">
        <v>24945</v>
      </c>
      <c r="F45" s="3">
        <v>0</v>
      </c>
      <c r="G45" s="3">
        <v>0</v>
      </c>
      <c r="H45" s="3">
        <v>2226</v>
      </c>
      <c r="I45" s="3">
        <v>0</v>
      </c>
      <c r="J45" s="3">
        <v>53533</v>
      </c>
      <c r="K45" s="3">
        <v>0</v>
      </c>
      <c r="L45" s="3">
        <v>0</v>
      </c>
      <c r="M45" s="3">
        <v>0</v>
      </c>
      <c r="N45" s="3">
        <v>3609</v>
      </c>
      <c r="O45" s="3">
        <v>3845</v>
      </c>
      <c r="P45" s="3">
        <v>0</v>
      </c>
      <c r="Q45" s="3">
        <v>0</v>
      </c>
      <c r="R45" s="3">
        <v>0</v>
      </c>
      <c r="S45" s="3">
        <v>0</v>
      </c>
      <c r="T45" s="3">
        <f t="shared" si="0"/>
        <v>88158</v>
      </c>
    </row>
    <row r="46" spans="1:20" x14ac:dyDescent="0.25">
      <c r="A46" s="2">
        <v>45702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986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1944</v>
      </c>
      <c r="P46" s="3">
        <v>0</v>
      </c>
      <c r="Q46" s="3">
        <v>0</v>
      </c>
      <c r="R46" s="3">
        <v>0</v>
      </c>
      <c r="S46" s="3">
        <v>0</v>
      </c>
      <c r="T46" s="3">
        <f t="shared" si="0"/>
        <v>2930</v>
      </c>
    </row>
    <row r="47" spans="1:20" x14ac:dyDescent="0.25">
      <c r="A47" s="2">
        <v>45703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3377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f t="shared" si="0"/>
        <v>3377</v>
      </c>
    </row>
    <row r="48" spans="1:20" x14ac:dyDescent="0.25">
      <c r="A48" s="2">
        <v>45704</v>
      </c>
      <c r="B48" s="3">
        <v>0</v>
      </c>
      <c r="C48" s="3">
        <v>0</v>
      </c>
      <c r="D48" s="3">
        <v>0</v>
      </c>
      <c r="E48" s="3">
        <v>0</v>
      </c>
      <c r="F48" s="3">
        <v>3901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544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f t="shared" si="0"/>
        <v>4445</v>
      </c>
    </row>
    <row r="49" spans="1:20" x14ac:dyDescent="0.25">
      <c r="A49" s="2">
        <v>45705</v>
      </c>
      <c r="B49" s="3">
        <v>0</v>
      </c>
      <c r="C49" s="3">
        <v>0</v>
      </c>
      <c r="D49" s="3">
        <v>0</v>
      </c>
      <c r="E49" s="3">
        <v>9091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f t="shared" si="0"/>
        <v>9091</v>
      </c>
    </row>
    <row r="50" spans="1:20" x14ac:dyDescent="0.25">
      <c r="A50" s="2">
        <v>45706</v>
      </c>
      <c r="B50" s="3">
        <v>0</v>
      </c>
      <c r="C50" s="3">
        <v>0</v>
      </c>
      <c r="D50" s="3">
        <v>0</v>
      </c>
      <c r="E50" s="3">
        <v>16070</v>
      </c>
      <c r="F50" s="3">
        <v>0</v>
      </c>
      <c r="G50" s="3">
        <v>0</v>
      </c>
      <c r="H50" s="3">
        <v>1976</v>
      </c>
      <c r="I50" s="3">
        <v>0</v>
      </c>
      <c r="J50" s="3">
        <v>81249</v>
      </c>
      <c r="K50" s="3">
        <v>0</v>
      </c>
      <c r="L50" s="3">
        <v>0</v>
      </c>
      <c r="M50" s="3">
        <v>0</v>
      </c>
      <c r="N50" s="3">
        <v>0</v>
      </c>
      <c r="O50" s="3">
        <v>13105</v>
      </c>
      <c r="P50" s="3">
        <v>0</v>
      </c>
      <c r="Q50" s="3">
        <v>0</v>
      </c>
      <c r="R50" s="3">
        <v>0</v>
      </c>
      <c r="S50" s="3">
        <v>0</v>
      </c>
      <c r="T50" s="3">
        <f t="shared" si="0"/>
        <v>112400</v>
      </c>
    </row>
    <row r="51" spans="1:20" x14ac:dyDescent="0.25">
      <c r="A51" s="2">
        <v>45707</v>
      </c>
      <c r="B51" s="3">
        <v>0</v>
      </c>
      <c r="C51" s="3">
        <v>0</v>
      </c>
      <c r="D51" s="3">
        <v>0</v>
      </c>
      <c r="E51" s="3">
        <v>0</v>
      </c>
      <c r="F51" s="3">
        <v>31939</v>
      </c>
      <c r="G51" s="3">
        <v>0</v>
      </c>
      <c r="H51" s="3">
        <v>0</v>
      </c>
      <c r="I51" s="3">
        <v>0</v>
      </c>
      <c r="J51" s="3">
        <v>651</v>
      </c>
      <c r="K51" s="3">
        <v>0</v>
      </c>
      <c r="L51" s="3">
        <v>0</v>
      </c>
      <c r="M51" s="3">
        <v>0</v>
      </c>
      <c r="N51" s="3">
        <v>68182</v>
      </c>
      <c r="O51" s="3">
        <v>244</v>
      </c>
      <c r="P51" s="3">
        <v>0</v>
      </c>
      <c r="Q51" s="3">
        <v>0</v>
      </c>
      <c r="R51" s="3">
        <v>0</v>
      </c>
      <c r="S51" s="3">
        <v>0</v>
      </c>
      <c r="T51" s="3">
        <f t="shared" si="0"/>
        <v>101016</v>
      </c>
    </row>
    <row r="52" spans="1:20" x14ac:dyDescent="0.25">
      <c r="A52" s="2">
        <v>45708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509</v>
      </c>
      <c r="I52" s="3">
        <v>0</v>
      </c>
      <c r="J52" s="3">
        <v>0</v>
      </c>
      <c r="K52" s="3">
        <v>0</v>
      </c>
      <c r="L52" s="3">
        <v>3027</v>
      </c>
      <c r="M52" s="3">
        <v>0</v>
      </c>
      <c r="N52" s="3">
        <v>0</v>
      </c>
      <c r="O52" s="3">
        <v>51</v>
      </c>
      <c r="P52" s="3">
        <v>0</v>
      </c>
      <c r="Q52" s="3">
        <v>0</v>
      </c>
      <c r="R52" s="3">
        <v>0</v>
      </c>
      <c r="S52" s="3">
        <v>0</v>
      </c>
      <c r="T52" s="3">
        <f t="shared" si="0"/>
        <v>3587</v>
      </c>
    </row>
    <row r="53" spans="1:20" x14ac:dyDescent="0.25">
      <c r="A53" s="2">
        <v>45709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688</v>
      </c>
      <c r="O53" s="3">
        <v>10595</v>
      </c>
      <c r="P53" s="3">
        <v>0</v>
      </c>
      <c r="Q53" s="3">
        <v>0</v>
      </c>
      <c r="R53" s="3">
        <v>0</v>
      </c>
      <c r="S53" s="3">
        <v>0</v>
      </c>
      <c r="T53" s="3">
        <f t="shared" si="0"/>
        <v>11283</v>
      </c>
    </row>
    <row r="54" spans="1:20" x14ac:dyDescent="0.25">
      <c r="A54" s="2">
        <v>45710</v>
      </c>
      <c r="B54" s="3">
        <v>0</v>
      </c>
      <c r="C54" s="3">
        <v>0</v>
      </c>
      <c r="D54" s="3">
        <v>0</v>
      </c>
      <c r="E54" s="3">
        <v>0</v>
      </c>
      <c r="F54" s="3">
        <v>28995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9290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f t="shared" si="0"/>
        <v>38285</v>
      </c>
    </row>
    <row r="55" spans="1:20" x14ac:dyDescent="0.25">
      <c r="A55" s="2">
        <v>45711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407</v>
      </c>
      <c r="I55" s="3">
        <v>0</v>
      </c>
      <c r="J55" s="3">
        <v>159</v>
      </c>
      <c r="K55" s="3">
        <v>0</v>
      </c>
      <c r="L55" s="3">
        <v>2828</v>
      </c>
      <c r="M55" s="3">
        <v>0</v>
      </c>
      <c r="N55" s="3">
        <v>253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f t="shared" si="0"/>
        <v>3647</v>
      </c>
    </row>
    <row r="56" spans="1:20" x14ac:dyDescent="0.25">
      <c r="A56" s="2">
        <v>45712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1340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5200</v>
      </c>
      <c r="P56" s="3">
        <v>0</v>
      </c>
      <c r="Q56" s="3">
        <v>0</v>
      </c>
      <c r="R56" s="3">
        <v>0</v>
      </c>
      <c r="S56" s="3">
        <v>0</v>
      </c>
      <c r="T56" s="3">
        <f t="shared" si="0"/>
        <v>6540</v>
      </c>
    </row>
    <row r="57" spans="1:20" x14ac:dyDescent="0.25">
      <c r="A57" s="2">
        <v>45713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4628</v>
      </c>
      <c r="K57" s="3">
        <v>0</v>
      </c>
      <c r="L57" s="3">
        <v>0</v>
      </c>
      <c r="M57" s="3">
        <v>0</v>
      </c>
      <c r="N57" s="3">
        <v>0</v>
      </c>
      <c r="O57" s="3">
        <v>155</v>
      </c>
      <c r="P57" s="3">
        <v>0</v>
      </c>
      <c r="Q57" s="3">
        <v>0</v>
      </c>
      <c r="R57" s="3">
        <v>0</v>
      </c>
      <c r="S57" s="3">
        <v>0</v>
      </c>
      <c r="T57" s="3">
        <f t="shared" si="0"/>
        <v>4783</v>
      </c>
    </row>
    <row r="58" spans="1:20" x14ac:dyDescent="0.25">
      <c r="A58" s="2">
        <v>45714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290</v>
      </c>
      <c r="O58" s="3">
        <v>200</v>
      </c>
      <c r="P58" s="3">
        <v>0</v>
      </c>
      <c r="Q58" s="3">
        <v>0</v>
      </c>
      <c r="R58" s="3">
        <v>0</v>
      </c>
      <c r="S58" s="3">
        <v>0</v>
      </c>
      <c r="T58" s="3">
        <f t="shared" si="0"/>
        <v>490</v>
      </c>
    </row>
    <row r="59" spans="1:20" x14ac:dyDescent="0.25">
      <c r="A59" s="2">
        <v>45715</v>
      </c>
      <c r="B59" s="3">
        <v>0</v>
      </c>
      <c r="C59" s="3">
        <v>0</v>
      </c>
      <c r="D59" s="3">
        <v>0</v>
      </c>
      <c r="E59" s="3">
        <v>0</v>
      </c>
      <c r="F59" s="3">
        <v>6</v>
      </c>
      <c r="G59" s="3">
        <v>0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2684</v>
      </c>
      <c r="O59" s="3">
        <v>21588</v>
      </c>
      <c r="P59" s="3">
        <v>0</v>
      </c>
      <c r="Q59" s="3">
        <v>0</v>
      </c>
      <c r="R59" s="3">
        <v>0</v>
      </c>
      <c r="S59" s="3">
        <v>0</v>
      </c>
      <c r="T59" s="3">
        <f t="shared" si="0"/>
        <v>24279</v>
      </c>
    </row>
    <row r="60" spans="1:20" x14ac:dyDescent="0.25">
      <c r="A60" s="2">
        <v>45716</v>
      </c>
      <c r="B60" s="3">
        <v>0</v>
      </c>
      <c r="C60" s="3">
        <v>0</v>
      </c>
      <c r="D60" s="3">
        <v>0</v>
      </c>
      <c r="E60" s="3">
        <v>0</v>
      </c>
      <c r="F60" s="3">
        <v>6</v>
      </c>
      <c r="G60" s="3">
        <v>0</v>
      </c>
      <c r="H60" s="3">
        <v>0</v>
      </c>
      <c r="I60" s="3">
        <v>0</v>
      </c>
      <c r="J60" s="3">
        <v>102516</v>
      </c>
      <c r="K60" s="3">
        <v>0</v>
      </c>
      <c r="L60" s="3">
        <v>0</v>
      </c>
      <c r="M60" s="3">
        <v>0</v>
      </c>
      <c r="N60" s="3">
        <v>16302</v>
      </c>
      <c r="O60" s="3">
        <v>20220</v>
      </c>
      <c r="P60" s="3">
        <v>0</v>
      </c>
      <c r="Q60" s="3">
        <v>0</v>
      </c>
      <c r="R60" s="3">
        <v>0</v>
      </c>
      <c r="S60" s="3">
        <v>0</v>
      </c>
      <c r="T60" s="3">
        <f t="shared" si="0"/>
        <v>139044</v>
      </c>
    </row>
    <row r="61" spans="1:20" x14ac:dyDescent="0.25">
      <c r="A61" s="2">
        <v>45717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14224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f t="shared" si="0"/>
        <v>14224</v>
      </c>
    </row>
    <row r="62" spans="1:20" x14ac:dyDescent="0.25">
      <c r="A62" s="2">
        <v>45718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f t="shared" si="0"/>
        <v>0</v>
      </c>
    </row>
    <row r="63" spans="1:20" x14ac:dyDescent="0.25">
      <c r="A63" s="2">
        <v>45719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39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11182</v>
      </c>
      <c r="O63" s="3">
        <v>6618</v>
      </c>
      <c r="P63" s="3">
        <v>0</v>
      </c>
      <c r="Q63" s="3">
        <v>0</v>
      </c>
      <c r="R63" s="3">
        <v>0</v>
      </c>
      <c r="S63" s="3">
        <v>0</v>
      </c>
      <c r="T63" s="3">
        <f t="shared" si="0"/>
        <v>17839</v>
      </c>
    </row>
    <row r="64" spans="1:20" x14ac:dyDescent="0.25">
      <c r="A64" s="2">
        <v>45720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648</v>
      </c>
      <c r="I64" s="3">
        <v>0</v>
      </c>
      <c r="J64" s="3">
        <v>152229</v>
      </c>
      <c r="K64" s="3">
        <v>0</v>
      </c>
      <c r="L64" s="3">
        <v>0</v>
      </c>
      <c r="M64" s="3">
        <v>0</v>
      </c>
      <c r="N64" s="3">
        <v>73948</v>
      </c>
      <c r="O64" s="3">
        <v>10736</v>
      </c>
      <c r="P64" s="3">
        <v>0</v>
      </c>
      <c r="Q64" s="3">
        <v>0</v>
      </c>
      <c r="R64" s="3">
        <v>0</v>
      </c>
      <c r="S64" s="3">
        <v>0</v>
      </c>
      <c r="T64" s="3">
        <f t="shared" si="0"/>
        <v>237561</v>
      </c>
    </row>
    <row r="65" spans="1:20" x14ac:dyDescent="0.25">
      <c r="A65" s="2">
        <v>45721</v>
      </c>
      <c r="B65" s="3">
        <v>0</v>
      </c>
      <c r="C65" s="3">
        <v>0</v>
      </c>
      <c r="D65" s="3">
        <v>0</v>
      </c>
      <c r="E65" s="3">
        <v>3398</v>
      </c>
      <c r="F65" s="3">
        <v>472</v>
      </c>
      <c r="G65" s="3">
        <v>0</v>
      </c>
      <c r="H65" s="3">
        <v>0</v>
      </c>
      <c r="I65" s="3">
        <v>0</v>
      </c>
      <c r="J65" s="3">
        <v>4</v>
      </c>
      <c r="K65" s="3">
        <v>0</v>
      </c>
      <c r="L65" s="3">
        <v>0</v>
      </c>
      <c r="M65" s="3">
        <v>0</v>
      </c>
      <c r="N65" s="3">
        <v>63912</v>
      </c>
      <c r="O65" s="3">
        <v>424</v>
      </c>
      <c r="P65" s="3">
        <v>0</v>
      </c>
      <c r="Q65" s="3">
        <v>0</v>
      </c>
      <c r="R65" s="3">
        <v>0</v>
      </c>
      <c r="S65" s="3">
        <v>0</v>
      </c>
      <c r="T65" s="3">
        <f t="shared" si="0"/>
        <v>68210</v>
      </c>
    </row>
    <row r="66" spans="1:20" x14ac:dyDescent="0.25">
      <c r="A66" s="2">
        <v>45722</v>
      </c>
      <c r="B66" s="3">
        <v>0</v>
      </c>
      <c r="C66" s="3">
        <v>0</v>
      </c>
      <c r="D66" s="3">
        <v>0</v>
      </c>
      <c r="E66" s="3">
        <v>8113</v>
      </c>
      <c r="F66" s="3">
        <v>164390</v>
      </c>
      <c r="G66" s="3">
        <v>0</v>
      </c>
      <c r="H66" s="3">
        <v>709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124306</v>
      </c>
      <c r="O66" s="3">
        <v>10174</v>
      </c>
      <c r="P66" s="3">
        <v>0</v>
      </c>
      <c r="Q66" s="3">
        <v>0</v>
      </c>
      <c r="R66" s="3">
        <v>0</v>
      </c>
      <c r="S66" s="3">
        <v>0</v>
      </c>
      <c r="T66" s="3">
        <f t="shared" ref="T66:T129" si="1">SUM(B66:S66)</f>
        <v>307692</v>
      </c>
    </row>
    <row r="67" spans="1:20" x14ac:dyDescent="0.25">
      <c r="A67" s="2">
        <v>45723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116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644013</v>
      </c>
      <c r="O67" s="3">
        <v>960</v>
      </c>
      <c r="P67" s="3">
        <v>0</v>
      </c>
      <c r="Q67" s="3">
        <v>0</v>
      </c>
      <c r="R67" s="3">
        <v>0</v>
      </c>
      <c r="S67" s="3">
        <v>0</v>
      </c>
      <c r="T67" s="3">
        <f t="shared" si="1"/>
        <v>645089</v>
      </c>
    </row>
    <row r="68" spans="1:20" x14ac:dyDescent="0.25">
      <c r="A68" s="2">
        <v>45724</v>
      </c>
      <c r="B68" s="3">
        <v>0</v>
      </c>
      <c r="C68" s="3">
        <v>0</v>
      </c>
      <c r="D68" s="3">
        <v>0</v>
      </c>
      <c r="E68" s="3">
        <v>1763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15432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f t="shared" si="1"/>
        <v>17195</v>
      </c>
    </row>
    <row r="69" spans="1:20" x14ac:dyDescent="0.25">
      <c r="A69" s="2">
        <v>45725</v>
      </c>
      <c r="B69" s="3">
        <v>0</v>
      </c>
      <c r="C69" s="3">
        <v>0</v>
      </c>
      <c r="D69" s="3">
        <v>0</v>
      </c>
      <c r="E69" s="3">
        <v>0</v>
      </c>
      <c r="F69" s="3">
        <v>78</v>
      </c>
      <c r="G69" s="3">
        <v>0</v>
      </c>
      <c r="H69" s="3">
        <v>0</v>
      </c>
      <c r="I69" s="3">
        <v>0</v>
      </c>
      <c r="J69" s="3">
        <v>733</v>
      </c>
      <c r="K69" s="3">
        <v>0</v>
      </c>
      <c r="L69" s="3">
        <v>2393</v>
      </c>
      <c r="M69" s="3">
        <v>0</v>
      </c>
      <c r="N69" s="3">
        <v>3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f t="shared" si="1"/>
        <v>3207</v>
      </c>
    </row>
    <row r="70" spans="1:20" x14ac:dyDescent="0.25">
      <c r="A70" s="2">
        <v>45726</v>
      </c>
      <c r="B70" s="3">
        <v>0</v>
      </c>
      <c r="C70" s="3">
        <v>0</v>
      </c>
      <c r="D70" s="3">
        <v>0</v>
      </c>
      <c r="E70" s="3">
        <v>44506</v>
      </c>
      <c r="F70" s="3">
        <v>369201</v>
      </c>
      <c r="G70" s="3">
        <v>0</v>
      </c>
      <c r="H70" s="3">
        <v>443</v>
      </c>
      <c r="I70" s="3">
        <v>0</v>
      </c>
      <c r="J70" s="3">
        <v>9</v>
      </c>
      <c r="K70" s="3">
        <v>0</v>
      </c>
      <c r="L70" s="3">
        <v>0</v>
      </c>
      <c r="M70" s="3">
        <v>0</v>
      </c>
      <c r="N70" s="3">
        <v>57557</v>
      </c>
      <c r="O70" s="3">
        <v>4433</v>
      </c>
      <c r="P70" s="3">
        <v>0</v>
      </c>
      <c r="Q70" s="3">
        <v>0</v>
      </c>
      <c r="R70" s="3">
        <v>0</v>
      </c>
      <c r="S70" s="3">
        <v>0</v>
      </c>
      <c r="T70" s="3">
        <f t="shared" si="1"/>
        <v>476149</v>
      </c>
    </row>
    <row r="71" spans="1:20" x14ac:dyDescent="0.25">
      <c r="A71" s="2">
        <v>45727</v>
      </c>
      <c r="B71" s="3">
        <v>0</v>
      </c>
      <c r="C71" s="3">
        <v>0</v>
      </c>
      <c r="D71" s="3">
        <v>0</v>
      </c>
      <c r="E71" s="3">
        <v>27</v>
      </c>
      <c r="F71" s="3">
        <v>979</v>
      </c>
      <c r="G71" s="3">
        <v>0</v>
      </c>
      <c r="H71" s="3">
        <v>0</v>
      </c>
      <c r="I71" s="3">
        <v>0</v>
      </c>
      <c r="J71" s="3">
        <v>41405</v>
      </c>
      <c r="K71" s="3">
        <v>0</v>
      </c>
      <c r="L71" s="3">
        <v>0</v>
      </c>
      <c r="M71" s="3">
        <v>0</v>
      </c>
      <c r="N71" s="3">
        <v>916</v>
      </c>
      <c r="O71" s="3">
        <v>9999</v>
      </c>
      <c r="P71" s="3">
        <v>0</v>
      </c>
      <c r="Q71" s="3">
        <v>0</v>
      </c>
      <c r="R71" s="3">
        <v>0</v>
      </c>
      <c r="S71" s="3">
        <v>0</v>
      </c>
      <c r="T71" s="3">
        <f t="shared" si="1"/>
        <v>53326</v>
      </c>
    </row>
    <row r="72" spans="1:20" x14ac:dyDescent="0.25">
      <c r="A72" s="2">
        <v>45728</v>
      </c>
      <c r="B72" s="3">
        <v>0</v>
      </c>
      <c r="C72" s="3">
        <v>0</v>
      </c>
      <c r="D72" s="3">
        <v>0</v>
      </c>
      <c r="E72" s="3">
        <v>9</v>
      </c>
      <c r="F72" s="3">
        <v>98315</v>
      </c>
      <c r="G72" s="3">
        <v>0</v>
      </c>
      <c r="H72" s="3">
        <v>9</v>
      </c>
      <c r="I72" s="3">
        <v>0</v>
      </c>
      <c r="J72" s="3">
        <v>398734</v>
      </c>
      <c r="K72" s="3">
        <v>0</v>
      </c>
      <c r="L72" s="3">
        <v>0</v>
      </c>
      <c r="M72" s="3">
        <v>0</v>
      </c>
      <c r="N72" s="3">
        <v>780</v>
      </c>
      <c r="O72" s="3">
        <v>2474</v>
      </c>
      <c r="P72" s="3">
        <v>0</v>
      </c>
      <c r="Q72" s="3">
        <v>0</v>
      </c>
      <c r="R72" s="3">
        <v>0</v>
      </c>
      <c r="S72" s="3">
        <v>0</v>
      </c>
      <c r="T72" s="3">
        <f t="shared" si="1"/>
        <v>500321</v>
      </c>
    </row>
    <row r="73" spans="1:20" x14ac:dyDescent="0.25">
      <c r="A73" s="2">
        <v>45729</v>
      </c>
      <c r="B73" s="3">
        <v>0</v>
      </c>
      <c r="C73" s="3">
        <v>0</v>
      </c>
      <c r="D73" s="3">
        <v>0</v>
      </c>
      <c r="E73" s="3">
        <v>2257</v>
      </c>
      <c r="F73" s="3">
        <v>0</v>
      </c>
      <c r="G73" s="3">
        <v>0</v>
      </c>
      <c r="H73" s="3">
        <v>21</v>
      </c>
      <c r="I73" s="3">
        <v>0</v>
      </c>
      <c r="J73" s="3">
        <v>80834</v>
      </c>
      <c r="K73" s="3">
        <v>0</v>
      </c>
      <c r="L73" s="3">
        <v>0</v>
      </c>
      <c r="M73" s="3">
        <v>0</v>
      </c>
      <c r="N73" s="3">
        <v>4962</v>
      </c>
      <c r="O73" s="3">
        <v>350</v>
      </c>
      <c r="P73" s="3">
        <v>0</v>
      </c>
      <c r="Q73" s="3">
        <v>0</v>
      </c>
      <c r="R73" s="3">
        <v>0</v>
      </c>
      <c r="S73" s="3">
        <v>0</v>
      </c>
      <c r="T73" s="3">
        <f t="shared" si="1"/>
        <v>88424</v>
      </c>
    </row>
    <row r="74" spans="1:20" x14ac:dyDescent="0.25">
      <c r="A74" s="2">
        <v>45730</v>
      </c>
      <c r="B74" s="3">
        <v>0</v>
      </c>
      <c r="C74" s="3">
        <v>0</v>
      </c>
      <c r="D74" s="3">
        <v>0</v>
      </c>
      <c r="E74" s="3">
        <v>21</v>
      </c>
      <c r="F74" s="3">
        <v>259198</v>
      </c>
      <c r="G74" s="3">
        <v>0</v>
      </c>
      <c r="H74" s="3">
        <v>134</v>
      </c>
      <c r="I74" s="3">
        <v>0</v>
      </c>
      <c r="J74" s="3">
        <v>111099</v>
      </c>
      <c r="K74" s="3">
        <v>0</v>
      </c>
      <c r="L74" s="3">
        <v>0</v>
      </c>
      <c r="M74" s="3">
        <v>0</v>
      </c>
      <c r="N74" s="3">
        <v>0</v>
      </c>
      <c r="O74" s="3">
        <v>1791</v>
      </c>
      <c r="P74" s="3">
        <v>0</v>
      </c>
      <c r="Q74" s="3">
        <v>0</v>
      </c>
      <c r="R74" s="3">
        <v>0</v>
      </c>
      <c r="S74" s="3">
        <v>0</v>
      </c>
      <c r="T74" s="3">
        <f t="shared" si="1"/>
        <v>372243</v>
      </c>
    </row>
    <row r="75" spans="1:20" x14ac:dyDescent="0.25">
      <c r="A75" s="2">
        <v>45731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36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f t="shared" si="1"/>
        <v>36</v>
      </c>
    </row>
    <row r="76" spans="1:20" x14ac:dyDescent="0.25">
      <c r="A76" s="2">
        <v>45732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f t="shared" si="1"/>
        <v>0</v>
      </c>
    </row>
    <row r="77" spans="1:20" x14ac:dyDescent="0.25">
      <c r="A77" s="2">
        <v>45733</v>
      </c>
      <c r="B77" s="3">
        <v>0</v>
      </c>
      <c r="C77" s="3">
        <v>0</v>
      </c>
      <c r="D77" s="3">
        <v>0</v>
      </c>
      <c r="E77" s="3">
        <v>21</v>
      </c>
      <c r="F77" s="3">
        <v>1128476</v>
      </c>
      <c r="G77" s="3">
        <v>0</v>
      </c>
      <c r="H77" s="3">
        <v>39</v>
      </c>
      <c r="I77" s="3">
        <v>0</v>
      </c>
      <c r="J77" s="3">
        <v>12</v>
      </c>
      <c r="K77" s="3">
        <v>0</v>
      </c>
      <c r="L77" s="3">
        <v>0</v>
      </c>
      <c r="M77" s="3">
        <v>0</v>
      </c>
      <c r="N77" s="3">
        <v>0</v>
      </c>
      <c r="O77" s="3">
        <v>16770</v>
      </c>
      <c r="P77" s="3">
        <v>0</v>
      </c>
      <c r="Q77" s="3">
        <v>0</v>
      </c>
      <c r="R77" s="3">
        <v>0</v>
      </c>
      <c r="S77" s="3">
        <v>0</v>
      </c>
      <c r="T77" s="3">
        <f t="shared" si="1"/>
        <v>1145318</v>
      </c>
    </row>
    <row r="78" spans="1:20" x14ac:dyDescent="0.25">
      <c r="A78" s="2">
        <v>45734</v>
      </c>
      <c r="B78" s="3">
        <v>0</v>
      </c>
      <c r="C78" s="3">
        <v>0</v>
      </c>
      <c r="D78" s="3">
        <v>0</v>
      </c>
      <c r="E78" s="3">
        <v>0</v>
      </c>
      <c r="F78" s="3">
        <v>128199</v>
      </c>
      <c r="G78" s="3">
        <v>0</v>
      </c>
      <c r="H78" s="3">
        <v>126</v>
      </c>
      <c r="I78" s="3">
        <v>0</v>
      </c>
      <c r="J78" s="3">
        <v>59022</v>
      </c>
      <c r="K78" s="3">
        <v>0</v>
      </c>
      <c r="L78" s="3">
        <v>0</v>
      </c>
      <c r="M78" s="3">
        <v>0</v>
      </c>
      <c r="N78" s="3">
        <v>31825</v>
      </c>
      <c r="O78" s="3">
        <v>5441</v>
      </c>
      <c r="P78" s="3">
        <v>0</v>
      </c>
      <c r="Q78" s="3">
        <v>0</v>
      </c>
      <c r="R78" s="3">
        <v>0</v>
      </c>
      <c r="S78" s="3">
        <v>0</v>
      </c>
      <c r="T78" s="3">
        <f t="shared" si="1"/>
        <v>224613</v>
      </c>
    </row>
    <row r="79" spans="1:20" x14ac:dyDescent="0.25">
      <c r="A79" s="2">
        <v>45735</v>
      </c>
      <c r="B79" s="3">
        <v>0</v>
      </c>
      <c r="C79" s="3">
        <v>0</v>
      </c>
      <c r="D79" s="3">
        <v>0</v>
      </c>
      <c r="E79" s="3">
        <v>0</v>
      </c>
      <c r="F79" s="3">
        <v>68302</v>
      </c>
      <c r="G79" s="3">
        <v>0</v>
      </c>
      <c r="H79" s="3">
        <v>3773</v>
      </c>
      <c r="I79" s="3">
        <v>0</v>
      </c>
      <c r="J79" s="3">
        <v>30453</v>
      </c>
      <c r="K79" s="3">
        <v>0</v>
      </c>
      <c r="L79" s="3">
        <v>0</v>
      </c>
      <c r="M79" s="3">
        <v>0</v>
      </c>
      <c r="N79" s="3">
        <v>0</v>
      </c>
      <c r="O79" s="3">
        <v>80</v>
      </c>
      <c r="P79" s="3">
        <v>0</v>
      </c>
      <c r="Q79" s="3">
        <v>0</v>
      </c>
      <c r="R79" s="3">
        <v>0</v>
      </c>
      <c r="S79" s="3">
        <v>0</v>
      </c>
      <c r="T79" s="3">
        <f t="shared" si="1"/>
        <v>102608</v>
      </c>
    </row>
    <row r="80" spans="1:20" x14ac:dyDescent="0.25">
      <c r="A80" s="2">
        <v>45736</v>
      </c>
      <c r="B80" s="3">
        <v>0</v>
      </c>
      <c r="C80" s="3">
        <v>0</v>
      </c>
      <c r="D80" s="3">
        <v>0</v>
      </c>
      <c r="E80" s="3">
        <v>0</v>
      </c>
      <c r="F80" s="3">
        <v>271556</v>
      </c>
      <c r="G80" s="3">
        <v>0</v>
      </c>
      <c r="H80" s="3">
        <v>19</v>
      </c>
      <c r="I80" s="3">
        <v>0</v>
      </c>
      <c r="J80" s="3">
        <v>119383</v>
      </c>
      <c r="K80" s="3">
        <v>0</v>
      </c>
      <c r="L80" s="3">
        <v>0</v>
      </c>
      <c r="M80" s="3">
        <v>0</v>
      </c>
      <c r="N80" s="3">
        <v>1763</v>
      </c>
      <c r="O80" s="3">
        <v>5049</v>
      </c>
      <c r="P80" s="3">
        <v>0</v>
      </c>
      <c r="Q80" s="3">
        <v>0</v>
      </c>
      <c r="R80" s="3">
        <v>0</v>
      </c>
      <c r="S80" s="3">
        <v>0</v>
      </c>
      <c r="T80" s="3">
        <f t="shared" si="1"/>
        <v>397770</v>
      </c>
    </row>
    <row r="81" spans="1:20" x14ac:dyDescent="0.25">
      <c r="A81" s="2">
        <v>45737</v>
      </c>
      <c r="B81" s="3">
        <v>0</v>
      </c>
      <c r="C81" s="3">
        <v>0</v>
      </c>
      <c r="D81" s="3">
        <v>0</v>
      </c>
      <c r="E81" s="3">
        <v>0</v>
      </c>
      <c r="F81" s="3">
        <v>14680</v>
      </c>
      <c r="G81" s="3">
        <v>0</v>
      </c>
      <c r="H81" s="3">
        <v>1</v>
      </c>
      <c r="I81" s="3">
        <v>0</v>
      </c>
      <c r="J81" s="3">
        <v>47199</v>
      </c>
      <c r="K81" s="3">
        <v>0</v>
      </c>
      <c r="L81" s="3">
        <v>0</v>
      </c>
      <c r="M81" s="3">
        <v>0</v>
      </c>
      <c r="N81" s="3">
        <v>922</v>
      </c>
      <c r="O81" s="3">
        <v>599</v>
      </c>
      <c r="P81" s="3">
        <v>0</v>
      </c>
      <c r="Q81" s="3">
        <v>0</v>
      </c>
      <c r="R81" s="3">
        <v>0</v>
      </c>
      <c r="S81" s="3">
        <v>0</v>
      </c>
      <c r="T81" s="3">
        <f t="shared" si="1"/>
        <v>63401</v>
      </c>
    </row>
    <row r="82" spans="1:20" x14ac:dyDescent="0.25">
      <c r="A82" s="2">
        <v>45738</v>
      </c>
      <c r="B82" s="3">
        <v>0</v>
      </c>
      <c r="C82" s="3">
        <v>0</v>
      </c>
      <c r="D82" s="3">
        <v>0</v>
      </c>
      <c r="E82" s="3">
        <v>60</v>
      </c>
      <c r="F82" s="3">
        <v>0</v>
      </c>
      <c r="G82" s="3">
        <v>0</v>
      </c>
      <c r="H82" s="3">
        <v>3</v>
      </c>
      <c r="I82" s="3">
        <v>0</v>
      </c>
      <c r="J82" s="3">
        <v>254998</v>
      </c>
      <c r="K82" s="3">
        <v>0</v>
      </c>
      <c r="L82" s="3">
        <v>0</v>
      </c>
      <c r="M82" s="3">
        <v>0</v>
      </c>
      <c r="N82" s="3">
        <v>51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f t="shared" si="1"/>
        <v>255112</v>
      </c>
    </row>
    <row r="83" spans="1:20" x14ac:dyDescent="0.25">
      <c r="A83" s="2">
        <v>45739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4</v>
      </c>
      <c r="I83" s="3">
        <v>0</v>
      </c>
      <c r="J83" s="3">
        <v>286</v>
      </c>
      <c r="K83" s="3">
        <v>0</v>
      </c>
      <c r="L83" s="3">
        <v>0</v>
      </c>
      <c r="M83" s="3">
        <v>0</v>
      </c>
      <c r="N83" s="3">
        <v>0</v>
      </c>
      <c r="O83" s="3">
        <v>75</v>
      </c>
      <c r="P83" s="3">
        <v>0</v>
      </c>
      <c r="Q83" s="3">
        <v>0</v>
      </c>
      <c r="R83" s="3">
        <v>0</v>
      </c>
      <c r="S83" s="3">
        <v>0</v>
      </c>
      <c r="T83" s="3">
        <f t="shared" si="1"/>
        <v>365</v>
      </c>
    </row>
    <row r="84" spans="1:20" x14ac:dyDescent="0.25">
      <c r="A84" s="2">
        <v>45740</v>
      </c>
      <c r="B84" s="3">
        <v>0</v>
      </c>
      <c r="C84" s="3">
        <v>0</v>
      </c>
      <c r="D84" s="3">
        <v>0</v>
      </c>
      <c r="E84" s="3">
        <v>0</v>
      </c>
      <c r="F84" s="3">
        <v>369684</v>
      </c>
      <c r="G84" s="3">
        <v>0</v>
      </c>
      <c r="H84" s="3">
        <v>112</v>
      </c>
      <c r="I84" s="3">
        <v>0</v>
      </c>
      <c r="J84" s="3">
        <v>540988</v>
      </c>
      <c r="K84" s="3">
        <v>0</v>
      </c>
      <c r="L84" s="3">
        <v>0</v>
      </c>
      <c r="M84" s="3">
        <v>0</v>
      </c>
      <c r="N84" s="3">
        <v>2009</v>
      </c>
      <c r="O84" s="3">
        <v>10798</v>
      </c>
      <c r="P84" s="3">
        <v>0</v>
      </c>
      <c r="Q84" s="3">
        <v>0</v>
      </c>
      <c r="R84" s="3">
        <v>0</v>
      </c>
      <c r="S84" s="3">
        <v>0</v>
      </c>
      <c r="T84" s="3">
        <f t="shared" si="1"/>
        <v>923591</v>
      </c>
    </row>
    <row r="85" spans="1:20" x14ac:dyDescent="0.25">
      <c r="A85" s="2">
        <v>45741</v>
      </c>
      <c r="B85" s="3">
        <v>0</v>
      </c>
      <c r="C85" s="3">
        <v>0</v>
      </c>
      <c r="D85" s="3">
        <v>0</v>
      </c>
      <c r="E85" s="3">
        <v>0</v>
      </c>
      <c r="F85" s="3">
        <v>229364</v>
      </c>
      <c r="G85" s="3">
        <v>0</v>
      </c>
      <c r="H85" s="3">
        <v>64</v>
      </c>
      <c r="I85" s="3">
        <v>0</v>
      </c>
      <c r="J85" s="3">
        <v>417460</v>
      </c>
      <c r="K85" s="3">
        <v>0</v>
      </c>
      <c r="L85" s="3">
        <v>0</v>
      </c>
      <c r="M85" s="3">
        <v>0</v>
      </c>
      <c r="N85" s="3">
        <v>2177</v>
      </c>
      <c r="O85" s="3">
        <v>669</v>
      </c>
      <c r="P85" s="3">
        <v>0</v>
      </c>
      <c r="Q85" s="3">
        <v>0</v>
      </c>
      <c r="R85" s="3">
        <v>0</v>
      </c>
      <c r="S85" s="3">
        <v>0</v>
      </c>
      <c r="T85" s="3">
        <f t="shared" si="1"/>
        <v>649734</v>
      </c>
    </row>
    <row r="86" spans="1:20" x14ac:dyDescent="0.25">
      <c r="A86" s="2">
        <v>45742</v>
      </c>
      <c r="B86" s="3">
        <v>0</v>
      </c>
      <c r="C86" s="3">
        <v>0</v>
      </c>
      <c r="D86" s="3">
        <v>0</v>
      </c>
      <c r="E86" s="3">
        <v>0</v>
      </c>
      <c r="F86" s="3">
        <v>50135</v>
      </c>
      <c r="G86" s="3">
        <v>0</v>
      </c>
      <c r="H86" s="3">
        <v>12</v>
      </c>
      <c r="I86" s="3">
        <v>0</v>
      </c>
      <c r="J86" s="3">
        <v>109385</v>
      </c>
      <c r="K86" s="3">
        <v>0</v>
      </c>
      <c r="L86" s="3">
        <v>0</v>
      </c>
      <c r="M86" s="3">
        <v>0</v>
      </c>
      <c r="N86" s="3">
        <v>1209</v>
      </c>
      <c r="O86" s="3">
        <v>707</v>
      </c>
      <c r="P86" s="3">
        <v>0</v>
      </c>
      <c r="Q86" s="3">
        <v>0</v>
      </c>
      <c r="R86" s="3">
        <v>0</v>
      </c>
      <c r="S86" s="3">
        <v>370</v>
      </c>
      <c r="T86" s="3">
        <f t="shared" si="1"/>
        <v>161818</v>
      </c>
    </row>
    <row r="87" spans="1:20" x14ac:dyDescent="0.25">
      <c r="A87" s="2">
        <v>45743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2</v>
      </c>
      <c r="I87" s="3">
        <v>0</v>
      </c>
      <c r="J87" s="3">
        <v>19045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f t="shared" si="1"/>
        <v>19047</v>
      </c>
    </row>
    <row r="88" spans="1:20" x14ac:dyDescent="0.25">
      <c r="A88" s="2">
        <v>45744</v>
      </c>
      <c r="B88" s="3">
        <v>0</v>
      </c>
      <c r="C88" s="3">
        <v>0</v>
      </c>
      <c r="D88" s="3">
        <v>0</v>
      </c>
      <c r="E88" s="3">
        <v>1119</v>
      </c>
      <c r="F88" s="3">
        <v>169105</v>
      </c>
      <c r="G88" s="3">
        <v>0</v>
      </c>
      <c r="H88" s="3">
        <v>101</v>
      </c>
      <c r="I88" s="3">
        <v>0</v>
      </c>
      <c r="J88" s="3">
        <v>2277017</v>
      </c>
      <c r="K88" s="3">
        <v>0</v>
      </c>
      <c r="L88" s="3">
        <v>0</v>
      </c>
      <c r="M88" s="3">
        <v>0</v>
      </c>
      <c r="N88" s="3">
        <v>0</v>
      </c>
      <c r="O88" s="3">
        <v>10283</v>
      </c>
      <c r="P88" s="3">
        <v>0</v>
      </c>
      <c r="Q88" s="3">
        <v>0</v>
      </c>
      <c r="R88" s="3">
        <v>0</v>
      </c>
      <c r="S88" s="3">
        <v>0</v>
      </c>
      <c r="T88" s="3">
        <f t="shared" si="1"/>
        <v>2457625</v>
      </c>
    </row>
    <row r="89" spans="1:20" x14ac:dyDescent="0.25">
      <c r="A89" s="2">
        <v>45745</v>
      </c>
      <c r="B89" s="3">
        <v>0</v>
      </c>
      <c r="C89" s="3">
        <v>0</v>
      </c>
      <c r="D89" s="3">
        <v>0</v>
      </c>
      <c r="E89" s="3">
        <v>0</v>
      </c>
      <c r="F89" s="3">
        <v>1907</v>
      </c>
      <c r="G89" s="3">
        <v>0</v>
      </c>
      <c r="H89" s="3">
        <v>0</v>
      </c>
      <c r="I89" s="3">
        <v>0</v>
      </c>
      <c r="J89" s="3">
        <v>2031963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f t="shared" si="1"/>
        <v>2033870</v>
      </c>
    </row>
    <row r="90" spans="1:20" x14ac:dyDescent="0.25">
      <c r="A90" s="2">
        <v>45746</v>
      </c>
      <c r="B90" s="3">
        <v>0</v>
      </c>
      <c r="C90" s="3">
        <v>0</v>
      </c>
      <c r="D90" s="3">
        <v>0</v>
      </c>
      <c r="E90" s="3">
        <v>0</v>
      </c>
      <c r="F90" s="3">
        <v>10167</v>
      </c>
      <c r="G90" s="3">
        <v>0</v>
      </c>
      <c r="H90" s="3">
        <v>0</v>
      </c>
      <c r="I90" s="3">
        <v>0</v>
      </c>
      <c r="J90" s="3">
        <v>22059</v>
      </c>
      <c r="K90" s="3">
        <v>0</v>
      </c>
      <c r="L90" s="3">
        <v>0</v>
      </c>
      <c r="M90" s="3">
        <v>0</v>
      </c>
      <c r="N90" s="3">
        <v>0</v>
      </c>
      <c r="O90" s="3">
        <v>2406</v>
      </c>
      <c r="P90" s="3">
        <v>0</v>
      </c>
      <c r="Q90" s="3">
        <v>0</v>
      </c>
      <c r="R90" s="3">
        <v>0</v>
      </c>
      <c r="S90" s="3">
        <v>0</v>
      </c>
      <c r="T90" s="3">
        <f t="shared" si="1"/>
        <v>34632</v>
      </c>
    </row>
    <row r="91" spans="1:20" x14ac:dyDescent="0.25">
      <c r="A91" s="2">
        <v>45747</v>
      </c>
      <c r="B91" s="3">
        <v>0</v>
      </c>
      <c r="C91" s="3">
        <v>0</v>
      </c>
      <c r="D91" s="3">
        <v>0</v>
      </c>
      <c r="E91" s="3">
        <v>0</v>
      </c>
      <c r="F91" s="3">
        <v>417612</v>
      </c>
      <c r="G91" s="3">
        <v>0</v>
      </c>
      <c r="H91" s="3">
        <v>0</v>
      </c>
      <c r="I91" s="3">
        <v>0</v>
      </c>
      <c r="J91" s="3">
        <v>991202</v>
      </c>
      <c r="K91" s="3">
        <v>0</v>
      </c>
      <c r="L91" s="3">
        <v>0</v>
      </c>
      <c r="M91" s="3">
        <v>0</v>
      </c>
      <c r="N91" s="3">
        <v>636</v>
      </c>
      <c r="O91" s="3">
        <v>12766</v>
      </c>
      <c r="P91" s="3">
        <v>0</v>
      </c>
      <c r="Q91" s="3">
        <v>0</v>
      </c>
      <c r="R91" s="3">
        <v>0</v>
      </c>
      <c r="S91" s="3">
        <v>0</v>
      </c>
      <c r="T91" s="3">
        <f t="shared" si="1"/>
        <v>1422216</v>
      </c>
    </row>
    <row r="92" spans="1:20" x14ac:dyDescent="0.25">
      <c r="A92" s="2">
        <v>45748</v>
      </c>
      <c r="B92" s="3">
        <v>0</v>
      </c>
      <c r="C92" s="3">
        <v>0</v>
      </c>
      <c r="D92" s="3">
        <v>0</v>
      </c>
      <c r="E92" s="3">
        <v>0</v>
      </c>
      <c r="F92" s="3">
        <v>878892</v>
      </c>
      <c r="G92" s="3">
        <v>0</v>
      </c>
      <c r="H92" s="3">
        <v>12</v>
      </c>
      <c r="I92" s="3">
        <v>0</v>
      </c>
      <c r="J92" s="3">
        <v>924428</v>
      </c>
      <c r="K92" s="3">
        <v>0</v>
      </c>
      <c r="L92" s="3">
        <v>0</v>
      </c>
      <c r="M92" s="3">
        <v>0</v>
      </c>
      <c r="N92" s="3">
        <v>38</v>
      </c>
      <c r="O92" s="3">
        <v>15602</v>
      </c>
      <c r="P92" s="3">
        <v>0</v>
      </c>
      <c r="Q92" s="3">
        <v>0</v>
      </c>
      <c r="R92" s="3">
        <v>0</v>
      </c>
      <c r="S92" s="3">
        <v>0</v>
      </c>
      <c r="T92" s="3">
        <f t="shared" si="1"/>
        <v>1818972</v>
      </c>
    </row>
    <row r="93" spans="1:20" x14ac:dyDescent="0.25">
      <c r="A93" s="2">
        <v>45749</v>
      </c>
      <c r="B93" s="3">
        <v>0</v>
      </c>
      <c r="C93" s="3">
        <v>0</v>
      </c>
      <c r="D93" s="3">
        <v>0</v>
      </c>
      <c r="E93" s="3">
        <v>9694</v>
      </c>
      <c r="F93" s="3">
        <v>99475</v>
      </c>
      <c r="G93" s="3">
        <v>0</v>
      </c>
      <c r="H93" s="3">
        <v>58</v>
      </c>
      <c r="I93" s="3">
        <v>0</v>
      </c>
      <c r="J93" s="3">
        <v>1724840</v>
      </c>
      <c r="K93" s="3">
        <v>0</v>
      </c>
      <c r="L93" s="3">
        <v>0</v>
      </c>
      <c r="M93" s="3">
        <v>0</v>
      </c>
      <c r="N93" s="3">
        <v>459</v>
      </c>
      <c r="O93" s="3">
        <v>10149</v>
      </c>
      <c r="P93" s="3">
        <v>0</v>
      </c>
      <c r="Q93" s="3">
        <v>0</v>
      </c>
      <c r="R93" s="3">
        <v>0</v>
      </c>
      <c r="S93" s="3">
        <v>0</v>
      </c>
      <c r="T93" s="3">
        <f t="shared" si="1"/>
        <v>1844675</v>
      </c>
    </row>
    <row r="94" spans="1:20" x14ac:dyDescent="0.25">
      <c r="A94" s="2">
        <v>45750</v>
      </c>
      <c r="B94" s="3">
        <v>0</v>
      </c>
      <c r="C94" s="3">
        <v>0</v>
      </c>
      <c r="D94" s="3">
        <v>0</v>
      </c>
      <c r="E94" s="3">
        <v>0</v>
      </c>
      <c r="F94" s="3">
        <v>35812</v>
      </c>
      <c r="G94" s="3">
        <v>0</v>
      </c>
      <c r="H94" s="3">
        <v>0</v>
      </c>
      <c r="I94" s="3">
        <v>0</v>
      </c>
      <c r="J94" s="3">
        <v>328006</v>
      </c>
      <c r="K94" s="3">
        <v>0</v>
      </c>
      <c r="L94" s="3">
        <v>0</v>
      </c>
      <c r="M94" s="3">
        <v>0</v>
      </c>
      <c r="N94" s="3">
        <v>149</v>
      </c>
      <c r="O94" s="3">
        <v>225</v>
      </c>
      <c r="P94" s="3">
        <v>0</v>
      </c>
      <c r="Q94" s="3">
        <v>0</v>
      </c>
      <c r="R94" s="3">
        <v>0</v>
      </c>
      <c r="S94" s="3">
        <v>0</v>
      </c>
      <c r="T94" s="3">
        <f t="shared" si="1"/>
        <v>364192</v>
      </c>
    </row>
    <row r="95" spans="1:20" x14ac:dyDescent="0.25">
      <c r="A95" s="2">
        <v>45751</v>
      </c>
      <c r="B95" s="3">
        <v>0</v>
      </c>
      <c r="C95" s="3">
        <v>0</v>
      </c>
      <c r="D95" s="3">
        <v>0</v>
      </c>
      <c r="E95" s="3">
        <v>465</v>
      </c>
      <c r="F95" s="3">
        <v>229013</v>
      </c>
      <c r="G95" s="3">
        <v>0</v>
      </c>
      <c r="H95" s="3">
        <v>20</v>
      </c>
      <c r="I95" s="3">
        <v>0</v>
      </c>
      <c r="J95" s="3">
        <v>204922</v>
      </c>
      <c r="K95" s="3">
        <v>0</v>
      </c>
      <c r="L95" s="3">
        <v>0</v>
      </c>
      <c r="M95" s="3">
        <v>0</v>
      </c>
      <c r="N95" s="3">
        <v>5</v>
      </c>
      <c r="O95" s="3">
        <v>287</v>
      </c>
      <c r="P95" s="3">
        <v>0</v>
      </c>
      <c r="Q95" s="3">
        <v>0</v>
      </c>
      <c r="R95" s="3">
        <v>0</v>
      </c>
      <c r="S95" s="3">
        <v>0</v>
      </c>
      <c r="T95" s="3">
        <f t="shared" si="1"/>
        <v>434712</v>
      </c>
    </row>
    <row r="96" spans="1:20" x14ac:dyDescent="0.25">
      <c r="A96" s="2">
        <v>45752</v>
      </c>
      <c r="B96" s="3">
        <v>0</v>
      </c>
      <c r="C96" s="3">
        <v>0</v>
      </c>
      <c r="D96" s="3">
        <v>0</v>
      </c>
      <c r="E96" s="3">
        <v>349</v>
      </c>
      <c r="F96" s="3">
        <v>7441</v>
      </c>
      <c r="G96" s="3">
        <v>0</v>
      </c>
      <c r="H96" s="3">
        <v>1</v>
      </c>
      <c r="I96" s="3">
        <v>0</v>
      </c>
      <c r="J96" s="3">
        <v>117462</v>
      </c>
      <c r="K96" s="3">
        <v>0</v>
      </c>
      <c r="L96" s="3">
        <v>0</v>
      </c>
      <c r="M96" s="3">
        <v>0</v>
      </c>
      <c r="N96" s="3">
        <v>9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f t="shared" si="1"/>
        <v>125262</v>
      </c>
    </row>
    <row r="97" spans="1:20" x14ac:dyDescent="0.25">
      <c r="A97" s="2">
        <v>45753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73325</v>
      </c>
      <c r="K97" s="3">
        <v>0</v>
      </c>
      <c r="L97" s="3">
        <v>0</v>
      </c>
      <c r="M97" s="3">
        <v>0</v>
      </c>
      <c r="N97" s="3">
        <v>942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f t="shared" si="1"/>
        <v>74267</v>
      </c>
    </row>
    <row r="98" spans="1:20" x14ac:dyDescent="0.25">
      <c r="A98" s="2">
        <v>45754</v>
      </c>
      <c r="B98" s="3">
        <v>0</v>
      </c>
      <c r="C98" s="3">
        <v>0</v>
      </c>
      <c r="D98" s="3">
        <v>0</v>
      </c>
      <c r="E98" s="3">
        <v>0</v>
      </c>
      <c r="F98" s="3">
        <v>443740</v>
      </c>
      <c r="G98" s="3">
        <v>0</v>
      </c>
      <c r="H98" s="3">
        <v>3790</v>
      </c>
      <c r="I98" s="3">
        <v>0</v>
      </c>
      <c r="J98" s="3">
        <v>1487676</v>
      </c>
      <c r="K98" s="3">
        <v>0</v>
      </c>
      <c r="L98" s="3">
        <v>0</v>
      </c>
      <c r="M98" s="3">
        <v>0</v>
      </c>
      <c r="N98" s="3">
        <v>666</v>
      </c>
      <c r="O98" s="3">
        <v>24118</v>
      </c>
      <c r="P98" s="3">
        <v>0</v>
      </c>
      <c r="Q98" s="3">
        <v>0</v>
      </c>
      <c r="R98" s="3">
        <v>0</v>
      </c>
      <c r="S98" s="3">
        <v>0</v>
      </c>
      <c r="T98" s="3">
        <f t="shared" si="1"/>
        <v>1959990</v>
      </c>
    </row>
    <row r="99" spans="1:20" x14ac:dyDescent="0.25">
      <c r="A99" s="2">
        <v>45755</v>
      </c>
      <c r="B99" s="3">
        <v>0</v>
      </c>
      <c r="C99" s="3">
        <v>0</v>
      </c>
      <c r="D99" s="3">
        <v>0</v>
      </c>
      <c r="E99" s="3">
        <v>0</v>
      </c>
      <c r="F99" s="3">
        <v>519066</v>
      </c>
      <c r="G99" s="3">
        <v>0</v>
      </c>
      <c r="H99" s="3">
        <v>7735</v>
      </c>
      <c r="I99" s="3">
        <v>0</v>
      </c>
      <c r="J99" s="3">
        <v>721487</v>
      </c>
      <c r="K99" s="3">
        <v>0</v>
      </c>
      <c r="L99" s="3">
        <v>0</v>
      </c>
      <c r="M99" s="3">
        <v>0</v>
      </c>
      <c r="N99" s="3">
        <v>9719</v>
      </c>
      <c r="O99" s="3">
        <v>6248</v>
      </c>
      <c r="P99" s="3">
        <v>0</v>
      </c>
      <c r="Q99" s="3">
        <v>0</v>
      </c>
      <c r="R99" s="3">
        <v>0</v>
      </c>
      <c r="S99" s="3">
        <v>0</v>
      </c>
      <c r="T99" s="3">
        <f t="shared" si="1"/>
        <v>1264255</v>
      </c>
    </row>
    <row r="100" spans="1:20" x14ac:dyDescent="0.25">
      <c r="A100" s="2">
        <v>45756</v>
      </c>
      <c r="B100" s="3">
        <v>0</v>
      </c>
      <c r="C100" s="3">
        <v>0</v>
      </c>
      <c r="D100" s="3">
        <v>0</v>
      </c>
      <c r="E100" s="3">
        <v>650</v>
      </c>
      <c r="F100" s="3">
        <v>1089095</v>
      </c>
      <c r="G100" s="3">
        <v>0</v>
      </c>
      <c r="H100" s="3">
        <v>99</v>
      </c>
      <c r="I100" s="3">
        <v>0</v>
      </c>
      <c r="J100" s="3">
        <v>359584</v>
      </c>
      <c r="K100" s="3">
        <v>0</v>
      </c>
      <c r="L100" s="3">
        <v>0</v>
      </c>
      <c r="M100" s="3">
        <v>0</v>
      </c>
      <c r="N100" s="3">
        <v>67</v>
      </c>
      <c r="O100" s="3">
        <v>420</v>
      </c>
      <c r="P100" s="3">
        <v>0</v>
      </c>
      <c r="Q100" s="3">
        <v>0</v>
      </c>
      <c r="R100" s="3">
        <v>0</v>
      </c>
      <c r="S100" s="3">
        <v>0</v>
      </c>
      <c r="T100" s="3">
        <f t="shared" si="1"/>
        <v>1449915</v>
      </c>
    </row>
    <row r="101" spans="1:20" x14ac:dyDescent="0.25">
      <c r="A101" s="2">
        <v>45757</v>
      </c>
      <c r="B101" s="3">
        <v>0</v>
      </c>
      <c r="C101" s="3">
        <v>0</v>
      </c>
      <c r="D101" s="3">
        <v>0</v>
      </c>
      <c r="E101" s="3">
        <v>10</v>
      </c>
      <c r="F101" s="3">
        <v>299531</v>
      </c>
      <c r="G101" s="3">
        <v>0</v>
      </c>
      <c r="H101" s="3">
        <v>0</v>
      </c>
      <c r="I101" s="3">
        <v>0</v>
      </c>
      <c r="J101" s="3">
        <v>230738</v>
      </c>
      <c r="K101" s="3">
        <v>0</v>
      </c>
      <c r="L101" s="3">
        <v>0</v>
      </c>
      <c r="M101" s="3">
        <v>0</v>
      </c>
      <c r="N101" s="3">
        <v>173</v>
      </c>
      <c r="O101" s="3">
        <v>606</v>
      </c>
      <c r="P101" s="3">
        <v>0</v>
      </c>
      <c r="Q101" s="3">
        <v>0</v>
      </c>
      <c r="R101" s="3">
        <v>0</v>
      </c>
      <c r="S101" s="3">
        <v>0</v>
      </c>
      <c r="T101" s="3">
        <f t="shared" si="1"/>
        <v>531058</v>
      </c>
    </row>
    <row r="102" spans="1:20" x14ac:dyDescent="0.25">
      <c r="A102" s="2">
        <v>45758</v>
      </c>
      <c r="B102" s="3">
        <v>0</v>
      </c>
      <c r="C102" s="3">
        <v>0</v>
      </c>
      <c r="D102" s="3">
        <v>0</v>
      </c>
      <c r="E102" s="3">
        <v>0</v>
      </c>
      <c r="F102" s="3">
        <v>122483</v>
      </c>
      <c r="G102" s="3">
        <v>0</v>
      </c>
      <c r="H102" s="3">
        <v>0</v>
      </c>
      <c r="I102" s="3">
        <v>0</v>
      </c>
      <c r="J102" s="3">
        <v>7282</v>
      </c>
      <c r="K102" s="3">
        <v>0</v>
      </c>
      <c r="L102" s="3">
        <v>0</v>
      </c>
      <c r="M102" s="3">
        <v>0</v>
      </c>
      <c r="N102" s="3">
        <v>0</v>
      </c>
      <c r="O102" s="3">
        <v>889</v>
      </c>
      <c r="P102" s="3">
        <v>0</v>
      </c>
      <c r="Q102" s="3">
        <v>0</v>
      </c>
      <c r="R102" s="3">
        <v>0</v>
      </c>
      <c r="S102" s="3">
        <v>0</v>
      </c>
      <c r="T102" s="3">
        <f t="shared" si="1"/>
        <v>130654</v>
      </c>
    </row>
    <row r="103" spans="1:20" x14ac:dyDescent="0.25">
      <c r="A103" s="2">
        <v>45759</v>
      </c>
      <c r="B103" s="3">
        <v>0</v>
      </c>
      <c r="C103" s="3">
        <v>0</v>
      </c>
      <c r="D103" s="3">
        <v>0</v>
      </c>
      <c r="E103" s="3">
        <v>321</v>
      </c>
      <c r="F103" s="3">
        <v>0</v>
      </c>
      <c r="G103" s="3">
        <v>0</v>
      </c>
      <c r="H103" s="3">
        <v>0</v>
      </c>
      <c r="I103" s="3">
        <v>0</v>
      </c>
      <c r="J103" s="3">
        <v>6230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f t="shared" si="1"/>
        <v>6551</v>
      </c>
    </row>
    <row r="104" spans="1:20" x14ac:dyDescent="0.25">
      <c r="A104" s="2">
        <v>45760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21</v>
      </c>
      <c r="K104" s="3">
        <v>0</v>
      </c>
      <c r="L104" s="3">
        <v>0</v>
      </c>
      <c r="M104" s="3">
        <v>0</v>
      </c>
      <c r="N104" s="3">
        <v>0</v>
      </c>
      <c r="O104" s="3">
        <v>28</v>
      </c>
      <c r="P104" s="3">
        <v>0</v>
      </c>
      <c r="Q104" s="3">
        <v>0</v>
      </c>
      <c r="R104" s="3">
        <v>0</v>
      </c>
      <c r="S104" s="3">
        <v>0</v>
      </c>
      <c r="T104" s="3">
        <f t="shared" si="1"/>
        <v>49</v>
      </c>
    </row>
    <row r="105" spans="1:20" x14ac:dyDescent="0.25">
      <c r="A105" s="2">
        <v>45761</v>
      </c>
      <c r="B105" s="3">
        <v>0</v>
      </c>
      <c r="C105" s="3">
        <v>0</v>
      </c>
      <c r="D105" s="3">
        <v>0</v>
      </c>
      <c r="E105" s="3">
        <v>357</v>
      </c>
      <c r="F105" s="3">
        <v>3256</v>
      </c>
      <c r="G105" s="3">
        <v>0</v>
      </c>
      <c r="H105" s="3">
        <v>189</v>
      </c>
      <c r="I105" s="3">
        <v>0</v>
      </c>
      <c r="J105" s="3">
        <v>20208</v>
      </c>
      <c r="K105" s="3">
        <v>0</v>
      </c>
      <c r="L105" s="3">
        <v>0</v>
      </c>
      <c r="M105" s="3">
        <v>0</v>
      </c>
      <c r="N105" s="3">
        <v>11234</v>
      </c>
      <c r="O105" s="3">
        <v>50</v>
      </c>
      <c r="P105" s="3">
        <v>0</v>
      </c>
      <c r="Q105" s="3">
        <v>0</v>
      </c>
      <c r="R105" s="3">
        <v>0</v>
      </c>
      <c r="S105" s="3">
        <v>0</v>
      </c>
      <c r="T105" s="3">
        <f t="shared" si="1"/>
        <v>35294</v>
      </c>
    </row>
    <row r="106" spans="1:20" x14ac:dyDescent="0.25">
      <c r="A106" s="2">
        <v>45762</v>
      </c>
      <c r="B106" s="3">
        <v>0</v>
      </c>
      <c r="C106" s="3">
        <v>0</v>
      </c>
      <c r="D106" s="3">
        <v>0</v>
      </c>
      <c r="E106" s="3">
        <v>301</v>
      </c>
      <c r="F106" s="3">
        <v>0</v>
      </c>
      <c r="G106" s="3">
        <v>0</v>
      </c>
      <c r="H106" s="3">
        <v>53</v>
      </c>
      <c r="I106" s="3">
        <v>0</v>
      </c>
      <c r="J106" s="3">
        <v>116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f t="shared" si="1"/>
        <v>470</v>
      </c>
    </row>
    <row r="107" spans="1:20" x14ac:dyDescent="0.25">
      <c r="A107" s="2">
        <v>45763</v>
      </c>
      <c r="B107" s="3">
        <v>0</v>
      </c>
      <c r="C107" s="3">
        <v>0</v>
      </c>
      <c r="D107" s="3">
        <v>0</v>
      </c>
      <c r="E107" s="3">
        <v>0</v>
      </c>
      <c r="F107" s="3">
        <v>524</v>
      </c>
      <c r="G107" s="3">
        <v>0</v>
      </c>
      <c r="H107" s="3">
        <v>296</v>
      </c>
      <c r="I107" s="3">
        <v>0</v>
      </c>
      <c r="J107" s="3">
        <v>26432</v>
      </c>
      <c r="K107" s="3">
        <v>0</v>
      </c>
      <c r="L107" s="3">
        <v>0</v>
      </c>
      <c r="M107" s="3">
        <v>0</v>
      </c>
      <c r="N107" s="3">
        <v>14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f t="shared" si="1"/>
        <v>27266</v>
      </c>
    </row>
    <row r="108" spans="1:20" x14ac:dyDescent="0.25">
      <c r="A108" s="2">
        <v>45764</v>
      </c>
      <c r="B108" s="3">
        <v>0</v>
      </c>
      <c r="C108" s="3">
        <v>0</v>
      </c>
      <c r="D108" s="3">
        <v>0</v>
      </c>
      <c r="E108" s="3">
        <v>0</v>
      </c>
      <c r="F108" s="3">
        <v>170944</v>
      </c>
      <c r="G108" s="3">
        <v>0</v>
      </c>
      <c r="H108" s="3">
        <v>0</v>
      </c>
      <c r="I108" s="3">
        <v>0</v>
      </c>
      <c r="J108" s="3">
        <v>24339</v>
      </c>
      <c r="K108" s="3">
        <v>0</v>
      </c>
      <c r="L108" s="3">
        <v>0</v>
      </c>
      <c r="M108" s="3">
        <v>0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f t="shared" si="1"/>
        <v>195284</v>
      </c>
    </row>
    <row r="109" spans="1:20" x14ac:dyDescent="0.25">
      <c r="A109" s="2">
        <v>45765</v>
      </c>
      <c r="B109" s="3">
        <v>0</v>
      </c>
      <c r="C109" s="3">
        <v>0</v>
      </c>
      <c r="D109" s="3">
        <v>0</v>
      </c>
      <c r="E109" s="3">
        <v>0</v>
      </c>
      <c r="F109" s="3">
        <v>4880</v>
      </c>
      <c r="G109" s="3">
        <v>0</v>
      </c>
      <c r="H109" s="3">
        <v>5</v>
      </c>
      <c r="I109" s="3">
        <v>0</v>
      </c>
      <c r="J109" s="3">
        <v>57244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f t="shared" si="1"/>
        <v>62129</v>
      </c>
    </row>
    <row r="110" spans="1:20" x14ac:dyDescent="0.25">
      <c r="A110" s="2">
        <v>45766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1781793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f t="shared" si="1"/>
        <v>1781793</v>
      </c>
    </row>
    <row r="111" spans="1:20" x14ac:dyDescent="0.25">
      <c r="A111" s="2">
        <v>45767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215687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f t="shared" si="1"/>
        <v>215687</v>
      </c>
    </row>
    <row r="112" spans="1:20" x14ac:dyDescent="0.25">
      <c r="A112" s="2">
        <v>45768</v>
      </c>
      <c r="B112" s="3">
        <v>0</v>
      </c>
      <c r="C112" s="3">
        <v>0</v>
      </c>
      <c r="D112" s="3">
        <v>0</v>
      </c>
      <c r="E112" s="3">
        <v>100</v>
      </c>
      <c r="F112" s="3">
        <v>10542</v>
      </c>
      <c r="G112" s="3">
        <v>0</v>
      </c>
      <c r="H112" s="3">
        <v>9</v>
      </c>
      <c r="I112" s="3">
        <v>0</v>
      </c>
      <c r="J112" s="3">
        <v>895203</v>
      </c>
      <c r="K112" s="3">
        <v>0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f t="shared" si="1"/>
        <v>905855</v>
      </c>
    </row>
    <row r="113" spans="1:20" x14ac:dyDescent="0.25">
      <c r="A113" s="2">
        <v>45769</v>
      </c>
      <c r="B113" s="3">
        <v>0</v>
      </c>
      <c r="C113" s="3">
        <v>0</v>
      </c>
      <c r="D113" s="3">
        <v>0</v>
      </c>
      <c r="E113" s="3">
        <v>0</v>
      </c>
      <c r="F113" s="3">
        <v>343914</v>
      </c>
      <c r="G113" s="3">
        <v>0</v>
      </c>
      <c r="H113" s="3">
        <v>3</v>
      </c>
      <c r="I113" s="3">
        <v>0</v>
      </c>
      <c r="J113" s="3">
        <v>571570</v>
      </c>
      <c r="K113" s="3">
        <v>0</v>
      </c>
      <c r="L113" s="3">
        <v>0</v>
      </c>
      <c r="M113" s="3">
        <v>0</v>
      </c>
      <c r="N113" s="3">
        <v>3303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f t="shared" si="1"/>
        <v>918790</v>
      </c>
    </row>
    <row r="114" spans="1:20" x14ac:dyDescent="0.25">
      <c r="A114" s="2">
        <v>45770</v>
      </c>
      <c r="B114" s="3">
        <v>0</v>
      </c>
      <c r="C114" s="3">
        <v>0</v>
      </c>
      <c r="D114" s="3">
        <v>0</v>
      </c>
      <c r="E114" s="3">
        <v>0</v>
      </c>
      <c r="F114" s="3">
        <v>252222</v>
      </c>
      <c r="G114" s="3">
        <v>0</v>
      </c>
      <c r="H114" s="3">
        <v>18</v>
      </c>
      <c r="I114" s="3">
        <v>0</v>
      </c>
      <c r="J114" s="3">
        <v>1654403</v>
      </c>
      <c r="K114" s="3">
        <v>0</v>
      </c>
      <c r="L114" s="3">
        <v>0</v>
      </c>
      <c r="M114" s="3">
        <v>0</v>
      </c>
      <c r="N114" s="3">
        <v>10966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f t="shared" si="1"/>
        <v>1917609</v>
      </c>
    </row>
    <row r="115" spans="1:20" x14ac:dyDescent="0.25">
      <c r="A115" s="2">
        <v>45771</v>
      </c>
      <c r="B115" s="3">
        <v>0</v>
      </c>
      <c r="C115" s="3">
        <v>0</v>
      </c>
      <c r="D115" s="3">
        <v>0</v>
      </c>
      <c r="E115" s="3">
        <v>0</v>
      </c>
      <c r="F115" s="3">
        <v>146843</v>
      </c>
      <c r="G115" s="3">
        <v>0</v>
      </c>
      <c r="H115" s="3">
        <v>8</v>
      </c>
      <c r="I115" s="3">
        <v>0</v>
      </c>
      <c r="J115" s="3">
        <v>892443</v>
      </c>
      <c r="K115" s="3">
        <v>0</v>
      </c>
      <c r="L115" s="3">
        <v>0</v>
      </c>
      <c r="M115" s="3">
        <v>0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f t="shared" si="1"/>
        <v>1039295</v>
      </c>
    </row>
    <row r="116" spans="1:20" x14ac:dyDescent="0.25">
      <c r="A116" s="2">
        <v>45772</v>
      </c>
      <c r="B116" s="3">
        <v>0</v>
      </c>
      <c r="C116" s="3">
        <v>0</v>
      </c>
      <c r="D116" s="3">
        <v>0</v>
      </c>
      <c r="E116" s="3">
        <v>1331</v>
      </c>
      <c r="F116" s="3">
        <v>586598</v>
      </c>
      <c r="G116" s="3">
        <v>0</v>
      </c>
      <c r="H116" s="3">
        <v>10066</v>
      </c>
      <c r="I116" s="3">
        <v>0</v>
      </c>
      <c r="J116" s="3">
        <v>632129</v>
      </c>
      <c r="K116" s="3">
        <v>0</v>
      </c>
      <c r="L116" s="3">
        <v>0</v>
      </c>
      <c r="M116" s="3">
        <v>0</v>
      </c>
      <c r="N116" s="3">
        <v>4058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f t="shared" si="1"/>
        <v>1234182</v>
      </c>
    </row>
    <row r="117" spans="1:20" x14ac:dyDescent="0.25">
      <c r="A117" s="2">
        <v>45773</v>
      </c>
      <c r="B117" s="3">
        <v>0</v>
      </c>
      <c r="C117" s="3">
        <v>0</v>
      </c>
      <c r="D117" s="3">
        <v>0</v>
      </c>
      <c r="E117" s="3">
        <v>374</v>
      </c>
      <c r="F117" s="3">
        <v>97</v>
      </c>
      <c r="G117" s="3">
        <v>0</v>
      </c>
      <c r="H117" s="3">
        <v>0</v>
      </c>
      <c r="I117" s="3">
        <v>0</v>
      </c>
      <c r="J117" s="3">
        <v>3002</v>
      </c>
      <c r="K117" s="3">
        <v>0</v>
      </c>
      <c r="L117" s="3">
        <v>329933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f t="shared" si="1"/>
        <v>333406</v>
      </c>
    </row>
    <row r="118" spans="1:20" x14ac:dyDescent="0.25">
      <c r="A118" s="2">
        <v>45774</v>
      </c>
      <c r="B118" s="3">
        <v>0</v>
      </c>
      <c r="C118" s="3">
        <v>0</v>
      </c>
      <c r="D118" s="3">
        <v>0</v>
      </c>
      <c r="E118" s="3">
        <v>104</v>
      </c>
      <c r="F118" s="3">
        <v>2045</v>
      </c>
      <c r="G118" s="3">
        <v>0</v>
      </c>
      <c r="H118" s="3">
        <v>0</v>
      </c>
      <c r="I118" s="3">
        <v>0</v>
      </c>
      <c r="J118" s="3">
        <v>402225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f t="shared" si="1"/>
        <v>404374</v>
      </c>
    </row>
    <row r="119" spans="1:20" x14ac:dyDescent="0.25">
      <c r="A119" s="2">
        <v>45775</v>
      </c>
      <c r="B119" s="3">
        <v>0</v>
      </c>
      <c r="C119" s="3">
        <v>0</v>
      </c>
      <c r="D119" s="3">
        <v>0</v>
      </c>
      <c r="E119" s="3">
        <v>69071</v>
      </c>
      <c r="F119" s="3">
        <v>163379</v>
      </c>
      <c r="G119" s="3">
        <v>0</v>
      </c>
      <c r="H119" s="3">
        <v>0</v>
      </c>
      <c r="I119" s="3">
        <v>0</v>
      </c>
      <c r="J119" s="3">
        <v>855361</v>
      </c>
      <c r="K119" s="3">
        <v>0</v>
      </c>
      <c r="L119" s="3">
        <v>0</v>
      </c>
      <c r="M119" s="3">
        <v>0</v>
      </c>
      <c r="N119" s="3">
        <v>5920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f t="shared" si="1"/>
        <v>1093731</v>
      </c>
    </row>
    <row r="120" spans="1:20" x14ac:dyDescent="0.25">
      <c r="A120" s="2">
        <v>45776</v>
      </c>
      <c r="B120" s="3">
        <v>0</v>
      </c>
      <c r="C120" s="3">
        <v>0</v>
      </c>
      <c r="D120" s="3">
        <v>0</v>
      </c>
      <c r="E120" s="3">
        <v>4466</v>
      </c>
      <c r="F120" s="3">
        <v>0</v>
      </c>
      <c r="G120" s="3">
        <v>0</v>
      </c>
      <c r="H120" s="3">
        <v>1</v>
      </c>
      <c r="I120" s="3">
        <v>0</v>
      </c>
      <c r="J120" s="3">
        <v>367882</v>
      </c>
      <c r="K120" s="3">
        <v>0</v>
      </c>
      <c r="L120" s="3">
        <v>7602</v>
      </c>
      <c r="M120" s="3">
        <v>0</v>
      </c>
      <c r="N120" s="3">
        <v>1492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f t="shared" si="1"/>
        <v>381443</v>
      </c>
    </row>
    <row r="121" spans="1:20" x14ac:dyDescent="0.25">
      <c r="A121" s="2">
        <v>45777</v>
      </c>
      <c r="B121" s="3">
        <v>0</v>
      </c>
      <c r="C121" s="3">
        <v>0</v>
      </c>
      <c r="D121" s="3">
        <v>0</v>
      </c>
      <c r="E121" s="3">
        <v>36906</v>
      </c>
      <c r="F121" s="3">
        <v>11684</v>
      </c>
      <c r="G121" s="3">
        <v>0</v>
      </c>
      <c r="H121" s="3">
        <v>20</v>
      </c>
      <c r="I121" s="3">
        <v>0</v>
      </c>
      <c r="J121" s="3">
        <v>787927</v>
      </c>
      <c r="K121" s="3">
        <v>0</v>
      </c>
      <c r="L121" s="3">
        <v>0</v>
      </c>
      <c r="M121" s="3">
        <v>0</v>
      </c>
      <c r="N121" s="3">
        <v>25176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f t="shared" si="1"/>
        <v>861713</v>
      </c>
    </row>
    <row r="122" spans="1:20" x14ac:dyDescent="0.25">
      <c r="A122" s="2">
        <v>45778</v>
      </c>
      <c r="B122" s="3">
        <v>0</v>
      </c>
      <c r="C122" s="3">
        <v>0</v>
      </c>
      <c r="D122" s="3">
        <v>0</v>
      </c>
      <c r="E122" s="3">
        <v>0</v>
      </c>
      <c r="F122" s="3">
        <v>259854</v>
      </c>
      <c r="G122" s="3">
        <v>0</v>
      </c>
      <c r="H122" s="3">
        <v>1</v>
      </c>
      <c r="I122" s="3">
        <v>0</v>
      </c>
      <c r="J122" s="3">
        <v>631634</v>
      </c>
      <c r="K122" s="3">
        <v>0</v>
      </c>
      <c r="L122" s="3">
        <v>0</v>
      </c>
      <c r="M122" s="3">
        <v>0</v>
      </c>
      <c r="N122" s="3">
        <v>50175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f t="shared" si="1"/>
        <v>941664</v>
      </c>
    </row>
    <row r="123" spans="1:20" x14ac:dyDescent="0.25">
      <c r="A123" s="2">
        <v>45779</v>
      </c>
      <c r="B123" s="3">
        <v>0</v>
      </c>
      <c r="C123" s="3">
        <v>0</v>
      </c>
      <c r="D123" s="3">
        <v>0</v>
      </c>
      <c r="E123" s="3">
        <v>371</v>
      </c>
      <c r="F123" s="3">
        <v>0</v>
      </c>
      <c r="G123" s="3">
        <v>0</v>
      </c>
      <c r="H123" s="3">
        <v>51300</v>
      </c>
      <c r="I123" s="3">
        <v>0</v>
      </c>
      <c r="J123" s="3">
        <v>1137216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f t="shared" si="1"/>
        <v>1188887</v>
      </c>
    </row>
    <row r="124" spans="1:20" x14ac:dyDescent="0.25">
      <c r="A124" s="2">
        <v>45780</v>
      </c>
      <c r="B124" s="3">
        <v>0</v>
      </c>
      <c r="C124" s="3">
        <v>0</v>
      </c>
      <c r="D124" s="3">
        <v>0</v>
      </c>
      <c r="E124" s="3">
        <v>8</v>
      </c>
      <c r="F124" s="3">
        <v>0</v>
      </c>
      <c r="G124" s="3">
        <v>0</v>
      </c>
      <c r="H124" s="3">
        <v>0</v>
      </c>
      <c r="I124" s="3">
        <v>0</v>
      </c>
      <c r="J124" s="3">
        <v>154460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f t="shared" si="1"/>
        <v>154468</v>
      </c>
    </row>
    <row r="125" spans="1:20" x14ac:dyDescent="0.25">
      <c r="A125" s="2">
        <v>45781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12</v>
      </c>
      <c r="I125" s="3">
        <v>0</v>
      </c>
      <c r="J125" s="3">
        <v>59749</v>
      </c>
      <c r="K125" s="3">
        <v>0</v>
      </c>
      <c r="L125" s="3">
        <v>0</v>
      </c>
      <c r="M125" s="3">
        <v>0</v>
      </c>
      <c r="N125" s="3">
        <v>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f t="shared" si="1"/>
        <v>59763</v>
      </c>
    </row>
    <row r="126" spans="1:20" x14ac:dyDescent="0.25">
      <c r="A126" s="2">
        <v>45782</v>
      </c>
      <c r="B126" s="3">
        <v>0</v>
      </c>
      <c r="C126" s="3">
        <v>0</v>
      </c>
      <c r="D126" s="3">
        <v>0</v>
      </c>
      <c r="E126" s="3">
        <v>0</v>
      </c>
      <c r="F126" s="3">
        <v>8115</v>
      </c>
      <c r="G126" s="3">
        <v>0</v>
      </c>
      <c r="H126" s="3">
        <v>121</v>
      </c>
      <c r="I126" s="3">
        <v>0</v>
      </c>
      <c r="J126" s="3">
        <v>857899</v>
      </c>
      <c r="K126" s="3">
        <v>0</v>
      </c>
      <c r="L126" s="3">
        <v>0</v>
      </c>
      <c r="M126" s="3">
        <v>0</v>
      </c>
      <c r="N126" s="3">
        <v>1577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f t="shared" si="1"/>
        <v>867712</v>
      </c>
    </row>
    <row r="127" spans="1:20" x14ac:dyDescent="0.25">
      <c r="A127" s="2">
        <v>45783</v>
      </c>
      <c r="B127" s="3">
        <v>0</v>
      </c>
      <c r="C127" s="3">
        <v>0</v>
      </c>
      <c r="D127" s="3">
        <v>0</v>
      </c>
      <c r="E127" s="3">
        <v>76389</v>
      </c>
      <c r="F127" s="3">
        <v>51488</v>
      </c>
      <c r="G127" s="3">
        <v>0</v>
      </c>
      <c r="H127" s="3">
        <v>1302</v>
      </c>
      <c r="I127" s="3">
        <v>0</v>
      </c>
      <c r="J127" s="3">
        <v>336810</v>
      </c>
      <c r="K127" s="3">
        <v>0</v>
      </c>
      <c r="L127" s="3">
        <v>0</v>
      </c>
      <c r="M127" s="3">
        <v>0</v>
      </c>
      <c r="N127" s="3">
        <v>10934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f t="shared" si="1"/>
        <v>476923</v>
      </c>
    </row>
    <row r="128" spans="1:20" x14ac:dyDescent="0.25">
      <c r="A128" s="2">
        <v>45784</v>
      </c>
      <c r="B128" s="3">
        <v>0</v>
      </c>
      <c r="C128" s="3">
        <v>0</v>
      </c>
      <c r="D128" s="3">
        <v>0</v>
      </c>
      <c r="E128" s="3">
        <v>0</v>
      </c>
      <c r="F128" s="3">
        <v>47</v>
      </c>
      <c r="G128" s="3">
        <v>0</v>
      </c>
      <c r="H128" s="3">
        <v>211</v>
      </c>
      <c r="I128" s="3">
        <v>0</v>
      </c>
      <c r="J128" s="3">
        <v>489845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f t="shared" si="1"/>
        <v>490103</v>
      </c>
    </row>
    <row r="129" spans="1:20" x14ac:dyDescent="0.25">
      <c r="A129" s="2">
        <v>45785</v>
      </c>
      <c r="B129" s="3">
        <v>0</v>
      </c>
      <c r="C129" s="3">
        <v>0</v>
      </c>
      <c r="D129" s="3">
        <v>0</v>
      </c>
      <c r="E129" s="3">
        <v>0</v>
      </c>
      <c r="F129" s="3">
        <v>9376</v>
      </c>
      <c r="G129" s="3">
        <v>0</v>
      </c>
      <c r="H129" s="3">
        <v>203</v>
      </c>
      <c r="I129" s="3">
        <v>0</v>
      </c>
      <c r="J129" s="3">
        <v>545280</v>
      </c>
      <c r="K129" s="3">
        <v>0</v>
      </c>
      <c r="L129" s="3">
        <v>0</v>
      </c>
      <c r="M129" s="3">
        <v>0</v>
      </c>
      <c r="N129" s="3">
        <v>7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f t="shared" si="1"/>
        <v>554866</v>
      </c>
    </row>
    <row r="130" spans="1:20" x14ac:dyDescent="0.25">
      <c r="A130" s="2">
        <v>45786</v>
      </c>
      <c r="B130" s="3">
        <v>0</v>
      </c>
      <c r="C130" s="3">
        <v>0</v>
      </c>
      <c r="D130" s="3">
        <v>0</v>
      </c>
      <c r="E130" s="3">
        <v>47246</v>
      </c>
      <c r="F130" s="3">
        <v>91106</v>
      </c>
      <c r="G130" s="3">
        <v>0</v>
      </c>
      <c r="H130" s="3">
        <v>165</v>
      </c>
      <c r="I130" s="3">
        <v>0</v>
      </c>
      <c r="J130" s="3">
        <v>816144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f t="shared" ref="T130:T193" si="2">SUM(B130:S130)</f>
        <v>954661</v>
      </c>
    </row>
    <row r="131" spans="1:20" x14ac:dyDescent="0.25">
      <c r="A131" s="2">
        <v>45787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31</v>
      </c>
      <c r="I131" s="3">
        <v>0</v>
      </c>
      <c r="J131" s="3">
        <v>216097</v>
      </c>
      <c r="K131" s="3">
        <v>0</v>
      </c>
      <c r="L131" s="3">
        <v>0</v>
      </c>
      <c r="M131" s="3">
        <v>0</v>
      </c>
      <c r="N131" s="3">
        <v>216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f t="shared" si="2"/>
        <v>216344</v>
      </c>
    </row>
    <row r="132" spans="1:20" x14ac:dyDescent="0.25">
      <c r="A132" s="2">
        <v>45788</v>
      </c>
      <c r="B132" s="3">
        <v>0</v>
      </c>
      <c r="C132" s="3">
        <v>0</v>
      </c>
      <c r="D132" s="3">
        <v>0</v>
      </c>
      <c r="E132" s="3">
        <v>250</v>
      </c>
      <c r="F132" s="3">
        <v>220</v>
      </c>
      <c r="G132" s="3">
        <v>0</v>
      </c>
      <c r="H132" s="3">
        <v>0</v>
      </c>
      <c r="I132" s="3">
        <v>0</v>
      </c>
      <c r="J132" s="3">
        <v>232586</v>
      </c>
      <c r="K132" s="3">
        <v>0</v>
      </c>
      <c r="L132" s="3">
        <v>0</v>
      </c>
      <c r="M132" s="3">
        <v>0</v>
      </c>
      <c r="N132" s="3">
        <v>217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f t="shared" si="2"/>
        <v>233273</v>
      </c>
    </row>
    <row r="133" spans="1:20" x14ac:dyDescent="0.25">
      <c r="A133" s="2">
        <v>45789</v>
      </c>
      <c r="B133" s="3">
        <v>0</v>
      </c>
      <c r="C133" s="3">
        <v>0</v>
      </c>
      <c r="D133" s="3">
        <v>0</v>
      </c>
      <c r="E133" s="3">
        <v>1236</v>
      </c>
      <c r="F133" s="3">
        <v>7074</v>
      </c>
      <c r="G133" s="3">
        <v>0</v>
      </c>
      <c r="H133" s="3">
        <v>104</v>
      </c>
      <c r="I133" s="3">
        <v>0</v>
      </c>
      <c r="J133" s="3">
        <v>610562</v>
      </c>
      <c r="K133" s="3">
        <v>0</v>
      </c>
      <c r="L133" s="3">
        <v>0</v>
      </c>
      <c r="M133" s="3">
        <v>0</v>
      </c>
      <c r="N133" s="3">
        <v>7271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f t="shared" si="2"/>
        <v>626247</v>
      </c>
    </row>
    <row r="134" spans="1:20" x14ac:dyDescent="0.25">
      <c r="A134" s="2">
        <v>45790</v>
      </c>
      <c r="B134" s="3">
        <v>0</v>
      </c>
      <c r="C134" s="3">
        <v>0</v>
      </c>
      <c r="D134" s="3">
        <v>0</v>
      </c>
      <c r="E134" s="3">
        <v>0</v>
      </c>
      <c r="F134" s="3">
        <v>152353</v>
      </c>
      <c r="G134" s="3">
        <v>0</v>
      </c>
      <c r="H134" s="3">
        <v>2342</v>
      </c>
      <c r="I134" s="3">
        <v>0</v>
      </c>
      <c r="J134" s="3">
        <v>220950</v>
      </c>
      <c r="K134" s="3">
        <v>0</v>
      </c>
      <c r="L134" s="3">
        <v>15646116</v>
      </c>
      <c r="M134" s="3">
        <v>0</v>
      </c>
      <c r="N134" s="3">
        <v>1262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f t="shared" si="2"/>
        <v>16023023</v>
      </c>
    </row>
    <row r="135" spans="1:20" x14ac:dyDescent="0.25">
      <c r="A135" s="2">
        <v>45791</v>
      </c>
      <c r="B135" s="3">
        <v>0</v>
      </c>
      <c r="C135" s="3">
        <v>0</v>
      </c>
      <c r="D135" s="3">
        <v>0</v>
      </c>
      <c r="E135" s="3">
        <v>41</v>
      </c>
      <c r="F135" s="3">
        <v>414</v>
      </c>
      <c r="G135" s="3">
        <v>0</v>
      </c>
      <c r="H135" s="3">
        <v>0</v>
      </c>
      <c r="I135" s="3">
        <v>0</v>
      </c>
      <c r="J135" s="3">
        <v>221878</v>
      </c>
      <c r="K135" s="3">
        <v>0</v>
      </c>
      <c r="L135" s="3">
        <v>0</v>
      </c>
      <c r="M135" s="3">
        <v>0</v>
      </c>
      <c r="N135" s="3">
        <v>15453</v>
      </c>
      <c r="O135" s="3">
        <v>0</v>
      </c>
      <c r="P135" s="3">
        <v>0</v>
      </c>
      <c r="Q135" s="3">
        <v>32</v>
      </c>
      <c r="R135" s="3">
        <v>0</v>
      </c>
      <c r="S135" s="3">
        <v>0</v>
      </c>
      <c r="T135" s="3">
        <f t="shared" si="2"/>
        <v>237818</v>
      </c>
    </row>
    <row r="136" spans="1:20" x14ac:dyDescent="0.25">
      <c r="A136" s="2">
        <v>45792</v>
      </c>
      <c r="B136" s="3">
        <v>0</v>
      </c>
      <c r="C136" s="3">
        <v>0</v>
      </c>
      <c r="D136" s="3">
        <v>0</v>
      </c>
      <c r="E136" s="3">
        <v>0</v>
      </c>
      <c r="F136" s="3">
        <v>204785</v>
      </c>
      <c r="G136" s="3">
        <v>0</v>
      </c>
      <c r="H136" s="3">
        <v>153</v>
      </c>
      <c r="I136" s="3">
        <v>0</v>
      </c>
      <c r="J136" s="3">
        <v>136626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0</v>
      </c>
      <c r="S136" s="3">
        <v>0</v>
      </c>
      <c r="T136" s="3">
        <f t="shared" si="2"/>
        <v>341565</v>
      </c>
    </row>
    <row r="137" spans="1:20" x14ac:dyDescent="0.25">
      <c r="A137" s="2">
        <v>45793</v>
      </c>
      <c r="B137" s="3">
        <v>0</v>
      </c>
      <c r="C137" s="3">
        <v>0</v>
      </c>
      <c r="D137" s="3">
        <v>0</v>
      </c>
      <c r="E137" s="3">
        <v>0</v>
      </c>
      <c r="F137" s="3">
        <v>76682</v>
      </c>
      <c r="G137" s="3">
        <v>0</v>
      </c>
      <c r="H137" s="3">
        <v>970</v>
      </c>
      <c r="I137" s="3">
        <v>0</v>
      </c>
      <c r="J137" s="3">
        <v>107165</v>
      </c>
      <c r="K137" s="3">
        <v>0</v>
      </c>
      <c r="L137" s="3">
        <v>0</v>
      </c>
      <c r="M137" s="3">
        <v>0</v>
      </c>
      <c r="N137" s="3">
        <v>846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f t="shared" si="2"/>
        <v>185663</v>
      </c>
    </row>
    <row r="138" spans="1:20" x14ac:dyDescent="0.25">
      <c r="A138" s="2">
        <v>45794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168028</v>
      </c>
      <c r="K138" s="3">
        <v>0</v>
      </c>
      <c r="L138" s="3">
        <v>0</v>
      </c>
      <c r="M138" s="3">
        <v>0</v>
      </c>
      <c r="N138" s="3">
        <v>93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f t="shared" si="2"/>
        <v>168121</v>
      </c>
    </row>
    <row r="139" spans="1:20" x14ac:dyDescent="0.25">
      <c r="A139" s="2">
        <v>45795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451416</v>
      </c>
      <c r="K139" s="3">
        <v>0</v>
      </c>
      <c r="L139" s="3">
        <v>44525</v>
      </c>
      <c r="M139" s="3">
        <v>0</v>
      </c>
      <c r="N139" s="3">
        <v>20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f t="shared" si="2"/>
        <v>495961</v>
      </c>
    </row>
    <row r="140" spans="1:20" x14ac:dyDescent="0.25">
      <c r="A140" s="2">
        <v>45796</v>
      </c>
      <c r="B140" s="3">
        <v>0</v>
      </c>
      <c r="C140" s="3">
        <v>0</v>
      </c>
      <c r="D140" s="3">
        <v>0</v>
      </c>
      <c r="E140" s="3">
        <v>282</v>
      </c>
      <c r="F140" s="3">
        <v>412914</v>
      </c>
      <c r="G140" s="3">
        <v>0</v>
      </c>
      <c r="H140" s="3">
        <v>112</v>
      </c>
      <c r="I140" s="3">
        <v>0</v>
      </c>
      <c r="J140" s="3">
        <v>1109039</v>
      </c>
      <c r="K140" s="3">
        <v>0</v>
      </c>
      <c r="L140" s="3">
        <v>28100</v>
      </c>
      <c r="M140" s="3">
        <v>0</v>
      </c>
      <c r="N140" s="3">
        <v>22347</v>
      </c>
      <c r="O140" s="3">
        <v>0</v>
      </c>
      <c r="P140" s="3">
        <v>0</v>
      </c>
      <c r="Q140" s="3">
        <v>23</v>
      </c>
      <c r="R140" s="3">
        <v>0</v>
      </c>
      <c r="S140" s="3">
        <v>0</v>
      </c>
      <c r="T140" s="3">
        <f t="shared" si="2"/>
        <v>1572817</v>
      </c>
    </row>
    <row r="141" spans="1:20" x14ac:dyDescent="0.25">
      <c r="A141" s="2">
        <v>45797</v>
      </c>
      <c r="B141" s="3">
        <v>0</v>
      </c>
      <c r="C141" s="3">
        <v>0</v>
      </c>
      <c r="D141" s="3">
        <v>0</v>
      </c>
      <c r="E141" s="3">
        <v>0</v>
      </c>
      <c r="F141" s="3">
        <v>112340</v>
      </c>
      <c r="G141" s="3">
        <v>0</v>
      </c>
      <c r="H141" s="3">
        <v>182</v>
      </c>
      <c r="I141" s="3">
        <v>0</v>
      </c>
      <c r="J141" s="3">
        <v>369958</v>
      </c>
      <c r="K141" s="3">
        <v>0</v>
      </c>
      <c r="L141" s="3">
        <v>0</v>
      </c>
      <c r="M141" s="3">
        <v>0</v>
      </c>
      <c r="N141" s="3">
        <v>8192</v>
      </c>
      <c r="O141" s="3">
        <v>0</v>
      </c>
      <c r="P141" s="3">
        <v>0</v>
      </c>
      <c r="Q141" s="3">
        <v>3</v>
      </c>
      <c r="R141" s="3">
        <v>0</v>
      </c>
      <c r="S141" s="3">
        <v>0</v>
      </c>
      <c r="T141" s="3">
        <f t="shared" si="2"/>
        <v>490675</v>
      </c>
    </row>
    <row r="142" spans="1:20" x14ac:dyDescent="0.25">
      <c r="A142" s="2">
        <v>45798</v>
      </c>
      <c r="B142" s="3">
        <v>0</v>
      </c>
      <c r="C142" s="3">
        <v>0</v>
      </c>
      <c r="D142" s="3">
        <v>0</v>
      </c>
      <c r="E142" s="3">
        <v>0</v>
      </c>
      <c r="F142" s="3">
        <v>111277</v>
      </c>
      <c r="G142" s="3">
        <v>0</v>
      </c>
      <c r="H142" s="3">
        <v>86704</v>
      </c>
      <c r="I142" s="3">
        <v>0</v>
      </c>
      <c r="J142" s="3">
        <v>1220886</v>
      </c>
      <c r="K142" s="3">
        <v>0</v>
      </c>
      <c r="L142" s="3">
        <v>0</v>
      </c>
      <c r="M142" s="3">
        <v>0</v>
      </c>
      <c r="N142" s="3">
        <v>29</v>
      </c>
      <c r="O142" s="3">
        <v>0</v>
      </c>
      <c r="P142" s="3">
        <v>0</v>
      </c>
      <c r="Q142" s="3">
        <v>1</v>
      </c>
      <c r="R142" s="3">
        <v>0</v>
      </c>
      <c r="S142" s="3">
        <v>0</v>
      </c>
      <c r="T142" s="3">
        <f t="shared" si="2"/>
        <v>1418897</v>
      </c>
    </row>
    <row r="143" spans="1:20" x14ac:dyDescent="0.25">
      <c r="A143" s="2">
        <v>45799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8</v>
      </c>
      <c r="I143" s="3">
        <v>0</v>
      </c>
      <c r="J143" s="3">
        <v>213850</v>
      </c>
      <c r="K143" s="3">
        <v>0</v>
      </c>
      <c r="L143" s="3">
        <v>18476</v>
      </c>
      <c r="M143" s="3">
        <v>0</v>
      </c>
      <c r="N143" s="3">
        <v>10342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3">
        <f t="shared" si="2"/>
        <v>242677</v>
      </c>
    </row>
    <row r="144" spans="1:20" x14ac:dyDescent="0.25">
      <c r="A144" s="2">
        <v>45800</v>
      </c>
      <c r="B144" s="3">
        <v>0</v>
      </c>
      <c r="C144" s="3">
        <v>0</v>
      </c>
      <c r="D144" s="3">
        <v>0</v>
      </c>
      <c r="E144" s="3">
        <v>1</v>
      </c>
      <c r="F144" s="3">
        <v>39734</v>
      </c>
      <c r="G144" s="3">
        <v>0</v>
      </c>
      <c r="H144" s="3">
        <v>230</v>
      </c>
      <c r="I144" s="3">
        <v>0</v>
      </c>
      <c r="J144" s="3">
        <v>571873</v>
      </c>
      <c r="K144" s="3">
        <v>0</v>
      </c>
      <c r="L144" s="3">
        <v>42475</v>
      </c>
      <c r="M144" s="3">
        <v>0</v>
      </c>
      <c r="N144" s="3">
        <v>2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f t="shared" si="2"/>
        <v>654315</v>
      </c>
    </row>
    <row r="145" spans="1:20" x14ac:dyDescent="0.25">
      <c r="A145" s="2">
        <v>45801</v>
      </c>
      <c r="B145" s="3">
        <v>0</v>
      </c>
      <c r="C145" s="3">
        <v>0</v>
      </c>
      <c r="D145" s="3">
        <v>0</v>
      </c>
      <c r="E145" s="3">
        <v>0</v>
      </c>
      <c r="F145" s="3">
        <v>4279</v>
      </c>
      <c r="G145" s="3">
        <v>0</v>
      </c>
      <c r="H145" s="3">
        <v>0</v>
      </c>
      <c r="I145" s="3">
        <v>0</v>
      </c>
      <c r="J145" s="3">
        <v>56859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f t="shared" si="2"/>
        <v>61140</v>
      </c>
    </row>
    <row r="146" spans="1:20" x14ac:dyDescent="0.25">
      <c r="A146" s="2">
        <v>45802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93272</v>
      </c>
      <c r="K146" s="3">
        <v>0</v>
      </c>
      <c r="L146" s="3">
        <v>70100</v>
      </c>
      <c r="M146" s="3">
        <v>0</v>
      </c>
      <c r="N146" s="3">
        <v>3271</v>
      </c>
      <c r="O146" s="3">
        <v>0</v>
      </c>
      <c r="P146" s="3">
        <v>0</v>
      </c>
      <c r="Q146" s="3">
        <v>5</v>
      </c>
      <c r="R146" s="3">
        <v>0</v>
      </c>
      <c r="S146" s="3">
        <v>0</v>
      </c>
      <c r="T146" s="3">
        <f t="shared" si="2"/>
        <v>166648</v>
      </c>
    </row>
    <row r="147" spans="1:20" x14ac:dyDescent="0.25">
      <c r="A147" s="2">
        <v>45803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10</v>
      </c>
      <c r="I147" s="3">
        <v>0</v>
      </c>
      <c r="J147" s="3">
        <v>186588</v>
      </c>
      <c r="K147" s="3">
        <v>0</v>
      </c>
      <c r="L147" s="3">
        <v>11147</v>
      </c>
      <c r="M147" s="3">
        <v>0</v>
      </c>
      <c r="N147" s="3">
        <v>3089</v>
      </c>
      <c r="O147" s="3">
        <v>0</v>
      </c>
      <c r="P147" s="3">
        <v>0</v>
      </c>
      <c r="Q147" s="3">
        <v>11</v>
      </c>
      <c r="R147" s="3">
        <v>0</v>
      </c>
      <c r="S147" s="3">
        <v>0</v>
      </c>
      <c r="T147" s="3">
        <f t="shared" si="2"/>
        <v>200845</v>
      </c>
    </row>
    <row r="148" spans="1:20" x14ac:dyDescent="0.25">
      <c r="A148" s="2">
        <v>45804</v>
      </c>
      <c r="B148" s="3">
        <v>0</v>
      </c>
      <c r="C148" s="3">
        <v>0</v>
      </c>
      <c r="D148" s="3">
        <v>0</v>
      </c>
      <c r="E148" s="3">
        <v>0</v>
      </c>
      <c r="F148" s="3">
        <v>1</v>
      </c>
      <c r="G148" s="3">
        <v>0</v>
      </c>
      <c r="H148" s="3">
        <v>26</v>
      </c>
      <c r="I148" s="3">
        <v>0</v>
      </c>
      <c r="J148" s="3">
        <v>24581</v>
      </c>
      <c r="K148" s="3">
        <v>0</v>
      </c>
      <c r="L148" s="3">
        <v>0</v>
      </c>
      <c r="M148" s="3">
        <v>0</v>
      </c>
      <c r="N148" s="3">
        <v>193</v>
      </c>
      <c r="O148" s="3">
        <v>0</v>
      </c>
      <c r="P148" s="3">
        <v>0</v>
      </c>
      <c r="Q148" s="3">
        <v>12</v>
      </c>
      <c r="R148" s="3">
        <v>0</v>
      </c>
      <c r="S148" s="3">
        <v>0</v>
      </c>
      <c r="T148" s="3">
        <f t="shared" si="2"/>
        <v>24813</v>
      </c>
    </row>
    <row r="149" spans="1:20" x14ac:dyDescent="0.25">
      <c r="A149" s="2">
        <v>45805</v>
      </c>
      <c r="B149" s="3">
        <v>0</v>
      </c>
      <c r="C149" s="3">
        <v>0</v>
      </c>
      <c r="D149" s="3">
        <v>0</v>
      </c>
      <c r="E149" s="3">
        <v>249</v>
      </c>
      <c r="F149" s="3">
        <v>7204</v>
      </c>
      <c r="G149" s="3">
        <v>0</v>
      </c>
      <c r="H149" s="3">
        <v>0</v>
      </c>
      <c r="I149" s="3">
        <v>0</v>
      </c>
      <c r="J149" s="3">
        <v>363887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f t="shared" si="2"/>
        <v>371340</v>
      </c>
    </row>
    <row r="150" spans="1:20" x14ac:dyDescent="0.25">
      <c r="A150" s="2">
        <v>45806</v>
      </c>
      <c r="B150" s="3">
        <v>0</v>
      </c>
      <c r="C150" s="3">
        <v>0</v>
      </c>
      <c r="D150" s="3">
        <v>0</v>
      </c>
      <c r="E150" s="3">
        <v>0</v>
      </c>
      <c r="F150" s="3">
        <v>797</v>
      </c>
      <c r="G150" s="3">
        <v>0</v>
      </c>
      <c r="H150" s="3">
        <v>8473</v>
      </c>
      <c r="I150" s="3">
        <v>0</v>
      </c>
      <c r="J150" s="3">
        <v>213680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f t="shared" si="2"/>
        <v>222950</v>
      </c>
    </row>
    <row r="151" spans="1:20" x14ac:dyDescent="0.25">
      <c r="A151" s="2">
        <v>45807</v>
      </c>
      <c r="B151" s="3">
        <v>0</v>
      </c>
      <c r="C151" s="3">
        <v>0</v>
      </c>
      <c r="D151" s="3">
        <v>0</v>
      </c>
      <c r="E151" s="3">
        <v>0</v>
      </c>
      <c r="F151" s="3">
        <v>64089</v>
      </c>
      <c r="G151" s="3">
        <v>0</v>
      </c>
      <c r="H151" s="3">
        <v>122</v>
      </c>
      <c r="I151" s="3">
        <v>0</v>
      </c>
      <c r="J151" s="3">
        <v>195811</v>
      </c>
      <c r="K151" s="3">
        <v>0</v>
      </c>
      <c r="L151" s="3">
        <v>0</v>
      </c>
      <c r="M151" s="3">
        <v>0</v>
      </c>
      <c r="N151" s="3">
        <v>60</v>
      </c>
      <c r="O151" s="3">
        <v>0</v>
      </c>
      <c r="P151" s="3">
        <v>0</v>
      </c>
      <c r="Q151" s="3">
        <v>10000</v>
      </c>
      <c r="R151" s="3">
        <v>0</v>
      </c>
      <c r="S151" s="3">
        <v>0</v>
      </c>
      <c r="T151" s="3">
        <f t="shared" si="2"/>
        <v>270082</v>
      </c>
    </row>
    <row r="152" spans="1:20" x14ac:dyDescent="0.25">
      <c r="A152" s="2">
        <v>45808</v>
      </c>
      <c r="B152" s="3">
        <v>0</v>
      </c>
      <c r="C152" s="3">
        <v>0</v>
      </c>
      <c r="D152" s="3">
        <v>0</v>
      </c>
      <c r="E152" s="3">
        <v>0</v>
      </c>
      <c r="F152" s="3">
        <v>102</v>
      </c>
      <c r="G152" s="3">
        <v>0</v>
      </c>
      <c r="H152" s="3">
        <v>0</v>
      </c>
      <c r="I152" s="3">
        <v>0</v>
      </c>
      <c r="J152" s="3">
        <v>55156</v>
      </c>
      <c r="K152" s="3">
        <v>0</v>
      </c>
      <c r="L152" s="3">
        <v>0</v>
      </c>
      <c r="M152" s="3">
        <v>0</v>
      </c>
      <c r="N152" s="3">
        <v>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f t="shared" si="2"/>
        <v>55259</v>
      </c>
    </row>
    <row r="153" spans="1:20" x14ac:dyDescent="0.25">
      <c r="A153" s="2">
        <v>45809</v>
      </c>
      <c r="B153" s="3">
        <v>0</v>
      </c>
      <c r="C153" s="3">
        <v>0</v>
      </c>
      <c r="D153" s="3">
        <v>0</v>
      </c>
      <c r="E153" s="3">
        <v>0</v>
      </c>
      <c r="F153" s="3">
        <v>740</v>
      </c>
      <c r="G153" s="3">
        <v>0</v>
      </c>
      <c r="H153" s="3">
        <v>0</v>
      </c>
      <c r="I153" s="3">
        <v>0</v>
      </c>
      <c r="J153" s="3">
        <v>7121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f t="shared" si="2"/>
        <v>7861</v>
      </c>
    </row>
    <row r="154" spans="1:20" x14ac:dyDescent="0.25">
      <c r="A154" s="2">
        <v>45810</v>
      </c>
      <c r="B154" s="3">
        <v>0</v>
      </c>
      <c r="C154" s="3">
        <v>0</v>
      </c>
      <c r="D154" s="3">
        <v>0</v>
      </c>
      <c r="E154" s="3">
        <v>0</v>
      </c>
      <c r="F154" s="3">
        <v>2055</v>
      </c>
      <c r="G154" s="3">
        <v>0</v>
      </c>
      <c r="H154" s="3">
        <v>86</v>
      </c>
      <c r="I154" s="3">
        <v>0</v>
      </c>
      <c r="J154" s="3">
        <v>325291</v>
      </c>
      <c r="K154" s="3">
        <v>0</v>
      </c>
      <c r="L154" s="3">
        <v>0</v>
      </c>
      <c r="M154" s="3">
        <v>0</v>
      </c>
      <c r="N154" s="3">
        <v>1618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f t="shared" si="2"/>
        <v>329050</v>
      </c>
    </row>
    <row r="155" spans="1:20" x14ac:dyDescent="0.25">
      <c r="A155" s="2">
        <v>45811</v>
      </c>
      <c r="B155" s="3">
        <v>0</v>
      </c>
      <c r="C155" s="3">
        <v>0</v>
      </c>
      <c r="D155" s="3">
        <v>0</v>
      </c>
      <c r="E155" s="3">
        <v>0</v>
      </c>
      <c r="F155" s="3">
        <v>31552</v>
      </c>
      <c r="G155" s="3">
        <v>0</v>
      </c>
      <c r="H155" s="3">
        <v>57</v>
      </c>
      <c r="I155" s="3">
        <v>0</v>
      </c>
      <c r="J155" s="3">
        <v>65544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f t="shared" si="2"/>
        <v>97153</v>
      </c>
    </row>
    <row r="156" spans="1:20" x14ac:dyDescent="0.25">
      <c r="A156" s="2">
        <v>45812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216</v>
      </c>
      <c r="I156" s="3">
        <v>0</v>
      </c>
      <c r="J156" s="3">
        <v>83914</v>
      </c>
      <c r="K156" s="3">
        <v>0</v>
      </c>
      <c r="L156" s="3">
        <v>26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f t="shared" si="2"/>
        <v>84156</v>
      </c>
    </row>
    <row r="157" spans="1:20" x14ac:dyDescent="0.25">
      <c r="A157" s="2">
        <v>45813</v>
      </c>
      <c r="B157" s="3">
        <v>0</v>
      </c>
      <c r="C157" s="3">
        <v>0</v>
      </c>
      <c r="D157" s="3">
        <v>0</v>
      </c>
      <c r="E157" s="3">
        <v>0</v>
      </c>
      <c r="F157" s="3">
        <v>411</v>
      </c>
      <c r="G157" s="3">
        <v>0</v>
      </c>
      <c r="H157" s="3">
        <v>710</v>
      </c>
      <c r="I157" s="3">
        <v>0</v>
      </c>
      <c r="J157" s="3">
        <v>113518</v>
      </c>
      <c r="K157" s="3">
        <v>0</v>
      </c>
      <c r="L157" s="3">
        <v>0</v>
      </c>
      <c r="M157" s="3">
        <v>0</v>
      </c>
      <c r="N157" s="3">
        <v>60</v>
      </c>
      <c r="O157" s="3">
        <v>0</v>
      </c>
      <c r="P157" s="3">
        <v>0</v>
      </c>
      <c r="Q157" s="3">
        <v>52</v>
      </c>
      <c r="R157" s="3">
        <v>0</v>
      </c>
      <c r="S157" s="3">
        <v>0</v>
      </c>
      <c r="T157" s="3">
        <f t="shared" si="2"/>
        <v>114751</v>
      </c>
    </row>
    <row r="158" spans="1:20" x14ac:dyDescent="0.25">
      <c r="A158" s="2">
        <v>45814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65</v>
      </c>
      <c r="I158" s="3">
        <v>0</v>
      </c>
      <c r="J158" s="3">
        <v>141248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122</v>
      </c>
      <c r="R158" s="3">
        <v>0</v>
      </c>
      <c r="S158" s="3">
        <v>0</v>
      </c>
      <c r="T158" s="3">
        <f t="shared" si="2"/>
        <v>141435</v>
      </c>
    </row>
    <row r="159" spans="1:20" x14ac:dyDescent="0.25">
      <c r="A159" s="2">
        <v>45815</v>
      </c>
      <c r="B159" s="3">
        <v>0</v>
      </c>
      <c r="C159" s="3">
        <v>0</v>
      </c>
      <c r="D159" s="3">
        <v>0</v>
      </c>
      <c r="E159" s="3">
        <v>0</v>
      </c>
      <c r="F159" s="3">
        <v>7878</v>
      </c>
      <c r="G159" s="3">
        <v>0</v>
      </c>
      <c r="H159" s="3">
        <v>204</v>
      </c>
      <c r="I159" s="3">
        <v>0</v>
      </c>
      <c r="J159" s="3">
        <v>216052</v>
      </c>
      <c r="K159" s="3">
        <v>0</v>
      </c>
      <c r="L159" s="3">
        <v>47765</v>
      </c>
      <c r="M159" s="3">
        <v>0</v>
      </c>
      <c r="N159" s="3">
        <v>0</v>
      </c>
      <c r="O159" s="3">
        <v>0</v>
      </c>
      <c r="P159" s="3">
        <v>0</v>
      </c>
      <c r="Q159" s="3">
        <v>132</v>
      </c>
      <c r="R159" s="3">
        <v>0</v>
      </c>
      <c r="S159" s="3">
        <v>0</v>
      </c>
      <c r="T159" s="3">
        <f t="shared" si="2"/>
        <v>272031</v>
      </c>
    </row>
    <row r="160" spans="1:20" x14ac:dyDescent="0.25">
      <c r="A160" s="2">
        <v>45816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433231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157</v>
      </c>
      <c r="R160" s="3">
        <v>0</v>
      </c>
      <c r="S160" s="3">
        <v>0</v>
      </c>
      <c r="T160" s="3">
        <f t="shared" si="2"/>
        <v>433388</v>
      </c>
    </row>
    <row r="161" spans="1:20" x14ac:dyDescent="0.25">
      <c r="A161" s="2">
        <v>45817</v>
      </c>
      <c r="B161" s="3">
        <v>0</v>
      </c>
      <c r="C161" s="3">
        <v>0</v>
      </c>
      <c r="D161" s="3">
        <v>0</v>
      </c>
      <c r="E161" s="3">
        <v>5979</v>
      </c>
      <c r="F161" s="3">
        <v>3845</v>
      </c>
      <c r="G161" s="3">
        <v>0</v>
      </c>
      <c r="H161" s="3">
        <v>0</v>
      </c>
      <c r="I161" s="3">
        <v>0</v>
      </c>
      <c r="J161" s="3">
        <v>517161</v>
      </c>
      <c r="K161" s="3">
        <v>0</v>
      </c>
      <c r="L161" s="3">
        <v>3349</v>
      </c>
      <c r="M161" s="3">
        <v>0</v>
      </c>
      <c r="N161" s="3">
        <v>53319</v>
      </c>
      <c r="O161" s="3">
        <v>0</v>
      </c>
      <c r="P161" s="3">
        <v>0</v>
      </c>
      <c r="Q161" s="3">
        <v>55</v>
      </c>
      <c r="R161" s="3">
        <v>0</v>
      </c>
      <c r="S161" s="3">
        <v>0</v>
      </c>
      <c r="T161" s="3">
        <f t="shared" si="2"/>
        <v>583708</v>
      </c>
    </row>
    <row r="162" spans="1:20" x14ac:dyDescent="0.25">
      <c r="A162" s="2">
        <v>45818</v>
      </c>
      <c r="B162" s="3">
        <v>0</v>
      </c>
      <c r="C162" s="3">
        <v>0</v>
      </c>
      <c r="D162" s="3">
        <v>0</v>
      </c>
      <c r="E162" s="3">
        <v>0</v>
      </c>
      <c r="F162" s="3">
        <v>46604</v>
      </c>
      <c r="G162" s="3">
        <v>0</v>
      </c>
      <c r="H162" s="3">
        <v>0</v>
      </c>
      <c r="I162" s="3">
        <v>0</v>
      </c>
      <c r="J162" s="3">
        <v>1371730</v>
      </c>
      <c r="K162" s="3">
        <v>0</v>
      </c>
      <c r="L162" s="3">
        <v>305</v>
      </c>
      <c r="M162" s="3">
        <v>0</v>
      </c>
      <c r="N162" s="3">
        <v>1350</v>
      </c>
      <c r="O162" s="3">
        <v>0</v>
      </c>
      <c r="P162" s="3">
        <v>0</v>
      </c>
      <c r="Q162" s="3">
        <v>30</v>
      </c>
      <c r="R162" s="3">
        <v>0</v>
      </c>
      <c r="S162" s="3">
        <v>0</v>
      </c>
      <c r="T162" s="3">
        <f t="shared" si="2"/>
        <v>1420019</v>
      </c>
    </row>
    <row r="163" spans="1:20" x14ac:dyDescent="0.25">
      <c r="A163" s="2">
        <v>45819</v>
      </c>
      <c r="B163" s="3">
        <v>0</v>
      </c>
      <c r="C163" s="3">
        <v>0</v>
      </c>
      <c r="D163" s="3">
        <v>0</v>
      </c>
      <c r="E163" s="3">
        <v>0</v>
      </c>
      <c r="F163" s="3">
        <v>758</v>
      </c>
      <c r="G163" s="3">
        <v>0</v>
      </c>
      <c r="H163" s="3">
        <v>7</v>
      </c>
      <c r="I163" s="3">
        <v>0</v>
      </c>
      <c r="J163" s="3">
        <v>2304103</v>
      </c>
      <c r="K163" s="3">
        <v>0</v>
      </c>
      <c r="L163" s="3">
        <v>3177</v>
      </c>
      <c r="M163" s="3">
        <v>0</v>
      </c>
      <c r="N163" s="3">
        <v>40447</v>
      </c>
      <c r="O163" s="3">
        <v>0</v>
      </c>
      <c r="P163" s="3">
        <v>0</v>
      </c>
      <c r="Q163" s="3">
        <v>4</v>
      </c>
      <c r="R163" s="3">
        <v>0</v>
      </c>
      <c r="S163" s="3">
        <v>0</v>
      </c>
      <c r="T163" s="3">
        <f t="shared" si="2"/>
        <v>2348496</v>
      </c>
    </row>
    <row r="164" spans="1:20" x14ac:dyDescent="0.25">
      <c r="A164" s="2">
        <v>45820</v>
      </c>
      <c r="B164" s="3">
        <v>0</v>
      </c>
      <c r="C164" s="3">
        <v>0</v>
      </c>
      <c r="D164" s="3">
        <v>0</v>
      </c>
      <c r="E164" s="3">
        <v>0</v>
      </c>
      <c r="F164" s="3">
        <v>78530</v>
      </c>
      <c r="G164" s="3">
        <v>0</v>
      </c>
      <c r="H164" s="3">
        <v>0</v>
      </c>
      <c r="I164" s="3">
        <v>0</v>
      </c>
      <c r="J164" s="3">
        <v>923776</v>
      </c>
      <c r="K164" s="3">
        <v>0</v>
      </c>
      <c r="L164" s="3">
        <v>2564</v>
      </c>
      <c r="M164" s="3">
        <v>0</v>
      </c>
      <c r="N164" s="3">
        <v>239</v>
      </c>
      <c r="O164" s="3">
        <v>0</v>
      </c>
      <c r="P164" s="3">
        <v>0</v>
      </c>
      <c r="Q164" s="3">
        <v>16</v>
      </c>
      <c r="R164" s="3">
        <v>0</v>
      </c>
      <c r="S164" s="3">
        <v>0</v>
      </c>
      <c r="T164" s="3">
        <f t="shared" si="2"/>
        <v>1005125</v>
      </c>
    </row>
    <row r="165" spans="1:20" x14ac:dyDescent="0.25">
      <c r="A165" s="2">
        <v>45821</v>
      </c>
      <c r="B165" s="3">
        <v>0</v>
      </c>
      <c r="C165" s="3">
        <v>0</v>
      </c>
      <c r="D165" s="3">
        <v>0</v>
      </c>
      <c r="E165" s="3">
        <v>0</v>
      </c>
      <c r="F165" s="3">
        <v>8370</v>
      </c>
      <c r="G165" s="3">
        <v>0</v>
      </c>
      <c r="H165" s="3">
        <v>7</v>
      </c>
      <c r="I165" s="3">
        <v>0</v>
      </c>
      <c r="J165" s="3">
        <v>479716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1016</v>
      </c>
      <c r="R165" s="3">
        <v>0</v>
      </c>
      <c r="S165" s="3">
        <v>0</v>
      </c>
      <c r="T165" s="3">
        <f t="shared" si="2"/>
        <v>489109</v>
      </c>
    </row>
    <row r="166" spans="1:20" x14ac:dyDescent="0.25">
      <c r="A166" s="2">
        <v>45822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5</v>
      </c>
      <c r="I166" s="3">
        <v>0</v>
      </c>
      <c r="J166" s="3">
        <v>215403</v>
      </c>
      <c r="K166" s="3">
        <v>0</v>
      </c>
      <c r="L166" s="3">
        <v>0</v>
      </c>
      <c r="M166" s="3">
        <v>0</v>
      </c>
      <c r="N166" s="3">
        <v>23710</v>
      </c>
      <c r="O166" s="3">
        <v>0</v>
      </c>
      <c r="P166" s="3">
        <v>0</v>
      </c>
      <c r="Q166" s="3">
        <v>112</v>
      </c>
      <c r="R166" s="3">
        <v>0</v>
      </c>
      <c r="S166" s="3">
        <v>0</v>
      </c>
      <c r="T166" s="3">
        <f t="shared" si="2"/>
        <v>239230</v>
      </c>
    </row>
    <row r="167" spans="1:20" x14ac:dyDescent="0.25">
      <c r="A167" s="2">
        <v>45823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44749</v>
      </c>
      <c r="K167" s="3">
        <v>0</v>
      </c>
      <c r="L167" s="3">
        <v>12048</v>
      </c>
      <c r="M167" s="3">
        <v>0</v>
      </c>
      <c r="N167" s="3">
        <v>3711</v>
      </c>
      <c r="O167" s="3">
        <v>0</v>
      </c>
      <c r="P167" s="3">
        <v>0</v>
      </c>
      <c r="Q167" s="3">
        <v>94</v>
      </c>
      <c r="R167" s="3">
        <v>0</v>
      </c>
      <c r="S167" s="3">
        <v>0</v>
      </c>
      <c r="T167" s="3">
        <f t="shared" si="2"/>
        <v>60602</v>
      </c>
    </row>
    <row r="168" spans="1:20" x14ac:dyDescent="0.25">
      <c r="A168" s="2">
        <v>45824</v>
      </c>
      <c r="B168" s="3">
        <v>0</v>
      </c>
      <c r="C168" s="3">
        <v>0</v>
      </c>
      <c r="D168" s="3">
        <v>0</v>
      </c>
      <c r="E168" s="3">
        <v>0</v>
      </c>
      <c r="F168" s="3">
        <v>112406</v>
      </c>
      <c r="G168" s="3">
        <v>0</v>
      </c>
      <c r="H168" s="3">
        <v>17</v>
      </c>
      <c r="I168" s="3">
        <v>0</v>
      </c>
      <c r="J168" s="3">
        <v>206922</v>
      </c>
      <c r="K168" s="3">
        <v>0</v>
      </c>
      <c r="L168" s="3">
        <v>26293</v>
      </c>
      <c r="M168" s="3">
        <v>0</v>
      </c>
      <c r="N168" s="3">
        <v>419</v>
      </c>
      <c r="O168" s="3">
        <v>0</v>
      </c>
      <c r="P168" s="3">
        <v>0</v>
      </c>
      <c r="Q168" s="3">
        <v>9</v>
      </c>
      <c r="R168" s="3">
        <v>0</v>
      </c>
      <c r="S168" s="3">
        <v>0</v>
      </c>
      <c r="T168" s="3">
        <f t="shared" si="2"/>
        <v>346066</v>
      </c>
    </row>
    <row r="169" spans="1:20" x14ac:dyDescent="0.25">
      <c r="A169" s="2">
        <v>45825</v>
      </c>
      <c r="B169" s="3">
        <v>0</v>
      </c>
      <c r="C169" s="3">
        <v>0</v>
      </c>
      <c r="D169" s="3">
        <v>0</v>
      </c>
      <c r="E169" s="3">
        <v>0</v>
      </c>
      <c r="F169" s="3">
        <v>17869</v>
      </c>
      <c r="G169" s="3">
        <v>0</v>
      </c>
      <c r="H169" s="3">
        <v>3</v>
      </c>
      <c r="I169" s="3">
        <v>0</v>
      </c>
      <c r="J169" s="3">
        <v>208204</v>
      </c>
      <c r="K169" s="3">
        <v>0</v>
      </c>
      <c r="L169" s="3">
        <v>650</v>
      </c>
      <c r="M169" s="3">
        <v>0</v>
      </c>
      <c r="N169" s="3">
        <v>91595</v>
      </c>
      <c r="O169" s="3">
        <v>0</v>
      </c>
      <c r="P169" s="3">
        <v>0</v>
      </c>
      <c r="Q169" s="3">
        <v>22</v>
      </c>
      <c r="R169" s="3">
        <v>0</v>
      </c>
      <c r="S169" s="3">
        <v>0</v>
      </c>
      <c r="T169" s="3">
        <f t="shared" si="2"/>
        <v>318343</v>
      </c>
    </row>
    <row r="170" spans="1:20" x14ac:dyDescent="0.25">
      <c r="A170" s="2">
        <v>45826</v>
      </c>
      <c r="B170" s="3">
        <v>0</v>
      </c>
      <c r="C170" s="3">
        <v>0</v>
      </c>
      <c r="D170" s="3">
        <v>0</v>
      </c>
      <c r="E170" s="3">
        <v>0</v>
      </c>
      <c r="F170" s="3">
        <v>325305</v>
      </c>
      <c r="G170" s="3">
        <v>0</v>
      </c>
      <c r="H170" s="3">
        <v>9</v>
      </c>
      <c r="I170" s="3">
        <v>0</v>
      </c>
      <c r="J170" s="3">
        <v>86884</v>
      </c>
      <c r="K170" s="3">
        <v>0</v>
      </c>
      <c r="L170" s="3">
        <v>44</v>
      </c>
      <c r="M170" s="3">
        <v>0</v>
      </c>
      <c r="N170" s="3">
        <v>54507</v>
      </c>
      <c r="O170" s="3">
        <v>0</v>
      </c>
      <c r="P170" s="3">
        <v>0</v>
      </c>
      <c r="Q170" s="3">
        <v>18</v>
      </c>
      <c r="R170" s="3">
        <v>0</v>
      </c>
      <c r="S170" s="3">
        <v>0</v>
      </c>
      <c r="T170" s="3">
        <f t="shared" si="2"/>
        <v>466767</v>
      </c>
    </row>
    <row r="171" spans="1:20" x14ac:dyDescent="0.25">
      <c r="A171" s="2">
        <v>45827</v>
      </c>
      <c r="B171" s="3">
        <v>0</v>
      </c>
      <c r="C171" s="3">
        <v>0</v>
      </c>
      <c r="D171" s="3">
        <v>0</v>
      </c>
      <c r="E171" s="3">
        <v>0</v>
      </c>
      <c r="F171" s="3">
        <v>59653</v>
      </c>
      <c r="G171" s="3">
        <v>0</v>
      </c>
      <c r="H171" s="3">
        <v>56</v>
      </c>
      <c r="I171" s="3">
        <v>0</v>
      </c>
      <c r="J171" s="3">
        <v>420568</v>
      </c>
      <c r="K171" s="3">
        <v>0</v>
      </c>
      <c r="L171" s="3">
        <v>930</v>
      </c>
      <c r="M171" s="3">
        <v>0</v>
      </c>
      <c r="N171" s="3">
        <v>2208</v>
      </c>
      <c r="O171" s="3">
        <v>0</v>
      </c>
      <c r="P171" s="3">
        <v>0</v>
      </c>
      <c r="Q171" s="3">
        <v>18</v>
      </c>
      <c r="R171" s="3">
        <v>0</v>
      </c>
      <c r="S171" s="3">
        <v>0</v>
      </c>
      <c r="T171" s="3">
        <f t="shared" si="2"/>
        <v>483433</v>
      </c>
    </row>
    <row r="172" spans="1:20" x14ac:dyDescent="0.25">
      <c r="A172" s="2">
        <v>45828</v>
      </c>
      <c r="B172" s="3">
        <v>0</v>
      </c>
      <c r="C172" s="3">
        <v>19</v>
      </c>
      <c r="D172" s="3">
        <v>0</v>
      </c>
      <c r="E172" s="3">
        <v>0</v>
      </c>
      <c r="F172" s="3">
        <v>174225</v>
      </c>
      <c r="G172" s="3">
        <v>0</v>
      </c>
      <c r="H172" s="3">
        <v>43</v>
      </c>
      <c r="I172" s="3">
        <v>0</v>
      </c>
      <c r="J172" s="3">
        <v>612446</v>
      </c>
      <c r="K172" s="3">
        <v>0</v>
      </c>
      <c r="L172" s="3">
        <v>675</v>
      </c>
      <c r="M172" s="3">
        <v>0</v>
      </c>
      <c r="N172" s="3">
        <v>2777</v>
      </c>
      <c r="O172" s="3">
        <v>0</v>
      </c>
      <c r="P172" s="3">
        <v>0</v>
      </c>
      <c r="Q172" s="3">
        <v>46</v>
      </c>
      <c r="R172" s="3">
        <v>0</v>
      </c>
      <c r="S172" s="3">
        <v>0</v>
      </c>
      <c r="T172" s="3">
        <f t="shared" si="2"/>
        <v>790231</v>
      </c>
    </row>
    <row r="173" spans="1:20" x14ac:dyDescent="0.25">
      <c r="A173" s="2">
        <v>45829</v>
      </c>
      <c r="B173" s="3">
        <v>0</v>
      </c>
      <c r="C173" s="3">
        <v>0</v>
      </c>
      <c r="D173" s="3">
        <v>0</v>
      </c>
      <c r="E173" s="3">
        <v>0</v>
      </c>
      <c r="F173" s="3">
        <v>30</v>
      </c>
      <c r="G173" s="3">
        <v>0</v>
      </c>
      <c r="H173" s="3">
        <v>0</v>
      </c>
      <c r="I173" s="3">
        <v>0</v>
      </c>
      <c r="J173" s="3">
        <v>178599</v>
      </c>
      <c r="K173" s="3">
        <v>0</v>
      </c>
      <c r="L173" s="3">
        <v>0</v>
      </c>
      <c r="M173" s="3">
        <v>0</v>
      </c>
      <c r="N173" s="3">
        <v>4523</v>
      </c>
      <c r="O173" s="3">
        <v>0</v>
      </c>
      <c r="P173" s="3">
        <v>0</v>
      </c>
      <c r="Q173" s="3">
        <v>15</v>
      </c>
      <c r="R173" s="3">
        <v>0</v>
      </c>
      <c r="S173" s="3">
        <v>0</v>
      </c>
      <c r="T173" s="3">
        <f t="shared" si="2"/>
        <v>183167</v>
      </c>
    </row>
    <row r="174" spans="1:20" x14ac:dyDescent="0.25">
      <c r="A174" s="2">
        <v>45830</v>
      </c>
      <c r="B174" s="3">
        <v>0</v>
      </c>
      <c r="C174" s="3">
        <v>0</v>
      </c>
      <c r="D174" s="3">
        <v>0</v>
      </c>
      <c r="E174" s="3">
        <v>0</v>
      </c>
      <c r="F174" s="3">
        <v>507</v>
      </c>
      <c r="G174" s="3">
        <v>0</v>
      </c>
      <c r="H174" s="3">
        <v>0</v>
      </c>
      <c r="I174" s="3">
        <v>0</v>
      </c>
      <c r="J174" s="3">
        <v>775309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12</v>
      </c>
      <c r="R174" s="3">
        <v>0</v>
      </c>
      <c r="S174" s="3">
        <v>0</v>
      </c>
      <c r="T174" s="3">
        <f t="shared" si="2"/>
        <v>775828</v>
      </c>
    </row>
    <row r="175" spans="1:20" x14ac:dyDescent="0.25">
      <c r="A175" s="2">
        <v>45831</v>
      </c>
      <c r="B175" s="3">
        <v>0</v>
      </c>
      <c r="C175" s="3">
        <v>40</v>
      </c>
      <c r="D175" s="3">
        <v>0</v>
      </c>
      <c r="E175" s="3">
        <v>1</v>
      </c>
      <c r="F175" s="3">
        <v>2</v>
      </c>
      <c r="G175" s="3">
        <v>0</v>
      </c>
      <c r="H175" s="3">
        <v>53</v>
      </c>
      <c r="I175" s="3">
        <v>0</v>
      </c>
      <c r="J175" s="3">
        <v>815912</v>
      </c>
      <c r="K175" s="3">
        <v>0</v>
      </c>
      <c r="L175" s="3">
        <v>830</v>
      </c>
      <c r="M175" s="3">
        <v>0</v>
      </c>
      <c r="N175" s="3">
        <v>21618</v>
      </c>
      <c r="O175" s="3">
        <v>0</v>
      </c>
      <c r="P175" s="3">
        <v>0</v>
      </c>
      <c r="Q175" s="3">
        <v>11</v>
      </c>
      <c r="R175" s="3">
        <v>0</v>
      </c>
      <c r="S175" s="3">
        <v>0</v>
      </c>
      <c r="T175" s="3">
        <f t="shared" si="2"/>
        <v>838467</v>
      </c>
    </row>
    <row r="176" spans="1:20" x14ac:dyDescent="0.25">
      <c r="A176" s="2">
        <v>45832</v>
      </c>
      <c r="B176" s="3">
        <v>0</v>
      </c>
      <c r="C176" s="3">
        <v>19965</v>
      </c>
      <c r="D176" s="3">
        <v>0</v>
      </c>
      <c r="E176" s="3">
        <v>0</v>
      </c>
      <c r="F176" s="3">
        <v>0</v>
      </c>
      <c r="G176" s="3">
        <v>0</v>
      </c>
      <c r="H176" s="3">
        <v>710</v>
      </c>
      <c r="I176" s="3">
        <v>0</v>
      </c>
      <c r="J176" s="3">
        <v>628546</v>
      </c>
      <c r="K176" s="3">
        <v>0</v>
      </c>
      <c r="L176" s="3">
        <v>7780</v>
      </c>
      <c r="M176" s="3">
        <v>0</v>
      </c>
      <c r="N176" s="3">
        <v>1221</v>
      </c>
      <c r="O176" s="3">
        <v>0</v>
      </c>
      <c r="P176" s="3">
        <v>0</v>
      </c>
      <c r="Q176" s="3">
        <v>10</v>
      </c>
      <c r="R176" s="3">
        <v>0</v>
      </c>
      <c r="S176" s="3">
        <v>0</v>
      </c>
      <c r="T176" s="3">
        <f t="shared" si="2"/>
        <v>658232</v>
      </c>
    </row>
    <row r="177" spans="1:20" x14ac:dyDescent="0.25">
      <c r="A177" s="2">
        <v>45833</v>
      </c>
      <c r="B177" s="3">
        <v>0</v>
      </c>
      <c r="C177" s="3">
        <v>1936</v>
      </c>
      <c r="D177" s="3">
        <v>0</v>
      </c>
      <c r="E177" s="3">
        <v>426</v>
      </c>
      <c r="F177" s="3">
        <v>103136</v>
      </c>
      <c r="G177" s="3">
        <v>0</v>
      </c>
      <c r="H177" s="3">
        <v>0</v>
      </c>
      <c r="I177" s="3">
        <v>0</v>
      </c>
      <c r="J177" s="3">
        <v>520463</v>
      </c>
      <c r="K177" s="3">
        <v>0</v>
      </c>
      <c r="L177" s="3">
        <v>24401</v>
      </c>
      <c r="M177" s="3">
        <v>0</v>
      </c>
      <c r="N177" s="3">
        <v>166</v>
      </c>
      <c r="O177" s="3">
        <v>0</v>
      </c>
      <c r="P177" s="3">
        <v>0</v>
      </c>
      <c r="Q177" s="3">
        <v>42</v>
      </c>
      <c r="R177" s="3">
        <v>0</v>
      </c>
      <c r="S177" s="3">
        <v>0</v>
      </c>
      <c r="T177" s="3">
        <f t="shared" si="2"/>
        <v>650570</v>
      </c>
    </row>
    <row r="178" spans="1:20" x14ac:dyDescent="0.25">
      <c r="A178" s="2">
        <v>45834</v>
      </c>
      <c r="B178" s="3">
        <v>0</v>
      </c>
      <c r="C178" s="3">
        <v>9659</v>
      </c>
      <c r="D178" s="3">
        <v>0</v>
      </c>
      <c r="E178" s="3">
        <v>6232</v>
      </c>
      <c r="F178" s="3">
        <v>42327</v>
      </c>
      <c r="G178" s="3">
        <v>0</v>
      </c>
      <c r="H178" s="3">
        <v>874</v>
      </c>
      <c r="I178" s="3">
        <v>0</v>
      </c>
      <c r="J178" s="3">
        <v>581962</v>
      </c>
      <c r="K178" s="3">
        <v>0</v>
      </c>
      <c r="L178" s="3">
        <v>9019</v>
      </c>
      <c r="M178" s="3">
        <v>0</v>
      </c>
      <c r="N178" s="3">
        <v>169</v>
      </c>
      <c r="O178" s="3">
        <v>0</v>
      </c>
      <c r="P178" s="3">
        <v>0</v>
      </c>
      <c r="Q178" s="3">
        <v>77</v>
      </c>
      <c r="R178" s="3">
        <v>0</v>
      </c>
      <c r="S178" s="3">
        <v>0</v>
      </c>
      <c r="T178" s="3">
        <f t="shared" si="2"/>
        <v>650319</v>
      </c>
    </row>
    <row r="179" spans="1:20" x14ac:dyDescent="0.25">
      <c r="A179" s="2">
        <v>45835</v>
      </c>
      <c r="B179" s="3">
        <v>0</v>
      </c>
      <c r="C179" s="3">
        <v>3462378</v>
      </c>
      <c r="D179" s="3">
        <v>0</v>
      </c>
      <c r="E179" s="3">
        <v>0</v>
      </c>
      <c r="F179" s="3">
        <v>66</v>
      </c>
      <c r="G179" s="3">
        <v>0</v>
      </c>
      <c r="H179" s="3">
        <v>1000359</v>
      </c>
      <c r="I179" s="3">
        <v>0</v>
      </c>
      <c r="J179" s="3">
        <v>26177</v>
      </c>
      <c r="K179" s="3">
        <v>0</v>
      </c>
      <c r="L179" s="3">
        <v>0</v>
      </c>
      <c r="M179" s="3">
        <v>0</v>
      </c>
      <c r="N179" s="3">
        <v>9</v>
      </c>
      <c r="O179" s="3">
        <v>0</v>
      </c>
      <c r="P179" s="3">
        <v>0</v>
      </c>
      <c r="Q179" s="3">
        <v>7</v>
      </c>
      <c r="R179" s="3">
        <v>0</v>
      </c>
      <c r="S179" s="3">
        <v>0</v>
      </c>
      <c r="T179" s="3">
        <f t="shared" si="2"/>
        <v>4488996</v>
      </c>
    </row>
    <row r="180" spans="1:20" x14ac:dyDescent="0.25">
      <c r="A180" s="2">
        <v>45836</v>
      </c>
      <c r="B180" s="3">
        <v>0</v>
      </c>
      <c r="C180" s="3">
        <v>2821420</v>
      </c>
      <c r="D180" s="3">
        <v>0</v>
      </c>
      <c r="E180" s="3">
        <v>0</v>
      </c>
      <c r="F180" s="3">
        <v>21074</v>
      </c>
      <c r="G180" s="3">
        <v>0</v>
      </c>
      <c r="H180" s="3">
        <v>0</v>
      </c>
      <c r="I180" s="3">
        <v>0</v>
      </c>
      <c r="J180" s="3">
        <v>30109</v>
      </c>
      <c r="K180" s="3">
        <v>0</v>
      </c>
      <c r="L180" s="3">
        <v>0</v>
      </c>
      <c r="M180" s="3">
        <v>0</v>
      </c>
      <c r="N180" s="3">
        <v>141</v>
      </c>
      <c r="O180" s="3">
        <v>0</v>
      </c>
      <c r="P180" s="3">
        <v>0</v>
      </c>
      <c r="Q180" s="3">
        <v>70</v>
      </c>
      <c r="R180" s="3">
        <v>0</v>
      </c>
      <c r="S180" s="3">
        <v>0</v>
      </c>
      <c r="T180" s="3">
        <f t="shared" si="2"/>
        <v>2872814</v>
      </c>
    </row>
    <row r="181" spans="1:20" x14ac:dyDescent="0.25">
      <c r="A181" s="2">
        <v>45837</v>
      </c>
      <c r="B181" s="3">
        <v>0</v>
      </c>
      <c r="C181" s="3">
        <v>763</v>
      </c>
      <c r="D181" s="3">
        <v>0</v>
      </c>
      <c r="E181" s="3">
        <v>22</v>
      </c>
      <c r="F181" s="3">
        <v>0</v>
      </c>
      <c r="G181" s="3">
        <v>0</v>
      </c>
      <c r="H181" s="3">
        <v>0</v>
      </c>
      <c r="I181" s="3">
        <v>0</v>
      </c>
      <c r="J181" s="3">
        <v>983</v>
      </c>
      <c r="K181" s="3">
        <v>0</v>
      </c>
      <c r="L181" s="3">
        <v>663</v>
      </c>
      <c r="M181" s="3">
        <v>0</v>
      </c>
      <c r="N181" s="3">
        <v>1645</v>
      </c>
      <c r="O181" s="3">
        <v>0</v>
      </c>
      <c r="P181" s="3">
        <v>0</v>
      </c>
      <c r="Q181" s="3">
        <v>40</v>
      </c>
      <c r="R181" s="3">
        <v>0</v>
      </c>
      <c r="S181" s="3">
        <v>0</v>
      </c>
      <c r="T181" s="3">
        <f t="shared" si="2"/>
        <v>4116</v>
      </c>
    </row>
    <row r="182" spans="1:20" x14ac:dyDescent="0.25">
      <c r="A182" s="2">
        <v>45838</v>
      </c>
      <c r="B182" s="3">
        <v>0</v>
      </c>
      <c r="C182" s="3">
        <v>19287042</v>
      </c>
      <c r="D182" s="3">
        <v>0</v>
      </c>
      <c r="E182" s="3">
        <v>460</v>
      </c>
      <c r="F182" s="3">
        <v>0</v>
      </c>
      <c r="G182" s="3">
        <v>0</v>
      </c>
      <c r="H182" s="3">
        <v>8283</v>
      </c>
      <c r="I182" s="3">
        <v>0</v>
      </c>
      <c r="J182" s="3">
        <v>126821</v>
      </c>
      <c r="K182" s="3">
        <v>0</v>
      </c>
      <c r="L182" s="3">
        <v>1178</v>
      </c>
      <c r="M182" s="3">
        <v>0</v>
      </c>
      <c r="N182" s="3">
        <v>408605</v>
      </c>
      <c r="O182" s="3">
        <v>0</v>
      </c>
      <c r="P182" s="3">
        <v>0</v>
      </c>
      <c r="Q182" s="3">
        <v>50</v>
      </c>
      <c r="R182" s="3">
        <v>0</v>
      </c>
      <c r="S182" s="3">
        <v>0</v>
      </c>
      <c r="T182" s="3">
        <f t="shared" si="2"/>
        <v>19832439</v>
      </c>
    </row>
    <row r="183" spans="1:20" x14ac:dyDescent="0.25">
      <c r="A183" s="2">
        <v>45839</v>
      </c>
      <c r="B183" s="3">
        <v>0</v>
      </c>
      <c r="C183" s="3">
        <v>21276142</v>
      </c>
      <c r="D183" s="3">
        <v>0</v>
      </c>
      <c r="E183" s="3">
        <v>0</v>
      </c>
      <c r="F183" s="3">
        <v>17088</v>
      </c>
      <c r="G183" s="3">
        <v>0</v>
      </c>
      <c r="H183" s="3">
        <v>40</v>
      </c>
      <c r="I183" s="3">
        <v>0</v>
      </c>
      <c r="J183" s="3">
        <v>26367</v>
      </c>
      <c r="K183" s="3">
        <v>0</v>
      </c>
      <c r="L183" s="3">
        <v>118152</v>
      </c>
      <c r="M183" s="3">
        <v>0</v>
      </c>
      <c r="N183" s="3">
        <v>3455</v>
      </c>
      <c r="O183" s="3">
        <v>0</v>
      </c>
      <c r="P183" s="3">
        <v>0</v>
      </c>
      <c r="Q183" s="3">
        <v>71</v>
      </c>
      <c r="R183" s="3">
        <v>0</v>
      </c>
      <c r="S183" s="3">
        <v>0</v>
      </c>
      <c r="T183" s="3">
        <f t="shared" si="2"/>
        <v>21441315</v>
      </c>
    </row>
    <row r="184" spans="1:20" x14ac:dyDescent="0.25">
      <c r="A184" s="2">
        <v>45840</v>
      </c>
      <c r="B184" s="3">
        <v>0</v>
      </c>
      <c r="C184" s="3">
        <v>35701438</v>
      </c>
      <c r="D184" s="3">
        <v>0</v>
      </c>
      <c r="E184" s="3">
        <v>91980</v>
      </c>
      <c r="F184" s="3">
        <v>58</v>
      </c>
      <c r="G184" s="3">
        <v>0</v>
      </c>
      <c r="H184" s="3">
        <v>1458</v>
      </c>
      <c r="I184" s="3">
        <v>0</v>
      </c>
      <c r="J184" s="3">
        <v>4269</v>
      </c>
      <c r="K184" s="3">
        <v>0</v>
      </c>
      <c r="L184" s="3">
        <v>5007</v>
      </c>
      <c r="M184" s="3">
        <v>0</v>
      </c>
      <c r="N184" s="3">
        <v>0</v>
      </c>
      <c r="O184" s="3">
        <v>0</v>
      </c>
      <c r="P184" s="3">
        <v>0</v>
      </c>
      <c r="Q184" s="3">
        <v>70</v>
      </c>
      <c r="R184" s="3">
        <v>0</v>
      </c>
      <c r="S184" s="3">
        <v>0</v>
      </c>
      <c r="T184" s="3">
        <f t="shared" si="2"/>
        <v>35804280</v>
      </c>
    </row>
    <row r="185" spans="1:20" x14ac:dyDescent="0.25">
      <c r="A185" s="2">
        <v>45841</v>
      </c>
      <c r="B185" s="3">
        <v>0</v>
      </c>
      <c r="C185" s="3">
        <v>21681531</v>
      </c>
      <c r="D185" s="3">
        <v>0</v>
      </c>
      <c r="E185" s="3">
        <v>314</v>
      </c>
      <c r="F185" s="3">
        <v>5081</v>
      </c>
      <c r="G185" s="3">
        <v>0</v>
      </c>
      <c r="H185" s="3">
        <v>5502</v>
      </c>
      <c r="I185" s="3">
        <v>0</v>
      </c>
      <c r="J185" s="3">
        <v>384704</v>
      </c>
      <c r="K185" s="3">
        <v>0</v>
      </c>
      <c r="L185" s="3">
        <v>104</v>
      </c>
      <c r="M185" s="3">
        <v>0</v>
      </c>
      <c r="N185" s="3">
        <v>420723</v>
      </c>
      <c r="O185" s="3">
        <v>0</v>
      </c>
      <c r="P185" s="3">
        <v>0</v>
      </c>
      <c r="Q185" s="3">
        <v>622</v>
      </c>
      <c r="R185" s="3">
        <v>0</v>
      </c>
      <c r="S185" s="3">
        <v>0</v>
      </c>
      <c r="T185" s="3">
        <f t="shared" si="2"/>
        <v>22498581</v>
      </c>
    </row>
    <row r="186" spans="1:20" x14ac:dyDescent="0.25">
      <c r="A186" s="2">
        <v>45842</v>
      </c>
      <c r="B186" s="3">
        <v>0</v>
      </c>
      <c r="C186" s="3">
        <v>5060266</v>
      </c>
      <c r="D186" s="3">
        <v>0</v>
      </c>
      <c r="E186" s="3">
        <v>321</v>
      </c>
      <c r="F186" s="3">
        <v>0</v>
      </c>
      <c r="G186" s="3">
        <v>0</v>
      </c>
      <c r="H186" s="3">
        <v>0</v>
      </c>
      <c r="I186" s="3">
        <v>0</v>
      </c>
      <c r="J186" s="3">
        <v>998450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189</v>
      </c>
      <c r="R186" s="3">
        <v>0</v>
      </c>
      <c r="S186" s="3">
        <v>0</v>
      </c>
      <c r="T186" s="3">
        <f t="shared" si="2"/>
        <v>6059226</v>
      </c>
    </row>
    <row r="187" spans="1:20" x14ac:dyDescent="0.25">
      <c r="A187" s="2">
        <v>45843</v>
      </c>
      <c r="B187" s="3">
        <v>0</v>
      </c>
      <c r="C187" s="3">
        <v>2120286</v>
      </c>
      <c r="D187" s="3">
        <v>0</v>
      </c>
      <c r="E187" s="3">
        <v>0</v>
      </c>
      <c r="F187" s="3">
        <v>63</v>
      </c>
      <c r="G187" s="3">
        <v>0</v>
      </c>
      <c r="H187" s="3">
        <v>0</v>
      </c>
      <c r="I187" s="3">
        <v>0</v>
      </c>
      <c r="J187" s="3">
        <v>524560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40</v>
      </c>
      <c r="R187" s="3">
        <v>0</v>
      </c>
      <c r="S187" s="3">
        <v>0</v>
      </c>
      <c r="T187" s="3">
        <f t="shared" si="2"/>
        <v>2644949</v>
      </c>
    </row>
    <row r="188" spans="1:20" x14ac:dyDescent="0.25">
      <c r="A188" s="2">
        <v>45844</v>
      </c>
      <c r="B188" s="3">
        <v>0</v>
      </c>
      <c r="C188" s="3">
        <v>2991618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1008816</v>
      </c>
      <c r="K188" s="3">
        <v>0</v>
      </c>
      <c r="L188" s="3">
        <v>110</v>
      </c>
      <c r="M188" s="3">
        <v>0</v>
      </c>
      <c r="N188" s="3">
        <v>256</v>
      </c>
      <c r="O188" s="3">
        <v>0</v>
      </c>
      <c r="P188" s="3">
        <v>0</v>
      </c>
      <c r="Q188" s="3">
        <v>207</v>
      </c>
      <c r="R188" s="3">
        <v>0</v>
      </c>
      <c r="S188" s="3">
        <v>0</v>
      </c>
      <c r="T188" s="3">
        <f t="shared" si="2"/>
        <v>4001007</v>
      </c>
    </row>
    <row r="189" spans="1:20" x14ac:dyDescent="0.25">
      <c r="A189" s="2">
        <v>45845</v>
      </c>
      <c r="B189" s="3">
        <v>0</v>
      </c>
      <c r="C189" s="3">
        <v>20880638</v>
      </c>
      <c r="D189" s="3">
        <v>0</v>
      </c>
      <c r="E189" s="3">
        <v>0</v>
      </c>
      <c r="F189" s="3">
        <v>4161</v>
      </c>
      <c r="G189" s="3">
        <v>0</v>
      </c>
      <c r="H189" s="3">
        <v>5032</v>
      </c>
      <c r="I189" s="3">
        <v>0</v>
      </c>
      <c r="J189" s="3">
        <v>501351</v>
      </c>
      <c r="K189" s="3">
        <v>0</v>
      </c>
      <c r="L189" s="3">
        <v>111090</v>
      </c>
      <c r="M189" s="3">
        <v>0</v>
      </c>
      <c r="N189" s="3">
        <v>1531</v>
      </c>
      <c r="O189" s="3">
        <v>0</v>
      </c>
      <c r="P189" s="3">
        <v>0</v>
      </c>
      <c r="Q189" s="3">
        <v>136</v>
      </c>
      <c r="R189" s="3">
        <v>0</v>
      </c>
      <c r="S189" s="3">
        <v>0</v>
      </c>
      <c r="T189" s="3">
        <f t="shared" si="2"/>
        <v>21503939</v>
      </c>
    </row>
    <row r="190" spans="1:20" x14ac:dyDescent="0.25">
      <c r="A190" s="2">
        <v>45846</v>
      </c>
      <c r="B190" s="3">
        <v>0</v>
      </c>
      <c r="C190" s="3">
        <v>14585776</v>
      </c>
      <c r="D190" s="3">
        <v>0</v>
      </c>
      <c r="E190" s="3">
        <v>0</v>
      </c>
      <c r="F190" s="3">
        <v>28</v>
      </c>
      <c r="G190" s="3">
        <v>0</v>
      </c>
      <c r="H190" s="3">
        <v>377</v>
      </c>
      <c r="I190" s="3">
        <v>0</v>
      </c>
      <c r="J190" s="3">
        <v>6336</v>
      </c>
      <c r="K190" s="3">
        <v>0</v>
      </c>
      <c r="L190" s="3">
        <v>127224</v>
      </c>
      <c r="M190" s="3">
        <v>0</v>
      </c>
      <c r="N190" s="3">
        <v>133</v>
      </c>
      <c r="O190" s="3">
        <v>0</v>
      </c>
      <c r="P190" s="3">
        <v>0</v>
      </c>
      <c r="Q190" s="3">
        <v>63</v>
      </c>
      <c r="R190" s="3">
        <v>0</v>
      </c>
      <c r="S190" s="3">
        <v>0</v>
      </c>
      <c r="T190" s="3">
        <f t="shared" si="2"/>
        <v>14719937</v>
      </c>
    </row>
    <row r="191" spans="1:20" x14ac:dyDescent="0.25">
      <c r="A191" s="2">
        <v>45847</v>
      </c>
      <c r="B191" s="3">
        <v>0</v>
      </c>
      <c r="C191" s="3">
        <v>10671350</v>
      </c>
      <c r="D191" s="3">
        <v>0</v>
      </c>
      <c r="E191" s="3">
        <v>0</v>
      </c>
      <c r="F191" s="3">
        <v>0</v>
      </c>
      <c r="G191" s="3">
        <v>0</v>
      </c>
      <c r="H191" s="3">
        <v>162</v>
      </c>
      <c r="I191" s="3">
        <v>0</v>
      </c>
      <c r="J191" s="3">
        <v>524979</v>
      </c>
      <c r="K191" s="3">
        <v>0</v>
      </c>
      <c r="L191" s="3">
        <v>122290</v>
      </c>
      <c r="M191" s="3">
        <v>0</v>
      </c>
      <c r="N191" s="3">
        <v>2129</v>
      </c>
      <c r="O191" s="3">
        <v>0</v>
      </c>
      <c r="P191" s="3">
        <v>0</v>
      </c>
      <c r="Q191" s="3">
        <v>172</v>
      </c>
      <c r="R191" s="3">
        <v>0</v>
      </c>
      <c r="S191" s="3">
        <v>0</v>
      </c>
      <c r="T191" s="3">
        <f t="shared" si="2"/>
        <v>11321082</v>
      </c>
    </row>
    <row r="192" spans="1:20" x14ac:dyDescent="0.25">
      <c r="A192" s="2">
        <v>45848</v>
      </c>
      <c r="B192" s="3">
        <v>0</v>
      </c>
      <c r="C192" s="3">
        <v>13022156</v>
      </c>
      <c r="D192" s="3">
        <v>0</v>
      </c>
      <c r="E192" s="3">
        <v>163</v>
      </c>
      <c r="F192" s="3">
        <v>2017</v>
      </c>
      <c r="G192" s="3">
        <v>0</v>
      </c>
      <c r="H192" s="3">
        <v>736</v>
      </c>
      <c r="I192" s="3">
        <v>0</v>
      </c>
      <c r="J192" s="3">
        <v>1032486</v>
      </c>
      <c r="K192" s="3">
        <v>0</v>
      </c>
      <c r="L192" s="3">
        <v>0</v>
      </c>
      <c r="M192" s="3">
        <v>0</v>
      </c>
      <c r="N192" s="3">
        <v>2205</v>
      </c>
      <c r="O192" s="3">
        <v>0</v>
      </c>
      <c r="P192" s="3">
        <v>0</v>
      </c>
      <c r="Q192" s="3">
        <v>144</v>
      </c>
      <c r="R192" s="3">
        <v>0</v>
      </c>
      <c r="S192" s="3">
        <v>0</v>
      </c>
      <c r="T192" s="3">
        <f t="shared" si="2"/>
        <v>14059907</v>
      </c>
    </row>
    <row r="193" spans="1:20" x14ac:dyDescent="0.25">
      <c r="A193" s="2">
        <v>45849</v>
      </c>
      <c r="B193" s="3">
        <v>0</v>
      </c>
      <c r="C193" s="3">
        <v>13114711</v>
      </c>
      <c r="D193" s="3">
        <v>0</v>
      </c>
      <c r="E193" s="3">
        <v>6821</v>
      </c>
      <c r="F193" s="3">
        <v>80</v>
      </c>
      <c r="G193" s="3">
        <v>0</v>
      </c>
      <c r="H193" s="3">
        <v>6566</v>
      </c>
      <c r="I193" s="3">
        <v>0</v>
      </c>
      <c r="J193" s="3">
        <v>418264</v>
      </c>
      <c r="K193" s="3">
        <v>0</v>
      </c>
      <c r="L193" s="3">
        <v>0</v>
      </c>
      <c r="M193" s="3">
        <v>0</v>
      </c>
      <c r="N193" s="3">
        <v>1636</v>
      </c>
      <c r="O193" s="3">
        <v>0</v>
      </c>
      <c r="P193" s="3">
        <v>0</v>
      </c>
      <c r="Q193" s="3">
        <v>454</v>
      </c>
      <c r="R193" s="3">
        <v>0</v>
      </c>
      <c r="S193" s="3">
        <v>0</v>
      </c>
      <c r="T193" s="3">
        <f t="shared" si="2"/>
        <v>13548532</v>
      </c>
    </row>
    <row r="194" spans="1:20" x14ac:dyDescent="0.25">
      <c r="A194" s="2">
        <v>45850</v>
      </c>
      <c r="B194" s="3">
        <v>0</v>
      </c>
      <c r="C194" s="3">
        <v>5362920</v>
      </c>
      <c r="D194" s="3">
        <v>0</v>
      </c>
      <c r="E194" s="3">
        <v>0</v>
      </c>
      <c r="F194" s="3">
        <v>68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6123</v>
      </c>
      <c r="M194" s="3">
        <v>0</v>
      </c>
      <c r="N194" s="3">
        <v>0</v>
      </c>
      <c r="O194" s="3">
        <v>0</v>
      </c>
      <c r="P194" s="3">
        <v>0</v>
      </c>
      <c r="Q194" s="3">
        <v>55</v>
      </c>
      <c r="R194" s="3">
        <v>0</v>
      </c>
      <c r="S194" s="3">
        <v>0</v>
      </c>
      <c r="T194" s="3">
        <f t="shared" ref="T194:T257" si="3">SUM(B194:S194)</f>
        <v>5369166</v>
      </c>
    </row>
    <row r="195" spans="1:20" x14ac:dyDescent="0.25">
      <c r="A195" s="2">
        <v>45851</v>
      </c>
      <c r="B195" s="3">
        <v>0</v>
      </c>
      <c r="C195" s="3">
        <v>2821273</v>
      </c>
      <c r="D195" s="3">
        <v>0</v>
      </c>
      <c r="E195" s="3">
        <v>0</v>
      </c>
      <c r="F195" s="3">
        <v>124</v>
      </c>
      <c r="G195" s="3">
        <v>0</v>
      </c>
      <c r="H195" s="3">
        <v>93</v>
      </c>
      <c r="I195" s="3">
        <v>0</v>
      </c>
      <c r="J195" s="3">
        <v>146070</v>
      </c>
      <c r="K195" s="3">
        <v>0</v>
      </c>
      <c r="L195" s="3">
        <v>20752</v>
      </c>
      <c r="M195" s="3">
        <v>0</v>
      </c>
      <c r="N195" s="3">
        <v>0</v>
      </c>
      <c r="O195" s="3">
        <v>0</v>
      </c>
      <c r="P195" s="3">
        <v>0</v>
      </c>
      <c r="Q195" s="3">
        <v>26</v>
      </c>
      <c r="R195" s="3">
        <v>0</v>
      </c>
      <c r="S195" s="3">
        <v>0</v>
      </c>
      <c r="T195" s="3">
        <f t="shared" si="3"/>
        <v>2988338</v>
      </c>
    </row>
    <row r="196" spans="1:20" x14ac:dyDescent="0.25">
      <c r="A196" s="2">
        <v>45852</v>
      </c>
      <c r="B196" s="3">
        <v>0</v>
      </c>
      <c r="C196" s="3">
        <v>10866517</v>
      </c>
      <c r="D196" s="3">
        <v>0</v>
      </c>
      <c r="E196" s="3">
        <v>0</v>
      </c>
      <c r="F196" s="3">
        <v>36538</v>
      </c>
      <c r="G196" s="3">
        <v>0</v>
      </c>
      <c r="H196" s="3">
        <v>400</v>
      </c>
      <c r="I196" s="3">
        <v>0</v>
      </c>
      <c r="J196" s="3">
        <v>333402</v>
      </c>
      <c r="K196" s="3">
        <v>0</v>
      </c>
      <c r="L196" s="3">
        <v>0</v>
      </c>
      <c r="M196" s="3">
        <v>0</v>
      </c>
      <c r="N196" s="3">
        <v>59</v>
      </c>
      <c r="O196" s="3">
        <v>0</v>
      </c>
      <c r="P196" s="3">
        <v>0</v>
      </c>
      <c r="Q196" s="3">
        <v>170</v>
      </c>
      <c r="R196" s="3">
        <v>0</v>
      </c>
      <c r="S196" s="3">
        <v>0</v>
      </c>
      <c r="T196" s="3">
        <f t="shared" si="3"/>
        <v>11237086</v>
      </c>
    </row>
    <row r="197" spans="1:20" x14ac:dyDescent="0.25">
      <c r="A197" s="2">
        <v>45853</v>
      </c>
      <c r="B197" s="3">
        <v>0</v>
      </c>
      <c r="C197" s="3">
        <v>16423391</v>
      </c>
      <c r="D197" s="3">
        <v>0</v>
      </c>
      <c r="E197" s="3">
        <v>451</v>
      </c>
      <c r="F197" s="3">
        <v>0</v>
      </c>
      <c r="G197" s="3">
        <v>0</v>
      </c>
      <c r="H197" s="3">
        <v>5909</v>
      </c>
      <c r="I197" s="3">
        <v>0</v>
      </c>
      <c r="J197" s="3">
        <v>146439</v>
      </c>
      <c r="K197" s="3">
        <v>0</v>
      </c>
      <c r="L197" s="3">
        <v>0</v>
      </c>
      <c r="M197" s="3">
        <v>0</v>
      </c>
      <c r="N197" s="3">
        <v>114</v>
      </c>
      <c r="O197" s="3">
        <v>0</v>
      </c>
      <c r="P197" s="3">
        <v>0</v>
      </c>
      <c r="Q197" s="3">
        <v>55</v>
      </c>
      <c r="R197" s="3">
        <v>0</v>
      </c>
      <c r="S197" s="3">
        <v>0</v>
      </c>
      <c r="T197" s="3">
        <f t="shared" si="3"/>
        <v>16576359</v>
      </c>
    </row>
    <row r="198" spans="1:20" x14ac:dyDescent="0.25">
      <c r="A198" s="2">
        <v>45854</v>
      </c>
      <c r="B198" s="3">
        <v>0</v>
      </c>
      <c r="C198" s="3">
        <v>19191175</v>
      </c>
      <c r="D198" s="3">
        <v>0</v>
      </c>
      <c r="E198" s="3">
        <v>0</v>
      </c>
      <c r="F198" s="3">
        <v>0</v>
      </c>
      <c r="G198" s="3">
        <v>0</v>
      </c>
      <c r="H198" s="3">
        <v>307814</v>
      </c>
      <c r="I198" s="3">
        <v>0</v>
      </c>
      <c r="J198" s="3">
        <v>52914</v>
      </c>
      <c r="K198" s="3">
        <v>0</v>
      </c>
      <c r="L198" s="3">
        <v>93</v>
      </c>
      <c r="M198" s="3">
        <v>0</v>
      </c>
      <c r="N198" s="3">
        <v>159</v>
      </c>
      <c r="O198" s="3">
        <v>0</v>
      </c>
      <c r="P198" s="3">
        <v>0</v>
      </c>
      <c r="Q198" s="3">
        <v>61</v>
      </c>
      <c r="R198" s="3">
        <v>0</v>
      </c>
      <c r="S198" s="3">
        <v>0</v>
      </c>
      <c r="T198" s="3">
        <f t="shared" si="3"/>
        <v>19552216</v>
      </c>
    </row>
    <row r="199" spans="1:20" x14ac:dyDescent="0.25">
      <c r="A199" s="2">
        <v>45855</v>
      </c>
      <c r="B199" s="3">
        <v>0</v>
      </c>
      <c r="C199" s="3">
        <v>12267479</v>
      </c>
      <c r="D199" s="3">
        <v>0</v>
      </c>
      <c r="E199" s="3">
        <v>0</v>
      </c>
      <c r="F199" s="3">
        <v>65222</v>
      </c>
      <c r="G199" s="3">
        <v>0</v>
      </c>
      <c r="H199" s="3">
        <v>20</v>
      </c>
      <c r="I199" s="3">
        <v>0</v>
      </c>
      <c r="J199" s="3">
        <v>77300</v>
      </c>
      <c r="K199" s="3">
        <v>0</v>
      </c>
      <c r="L199" s="3">
        <v>3898</v>
      </c>
      <c r="M199" s="3">
        <v>0</v>
      </c>
      <c r="N199" s="3">
        <v>1551</v>
      </c>
      <c r="O199" s="3">
        <v>0</v>
      </c>
      <c r="P199" s="3">
        <v>0</v>
      </c>
      <c r="Q199" s="3">
        <v>351</v>
      </c>
      <c r="R199" s="3">
        <v>0</v>
      </c>
      <c r="S199" s="3">
        <v>0</v>
      </c>
      <c r="T199" s="3">
        <f t="shared" si="3"/>
        <v>12415821</v>
      </c>
    </row>
    <row r="200" spans="1:20" x14ac:dyDescent="0.25">
      <c r="A200" s="2">
        <v>45856</v>
      </c>
      <c r="B200" s="3">
        <v>0</v>
      </c>
      <c r="C200" s="3">
        <v>19759589</v>
      </c>
      <c r="D200" s="3">
        <v>0</v>
      </c>
      <c r="E200" s="3">
        <v>48</v>
      </c>
      <c r="F200" s="3">
        <v>28806</v>
      </c>
      <c r="G200" s="3">
        <v>0</v>
      </c>
      <c r="H200" s="3">
        <v>93</v>
      </c>
      <c r="I200" s="3">
        <v>0</v>
      </c>
      <c r="J200" s="3">
        <v>44313</v>
      </c>
      <c r="K200" s="3">
        <v>0</v>
      </c>
      <c r="L200" s="3">
        <v>16613</v>
      </c>
      <c r="M200" s="3">
        <v>0</v>
      </c>
      <c r="N200" s="3">
        <v>1754</v>
      </c>
      <c r="O200" s="3">
        <v>0</v>
      </c>
      <c r="P200" s="3">
        <v>0</v>
      </c>
      <c r="Q200" s="3">
        <v>142</v>
      </c>
      <c r="R200" s="3">
        <v>0</v>
      </c>
      <c r="S200" s="3">
        <v>0</v>
      </c>
      <c r="T200" s="3">
        <f t="shared" si="3"/>
        <v>19851358</v>
      </c>
    </row>
    <row r="201" spans="1:20" x14ac:dyDescent="0.25">
      <c r="A201" s="2">
        <v>45857</v>
      </c>
      <c r="B201" s="3">
        <v>0</v>
      </c>
      <c r="C201" s="3">
        <v>2166124</v>
      </c>
      <c r="D201" s="3">
        <v>0</v>
      </c>
      <c r="E201" s="3">
        <v>0</v>
      </c>
      <c r="F201" s="3">
        <v>0</v>
      </c>
      <c r="G201" s="3">
        <v>0</v>
      </c>
      <c r="H201" s="3">
        <v>87</v>
      </c>
      <c r="I201" s="3">
        <v>0</v>
      </c>
      <c r="J201" s="3">
        <v>8095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24</v>
      </c>
      <c r="R201" s="3">
        <v>0</v>
      </c>
      <c r="S201" s="3">
        <v>0</v>
      </c>
      <c r="T201" s="3">
        <f t="shared" si="3"/>
        <v>2174330</v>
      </c>
    </row>
    <row r="202" spans="1:20" x14ac:dyDescent="0.25">
      <c r="A202" s="2">
        <v>45858</v>
      </c>
      <c r="B202" s="3">
        <v>0</v>
      </c>
      <c r="C202" s="3">
        <v>2569181</v>
      </c>
      <c r="D202" s="3">
        <v>0</v>
      </c>
      <c r="E202" s="3">
        <v>0</v>
      </c>
      <c r="F202" s="3">
        <v>84</v>
      </c>
      <c r="G202" s="3">
        <v>0</v>
      </c>
      <c r="H202" s="3">
        <v>87</v>
      </c>
      <c r="I202" s="3">
        <v>0</v>
      </c>
      <c r="J202" s="3">
        <v>542</v>
      </c>
      <c r="K202" s="3">
        <v>0</v>
      </c>
      <c r="L202" s="3">
        <v>0</v>
      </c>
      <c r="M202" s="3">
        <v>0</v>
      </c>
      <c r="N202" s="3">
        <v>113</v>
      </c>
      <c r="O202" s="3">
        <v>0</v>
      </c>
      <c r="P202" s="3">
        <v>0</v>
      </c>
      <c r="Q202" s="3">
        <v>264</v>
      </c>
      <c r="R202" s="3">
        <v>0</v>
      </c>
      <c r="S202" s="3">
        <v>0</v>
      </c>
      <c r="T202" s="3">
        <f t="shared" si="3"/>
        <v>2570271</v>
      </c>
    </row>
    <row r="203" spans="1:20" x14ac:dyDescent="0.25">
      <c r="A203" s="2">
        <v>45859</v>
      </c>
      <c r="B203" s="3">
        <v>0</v>
      </c>
      <c r="C203" s="3">
        <v>14415969</v>
      </c>
      <c r="D203" s="3">
        <v>0</v>
      </c>
      <c r="E203" s="3">
        <v>50489</v>
      </c>
      <c r="F203" s="3">
        <v>30858</v>
      </c>
      <c r="G203" s="3">
        <v>0</v>
      </c>
      <c r="H203" s="3">
        <v>309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270</v>
      </c>
      <c r="R203" s="3">
        <v>0</v>
      </c>
      <c r="S203" s="3">
        <v>0</v>
      </c>
      <c r="T203" s="3">
        <f t="shared" si="3"/>
        <v>14497895</v>
      </c>
    </row>
    <row r="204" spans="1:20" x14ac:dyDescent="0.25">
      <c r="A204" s="2">
        <v>45860</v>
      </c>
      <c r="B204" s="3">
        <v>0</v>
      </c>
      <c r="C204" s="3">
        <v>7791790</v>
      </c>
      <c r="D204" s="3">
        <v>0</v>
      </c>
      <c r="E204" s="3">
        <v>175</v>
      </c>
      <c r="F204" s="3">
        <v>41</v>
      </c>
      <c r="G204" s="3">
        <v>0</v>
      </c>
      <c r="H204" s="3">
        <v>2</v>
      </c>
      <c r="I204" s="3">
        <v>0</v>
      </c>
      <c r="J204" s="3">
        <v>19</v>
      </c>
      <c r="K204" s="3">
        <v>0</v>
      </c>
      <c r="L204" s="3">
        <v>12990</v>
      </c>
      <c r="M204" s="3">
        <v>0</v>
      </c>
      <c r="N204" s="3">
        <v>0</v>
      </c>
      <c r="O204" s="3">
        <v>0</v>
      </c>
      <c r="P204" s="3">
        <v>0</v>
      </c>
      <c r="Q204" s="3">
        <v>535</v>
      </c>
      <c r="R204" s="3">
        <v>0</v>
      </c>
      <c r="S204" s="3">
        <v>0</v>
      </c>
      <c r="T204" s="3">
        <f t="shared" si="3"/>
        <v>7805552</v>
      </c>
    </row>
    <row r="205" spans="1:20" x14ac:dyDescent="0.25">
      <c r="A205" s="2">
        <v>45861</v>
      </c>
      <c r="B205" s="3">
        <v>0</v>
      </c>
      <c r="C205" s="3">
        <v>9315681</v>
      </c>
      <c r="D205" s="3">
        <v>0</v>
      </c>
      <c r="E205" s="3">
        <v>488</v>
      </c>
      <c r="F205" s="3">
        <v>24731</v>
      </c>
      <c r="G205" s="3">
        <v>0</v>
      </c>
      <c r="H205" s="3">
        <v>49</v>
      </c>
      <c r="I205" s="3">
        <v>0</v>
      </c>
      <c r="J205" s="3">
        <v>43077</v>
      </c>
      <c r="K205" s="3">
        <v>0</v>
      </c>
      <c r="L205" s="3">
        <v>8234</v>
      </c>
      <c r="M205" s="3">
        <v>0</v>
      </c>
      <c r="N205" s="3">
        <v>0</v>
      </c>
      <c r="O205" s="3">
        <v>0</v>
      </c>
      <c r="P205" s="3">
        <v>0</v>
      </c>
      <c r="Q205" s="3">
        <v>243</v>
      </c>
      <c r="R205" s="3">
        <v>0</v>
      </c>
      <c r="S205" s="3">
        <v>0</v>
      </c>
      <c r="T205" s="3">
        <f t="shared" si="3"/>
        <v>9392503</v>
      </c>
    </row>
    <row r="206" spans="1:20" x14ac:dyDescent="0.25">
      <c r="A206" s="2">
        <v>45862</v>
      </c>
      <c r="B206" s="3">
        <v>0</v>
      </c>
      <c r="C206" s="3">
        <v>13472852</v>
      </c>
      <c r="D206" s="3">
        <v>0</v>
      </c>
      <c r="E206" s="3">
        <v>1124</v>
      </c>
      <c r="F206" s="3">
        <v>4</v>
      </c>
      <c r="G206" s="3">
        <v>0</v>
      </c>
      <c r="H206" s="3">
        <v>90944</v>
      </c>
      <c r="I206" s="3">
        <v>0</v>
      </c>
      <c r="J206" s="3">
        <v>28266</v>
      </c>
      <c r="K206" s="3">
        <v>0</v>
      </c>
      <c r="L206" s="3">
        <v>0</v>
      </c>
      <c r="M206" s="3">
        <v>0</v>
      </c>
      <c r="N206" s="3">
        <v>25341</v>
      </c>
      <c r="O206" s="3">
        <v>0</v>
      </c>
      <c r="P206" s="3">
        <v>0</v>
      </c>
      <c r="Q206" s="3">
        <v>145</v>
      </c>
      <c r="R206" s="3">
        <v>0</v>
      </c>
      <c r="S206" s="3">
        <v>0</v>
      </c>
      <c r="T206" s="3">
        <f t="shared" si="3"/>
        <v>13618676</v>
      </c>
    </row>
    <row r="207" spans="1:20" x14ac:dyDescent="0.25">
      <c r="A207" s="2">
        <v>45863</v>
      </c>
      <c r="B207" s="3">
        <v>0</v>
      </c>
      <c r="C207" s="3">
        <v>12160092</v>
      </c>
      <c r="D207" s="3">
        <v>0</v>
      </c>
      <c r="E207" s="3">
        <v>4553</v>
      </c>
      <c r="F207" s="3">
        <v>20364</v>
      </c>
      <c r="G207" s="3">
        <v>0</v>
      </c>
      <c r="H207" s="3">
        <v>600</v>
      </c>
      <c r="I207" s="3">
        <v>0</v>
      </c>
      <c r="J207" s="3">
        <v>27395</v>
      </c>
      <c r="K207" s="3">
        <v>0</v>
      </c>
      <c r="L207" s="3">
        <v>79800</v>
      </c>
      <c r="M207" s="3">
        <v>0</v>
      </c>
      <c r="N207" s="3">
        <v>651</v>
      </c>
      <c r="O207" s="3">
        <v>0</v>
      </c>
      <c r="P207" s="3">
        <v>0</v>
      </c>
      <c r="Q207" s="3">
        <v>229</v>
      </c>
      <c r="R207" s="3">
        <v>0</v>
      </c>
      <c r="S207" s="3">
        <v>0</v>
      </c>
      <c r="T207" s="3">
        <f t="shared" si="3"/>
        <v>12293684</v>
      </c>
    </row>
    <row r="208" spans="1:20" x14ac:dyDescent="0.25">
      <c r="A208" s="2">
        <v>45864</v>
      </c>
      <c r="B208" s="3">
        <v>0</v>
      </c>
      <c r="C208" s="3">
        <v>1492049</v>
      </c>
      <c r="D208" s="3">
        <v>0</v>
      </c>
      <c r="E208" s="3">
        <v>0</v>
      </c>
      <c r="F208" s="3">
        <v>0</v>
      </c>
      <c r="G208" s="3">
        <v>0</v>
      </c>
      <c r="H208" s="3">
        <v>250</v>
      </c>
      <c r="I208" s="3">
        <v>0</v>
      </c>
      <c r="J208" s="3">
        <v>42</v>
      </c>
      <c r="K208" s="3">
        <v>0</v>
      </c>
      <c r="L208" s="3">
        <v>0</v>
      </c>
      <c r="M208" s="3">
        <v>0</v>
      </c>
      <c r="N208" s="3">
        <v>17</v>
      </c>
      <c r="O208" s="3">
        <v>0</v>
      </c>
      <c r="P208" s="3">
        <v>0</v>
      </c>
      <c r="Q208" s="3">
        <v>1452</v>
      </c>
      <c r="R208" s="3">
        <v>0</v>
      </c>
      <c r="S208" s="3">
        <v>0</v>
      </c>
      <c r="T208" s="3">
        <f t="shared" si="3"/>
        <v>1493810</v>
      </c>
    </row>
    <row r="209" spans="1:20" x14ac:dyDescent="0.25">
      <c r="A209" s="2">
        <v>45865</v>
      </c>
      <c r="B209" s="3">
        <v>0</v>
      </c>
      <c r="C209" s="3">
        <v>1839943</v>
      </c>
      <c r="D209" s="3">
        <v>0</v>
      </c>
      <c r="E209" s="3">
        <v>433</v>
      </c>
      <c r="F209" s="3">
        <v>0</v>
      </c>
      <c r="G209" s="3">
        <v>0</v>
      </c>
      <c r="H209" s="3">
        <v>0</v>
      </c>
      <c r="I209" s="3">
        <v>0</v>
      </c>
      <c r="J209" s="3">
        <v>27369</v>
      </c>
      <c r="K209" s="3">
        <v>0</v>
      </c>
      <c r="L209" s="3">
        <v>0</v>
      </c>
      <c r="M209" s="3">
        <v>0</v>
      </c>
      <c r="N209" s="3">
        <v>54</v>
      </c>
      <c r="O209" s="3">
        <v>0</v>
      </c>
      <c r="P209" s="3">
        <v>0</v>
      </c>
      <c r="Q209" s="3">
        <v>960</v>
      </c>
      <c r="R209" s="3">
        <v>0</v>
      </c>
      <c r="S209" s="3">
        <v>0</v>
      </c>
      <c r="T209" s="3">
        <f t="shared" si="3"/>
        <v>1868759</v>
      </c>
    </row>
    <row r="210" spans="1:20" x14ac:dyDescent="0.25">
      <c r="A210" s="2">
        <v>45866</v>
      </c>
      <c r="B210" s="3">
        <v>0</v>
      </c>
      <c r="C210" s="3">
        <v>8470847</v>
      </c>
      <c r="D210" s="3">
        <v>0</v>
      </c>
      <c r="E210" s="3">
        <v>28550</v>
      </c>
      <c r="F210" s="3">
        <v>67548</v>
      </c>
      <c r="G210" s="3">
        <v>0</v>
      </c>
      <c r="H210" s="3">
        <v>91</v>
      </c>
      <c r="I210" s="3">
        <v>0</v>
      </c>
      <c r="J210" s="3">
        <v>28012</v>
      </c>
      <c r="K210" s="3">
        <v>0</v>
      </c>
      <c r="L210" s="3">
        <v>0</v>
      </c>
      <c r="M210" s="3">
        <v>0</v>
      </c>
      <c r="N210" s="3">
        <v>176</v>
      </c>
      <c r="O210" s="3">
        <v>0</v>
      </c>
      <c r="P210" s="3">
        <v>0</v>
      </c>
      <c r="Q210" s="3">
        <v>174</v>
      </c>
      <c r="R210" s="3">
        <v>0</v>
      </c>
      <c r="S210" s="3">
        <v>0</v>
      </c>
      <c r="T210" s="3">
        <f t="shared" si="3"/>
        <v>8595398</v>
      </c>
    </row>
    <row r="211" spans="1:20" x14ac:dyDescent="0.25">
      <c r="A211" s="2">
        <v>45867</v>
      </c>
      <c r="B211" s="3">
        <v>0</v>
      </c>
      <c r="C211" s="3">
        <v>7990227</v>
      </c>
      <c r="D211" s="3">
        <v>0</v>
      </c>
      <c r="E211" s="3">
        <v>19480</v>
      </c>
      <c r="F211" s="3">
        <v>65786</v>
      </c>
      <c r="G211" s="3">
        <v>0</v>
      </c>
      <c r="H211" s="3">
        <v>417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1330</v>
      </c>
      <c r="O211" s="3">
        <v>0</v>
      </c>
      <c r="P211" s="3">
        <v>0</v>
      </c>
      <c r="Q211" s="3">
        <v>571</v>
      </c>
      <c r="R211" s="3">
        <v>0</v>
      </c>
      <c r="S211" s="3">
        <v>0</v>
      </c>
      <c r="T211" s="3">
        <f t="shared" si="3"/>
        <v>8077811</v>
      </c>
    </row>
    <row r="212" spans="1:20" x14ac:dyDescent="0.25">
      <c r="A212" s="2">
        <v>45868</v>
      </c>
      <c r="B212" s="3">
        <v>0</v>
      </c>
      <c r="C212" s="3">
        <v>6338571</v>
      </c>
      <c r="D212" s="3">
        <v>0</v>
      </c>
      <c r="E212" s="3">
        <v>24278</v>
      </c>
      <c r="F212" s="3">
        <v>0</v>
      </c>
      <c r="G212" s="3">
        <v>0</v>
      </c>
      <c r="H212" s="3">
        <v>61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646</v>
      </c>
      <c r="O212" s="3">
        <v>0</v>
      </c>
      <c r="P212" s="3">
        <v>0</v>
      </c>
      <c r="Q212" s="3">
        <v>589</v>
      </c>
      <c r="R212" s="3">
        <v>0</v>
      </c>
      <c r="S212" s="3">
        <v>0</v>
      </c>
      <c r="T212" s="3">
        <f t="shared" si="3"/>
        <v>6364145</v>
      </c>
    </row>
    <row r="213" spans="1:20" x14ac:dyDescent="0.25">
      <c r="A213" s="2">
        <v>45869</v>
      </c>
      <c r="B213" s="3">
        <v>0</v>
      </c>
      <c r="C213" s="3">
        <v>14571277</v>
      </c>
      <c r="D213" s="3">
        <v>0</v>
      </c>
      <c r="E213" s="3">
        <v>12141</v>
      </c>
      <c r="F213" s="3">
        <v>0</v>
      </c>
      <c r="G213" s="3">
        <v>0</v>
      </c>
      <c r="H213" s="3">
        <v>75</v>
      </c>
      <c r="I213" s="3">
        <v>0</v>
      </c>
      <c r="J213" s="3">
        <v>4</v>
      </c>
      <c r="K213" s="3">
        <v>0</v>
      </c>
      <c r="L213" s="3">
        <v>7221</v>
      </c>
      <c r="M213" s="3">
        <v>0</v>
      </c>
      <c r="N213" s="3">
        <v>12949</v>
      </c>
      <c r="O213" s="3">
        <v>0</v>
      </c>
      <c r="P213" s="3">
        <v>0</v>
      </c>
      <c r="Q213" s="3">
        <v>246</v>
      </c>
      <c r="R213" s="3">
        <v>0</v>
      </c>
      <c r="S213" s="3">
        <v>0</v>
      </c>
      <c r="T213" s="3">
        <f t="shared" si="3"/>
        <v>14603913</v>
      </c>
    </row>
    <row r="214" spans="1:20" x14ac:dyDescent="0.25">
      <c r="A214" s="2">
        <v>45870</v>
      </c>
      <c r="B214" s="3">
        <v>0</v>
      </c>
      <c r="C214" s="3">
        <v>15004941</v>
      </c>
      <c r="D214" s="3">
        <v>0</v>
      </c>
      <c r="E214" s="3">
        <v>13166</v>
      </c>
      <c r="F214" s="3">
        <v>186637</v>
      </c>
      <c r="G214" s="3">
        <v>0</v>
      </c>
      <c r="H214" s="3">
        <v>173</v>
      </c>
      <c r="I214" s="3">
        <v>0</v>
      </c>
      <c r="J214" s="3">
        <v>249958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237</v>
      </c>
      <c r="R214" s="3">
        <v>0</v>
      </c>
      <c r="S214" s="3">
        <v>0</v>
      </c>
      <c r="T214" s="3">
        <f t="shared" si="3"/>
        <v>15455112</v>
      </c>
    </row>
    <row r="215" spans="1:20" x14ac:dyDescent="0.25">
      <c r="A215" s="2">
        <v>45871</v>
      </c>
      <c r="B215" s="3">
        <v>0</v>
      </c>
      <c r="C215" s="3">
        <v>3368749</v>
      </c>
      <c r="D215" s="3">
        <v>0</v>
      </c>
      <c r="E215" s="3">
        <v>0</v>
      </c>
      <c r="F215" s="3">
        <v>0</v>
      </c>
      <c r="G215" s="3">
        <v>0</v>
      </c>
      <c r="H215" s="3">
        <v>26</v>
      </c>
      <c r="I215" s="3">
        <v>0</v>
      </c>
      <c r="J215" s="3">
        <v>51279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423</v>
      </c>
      <c r="R215" s="3">
        <v>733</v>
      </c>
      <c r="S215" s="3">
        <v>0</v>
      </c>
      <c r="T215" s="3">
        <f t="shared" si="3"/>
        <v>3421210</v>
      </c>
    </row>
    <row r="216" spans="1:20" x14ac:dyDescent="0.25">
      <c r="A216" s="2">
        <v>45872</v>
      </c>
      <c r="B216" s="3">
        <v>0</v>
      </c>
      <c r="C216" s="3">
        <v>4218394</v>
      </c>
      <c r="D216" s="3">
        <v>0</v>
      </c>
      <c r="E216" s="3">
        <v>0</v>
      </c>
      <c r="F216" s="3">
        <v>0</v>
      </c>
      <c r="G216" s="3">
        <v>0</v>
      </c>
      <c r="H216" s="3">
        <v>23</v>
      </c>
      <c r="I216" s="3">
        <v>0</v>
      </c>
      <c r="J216" s="3">
        <v>4258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309</v>
      </c>
      <c r="R216" s="3">
        <v>0</v>
      </c>
      <c r="S216" s="3">
        <v>0</v>
      </c>
      <c r="T216" s="3">
        <f t="shared" si="3"/>
        <v>4222984</v>
      </c>
    </row>
    <row r="217" spans="1:20" x14ac:dyDescent="0.25">
      <c r="A217" s="2">
        <v>45873</v>
      </c>
      <c r="B217" s="3">
        <v>0</v>
      </c>
      <c r="C217" s="3">
        <v>9947624</v>
      </c>
      <c r="D217" s="3">
        <v>0</v>
      </c>
      <c r="E217" s="3">
        <v>16955</v>
      </c>
      <c r="F217" s="3">
        <v>2339</v>
      </c>
      <c r="G217" s="3">
        <v>0</v>
      </c>
      <c r="H217" s="3">
        <v>93</v>
      </c>
      <c r="I217" s="3">
        <v>0</v>
      </c>
      <c r="J217" s="3">
        <v>13755</v>
      </c>
      <c r="K217" s="3">
        <v>0</v>
      </c>
      <c r="L217" s="3">
        <v>22788</v>
      </c>
      <c r="M217" s="3">
        <v>0</v>
      </c>
      <c r="N217" s="3">
        <v>615</v>
      </c>
      <c r="O217" s="3">
        <v>0</v>
      </c>
      <c r="P217" s="3">
        <v>0</v>
      </c>
      <c r="Q217" s="3">
        <v>1278</v>
      </c>
      <c r="R217" s="3">
        <v>0</v>
      </c>
      <c r="S217" s="3">
        <v>0</v>
      </c>
      <c r="T217" s="3">
        <f t="shared" si="3"/>
        <v>10005447</v>
      </c>
    </row>
    <row r="218" spans="1:20" x14ac:dyDescent="0.25">
      <c r="A218" s="2">
        <v>45874</v>
      </c>
      <c r="B218" s="3">
        <v>0</v>
      </c>
      <c r="C218" s="3">
        <v>6925284</v>
      </c>
      <c r="D218" s="3">
        <v>0</v>
      </c>
      <c r="E218" s="3">
        <v>213</v>
      </c>
      <c r="F218" s="3">
        <v>0</v>
      </c>
      <c r="G218" s="3">
        <v>0</v>
      </c>
      <c r="H218" s="3">
        <v>279</v>
      </c>
      <c r="I218" s="3">
        <v>0</v>
      </c>
      <c r="J218" s="3">
        <v>4</v>
      </c>
      <c r="K218" s="3">
        <v>0</v>
      </c>
      <c r="L218" s="3">
        <v>0</v>
      </c>
      <c r="M218" s="3">
        <v>0</v>
      </c>
      <c r="N218" s="3">
        <v>663</v>
      </c>
      <c r="O218" s="3">
        <v>0</v>
      </c>
      <c r="P218" s="3">
        <v>0</v>
      </c>
      <c r="Q218" s="3">
        <v>277</v>
      </c>
      <c r="R218" s="3">
        <v>0</v>
      </c>
      <c r="S218" s="3">
        <v>0</v>
      </c>
      <c r="T218" s="3">
        <f t="shared" si="3"/>
        <v>6926720</v>
      </c>
    </row>
    <row r="219" spans="1:20" x14ac:dyDescent="0.25">
      <c r="A219" s="2">
        <v>45875</v>
      </c>
      <c r="B219" s="3">
        <v>0</v>
      </c>
      <c r="C219" s="3">
        <v>6158392</v>
      </c>
      <c r="D219" s="3">
        <v>0</v>
      </c>
      <c r="E219" s="3">
        <v>37656</v>
      </c>
      <c r="F219" s="3">
        <v>0</v>
      </c>
      <c r="G219" s="3">
        <v>0</v>
      </c>
      <c r="H219" s="3">
        <v>2</v>
      </c>
      <c r="I219" s="3">
        <v>0</v>
      </c>
      <c r="J219" s="3">
        <v>0</v>
      </c>
      <c r="K219" s="3">
        <v>375</v>
      </c>
      <c r="L219" s="3">
        <v>0</v>
      </c>
      <c r="M219" s="3">
        <v>0</v>
      </c>
      <c r="N219" s="3">
        <v>54651</v>
      </c>
      <c r="O219" s="3">
        <v>0</v>
      </c>
      <c r="P219" s="3">
        <v>0</v>
      </c>
      <c r="Q219" s="3">
        <v>52</v>
      </c>
      <c r="R219" s="3">
        <v>0</v>
      </c>
      <c r="S219" s="3">
        <v>0</v>
      </c>
      <c r="T219" s="3">
        <f t="shared" si="3"/>
        <v>6251128</v>
      </c>
    </row>
    <row r="220" spans="1:20" x14ac:dyDescent="0.25">
      <c r="A220" s="2">
        <v>45876</v>
      </c>
      <c r="B220" s="3">
        <v>0</v>
      </c>
      <c r="C220" s="3">
        <v>6816462</v>
      </c>
      <c r="D220" s="3">
        <v>0</v>
      </c>
      <c r="E220" s="3">
        <v>59265</v>
      </c>
      <c r="F220" s="3">
        <v>1</v>
      </c>
      <c r="G220" s="3">
        <v>0</v>
      </c>
      <c r="H220" s="3">
        <v>28172</v>
      </c>
      <c r="I220" s="3">
        <v>0</v>
      </c>
      <c r="J220" s="3">
        <v>132901</v>
      </c>
      <c r="K220" s="3">
        <v>767</v>
      </c>
      <c r="L220" s="3">
        <v>0</v>
      </c>
      <c r="M220" s="3">
        <v>0</v>
      </c>
      <c r="N220" s="3">
        <v>131</v>
      </c>
      <c r="O220" s="3">
        <v>0</v>
      </c>
      <c r="P220" s="3">
        <v>0</v>
      </c>
      <c r="Q220" s="3">
        <v>53</v>
      </c>
      <c r="R220" s="3">
        <v>0</v>
      </c>
      <c r="S220" s="3">
        <v>0</v>
      </c>
      <c r="T220" s="3">
        <f t="shared" si="3"/>
        <v>7037752</v>
      </c>
    </row>
    <row r="221" spans="1:20" x14ac:dyDescent="0.25">
      <c r="A221" s="2">
        <v>45877</v>
      </c>
      <c r="B221" s="3">
        <v>0</v>
      </c>
      <c r="C221" s="3">
        <v>7066734</v>
      </c>
      <c r="D221" s="3">
        <v>0</v>
      </c>
      <c r="E221" s="3">
        <v>300869</v>
      </c>
      <c r="F221" s="3">
        <v>0</v>
      </c>
      <c r="G221" s="3">
        <v>0</v>
      </c>
      <c r="H221" s="3">
        <v>2</v>
      </c>
      <c r="I221" s="3">
        <v>0</v>
      </c>
      <c r="J221" s="3">
        <v>6789</v>
      </c>
      <c r="K221" s="3">
        <v>0</v>
      </c>
      <c r="L221" s="3">
        <v>0</v>
      </c>
      <c r="M221" s="3">
        <v>0</v>
      </c>
      <c r="N221" s="3">
        <v>3382</v>
      </c>
      <c r="O221" s="3">
        <v>0</v>
      </c>
      <c r="P221" s="3">
        <v>0</v>
      </c>
      <c r="Q221" s="3">
        <v>193</v>
      </c>
      <c r="R221" s="3">
        <v>0</v>
      </c>
      <c r="S221" s="3">
        <v>0</v>
      </c>
      <c r="T221" s="3">
        <f t="shared" si="3"/>
        <v>7377969</v>
      </c>
    </row>
    <row r="222" spans="1:20" x14ac:dyDescent="0.25">
      <c r="A222" s="2">
        <v>45878</v>
      </c>
      <c r="B222" s="3">
        <v>0</v>
      </c>
      <c r="C222" s="3">
        <v>2416863</v>
      </c>
      <c r="D222" s="3">
        <v>0</v>
      </c>
      <c r="E222" s="3">
        <v>0</v>
      </c>
      <c r="F222" s="3">
        <v>1243</v>
      </c>
      <c r="G222" s="3">
        <v>0</v>
      </c>
      <c r="H222" s="3">
        <v>0</v>
      </c>
      <c r="I222" s="3">
        <v>0</v>
      </c>
      <c r="J222" s="3">
        <v>10769</v>
      </c>
      <c r="K222" s="3">
        <v>0</v>
      </c>
      <c r="L222" s="3">
        <v>0</v>
      </c>
      <c r="M222" s="3">
        <v>0</v>
      </c>
      <c r="N222" s="3">
        <v>3398</v>
      </c>
      <c r="O222" s="3">
        <v>0</v>
      </c>
      <c r="P222" s="3">
        <v>0</v>
      </c>
      <c r="Q222" s="3">
        <v>94</v>
      </c>
      <c r="R222" s="3">
        <v>0</v>
      </c>
      <c r="S222" s="3">
        <v>0</v>
      </c>
      <c r="T222" s="3">
        <f t="shared" si="3"/>
        <v>2432367</v>
      </c>
    </row>
    <row r="223" spans="1:20" x14ac:dyDescent="0.25">
      <c r="A223" s="2">
        <v>45879</v>
      </c>
      <c r="B223" s="3">
        <v>0</v>
      </c>
      <c r="C223" s="3">
        <v>2505343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5047</v>
      </c>
      <c r="K223" s="3">
        <v>0</v>
      </c>
      <c r="L223" s="3">
        <v>0</v>
      </c>
      <c r="M223" s="3">
        <v>0</v>
      </c>
      <c r="N223" s="3">
        <v>447</v>
      </c>
      <c r="O223" s="3">
        <v>0</v>
      </c>
      <c r="P223" s="3">
        <v>0</v>
      </c>
      <c r="Q223" s="3">
        <v>366</v>
      </c>
      <c r="R223" s="3">
        <v>0</v>
      </c>
      <c r="S223" s="3">
        <v>0</v>
      </c>
      <c r="T223" s="3">
        <f t="shared" si="3"/>
        <v>2511203</v>
      </c>
    </row>
    <row r="224" spans="1:20" x14ac:dyDescent="0.25">
      <c r="A224" s="2">
        <v>45880</v>
      </c>
      <c r="B224" s="3">
        <v>0</v>
      </c>
      <c r="C224" s="3">
        <v>13355267</v>
      </c>
      <c r="D224" s="3">
        <v>0</v>
      </c>
      <c r="E224" s="3">
        <v>22333</v>
      </c>
      <c r="F224" s="3">
        <v>113496</v>
      </c>
      <c r="G224" s="3">
        <v>0</v>
      </c>
      <c r="H224" s="3">
        <v>12</v>
      </c>
      <c r="I224" s="3">
        <v>0</v>
      </c>
      <c r="J224" s="3">
        <v>22562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54</v>
      </c>
      <c r="R224" s="3">
        <v>0</v>
      </c>
      <c r="S224" s="3">
        <v>0</v>
      </c>
      <c r="T224" s="3">
        <f t="shared" si="3"/>
        <v>13513724</v>
      </c>
    </row>
    <row r="225" spans="1:20" x14ac:dyDescent="0.25">
      <c r="A225" s="2">
        <v>45881</v>
      </c>
      <c r="B225" s="3">
        <v>0</v>
      </c>
      <c r="C225" s="3">
        <v>12396273</v>
      </c>
      <c r="D225" s="3">
        <v>0</v>
      </c>
      <c r="E225" s="3">
        <v>58547</v>
      </c>
      <c r="F225" s="3">
        <v>3</v>
      </c>
      <c r="G225" s="3">
        <v>0</v>
      </c>
      <c r="H225" s="3">
        <v>0</v>
      </c>
      <c r="I225" s="3">
        <v>0</v>
      </c>
      <c r="J225" s="3">
        <v>115897</v>
      </c>
      <c r="K225" s="3">
        <v>0</v>
      </c>
      <c r="L225" s="3">
        <v>0</v>
      </c>
      <c r="M225" s="3">
        <v>0</v>
      </c>
      <c r="N225" s="3">
        <v>133</v>
      </c>
      <c r="O225" s="3">
        <v>0</v>
      </c>
      <c r="P225" s="3">
        <v>0</v>
      </c>
      <c r="Q225" s="3">
        <v>30</v>
      </c>
      <c r="R225" s="3">
        <v>0</v>
      </c>
      <c r="S225" s="3">
        <v>0</v>
      </c>
      <c r="T225" s="3">
        <f t="shared" si="3"/>
        <v>12570883</v>
      </c>
    </row>
    <row r="226" spans="1:20" x14ac:dyDescent="0.25">
      <c r="A226" s="2">
        <v>45882</v>
      </c>
      <c r="B226" s="3">
        <v>262</v>
      </c>
      <c r="C226" s="3">
        <v>10947771</v>
      </c>
      <c r="D226" s="3">
        <v>0</v>
      </c>
      <c r="E226" s="3">
        <v>81478</v>
      </c>
      <c r="F226" s="3">
        <v>66699</v>
      </c>
      <c r="G226" s="3">
        <v>0</v>
      </c>
      <c r="H226" s="3">
        <v>0</v>
      </c>
      <c r="I226" s="3">
        <v>0</v>
      </c>
      <c r="J226" s="3">
        <v>112280</v>
      </c>
      <c r="K226" s="3">
        <v>0</v>
      </c>
      <c r="L226" s="3">
        <v>0</v>
      </c>
      <c r="M226" s="3">
        <v>0</v>
      </c>
      <c r="N226" s="3">
        <v>5465</v>
      </c>
      <c r="O226" s="3">
        <v>0</v>
      </c>
      <c r="P226" s="3">
        <v>0</v>
      </c>
      <c r="Q226" s="3">
        <v>141</v>
      </c>
      <c r="R226" s="3">
        <v>1</v>
      </c>
      <c r="S226" s="3">
        <v>0</v>
      </c>
      <c r="T226" s="3">
        <f t="shared" si="3"/>
        <v>11214097</v>
      </c>
    </row>
    <row r="227" spans="1:20" x14ac:dyDescent="0.25">
      <c r="A227" s="2">
        <v>45883</v>
      </c>
      <c r="B227" s="3">
        <v>0</v>
      </c>
      <c r="C227" s="3">
        <v>12431350</v>
      </c>
      <c r="D227" s="3">
        <v>0</v>
      </c>
      <c r="E227" s="3">
        <v>96679</v>
      </c>
      <c r="F227" s="3">
        <v>0</v>
      </c>
      <c r="G227" s="3">
        <v>0</v>
      </c>
      <c r="H227" s="3">
        <v>9</v>
      </c>
      <c r="I227" s="3">
        <v>0</v>
      </c>
      <c r="J227" s="3">
        <v>51705</v>
      </c>
      <c r="K227" s="3">
        <v>0</v>
      </c>
      <c r="L227" s="3">
        <v>4808</v>
      </c>
      <c r="M227" s="3">
        <v>0</v>
      </c>
      <c r="N227" s="3">
        <v>134</v>
      </c>
      <c r="O227" s="3">
        <v>0</v>
      </c>
      <c r="P227" s="3">
        <v>0</v>
      </c>
      <c r="Q227" s="3">
        <v>55</v>
      </c>
      <c r="R227" s="3">
        <v>0</v>
      </c>
      <c r="S227" s="3">
        <v>0</v>
      </c>
      <c r="T227" s="3">
        <f t="shared" si="3"/>
        <v>12584740</v>
      </c>
    </row>
    <row r="228" spans="1:20" x14ac:dyDescent="0.25">
      <c r="A228" s="2">
        <v>45884</v>
      </c>
      <c r="B228" s="3">
        <v>0</v>
      </c>
      <c r="C228" s="3">
        <v>9743717</v>
      </c>
      <c r="D228" s="3">
        <v>0</v>
      </c>
      <c r="E228" s="3">
        <v>37974</v>
      </c>
      <c r="F228" s="3">
        <v>0</v>
      </c>
      <c r="G228" s="3">
        <v>0</v>
      </c>
      <c r="H228" s="3">
        <v>2</v>
      </c>
      <c r="I228" s="3">
        <v>0</v>
      </c>
      <c r="J228" s="3">
        <v>79380</v>
      </c>
      <c r="K228" s="3">
        <v>0</v>
      </c>
      <c r="L228" s="3">
        <v>9168543</v>
      </c>
      <c r="M228" s="3">
        <v>0</v>
      </c>
      <c r="N228" s="3">
        <v>122</v>
      </c>
      <c r="O228" s="3">
        <v>0</v>
      </c>
      <c r="P228" s="3">
        <v>0</v>
      </c>
      <c r="Q228" s="3">
        <v>59</v>
      </c>
      <c r="R228" s="3">
        <v>0</v>
      </c>
      <c r="S228" s="3">
        <v>0</v>
      </c>
      <c r="T228" s="3">
        <f t="shared" si="3"/>
        <v>19029797</v>
      </c>
    </row>
    <row r="229" spans="1:20" x14ac:dyDescent="0.25">
      <c r="A229" s="2">
        <v>45885</v>
      </c>
      <c r="B229" s="3">
        <v>0</v>
      </c>
      <c r="C229" s="3">
        <v>1994235</v>
      </c>
      <c r="D229" s="3">
        <v>0</v>
      </c>
      <c r="E229" s="3">
        <v>0</v>
      </c>
      <c r="F229" s="3">
        <v>82</v>
      </c>
      <c r="G229" s="3">
        <v>0</v>
      </c>
      <c r="H229" s="3">
        <v>8</v>
      </c>
      <c r="I229" s="3">
        <v>0</v>
      </c>
      <c r="J229" s="3">
        <v>31873</v>
      </c>
      <c r="K229" s="3">
        <v>0</v>
      </c>
      <c r="L229" s="3">
        <v>4</v>
      </c>
      <c r="M229" s="3">
        <v>0</v>
      </c>
      <c r="N229" s="3">
        <v>0</v>
      </c>
      <c r="O229" s="3">
        <v>0</v>
      </c>
      <c r="P229" s="3">
        <v>0</v>
      </c>
      <c r="Q229" s="3">
        <v>29</v>
      </c>
      <c r="R229" s="3">
        <v>0</v>
      </c>
      <c r="S229" s="3">
        <v>0</v>
      </c>
      <c r="T229" s="3">
        <f t="shared" si="3"/>
        <v>2026231</v>
      </c>
    </row>
    <row r="230" spans="1:20" x14ac:dyDescent="0.25">
      <c r="A230" s="2">
        <v>45886</v>
      </c>
      <c r="B230" s="3">
        <v>0</v>
      </c>
      <c r="C230" s="3">
        <v>3503939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1552</v>
      </c>
      <c r="K230" s="3">
        <v>0</v>
      </c>
      <c r="L230" s="3">
        <v>1248</v>
      </c>
      <c r="M230" s="3">
        <v>0</v>
      </c>
      <c r="N230" s="3">
        <v>0</v>
      </c>
      <c r="O230" s="3">
        <v>0</v>
      </c>
      <c r="P230" s="3">
        <v>0</v>
      </c>
      <c r="Q230" s="3">
        <v>48</v>
      </c>
      <c r="R230" s="3">
        <v>0</v>
      </c>
      <c r="S230" s="3">
        <v>0</v>
      </c>
      <c r="T230" s="3">
        <f t="shared" si="3"/>
        <v>3506787</v>
      </c>
    </row>
    <row r="231" spans="1:20" x14ac:dyDescent="0.25">
      <c r="A231" s="2">
        <v>45887</v>
      </c>
      <c r="B231" s="3">
        <v>0</v>
      </c>
      <c r="C231" s="3">
        <v>11484795</v>
      </c>
      <c r="D231" s="3">
        <v>0</v>
      </c>
      <c r="E231" s="3">
        <v>63579</v>
      </c>
      <c r="F231" s="3">
        <v>7</v>
      </c>
      <c r="G231" s="3">
        <v>0</v>
      </c>
      <c r="H231" s="3">
        <v>0</v>
      </c>
      <c r="I231" s="3">
        <v>0</v>
      </c>
      <c r="J231" s="3">
        <v>20799</v>
      </c>
      <c r="K231" s="3">
        <v>0</v>
      </c>
      <c r="L231" s="3">
        <v>5546613</v>
      </c>
      <c r="M231" s="3">
        <v>0</v>
      </c>
      <c r="N231" s="3">
        <v>6360</v>
      </c>
      <c r="O231" s="3">
        <v>0</v>
      </c>
      <c r="P231" s="3">
        <v>0</v>
      </c>
      <c r="Q231" s="3">
        <v>226</v>
      </c>
      <c r="R231" s="3">
        <v>0</v>
      </c>
      <c r="S231" s="3">
        <v>0</v>
      </c>
      <c r="T231" s="3">
        <f t="shared" si="3"/>
        <v>17122379</v>
      </c>
    </row>
    <row r="232" spans="1:20" x14ac:dyDescent="0.25">
      <c r="A232" s="2">
        <v>45888</v>
      </c>
      <c r="B232" s="3">
        <v>0</v>
      </c>
      <c r="C232" s="3">
        <v>7925437</v>
      </c>
      <c r="D232" s="3">
        <v>0</v>
      </c>
      <c r="E232" s="3">
        <v>122034</v>
      </c>
      <c r="F232" s="3">
        <v>49164</v>
      </c>
      <c r="G232" s="3">
        <v>0</v>
      </c>
      <c r="H232" s="3">
        <v>0</v>
      </c>
      <c r="I232" s="3">
        <v>0</v>
      </c>
      <c r="J232" s="3">
        <v>1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34</v>
      </c>
      <c r="R232" s="3">
        <v>0</v>
      </c>
      <c r="S232" s="3">
        <v>0</v>
      </c>
      <c r="T232" s="3">
        <f t="shared" si="3"/>
        <v>8096670</v>
      </c>
    </row>
    <row r="233" spans="1:20" x14ac:dyDescent="0.25">
      <c r="A233" s="2">
        <v>45889</v>
      </c>
      <c r="B233" s="3">
        <v>0</v>
      </c>
      <c r="C233" s="3">
        <v>19358973</v>
      </c>
      <c r="D233" s="3">
        <v>0</v>
      </c>
      <c r="E233" s="3">
        <v>48428</v>
      </c>
      <c r="F233" s="3">
        <v>22234</v>
      </c>
      <c r="G233" s="3">
        <v>0</v>
      </c>
      <c r="H233" s="3">
        <v>0</v>
      </c>
      <c r="I233" s="3">
        <v>0</v>
      </c>
      <c r="J233" s="3">
        <v>145389</v>
      </c>
      <c r="K233" s="3">
        <v>0</v>
      </c>
      <c r="L233" s="3">
        <v>0</v>
      </c>
      <c r="M233" s="3">
        <v>0</v>
      </c>
      <c r="N233" s="3">
        <v>441</v>
      </c>
      <c r="O233" s="3">
        <v>0</v>
      </c>
      <c r="P233" s="3">
        <v>0</v>
      </c>
      <c r="Q233" s="3">
        <v>10197</v>
      </c>
      <c r="R233" s="3">
        <v>56</v>
      </c>
      <c r="S233" s="3">
        <v>0</v>
      </c>
      <c r="T233" s="3">
        <f t="shared" si="3"/>
        <v>19585718</v>
      </c>
    </row>
    <row r="234" spans="1:20" x14ac:dyDescent="0.25">
      <c r="A234" s="2">
        <v>45890</v>
      </c>
      <c r="B234" s="3">
        <v>0</v>
      </c>
      <c r="C234" s="3">
        <v>10662779</v>
      </c>
      <c r="D234" s="3">
        <v>0</v>
      </c>
      <c r="E234" s="3">
        <v>815825</v>
      </c>
      <c r="F234" s="3">
        <v>151</v>
      </c>
      <c r="G234" s="3">
        <v>0</v>
      </c>
      <c r="H234" s="3">
        <v>0</v>
      </c>
      <c r="I234" s="3">
        <v>0</v>
      </c>
      <c r="J234" s="3">
        <v>5942</v>
      </c>
      <c r="K234" s="3">
        <v>0</v>
      </c>
      <c r="L234" s="3">
        <v>0</v>
      </c>
      <c r="M234" s="3">
        <v>0</v>
      </c>
      <c r="N234" s="3">
        <v>6294</v>
      </c>
      <c r="O234" s="3">
        <v>0</v>
      </c>
      <c r="P234" s="3">
        <v>0</v>
      </c>
      <c r="Q234" s="3">
        <v>28</v>
      </c>
      <c r="R234" s="3">
        <v>0</v>
      </c>
      <c r="S234" s="3">
        <v>0</v>
      </c>
      <c r="T234" s="3">
        <f t="shared" si="3"/>
        <v>11491019</v>
      </c>
    </row>
    <row r="235" spans="1:20" x14ac:dyDescent="0.25">
      <c r="A235" s="2">
        <v>45891</v>
      </c>
      <c r="B235" s="3">
        <v>0</v>
      </c>
      <c r="C235" s="3">
        <v>7445181</v>
      </c>
      <c r="D235" s="3">
        <v>0</v>
      </c>
      <c r="E235" s="3">
        <v>3251659</v>
      </c>
      <c r="F235" s="3">
        <v>32771</v>
      </c>
      <c r="G235" s="3">
        <v>0</v>
      </c>
      <c r="H235" s="3">
        <v>5</v>
      </c>
      <c r="I235" s="3">
        <v>0</v>
      </c>
      <c r="J235" s="3">
        <v>354195</v>
      </c>
      <c r="K235" s="3">
        <v>0</v>
      </c>
      <c r="L235" s="3">
        <v>0</v>
      </c>
      <c r="M235" s="3">
        <v>0</v>
      </c>
      <c r="N235" s="3">
        <v>499</v>
      </c>
      <c r="O235" s="3">
        <v>0</v>
      </c>
      <c r="P235" s="3">
        <v>0</v>
      </c>
      <c r="Q235" s="3">
        <v>2162</v>
      </c>
      <c r="R235" s="3">
        <v>0</v>
      </c>
      <c r="S235" s="3">
        <v>0</v>
      </c>
      <c r="T235" s="3">
        <f t="shared" si="3"/>
        <v>11086472</v>
      </c>
    </row>
    <row r="236" spans="1:20" x14ac:dyDescent="0.25">
      <c r="A236" s="2">
        <v>45892</v>
      </c>
      <c r="B236" s="3">
        <v>0</v>
      </c>
      <c r="C236" s="3">
        <v>2210094</v>
      </c>
      <c r="D236" s="3">
        <v>0</v>
      </c>
      <c r="E236" s="3">
        <v>0</v>
      </c>
      <c r="F236" s="3">
        <v>0</v>
      </c>
      <c r="G236" s="3">
        <v>0</v>
      </c>
      <c r="H236" s="3">
        <v>52</v>
      </c>
      <c r="I236" s="3">
        <v>0</v>
      </c>
      <c r="J236" s="3">
        <v>45824</v>
      </c>
      <c r="K236" s="3">
        <v>0</v>
      </c>
      <c r="L236" s="3">
        <v>0</v>
      </c>
      <c r="M236" s="3">
        <v>0</v>
      </c>
      <c r="N236" s="3">
        <v>46594</v>
      </c>
      <c r="O236" s="3">
        <v>0</v>
      </c>
      <c r="P236" s="3">
        <v>0</v>
      </c>
      <c r="Q236" s="3">
        <v>84</v>
      </c>
      <c r="R236" s="3">
        <v>0</v>
      </c>
      <c r="S236" s="3">
        <v>0</v>
      </c>
      <c r="T236" s="3">
        <f t="shared" si="3"/>
        <v>2302648</v>
      </c>
    </row>
    <row r="237" spans="1:20" x14ac:dyDescent="0.25">
      <c r="A237" s="2">
        <v>45893</v>
      </c>
      <c r="B237" s="3">
        <v>0</v>
      </c>
      <c r="C237" s="3">
        <v>3097362</v>
      </c>
      <c r="D237" s="3">
        <v>0</v>
      </c>
      <c r="E237" s="3">
        <v>0</v>
      </c>
      <c r="F237" s="3">
        <v>28588</v>
      </c>
      <c r="G237" s="3">
        <v>0</v>
      </c>
      <c r="H237" s="3">
        <v>0</v>
      </c>
      <c r="I237" s="3">
        <v>0</v>
      </c>
      <c r="J237" s="3">
        <v>28588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177</v>
      </c>
      <c r="R237" s="3">
        <v>0</v>
      </c>
      <c r="S237" s="3">
        <v>0</v>
      </c>
      <c r="T237" s="3">
        <f t="shared" si="3"/>
        <v>3154715</v>
      </c>
    </row>
    <row r="238" spans="1:20" x14ac:dyDescent="0.25">
      <c r="A238" s="2">
        <v>45894</v>
      </c>
      <c r="B238" s="3">
        <v>0</v>
      </c>
      <c r="C238" s="3">
        <v>13551572</v>
      </c>
      <c r="D238" s="3">
        <v>0</v>
      </c>
      <c r="E238" s="3">
        <v>41286</v>
      </c>
      <c r="F238" s="3">
        <v>20470</v>
      </c>
      <c r="G238" s="3">
        <v>0</v>
      </c>
      <c r="H238" s="3">
        <v>258</v>
      </c>
      <c r="I238" s="3">
        <v>0</v>
      </c>
      <c r="J238" s="3">
        <v>34094</v>
      </c>
      <c r="K238" s="3">
        <v>0</v>
      </c>
      <c r="L238" s="3">
        <v>0</v>
      </c>
      <c r="M238" s="3">
        <v>0</v>
      </c>
      <c r="N238" s="3">
        <v>750</v>
      </c>
      <c r="O238" s="3">
        <v>0</v>
      </c>
      <c r="P238" s="3">
        <v>0</v>
      </c>
      <c r="Q238" s="3">
        <v>208</v>
      </c>
      <c r="R238" s="3">
        <v>0</v>
      </c>
      <c r="S238" s="3">
        <v>0</v>
      </c>
      <c r="T238" s="3">
        <f t="shared" si="3"/>
        <v>13648638</v>
      </c>
    </row>
    <row r="239" spans="1:20" x14ac:dyDescent="0.25">
      <c r="A239" s="2">
        <v>45895</v>
      </c>
      <c r="B239" s="3">
        <v>0</v>
      </c>
      <c r="C239" s="3">
        <v>8589363</v>
      </c>
      <c r="D239" s="3">
        <v>0</v>
      </c>
      <c r="E239" s="3">
        <v>123346</v>
      </c>
      <c r="F239" s="3">
        <v>0</v>
      </c>
      <c r="G239" s="3">
        <v>0</v>
      </c>
      <c r="H239" s="3">
        <v>22</v>
      </c>
      <c r="I239" s="3">
        <v>0</v>
      </c>
      <c r="J239" s="3">
        <v>46954</v>
      </c>
      <c r="K239" s="3">
        <v>0</v>
      </c>
      <c r="L239" s="3">
        <v>0</v>
      </c>
      <c r="M239" s="3">
        <v>0</v>
      </c>
      <c r="N239" s="3">
        <v>645</v>
      </c>
      <c r="O239" s="3">
        <v>0</v>
      </c>
      <c r="P239" s="3">
        <v>0</v>
      </c>
      <c r="Q239" s="3">
        <v>165</v>
      </c>
      <c r="R239" s="3">
        <v>0</v>
      </c>
      <c r="S239" s="3">
        <v>0</v>
      </c>
      <c r="T239" s="3">
        <f t="shared" si="3"/>
        <v>8760495</v>
      </c>
    </row>
    <row r="240" spans="1:20" x14ac:dyDescent="0.25">
      <c r="A240" s="2">
        <v>45896</v>
      </c>
      <c r="B240" s="3">
        <v>118</v>
      </c>
      <c r="C240" s="3">
        <v>8373967</v>
      </c>
      <c r="D240" s="3">
        <v>0</v>
      </c>
      <c r="E240" s="3">
        <v>12237</v>
      </c>
      <c r="F240" s="3">
        <v>0</v>
      </c>
      <c r="G240" s="3">
        <v>0</v>
      </c>
      <c r="H240" s="3">
        <v>34256</v>
      </c>
      <c r="I240" s="3">
        <v>0</v>
      </c>
      <c r="J240" s="3">
        <v>68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633</v>
      </c>
      <c r="R240" s="3">
        <v>0</v>
      </c>
      <c r="S240" s="3">
        <v>0</v>
      </c>
      <c r="T240" s="3">
        <f t="shared" si="3"/>
        <v>8421279</v>
      </c>
    </row>
    <row r="241" spans="1:20" x14ac:dyDescent="0.25">
      <c r="A241" s="2">
        <v>45897</v>
      </c>
      <c r="B241" s="3">
        <v>6</v>
      </c>
      <c r="C241" s="3">
        <v>6695772</v>
      </c>
      <c r="D241" s="3">
        <v>0</v>
      </c>
      <c r="E241" s="3">
        <v>24494</v>
      </c>
      <c r="F241" s="3">
        <v>71</v>
      </c>
      <c r="G241" s="3">
        <v>0</v>
      </c>
      <c r="H241" s="3">
        <v>165</v>
      </c>
      <c r="I241" s="3">
        <v>0</v>
      </c>
      <c r="J241" s="3">
        <v>192151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172</v>
      </c>
      <c r="R241" s="3">
        <v>0</v>
      </c>
      <c r="S241" s="3">
        <v>0</v>
      </c>
      <c r="T241" s="3">
        <f t="shared" si="3"/>
        <v>6912831</v>
      </c>
    </row>
    <row r="242" spans="1:20" x14ac:dyDescent="0.25">
      <c r="A242" s="2">
        <v>45898</v>
      </c>
      <c r="B242" s="3">
        <v>90</v>
      </c>
      <c r="C242" s="3">
        <v>16852047</v>
      </c>
      <c r="D242" s="3">
        <v>0</v>
      </c>
      <c r="E242" s="3">
        <v>50682</v>
      </c>
      <c r="F242" s="3">
        <v>0</v>
      </c>
      <c r="G242" s="3">
        <v>0</v>
      </c>
      <c r="H242" s="3">
        <v>56</v>
      </c>
      <c r="I242" s="3">
        <v>0</v>
      </c>
      <c r="J242" s="3">
        <v>255</v>
      </c>
      <c r="K242" s="3">
        <v>0</v>
      </c>
      <c r="L242" s="3">
        <v>0</v>
      </c>
      <c r="M242" s="3">
        <v>0</v>
      </c>
      <c r="N242" s="3">
        <v>5006</v>
      </c>
      <c r="O242" s="3">
        <v>0</v>
      </c>
      <c r="P242" s="3">
        <v>0</v>
      </c>
      <c r="Q242" s="3">
        <v>177</v>
      </c>
      <c r="R242" s="3">
        <v>0</v>
      </c>
      <c r="S242" s="3">
        <v>0</v>
      </c>
      <c r="T242" s="3">
        <f t="shared" si="3"/>
        <v>16908313</v>
      </c>
    </row>
    <row r="243" spans="1:20" x14ac:dyDescent="0.25">
      <c r="A243" s="2">
        <v>45899</v>
      </c>
      <c r="B243" s="3">
        <v>0</v>
      </c>
      <c r="C243" s="3">
        <v>1214502</v>
      </c>
      <c r="D243" s="3">
        <v>0</v>
      </c>
      <c r="E243" s="3">
        <v>504</v>
      </c>
      <c r="F243" s="3">
        <v>0</v>
      </c>
      <c r="G243" s="3">
        <v>0</v>
      </c>
      <c r="H243" s="3">
        <v>26</v>
      </c>
      <c r="I243" s="3">
        <v>0</v>
      </c>
      <c r="J243" s="3">
        <v>150993</v>
      </c>
      <c r="K243" s="3">
        <v>0</v>
      </c>
      <c r="L243" s="3">
        <v>0</v>
      </c>
      <c r="M243" s="3">
        <v>0</v>
      </c>
      <c r="N243" s="3">
        <v>45086</v>
      </c>
      <c r="O243" s="3">
        <v>0</v>
      </c>
      <c r="P243" s="3">
        <v>0</v>
      </c>
      <c r="Q243" s="3">
        <v>93</v>
      </c>
      <c r="R243" s="3">
        <v>0</v>
      </c>
      <c r="S243" s="3">
        <v>0</v>
      </c>
      <c r="T243" s="3">
        <f t="shared" si="3"/>
        <v>1411204</v>
      </c>
    </row>
    <row r="244" spans="1:20" x14ac:dyDescent="0.25">
      <c r="A244" s="2">
        <v>45900</v>
      </c>
      <c r="B244" s="3">
        <v>0</v>
      </c>
      <c r="C244" s="3">
        <v>977105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35912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47</v>
      </c>
      <c r="R244" s="3">
        <v>0</v>
      </c>
      <c r="S244" s="3">
        <v>0</v>
      </c>
      <c r="T244" s="3">
        <f t="shared" si="3"/>
        <v>1013064</v>
      </c>
    </row>
    <row r="245" spans="1:20" x14ac:dyDescent="0.25">
      <c r="A245" s="2">
        <v>45901</v>
      </c>
      <c r="B245" s="3">
        <v>0</v>
      </c>
      <c r="C245" s="3">
        <v>3789440</v>
      </c>
      <c r="D245" s="3">
        <v>0</v>
      </c>
      <c r="E245" s="3">
        <v>333201</v>
      </c>
      <c r="F245" s="3">
        <v>64</v>
      </c>
      <c r="G245" s="3">
        <v>0</v>
      </c>
      <c r="H245" s="3">
        <v>0</v>
      </c>
      <c r="I245" s="3">
        <v>0</v>
      </c>
      <c r="J245" s="3">
        <v>38636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22</v>
      </c>
      <c r="R245" s="3">
        <v>0</v>
      </c>
      <c r="S245" s="3">
        <v>0</v>
      </c>
      <c r="T245" s="3">
        <f t="shared" si="3"/>
        <v>4161363</v>
      </c>
    </row>
    <row r="246" spans="1:20" x14ac:dyDescent="0.25">
      <c r="A246" s="2">
        <v>45902</v>
      </c>
      <c r="B246" s="3">
        <v>0</v>
      </c>
      <c r="C246" s="3">
        <v>28123584</v>
      </c>
      <c r="D246" s="3">
        <v>0</v>
      </c>
      <c r="E246" s="3">
        <v>70668</v>
      </c>
      <c r="F246" s="3">
        <v>4197</v>
      </c>
      <c r="G246" s="3">
        <v>0</v>
      </c>
      <c r="H246" s="3">
        <v>74</v>
      </c>
      <c r="I246" s="3">
        <v>0</v>
      </c>
      <c r="J246" s="3">
        <v>147984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127</v>
      </c>
      <c r="R246" s="3">
        <v>0</v>
      </c>
      <c r="S246" s="3">
        <v>0</v>
      </c>
      <c r="T246" s="3">
        <f t="shared" si="3"/>
        <v>28346634</v>
      </c>
    </row>
    <row r="247" spans="1:20" x14ac:dyDescent="0.25">
      <c r="A247" s="2">
        <v>45903</v>
      </c>
      <c r="B247" s="3">
        <v>0</v>
      </c>
      <c r="C247" s="3">
        <v>5430968</v>
      </c>
      <c r="D247" s="3">
        <v>0</v>
      </c>
      <c r="E247" s="3">
        <v>1688992</v>
      </c>
      <c r="F247" s="3">
        <v>5057</v>
      </c>
      <c r="G247" s="3">
        <v>0</v>
      </c>
      <c r="H247" s="3">
        <v>15</v>
      </c>
      <c r="I247" s="3">
        <v>0</v>
      </c>
      <c r="J247" s="3">
        <v>278</v>
      </c>
      <c r="K247" s="3">
        <v>0</v>
      </c>
      <c r="L247" s="3">
        <v>0</v>
      </c>
      <c r="M247" s="3">
        <v>0</v>
      </c>
      <c r="N247" s="3">
        <v>19659</v>
      </c>
      <c r="O247" s="3">
        <v>0</v>
      </c>
      <c r="P247" s="3">
        <v>0</v>
      </c>
      <c r="Q247" s="3">
        <v>140</v>
      </c>
      <c r="R247" s="3">
        <v>0</v>
      </c>
      <c r="S247" s="3">
        <v>0</v>
      </c>
      <c r="T247" s="3">
        <f t="shared" si="3"/>
        <v>7145109</v>
      </c>
    </row>
    <row r="248" spans="1:20" x14ac:dyDescent="0.25">
      <c r="A248" s="2">
        <v>45904</v>
      </c>
      <c r="B248" s="3">
        <v>0</v>
      </c>
      <c r="C248" s="3">
        <v>5595517</v>
      </c>
      <c r="D248" s="3">
        <v>0</v>
      </c>
      <c r="E248" s="3">
        <v>2162619</v>
      </c>
      <c r="F248" s="3">
        <v>1</v>
      </c>
      <c r="G248" s="3">
        <v>0</v>
      </c>
      <c r="H248" s="3">
        <v>148</v>
      </c>
      <c r="I248" s="3">
        <v>0</v>
      </c>
      <c r="J248" s="3">
        <v>223680</v>
      </c>
      <c r="K248" s="3">
        <v>0</v>
      </c>
      <c r="L248" s="3">
        <v>8739</v>
      </c>
      <c r="M248" s="3">
        <v>0</v>
      </c>
      <c r="N248" s="3">
        <v>31040</v>
      </c>
      <c r="O248" s="3">
        <v>0</v>
      </c>
      <c r="P248" s="3">
        <v>0</v>
      </c>
      <c r="Q248" s="3">
        <v>120</v>
      </c>
      <c r="R248" s="3">
        <v>0</v>
      </c>
      <c r="S248" s="3">
        <v>0</v>
      </c>
      <c r="T248" s="3">
        <f t="shared" si="3"/>
        <v>8021864</v>
      </c>
    </row>
    <row r="249" spans="1:20" x14ac:dyDescent="0.25">
      <c r="A249" s="2">
        <v>45905</v>
      </c>
      <c r="B249" s="3">
        <v>0</v>
      </c>
      <c r="C249" s="3">
        <v>12108346</v>
      </c>
      <c r="D249" s="3">
        <v>0</v>
      </c>
      <c r="E249" s="3">
        <v>9545362</v>
      </c>
      <c r="F249" s="3">
        <v>0</v>
      </c>
      <c r="G249" s="3">
        <v>0</v>
      </c>
      <c r="H249" s="3">
        <v>4</v>
      </c>
      <c r="I249" s="3">
        <v>0</v>
      </c>
      <c r="J249" s="3">
        <v>11657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99</v>
      </c>
      <c r="R249" s="3">
        <v>0</v>
      </c>
      <c r="S249" s="3">
        <v>0</v>
      </c>
      <c r="T249" s="3">
        <f t="shared" si="3"/>
        <v>21665468</v>
      </c>
    </row>
    <row r="250" spans="1:20" x14ac:dyDescent="0.25">
      <c r="A250" s="2">
        <v>45906</v>
      </c>
      <c r="B250" s="3">
        <v>0</v>
      </c>
      <c r="C250" s="3">
        <v>1901937</v>
      </c>
      <c r="D250" s="3">
        <v>0</v>
      </c>
      <c r="E250" s="3">
        <v>9397241</v>
      </c>
      <c r="F250" s="3">
        <v>0</v>
      </c>
      <c r="G250" s="3">
        <v>0</v>
      </c>
      <c r="H250" s="3">
        <v>0</v>
      </c>
      <c r="I250" s="3">
        <v>0</v>
      </c>
      <c r="J250" s="3">
        <v>17408</v>
      </c>
      <c r="K250" s="3">
        <v>0</v>
      </c>
      <c r="L250" s="3">
        <v>0</v>
      </c>
      <c r="M250" s="3">
        <v>0</v>
      </c>
      <c r="N250" s="3">
        <v>8058</v>
      </c>
      <c r="O250" s="3">
        <v>0</v>
      </c>
      <c r="P250" s="3">
        <v>0</v>
      </c>
      <c r="Q250" s="3">
        <v>44</v>
      </c>
      <c r="R250" s="3">
        <v>0</v>
      </c>
      <c r="S250" s="3">
        <v>0</v>
      </c>
      <c r="T250" s="3">
        <f t="shared" si="3"/>
        <v>11324688</v>
      </c>
    </row>
    <row r="251" spans="1:20" x14ac:dyDescent="0.25">
      <c r="A251" s="2">
        <v>45907</v>
      </c>
      <c r="B251" s="3">
        <v>0</v>
      </c>
      <c r="C251" s="3">
        <v>3751124</v>
      </c>
      <c r="D251" s="3">
        <v>0</v>
      </c>
      <c r="E251" s="3">
        <v>5422</v>
      </c>
      <c r="F251" s="3">
        <v>0</v>
      </c>
      <c r="G251" s="3">
        <v>0</v>
      </c>
      <c r="H251" s="3">
        <v>9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678</v>
      </c>
      <c r="O251" s="3">
        <v>0</v>
      </c>
      <c r="P251" s="3">
        <v>0</v>
      </c>
      <c r="Q251" s="3">
        <v>246</v>
      </c>
      <c r="R251" s="3">
        <v>0</v>
      </c>
      <c r="S251" s="3">
        <v>0</v>
      </c>
      <c r="T251" s="3">
        <f t="shared" si="3"/>
        <v>3757479</v>
      </c>
    </row>
    <row r="252" spans="1:20" x14ac:dyDescent="0.25">
      <c r="A252" s="2">
        <v>45908</v>
      </c>
      <c r="B252" s="3">
        <v>0</v>
      </c>
      <c r="C252" s="3">
        <v>15815015</v>
      </c>
      <c r="D252" s="3">
        <v>0</v>
      </c>
      <c r="E252" s="3">
        <v>5471322</v>
      </c>
      <c r="F252" s="3">
        <v>1</v>
      </c>
      <c r="G252" s="3">
        <v>0</v>
      </c>
      <c r="H252" s="3">
        <v>975</v>
      </c>
      <c r="I252" s="3">
        <v>0</v>
      </c>
      <c r="J252" s="3">
        <v>6913</v>
      </c>
      <c r="K252" s="3">
        <v>0</v>
      </c>
      <c r="L252" s="3">
        <v>0</v>
      </c>
      <c r="M252" s="3">
        <v>0</v>
      </c>
      <c r="N252" s="3">
        <v>3</v>
      </c>
      <c r="O252" s="3">
        <v>0</v>
      </c>
      <c r="P252" s="3">
        <v>0</v>
      </c>
      <c r="Q252" s="3">
        <v>42</v>
      </c>
      <c r="R252" s="3">
        <v>0</v>
      </c>
      <c r="S252" s="3">
        <v>0</v>
      </c>
      <c r="T252" s="3">
        <f t="shared" si="3"/>
        <v>21294271</v>
      </c>
    </row>
    <row r="253" spans="1:20" x14ac:dyDescent="0.25">
      <c r="A253" s="2">
        <v>45909</v>
      </c>
      <c r="B253" s="3">
        <v>0</v>
      </c>
      <c r="C253" s="3">
        <v>9349795</v>
      </c>
      <c r="D253" s="3">
        <v>0</v>
      </c>
      <c r="E253" s="3">
        <v>2205261</v>
      </c>
      <c r="F253" s="3">
        <v>46303</v>
      </c>
      <c r="G253" s="3">
        <v>0</v>
      </c>
      <c r="H253" s="3">
        <v>110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22</v>
      </c>
      <c r="O253" s="3">
        <v>0</v>
      </c>
      <c r="P253" s="3">
        <v>0</v>
      </c>
      <c r="Q253" s="3">
        <v>74</v>
      </c>
      <c r="R253" s="3">
        <v>0</v>
      </c>
      <c r="S253" s="3">
        <v>0</v>
      </c>
      <c r="T253" s="3">
        <f t="shared" si="3"/>
        <v>11601565</v>
      </c>
    </row>
    <row r="254" spans="1:20" x14ac:dyDescent="0.25">
      <c r="A254" s="2">
        <v>45910</v>
      </c>
      <c r="B254" s="3">
        <v>0</v>
      </c>
      <c r="C254" s="3">
        <v>10413102</v>
      </c>
      <c r="D254" s="3">
        <v>0</v>
      </c>
      <c r="E254" s="3">
        <v>1739114</v>
      </c>
      <c r="F254" s="3">
        <v>98975</v>
      </c>
      <c r="G254" s="3">
        <v>0</v>
      </c>
      <c r="H254" s="3">
        <v>103</v>
      </c>
      <c r="I254" s="3">
        <v>0</v>
      </c>
      <c r="J254" s="3">
        <v>57772</v>
      </c>
      <c r="K254" s="3">
        <v>0</v>
      </c>
      <c r="L254" s="3">
        <v>0</v>
      </c>
      <c r="M254" s="3">
        <v>0</v>
      </c>
      <c r="N254" s="3">
        <v>219</v>
      </c>
      <c r="O254" s="3">
        <v>0</v>
      </c>
      <c r="P254" s="3">
        <v>0</v>
      </c>
      <c r="Q254" s="3">
        <v>182</v>
      </c>
      <c r="R254" s="3">
        <v>0</v>
      </c>
      <c r="S254" s="3">
        <v>0</v>
      </c>
      <c r="T254" s="3">
        <f t="shared" si="3"/>
        <v>12309467</v>
      </c>
    </row>
    <row r="255" spans="1:20" x14ac:dyDescent="0.25">
      <c r="A255" s="2">
        <v>45911</v>
      </c>
      <c r="B255" s="3">
        <v>0</v>
      </c>
      <c r="C255" s="3">
        <v>11784417</v>
      </c>
      <c r="D255" s="3">
        <v>0</v>
      </c>
      <c r="E255" s="3">
        <v>3096026</v>
      </c>
      <c r="F255" s="3">
        <v>2</v>
      </c>
      <c r="G255" s="3">
        <v>0</v>
      </c>
      <c r="H255" s="3">
        <v>85</v>
      </c>
      <c r="I255" s="3">
        <v>0</v>
      </c>
      <c r="J255" s="3">
        <v>53671</v>
      </c>
      <c r="K255" s="3">
        <v>0</v>
      </c>
      <c r="L255" s="3">
        <v>0</v>
      </c>
      <c r="M255" s="3">
        <v>0</v>
      </c>
      <c r="N255" s="3">
        <v>28547</v>
      </c>
      <c r="O255" s="3">
        <v>0</v>
      </c>
      <c r="P255" s="3">
        <v>0</v>
      </c>
      <c r="Q255" s="3">
        <v>243</v>
      </c>
      <c r="R255" s="3">
        <v>0</v>
      </c>
      <c r="S255" s="3">
        <v>0</v>
      </c>
      <c r="T255" s="3">
        <f t="shared" si="3"/>
        <v>14962991</v>
      </c>
    </row>
    <row r="256" spans="1:20" x14ac:dyDescent="0.25">
      <c r="A256" s="2">
        <v>45912</v>
      </c>
      <c r="B256" s="3">
        <v>11</v>
      </c>
      <c r="C256" s="3">
        <v>21912731</v>
      </c>
      <c r="D256" s="3">
        <v>0</v>
      </c>
      <c r="E256" s="3">
        <v>3297443</v>
      </c>
      <c r="F256" s="3">
        <v>30222</v>
      </c>
      <c r="G256" s="3">
        <v>0</v>
      </c>
      <c r="H256" s="3">
        <v>70</v>
      </c>
      <c r="I256" s="3">
        <v>0</v>
      </c>
      <c r="J256" s="3">
        <v>28918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283</v>
      </c>
      <c r="R256" s="3">
        <v>0</v>
      </c>
      <c r="S256" s="3">
        <v>0</v>
      </c>
      <c r="T256" s="3">
        <f t="shared" si="3"/>
        <v>25269678</v>
      </c>
    </row>
    <row r="257" spans="1:20" x14ac:dyDescent="0.25">
      <c r="A257" s="2">
        <v>45913</v>
      </c>
      <c r="B257" s="3">
        <v>0</v>
      </c>
      <c r="C257" s="3">
        <v>3337657</v>
      </c>
      <c r="D257" s="3">
        <v>0</v>
      </c>
      <c r="E257" s="3">
        <v>19424</v>
      </c>
      <c r="F257" s="3">
        <v>0</v>
      </c>
      <c r="G257" s="3">
        <v>0</v>
      </c>
      <c r="H257" s="3">
        <v>0</v>
      </c>
      <c r="I257" s="3">
        <v>0</v>
      </c>
      <c r="J257" s="3">
        <v>2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296</v>
      </c>
      <c r="R257" s="3">
        <v>0</v>
      </c>
      <c r="S257" s="3">
        <v>0</v>
      </c>
      <c r="T257" s="3">
        <f t="shared" si="3"/>
        <v>3357379</v>
      </c>
    </row>
    <row r="258" spans="1:20" x14ac:dyDescent="0.25">
      <c r="A258" s="2">
        <v>45914</v>
      </c>
      <c r="B258" s="3">
        <v>0</v>
      </c>
      <c r="C258" s="3">
        <v>4100107</v>
      </c>
      <c r="D258" s="3">
        <v>0</v>
      </c>
      <c r="E258" s="3">
        <v>6509</v>
      </c>
      <c r="F258" s="3">
        <v>0</v>
      </c>
      <c r="G258" s="3">
        <v>0</v>
      </c>
      <c r="H258" s="3">
        <v>0</v>
      </c>
      <c r="I258" s="3">
        <v>0</v>
      </c>
      <c r="J258" s="3">
        <v>2323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17</v>
      </c>
      <c r="R258" s="3">
        <v>0</v>
      </c>
      <c r="S258" s="3">
        <v>0</v>
      </c>
      <c r="T258" s="3">
        <f t="shared" ref="T258:T321" si="4">SUM(B258:S258)</f>
        <v>4108956</v>
      </c>
    </row>
    <row r="259" spans="1:20" x14ac:dyDescent="0.25">
      <c r="A259" s="2">
        <v>45915</v>
      </c>
      <c r="B259" s="3">
        <v>0</v>
      </c>
      <c r="C259" s="3">
        <v>17993005</v>
      </c>
      <c r="D259" s="3">
        <v>0</v>
      </c>
      <c r="E259" s="3">
        <v>2473882</v>
      </c>
      <c r="F259" s="3">
        <v>7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263208</v>
      </c>
      <c r="O259" s="3">
        <v>0</v>
      </c>
      <c r="P259" s="3">
        <v>0</v>
      </c>
      <c r="Q259" s="3">
        <v>239</v>
      </c>
      <c r="R259" s="3">
        <v>0</v>
      </c>
      <c r="S259" s="3">
        <v>0</v>
      </c>
      <c r="T259" s="3">
        <f t="shared" si="4"/>
        <v>20730341</v>
      </c>
    </row>
    <row r="260" spans="1:20" x14ac:dyDescent="0.25">
      <c r="A260" s="2">
        <v>45916</v>
      </c>
      <c r="B260" s="3">
        <v>0</v>
      </c>
      <c r="C260" s="3">
        <v>11789120</v>
      </c>
      <c r="D260" s="3">
        <v>0</v>
      </c>
      <c r="E260" s="3">
        <v>19659975</v>
      </c>
      <c r="F260" s="3">
        <v>38441</v>
      </c>
      <c r="G260" s="3">
        <v>0</v>
      </c>
      <c r="H260" s="3">
        <v>0</v>
      </c>
      <c r="I260" s="3">
        <v>0</v>
      </c>
      <c r="J260" s="3">
        <v>17</v>
      </c>
      <c r="K260" s="3">
        <v>0</v>
      </c>
      <c r="L260" s="3">
        <v>0</v>
      </c>
      <c r="M260" s="3">
        <v>0</v>
      </c>
      <c r="N260" s="3">
        <v>7</v>
      </c>
      <c r="O260" s="3">
        <v>0</v>
      </c>
      <c r="P260" s="3">
        <v>0</v>
      </c>
      <c r="Q260" s="3">
        <v>28</v>
      </c>
      <c r="R260" s="3">
        <v>0</v>
      </c>
      <c r="S260" s="3">
        <v>0</v>
      </c>
      <c r="T260" s="3">
        <f t="shared" si="4"/>
        <v>31487588</v>
      </c>
    </row>
    <row r="261" spans="1:20" x14ac:dyDescent="0.25">
      <c r="A261" s="2">
        <v>45917</v>
      </c>
      <c r="B261" s="3">
        <v>0</v>
      </c>
      <c r="C261" s="3">
        <v>16150286</v>
      </c>
      <c r="D261" s="3">
        <v>0</v>
      </c>
      <c r="E261" s="3">
        <v>7921681</v>
      </c>
      <c r="F261" s="3">
        <v>17</v>
      </c>
      <c r="G261" s="3">
        <v>0</v>
      </c>
      <c r="H261" s="3">
        <v>387</v>
      </c>
      <c r="I261" s="3">
        <v>0</v>
      </c>
      <c r="J261" s="3">
        <v>30540</v>
      </c>
      <c r="K261" s="3">
        <v>0</v>
      </c>
      <c r="L261" s="3">
        <v>0</v>
      </c>
      <c r="M261" s="3">
        <v>0</v>
      </c>
      <c r="N261" s="3">
        <v>274248</v>
      </c>
      <c r="O261" s="3">
        <v>0</v>
      </c>
      <c r="P261" s="3">
        <v>0</v>
      </c>
      <c r="Q261" s="3">
        <v>72</v>
      </c>
      <c r="R261" s="3">
        <v>0</v>
      </c>
      <c r="S261" s="3">
        <v>0</v>
      </c>
      <c r="T261" s="3">
        <f t="shared" si="4"/>
        <v>24377231</v>
      </c>
    </row>
    <row r="262" spans="1:20" x14ac:dyDescent="0.25">
      <c r="A262" s="2">
        <v>45918</v>
      </c>
      <c r="B262" s="3">
        <v>99366</v>
      </c>
      <c r="C262" s="3">
        <v>25257223</v>
      </c>
      <c r="D262" s="3">
        <v>0</v>
      </c>
      <c r="E262" s="3">
        <v>12814855</v>
      </c>
      <c r="F262" s="3">
        <v>30628</v>
      </c>
      <c r="G262" s="3">
        <v>0</v>
      </c>
      <c r="H262" s="3">
        <v>180</v>
      </c>
      <c r="I262" s="3">
        <v>0</v>
      </c>
      <c r="J262" s="3">
        <v>2</v>
      </c>
      <c r="K262" s="3">
        <v>1</v>
      </c>
      <c r="L262" s="3">
        <v>0</v>
      </c>
      <c r="M262" s="3">
        <v>0</v>
      </c>
      <c r="N262" s="3">
        <v>13379</v>
      </c>
      <c r="O262" s="3">
        <v>0</v>
      </c>
      <c r="P262" s="3">
        <v>0</v>
      </c>
      <c r="Q262" s="3">
        <v>98</v>
      </c>
      <c r="R262" s="3">
        <v>0</v>
      </c>
      <c r="S262" s="3">
        <v>0</v>
      </c>
      <c r="T262" s="3">
        <f t="shared" si="4"/>
        <v>38215732</v>
      </c>
    </row>
    <row r="263" spans="1:20" x14ac:dyDescent="0.25">
      <c r="A263" s="2">
        <v>45919</v>
      </c>
      <c r="B263" s="3">
        <v>135582</v>
      </c>
      <c r="C263" s="3">
        <v>14814633</v>
      </c>
      <c r="D263" s="3">
        <v>0</v>
      </c>
      <c r="E263" s="3">
        <v>19009225</v>
      </c>
      <c r="F263" s="3">
        <v>234350</v>
      </c>
      <c r="G263" s="3">
        <v>0</v>
      </c>
      <c r="H263" s="3">
        <v>33</v>
      </c>
      <c r="I263" s="3">
        <v>0</v>
      </c>
      <c r="J263" s="3">
        <v>1625</v>
      </c>
      <c r="K263" s="3">
        <v>1</v>
      </c>
      <c r="L263" s="3">
        <v>0</v>
      </c>
      <c r="M263" s="3">
        <v>0</v>
      </c>
      <c r="N263" s="3">
        <v>8549</v>
      </c>
      <c r="O263" s="3">
        <v>0</v>
      </c>
      <c r="P263" s="3">
        <v>0</v>
      </c>
      <c r="Q263" s="3">
        <v>97</v>
      </c>
      <c r="R263" s="3">
        <v>333</v>
      </c>
      <c r="S263" s="3">
        <v>0</v>
      </c>
      <c r="T263" s="3">
        <f t="shared" si="4"/>
        <v>34204428</v>
      </c>
    </row>
    <row r="264" spans="1:20" x14ac:dyDescent="0.25">
      <c r="A264" s="2">
        <v>45920</v>
      </c>
      <c r="B264" s="3">
        <v>0</v>
      </c>
      <c r="C264" s="3">
        <v>2334468</v>
      </c>
      <c r="D264" s="3">
        <v>0</v>
      </c>
      <c r="E264" s="3">
        <v>180789</v>
      </c>
      <c r="F264" s="3">
        <v>527</v>
      </c>
      <c r="G264" s="3">
        <v>0</v>
      </c>
      <c r="H264" s="3">
        <v>0</v>
      </c>
      <c r="I264" s="3">
        <v>0</v>
      </c>
      <c r="J264" s="3">
        <v>123216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108</v>
      </c>
      <c r="R264" s="3">
        <v>0</v>
      </c>
      <c r="S264" s="3">
        <v>0</v>
      </c>
      <c r="T264" s="3">
        <f t="shared" si="4"/>
        <v>2639108</v>
      </c>
    </row>
    <row r="265" spans="1:20" x14ac:dyDescent="0.25">
      <c r="A265" s="2">
        <v>45921</v>
      </c>
      <c r="B265" s="3">
        <v>0</v>
      </c>
      <c r="C265" s="3">
        <v>3515972</v>
      </c>
      <c r="D265" s="3">
        <v>0</v>
      </c>
      <c r="E265" s="3">
        <v>245901</v>
      </c>
      <c r="F265" s="3">
        <v>51262</v>
      </c>
      <c r="G265" s="3">
        <v>0</v>
      </c>
      <c r="H265" s="3">
        <v>0</v>
      </c>
      <c r="I265" s="3">
        <v>0</v>
      </c>
      <c r="J265" s="3">
        <v>27189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41</v>
      </c>
      <c r="R265" s="3">
        <v>0</v>
      </c>
      <c r="S265" s="3">
        <v>0</v>
      </c>
      <c r="T265" s="3">
        <f t="shared" si="4"/>
        <v>3840365</v>
      </c>
    </row>
    <row r="266" spans="1:20" x14ac:dyDescent="0.25">
      <c r="A266" s="2">
        <v>45922</v>
      </c>
      <c r="B266" s="3">
        <v>0</v>
      </c>
      <c r="C266" s="3">
        <v>32386024</v>
      </c>
      <c r="D266" s="3">
        <v>0</v>
      </c>
      <c r="E266" s="3">
        <v>3986460</v>
      </c>
      <c r="F266" s="3">
        <v>696</v>
      </c>
      <c r="G266" s="3">
        <v>0</v>
      </c>
      <c r="H266" s="3">
        <v>2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950</v>
      </c>
      <c r="R266" s="3">
        <v>0</v>
      </c>
      <c r="S266" s="3">
        <v>0</v>
      </c>
      <c r="T266" s="3">
        <f t="shared" si="4"/>
        <v>36374132</v>
      </c>
    </row>
    <row r="267" spans="1:20" x14ac:dyDescent="0.25">
      <c r="A267" s="2">
        <v>45923</v>
      </c>
      <c r="B267" s="3">
        <v>0</v>
      </c>
      <c r="C267" s="3">
        <v>12659848</v>
      </c>
      <c r="D267" s="3">
        <v>0</v>
      </c>
      <c r="E267" s="3">
        <v>4357531</v>
      </c>
      <c r="F267" s="3">
        <v>0</v>
      </c>
      <c r="G267" s="3">
        <v>0</v>
      </c>
      <c r="H267" s="3">
        <v>14</v>
      </c>
      <c r="I267" s="3">
        <v>0</v>
      </c>
      <c r="J267" s="3">
        <v>11</v>
      </c>
      <c r="K267" s="3">
        <v>0</v>
      </c>
      <c r="L267" s="3">
        <v>0</v>
      </c>
      <c r="M267" s="3">
        <v>0</v>
      </c>
      <c r="N267" s="3">
        <v>510</v>
      </c>
      <c r="O267" s="3">
        <v>0</v>
      </c>
      <c r="P267" s="3">
        <v>0</v>
      </c>
      <c r="Q267" s="3">
        <v>38</v>
      </c>
      <c r="R267" s="3">
        <v>0</v>
      </c>
      <c r="S267" s="3">
        <v>0</v>
      </c>
      <c r="T267" s="3">
        <f t="shared" si="4"/>
        <v>17017952</v>
      </c>
    </row>
    <row r="268" spans="1:20" x14ac:dyDescent="0.25">
      <c r="A268" s="2">
        <v>45924</v>
      </c>
      <c r="B268" s="3">
        <v>0</v>
      </c>
      <c r="C268" s="3">
        <v>9944163</v>
      </c>
      <c r="D268" s="3">
        <v>0</v>
      </c>
      <c r="E268" s="3">
        <v>13564188</v>
      </c>
      <c r="F268" s="3">
        <v>4718</v>
      </c>
      <c r="G268" s="3">
        <v>0</v>
      </c>
      <c r="H268" s="3">
        <v>3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23231</v>
      </c>
      <c r="O268" s="3">
        <v>0</v>
      </c>
      <c r="P268" s="3">
        <v>0</v>
      </c>
      <c r="Q268" s="3">
        <v>50</v>
      </c>
      <c r="R268" s="3">
        <v>0</v>
      </c>
      <c r="S268" s="3">
        <v>0</v>
      </c>
      <c r="T268" s="3">
        <f t="shared" si="4"/>
        <v>23536353</v>
      </c>
    </row>
    <row r="269" spans="1:20" x14ac:dyDescent="0.25">
      <c r="A269" s="2">
        <v>45925</v>
      </c>
      <c r="B269" s="3">
        <v>0</v>
      </c>
      <c r="C269" s="3">
        <v>19977246</v>
      </c>
      <c r="D269" s="3">
        <v>0</v>
      </c>
      <c r="E269" s="3">
        <v>4157047</v>
      </c>
      <c r="F269" s="3">
        <v>37</v>
      </c>
      <c r="G269" s="3">
        <v>0</v>
      </c>
      <c r="H269" s="3">
        <v>190</v>
      </c>
      <c r="I269" s="3">
        <v>0</v>
      </c>
      <c r="J269" s="3">
        <v>13115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83</v>
      </c>
      <c r="R269" s="3">
        <v>0</v>
      </c>
      <c r="S269" s="3">
        <v>0</v>
      </c>
      <c r="T269" s="3">
        <f t="shared" si="4"/>
        <v>24147718</v>
      </c>
    </row>
    <row r="270" spans="1:20" x14ac:dyDescent="0.25">
      <c r="A270" s="2">
        <v>45926</v>
      </c>
      <c r="B270" s="3">
        <v>0</v>
      </c>
      <c r="C270" s="3">
        <v>29206913</v>
      </c>
      <c r="D270" s="3">
        <v>0</v>
      </c>
      <c r="E270" s="3">
        <v>1051315</v>
      </c>
      <c r="F270" s="3">
        <v>0</v>
      </c>
      <c r="G270" s="3">
        <v>0</v>
      </c>
      <c r="H270" s="3">
        <v>1</v>
      </c>
      <c r="I270" s="3">
        <v>0</v>
      </c>
      <c r="J270" s="3">
        <v>169296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108</v>
      </c>
      <c r="R270" s="3">
        <v>0</v>
      </c>
      <c r="S270" s="3">
        <v>0</v>
      </c>
      <c r="T270" s="3">
        <f t="shared" si="4"/>
        <v>30427633</v>
      </c>
    </row>
    <row r="271" spans="1:20" x14ac:dyDescent="0.25">
      <c r="A271" s="2">
        <v>45927</v>
      </c>
      <c r="B271" s="3">
        <v>0</v>
      </c>
      <c r="C271" s="3">
        <v>1865030</v>
      </c>
      <c r="D271" s="3">
        <v>0</v>
      </c>
      <c r="E271" s="3">
        <v>19814</v>
      </c>
      <c r="F271" s="3">
        <v>0</v>
      </c>
      <c r="G271" s="3">
        <v>0</v>
      </c>
      <c r="H271" s="3">
        <v>0</v>
      </c>
      <c r="I271" s="3">
        <v>0</v>
      </c>
      <c r="J271" s="3">
        <v>2458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31</v>
      </c>
      <c r="R271" s="3">
        <v>0</v>
      </c>
      <c r="S271" s="3">
        <v>0</v>
      </c>
      <c r="T271" s="3">
        <f t="shared" si="4"/>
        <v>1887333</v>
      </c>
    </row>
    <row r="272" spans="1:20" x14ac:dyDescent="0.25">
      <c r="A272" s="2">
        <v>45928</v>
      </c>
      <c r="B272" s="3">
        <v>0</v>
      </c>
      <c r="C272" s="3">
        <v>2619978</v>
      </c>
      <c r="D272" s="3">
        <v>0</v>
      </c>
      <c r="E272" s="3">
        <v>38153</v>
      </c>
      <c r="F272" s="3">
        <v>167</v>
      </c>
      <c r="G272" s="3">
        <v>0</v>
      </c>
      <c r="H272" s="3">
        <v>0</v>
      </c>
      <c r="I272" s="3">
        <v>0</v>
      </c>
      <c r="J272" s="3">
        <v>227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12</v>
      </c>
      <c r="R272" s="3">
        <v>0</v>
      </c>
      <c r="S272" s="3">
        <v>0</v>
      </c>
      <c r="T272" s="3">
        <f t="shared" si="4"/>
        <v>2658537</v>
      </c>
    </row>
    <row r="273" spans="1:20" x14ac:dyDescent="0.25">
      <c r="A273" s="2">
        <v>45929</v>
      </c>
      <c r="B273" s="3">
        <v>0</v>
      </c>
      <c r="C273" s="3">
        <v>17519811</v>
      </c>
      <c r="D273" s="3">
        <v>0</v>
      </c>
      <c r="E273" s="3">
        <v>1339836</v>
      </c>
      <c r="F273" s="3">
        <v>5</v>
      </c>
      <c r="G273" s="3">
        <v>0</v>
      </c>
      <c r="H273" s="3">
        <v>0</v>
      </c>
      <c r="I273" s="3">
        <v>0</v>
      </c>
      <c r="J273" s="3">
        <v>362739</v>
      </c>
      <c r="K273" s="3">
        <v>0</v>
      </c>
      <c r="L273" s="3">
        <v>0</v>
      </c>
      <c r="M273" s="3">
        <v>0</v>
      </c>
      <c r="N273" s="3">
        <v>417</v>
      </c>
      <c r="O273" s="3">
        <v>0</v>
      </c>
      <c r="P273" s="3">
        <v>0</v>
      </c>
      <c r="Q273" s="3">
        <v>55</v>
      </c>
      <c r="R273" s="3">
        <v>0</v>
      </c>
      <c r="S273" s="3">
        <v>0</v>
      </c>
      <c r="T273" s="3">
        <f t="shared" si="4"/>
        <v>19222863</v>
      </c>
    </row>
    <row r="274" spans="1:20" x14ac:dyDescent="0.25">
      <c r="A274" s="2">
        <v>45930</v>
      </c>
      <c r="B274" s="3">
        <v>0</v>
      </c>
      <c r="C274" s="3">
        <v>14455908</v>
      </c>
      <c r="D274" s="3">
        <v>0</v>
      </c>
      <c r="E274" s="3">
        <v>5645102</v>
      </c>
      <c r="F274" s="3">
        <v>0</v>
      </c>
      <c r="G274" s="3">
        <v>0</v>
      </c>
      <c r="H274" s="3">
        <v>255</v>
      </c>
      <c r="I274" s="3">
        <v>0</v>
      </c>
      <c r="J274" s="3">
        <v>107811</v>
      </c>
      <c r="K274" s="3">
        <v>0</v>
      </c>
      <c r="L274" s="3">
        <v>0</v>
      </c>
      <c r="M274" s="3">
        <v>0</v>
      </c>
      <c r="N274" s="3">
        <v>21629</v>
      </c>
      <c r="O274" s="3">
        <v>0</v>
      </c>
      <c r="P274" s="3">
        <v>0</v>
      </c>
      <c r="Q274" s="3">
        <v>96</v>
      </c>
      <c r="R274" s="3">
        <v>0</v>
      </c>
      <c r="S274" s="3">
        <v>0</v>
      </c>
      <c r="T274" s="3">
        <f t="shared" si="4"/>
        <v>20230801</v>
      </c>
    </row>
    <row r="275" spans="1:20" x14ac:dyDescent="0.25">
      <c r="A275" s="2">
        <v>45931</v>
      </c>
      <c r="B275" s="3">
        <v>0</v>
      </c>
      <c r="C275" s="3">
        <v>26256889</v>
      </c>
      <c r="D275" s="3">
        <v>0</v>
      </c>
      <c r="E275" s="3">
        <v>14631401</v>
      </c>
      <c r="F275" s="3">
        <v>15</v>
      </c>
      <c r="G275" s="3">
        <v>0</v>
      </c>
      <c r="H275" s="3">
        <v>1988</v>
      </c>
      <c r="I275" s="3">
        <v>0</v>
      </c>
      <c r="J275" s="3">
        <v>486690</v>
      </c>
      <c r="K275" s="3">
        <v>0</v>
      </c>
      <c r="L275" s="3">
        <v>0</v>
      </c>
      <c r="M275" s="3">
        <v>0</v>
      </c>
      <c r="N275" s="3">
        <v>47</v>
      </c>
      <c r="O275" s="3">
        <v>0</v>
      </c>
      <c r="P275" s="3">
        <v>0</v>
      </c>
      <c r="Q275" s="3">
        <v>25</v>
      </c>
      <c r="R275" s="3">
        <v>0</v>
      </c>
      <c r="S275" s="3">
        <v>0</v>
      </c>
      <c r="T275" s="3">
        <f t="shared" si="4"/>
        <v>41377055</v>
      </c>
    </row>
    <row r="276" spans="1:20" x14ac:dyDescent="0.25">
      <c r="A276" s="2">
        <v>45932</v>
      </c>
      <c r="B276" s="3">
        <v>0</v>
      </c>
      <c r="C276" s="3">
        <v>25158916</v>
      </c>
      <c r="D276" s="3">
        <v>0</v>
      </c>
      <c r="E276" s="3">
        <v>6358333</v>
      </c>
      <c r="F276" s="3">
        <v>38296</v>
      </c>
      <c r="G276" s="3">
        <v>0</v>
      </c>
      <c r="H276" s="3">
        <v>1075</v>
      </c>
      <c r="I276" s="3">
        <v>0</v>
      </c>
      <c r="J276" s="3">
        <v>128453</v>
      </c>
      <c r="K276" s="3">
        <v>0</v>
      </c>
      <c r="L276" s="3">
        <v>0</v>
      </c>
      <c r="M276" s="3">
        <v>0</v>
      </c>
      <c r="N276" s="3">
        <v>2496</v>
      </c>
      <c r="O276" s="3">
        <v>0</v>
      </c>
      <c r="P276" s="3">
        <v>0</v>
      </c>
      <c r="Q276" s="3">
        <v>41</v>
      </c>
      <c r="R276" s="3">
        <v>0</v>
      </c>
      <c r="S276" s="3">
        <v>0</v>
      </c>
      <c r="T276" s="3">
        <f t="shared" si="4"/>
        <v>31687610</v>
      </c>
    </row>
    <row r="277" spans="1:20" x14ac:dyDescent="0.25">
      <c r="A277" s="2">
        <v>45933</v>
      </c>
      <c r="B277" s="3">
        <v>0</v>
      </c>
      <c r="C277" s="3">
        <v>23546101</v>
      </c>
      <c r="D277" s="3">
        <v>0</v>
      </c>
      <c r="E277" s="3">
        <v>12048279</v>
      </c>
      <c r="F277" s="3">
        <v>8066</v>
      </c>
      <c r="G277" s="3">
        <v>0</v>
      </c>
      <c r="H277" s="3">
        <v>216</v>
      </c>
      <c r="I277" s="3">
        <v>0</v>
      </c>
      <c r="J277" s="3">
        <v>71634</v>
      </c>
      <c r="K277" s="3">
        <v>0</v>
      </c>
      <c r="L277" s="3">
        <v>0</v>
      </c>
      <c r="M277" s="3">
        <v>0</v>
      </c>
      <c r="N277" s="3">
        <v>28</v>
      </c>
      <c r="O277" s="3">
        <v>0</v>
      </c>
      <c r="P277" s="3">
        <v>0</v>
      </c>
      <c r="Q277" s="3">
        <v>88</v>
      </c>
      <c r="R277" s="3">
        <v>0</v>
      </c>
      <c r="S277" s="3">
        <v>0</v>
      </c>
      <c r="T277" s="3">
        <f t="shared" si="4"/>
        <v>35674412</v>
      </c>
    </row>
    <row r="278" spans="1:20" x14ac:dyDescent="0.25">
      <c r="A278" s="2">
        <v>45934</v>
      </c>
      <c r="B278" s="3">
        <v>0</v>
      </c>
      <c r="C278" s="3">
        <v>3005857</v>
      </c>
      <c r="D278" s="3">
        <v>0</v>
      </c>
      <c r="E278" s="3">
        <v>3450352</v>
      </c>
      <c r="F278" s="3">
        <v>5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28</v>
      </c>
      <c r="O278" s="3">
        <v>0</v>
      </c>
      <c r="P278" s="3">
        <v>0</v>
      </c>
      <c r="Q278" s="3">
        <v>37</v>
      </c>
      <c r="R278" s="3">
        <v>0</v>
      </c>
      <c r="S278" s="3">
        <v>0</v>
      </c>
      <c r="T278" s="3">
        <f t="shared" si="4"/>
        <v>6456279</v>
      </c>
    </row>
    <row r="279" spans="1:20" x14ac:dyDescent="0.25">
      <c r="A279" s="2">
        <v>45935</v>
      </c>
      <c r="B279" s="3">
        <v>0</v>
      </c>
      <c r="C279" s="3">
        <v>4537093</v>
      </c>
      <c r="D279" s="3">
        <v>0</v>
      </c>
      <c r="E279" s="3">
        <v>33724</v>
      </c>
      <c r="F279" s="3">
        <v>0</v>
      </c>
      <c r="G279" s="3">
        <v>0</v>
      </c>
      <c r="H279" s="3">
        <v>0</v>
      </c>
      <c r="I279" s="3">
        <v>0</v>
      </c>
      <c r="J279" s="3">
        <v>22216</v>
      </c>
      <c r="K279" s="3">
        <v>0</v>
      </c>
      <c r="L279" s="3">
        <v>2020</v>
      </c>
      <c r="M279" s="3">
        <v>0</v>
      </c>
      <c r="N279" s="3">
        <v>5</v>
      </c>
      <c r="O279" s="3">
        <v>0</v>
      </c>
      <c r="P279" s="3">
        <v>0</v>
      </c>
      <c r="Q279" s="3">
        <v>33</v>
      </c>
      <c r="R279" s="3">
        <v>0</v>
      </c>
      <c r="S279" s="3">
        <v>0</v>
      </c>
      <c r="T279" s="3">
        <f t="shared" si="4"/>
        <v>4595091</v>
      </c>
    </row>
    <row r="280" spans="1:20" x14ac:dyDescent="0.25">
      <c r="A280" s="2">
        <v>45936</v>
      </c>
      <c r="B280" s="3">
        <v>0</v>
      </c>
      <c r="C280" s="3">
        <v>27092614</v>
      </c>
      <c r="D280" s="3">
        <v>0</v>
      </c>
      <c r="E280" s="3">
        <v>3014066</v>
      </c>
      <c r="F280" s="3">
        <v>15544</v>
      </c>
      <c r="G280" s="3">
        <v>0</v>
      </c>
      <c r="H280" s="3">
        <v>536</v>
      </c>
      <c r="I280" s="3">
        <v>0</v>
      </c>
      <c r="J280" s="3">
        <v>2</v>
      </c>
      <c r="K280" s="3">
        <v>0</v>
      </c>
      <c r="L280" s="3">
        <v>0</v>
      </c>
      <c r="M280" s="3">
        <v>0</v>
      </c>
      <c r="N280" s="3">
        <v>3548</v>
      </c>
      <c r="O280" s="3">
        <v>0</v>
      </c>
      <c r="P280" s="3">
        <v>0</v>
      </c>
      <c r="Q280" s="3">
        <v>42</v>
      </c>
      <c r="R280" s="3">
        <v>0</v>
      </c>
      <c r="S280" s="3">
        <v>0</v>
      </c>
      <c r="T280" s="3">
        <f t="shared" si="4"/>
        <v>30126352</v>
      </c>
    </row>
    <row r="281" spans="1:20" x14ac:dyDescent="0.25">
      <c r="A281" s="2">
        <v>45937</v>
      </c>
      <c r="B281" s="3">
        <v>0</v>
      </c>
      <c r="C281" s="3">
        <v>16913581</v>
      </c>
      <c r="D281" s="3">
        <v>0</v>
      </c>
      <c r="E281" s="3">
        <v>1522095</v>
      </c>
      <c r="F281" s="3">
        <v>6878</v>
      </c>
      <c r="G281" s="3">
        <v>0</v>
      </c>
      <c r="H281" s="3">
        <v>171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542</v>
      </c>
      <c r="O281" s="3">
        <v>0</v>
      </c>
      <c r="P281" s="3">
        <v>0</v>
      </c>
      <c r="Q281" s="3">
        <v>36</v>
      </c>
      <c r="R281" s="3">
        <v>0</v>
      </c>
      <c r="S281" s="3">
        <v>0</v>
      </c>
      <c r="T281" s="3">
        <f t="shared" si="4"/>
        <v>18443303</v>
      </c>
    </row>
    <row r="282" spans="1:20" x14ac:dyDescent="0.25">
      <c r="A282" s="2">
        <v>45938</v>
      </c>
      <c r="B282" s="3">
        <v>0</v>
      </c>
      <c r="C282" s="3">
        <v>12190680</v>
      </c>
      <c r="D282" s="3">
        <v>0</v>
      </c>
      <c r="E282" s="3">
        <v>13653672</v>
      </c>
      <c r="F282" s="3">
        <v>3995</v>
      </c>
      <c r="G282" s="3">
        <v>0</v>
      </c>
      <c r="H282" s="3">
        <v>78</v>
      </c>
      <c r="I282" s="3">
        <v>0</v>
      </c>
      <c r="J282" s="3">
        <v>147999</v>
      </c>
      <c r="K282" s="3">
        <v>0</v>
      </c>
      <c r="L282" s="3">
        <v>0</v>
      </c>
      <c r="M282" s="3">
        <v>0</v>
      </c>
      <c r="N282" s="3">
        <v>2961</v>
      </c>
      <c r="O282" s="3">
        <v>0</v>
      </c>
      <c r="P282" s="3">
        <v>0</v>
      </c>
      <c r="Q282" s="3">
        <v>25</v>
      </c>
      <c r="R282" s="3">
        <v>0</v>
      </c>
      <c r="S282" s="3">
        <v>0</v>
      </c>
      <c r="T282" s="3">
        <f t="shared" si="4"/>
        <v>25999410</v>
      </c>
    </row>
    <row r="283" spans="1:20" x14ac:dyDescent="0.25">
      <c r="A283" s="2">
        <v>45939</v>
      </c>
      <c r="B283" s="3">
        <v>0</v>
      </c>
      <c r="C283" s="3">
        <v>14566785</v>
      </c>
      <c r="D283" s="3">
        <v>0</v>
      </c>
      <c r="E283" s="3">
        <v>7141027</v>
      </c>
      <c r="F283" s="3">
        <v>1943</v>
      </c>
      <c r="G283" s="3">
        <v>0</v>
      </c>
      <c r="H283" s="3">
        <v>11</v>
      </c>
      <c r="I283" s="3">
        <v>0</v>
      </c>
      <c r="J283" s="3">
        <v>6092</v>
      </c>
      <c r="K283" s="3">
        <v>0</v>
      </c>
      <c r="L283" s="3">
        <v>34800</v>
      </c>
      <c r="M283" s="3">
        <v>0</v>
      </c>
      <c r="N283" s="3">
        <v>3929</v>
      </c>
      <c r="O283" s="3">
        <v>0</v>
      </c>
      <c r="P283" s="3">
        <v>0</v>
      </c>
      <c r="Q283" s="3">
        <v>67</v>
      </c>
      <c r="R283" s="3">
        <v>0</v>
      </c>
      <c r="S283" s="3">
        <v>0</v>
      </c>
      <c r="T283" s="3">
        <f t="shared" si="4"/>
        <v>21754654</v>
      </c>
    </row>
    <row r="284" spans="1:20" x14ac:dyDescent="0.25">
      <c r="A284" s="2">
        <v>45940</v>
      </c>
      <c r="B284" s="3">
        <v>0</v>
      </c>
      <c r="C284" s="3">
        <v>22023721</v>
      </c>
      <c r="D284" s="3">
        <v>0</v>
      </c>
      <c r="E284" s="3">
        <v>3984347</v>
      </c>
      <c r="F284" s="3">
        <v>11352</v>
      </c>
      <c r="G284" s="3">
        <v>0</v>
      </c>
      <c r="H284" s="3">
        <v>6</v>
      </c>
      <c r="I284" s="3">
        <v>0</v>
      </c>
      <c r="J284" s="3">
        <v>98669</v>
      </c>
      <c r="K284" s="3">
        <v>0</v>
      </c>
      <c r="L284" s="3">
        <v>31132</v>
      </c>
      <c r="M284" s="3">
        <v>0</v>
      </c>
      <c r="N284" s="3">
        <v>41911</v>
      </c>
      <c r="O284" s="3">
        <v>0</v>
      </c>
      <c r="P284" s="3">
        <v>0</v>
      </c>
      <c r="Q284" s="3">
        <v>24</v>
      </c>
      <c r="R284" s="3">
        <v>0</v>
      </c>
      <c r="S284" s="3">
        <v>0</v>
      </c>
      <c r="T284" s="3">
        <f t="shared" si="4"/>
        <v>26191162</v>
      </c>
    </row>
    <row r="285" spans="1:20" x14ac:dyDescent="0.25">
      <c r="A285" s="2">
        <v>45941</v>
      </c>
      <c r="B285" s="3">
        <v>0</v>
      </c>
      <c r="C285" s="3">
        <v>5878183</v>
      </c>
      <c r="D285" s="3">
        <v>0</v>
      </c>
      <c r="E285" s="3">
        <v>125570</v>
      </c>
      <c r="F285" s="3">
        <v>84</v>
      </c>
      <c r="G285" s="3">
        <v>0</v>
      </c>
      <c r="H285" s="3">
        <v>0</v>
      </c>
      <c r="I285" s="3">
        <v>0</v>
      </c>
      <c r="J285" s="3">
        <v>28367</v>
      </c>
      <c r="K285" s="3">
        <v>0</v>
      </c>
      <c r="L285" s="3">
        <v>126732</v>
      </c>
      <c r="M285" s="3">
        <v>0</v>
      </c>
      <c r="N285" s="3">
        <v>838</v>
      </c>
      <c r="O285" s="3">
        <v>0</v>
      </c>
      <c r="P285" s="3">
        <v>0</v>
      </c>
      <c r="Q285" s="3">
        <v>36</v>
      </c>
      <c r="R285" s="3">
        <v>0</v>
      </c>
      <c r="S285" s="3">
        <v>0</v>
      </c>
      <c r="T285" s="3">
        <f t="shared" si="4"/>
        <v>6159810</v>
      </c>
    </row>
    <row r="286" spans="1:20" x14ac:dyDescent="0.25">
      <c r="A286" s="2">
        <v>45942</v>
      </c>
      <c r="B286" s="3">
        <v>0</v>
      </c>
      <c r="C286" s="3">
        <v>7368601</v>
      </c>
      <c r="D286" s="3">
        <v>0</v>
      </c>
      <c r="E286" s="3">
        <v>74952</v>
      </c>
      <c r="F286" s="3">
        <v>119</v>
      </c>
      <c r="G286" s="3">
        <v>0</v>
      </c>
      <c r="H286" s="3">
        <v>1579</v>
      </c>
      <c r="I286" s="3">
        <v>0</v>
      </c>
      <c r="J286" s="3">
        <v>2</v>
      </c>
      <c r="K286" s="3">
        <v>0</v>
      </c>
      <c r="L286" s="3">
        <v>10720</v>
      </c>
      <c r="M286" s="3">
        <v>0</v>
      </c>
      <c r="N286" s="3">
        <v>283</v>
      </c>
      <c r="O286" s="3">
        <v>0</v>
      </c>
      <c r="P286" s="3">
        <v>0</v>
      </c>
      <c r="Q286" s="3">
        <v>32</v>
      </c>
      <c r="R286" s="3">
        <v>0</v>
      </c>
      <c r="S286" s="3">
        <v>0</v>
      </c>
      <c r="T286" s="3">
        <f t="shared" si="4"/>
        <v>7456288</v>
      </c>
    </row>
    <row r="287" spans="1:20" x14ac:dyDescent="0.25">
      <c r="A287" s="2">
        <v>45943</v>
      </c>
      <c r="B287" s="3">
        <v>46</v>
      </c>
      <c r="C287" s="3">
        <v>23435260</v>
      </c>
      <c r="D287" s="3">
        <v>0</v>
      </c>
      <c r="E287" s="3">
        <v>20546911</v>
      </c>
      <c r="F287" s="3">
        <v>4</v>
      </c>
      <c r="G287" s="3">
        <v>0</v>
      </c>
      <c r="H287" s="3">
        <v>10</v>
      </c>
      <c r="I287" s="3">
        <v>0</v>
      </c>
      <c r="J287" s="3">
        <v>17592</v>
      </c>
      <c r="K287" s="3">
        <v>0</v>
      </c>
      <c r="L287" s="3">
        <v>0</v>
      </c>
      <c r="M287" s="3">
        <v>0</v>
      </c>
      <c r="N287" s="3">
        <v>1307</v>
      </c>
      <c r="O287" s="3">
        <v>0</v>
      </c>
      <c r="P287" s="3">
        <v>0</v>
      </c>
      <c r="Q287" s="3">
        <v>16</v>
      </c>
      <c r="R287" s="3">
        <v>0</v>
      </c>
      <c r="S287" s="3">
        <v>0</v>
      </c>
      <c r="T287" s="3">
        <f t="shared" si="4"/>
        <v>44001146</v>
      </c>
    </row>
    <row r="288" spans="1:20" x14ac:dyDescent="0.25">
      <c r="A288" s="2">
        <v>45944</v>
      </c>
      <c r="B288" s="3">
        <v>0</v>
      </c>
      <c r="C288" s="3">
        <v>27599613</v>
      </c>
      <c r="D288" s="3">
        <v>0</v>
      </c>
      <c r="E288" s="3">
        <v>12591223</v>
      </c>
      <c r="F288" s="3">
        <v>33781</v>
      </c>
      <c r="G288" s="3">
        <v>0</v>
      </c>
      <c r="H288" s="3">
        <v>65901</v>
      </c>
      <c r="I288" s="3">
        <v>0</v>
      </c>
      <c r="J288" s="3">
        <v>4939</v>
      </c>
      <c r="K288" s="3">
        <v>0</v>
      </c>
      <c r="L288" s="3">
        <v>89196</v>
      </c>
      <c r="M288" s="3">
        <v>0</v>
      </c>
      <c r="N288" s="3">
        <v>1527</v>
      </c>
      <c r="O288" s="3">
        <v>0</v>
      </c>
      <c r="P288" s="3">
        <v>0</v>
      </c>
      <c r="Q288" s="3">
        <v>16</v>
      </c>
      <c r="R288" s="3">
        <v>0</v>
      </c>
      <c r="S288" s="3">
        <v>0</v>
      </c>
      <c r="T288" s="3">
        <f t="shared" si="4"/>
        <v>40386196</v>
      </c>
    </row>
    <row r="289" spans="1:20" x14ac:dyDescent="0.25">
      <c r="A289" s="2">
        <v>45945</v>
      </c>
      <c r="B289" s="3">
        <v>0</v>
      </c>
      <c r="C289" s="3">
        <v>21009709</v>
      </c>
      <c r="D289" s="3">
        <v>0</v>
      </c>
      <c r="E289" s="3">
        <v>3645714</v>
      </c>
      <c r="F289" s="3">
        <v>144</v>
      </c>
      <c r="G289" s="3">
        <v>0</v>
      </c>
      <c r="H289" s="3">
        <v>1</v>
      </c>
      <c r="I289" s="3">
        <v>0</v>
      </c>
      <c r="J289" s="3">
        <v>78980</v>
      </c>
      <c r="K289" s="3">
        <v>0</v>
      </c>
      <c r="L289" s="3">
        <v>474</v>
      </c>
      <c r="M289" s="3">
        <v>0</v>
      </c>
      <c r="N289" s="3">
        <v>4000</v>
      </c>
      <c r="O289" s="3">
        <v>0</v>
      </c>
      <c r="P289" s="3">
        <v>0</v>
      </c>
      <c r="Q289" s="3">
        <v>3</v>
      </c>
      <c r="R289" s="3">
        <v>0</v>
      </c>
      <c r="S289" s="3">
        <v>0</v>
      </c>
      <c r="T289" s="3">
        <f t="shared" si="4"/>
        <v>24739025</v>
      </c>
    </row>
    <row r="290" spans="1:20" x14ac:dyDescent="0.25">
      <c r="A290" s="2">
        <v>45946</v>
      </c>
      <c r="B290" s="3">
        <v>0</v>
      </c>
      <c r="C290" s="3">
        <v>18766451</v>
      </c>
      <c r="D290" s="3">
        <v>0</v>
      </c>
      <c r="E290" s="3">
        <v>17274521</v>
      </c>
      <c r="F290" s="3">
        <v>304</v>
      </c>
      <c r="G290" s="3">
        <v>0</v>
      </c>
      <c r="H290" s="3">
        <v>133</v>
      </c>
      <c r="I290" s="3">
        <v>0</v>
      </c>
      <c r="J290" s="3">
        <v>4490</v>
      </c>
      <c r="K290" s="3">
        <v>0</v>
      </c>
      <c r="L290" s="3">
        <v>8203</v>
      </c>
      <c r="M290" s="3">
        <v>0</v>
      </c>
      <c r="N290" s="3">
        <v>0</v>
      </c>
      <c r="O290" s="3">
        <v>0</v>
      </c>
      <c r="P290" s="3">
        <v>0</v>
      </c>
      <c r="Q290" s="3">
        <v>13</v>
      </c>
      <c r="R290" s="3">
        <v>0</v>
      </c>
      <c r="S290" s="3">
        <v>0</v>
      </c>
      <c r="T290" s="3">
        <f t="shared" si="4"/>
        <v>36054115</v>
      </c>
    </row>
    <row r="291" spans="1:20" x14ac:dyDescent="0.25">
      <c r="A291" s="2">
        <v>45947</v>
      </c>
      <c r="B291" s="3">
        <v>149</v>
      </c>
      <c r="C291" s="3">
        <v>51675654</v>
      </c>
      <c r="D291" s="3">
        <v>0</v>
      </c>
      <c r="E291" s="3">
        <v>6081003</v>
      </c>
      <c r="F291" s="3">
        <v>47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1</v>
      </c>
      <c r="R291" s="3">
        <v>0</v>
      </c>
      <c r="S291" s="3">
        <v>0</v>
      </c>
      <c r="T291" s="3">
        <f t="shared" si="4"/>
        <v>57756854</v>
      </c>
    </row>
    <row r="292" spans="1:20" x14ac:dyDescent="0.25">
      <c r="A292" s="2">
        <v>45948</v>
      </c>
      <c r="B292" s="3">
        <v>0</v>
      </c>
      <c r="C292" s="3">
        <v>4400932</v>
      </c>
      <c r="D292" s="3">
        <v>0</v>
      </c>
      <c r="E292" s="3">
        <v>74267</v>
      </c>
      <c r="F292" s="3">
        <v>0</v>
      </c>
      <c r="G292" s="3">
        <v>0</v>
      </c>
      <c r="H292" s="3">
        <v>0</v>
      </c>
      <c r="I292" s="3">
        <v>0</v>
      </c>
      <c r="J292" s="3">
        <v>68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45</v>
      </c>
      <c r="R292" s="3">
        <v>0</v>
      </c>
      <c r="S292" s="3">
        <v>0</v>
      </c>
      <c r="T292" s="3">
        <f t="shared" si="4"/>
        <v>4475312</v>
      </c>
    </row>
    <row r="293" spans="1:20" x14ac:dyDescent="0.25">
      <c r="A293" s="2">
        <v>45949</v>
      </c>
      <c r="B293" s="3">
        <v>0</v>
      </c>
      <c r="C293" s="3">
        <v>3798113</v>
      </c>
      <c r="D293" s="3">
        <v>0</v>
      </c>
      <c r="E293" s="3">
        <v>18842</v>
      </c>
      <c r="F293" s="3">
        <v>0</v>
      </c>
      <c r="G293" s="3">
        <v>0</v>
      </c>
      <c r="H293" s="3">
        <v>0</v>
      </c>
      <c r="I293" s="3">
        <v>0</v>
      </c>
      <c r="J293" s="3">
        <v>4905</v>
      </c>
      <c r="K293" s="3">
        <v>0</v>
      </c>
      <c r="L293" s="3">
        <v>0</v>
      </c>
      <c r="M293" s="3">
        <v>0</v>
      </c>
      <c r="N293" s="3">
        <v>72</v>
      </c>
      <c r="O293" s="3">
        <v>0</v>
      </c>
      <c r="P293" s="3">
        <v>0</v>
      </c>
      <c r="Q293" s="3">
        <v>1</v>
      </c>
      <c r="R293" s="3">
        <v>0</v>
      </c>
      <c r="S293" s="3">
        <v>0</v>
      </c>
      <c r="T293" s="3">
        <f t="shared" si="4"/>
        <v>3821933</v>
      </c>
    </row>
    <row r="294" spans="1:20" x14ac:dyDescent="0.25">
      <c r="A294" s="2">
        <v>45950</v>
      </c>
      <c r="B294" s="3">
        <v>0</v>
      </c>
      <c r="C294" s="3">
        <v>34753391</v>
      </c>
      <c r="D294" s="3">
        <v>0</v>
      </c>
      <c r="E294" s="3">
        <v>6626998</v>
      </c>
      <c r="F294" s="3">
        <v>1008</v>
      </c>
      <c r="G294" s="3">
        <v>0</v>
      </c>
      <c r="H294" s="3">
        <v>29</v>
      </c>
      <c r="I294" s="3">
        <v>0</v>
      </c>
      <c r="J294" s="3">
        <v>5068</v>
      </c>
      <c r="K294" s="3">
        <v>0</v>
      </c>
      <c r="L294" s="3">
        <v>13386</v>
      </c>
      <c r="M294" s="3">
        <v>0</v>
      </c>
      <c r="N294" s="3">
        <v>312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f t="shared" si="4"/>
        <v>41400192</v>
      </c>
    </row>
    <row r="295" spans="1:20" x14ac:dyDescent="0.25">
      <c r="A295" s="2">
        <v>45951</v>
      </c>
      <c r="B295" s="3">
        <v>2</v>
      </c>
      <c r="C295" s="3">
        <v>34232663</v>
      </c>
      <c r="D295" s="3">
        <v>0</v>
      </c>
      <c r="E295" s="3">
        <v>5514629</v>
      </c>
      <c r="F295" s="3">
        <v>30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64426</v>
      </c>
      <c r="M295" s="3">
        <v>0</v>
      </c>
      <c r="N295" s="3">
        <v>1477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f t="shared" si="4"/>
        <v>39813227</v>
      </c>
    </row>
    <row r="296" spans="1:20" x14ac:dyDescent="0.25">
      <c r="A296" s="2">
        <v>45952</v>
      </c>
      <c r="B296" s="3">
        <v>1685</v>
      </c>
      <c r="C296" s="3">
        <v>28831733</v>
      </c>
      <c r="D296" s="3">
        <v>0</v>
      </c>
      <c r="E296" s="3">
        <v>1670139</v>
      </c>
      <c r="F296" s="3">
        <v>0</v>
      </c>
      <c r="G296" s="3">
        <v>0</v>
      </c>
      <c r="H296" s="3">
        <v>225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1</v>
      </c>
      <c r="R296" s="3">
        <v>0</v>
      </c>
      <c r="S296" s="3">
        <v>0</v>
      </c>
      <c r="T296" s="3">
        <f t="shared" si="4"/>
        <v>30503783</v>
      </c>
    </row>
    <row r="297" spans="1:20" x14ac:dyDescent="0.25">
      <c r="A297" s="2">
        <v>45953</v>
      </c>
      <c r="B297" s="3">
        <v>88</v>
      </c>
      <c r="C297" s="3">
        <v>29095950</v>
      </c>
      <c r="D297" s="3">
        <v>0</v>
      </c>
      <c r="E297" s="3">
        <v>10110651</v>
      </c>
      <c r="F297" s="3">
        <v>132</v>
      </c>
      <c r="G297" s="3">
        <v>0</v>
      </c>
      <c r="H297" s="3">
        <v>29</v>
      </c>
      <c r="I297" s="3">
        <v>0</v>
      </c>
      <c r="J297" s="3">
        <v>2</v>
      </c>
      <c r="K297" s="3">
        <v>0</v>
      </c>
      <c r="L297" s="3">
        <v>0</v>
      </c>
      <c r="M297" s="3">
        <v>0</v>
      </c>
      <c r="N297" s="3">
        <v>17</v>
      </c>
      <c r="O297" s="3">
        <v>0</v>
      </c>
      <c r="P297" s="3">
        <v>0</v>
      </c>
      <c r="Q297" s="3">
        <v>1</v>
      </c>
      <c r="R297" s="3">
        <v>0</v>
      </c>
      <c r="S297" s="3">
        <v>0</v>
      </c>
      <c r="T297" s="3">
        <f t="shared" si="4"/>
        <v>39206870</v>
      </c>
    </row>
    <row r="298" spans="1:20" x14ac:dyDescent="0.25">
      <c r="A298" s="2">
        <v>45954</v>
      </c>
      <c r="B298" s="3">
        <v>1966</v>
      </c>
      <c r="C298" s="3">
        <v>24963942</v>
      </c>
      <c r="D298" s="3">
        <v>0</v>
      </c>
      <c r="E298" s="3">
        <v>15635532</v>
      </c>
      <c r="F298" s="3">
        <v>107</v>
      </c>
      <c r="G298" s="3">
        <v>0</v>
      </c>
      <c r="H298" s="3">
        <v>40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31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f t="shared" si="4"/>
        <v>40601618</v>
      </c>
    </row>
    <row r="299" spans="1:20" x14ac:dyDescent="0.25">
      <c r="A299" s="2">
        <v>45955</v>
      </c>
      <c r="B299" s="3">
        <v>0</v>
      </c>
      <c r="C299" s="3">
        <v>2702229</v>
      </c>
      <c r="D299" s="3">
        <v>0</v>
      </c>
      <c r="E299" s="3">
        <v>68911</v>
      </c>
      <c r="F299" s="3">
        <v>86</v>
      </c>
      <c r="G299" s="3">
        <v>0</v>
      </c>
      <c r="H299" s="3">
        <v>3</v>
      </c>
      <c r="I299" s="3">
        <v>0</v>
      </c>
      <c r="J299" s="3">
        <v>47</v>
      </c>
      <c r="K299" s="3">
        <v>0</v>
      </c>
      <c r="L299" s="3">
        <v>0</v>
      </c>
      <c r="M299" s="3">
        <v>0</v>
      </c>
      <c r="N299" s="3">
        <v>6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f t="shared" si="4"/>
        <v>2771282</v>
      </c>
    </row>
    <row r="300" spans="1:20" x14ac:dyDescent="0.25">
      <c r="A300" s="2">
        <v>45956</v>
      </c>
      <c r="B300" s="3">
        <v>0</v>
      </c>
      <c r="C300" s="3">
        <v>3015773</v>
      </c>
      <c r="D300" s="3">
        <v>0</v>
      </c>
      <c r="E300" s="3">
        <v>83898</v>
      </c>
      <c r="F300" s="3">
        <v>81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f t="shared" si="4"/>
        <v>3099752</v>
      </c>
    </row>
    <row r="301" spans="1:20" x14ac:dyDescent="0.25">
      <c r="A301" s="2">
        <v>45957</v>
      </c>
      <c r="B301" s="3">
        <v>14795</v>
      </c>
      <c r="C301" s="3">
        <v>46987478</v>
      </c>
      <c r="D301" s="3">
        <v>0</v>
      </c>
      <c r="E301" s="3">
        <v>3377904</v>
      </c>
      <c r="F301" s="3">
        <v>31679</v>
      </c>
      <c r="G301" s="3">
        <v>0</v>
      </c>
      <c r="H301" s="3">
        <v>14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f t="shared" si="4"/>
        <v>50411870</v>
      </c>
    </row>
    <row r="302" spans="1:20" x14ac:dyDescent="0.25">
      <c r="A302" s="2">
        <v>45958</v>
      </c>
      <c r="B302" s="3">
        <v>10394</v>
      </c>
      <c r="C302" s="3">
        <v>20963007</v>
      </c>
      <c r="D302" s="3">
        <v>0</v>
      </c>
      <c r="E302" s="3">
        <v>6977042</v>
      </c>
      <c r="F302" s="3">
        <v>48</v>
      </c>
      <c r="G302" s="3">
        <v>0</v>
      </c>
      <c r="H302" s="3">
        <v>64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4524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f t="shared" si="4"/>
        <v>27955079</v>
      </c>
    </row>
    <row r="303" spans="1:20" x14ac:dyDescent="0.25">
      <c r="A303" s="2">
        <v>45959</v>
      </c>
      <c r="B303" s="3">
        <v>323385</v>
      </c>
      <c r="C303" s="3">
        <v>40533188</v>
      </c>
      <c r="D303" s="3">
        <v>0</v>
      </c>
      <c r="E303" s="3">
        <v>3393063</v>
      </c>
      <c r="F303" s="3">
        <v>257</v>
      </c>
      <c r="G303" s="3">
        <v>0</v>
      </c>
      <c r="H303" s="3">
        <v>98</v>
      </c>
      <c r="I303" s="3">
        <v>0</v>
      </c>
      <c r="J303" s="3">
        <v>285</v>
      </c>
      <c r="K303" s="3">
        <v>0</v>
      </c>
      <c r="L303" s="3">
        <v>0</v>
      </c>
      <c r="M303" s="3">
        <v>0</v>
      </c>
      <c r="N303" s="3">
        <v>100</v>
      </c>
      <c r="O303" s="3">
        <v>0</v>
      </c>
      <c r="P303" s="3">
        <v>0</v>
      </c>
      <c r="Q303" s="3">
        <v>10</v>
      </c>
      <c r="R303" s="3">
        <v>0</v>
      </c>
      <c r="S303" s="3">
        <v>0</v>
      </c>
      <c r="T303" s="3">
        <f t="shared" si="4"/>
        <v>44250386</v>
      </c>
    </row>
    <row r="304" spans="1:20" x14ac:dyDescent="0.25">
      <c r="A304" s="2">
        <v>45960</v>
      </c>
      <c r="B304" s="3">
        <v>1318553</v>
      </c>
      <c r="C304" s="3">
        <v>37886560</v>
      </c>
      <c r="D304" s="3">
        <v>0</v>
      </c>
      <c r="E304" s="3">
        <v>16651002</v>
      </c>
      <c r="F304" s="3">
        <v>222</v>
      </c>
      <c r="G304" s="3">
        <v>0</v>
      </c>
      <c r="H304" s="3">
        <v>112617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9297</v>
      </c>
      <c r="O304" s="3">
        <v>0</v>
      </c>
      <c r="P304" s="3">
        <v>0</v>
      </c>
      <c r="Q304" s="3">
        <v>16</v>
      </c>
      <c r="R304" s="3">
        <v>0</v>
      </c>
      <c r="S304" s="3">
        <v>0</v>
      </c>
      <c r="T304" s="3">
        <f t="shared" si="4"/>
        <v>55978267</v>
      </c>
    </row>
    <row r="305" spans="1:20" x14ac:dyDescent="0.25">
      <c r="A305" s="2">
        <v>45961</v>
      </c>
      <c r="B305" s="3">
        <v>487288</v>
      </c>
      <c r="C305" s="3">
        <v>42116735</v>
      </c>
      <c r="D305" s="3">
        <v>0</v>
      </c>
      <c r="E305" s="3">
        <v>3741447</v>
      </c>
      <c r="F305" s="3">
        <v>3480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6817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f t="shared" si="4"/>
        <v>46355767</v>
      </c>
    </row>
    <row r="306" spans="1:20" x14ac:dyDescent="0.25">
      <c r="A306" s="2">
        <v>45962</v>
      </c>
      <c r="B306" s="3">
        <v>694</v>
      </c>
      <c r="C306" s="3">
        <v>3118461</v>
      </c>
      <c r="D306" s="3">
        <v>0</v>
      </c>
      <c r="E306" s="3">
        <v>162897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2235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f t="shared" si="4"/>
        <v>3284287</v>
      </c>
    </row>
    <row r="307" spans="1:20" x14ac:dyDescent="0.25">
      <c r="A307" s="2">
        <v>45963</v>
      </c>
      <c r="B307" s="3">
        <v>87</v>
      </c>
      <c r="C307" s="3">
        <v>4170715</v>
      </c>
      <c r="D307" s="3">
        <v>0</v>
      </c>
      <c r="E307" s="3">
        <v>142036</v>
      </c>
      <c r="F307" s="3">
        <v>0</v>
      </c>
      <c r="G307" s="3">
        <v>0</v>
      </c>
      <c r="H307" s="3">
        <v>456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590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f t="shared" si="4"/>
        <v>4313884</v>
      </c>
    </row>
    <row r="308" spans="1:20" x14ac:dyDescent="0.25">
      <c r="A308" s="2">
        <v>45964</v>
      </c>
      <c r="B308" s="3">
        <v>495447</v>
      </c>
      <c r="C308" s="3">
        <v>54743060</v>
      </c>
      <c r="D308" s="3">
        <v>0</v>
      </c>
      <c r="E308" s="3">
        <v>11897690</v>
      </c>
      <c r="F308" s="3">
        <v>10175359</v>
      </c>
      <c r="G308" s="3">
        <v>0</v>
      </c>
      <c r="H308" s="3">
        <v>169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1391</v>
      </c>
      <c r="O308" s="3">
        <v>0</v>
      </c>
      <c r="P308" s="3">
        <v>0</v>
      </c>
      <c r="Q308" s="3">
        <v>2250</v>
      </c>
      <c r="R308" s="3">
        <v>0</v>
      </c>
      <c r="S308" s="3">
        <v>0</v>
      </c>
      <c r="T308" s="3">
        <f t="shared" si="4"/>
        <v>77315366</v>
      </c>
    </row>
    <row r="309" spans="1:20" x14ac:dyDescent="0.25">
      <c r="A309" s="2">
        <v>45965</v>
      </c>
      <c r="B309" s="3">
        <v>372642</v>
      </c>
      <c r="C309" s="3">
        <v>32284658</v>
      </c>
      <c r="D309" s="3">
        <v>0</v>
      </c>
      <c r="E309" s="3">
        <v>11422065</v>
      </c>
      <c r="F309" s="3">
        <v>257</v>
      </c>
      <c r="G309" s="3">
        <v>0</v>
      </c>
      <c r="H309" s="3">
        <v>8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119</v>
      </c>
      <c r="O309" s="3">
        <v>0</v>
      </c>
      <c r="P309" s="3">
        <v>0</v>
      </c>
      <c r="Q309" s="3">
        <v>1</v>
      </c>
      <c r="R309" s="3">
        <v>0</v>
      </c>
      <c r="S309" s="3">
        <v>0</v>
      </c>
      <c r="T309" s="3">
        <f t="shared" si="4"/>
        <v>44079750</v>
      </c>
    </row>
    <row r="310" spans="1:20" x14ac:dyDescent="0.25">
      <c r="A310" s="2">
        <v>45966</v>
      </c>
      <c r="B310" s="3">
        <v>173242</v>
      </c>
      <c r="C310" s="3">
        <v>58019539</v>
      </c>
      <c r="D310" s="3">
        <v>0</v>
      </c>
      <c r="E310" s="3">
        <v>25453289</v>
      </c>
      <c r="F310" s="3">
        <v>9</v>
      </c>
      <c r="G310" s="3">
        <v>0</v>
      </c>
      <c r="H310" s="3">
        <v>71</v>
      </c>
      <c r="I310" s="3">
        <v>0</v>
      </c>
      <c r="J310" s="3">
        <v>242</v>
      </c>
      <c r="K310" s="3">
        <v>0</v>
      </c>
      <c r="L310" s="3">
        <v>0</v>
      </c>
      <c r="M310" s="3">
        <v>0</v>
      </c>
      <c r="N310" s="3">
        <v>3395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f t="shared" si="4"/>
        <v>83649787</v>
      </c>
    </row>
    <row r="311" spans="1:20" x14ac:dyDescent="0.25">
      <c r="A311" s="2">
        <v>45967</v>
      </c>
      <c r="B311" s="3">
        <v>248202</v>
      </c>
      <c r="C311" s="3">
        <v>31470938</v>
      </c>
      <c r="D311" s="3">
        <v>0</v>
      </c>
      <c r="E311" s="3">
        <v>16869189</v>
      </c>
      <c r="F311" s="3">
        <v>85</v>
      </c>
      <c r="G311" s="3">
        <v>0</v>
      </c>
      <c r="H311" s="3">
        <v>13</v>
      </c>
      <c r="I311" s="3">
        <v>0</v>
      </c>
      <c r="J311" s="3">
        <v>447839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f t="shared" si="4"/>
        <v>49036266</v>
      </c>
    </row>
    <row r="312" spans="1:20" x14ac:dyDescent="0.25">
      <c r="A312" s="2">
        <v>45968</v>
      </c>
      <c r="B312" s="3">
        <v>1451139</v>
      </c>
      <c r="C312" s="3">
        <v>23431596</v>
      </c>
      <c r="D312" s="3">
        <v>0</v>
      </c>
      <c r="E312" s="3">
        <v>17018984</v>
      </c>
      <c r="F312" s="3">
        <v>0</v>
      </c>
      <c r="G312" s="3">
        <v>0</v>
      </c>
      <c r="H312" s="3">
        <v>36</v>
      </c>
      <c r="I312" s="3">
        <v>0</v>
      </c>
      <c r="J312" s="3">
        <v>0</v>
      </c>
      <c r="K312" s="3">
        <v>0</v>
      </c>
      <c r="L312" s="3">
        <v>2419300</v>
      </c>
      <c r="M312" s="3">
        <v>0</v>
      </c>
      <c r="N312" s="3">
        <v>4307</v>
      </c>
      <c r="O312" s="3">
        <v>0</v>
      </c>
      <c r="P312" s="3">
        <v>0</v>
      </c>
      <c r="Q312" s="3">
        <v>63</v>
      </c>
      <c r="R312" s="3">
        <v>0</v>
      </c>
      <c r="S312" s="3">
        <v>0</v>
      </c>
      <c r="T312" s="3">
        <f t="shared" si="4"/>
        <v>44325425</v>
      </c>
    </row>
    <row r="313" spans="1:20" x14ac:dyDescent="0.25">
      <c r="A313" s="2">
        <v>45969</v>
      </c>
      <c r="B313" s="3">
        <v>295</v>
      </c>
      <c r="C313" s="3">
        <v>4439154</v>
      </c>
      <c r="D313" s="3">
        <v>0</v>
      </c>
      <c r="E313" s="3">
        <v>596539</v>
      </c>
      <c r="F313" s="3">
        <v>20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6</v>
      </c>
      <c r="R313" s="3">
        <v>0</v>
      </c>
      <c r="S313" s="3">
        <v>0</v>
      </c>
      <c r="T313" s="3">
        <f t="shared" si="4"/>
        <v>5036014</v>
      </c>
    </row>
    <row r="314" spans="1:20" x14ac:dyDescent="0.25">
      <c r="A314" s="2">
        <v>45970</v>
      </c>
      <c r="B314" s="3">
        <v>136</v>
      </c>
      <c r="C314" s="3">
        <v>4160881</v>
      </c>
      <c r="D314" s="3">
        <v>0</v>
      </c>
      <c r="E314" s="3">
        <v>134482</v>
      </c>
      <c r="F314" s="3">
        <v>3679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13</v>
      </c>
      <c r="R314" s="3">
        <v>0</v>
      </c>
      <c r="S314" s="3">
        <v>0</v>
      </c>
      <c r="T314" s="3">
        <f t="shared" si="4"/>
        <v>4299191</v>
      </c>
    </row>
    <row r="315" spans="1:20" x14ac:dyDescent="0.25">
      <c r="A315" s="2">
        <v>45971</v>
      </c>
      <c r="B315" s="3">
        <v>297357</v>
      </c>
      <c r="C315" s="3">
        <v>34750567</v>
      </c>
      <c r="D315" s="3">
        <v>0</v>
      </c>
      <c r="E315" s="3">
        <v>17600119</v>
      </c>
      <c r="F315" s="3">
        <v>0</v>
      </c>
      <c r="G315" s="3">
        <v>0</v>
      </c>
      <c r="H315" s="3">
        <v>27</v>
      </c>
      <c r="I315" s="3">
        <v>0</v>
      </c>
      <c r="J315" s="3">
        <v>15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21</v>
      </c>
      <c r="R315" s="3">
        <v>0</v>
      </c>
      <c r="S315" s="3">
        <v>0</v>
      </c>
      <c r="T315" s="3">
        <f t="shared" si="4"/>
        <v>52648106</v>
      </c>
    </row>
    <row r="316" spans="1:20" x14ac:dyDescent="0.25">
      <c r="A316" s="2">
        <v>45972</v>
      </c>
      <c r="B316" s="3">
        <v>360613</v>
      </c>
      <c r="C316" s="3">
        <v>16996857</v>
      </c>
      <c r="D316" s="3">
        <v>0</v>
      </c>
      <c r="E316" s="3">
        <v>37085282</v>
      </c>
      <c r="F316" s="3">
        <v>8</v>
      </c>
      <c r="G316" s="3">
        <v>0</v>
      </c>
      <c r="H316" s="3">
        <v>29</v>
      </c>
      <c r="I316" s="3">
        <v>0</v>
      </c>
      <c r="J316" s="3">
        <v>46</v>
      </c>
      <c r="K316" s="3">
        <v>0</v>
      </c>
      <c r="L316" s="3">
        <v>0</v>
      </c>
      <c r="M316" s="3">
        <v>0</v>
      </c>
      <c r="N316" s="3">
        <v>184648</v>
      </c>
      <c r="O316" s="3">
        <v>0</v>
      </c>
      <c r="P316" s="3">
        <v>0</v>
      </c>
      <c r="Q316" s="3">
        <v>21</v>
      </c>
      <c r="R316" s="3">
        <v>0</v>
      </c>
      <c r="S316" s="3">
        <v>0</v>
      </c>
      <c r="T316" s="3">
        <f t="shared" si="4"/>
        <v>54627504</v>
      </c>
    </row>
    <row r="317" spans="1:20" x14ac:dyDescent="0.25">
      <c r="A317" s="2">
        <v>45973</v>
      </c>
      <c r="B317" s="3">
        <v>36247</v>
      </c>
      <c r="C317" s="3">
        <v>17303462</v>
      </c>
      <c r="D317" s="3">
        <v>0</v>
      </c>
      <c r="E317" s="3">
        <v>30245670</v>
      </c>
      <c r="F317" s="3">
        <v>0</v>
      </c>
      <c r="G317" s="3">
        <v>0</v>
      </c>
      <c r="H317" s="3">
        <v>735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1207</v>
      </c>
      <c r="O317" s="3">
        <v>0</v>
      </c>
      <c r="P317" s="3">
        <v>0</v>
      </c>
      <c r="Q317" s="3">
        <v>14</v>
      </c>
      <c r="R317" s="3">
        <v>0</v>
      </c>
      <c r="S317" s="3">
        <v>0</v>
      </c>
      <c r="T317" s="3">
        <f t="shared" si="4"/>
        <v>47587335</v>
      </c>
    </row>
    <row r="318" spans="1:20" x14ac:dyDescent="0.25">
      <c r="A318" s="2">
        <v>45974</v>
      </c>
      <c r="B318" s="3">
        <v>49303</v>
      </c>
      <c r="C318" s="3">
        <v>32554865</v>
      </c>
      <c r="D318" s="3">
        <v>0</v>
      </c>
      <c r="E318" s="3">
        <v>14027719</v>
      </c>
      <c r="F318" s="3">
        <v>25</v>
      </c>
      <c r="G318" s="3">
        <v>0</v>
      </c>
      <c r="H318" s="3">
        <v>7</v>
      </c>
      <c r="I318" s="3">
        <v>0</v>
      </c>
      <c r="J318" s="3">
        <v>47</v>
      </c>
      <c r="K318" s="3">
        <v>0</v>
      </c>
      <c r="L318" s="3">
        <v>0</v>
      </c>
      <c r="M318" s="3">
        <v>0</v>
      </c>
      <c r="N318" s="3">
        <v>227</v>
      </c>
      <c r="O318" s="3">
        <v>0</v>
      </c>
      <c r="P318" s="3">
        <v>0</v>
      </c>
      <c r="Q318" s="3">
        <v>11</v>
      </c>
      <c r="R318" s="3">
        <v>0</v>
      </c>
      <c r="S318" s="3">
        <v>0</v>
      </c>
      <c r="T318" s="3">
        <f t="shared" si="4"/>
        <v>46632204</v>
      </c>
    </row>
    <row r="319" spans="1:20" x14ac:dyDescent="0.25">
      <c r="A319" s="2">
        <v>45975</v>
      </c>
      <c r="B319" s="3">
        <v>165597</v>
      </c>
      <c r="C319" s="3">
        <v>31681626</v>
      </c>
      <c r="D319" s="3">
        <v>0</v>
      </c>
      <c r="E319" s="3">
        <v>16079830</v>
      </c>
      <c r="F319" s="3">
        <v>657</v>
      </c>
      <c r="G319" s="3">
        <v>0</v>
      </c>
      <c r="H319" s="3">
        <v>103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22</v>
      </c>
      <c r="R319" s="3">
        <v>0</v>
      </c>
      <c r="S319" s="3">
        <v>0</v>
      </c>
      <c r="T319" s="3">
        <f t="shared" si="4"/>
        <v>47927835</v>
      </c>
    </row>
    <row r="320" spans="1:20" x14ac:dyDescent="0.25">
      <c r="A320" s="2">
        <v>45976</v>
      </c>
      <c r="B320" s="3">
        <v>1925</v>
      </c>
      <c r="C320" s="3">
        <v>5286377</v>
      </c>
      <c r="D320" s="3">
        <v>0</v>
      </c>
      <c r="E320" s="3">
        <v>83995</v>
      </c>
      <c r="F320" s="3">
        <v>0</v>
      </c>
      <c r="G320" s="3">
        <v>0</v>
      </c>
      <c r="H320" s="3">
        <v>2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24</v>
      </c>
      <c r="R320" s="3">
        <v>0</v>
      </c>
      <c r="S320" s="3">
        <v>0</v>
      </c>
      <c r="T320" s="3">
        <f t="shared" si="4"/>
        <v>5372323</v>
      </c>
    </row>
    <row r="321" spans="1:20" x14ac:dyDescent="0.25">
      <c r="A321" s="2">
        <v>45977</v>
      </c>
      <c r="B321" s="3">
        <v>397</v>
      </c>
      <c r="C321" s="3">
        <v>4435467</v>
      </c>
      <c r="D321" s="3">
        <v>0</v>
      </c>
      <c r="E321" s="3">
        <v>127249</v>
      </c>
      <c r="F321" s="3">
        <v>8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248</v>
      </c>
      <c r="O321" s="3">
        <v>0</v>
      </c>
      <c r="P321" s="3">
        <v>0</v>
      </c>
      <c r="Q321" s="3">
        <v>8</v>
      </c>
      <c r="R321" s="3">
        <v>0</v>
      </c>
      <c r="S321" s="3">
        <v>0</v>
      </c>
      <c r="T321" s="3">
        <f t="shared" si="4"/>
        <v>4563377</v>
      </c>
    </row>
    <row r="322" spans="1:20" x14ac:dyDescent="0.25">
      <c r="A322" s="2">
        <v>45978</v>
      </c>
      <c r="B322" s="3">
        <v>48621</v>
      </c>
      <c r="C322" s="3">
        <v>32983784</v>
      </c>
      <c r="D322" s="3">
        <v>0</v>
      </c>
      <c r="E322" s="3">
        <v>17215049</v>
      </c>
      <c r="F322" s="3">
        <v>2</v>
      </c>
      <c r="G322" s="3">
        <v>0</v>
      </c>
      <c r="H322" s="3">
        <v>133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4046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f t="shared" ref="T322:T385" si="5">SUM(B322:S322)</f>
        <v>50251635</v>
      </c>
    </row>
    <row r="323" spans="1:20" x14ac:dyDescent="0.25">
      <c r="A323" s="2">
        <v>45979</v>
      </c>
      <c r="B323" s="3">
        <v>55108</v>
      </c>
      <c r="C323" s="3">
        <v>36264347</v>
      </c>
      <c r="D323" s="3">
        <v>0</v>
      </c>
      <c r="E323" s="3">
        <v>13177373</v>
      </c>
      <c r="F323" s="3">
        <v>43</v>
      </c>
      <c r="G323" s="3">
        <v>0</v>
      </c>
      <c r="H323" s="3">
        <v>22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f t="shared" si="5"/>
        <v>49496893</v>
      </c>
    </row>
    <row r="324" spans="1:20" x14ac:dyDescent="0.25">
      <c r="A324" s="2">
        <v>45980</v>
      </c>
      <c r="B324" s="3">
        <v>462347</v>
      </c>
      <c r="C324" s="3">
        <v>34118684</v>
      </c>
      <c r="D324" s="3">
        <v>0</v>
      </c>
      <c r="E324" s="3">
        <v>32480054</v>
      </c>
      <c r="F324" s="3">
        <v>0</v>
      </c>
      <c r="G324" s="3">
        <v>0</v>
      </c>
      <c r="H324" s="3">
        <v>63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1037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f t="shared" si="5"/>
        <v>67062185</v>
      </c>
    </row>
    <row r="325" spans="1:20" x14ac:dyDescent="0.25">
      <c r="A325" s="2">
        <v>45981</v>
      </c>
      <c r="B325" s="3">
        <v>482691</v>
      </c>
      <c r="C325" s="3">
        <v>41863329</v>
      </c>
      <c r="D325" s="3">
        <v>0</v>
      </c>
      <c r="E325" s="3">
        <v>14435652</v>
      </c>
      <c r="F325" s="3">
        <v>2776</v>
      </c>
      <c r="G325" s="3">
        <v>0</v>
      </c>
      <c r="H325" s="3">
        <v>13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1533</v>
      </c>
      <c r="O325" s="3">
        <v>0</v>
      </c>
      <c r="P325" s="3">
        <v>0</v>
      </c>
      <c r="Q325" s="3">
        <v>1</v>
      </c>
      <c r="R325" s="3">
        <v>0</v>
      </c>
      <c r="S325" s="3">
        <v>0</v>
      </c>
      <c r="T325" s="3">
        <f t="shared" si="5"/>
        <v>56785995</v>
      </c>
    </row>
    <row r="326" spans="1:20" x14ac:dyDescent="0.25">
      <c r="A326" s="2">
        <v>45982</v>
      </c>
      <c r="B326" s="3">
        <v>120746</v>
      </c>
      <c r="C326" s="3">
        <v>36739487</v>
      </c>
      <c r="D326" s="3">
        <v>0</v>
      </c>
      <c r="E326" s="3">
        <v>10074211</v>
      </c>
      <c r="F326" s="3">
        <v>0</v>
      </c>
      <c r="G326" s="3">
        <v>0</v>
      </c>
      <c r="H326" s="3">
        <v>35</v>
      </c>
      <c r="I326" s="3">
        <v>0</v>
      </c>
      <c r="J326" s="3">
        <v>8</v>
      </c>
      <c r="K326" s="3">
        <v>0</v>
      </c>
      <c r="L326" s="3">
        <v>0</v>
      </c>
      <c r="M326" s="3">
        <v>0</v>
      </c>
      <c r="N326" s="3">
        <v>888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f t="shared" si="5"/>
        <v>46935375</v>
      </c>
    </row>
    <row r="327" spans="1:20" x14ac:dyDescent="0.25">
      <c r="A327" s="2">
        <v>45983</v>
      </c>
      <c r="B327" s="3">
        <v>4007</v>
      </c>
      <c r="C327" s="3">
        <v>4860562</v>
      </c>
      <c r="D327" s="3">
        <v>0</v>
      </c>
      <c r="E327" s="3">
        <v>269131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f t="shared" si="5"/>
        <v>5133700</v>
      </c>
    </row>
    <row r="328" spans="1:20" x14ac:dyDescent="0.25">
      <c r="A328" s="2">
        <v>45984</v>
      </c>
      <c r="B328" s="3">
        <v>34</v>
      </c>
      <c r="C328" s="3">
        <v>4239597</v>
      </c>
      <c r="D328" s="3">
        <v>0</v>
      </c>
      <c r="E328" s="3">
        <v>33505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978</v>
      </c>
      <c r="O328" s="3">
        <v>0</v>
      </c>
      <c r="P328" s="3">
        <v>0</v>
      </c>
      <c r="Q328" s="3">
        <v>1</v>
      </c>
      <c r="R328" s="3">
        <v>0</v>
      </c>
      <c r="S328" s="3">
        <v>0</v>
      </c>
      <c r="T328" s="3">
        <f t="shared" si="5"/>
        <v>4274115</v>
      </c>
    </row>
    <row r="329" spans="1:20" x14ac:dyDescent="0.25">
      <c r="A329" s="2">
        <v>45985</v>
      </c>
      <c r="B329" s="3">
        <v>1003594</v>
      </c>
      <c r="C329" s="3">
        <v>24104516</v>
      </c>
      <c r="D329" s="3">
        <v>0</v>
      </c>
      <c r="E329" s="3">
        <v>18607203</v>
      </c>
      <c r="F329" s="3">
        <v>0</v>
      </c>
      <c r="G329" s="3">
        <v>0</v>
      </c>
      <c r="H329" s="3">
        <v>4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2252</v>
      </c>
      <c r="O329" s="3">
        <v>0</v>
      </c>
      <c r="P329" s="3">
        <v>0</v>
      </c>
      <c r="Q329" s="3">
        <v>1</v>
      </c>
      <c r="R329" s="3">
        <v>0</v>
      </c>
      <c r="S329" s="3">
        <v>0</v>
      </c>
      <c r="T329" s="3">
        <f t="shared" si="5"/>
        <v>43717570</v>
      </c>
    </row>
    <row r="330" spans="1:20" x14ac:dyDescent="0.25">
      <c r="A330" s="2">
        <v>45986</v>
      </c>
      <c r="B330" s="3">
        <v>2442712</v>
      </c>
      <c r="C330" s="3">
        <v>24205676</v>
      </c>
      <c r="D330" s="3">
        <v>0</v>
      </c>
      <c r="E330" s="3">
        <v>10365275</v>
      </c>
      <c r="F330" s="3">
        <v>17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756</v>
      </c>
      <c r="O330" s="3">
        <v>0</v>
      </c>
      <c r="P330" s="3">
        <v>0</v>
      </c>
      <c r="Q330" s="3">
        <v>5</v>
      </c>
      <c r="R330" s="3">
        <v>0</v>
      </c>
      <c r="S330" s="3">
        <v>0</v>
      </c>
      <c r="T330" s="3">
        <f t="shared" si="5"/>
        <v>37014441</v>
      </c>
    </row>
    <row r="331" spans="1:20" x14ac:dyDescent="0.25">
      <c r="A331" s="2">
        <v>45987</v>
      </c>
      <c r="B331" s="3">
        <v>2342776</v>
      </c>
      <c r="C331" s="3">
        <v>35727658</v>
      </c>
      <c r="D331" s="3">
        <v>0</v>
      </c>
      <c r="E331" s="3">
        <v>28770798</v>
      </c>
      <c r="F331" s="3">
        <v>0</v>
      </c>
      <c r="G331" s="3">
        <v>0</v>
      </c>
      <c r="H331" s="3">
        <v>2998</v>
      </c>
      <c r="I331" s="3">
        <v>0</v>
      </c>
      <c r="J331" s="3">
        <v>257</v>
      </c>
      <c r="K331" s="3">
        <v>0</v>
      </c>
      <c r="L331" s="3">
        <v>0</v>
      </c>
      <c r="M331" s="3">
        <v>0</v>
      </c>
      <c r="N331" s="3">
        <v>3686</v>
      </c>
      <c r="O331" s="3">
        <v>0</v>
      </c>
      <c r="P331" s="3">
        <v>0</v>
      </c>
      <c r="Q331" s="3">
        <v>2</v>
      </c>
      <c r="R331" s="3">
        <v>0</v>
      </c>
      <c r="S331" s="3">
        <v>0</v>
      </c>
      <c r="T331" s="3">
        <f t="shared" si="5"/>
        <v>66848175</v>
      </c>
    </row>
    <row r="332" spans="1:20" x14ac:dyDescent="0.25">
      <c r="A332" s="2">
        <v>45988</v>
      </c>
      <c r="B332" s="3">
        <v>205245</v>
      </c>
      <c r="C332" s="3">
        <v>7785367</v>
      </c>
      <c r="D332" s="3">
        <v>0</v>
      </c>
      <c r="E332" s="3">
        <v>6642080</v>
      </c>
      <c r="F332" s="3">
        <v>0</v>
      </c>
      <c r="G332" s="3">
        <v>0</v>
      </c>
      <c r="H332" s="3">
        <v>4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547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f t="shared" si="5"/>
        <v>14633243</v>
      </c>
    </row>
    <row r="333" spans="1:20" x14ac:dyDescent="0.25">
      <c r="A333" s="2">
        <v>45989</v>
      </c>
      <c r="B333" s="3">
        <v>3940197</v>
      </c>
      <c r="C333" s="3">
        <v>28152555</v>
      </c>
      <c r="D333" s="3">
        <v>0</v>
      </c>
      <c r="E333" s="3">
        <v>15953895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22174</v>
      </c>
      <c r="O333" s="3">
        <v>0</v>
      </c>
      <c r="P333" s="3">
        <v>0</v>
      </c>
      <c r="Q333" s="3">
        <v>1</v>
      </c>
      <c r="R333" s="3">
        <v>0</v>
      </c>
      <c r="S333" s="3">
        <v>0</v>
      </c>
      <c r="T333" s="3">
        <f t="shared" si="5"/>
        <v>48068822</v>
      </c>
    </row>
    <row r="334" spans="1:20" x14ac:dyDescent="0.25">
      <c r="A334" s="2">
        <v>45990</v>
      </c>
      <c r="B334" s="3">
        <v>2799</v>
      </c>
      <c r="C334" s="3">
        <v>6879259</v>
      </c>
      <c r="D334" s="3">
        <v>0</v>
      </c>
      <c r="E334" s="3">
        <v>88467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3">
        <f t="shared" si="5"/>
        <v>6970526</v>
      </c>
    </row>
    <row r="335" spans="1:20" x14ac:dyDescent="0.25">
      <c r="A335" s="2">
        <v>45991</v>
      </c>
      <c r="B335" s="3">
        <v>228</v>
      </c>
      <c r="C335" s="3">
        <v>25032720</v>
      </c>
      <c r="D335" s="3">
        <v>0</v>
      </c>
      <c r="E335" s="3">
        <v>152233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2</v>
      </c>
      <c r="R335" s="3">
        <v>0</v>
      </c>
      <c r="S335" s="3">
        <v>0</v>
      </c>
      <c r="T335" s="3">
        <f t="shared" si="5"/>
        <v>25185183</v>
      </c>
    </row>
    <row r="336" spans="1:20" x14ac:dyDescent="0.25">
      <c r="A336" s="2">
        <v>45992</v>
      </c>
      <c r="B336" s="3">
        <v>56328493</v>
      </c>
      <c r="C336" s="3">
        <v>43763660</v>
      </c>
      <c r="D336" s="3">
        <v>0</v>
      </c>
      <c r="E336" s="3">
        <v>21524916</v>
      </c>
      <c r="F336" s="3">
        <v>20797</v>
      </c>
      <c r="G336" s="3">
        <v>0</v>
      </c>
      <c r="H336" s="3">
        <v>78</v>
      </c>
      <c r="I336" s="3">
        <v>0</v>
      </c>
      <c r="J336" s="3">
        <v>0</v>
      </c>
      <c r="K336" s="3">
        <v>0</v>
      </c>
      <c r="L336" s="3">
        <v>0</v>
      </c>
      <c r="M336" s="3">
        <v>106</v>
      </c>
      <c r="N336" s="3">
        <v>5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f t="shared" si="5"/>
        <v>121638055</v>
      </c>
    </row>
    <row r="337" spans="1:20" x14ac:dyDescent="0.25">
      <c r="A337" s="2">
        <v>45993</v>
      </c>
      <c r="B337" s="3">
        <v>45547886</v>
      </c>
      <c r="C337" s="3">
        <v>26693151</v>
      </c>
      <c r="D337" s="3">
        <v>0</v>
      </c>
      <c r="E337" s="3">
        <v>15990195</v>
      </c>
      <c r="F337" s="3">
        <v>10115</v>
      </c>
      <c r="G337" s="3">
        <v>0</v>
      </c>
      <c r="H337" s="3">
        <v>332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1181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f t="shared" si="5"/>
        <v>88242860</v>
      </c>
    </row>
    <row r="338" spans="1:20" x14ac:dyDescent="0.25">
      <c r="A338" s="2">
        <v>45994</v>
      </c>
      <c r="B338" s="3">
        <v>9445943</v>
      </c>
      <c r="C338" s="3">
        <v>22028809</v>
      </c>
      <c r="D338" s="3">
        <v>0</v>
      </c>
      <c r="E338" s="3">
        <v>13858788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9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f t="shared" si="5"/>
        <v>45333549</v>
      </c>
    </row>
    <row r="339" spans="1:20" x14ac:dyDescent="0.25">
      <c r="A339" s="2">
        <v>45995</v>
      </c>
      <c r="B339" s="3">
        <v>34858453</v>
      </c>
      <c r="C339" s="3">
        <v>21018764</v>
      </c>
      <c r="D339" s="3">
        <v>0</v>
      </c>
      <c r="E339" s="3">
        <v>12856199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33527</v>
      </c>
      <c r="O339" s="3">
        <v>0</v>
      </c>
      <c r="P339" s="3">
        <v>0</v>
      </c>
      <c r="Q339" s="3">
        <v>0</v>
      </c>
      <c r="R339" s="3">
        <v>7</v>
      </c>
      <c r="S339" s="3">
        <v>0</v>
      </c>
      <c r="T339" s="3">
        <f t="shared" si="5"/>
        <v>68766950</v>
      </c>
    </row>
    <row r="340" spans="1:20" x14ac:dyDescent="0.25">
      <c r="A340" s="2">
        <v>45996</v>
      </c>
      <c r="B340" s="3">
        <v>70643467</v>
      </c>
      <c r="C340" s="3">
        <v>17341855</v>
      </c>
      <c r="D340" s="3">
        <v>0</v>
      </c>
      <c r="E340" s="3">
        <v>5753201</v>
      </c>
      <c r="F340" s="3">
        <v>1573</v>
      </c>
      <c r="G340" s="3">
        <v>0</v>
      </c>
      <c r="H340" s="3">
        <v>17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4</v>
      </c>
      <c r="R340" s="3">
        <v>0</v>
      </c>
      <c r="S340" s="3">
        <v>0</v>
      </c>
      <c r="T340" s="3">
        <f t="shared" si="5"/>
        <v>93740117</v>
      </c>
    </row>
    <row r="341" spans="1:20" x14ac:dyDescent="0.25">
      <c r="A341" s="2">
        <v>45997</v>
      </c>
      <c r="B341" s="3">
        <v>267174</v>
      </c>
      <c r="C341" s="3">
        <v>5168336</v>
      </c>
      <c r="D341" s="3">
        <v>0</v>
      </c>
      <c r="E341" s="3">
        <v>298725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f t="shared" si="5"/>
        <v>5734235</v>
      </c>
    </row>
    <row r="342" spans="1:20" x14ac:dyDescent="0.25">
      <c r="A342" s="2">
        <v>45998</v>
      </c>
      <c r="B342" s="3">
        <v>687</v>
      </c>
      <c r="C342" s="3">
        <v>9630616</v>
      </c>
      <c r="D342" s="3">
        <v>0</v>
      </c>
      <c r="E342" s="3">
        <v>19010</v>
      </c>
      <c r="F342" s="3">
        <v>1620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f t="shared" si="5"/>
        <v>9651933</v>
      </c>
    </row>
    <row r="343" spans="1:20" x14ac:dyDescent="0.25">
      <c r="A343" s="2">
        <v>45999</v>
      </c>
      <c r="B343" s="3">
        <v>54647037</v>
      </c>
      <c r="C343" s="3">
        <v>20858803</v>
      </c>
      <c r="D343" s="3">
        <v>0</v>
      </c>
      <c r="E343" s="3">
        <v>3143756</v>
      </c>
      <c r="F343" s="3">
        <v>0</v>
      </c>
      <c r="G343" s="3">
        <v>0</v>
      </c>
      <c r="H343" s="3">
        <v>0</v>
      </c>
      <c r="I343" s="3">
        <v>0</v>
      </c>
      <c r="J343" s="3">
        <v>5148</v>
      </c>
      <c r="K343" s="3">
        <v>0</v>
      </c>
      <c r="L343" s="3">
        <v>0</v>
      </c>
      <c r="M343" s="3">
        <v>0</v>
      </c>
      <c r="N343" s="3">
        <v>99</v>
      </c>
      <c r="O343" s="3">
        <v>0</v>
      </c>
      <c r="P343" s="3">
        <v>0</v>
      </c>
      <c r="Q343" s="3">
        <v>23</v>
      </c>
      <c r="R343" s="3">
        <v>0</v>
      </c>
      <c r="S343" s="3">
        <v>0</v>
      </c>
      <c r="T343" s="3">
        <f t="shared" si="5"/>
        <v>78654866</v>
      </c>
    </row>
    <row r="344" spans="1:20" x14ac:dyDescent="0.25">
      <c r="A344" s="2">
        <v>46000</v>
      </c>
      <c r="B344" s="3">
        <v>61898650</v>
      </c>
      <c r="C344" s="3">
        <v>13886005</v>
      </c>
      <c r="D344" s="3">
        <v>0</v>
      </c>
      <c r="E344" s="3">
        <v>1381813</v>
      </c>
      <c r="F344" s="3">
        <v>984</v>
      </c>
      <c r="G344" s="3">
        <v>0</v>
      </c>
      <c r="H344" s="3">
        <v>9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127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f t="shared" si="5"/>
        <v>77167588</v>
      </c>
    </row>
    <row r="345" spans="1:20" x14ac:dyDescent="0.25">
      <c r="A345" s="2">
        <v>46001</v>
      </c>
      <c r="B345" s="3">
        <v>123962396</v>
      </c>
      <c r="C345" s="3">
        <v>10683325</v>
      </c>
      <c r="D345" s="3">
        <v>0</v>
      </c>
      <c r="E345" s="3">
        <v>2024161</v>
      </c>
      <c r="F345" s="3">
        <v>997</v>
      </c>
      <c r="G345" s="3">
        <v>0</v>
      </c>
      <c r="H345" s="3">
        <v>6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12863</v>
      </c>
      <c r="O345" s="3">
        <v>0</v>
      </c>
      <c r="P345" s="3">
        <v>0</v>
      </c>
      <c r="Q345" s="3">
        <v>2</v>
      </c>
      <c r="R345" s="3">
        <v>0</v>
      </c>
      <c r="S345" s="3">
        <v>0</v>
      </c>
      <c r="T345" s="3">
        <f t="shared" si="5"/>
        <v>136683750</v>
      </c>
    </row>
    <row r="346" spans="1:20" x14ac:dyDescent="0.25">
      <c r="A346" s="2">
        <v>46002</v>
      </c>
      <c r="B346" s="3">
        <v>64884054</v>
      </c>
      <c r="C346" s="3">
        <v>17947309</v>
      </c>
      <c r="D346" s="3">
        <v>0</v>
      </c>
      <c r="E346" s="3">
        <v>2067921</v>
      </c>
      <c r="F346" s="3">
        <v>74</v>
      </c>
      <c r="G346" s="3">
        <v>0</v>
      </c>
      <c r="H346" s="3">
        <v>122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f t="shared" si="5"/>
        <v>84899480</v>
      </c>
    </row>
    <row r="347" spans="1:20" x14ac:dyDescent="0.25">
      <c r="A347" s="2">
        <v>46003</v>
      </c>
      <c r="B347" s="3">
        <v>175164852</v>
      </c>
      <c r="C347" s="3">
        <v>22393074</v>
      </c>
      <c r="D347" s="3">
        <v>0</v>
      </c>
      <c r="E347" s="3">
        <v>2630497</v>
      </c>
      <c r="F347" s="3">
        <v>11</v>
      </c>
      <c r="G347" s="3">
        <v>0</v>
      </c>
      <c r="H347" s="3">
        <v>7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3</v>
      </c>
      <c r="R347" s="3">
        <v>0</v>
      </c>
      <c r="S347" s="3">
        <v>0</v>
      </c>
      <c r="T347" s="3">
        <f t="shared" si="5"/>
        <v>200188444</v>
      </c>
    </row>
    <row r="348" spans="1:20" x14ac:dyDescent="0.25">
      <c r="A348" s="2">
        <v>46004</v>
      </c>
      <c r="B348" s="3">
        <v>11262662</v>
      </c>
      <c r="C348" s="3">
        <v>3478107</v>
      </c>
      <c r="D348" s="3">
        <v>0</v>
      </c>
      <c r="E348" s="3">
        <v>170879</v>
      </c>
      <c r="F348" s="3">
        <v>14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1</v>
      </c>
      <c r="R348" s="3">
        <v>0</v>
      </c>
      <c r="S348" s="3">
        <v>0</v>
      </c>
      <c r="T348" s="3">
        <f t="shared" si="5"/>
        <v>14911663</v>
      </c>
    </row>
    <row r="349" spans="1:20" x14ac:dyDescent="0.25">
      <c r="A349" s="2">
        <v>46005</v>
      </c>
      <c r="B349" s="3">
        <v>12550</v>
      </c>
      <c r="C349" s="3">
        <v>5117493</v>
      </c>
      <c r="D349" s="3">
        <v>0</v>
      </c>
      <c r="E349" s="3">
        <v>73826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1</v>
      </c>
      <c r="O349" s="3">
        <v>0</v>
      </c>
      <c r="P349" s="3">
        <v>0</v>
      </c>
      <c r="Q349" s="3">
        <v>2</v>
      </c>
      <c r="R349" s="3">
        <v>0</v>
      </c>
      <c r="S349" s="3">
        <v>0</v>
      </c>
      <c r="T349" s="3">
        <f t="shared" si="5"/>
        <v>5203872</v>
      </c>
    </row>
    <row r="350" spans="1:20" x14ac:dyDescent="0.25">
      <c r="A350" s="2">
        <v>46006</v>
      </c>
      <c r="B350" s="3">
        <v>143198949</v>
      </c>
      <c r="C350" s="3">
        <v>20042008</v>
      </c>
      <c r="D350" s="3">
        <v>0</v>
      </c>
      <c r="E350" s="3">
        <v>3415674</v>
      </c>
      <c r="F350" s="3">
        <v>0</v>
      </c>
      <c r="G350" s="3">
        <v>0</v>
      </c>
      <c r="H350" s="3">
        <v>274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5</v>
      </c>
      <c r="O350" s="3">
        <v>0</v>
      </c>
      <c r="P350" s="3">
        <v>0</v>
      </c>
      <c r="Q350" s="3">
        <v>6</v>
      </c>
      <c r="R350" s="3">
        <v>0</v>
      </c>
      <c r="S350" s="3">
        <v>0</v>
      </c>
      <c r="T350" s="3">
        <f t="shared" si="5"/>
        <v>166656916</v>
      </c>
    </row>
    <row r="351" spans="1:20" x14ac:dyDescent="0.25">
      <c r="A351" s="2">
        <v>46007</v>
      </c>
      <c r="B351" s="3">
        <v>75096303</v>
      </c>
      <c r="C351" s="3">
        <v>25693725</v>
      </c>
      <c r="D351" s="3">
        <v>0</v>
      </c>
      <c r="E351" s="3">
        <v>5639875</v>
      </c>
      <c r="F351" s="3">
        <v>0</v>
      </c>
      <c r="G351" s="3">
        <v>0</v>
      </c>
      <c r="H351" s="3">
        <v>202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2252</v>
      </c>
      <c r="O351" s="3">
        <v>0</v>
      </c>
      <c r="P351" s="3">
        <v>0</v>
      </c>
      <c r="Q351" s="3">
        <v>1</v>
      </c>
      <c r="R351" s="3">
        <v>0</v>
      </c>
      <c r="S351" s="3">
        <v>0</v>
      </c>
      <c r="T351" s="3">
        <f t="shared" si="5"/>
        <v>106432358</v>
      </c>
    </row>
    <row r="352" spans="1:20" x14ac:dyDescent="0.25">
      <c r="A352" s="2">
        <v>46008</v>
      </c>
      <c r="B352" s="3">
        <v>145415193</v>
      </c>
      <c r="C352" s="3">
        <v>24255815</v>
      </c>
      <c r="D352" s="3">
        <v>0</v>
      </c>
      <c r="E352" s="3">
        <v>7091986</v>
      </c>
      <c r="F352" s="3">
        <v>0</v>
      </c>
      <c r="G352" s="3">
        <v>0</v>
      </c>
      <c r="H352" s="3">
        <v>217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f t="shared" si="5"/>
        <v>176763211</v>
      </c>
    </row>
    <row r="353" spans="1:20" x14ac:dyDescent="0.25">
      <c r="A353" s="2">
        <v>46009</v>
      </c>
      <c r="B353" s="3">
        <v>110161495</v>
      </c>
      <c r="C353" s="3">
        <v>17801683</v>
      </c>
      <c r="D353" s="3">
        <v>0</v>
      </c>
      <c r="E353" s="3">
        <v>5771929</v>
      </c>
      <c r="F353" s="3">
        <v>0</v>
      </c>
      <c r="G353" s="3">
        <v>0</v>
      </c>
      <c r="H353" s="3">
        <v>24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111</v>
      </c>
      <c r="O353" s="3">
        <v>0</v>
      </c>
      <c r="P353" s="3">
        <v>0</v>
      </c>
      <c r="Q353" s="3">
        <v>2</v>
      </c>
      <c r="R353" s="3">
        <v>0</v>
      </c>
      <c r="S353" s="3">
        <v>0</v>
      </c>
      <c r="T353" s="3">
        <f t="shared" si="5"/>
        <v>133735244</v>
      </c>
    </row>
    <row r="354" spans="1:20" x14ac:dyDescent="0.25">
      <c r="A354" s="2">
        <v>46010</v>
      </c>
      <c r="B354" s="3">
        <v>113617623</v>
      </c>
      <c r="C354" s="3">
        <v>14114982</v>
      </c>
      <c r="D354" s="3">
        <v>0</v>
      </c>
      <c r="E354" s="3">
        <v>4173206</v>
      </c>
      <c r="F354" s="3">
        <v>0</v>
      </c>
      <c r="G354" s="3">
        <v>0</v>
      </c>
      <c r="H354" s="3">
        <v>57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f t="shared" si="5"/>
        <v>131905868</v>
      </c>
    </row>
    <row r="355" spans="1:20" x14ac:dyDescent="0.25">
      <c r="A355" s="2">
        <v>46011</v>
      </c>
      <c r="B355" s="3">
        <v>20594670</v>
      </c>
      <c r="C355" s="3">
        <v>4268458</v>
      </c>
      <c r="D355" s="3">
        <v>0</v>
      </c>
      <c r="E355" s="3">
        <v>574550</v>
      </c>
      <c r="F355" s="3">
        <v>0</v>
      </c>
      <c r="G355" s="3">
        <v>0</v>
      </c>
      <c r="H355" s="3">
        <v>0</v>
      </c>
      <c r="I355" s="3">
        <v>0</v>
      </c>
      <c r="J355" s="3">
        <v>32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f t="shared" si="5"/>
        <v>25437710</v>
      </c>
    </row>
    <row r="356" spans="1:20" x14ac:dyDescent="0.25">
      <c r="A356" s="2">
        <v>46012</v>
      </c>
      <c r="B356" s="3">
        <v>5433</v>
      </c>
      <c r="C356" s="3">
        <v>4245874</v>
      </c>
      <c r="D356" s="3">
        <v>0</v>
      </c>
      <c r="E356" s="3">
        <v>24608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f t="shared" si="5"/>
        <v>4275915</v>
      </c>
    </row>
    <row r="357" spans="1:20" x14ac:dyDescent="0.25">
      <c r="A357" s="2">
        <v>46013</v>
      </c>
      <c r="B357" s="3">
        <v>137200266</v>
      </c>
      <c r="C357" s="3">
        <v>14856177</v>
      </c>
      <c r="D357" s="3">
        <v>0</v>
      </c>
      <c r="E357" s="3">
        <v>8675595</v>
      </c>
      <c r="F357" s="3">
        <v>0</v>
      </c>
      <c r="G357" s="3">
        <v>0</v>
      </c>
      <c r="H357" s="3">
        <v>56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529</v>
      </c>
      <c r="O357" s="3">
        <v>0</v>
      </c>
      <c r="P357" s="3">
        <v>0</v>
      </c>
      <c r="Q357" s="3">
        <v>11</v>
      </c>
      <c r="R357" s="3">
        <v>0</v>
      </c>
      <c r="S357" s="3">
        <v>0</v>
      </c>
      <c r="T357" s="3">
        <f t="shared" si="5"/>
        <v>160732634</v>
      </c>
    </row>
    <row r="358" spans="1:20" x14ac:dyDescent="0.25">
      <c r="A358" s="2">
        <v>46014</v>
      </c>
      <c r="B358" s="3">
        <v>77773388</v>
      </c>
      <c r="C358" s="3">
        <v>12176375</v>
      </c>
      <c r="D358" s="3">
        <v>0</v>
      </c>
      <c r="E358" s="3">
        <v>1694370</v>
      </c>
      <c r="F358" s="3">
        <v>0</v>
      </c>
      <c r="G358" s="3">
        <v>0</v>
      </c>
      <c r="H358" s="3">
        <v>144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20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f t="shared" si="5"/>
        <v>91644297</v>
      </c>
    </row>
    <row r="359" spans="1:20" x14ac:dyDescent="0.25">
      <c r="A359" s="2">
        <v>46015</v>
      </c>
      <c r="B359" s="3">
        <v>141053640</v>
      </c>
      <c r="C359" s="3">
        <v>9486076</v>
      </c>
      <c r="D359" s="3">
        <v>0</v>
      </c>
      <c r="E359" s="3">
        <v>2388374</v>
      </c>
      <c r="F359" s="3">
        <v>0</v>
      </c>
      <c r="G359" s="3">
        <v>0</v>
      </c>
      <c r="H359" s="3">
        <v>36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f t="shared" si="5"/>
        <v>152928126</v>
      </c>
    </row>
    <row r="360" spans="1:20" x14ac:dyDescent="0.25">
      <c r="A360" s="2">
        <v>46016</v>
      </c>
      <c r="B360" s="3">
        <v>10173</v>
      </c>
      <c r="C360" s="3">
        <v>3598488</v>
      </c>
      <c r="D360" s="3">
        <v>0</v>
      </c>
      <c r="E360" s="3">
        <v>239028</v>
      </c>
      <c r="F360" s="3">
        <v>0</v>
      </c>
      <c r="G360" s="3">
        <v>0</v>
      </c>
      <c r="H360" s="3">
        <v>1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f t="shared" si="5"/>
        <v>3847690</v>
      </c>
    </row>
    <row r="361" spans="1:20" x14ac:dyDescent="0.25">
      <c r="A361" s="2">
        <v>46017</v>
      </c>
      <c r="B361" s="3">
        <v>86162325</v>
      </c>
      <c r="C361" s="3">
        <v>17449170</v>
      </c>
      <c r="D361" s="3">
        <v>0</v>
      </c>
      <c r="E361" s="3">
        <v>4535390</v>
      </c>
      <c r="F361" s="3">
        <v>0</v>
      </c>
      <c r="G361" s="3">
        <v>0</v>
      </c>
      <c r="H361" s="3">
        <v>27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f t="shared" si="5"/>
        <v>108146912</v>
      </c>
    </row>
    <row r="362" spans="1:20" x14ac:dyDescent="0.25">
      <c r="A362" s="2">
        <v>46018</v>
      </c>
      <c r="B362" s="3">
        <v>14652654</v>
      </c>
      <c r="C362" s="3">
        <v>5537335</v>
      </c>
      <c r="D362" s="3">
        <v>0</v>
      </c>
      <c r="E362" s="3">
        <v>1089629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2</v>
      </c>
      <c r="R362" s="3">
        <v>0</v>
      </c>
      <c r="S362" s="3">
        <v>0</v>
      </c>
      <c r="T362" s="3">
        <f t="shared" si="5"/>
        <v>21279620</v>
      </c>
    </row>
    <row r="363" spans="1:20" x14ac:dyDescent="0.25">
      <c r="A363" s="2">
        <v>46019</v>
      </c>
      <c r="B363" s="3">
        <v>4107</v>
      </c>
      <c r="C363" s="3">
        <v>3416306</v>
      </c>
      <c r="D363" s="3">
        <v>0</v>
      </c>
      <c r="E363" s="3">
        <v>36653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1</v>
      </c>
      <c r="R363" s="3">
        <v>0</v>
      </c>
      <c r="S363" s="3">
        <v>0</v>
      </c>
      <c r="T363" s="3">
        <f t="shared" si="5"/>
        <v>3457067</v>
      </c>
    </row>
    <row r="364" spans="1:20" x14ac:dyDescent="0.25">
      <c r="A364" s="2">
        <v>46020</v>
      </c>
      <c r="B364" s="3">
        <v>55162195</v>
      </c>
      <c r="C364" s="3">
        <v>14630528</v>
      </c>
      <c r="D364" s="3">
        <v>0</v>
      </c>
      <c r="E364" s="3">
        <v>3270654</v>
      </c>
      <c r="F364" s="3">
        <v>0</v>
      </c>
      <c r="G364" s="3">
        <v>0</v>
      </c>
      <c r="H364" s="3">
        <v>177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f t="shared" si="5"/>
        <v>73063554</v>
      </c>
    </row>
    <row r="365" spans="1:20" x14ac:dyDescent="0.25">
      <c r="A365" s="2">
        <v>46021</v>
      </c>
      <c r="B365" s="3">
        <v>59972268</v>
      </c>
      <c r="C365" s="3">
        <v>14156299</v>
      </c>
      <c r="D365" s="3">
        <v>0</v>
      </c>
      <c r="E365" s="3">
        <v>1797172</v>
      </c>
      <c r="F365" s="3">
        <v>3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f t="shared" si="5"/>
        <v>75925742</v>
      </c>
    </row>
    <row r="366" spans="1:20" x14ac:dyDescent="0.25">
      <c r="A366" s="2">
        <v>46022</v>
      </c>
      <c r="B366" s="3">
        <v>88839135</v>
      </c>
      <c r="C366" s="3">
        <v>13319581</v>
      </c>
      <c r="D366" s="3">
        <v>0</v>
      </c>
      <c r="E366" s="3">
        <v>2571541</v>
      </c>
      <c r="F366" s="3">
        <v>2532</v>
      </c>
      <c r="G366" s="3">
        <v>0</v>
      </c>
      <c r="H366" s="3">
        <v>28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f t="shared" si="5"/>
        <v>104732817</v>
      </c>
    </row>
    <row r="367" spans="1:20" x14ac:dyDescent="0.25">
      <c r="A367" s="2">
        <v>46023</v>
      </c>
      <c r="B367" s="3">
        <v>6192788</v>
      </c>
      <c r="C367" s="3">
        <v>4989810</v>
      </c>
      <c r="D367" s="3">
        <v>0</v>
      </c>
      <c r="E367" s="3">
        <v>310698</v>
      </c>
      <c r="F367" s="3">
        <v>20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f t="shared" si="5"/>
        <v>11493316</v>
      </c>
    </row>
    <row r="368" spans="1:20" x14ac:dyDescent="0.25">
      <c r="A368" s="2">
        <v>46024</v>
      </c>
      <c r="B368" s="3">
        <v>15480841</v>
      </c>
      <c r="C368" s="3">
        <v>57214057</v>
      </c>
      <c r="D368" s="3">
        <v>0</v>
      </c>
      <c r="E368" s="3">
        <v>2062461</v>
      </c>
      <c r="F368" s="3">
        <v>29</v>
      </c>
      <c r="G368" s="3">
        <v>0</v>
      </c>
      <c r="H368" s="3">
        <v>256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f t="shared" si="5"/>
        <v>74757644</v>
      </c>
    </row>
    <row r="369" spans="1:20" x14ac:dyDescent="0.25">
      <c r="A369" s="2">
        <v>46025</v>
      </c>
      <c r="B369" s="3">
        <v>805146</v>
      </c>
      <c r="C369" s="3">
        <v>11073954</v>
      </c>
      <c r="D369" s="3">
        <v>0</v>
      </c>
      <c r="E369" s="3">
        <v>455524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1</v>
      </c>
      <c r="R369" s="3">
        <v>0</v>
      </c>
      <c r="S369" s="3">
        <v>0</v>
      </c>
      <c r="T369" s="3">
        <f t="shared" si="5"/>
        <v>12334625</v>
      </c>
    </row>
    <row r="370" spans="1:20" x14ac:dyDescent="0.25">
      <c r="A370" s="2">
        <v>46026</v>
      </c>
      <c r="B370" s="3">
        <v>22372</v>
      </c>
      <c r="C370" s="3">
        <v>6416924</v>
      </c>
      <c r="D370" s="3">
        <v>0</v>
      </c>
      <c r="E370" s="3">
        <v>546087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f t="shared" si="5"/>
        <v>6985383</v>
      </c>
    </row>
    <row r="371" spans="1:20" x14ac:dyDescent="0.25">
      <c r="A371" s="2">
        <v>46027</v>
      </c>
      <c r="B371" s="3">
        <v>24828744</v>
      </c>
      <c r="C371" s="3">
        <v>55663285</v>
      </c>
      <c r="D371" s="3">
        <v>0</v>
      </c>
      <c r="E371" s="3">
        <v>6353618</v>
      </c>
      <c r="F371" s="3">
        <v>253</v>
      </c>
      <c r="G371" s="3">
        <v>0</v>
      </c>
      <c r="H371" s="3">
        <v>141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3005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f t="shared" si="5"/>
        <v>86849046</v>
      </c>
    </row>
    <row r="372" spans="1:20" x14ac:dyDescent="0.25">
      <c r="A372" s="2">
        <v>46028</v>
      </c>
      <c r="B372" s="3">
        <v>36825036</v>
      </c>
      <c r="C372" s="3">
        <v>27886027</v>
      </c>
      <c r="D372" s="3">
        <v>0</v>
      </c>
      <c r="E372" s="3">
        <v>2553425</v>
      </c>
      <c r="F372" s="3">
        <v>5424</v>
      </c>
      <c r="G372" s="3">
        <v>0</v>
      </c>
      <c r="H372" s="3">
        <v>216</v>
      </c>
      <c r="I372" s="3">
        <v>0</v>
      </c>
      <c r="J372" s="3">
        <v>0</v>
      </c>
      <c r="K372" s="3">
        <v>10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1</v>
      </c>
      <c r="R372" s="3">
        <v>0</v>
      </c>
      <c r="S372" s="3">
        <v>0</v>
      </c>
      <c r="T372" s="3">
        <f t="shared" si="5"/>
        <v>67270139</v>
      </c>
    </row>
    <row r="373" spans="1:20" x14ac:dyDescent="0.25">
      <c r="A373" s="2">
        <v>46029</v>
      </c>
      <c r="B373" s="3">
        <v>55688185</v>
      </c>
      <c r="C373" s="3">
        <v>21709847</v>
      </c>
      <c r="D373" s="3">
        <v>0</v>
      </c>
      <c r="E373" s="3">
        <v>8496552</v>
      </c>
      <c r="F373" s="3">
        <v>243</v>
      </c>
      <c r="G373" s="3">
        <v>0</v>
      </c>
      <c r="H373" s="3">
        <v>84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105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f t="shared" si="5"/>
        <v>85895016</v>
      </c>
    </row>
    <row r="374" spans="1:20" x14ac:dyDescent="0.25">
      <c r="A374" s="2">
        <v>46030</v>
      </c>
      <c r="B374" s="3">
        <v>52533942</v>
      </c>
      <c r="C374" s="3">
        <v>25796480</v>
      </c>
      <c r="D374" s="3">
        <v>0</v>
      </c>
      <c r="E374" s="3">
        <v>8257426</v>
      </c>
      <c r="F374" s="3">
        <v>77</v>
      </c>
      <c r="G374" s="3">
        <v>0</v>
      </c>
      <c r="H374" s="3">
        <v>1547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1</v>
      </c>
      <c r="R374" s="3">
        <v>0</v>
      </c>
      <c r="S374" s="3">
        <v>0</v>
      </c>
      <c r="T374" s="3">
        <f t="shared" si="5"/>
        <v>86589473</v>
      </c>
    </row>
    <row r="375" spans="1:20" x14ac:dyDescent="0.25">
      <c r="A375" s="2">
        <v>46031</v>
      </c>
      <c r="B375" s="3">
        <v>39654138</v>
      </c>
      <c r="C375" s="3">
        <v>25704689</v>
      </c>
      <c r="D375" s="3">
        <v>0</v>
      </c>
      <c r="E375" s="3">
        <v>3920439</v>
      </c>
      <c r="F375" s="3">
        <v>60</v>
      </c>
      <c r="G375" s="3">
        <v>0</v>
      </c>
      <c r="H375" s="3">
        <v>94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f t="shared" si="5"/>
        <v>69279420</v>
      </c>
    </row>
    <row r="376" spans="1:20" x14ac:dyDescent="0.25">
      <c r="A376" s="2">
        <v>46032</v>
      </c>
      <c r="B376" s="3">
        <v>83874</v>
      </c>
      <c r="C376" s="3">
        <v>5645438</v>
      </c>
      <c r="D376" s="3">
        <v>0</v>
      </c>
      <c r="E376" s="3">
        <v>160516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97</v>
      </c>
      <c r="O376" s="3">
        <v>0</v>
      </c>
      <c r="P376" s="3">
        <v>0</v>
      </c>
      <c r="Q376" s="3">
        <v>5</v>
      </c>
      <c r="R376" s="3">
        <v>0</v>
      </c>
      <c r="S376" s="3">
        <v>0</v>
      </c>
      <c r="T376" s="3">
        <f t="shared" si="5"/>
        <v>5889930</v>
      </c>
    </row>
    <row r="377" spans="1:20" x14ac:dyDescent="0.25">
      <c r="A377" s="2">
        <v>46033</v>
      </c>
      <c r="B377" s="3">
        <v>3879</v>
      </c>
      <c r="C377" s="3">
        <v>8461865</v>
      </c>
      <c r="D377" s="3">
        <v>0</v>
      </c>
      <c r="E377" s="3">
        <v>239698</v>
      </c>
      <c r="F377" s="3">
        <v>0</v>
      </c>
      <c r="G377" s="3">
        <v>0</v>
      </c>
      <c r="H377" s="3">
        <v>78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23</v>
      </c>
      <c r="R377" s="3">
        <v>0</v>
      </c>
      <c r="S377" s="3">
        <v>0</v>
      </c>
      <c r="T377" s="3">
        <f t="shared" si="5"/>
        <v>8705543</v>
      </c>
    </row>
    <row r="378" spans="1:20" x14ac:dyDescent="0.25">
      <c r="A378" s="2">
        <v>46034</v>
      </c>
      <c r="B378" s="3">
        <v>62362697</v>
      </c>
      <c r="C378" s="3">
        <v>56771623</v>
      </c>
      <c r="D378" s="3">
        <v>0</v>
      </c>
      <c r="E378" s="3">
        <v>9508658</v>
      </c>
      <c r="F378" s="3">
        <v>40</v>
      </c>
      <c r="G378" s="3">
        <v>0</v>
      </c>
      <c r="H378" s="3">
        <v>80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9</v>
      </c>
      <c r="R378" s="3">
        <v>0</v>
      </c>
      <c r="S378" s="3">
        <v>0</v>
      </c>
      <c r="T378" s="3">
        <f t="shared" si="5"/>
        <v>128643107</v>
      </c>
    </row>
    <row r="379" spans="1:20" x14ac:dyDescent="0.25">
      <c r="A379" s="2">
        <v>46035</v>
      </c>
      <c r="B379" s="3">
        <v>47823368</v>
      </c>
      <c r="C379" s="3">
        <v>30067190</v>
      </c>
      <c r="D379" s="3">
        <v>0</v>
      </c>
      <c r="E379" s="3">
        <v>3382798</v>
      </c>
      <c r="F379" s="3">
        <v>2487</v>
      </c>
      <c r="G379" s="3">
        <v>0</v>
      </c>
      <c r="H379" s="3">
        <v>10557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249</v>
      </c>
      <c r="O379" s="3">
        <v>0</v>
      </c>
      <c r="P379" s="3">
        <v>0</v>
      </c>
      <c r="Q379" s="3">
        <v>9</v>
      </c>
      <c r="R379" s="3">
        <v>0</v>
      </c>
      <c r="S379" s="3">
        <v>0</v>
      </c>
      <c r="T379" s="3">
        <f t="shared" si="5"/>
        <v>81286658</v>
      </c>
    </row>
    <row r="380" spans="1:20" x14ac:dyDescent="0.25">
      <c r="A380" s="2">
        <v>46036</v>
      </c>
      <c r="B380" s="3">
        <v>61396626</v>
      </c>
      <c r="C380" s="3">
        <v>46813316</v>
      </c>
      <c r="D380" s="3">
        <v>0</v>
      </c>
      <c r="E380" s="3">
        <v>3493745</v>
      </c>
      <c r="F380" s="3">
        <v>613</v>
      </c>
      <c r="G380" s="3">
        <v>0</v>
      </c>
      <c r="H380" s="3">
        <v>89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8</v>
      </c>
      <c r="R380" s="3">
        <v>0</v>
      </c>
      <c r="S380" s="3">
        <v>0</v>
      </c>
      <c r="T380" s="3">
        <f t="shared" si="5"/>
        <v>111704397</v>
      </c>
    </row>
    <row r="381" spans="1:20" x14ac:dyDescent="0.25">
      <c r="A381" s="2">
        <v>46037</v>
      </c>
      <c r="B381" s="3">
        <v>45422794</v>
      </c>
      <c r="C381" s="3">
        <v>19077633</v>
      </c>
      <c r="D381" s="3">
        <v>0</v>
      </c>
      <c r="E381" s="3">
        <v>4705349</v>
      </c>
      <c r="F381" s="3">
        <v>5075</v>
      </c>
      <c r="G381" s="3">
        <v>0</v>
      </c>
      <c r="H381" s="3">
        <v>156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f t="shared" si="5"/>
        <v>69211007</v>
      </c>
    </row>
    <row r="382" spans="1:20" x14ac:dyDescent="0.25">
      <c r="A382" s="2">
        <v>46038</v>
      </c>
      <c r="B382" s="3">
        <v>26722861</v>
      </c>
      <c r="C382" s="3">
        <v>19825928</v>
      </c>
      <c r="D382" s="3">
        <v>0</v>
      </c>
      <c r="E382" s="3">
        <v>6401515</v>
      </c>
      <c r="F382" s="3">
        <v>474</v>
      </c>
      <c r="G382" s="3">
        <v>0</v>
      </c>
      <c r="H382" s="3">
        <v>167</v>
      </c>
      <c r="I382" s="3">
        <v>0</v>
      </c>
      <c r="J382" s="3">
        <v>19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12</v>
      </c>
      <c r="R382" s="3">
        <v>0</v>
      </c>
      <c r="S382" s="3">
        <v>0</v>
      </c>
      <c r="T382" s="3">
        <f t="shared" si="5"/>
        <v>52950976</v>
      </c>
    </row>
    <row r="383" spans="1:20" x14ac:dyDescent="0.25">
      <c r="A383" s="2">
        <v>46039</v>
      </c>
      <c r="B383" s="3">
        <v>73932</v>
      </c>
      <c r="C383" s="3">
        <v>3598378</v>
      </c>
      <c r="D383" s="3">
        <v>0</v>
      </c>
      <c r="E383" s="3">
        <v>281944</v>
      </c>
      <c r="F383" s="3">
        <v>287</v>
      </c>
      <c r="G383" s="3">
        <v>0</v>
      </c>
      <c r="H383" s="3">
        <v>19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21</v>
      </c>
      <c r="R383" s="3">
        <v>0</v>
      </c>
      <c r="S383" s="3">
        <v>0</v>
      </c>
      <c r="T383" s="3">
        <f t="shared" si="5"/>
        <v>3954581</v>
      </c>
    </row>
    <row r="384" spans="1:20" x14ac:dyDescent="0.25">
      <c r="A384" s="2">
        <v>46040</v>
      </c>
      <c r="B384" s="3">
        <v>4097</v>
      </c>
      <c r="C384" s="3">
        <v>3795891</v>
      </c>
      <c r="D384" s="3">
        <v>0</v>
      </c>
      <c r="E384" s="3">
        <v>267883</v>
      </c>
      <c r="F384" s="3">
        <v>1184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48</v>
      </c>
      <c r="O384" s="3">
        <v>0</v>
      </c>
      <c r="P384" s="3">
        <v>0</v>
      </c>
      <c r="Q384" s="3">
        <v>41</v>
      </c>
      <c r="R384" s="3">
        <v>0</v>
      </c>
      <c r="S384" s="3">
        <v>0</v>
      </c>
      <c r="T384" s="3">
        <f t="shared" si="5"/>
        <v>4069144</v>
      </c>
    </row>
    <row r="385" spans="1:20" x14ac:dyDescent="0.25">
      <c r="A385" s="2">
        <v>46041</v>
      </c>
      <c r="B385" s="3">
        <v>30726</v>
      </c>
      <c r="C385" s="3">
        <v>13168387</v>
      </c>
      <c r="D385" s="3">
        <v>0</v>
      </c>
      <c r="E385" s="3">
        <v>1631473</v>
      </c>
      <c r="F385" s="3">
        <v>1249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11185</v>
      </c>
      <c r="O385" s="3">
        <v>0</v>
      </c>
      <c r="P385" s="3">
        <v>0</v>
      </c>
      <c r="Q385" s="3">
        <v>21</v>
      </c>
      <c r="R385" s="3">
        <v>0</v>
      </c>
      <c r="S385" s="3">
        <v>0</v>
      </c>
      <c r="T385" s="3">
        <f t="shared" si="5"/>
        <v>14843041</v>
      </c>
    </row>
    <row r="386" spans="1:20" x14ac:dyDescent="0.25">
      <c r="A386" s="2">
        <v>46042</v>
      </c>
      <c r="B386" s="3">
        <v>43164048</v>
      </c>
      <c r="C386" s="3">
        <v>29138056</v>
      </c>
      <c r="D386" s="3">
        <v>0</v>
      </c>
      <c r="E386" s="3">
        <v>8454266</v>
      </c>
      <c r="F386" s="3">
        <v>184</v>
      </c>
      <c r="G386" s="3">
        <v>0</v>
      </c>
      <c r="H386" s="3">
        <v>357</v>
      </c>
      <c r="I386" s="3">
        <v>0</v>
      </c>
      <c r="J386" s="3">
        <v>32138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21</v>
      </c>
      <c r="R386" s="3">
        <v>0</v>
      </c>
      <c r="S386" s="3">
        <v>0</v>
      </c>
      <c r="T386" s="3">
        <f t="shared" ref="T386:T449" si="6">SUM(B386:S386)</f>
        <v>80789070</v>
      </c>
    </row>
    <row r="387" spans="1:20" x14ac:dyDescent="0.25">
      <c r="A387" s="2">
        <v>46043</v>
      </c>
      <c r="B387" s="3">
        <v>41135531</v>
      </c>
      <c r="C387" s="3">
        <v>32478931</v>
      </c>
      <c r="D387" s="3">
        <v>0</v>
      </c>
      <c r="E387" s="3">
        <v>6336405</v>
      </c>
      <c r="F387" s="3">
        <v>215</v>
      </c>
      <c r="G387" s="3">
        <v>0</v>
      </c>
      <c r="H387" s="3">
        <v>299</v>
      </c>
      <c r="I387" s="3">
        <v>0</v>
      </c>
      <c r="J387" s="3">
        <v>148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13</v>
      </c>
      <c r="R387" s="3">
        <v>0</v>
      </c>
      <c r="S387" s="3">
        <v>0</v>
      </c>
      <c r="T387" s="3">
        <f t="shared" si="6"/>
        <v>79951542</v>
      </c>
    </row>
    <row r="388" spans="1:20" x14ac:dyDescent="0.25">
      <c r="A388" s="2">
        <v>46044</v>
      </c>
      <c r="B388" s="3">
        <v>24647670</v>
      </c>
      <c r="C388" s="3">
        <v>19894464</v>
      </c>
      <c r="D388" s="3">
        <v>0</v>
      </c>
      <c r="E388" s="3">
        <v>5428547</v>
      </c>
      <c r="F388" s="3">
        <v>1334</v>
      </c>
      <c r="G388" s="3">
        <v>0</v>
      </c>
      <c r="H388" s="3">
        <v>6890</v>
      </c>
      <c r="I388" s="3">
        <v>0</v>
      </c>
      <c r="J388" s="3">
        <v>73</v>
      </c>
      <c r="K388" s="3">
        <v>0</v>
      </c>
      <c r="L388" s="3">
        <v>0</v>
      </c>
      <c r="M388" s="3">
        <v>0</v>
      </c>
      <c r="N388" s="3">
        <v>12611</v>
      </c>
      <c r="O388" s="3">
        <v>0</v>
      </c>
      <c r="P388" s="3">
        <v>0</v>
      </c>
      <c r="Q388" s="3">
        <v>10</v>
      </c>
      <c r="R388" s="3">
        <v>0</v>
      </c>
      <c r="S388" s="3">
        <v>0</v>
      </c>
      <c r="T388" s="3">
        <f t="shared" si="6"/>
        <v>49991599</v>
      </c>
    </row>
    <row r="389" spans="1:20" x14ac:dyDescent="0.25">
      <c r="A389" s="2">
        <v>46045</v>
      </c>
      <c r="B389" s="3">
        <v>45060060</v>
      </c>
      <c r="C389" s="3">
        <v>21685727</v>
      </c>
      <c r="D389" s="3">
        <v>0</v>
      </c>
      <c r="E389" s="3">
        <v>5823541</v>
      </c>
      <c r="F389" s="3">
        <v>3275</v>
      </c>
      <c r="G389" s="3">
        <v>0</v>
      </c>
      <c r="H389" s="3">
        <v>230</v>
      </c>
      <c r="I389" s="3">
        <v>0</v>
      </c>
      <c r="J389" s="3">
        <v>0</v>
      </c>
      <c r="K389" s="3">
        <v>0</v>
      </c>
      <c r="L389" s="3">
        <v>0</v>
      </c>
      <c r="M389" s="3">
        <v>100</v>
      </c>
      <c r="N389" s="3">
        <v>1</v>
      </c>
      <c r="O389" s="3">
        <v>0</v>
      </c>
      <c r="P389" s="3">
        <v>0</v>
      </c>
      <c r="Q389" s="3">
        <v>10</v>
      </c>
      <c r="R389" s="3">
        <v>0</v>
      </c>
      <c r="S389" s="3">
        <v>0</v>
      </c>
      <c r="T389" s="3">
        <f t="shared" si="6"/>
        <v>72572944</v>
      </c>
    </row>
    <row r="390" spans="1:20" x14ac:dyDescent="0.25">
      <c r="A390" s="2">
        <v>46046</v>
      </c>
      <c r="B390" s="3">
        <v>359569</v>
      </c>
      <c r="C390" s="3">
        <v>4976974</v>
      </c>
      <c r="D390" s="3">
        <v>0</v>
      </c>
      <c r="E390" s="3">
        <v>878991</v>
      </c>
      <c r="F390" s="3">
        <v>519</v>
      </c>
      <c r="G390" s="3">
        <v>0</v>
      </c>
      <c r="H390" s="3">
        <v>139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10</v>
      </c>
      <c r="R390" s="3">
        <v>0</v>
      </c>
      <c r="S390" s="3">
        <v>0</v>
      </c>
      <c r="T390" s="3">
        <f t="shared" si="6"/>
        <v>6216202</v>
      </c>
    </row>
    <row r="391" spans="1:20" x14ac:dyDescent="0.25">
      <c r="A391" s="2">
        <v>46047</v>
      </c>
      <c r="B391" s="3">
        <v>50688</v>
      </c>
      <c r="C391" s="3">
        <v>5723765</v>
      </c>
      <c r="D391" s="3">
        <v>0</v>
      </c>
      <c r="E391" s="3">
        <v>6408375</v>
      </c>
      <c r="F391" s="3">
        <v>507</v>
      </c>
      <c r="G391" s="3">
        <v>0</v>
      </c>
      <c r="H391" s="3">
        <v>169</v>
      </c>
      <c r="I391" s="3">
        <v>0</v>
      </c>
      <c r="J391" s="3">
        <v>3041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10</v>
      </c>
      <c r="R391" s="3">
        <v>0</v>
      </c>
      <c r="S391" s="3">
        <v>0</v>
      </c>
      <c r="T391" s="3">
        <f t="shared" si="6"/>
        <v>12186555</v>
      </c>
    </row>
    <row r="392" spans="1:20" x14ac:dyDescent="0.25">
      <c r="A392" s="2">
        <v>46048</v>
      </c>
      <c r="B392" s="3">
        <v>37020993</v>
      </c>
      <c r="C392" s="3">
        <v>15186992</v>
      </c>
      <c r="D392" s="3">
        <v>0</v>
      </c>
      <c r="E392" s="3">
        <v>3584261</v>
      </c>
      <c r="F392" s="3">
        <v>388</v>
      </c>
      <c r="G392" s="3">
        <v>0</v>
      </c>
      <c r="H392" s="3">
        <v>527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3520</v>
      </c>
      <c r="O392" s="3">
        <v>0</v>
      </c>
      <c r="P392" s="3">
        <v>0</v>
      </c>
      <c r="Q392" s="3">
        <v>10</v>
      </c>
      <c r="R392" s="3">
        <v>628</v>
      </c>
      <c r="S392" s="3">
        <v>0</v>
      </c>
      <c r="T392" s="3">
        <f t="shared" si="6"/>
        <v>55797319</v>
      </c>
    </row>
    <row r="393" spans="1:20" x14ac:dyDescent="0.25">
      <c r="A393" s="2">
        <v>46049</v>
      </c>
      <c r="B393" s="3">
        <v>45790941</v>
      </c>
      <c r="C393" s="3">
        <v>16591245</v>
      </c>
      <c r="D393" s="3">
        <v>0</v>
      </c>
      <c r="E393" s="3">
        <v>6854680</v>
      </c>
      <c r="F393" s="3">
        <v>304</v>
      </c>
      <c r="G393" s="3">
        <v>0</v>
      </c>
      <c r="H393" s="3">
        <v>496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21</v>
      </c>
      <c r="R393" s="3">
        <v>0</v>
      </c>
      <c r="S393" s="3">
        <v>0</v>
      </c>
      <c r="T393" s="3">
        <f t="shared" si="6"/>
        <v>69237687</v>
      </c>
    </row>
    <row r="394" spans="1:20" x14ac:dyDescent="0.25">
      <c r="A394" s="2">
        <v>46050</v>
      </c>
      <c r="B394" s="3">
        <v>128508037</v>
      </c>
      <c r="C394" s="3">
        <v>41576993</v>
      </c>
      <c r="D394" s="3">
        <v>0</v>
      </c>
      <c r="E394" s="3">
        <v>19446193</v>
      </c>
      <c r="F394" s="3">
        <v>951</v>
      </c>
      <c r="G394" s="3">
        <v>0</v>
      </c>
      <c r="H394" s="3">
        <v>131</v>
      </c>
      <c r="I394" s="3">
        <v>0</v>
      </c>
      <c r="J394" s="3">
        <v>20019</v>
      </c>
      <c r="K394" s="3">
        <v>0</v>
      </c>
      <c r="L394" s="3">
        <v>0</v>
      </c>
      <c r="M394" s="3">
        <v>0</v>
      </c>
      <c r="N394" s="3">
        <v>19</v>
      </c>
      <c r="O394" s="3">
        <v>0</v>
      </c>
      <c r="P394" s="3">
        <v>0</v>
      </c>
      <c r="Q394" s="3">
        <v>10</v>
      </c>
      <c r="R394" s="3">
        <v>196</v>
      </c>
      <c r="S394" s="3">
        <v>0</v>
      </c>
      <c r="T394" s="3">
        <f t="shared" si="6"/>
        <v>189552549</v>
      </c>
    </row>
    <row r="395" spans="1:20" x14ac:dyDescent="0.25">
      <c r="A395" s="2">
        <v>46051</v>
      </c>
      <c r="B395" s="3">
        <v>19904748</v>
      </c>
      <c r="C395" s="3">
        <v>58639610</v>
      </c>
      <c r="D395" s="3">
        <v>0</v>
      </c>
      <c r="E395" s="3">
        <v>47627883</v>
      </c>
      <c r="F395" s="3">
        <v>2094</v>
      </c>
      <c r="G395" s="3">
        <v>0</v>
      </c>
      <c r="H395" s="3">
        <v>4653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13</v>
      </c>
      <c r="R395" s="3">
        <v>0</v>
      </c>
      <c r="S395" s="3">
        <v>0</v>
      </c>
      <c r="T395" s="3">
        <f t="shared" si="6"/>
        <v>126179001</v>
      </c>
    </row>
    <row r="396" spans="1:20" x14ac:dyDescent="0.25">
      <c r="A396" s="2">
        <v>46052</v>
      </c>
      <c r="B396" s="3">
        <v>24869652</v>
      </c>
      <c r="C396" s="3">
        <v>32266152</v>
      </c>
      <c r="D396" s="3">
        <v>0</v>
      </c>
      <c r="E396" s="3">
        <v>18321530</v>
      </c>
      <c r="F396" s="3">
        <v>1115</v>
      </c>
      <c r="G396" s="3">
        <v>0</v>
      </c>
      <c r="H396" s="3">
        <v>17986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8</v>
      </c>
      <c r="O396" s="3">
        <v>0</v>
      </c>
      <c r="P396" s="3">
        <v>0</v>
      </c>
      <c r="Q396" s="3">
        <v>1</v>
      </c>
      <c r="R396" s="3">
        <v>0</v>
      </c>
      <c r="S396" s="3">
        <v>0</v>
      </c>
      <c r="T396" s="3">
        <f t="shared" si="6"/>
        <v>75476444</v>
      </c>
    </row>
    <row r="397" spans="1:20" x14ac:dyDescent="0.25">
      <c r="A397" s="2">
        <v>46053</v>
      </c>
      <c r="B397" s="3">
        <v>586506</v>
      </c>
      <c r="C397" s="3">
        <v>26455466</v>
      </c>
      <c r="D397" s="3">
        <v>0</v>
      </c>
      <c r="E397" s="3">
        <v>6243357</v>
      </c>
      <c r="F397" s="3">
        <v>75</v>
      </c>
      <c r="G397" s="3">
        <v>0</v>
      </c>
      <c r="H397" s="3">
        <v>222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10</v>
      </c>
      <c r="R397" s="3">
        <v>0</v>
      </c>
      <c r="S397" s="3">
        <v>0</v>
      </c>
      <c r="T397" s="3">
        <f t="shared" si="6"/>
        <v>33285636</v>
      </c>
    </row>
    <row r="398" spans="1:20" x14ac:dyDescent="0.25">
      <c r="A398" s="2">
        <v>46054</v>
      </c>
      <c r="B398" s="3">
        <v>82898</v>
      </c>
      <c r="C398" s="3">
        <v>9653833</v>
      </c>
      <c r="D398" s="3">
        <v>0</v>
      </c>
      <c r="E398" s="3">
        <v>1578289</v>
      </c>
      <c r="F398" s="3">
        <v>69</v>
      </c>
      <c r="G398" s="3">
        <v>0</v>
      </c>
      <c r="H398" s="3">
        <v>143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102</v>
      </c>
      <c r="O398" s="3">
        <v>0</v>
      </c>
      <c r="P398" s="3">
        <v>0</v>
      </c>
      <c r="Q398" s="3">
        <v>10</v>
      </c>
      <c r="R398" s="3">
        <v>1</v>
      </c>
      <c r="S398" s="3">
        <v>0</v>
      </c>
      <c r="T398" s="3">
        <f t="shared" si="6"/>
        <v>11315345</v>
      </c>
    </row>
    <row r="399" spans="1:20" x14ac:dyDescent="0.25">
      <c r="A399" s="2">
        <v>46055</v>
      </c>
      <c r="B399" s="3">
        <v>27722530</v>
      </c>
      <c r="C399" s="3">
        <v>27114007</v>
      </c>
      <c r="D399" s="3">
        <v>0</v>
      </c>
      <c r="E399" s="3">
        <v>14914964</v>
      </c>
      <c r="F399" s="3">
        <v>438</v>
      </c>
      <c r="G399" s="3">
        <v>0</v>
      </c>
      <c r="H399" s="3">
        <v>2140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21</v>
      </c>
      <c r="R399" s="3">
        <v>0</v>
      </c>
      <c r="S399" s="3">
        <v>0</v>
      </c>
      <c r="T399" s="3">
        <f t="shared" si="6"/>
        <v>69754100</v>
      </c>
    </row>
    <row r="400" spans="1:20" x14ac:dyDescent="0.25">
      <c r="A400" s="2">
        <v>46056</v>
      </c>
      <c r="B400" s="3">
        <v>21925965</v>
      </c>
      <c r="C400" s="3">
        <v>44905471</v>
      </c>
      <c r="D400" s="3">
        <v>0</v>
      </c>
      <c r="E400" s="3">
        <v>8523400</v>
      </c>
      <c r="F400" s="3">
        <v>1089</v>
      </c>
      <c r="G400" s="3">
        <v>0</v>
      </c>
      <c r="H400" s="3">
        <v>776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18829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f t="shared" si="6"/>
        <v>75375530</v>
      </c>
    </row>
    <row r="401" spans="1:20" x14ac:dyDescent="0.25">
      <c r="A401" s="2">
        <v>46057</v>
      </c>
      <c r="B401" s="3">
        <v>96963286</v>
      </c>
      <c r="C401" s="3">
        <v>32315804</v>
      </c>
      <c r="D401" s="3">
        <v>0</v>
      </c>
      <c r="E401" s="3">
        <v>42784660</v>
      </c>
      <c r="F401" s="3">
        <v>293</v>
      </c>
      <c r="G401" s="3">
        <v>0</v>
      </c>
      <c r="H401" s="3">
        <v>737</v>
      </c>
      <c r="I401" s="3">
        <v>22</v>
      </c>
      <c r="J401" s="3">
        <v>0</v>
      </c>
      <c r="K401" s="3">
        <v>0</v>
      </c>
      <c r="L401" s="3">
        <v>0</v>
      </c>
      <c r="M401" s="3">
        <v>0</v>
      </c>
      <c r="N401" s="3">
        <v>500</v>
      </c>
      <c r="O401" s="3">
        <v>0</v>
      </c>
      <c r="P401" s="3">
        <v>0</v>
      </c>
      <c r="Q401" s="3">
        <v>0</v>
      </c>
      <c r="R401" s="3">
        <v>2</v>
      </c>
      <c r="S401" s="3">
        <v>0</v>
      </c>
      <c r="T401" s="3">
        <f t="shared" si="6"/>
        <v>172065304</v>
      </c>
    </row>
    <row r="402" spans="1:20" x14ac:dyDescent="0.25">
      <c r="A402" s="2">
        <v>46058</v>
      </c>
      <c r="B402" s="3">
        <v>22488991</v>
      </c>
      <c r="C402" s="3">
        <v>40159976</v>
      </c>
      <c r="D402" s="3">
        <v>0</v>
      </c>
      <c r="E402" s="3">
        <v>11835129</v>
      </c>
      <c r="F402" s="3">
        <v>1322</v>
      </c>
      <c r="G402" s="3">
        <v>0</v>
      </c>
      <c r="H402" s="3">
        <v>2652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8720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f t="shared" si="6"/>
        <v>74496790</v>
      </c>
    </row>
    <row r="403" spans="1:20" x14ac:dyDescent="0.25">
      <c r="A403" s="2">
        <v>46059</v>
      </c>
      <c r="B403" s="3">
        <v>44649176</v>
      </c>
      <c r="C403" s="3">
        <v>27830372</v>
      </c>
      <c r="D403" s="3">
        <v>0</v>
      </c>
      <c r="E403" s="3">
        <v>8165519</v>
      </c>
      <c r="F403" s="3">
        <v>22213</v>
      </c>
      <c r="G403" s="3">
        <v>0</v>
      </c>
      <c r="H403" s="3">
        <v>1743</v>
      </c>
      <c r="I403" s="3">
        <v>5</v>
      </c>
      <c r="J403" s="3">
        <v>0</v>
      </c>
      <c r="K403" s="3">
        <v>0</v>
      </c>
      <c r="L403" s="3">
        <v>0</v>
      </c>
      <c r="M403" s="3">
        <v>0</v>
      </c>
      <c r="N403" s="3">
        <v>439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f t="shared" si="6"/>
        <v>80669467</v>
      </c>
    </row>
    <row r="404" spans="1:20" x14ac:dyDescent="0.25">
      <c r="A404" s="2">
        <v>46060</v>
      </c>
      <c r="B404" s="3">
        <v>993502</v>
      </c>
      <c r="C404" s="3">
        <v>4958153</v>
      </c>
      <c r="D404" s="3">
        <v>0</v>
      </c>
      <c r="E404" s="3">
        <v>1472153</v>
      </c>
      <c r="F404" s="3">
        <v>6911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f t="shared" si="6"/>
        <v>7430719</v>
      </c>
    </row>
    <row r="405" spans="1:20" x14ac:dyDescent="0.25">
      <c r="A405" s="2">
        <v>46061</v>
      </c>
      <c r="B405" s="3">
        <v>250700</v>
      </c>
      <c r="C405" s="3">
        <v>3905156</v>
      </c>
      <c r="D405" s="3">
        <v>0</v>
      </c>
      <c r="E405" s="3">
        <v>777221</v>
      </c>
      <c r="F405" s="3">
        <v>1640</v>
      </c>
      <c r="G405" s="3">
        <v>0</v>
      </c>
      <c r="H405" s="3">
        <v>110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f t="shared" si="6"/>
        <v>4934827</v>
      </c>
    </row>
    <row r="406" spans="1:20" x14ac:dyDescent="0.25">
      <c r="A406" s="2">
        <v>46062</v>
      </c>
      <c r="B406" s="3">
        <v>52780240</v>
      </c>
      <c r="C406" s="3">
        <v>22177097</v>
      </c>
      <c r="D406" s="3">
        <v>0</v>
      </c>
      <c r="E406" s="3">
        <v>8584939</v>
      </c>
      <c r="F406" s="3">
        <v>6376</v>
      </c>
      <c r="G406" s="3">
        <v>0</v>
      </c>
      <c r="H406" s="3">
        <v>19250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26313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f t="shared" si="6"/>
        <v>83594215</v>
      </c>
    </row>
    <row r="407" spans="1:20" x14ac:dyDescent="0.25">
      <c r="A407" s="2">
        <v>46063</v>
      </c>
      <c r="B407" s="3">
        <v>44120436</v>
      </c>
      <c r="C407" s="3">
        <v>20603849</v>
      </c>
      <c r="D407" s="3">
        <v>0</v>
      </c>
      <c r="E407" s="3">
        <v>10751586</v>
      </c>
      <c r="F407" s="3">
        <v>17390</v>
      </c>
      <c r="G407" s="3">
        <v>0</v>
      </c>
      <c r="H407" s="3">
        <v>3551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8346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f t="shared" si="6"/>
        <v>75505158</v>
      </c>
    </row>
    <row r="408" spans="1:20" x14ac:dyDescent="0.25">
      <c r="A408" s="2">
        <v>46064</v>
      </c>
      <c r="B408" s="3">
        <v>44942800</v>
      </c>
      <c r="C408" s="3">
        <v>20956448</v>
      </c>
      <c r="D408" s="3">
        <v>0</v>
      </c>
      <c r="E408" s="3">
        <v>9270354</v>
      </c>
      <c r="F408" s="3">
        <v>4576</v>
      </c>
      <c r="G408" s="3">
        <v>0</v>
      </c>
      <c r="H408" s="3">
        <v>683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26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f t="shared" si="6"/>
        <v>75174887</v>
      </c>
    </row>
    <row r="409" spans="1:20" x14ac:dyDescent="0.25">
      <c r="A409" s="2">
        <v>46065</v>
      </c>
      <c r="B409" s="3">
        <v>38606725</v>
      </c>
      <c r="C409" s="3">
        <v>17399329</v>
      </c>
      <c r="D409" s="3">
        <v>0</v>
      </c>
      <c r="E409" s="3">
        <v>7516123</v>
      </c>
      <c r="F409" s="3">
        <v>10263</v>
      </c>
      <c r="G409" s="3">
        <v>0</v>
      </c>
      <c r="H409" s="3">
        <v>1184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10</v>
      </c>
      <c r="O409" s="3">
        <v>0</v>
      </c>
      <c r="P409" s="3">
        <v>0</v>
      </c>
      <c r="Q409" s="3">
        <v>1</v>
      </c>
      <c r="R409" s="3">
        <v>0</v>
      </c>
      <c r="S409" s="3">
        <v>0</v>
      </c>
      <c r="T409" s="3">
        <f t="shared" si="6"/>
        <v>63533635</v>
      </c>
    </row>
    <row r="410" spans="1:20" x14ac:dyDescent="0.25">
      <c r="A410" s="2">
        <v>46066</v>
      </c>
      <c r="B410" s="3">
        <v>26198446</v>
      </c>
      <c r="C410" s="3">
        <v>17152883</v>
      </c>
      <c r="D410" s="3">
        <v>0</v>
      </c>
      <c r="E410" s="3">
        <v>10670363</v>
      </c>
      <c r="F410" s="3">
        <v>26330</v>
      </c>
      <c r="G410" s="3">
        <v>0</v>
      </c>
      <c r="H410" s="3">
        <v>4632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317</v>
      </c>
      <c r="O410" s="3">
        <v>0</v>
      </c>
      <c r="P410" s="3">
        <v>0</v>
      </c>
      <c r="Q410" s="3">
        <v>0</v>
      </c>
      <c r="R410" s="3">
        <v>624</v>
      </c>
      <c r="S410" s="3">
        <v>0</v>
      </c>
      <c r="T410" s="3">
        <f t="shared" si="6"/>
        <v>54053595</v>
      </c>
    </row>
    <row r="411" spans="1:20" x14ac:dyDescent="0.25">
      <c r="A411" s="2">
        <v>46067</v>
      </c>
      <c r="B411" s="3">
        <v>247174</v>
      </c>
      <c r="C411" s="3">
        <v>3738959</v>
      </c>
      <c r="D411" s="3">
        <v>0</v>
      </c>
      <c r="E411" s="3">
        <v>1244555</v>
      </c>
      <c r="F411" s="3">
        <v>1870</v>
      </c>
      <c r="G411" s="3">
        <v>0</v>
      </c>
      <c r="H411" s="3">
        <v>57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642</v>
      </c>
      <c r="S411" s="3">
        <v>0</v>
      </c>
      <c r="T411" s="3">
        <f t="shared" si="6"/>
        <v>5233257</v>
      </c>
    </row>
    <row r="412" spans="1:20" x14ac:dyDescent="0.25">
      <c r="A412" s="2">
        <v>46068</v>
      </c>
      <c r="B412" s="3">
        <v>149210</v>
      </c>
      <c r="C412" s="3">
        <v>2850330</v>
      </c>
      <c r="D412" s="3">
        <v>0</v>
      </c>
      <c r="E412" s="3">
        <v>296523</v>
      </c>
      <c r="F412" s="3">
        <v>972</v>
      </c>
      <c r="G412" s="3">
        <v>0</v>
      </c>
      <c r="H412" s="3">
        <v>76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1</v>
      </c>
      <c r="R412" s="3">
        <v>0</v>
      </c>
      <c r="S412" s="3">
        <v>0</v>
      </c>
      <c r="T412" s="3">
        <f t="shared" si="6"/>
        <v>3297112</v>
      </c>
    </row>
    <row r="413" spans="1:20" x14ac:dyDescent="0.25">
      <c r="A413" s="2">
        <v>46069</v>
      </c>
      <c r="B413" s="3">
        <v>3971</v>
      </c>
      <c r="C413" s="3">
        <v>3291045</v>
      </c>
      <c r="D413" s="3">
        <v>0</v>
      </c>
      <c r="E413" s="3">
        <v>417211</v>
      </c>
      <c r="F413" s="3">
        <v>6842</v>
      </c>
      <c r="G413" s="3">
        <v>13057300</v>
      </c>
      <c r="H413" s="3">
        <v>1986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1029</v>
      </c>
      <c r="O413" s="3">
        <v>787</v>
      </c>
      <c r="P413" s="3">
        <v>0</v>
      </c>
      <c r="Q413" s="3">
        <v>0</v>
      </c>
      <c r="R413" s="3">
        <v>615</v>
      </c>
      <c r="S413" s="3">
        <v>0</v>
      </c>
      <c r="T413" s="3">
        <f t="shared" si="6"/>
        <v>16780786</v>
      </c>
    </row>
    <row r="414" spans="1:20" x14ac:dyDescent="0.25">
      <c r="A414" s="2">
        <v>46070</v>
      </c>
      <c r="B414" s="3">
        <v>41451094</v>
      </c>
      <c r="C414" s="3">
        <v>22331920</v>
      </c>
      <c r="D414" s="3">
        <v>0</v>
      </c>
      <c r="E414" s="3">
        <v>10561458</v>
      </c>
      <c r="F414" s="3">
        <v>32287</v>
      </c>
      <c r="G414" s="3">
        <v>0</v>
      </c>
      <c r="H414" s="3">
        <v>6214</v>
      </c>
      <c r="I414" s="3">
        <v>0</v>
      </c>
      <c r="J414" s="3">
        <v>0</v>
      </c>
      <c r="K414" s="3">
        <v>31</v>
      </c>
      <c r="L414" s="3">
        <v>0</v>
      </c>
      <c r="M414" s="3">
        <v>0</v>
      </c>
      <c r="N414" s="3">
        <v>12523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f t="shared" si="6"/>
        <v>74395527</v>
      </c>
    </row>
    <row r="415" spans="1:20" x14ac:dyDescent="0.25">
      <c r="A415" s="2">
        <v>46071</v>
      </c>
      <c r="B415" s="3">
        <v>62420957</v>
      </c>
      <c r="C415" s="3">
        <v>15555355</v>
      </c>
      <c r="D415" s="3">
        <v>0</v>
      </c>
      <c r="E415" s="3">
        <v>19557642</v>
      </c>
      <c r="F415" s="3">
        <v>58391</v>
      </c>
      <c r="G415" s="3">
        <v>161481435</v>
      </c>
      <c r="H415" s="3">
        <v>4890</v>
      </c>
      <c r="I415" s="3">
        <v>18</v>
      </c>
      <c r="J415" s="3">
        <v>0</v>
      </c>
      <c r="K415" s="3">
        <v>0</v>
      </c>
      <c r="L415" s="3">
        <v>0</v>
      </c>
      <c r="M415" s="3">
        <v>0</v>
      </c>
      <c r="N415" s="3">
        <v>597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f t="shared" si="6"/>
        <v>259079285</v>
      </c>
    </row>
    <row r="416" spans="1:20" x14ac:dyDescent="0.25">
      <c r="A416" s="2">
        <v>46072</v>
      </c>
      <c r="B416" s="3">
        <v>13349740</v>
      </c>
      <c r="C416" s="3">
        <v>19566702</v>
      </c>
      <c r="D416" s="3">
        <v>0</v>
      </c>
      <c r="E416" s="3">
        <v>5517058</v>
      </c>
      <c r="F416" s="3">
        <v>27068</v>
      </c>
      <c r="G416" s="3">
        <v>7645283</v>
      </c>
      <c r="H416" s="3">
        <v>1496</v>
      </c>
      <c r="I416" s="3">
        <v>656</v>
      </c>
      <c r="J416" s="3">
        <v>0</v>
      </c>
      <c r="K416" s="3">
        <v>0</v>
      </c>
      <c r="L416" s="3">
        <v>0</v>
      </c>
      <c r="M416" s="3">
        <v>0</v>
      </c>
      <c r="N416" s="3">
        <v>40</v>
      </c>
      <c r="O416" s="3">
        <v>775</v>
      </c>
      <c r="P416" s="3">
        <v>0</v>
      </c>
      <c r="Q416" s="3">
        <v>0</v>
      </c>
      <c r="R416" s="3">
        <v>0</v>
      </c>
      <c r="S416" s="3">
        <v>0</v>
      </c>
      <c r="T416" s="3">
        <f t="shared" si="6"/>
        <v>46108818</v>
      </c>
    </row>
    <row r="417" spans="1:20" x14ac:dyDescent="0.25">
      <c r="A417" s="2">
        <v>46073</v>
      </c>
      <c r="B417" s="3">
        <v>6558800</v>
      </c>
      <c r="C417" s="3">
        <v>21070939</v>
      </c>
      <c r="D417" s="3">
        <v>0</v>
      </c>
      <c r="E417" s="3">
        <v>10808643</v>
      </c>
      <c r="F417" s="3">
        <v>48173</v>
      </c>
      <c r="G417" s="3">
        <v>3794603</v>
      </c>
      <c r="H417" s="3">
        <v>11333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f t="shared" si="6"/>
        <v>42292491</v>
      </c>
    </row>
    <row r="418" spans="1:20" x14ac:dyDescent="0.25">
      <c r="A418" s="2">
        <v>46074</v>
      </c>
      <c r="B418" s="3">
        <v>160869</v>
      </c>
      <c r="C418" s="3">
        <v>3996130</v>
      </c>
      <c r="D418" s="3">
        <v>0</v>
      </c>
      <c r="E418" s="3">
        <v>421041</v>
      </c>
      <c r="F418" s="3">
        <v>21951</v>
      </c>
      <c r="G418" s="3">
        <v>129212</v>
      </c>
      <c r="H418" s="3">
        <v>814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f t="shared" si="6"/>
        <v>4730017</v>
      </c>
    </row>
    <row r="419" spans="1:20" x14ac:dyDescent="0.25">
      <c r="A419" s="2">
        <v>46075</v>
      </c>
      <c r="B419" s="3">
        <v>20676</v>
      </c>
      <c r="C419" s="3">
        <v>4100181</v>
      </c>
      <c r="D419" s="3">
        <v>0</v>
      </c>
      <c r="E419" s="3">
        <v>2070874</v>
      </c>
      <c r="F419" s="3">
        <v>5063</v>
      </c>
      <c r="G419" s="3">
        <v>14997</v>
      </c>
      <c r="H419" s="3">
        <v>70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f t="shared" si="6"/>
        <v>6211861</v>
      </c>
    </row>
    <row r="420" spans="1:20" x14ac:dyDescent="0.25">
      <c r="A420" s="2">
        <v>46076</v>
      </c>
      <c r="B420" s="3">
        <v>14987675</v>
      </c>
      <c r="C420" s="3">
        <v>17555105</v>
      </c>
      <c r="D420" s="3">
        <v>0</v>
      </c>
      <c r="E420" s="3">
        <v>10645827</v>
      </c>
      <c r="F420" s="3">
        <v>108464</v>
      </c>
      <c r="G420" s="3">
        <v>397331</v>
      </c>
      <c r="H420" s="3">
        <v>2468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1081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f t="shared" si="6"/>
        <v>43697951</v>
      </c>
    </row>
    <row r="421" spans="1:20" x14ac:dyDescent="0.25">
      <c r="A421" s="2">
        <v>46077</v>
      </c>
      <c r="B421" s="3">
        <v>30666437</v>
      </c>
      <c r="C421" s="3">
        <v>20541706</v>
      </c>
      <c r="D421" s="3">
        <v>0</v>
      </c>
      <c r="E421" s="3">
        <v>6201006</v>
      </c>
      <c r="F421" s="3">
        <v>72287</v>
      </c>
      <c r="G421" s="3">
        <v>69098</v>
      </c>
      <c r="H421" s="3">
        <v>10794</v>
      </c>
      <c r="I421" s="3">
        <v>0</v>
      </c>
      <c r="J421" s="3">
        <v>0</v>
      </c>
      <c r="K421" s="3">
        <v>0</v>
      </c>
      <c r="L421" s="3">
        <v>3553</v>
      </c>
      <c r="M421" s="3">
        <v>0</v>
      </c>
      <c r="N421" s="3">
        <v>1976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f t="shared" si="6"/>
        <v>57566857</v>
      </c>
    </row>
    <row r="422" spans="1:20" x14ac:dyDescent="0.25">
      <c r="A422" s="2">
        <v>46078</v>
      </c>
      <c r="B422" s="3">
        <v>61027395</v>
      </c>
      <c r="C422" s="3">
        <v>19179161</v>
      </c>
      <c r="D422" s="3">
        <v>0</v>
      </c>
      <c r="E422" s="3">
        <v>10623987</v>
      </c>
      <c r="F422" s="3">
        <v>69433</v>
      </c>
      <c r="G422" s="3">
        <v>1587859</v>
      </c>
      <c r="H422" s="3">
        <v>2359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f t="shared" si="6"/>
        <v>92490194</v>
      </c>
    </row>
    <row r="423" spans="1:20" x14ac:dyDescent="0.25">
      <c r="A423" s="2">
        <v>46079</v>
      </c>
      <c r="B423" s="3">
        <v>24212344</v>
      </c>
      <c r="C423" s="3">
        <v>34468964</v>
      </c>
      <c r="D423" s="3">
        <v>0</v>
      </c>
      <c r="E423" s="3">
        <v>9850456</v>
      </c>
      <c r="F423" s="3">
        <v>123832</v>
      </c>
      <c r="G423" s="3">
        <v>477151</v>
      </c>
      <c r="H423" s="3">
        <v>128038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f t="shared" si="6"/>
        <v>69260785</v>
      </c>
    </row>
    <row r="424" spans="1:20" x14ac:dyDescent="0.25">
      <c r="A424" s="2">
        <v>46080</v>
      </c>
      <c r="B424" s="3">
        <v>21904647</v>
      </c>
      <c r="C424" s="3">
        <v>17204298</v>
      </c>
      <c r="D424" s="3">
        <v>0</v>
      </c>
      <c r="E424" s="3">
        <v>7423103</v>
      </c>
      <c r="F424" s="3">
        <v>81356</v>
      </c>
      <c r="G424" s="3">
        <v>180211</v>
      </c>
      <c r="H424" s="3">
        <v>22305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f t="shared" si="6"/>
        <v>46815920</v>
      </c>
    </row>
    <row r="425" spans="1:20" x14ac:dyDescent="0.25">
      <c r="A425" s="2">
        <v>46081</v>
      </c>
      <c r="B425" s="3">
        <v>924727</v>
      </c>
      <c r="C425" s="3">
        <v>10611632</v>
      </c>
      <c r="D425" s="3">
        <v>0</v>
      </c>
      <c r="E425" s="3">
        <v>1325813</v>
      </c>
      <c r="F425" s="3">
        <v>2435</v>
      </c>
      <c r="G425" s="3">
        <v>60538</v>
      </c>
      <c r="H425" s="3">
        <v>520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f t="shared" si="6"/>
        <v>12925665</v>
      </c>
    </row>
    <row r="426" spans="1:20" x14ac:dyDescent="0.25">
      <c r="A426" s="2">
        <v>46082</v>
      </c>
      <c r="B426" s="3">
        <v>15733</v>
      </c>
      <c r="C426" s="3">
        <v>15947417</v>
      </c>
      <c r="D426" s="3">
        <v>0</v>
      </c>
      <c r="E426" s="3">
        <v>3006230</v>
      </c>
      <c r="F426" s="3">
        <v>5218</v>
      </c>
      <c r="G426" s="3">
        <v>16432</v>
      </c>
      <c r="H426" s="3">
        <v>520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f t="shared" si="6"/>
        <v>18991550</v>
      </c>
    </row>
    <row r="427" spans="1:20" x14ac:dyDescent="0.25">
      <c r="A427" s="2">
        <v>46083</v>
      </c>
      <c r="B427" s="3">
        <v>32893947</v>
      </c>
      <c r="C427" s="3">
        <v>38690487</v>
      </c>
      <c r="D427" s="3">
        <v>0</v>
      </c>
      <c r="E427" s="3">
        <v>11207625</v>
      </c>
      <c r="F427" s="3">
        <v>70511</v>
      </c>
      <c r="G427" s="3">
        <v>85386</v>
      </c>
      <c r="H427" s="3">
        <v>2485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404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f t="shared" si="6"/>
        <v>82950845</v>
      </c>
    </row>
    <row r="428" spans="1:20" x14ac:dyDescent="0.25">
      <c r="A428" s="2">
        <v>46084</v>
      </c>
      <c r="B428" s="3">
        <v>49982114</v>
      </c>
      <c r="C428" s="3">
        <v>25882415</v>
      </c>
      <c r="D428" s="3">
        <v>0</v>
      </c>
      <c r="E428" s="3">
        <v>10638866</v>
      </c>
      <c r="F428" s="3">
        <v>144570</v>
      </c>
      <c r="G428" s="3">
        <v>106589</v>
      </c>
      <c r="H428" s="3">
        <v>2646</v>
      </c>
      <c r="I428" s="3">
        <v>46</v>
      </c>
      <c r="J428" s="3">
        <v>0</v>
      </c>
      <c r="K428" s="3">
        <v>0</v>
      </c>
      <c r="L428" s="3">
        <v>0</v>
      </c>
      <c r="M428" s="3">
        <v>0</v>
      </c>
      <c r="N428" s="3">
        <v>110854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f t="shared" si="6"/>
        <v>86868100</v>
      </c>
    </row>
    <row r="429" spans="1:20" x14ac:dyDescent="0.25">
      <c r="A429" s="2">
        <v>46085</v>
      </c>
      <c r="B429" s="3">
        <v>74797573</v>
      </c>
      <c r="C429" s="3">
        <v>30755788</v>
      </c>
      <c r="D429" s="3">
        <v>0</v>
      </c>
      <c r="E429" s="3">
        <v>58089012</v>
      </c>
      <c r="F429" s="3">
        <v>74622</v>
      </c>
      <c r="G429" s="3">
        <v>176755</v>
      </c>
      <c r="H429" s="3">
        <v>1112</v>
      </c>
      <c r="I429" s="3">
        <v>498</v>
      </c>
      <c r="J429" s="3">
        <v>0</v>
      </c>
      <c r="K429" s="3">
        <v>0</v>
      </c>
      <c r="L429" s="3">
        <v>0</v>
      </c>
      <c r="M429" s="3">
        <v>194</v>
      </c>
      <c r="N429" s="3">
        <v>2206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f t="shared" si="6"/>
        <v>163897760</v>
      </c>
    </row>
    <row r="430" spans="1:20" x14ac:dyDescent="0.25">
      <c r="A430" s="2">
        <v>46086</v>
      </c>
      <c r="B430" s="3">
        <v>35015639</v>
      </c>
      <c r="C430" s="3">
        <v>29821197</v>
      </c>
      <c r="D430" s="3">
        <v>0</v>
      </c>
      <c r="E430" s="3">
        <v>24159693</v>
      </c>
      <c r="F430" s="3">
        <v>133457</v>
      </c>
      <c r="G430" s="3">
        <v>112662</v>
      </c>
      <c r="H430" s="3">
        <v>8644</v>
      </c>
      <c r="I430" s="3">
        <v>2942</v>
      </c>
      <c r="J430" s="3">
        <v>0</v>
      </c>
      <c r="K430" s="3">
        <v>0</v>
      </c>
      <c r="L430" s="3">
        <v>0</v>
      </c>
      <c r="M430" s="3">
        <v>0</v>
      </c>
      <c r="N430" s="3">
        <v>10505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f t="shared" si="6"/>
        <v>89264739</v>
      </c>
    </row>
    <row r="431" spans="1:20" x14ac:dyDescent="0.25">
      <c r="A431" s="2">
        <v>46087</v>
      </c>
      <c r="B431" s="3">
        <v>70957819</v>
      </c>
      <c r="C431" s="3">
        <v>20695115</v>
      </c>
      <c r="D431" s="3">
        <v>0</v>
      </c>
      <c r="E431" s="3">
        <v>5328198</v>
      </c>
      <c r="F431" s="3">
        <v>75727</v>
      </c>
      <c r="G431" s="3">
        <v>34231</v>
      </c>
      <c r="H431" s="3">
        <v>2584</v>
      </c>
      <c r="I431" s="3">
        <v>812</v>
      </c>
      <c r="J431" s="3">
        <v>0</v>
      </c>
      <c r="K431" s="3">
        <v>0</v>
      </c>
      <c r="L431" s="3">
        <v>0</v>
      </c>
      <c r="M431" s="3">
        <v>0</v>
      </c>
      <c r="N431" s="3">
        <v>356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f t="shared" si="6"/>
        <v>97094842</v>
      </c>
    </row>
    <row r="432" spans="1:20" x14ac:dyDescent="0.25">
      <c r="A432" s="2">
        <v>46088</v>
      </c>
      <c r="B432" s="3">
        <v>1260414</v>
      </c>
      <c r="C432" s="3">
        <v>6057798</v>
      </c>
      <c r="D432" s="3">
        <v>0</v>
      </c>
      <c r="E432" s="3">
        <v>2764264</v>
      </c>
      <c r="F432" s="3">
        <v>16225</v>
      </c>
      <c r="G432" s="3">
        <v>7650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f t="shared" si="6"/>
        <v>10106351</v>
      </c>
    </row>
    <row r="433" spans="1:20" x14ac:dyDescent="0.25">
      <c r="A433" s="2">
        <v>46089</v>
      </c>
      <c r="B433" s="3">
        <v>214738</v>
      </c>
      <c r="C433" s="3">
        <v>10151301</v>
      </c>
      <c r="D433" s="3">
        <v>0</v>
      </c>
      <c r="E433" s="3">
        <v>491627</v>
      </c>
      <c r="F433" s="3">
        <v>11600</v>
      </c>
      <c r="G433" s="3">
        <v>1049</v>
      </c>
      <c r="H433" s="3">
        <v>15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f t="shared" si="6"/>
        <v>10870330</v>
      </c>
    </row>
    <row r="434" spans="1:20" x14ac:dyDescent="0.25">
      <c r="A434" s="2">
        <v>46090</v>
      </c>
      <c r="B434" s="3">
        <v>82612129</v>
      </c>
      <c r="C434" s="3">
        <v>38748220</v>
      </c>
      <c r="D434" s="3">
        <v>0</v>
      </c>
      <c r="E434" s="3">
        <v>44591591</v>
      </c>
      <c r="F434" s="3">
        <v>138623</v>
      </c>
      <c r="G434" s="3">
        <v>171853</v>
      </c>
      <c r="H434" s="3">
        <v>1125</v>
      </c>
      <c r="I434" s="3">
        <v>758</v>
      </c>
      <c r="J434" s="3">
        <v>0</v>
      </c>
      <c r="K434" s="3">
        <v>0</v>
      </c>
      <c r="L434" s="3">
        <v>0</v>
      </c>
      <c r="M434" s="3">
        <v>0</v>
      </c>
      <c r="N434" s="3">
        <v>302278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f t="shared" si="6"/>
        <v>166566577</v>
      </c>
    </row>
    <row r="435" spans="1:20" x14ac:dyDescent="0.25">
      <c r="A435" s="2">
        <v>46091</v>
      </c>
      <c r="B435" s="3">
        <v>186837580</v>
      </c>
      <c r="C435" s="3">
        <v>33983045</v>
      </c>
      <c r="D435" s="3">
        <v>0</v>
      </c>
      <c r="E435" s="3">
        <v>7733606</v>
      </c>
      <c r="F435" s="3">
        <v>101393</v>
      </c>
      <c r="G435" s="3">
        <v>9203692</v>
      </c>
      <c r="H435" s="3">
        <v>49232</v>
      </c>
      <c r="I435" s="3">
        <v>508</v>
      </c>
      <c r="J435" s="3">
        <v>0</v>
      </c>
      <c r="K435" s="3">
        <v>0</v>
      </c>
      <c r="L435" s="3">
        <v>0</v>
      </c>
      <c r="M435" s="3">
        <v>0</v>
      </c>
      <c r="N435" s="3">
        <v>2557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f t="shared" si="6"/>
        <v>237911613</v>
      </c>
    </row>
    <row r="436" spans="1:20" x14ac:dyDescent="0.25">
      <c r="A436" s="2">
        <v>46092</v>
      </c>
      <c r="B436" s="3">
        <v>105144051</v>
      </c>
      <c r="C436" s="3">
        <v>33245212</v>
      </c>
      <c r="D436" s="3">
        <v>0</v>
      </c>
      <c r="E436" s="3">
        <v>43958811</v>
      </c>
      <c r="F436" s="3">
        <v>66901</v>
      </c>
      <c r="G436" s="3">
        <v>1636907</v>
      </c>
      <c r="H436" s="3">
        <v>7578</v>
      </c>
      <c r="I436" s="3">
        <v>3394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f t="shared" si="6"/>
        <v>184062854</v>
      </c>
    </row>
    <row r="437" spans="1:20" x14ac:dyDescent="0.25">
      <c r="A437" s="2">
        <v>46093</v>
      </c>
      <c r="B437" s="3">
        <v>37966423</v>
      </c>
      <c r="C437" s="3">
        <v>23641122</v>
      </c>
      <c r="D437" s="3">
        <v>0</v>
      </c>
      <c r="E437" s="3">
        <v>61620452</v>
      </c>
      <c r="F437" s="3">
        <v>96943</v>
      </c>
      <c r="G437" s="3">
        <v>649851</v>
      </c>
      <c r="H437" s="3">
        <v>1588</v>
      </c>
      <c r="I437" s="3">
        <v>7335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f t="shared" si="6"/>
        <v>123983714</v>
      </c>
    </row>
    <row r="438" spans="1:20" x14ac:dyDescent="0.25">
      <c r="A438" s="2">
        <v>46094</v>
      </c>
      <c r="B438" s="3">
        <v>69271337</v>
      </c>
      <c r="C438" s="3">
        <v>23399501</v>
      </c>
      <c r="D438" s="3">
        <v>0</v>
      </c>
      <c r="E438" s="3">
        <v>26976782</v>
      </c>
      <c r="F438" s="3">
        <v>101677</v>
      </c>
      <c r="G438" s="3">
        <v>640968</v>
      </c>
      <c r="H438" s="3">
        <v>11957</v>
      </c>
      <c r="I438" s="3">
        <v>3375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f t="shared" si="6"/>
        <v>120405597</v>
      </c>
    </row>
    <row r="439" spans="1:20" x14ac:dyDescent="0.25">
      <c r="A439" s="2">
        <v>46095</v>
      </c>
      <c r="B439" s="3">
        <v>354525</v>
      </c>
      <c r="C439" s="3">
        <v>4793231</v>
      </c>
      <c r="D439" s="3">
        <v>0</v>
      </c>
      <c r="E439" s="3">
        <v>1086775</v>
      </c>
      <c r="F439" s="3">
        <v>7945</v>
      </c>
      <c r="G439" s="3">
        <v>10</v>
      </c>
      <c r="H439" s="3">
        <v>193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f t="shared" si="6"/>
        <v>6242679</v>
      </c>
    </row>
    <row r="440" spans="1:20" x14ac:dyDescent="0.25">
      <c r="A440" s="2">
        <v>46096</v>
      </c>
      <c r="B440" s="3">
        <v>60025</v>
      </c>
      <c r="C440" s="3">
        <v>6433206</v>
      </c>
      <c r="D440" s="3">
        <v>0</v>
      </c>
      <c r="E440" s="3">
        <v>1029378</v>
      </c>
      <c r="F440" s="3">
        <v>36507</v>
      </c>
      <c r="G440" s="3">
        <v>0</v>
      </c>
      <c r="H440" s="3">
        <v>2299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f t="shared" si="6"/>
        <v>7561415</v>
      </c>
    </row>
    <row r="441" spans="1:20" x14ac:dyDescent="0.25">
      <c r="A441" s="2">
        <v>46097</v>
      </c>
      <c r="B441" s="3">
        <v>64951266</v>
      </c>
      <c r="C441" s="3">
        <v>17365590</v>
      </c>
      <c r="D441" s="3">
        <v>0</v>
      </c>
      <c r="E441" s="3">
        <v>26323485</v>
      </c>
      <c r="F441" s="3">
        <v>258336</v>
      </c>
      <c r="G441" s="3">
        <v>1859514</v>
      </c>
      <c r="H441" s="3">
        <v>11436</v>
      </c>
      <c r="I441" s="3">
        <v>1936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f t="shared" si="6"/>
        <v>110771563</v>
      </c>
    </row>
    <row r="442" spans="1:20" x14ac:dyDescent="0.25">
      <c r="A442" s="2">
        <v>46098</v>
      </c>
      <c r="B442" s="3">
        <v>35205341</v>
      </c>
      <c r="C442" s="3">
        <v>24173474</v>
      </c>
      <c r="D442" s="3">
        <v>0</v>
      </c>
      <c r="E442" s="3">
        <v>34865329</v>
      </c>
      <c r="F442" s="3">
        <v>188822</v>
      </c>
      <c r="G442" s="3">
        <v>482754</v>
      </c>
      <c r="H442" s="3">
        <v>1202</v>
      </c>
      <c r="I442" s="3">
        <v>6668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f t="shared" si="6"/>
        <v>94923590</v>
      </c>
    </row>
    <row r="443" spans="1:20" x14ac:dyDescent="0.25">
      <c r="A443" s="2">
        <v>46099</v>
      </c>
      <c r="B443" s="3">
        <v>51824591</v>
      </c>
      <c r="C443" s="3">
        <v>31942381</v>
      </c>
      <c r="D443" s="3">
        <v>0</v>
      </c>
      <c r="E443" s="3">
        <v>11477178</v>
      </c>
      <c r="F443" s="3">
        <v>256763</v>
      </c>
      <c r="G443" s="3">
        <v>1062645</v>
      </c>
      <c r="H443" s="3">
        <v>862</v>
      </c>
      <c r="I443" s="3">
        <v>97167</v>
      </c>
      <c r="J443" s="3">
        <v>51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f t="shared" si="6"/>
        <v>96661638</v>
      </c>
    </row>
    <row r="444" spans="1:20" x14ac:dyDescent="0.25">
      <c r="A444" s="2">
        <v>46100</v>
      </c>
      <c r="B444" s="3">
        <v>59738960</v>
      </c>
      <c r="C444" s="3">
        <v>37254482</v>
      </c>
      <c r="D444" s="3">
        <v>0</v>
      </c>
      <c r="E444" s="3">
        <v>6083820</v>
      </c>
      <c r="F444" s="3">
        <v>347389</v>
      </c>
      <c r="G444" s="3">
        <v>265126</v>
      </c>
      <c r="H444" s="3">
        <v>1194</v>
      </c>
      <c r="I444" s="3">
        <v>58551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f t="shared" si="6"/>
        <v>103749522</v>
      </c>
    </row>
    <row r="445" spans="1:20" x14ac:dyDescent="0.25">
      <c r="A445" s="2">
        <v>46101</v>
      </c>
      <c r="B445" s="3">
        <v>99478809</v>
      </c>
      <c r="C445" s="3">
        <v>39701340</v>
      </c>
      <c r="D445" s="3">
        <v>0</v>
      </c>
      <c r="E445" s="3">
        <v>5958312</v>
      </c>
      <c r="F445" s="3">
        <v>248507</v>
      </c>
      <c r="G445" s="3">
        <v>20653</v>
      </c>
      <c r="H445" s="3">
        <v>461</v>
      </c>
      <c r="I445" s="3">
        <v>20113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f t="shared" si="6"/>
        <v>145428195</v>
      </c>
    </row>
    <row r="446" spans="1:20" x14ac:dyDescent="0.25">
      <c r="A446" s="2">
        <v>46102</v>
      </c>
      <c r="B446" s="3">
        <v>50955</v>
      </c>
      <c r="C446" s="3">
        <v>9234190</v>
      </c>
      <c r="D446" s="3">
        <v>0</v>
      </c>
      <c r="E446" s="3">
        <v>3966990</v>
      </c>
      <c r="F446" s="3">
        <v>31695</v>
      </c>
      <c r="G446" s="3">
        <v>84</v>
      </c>
      <c r="H446" s="3">
        <v>225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f t="shared" si="6"/>
        <v>13284139</v>
      </c>
    </row>
    <row r="447" spans="1:20" x14ac:dyDescent="0.25">
      <c r="A447" s="2">
        <v>46103</v>
      </c>
      <c r="B447" s="3">
        <v>243335</v>
      </c>
      <c r="C447" s="3">
        <v>13423575</v>
      </c>
      <c r="D447" s="3">
        <v>0</v>
      </c>
      <c r="E447" s="3">
        <v>772203</v>
      </c>
      <c r="F447" s="3">
        <v>92137</v>
      </c>
      <c r="G447" s="3">
        <v>2431</v>
      </c>
      <c r="H447" s="3">
        <v>177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f t="shared" si="6"/>
        <v>14533858</v>
      </c>
    </row>
    <row r="448" spans="1:20" x14ac:dyDescent="0.25">
      <c r="A448" s="2">
        <v>46104</v>
      </c>
      <c r="B448" s="3">
        <v>105216819</v>
      </c>
      <c r="C448" s="3">
        <v>57416187</v>
      </c>
      <c r="D448" s="3">
        <v>0</v>
      </c>
      <c r="E448" s="3">
        <v>46443511</v>
      </c>
      <c r="F448" s="3">
        <v>233082</v>
      </c>
      <c r="G448" s="3">
        <v>331713</v>
      </c>
      <c r="H448" s="3">
        <v>15101</v>
      </c>
      <c r="I448" s="3">
        <v>29672</v>
      </c>
      <c r="J448" s="3">
        <v>0</v>
      </c>
      <c r="K448" s="3">
        <v>0</v>
      </c>
      <c r="L448" s="3">
        <v>0</v>
      </c>
      <c r="M448" s="3">
        <v>1481959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f t="shared" si="6"/>
        <v>211168044</v>
      </c>
    </row>
    <row r="449" spans="1:20" x14ac:dyDescent="0.25">
      <c r="A449" s="2">
        <v>46105</v>
      </c>
      <c r="B449" s="3">
        <v>67003249</v>
      </c>
      <c r="C449" s="3">
        <v>52136755</v>
      </c>
      <c r="D449" s="3">
        <v>0</v>
      </c>
      <c r="E449" s="3">
        <v>17639336</v>
      </c>
      <c r="F449" s="3">
        <v>7940810</v>
      </c>
      <c r="G449" s="3">
        <v>155500</v>
      </c>
      <c r="H449" s="3">
        <v>6371</v>
      </c>
      <c r="I449" s="3">
        <v>44346</v>
      </c>
      <c r="J449" s="3">
        <v>0</v>
      </c>
      <c r="K449" s="3">
        <v>0</v>
      </c>
      <c r="L449" s="3">
        <v>5347239</v>
      </c>
      <c r="M449" s="3">
        <v>0</v>
      </c>
      <c r="N449" s="3">
        <v>4435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f t="shared" si="6"/>
        <v>150278041</v>
      </c>
    </row>
    <row r="450" spans="1:20" x14ac:dyDescent="0.25">
      <c r="A450" s="2">
        <v>46106</v>
      </c>
      <c r="B450" s="3">
        <v>57164683</v>
      </c>
      <c r="C450" s="3">
        <v>81657</v>
      </c>
      <c r="D450" s="3">
        <v>0</v>
      </c>
      <c r="E450" s="3">
        <v>96803980</v>
      </c>
      <c r="F450" s="3">
        <v>501608</v>
      </c>
      <c r="G450" s="3">
        <v>2004476</v>
      </c>
      <c r="H450" s="3">
        <v>5432</v>
      </c>
      <c r="I450" s="3">
        <v>35389</v>
      </c>
      <c r="J450" s="3">
        <v>0</v>
      </c>
      <c r="K450" s="3">
        <v>0</v>
      </c>
      <c r="L450" s="3">
        <v>0</v>
      </c>
      <c r="M450" s="3">
        <v>600369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f t="shared" ref="T450:T513" si="7">SUM(B450:S450)</f>
        <v>157197594</v>
      </c>
    </row>
    <row r="451" spans="1:20" x14ac:dyDescent="0.25">
      <c r="A451" s="2">
        <v>46107</v>
      </c>
      <c r="B451" s="3">
        <v>60160638</v>
      </c>
      <c r="C451" s="3">
        <v>32854521</v>
      </c>
      <c r="D451" s="3">
        <v>0</v>
      </c>
      <c r="E451" s="3">
        <v>6408276</v>
      </c>
      <c r="F451" s="3">
        <v>794639</v>
      </c>
      <c r="G451" s="3">
        <v>21379</v>
      </c>
      <c r="H451" s="3">
        <v>13235</v>
      </c>
      <c r="I451" s="3">
        <v>10548</v>
      </c>
      <c r="J451" s="3">
        <v>0</v>
      </c>
      <c r="K451" s="3">
        <v>0</v>
      </c>
      <c r="L451" s="3">
        <v>0</v>
      </c>
      <c r="M451" s="3">
        <v>0</v>
      </c>
      <c r="N451" s="3">
        <v>181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f t="shared" si="7"/>
        <v>100263417</v>
      </c>
    </row>
    <row r="452" spans="1:20" x14ac:dyDescent="0.25">
      <c r="A452" s="2">
        <v>46108</v>
      </c>
      <c r="B452" s="3">
        <v>37695109</v>
      </c>
      <c r="C452" s="3">
        <v>43591258</v>
      </c>
      <c r="D452" s="3">
        <v>0</v>
      </c>
      <c r="E452" s="3">
        <v>8596388</v>
      </c>
      <c r="F452" s="3">
        <v>975194</v>
      </c>
      <c r="G452" s="3">
        <v>18424</v>
      </c>
      <c r="H452" s="3">
        <v>2168</v>
      </c>
      <c r="I452" s="3">
        <v>4852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f t="shared" si="7"/>
        <v>90883393</v>
      </c>
    </row>
    <row r="453" spans="1:20" x14ac:dyDescent="0.25">
      <c r="A453" s="2">
        <v>46109</v>
      </c>
      <c r="B453" s="3">
        <v>2901459</v>
      </c>
      <c r="C453" s="3">
        <v>11368843</v>
      </c>
      <c r="D453" s="3">
        <v>0</v>
      </c>
      <c r="E453" s="3">
        <v>506858</v>
      </c>
      <c r="F453" s="3">
        <v>174880</v>
      </c>
      <c r="G453" s="3">
        <v>10048</v>
      </c>
      <c r="H453" s="3">
        <v>206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f t="shared" si="7"/>
        <v>14962294</v>
      </c>
    </row>
    <row r="454" spans="1:20" x14ac:dyDescent="0.25">
      <c r="A454" s="2">
        <v>46110</v>
      </c>
      <c r="B454" s="3">
        <v>48676</v>
      </c>
      <c r="C454" s="3">
        <v>19713215</v>
      </c>
      <c r="D454" s="3">
        <v>0</v>
      </c>
      <c r="E454" s="3">
        <v>559466</v>
      </c>
      <c r="F454" s="3">
        <v>17590</v>
      </c>
      <c r="G454" s="3">
        <v>2142</v>
      </c>
      <c r="H454" s="3">
        <v>173</v>
      </c>
      <c r="I454" s="3">
        <v>0</v>
      </c>
      <c r="J454" s="3">
        <v>745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f t="shared" si="7"/>
        <v>20342007</v>
      </c>
    </row>
    <row r="455" spans="1:20" x14ac:dyDescent="0.25">
      <c r="A455" s="2">
        <v>46111</v>
      </c>
      <c r="B455" s="3">
        <v>36024527</v>
      </c>
      <c r="C455" s="3">
        <v>46355501</v>
      </c>
      <c r="D455" s="3">
        <v>0</v>
      </c>
      <c r="E455" s="3">
        <v>18743806</v>
      </c>
      <c r="F455" s="3">
        <v>10588594</v>
      </c>
      <c r="G455" s="3">
        <v>41209</v>
      </c>
      <c r="H455" s="3">
        <v>66229</v>
      </c>
      <c r="I455" s="3">
        <v>2538</v>
      </c>
      <c r="J455" s="3">
        <v>0</v>
      </c>
      <c r="K455" s="3">
        <v>0</v>
      </c>
      <c r="L455" s="3">
        <v>0</v>
      </c>
      <c r="M455" s="3">
        <v>1</v>
      </c>
      <c r="N455" s="3">
        <v>0</v>
      </c>
      <c r="O455" s="3">
        <v>0</v>
      </c>
      <c r="P455" s="3">
        <v>0</v>
      </c>
      <c r="Q455" s="3">
        <v>996</v>
      </c>
      <c r="R455" s="3">
        <v>0</v>
      </c>
      <c r="S455" s="3">
        <v>0</v>
      </c>
      <c r="T455" s="3">
        <f t="shared" si="7"/>
        <v>111823401</v>
      </c>
    </row>
    <row r="456" spans="1:20" x14ac:dyDescent="0.25">
      <c r="A456" s="2">
        <v>46112</v>
      </c>
      <c r="B456" s="3">
        <v>38536124</v>
      </c>
      <c r="C456" s="3">
        <v>40885015</v>
      </c>
      <c r="D456" s="3">
        <v>0</v>
      </c>
      <c r="E456" s="3">
        <v>12298870</v>
      </c>
      <c r="F456" s="3">
        <v>27196153</v>
      </c>
      <c r="G456" s="3">
        <v>105985</v>
      </c>
      <c r="H456" s="3">
        <v>1550</v>
      </c>
      <c r="I456" s="3">
        <v>5946</v>
      </c>
      <c r="J456" s="3">
        <v>0</v>
      </c>
      <c r="K456" s="3">
        <v>0</v>
      </c>
      <c r="L456" s="3">
        <v>0</v>
      </c>
      <c r="M456" s="3">
        <v>0</v>
      </c>
      <c r="N456" s="3">
        <v>1506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f t="shared" si="7"/>
        <v>119031149</v>
      </c>
    </row>
    <row r="457" spans="1:20" x14ac:dyDescent="0.25">
      <c r="A457" s="2">
        <v>46113</v>
      </c>
      <c r="B457" s="3">
        <v>53395794</v>
      </c>
      <c r="C457" s="3">
        <v>34709134</v>
      </c>
      <c r="D457" s="3">
        <v>0</v>
      </c>
      <c r="E457" s="3">
        <v>8049189</v>
      </c>
      <c r="F457" s="3">
        <v>12262809</v>
      </c>
      <c r="G457" s="3">
        <v>65769</v>
      </c>
      <c r="H457" s="3">
        <v>2174</v>
      </c>
      <c r="I457" s="3">
        <v>17466</v>
      </c>
      <c r="J457" s="3">
        <v>0</v>
      </c>
      <c r="K457" s="3">
        <v>0</v>
      </c>
      <c r="L457" s="3">
        <v>0</v>
      </c>
      <c r="M457" s="3">
        <v>9</v>
      </c>
      <c r="N457" s="3">
        <v>0</v>
      </c>
      <c r="O457" s="3">
        <v>0</v>
      </c>
      <c r="P457" s="3">
        <v>0</v>
      </c>
      <c r="Q457" s="3">
        <v>0</v>
      </c>
      <c r="R457" s="3">
        <v>1713</v>
      </c>
      <c r="S457" s="3">
        <v>0</v>
      </c>
      <c r="T457" s="3">
        <f t="shared" si="7"/>
        <v>108504057</v>
      </c>
    </row>
    <row r="458" spans="1:20" x14ac:dyDescent="0.25">
      <c r="A458" s="2">
        <v>46114</v>
      </c>
      <c r="B458" s="3">
        <v>55492585</v>
      </c>
      <c r="C458" s="3">
        <v>45048381</v>
      </c>
      <c r="D458" s="3">
        <v>0</v>
      </c>
      <c r="E458" s="3">
        <v>16087726</v>
      </c>
      <c r="F458" s="3">
        <v>23021871</v>
      </c>
      <c r="G458" s="3">
        <v>104298</v>
      </c>
      <c r="H458" s="3">
        <v>653</v>
      </c>
      <c r="I458" s="3">
        <v>2472</v>
      </c>
      <c r="J458" s="3">
        <v>0</v>
      </c>
      <c r="K458" s="3">
        <v>0</v>
      </c>
      <c r="L458" s="3">
        <v>70530</v>
      </c>
      <c r="M458" s="3">
        <v>0</v>
      </c>
      <c r="N458" s="3">
        <v>6493</v>
      </c>
      <c r="O458" s="3">
        <v>0</v>
      </c>
      <c r="P458" s="3">
        <v>0</v>
      </c>
      <c r="Q458" s="3">
        <v>0</v>
      </c>
      <c r="R458" s="3">
        <v>937</v>
      </c>
      <c r="S458" s="3">
        <v>0</v>
      </c>
      <c r="T458" s="3">
        <f t="shared" si="7"/>
        <v>139835946</v>
      </c>
    </row>
    <row r="459" spans="1:20" x14ac:dyDescent="0.25">
      <c r="A459" s="2">
        <v>46115</v>
      </c>
      <c r="B459" s="3">
        <v>127985</v>
      </c>
      <c r="C459" s="3">
        <v>17008539</v>
      </c>
      <c r="D459" s="3">
        <v>0</v>
      </c>
      <c r="E459" s="3">
        <v>4826554</v>
      </c>
      <c r="F459" s="3">
        <v>6042259</v>
      </c>
      <c r="G459" s="3">
        <v>1967</v>
      </c>
      <c r="H459" s="3">
        <v>277</v>
      </c>
      <c r="I459" s="3">
        <v>13284</v>
      </c>
      <c r="J459" s="3">
        <v>0</v>
      </c>
      <c r="K459" s="3">
        <v>0</v>
      </c>
      <c r="L459" s="3">
        <v>0</v>
      </c>
      <c r="M459" s="3">
        <v>5207094</v>
      </c>
      <c r="N459" s="3">
        <v>397</v>
      </c>
      <c r="O459" s="3">
        <v>0</v>
      </c>
      <c r="P459" s="3">
        <v>0</v>
      </c>
      <c r="Q459" s="3">
        <v>1</v>
      </c>
      <c r="R459" s="3">
        <v>1184</v>
      </c>
      <c r="S459" s="3">
        <v>0</v>
      </c>
      <c r="T459" s="3">
        <f t="shared" si="7"/>
        <v>33229541</v>
      </c>
    </row>
    <row r="460" spans="1:20" x14ac:dyDescent="0.25">
      <c r="A460" s="2">
        <v>46116</v>
      </c>
      <c r="B460" s="3">
        <v>63699</v>
      </c>
      <c r="C460" s="3">
        <v>2687959</v>
      </c>
      <c r="D460" s="3">
        <v>0</v>
      </c>
      <c r="E460" s="3">
        <v>651469</v>
      </c>
      <c r="F460" s="3">
        <v>249409124</v>
      </c>
      <c r="G460" s="3">
        <v>3451</v>
      </c>
      <c r="H460" s="3">
        <v>142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f t="shared" si="7"/>
        <v>252815844</v>
      </c>
    </row>
    <row r="461" spans="1:20" x14ac:dyDescent="0.25">
      <c r="A461" s="2">
        <v>46117</v>
      </c>
      <c r="B461" s="3">
        <v>9029</v>
      </c>
      <c r="C461" s="3">
        <v>5657310</v>
      </c>
      <c r="D461" s="3">
        <v>0</v>
      </c>
      <c r="E461" s="3">
        <v>1240721</v>
      </c>
      <c r="F461" s="3">
        <v>6499877</v>
      </c>
      <c r="G461" s="3">
        <v>0</v>
      </c>
      <c r="H461" s="3">
        <v>120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f t="shared" si="7"/>
        <v>13407057</v>
      </c>
    </row>
    <row r="462" spans="1:20" x14ac:dyDescent="0.25">
      <c r="A462" s="2">
        <v>46118</v>
      </c>
      <c r="B462" s="3">
        <v>15841452</v>
      </c>
      <c r="C462" s="3">
        <v>31675385</v>
      </c>
      <c r="D462" s="3">
        <v>0</v>
      </c>
      <c r="E462" s="3">
        <v>8953869</v>
      </c>
      <c r="F462" s="3">
        <v>1562769</v>
      </c>
      <c r="G462" s="3">
        <v>124321</v>
      </c>
      <c r="H462" s="3">
        <v>24096</v>
      </c>
      <c r="I462" s="3">
        <v>16116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f t="shared" si="7"/>
        <v>58198008</v>
      </c>
    </row>
    <row r="463" spans="1:20" x14ac:dyDescent="0.25">
      <c r="A463" s="2">
        <v>46119</v>
      </c>
      <c r="B463" s="3">
        <v>16745816</v>
      </c>
      <c r="C463" s="3">
        <v>49477268</v>
      </c>
      <c r="D463" s="3">
        <v>0</v>
      </c>
      <c r="E463" s="3">
        <v>13160864</v>
      </c>
      <c r="F463" s="3">
        <v>16951487</v>
      </c>
      <c r="G463" s="3">
        <v>3056</v>
      </c>
      <c r="H463" s="3">
        <v>1515</v>
      </c>
      <c r="I463" s="3">
        <v>10263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f t="shared" si="7"/>
        <v>96350269</v>
      </c>
    </row>
    <row r="464" spans="1:20" x14ac:dyDescent="0.25">
      <c r="A464" s="2">
        <v>46120</v>
      </c>
      <c r="B464" s="3">
        <v>42292237</v>
      </c>
      <c r="C464" s="3">
        <v>27856703</v>
      </c>
      <c r="D464" s="3">
        <v>0</v>
      </c>
      <c r="E464" s="3">
        <v>20295131</v>
      </c>
      <c r="F464" s="3">
        <v>6551576</v>
      </c>
      <c r="G464" s="3">
        <v>139052</v>
      </c>
      <c r="H464" s="3">
        <v>22775</v>
      </c>
      <c r="I464" s="3">
        <v>34398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f t="shared" si="7"/>
        <v>97191872</v>
      </c>
    </row>
    <row r="465" spans="1:20" x14ac:dyDescent="0.25">
      <c r="A465" s="2">
        <v>46121</v>
      </c>
      <c r="B465" s="3">
        <v>33225914</v>
      </c>
      <c r="C465" s="3">
        <v>50937128</v>
      </c>
      <c r="D465" s="3">
        <v>0</v>
      </c>
      <c r="E465" s="3">
        <v>19588666</v>
      </c>
      <c r="F465" s="3">
        <v>3730691</v>
      </c>
      <c r="G465" s="3">
        <v>37922</v>
      </c>
      <c r="H465" s="3">
        <v>9681</v>
      </c>
      <c r="I465" s="3">
        <v>33937</v>
      </c>
      <c r="J465" s="3">
        <v>0</v>
      </c>
      <c r="K465" s="3">
        <v>0</v>
      </c>
      <c r="L465" s="3">
        <v>0</v>
      </c>
      <c r="M465" s="3">
        <v>0</v>
      </c>
      <c r="N465" s="3">
        <v>7342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f t="shared" si="7"/>
        <v>107571281</v>
      </c>
    </row>
    <row r="466" spans="1:20" x14ac:dyDescent="0.25">
      <c r="A466" s="2">
        <v>46122</v>
      </c>
      <c r="B466" s="3">
        <v>20212511</v>
      </c>
      <c r="C466" s="3">
        <v>43789748</v>
      </c>
      <c r="D466" s="3">
        <v>0</v>
      </c>
      <c r="E466" s="3">
        <v>10342381</v>
      </c>
      <c r="F466" s="3">
        <v>4214185</v>
      </c>
      <c r="G466" s="3">
        <v>79552</v>
      </c>
      <c r="H466" s="3">
        <v>6589</v>
      </c>
      <c r="I466" s="3">
        <v>214086</v>
      </c>
      <c r="J466" s="3">
        <v>0</v>
      </c>
      <c r="K466" s="3">
        <v>0</v>
      </c>
      <c r="L466" s="3">
        <v>0</v>
      </c>
      <c r="M466" s="3">
        <v>25180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f t="shared" si="7"/>
        <v>78884232</v>
      </c>
    </row>
    <row r="467" spans="1:20" x14ac:dyDescent="0.25">
      <c r="A467" s="2">
        <v>46123</v>
      </c>
      <c r="B467" s="3">
        <v>20733</v>
      </c>
      <c r="C467" s="3">
        <v>6479753</v>
      </c>
      <c r="D467" s="3">
        <v>0</v>
      </c>
      <c r="E467" s="3">
        <v>1354171</v>
      </c>
      <c r="F467" s="3">
        <v>931736</v>
      </c>
      <c r="G467" s="3">
        <v>2522</v>
      </c>
      <c r="H467" s="3">
        <v>1508</v>
      </c>
      <c r="I467" s="3">
        <v>0</v>
      </c>
      <c r="J467" s="3">
        <v>0</v>
      </c>
      <c r="K467" s="3">
        <v>0</v>
      </c>
      <c r="L467" s="3">
        <v>0</v>
      </c>
      <c r="M467" s="3">
        <v>20400</v>
      </c>
      <c r="N467" s="3">
        <v>44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f t="shared" si="7"/>
        <v>8810867</v>
      </c>
    </row>
    <row r="468" spans="1:20" x14ac:dyDescent="0.25">
      <c r="A468" s="2">
        <v>46124</v>
      </c>
      <c r="B468" s="3">
        <v>9984</v>
      </c>
      <c r="C468" s="3">
        <v>14319708</v>
      </c>
      <c r="D468" s="3">
        <v>0</v>
      </c>
      <c r="E468" s="3">
        <v>1649691</v>
      </c>
      <c r="F468" s="3">
        <v>10895855</v>
      </c>
      <c r="G468" s="3">
        <v>0</v>
      </c>
      <c r="H468" s="3">
        <v>2681</v>
      </c>
      <c r="I468" s="3">
        <v>0</v>
      </c>
      <c r="J468" s="3">
        <v>0</v>
      </c>
      <c r="K468" s="3">
        <v>0</v>
      </c>
      <c r="L468" s="3">
        <v>0</v>
      </c>
      <c r="M468" s="3">
        <v>15958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f t="shared" si="7"/>
        <v>26893877</v>
      </c>
    </row>
    <row r="469" spans="1:20" x14ac:dyDescent="0.25">
      <c r="A469" s="2">
        <v>46125</v>
      </c>
      <c r="B469" s="3">
        <v>28809044</v>
      </c>
      <c r="C469" s="3">
        <v>38254015</v>
      </c>
      <c r="D469" s="3">
        <v>0</v>
      </c>
      <c r="E469" s="3">
        <v>10218667</v>
      </c>
      <c r="F469" s="3">
        <v>8240317</v>
      </c>
      <c r="G469" s="3">
        <v>119876</v>
      </c>
      <c r="H469" s="3">
        <v>15554</v>
      </c>
      <c r="I469" s="3">
        <v>46812</v>
      </c>
      <c r="J469" s="3">
        <v>0</v>
      </c>
      <c r="K469" s="3">
        <v>0</v>
      </c>
      <c r="L469" s="3">
        <v>0</v>
      </c>
      <c r="M469" s="3">
        <v>31555</v>
      </c>
      <c r="N469" s="3">
        <v>0</v>
      </c>
      <c r="O469" s="3">
        <v>0</v>
      </c>
      <c r="P469" s="3">
        <v>0</v>
      </c>
      <c r="Q469" s="3">
        <v>0</v>
      </c>
      <c r="R469" s="3">
        <v>1598</v>
      </c>
      <c r="S469" s="3">
        <v>0</v>
      </c>
      <c r="T469" s="3">
        <f t="shared" si="7"/>
        <v>85737438</v>
      </c>
    </row>
    <row r="470" spans="1:20" x14ac:dyDescent="0.25">
      <c r="A470" s="2">
        <v>46126</v>
      </c>
      <c r="B470" s="3">
        <v>91969375</v>
      </c>
      <c r="C470" s="3">
        <v>43557621</v>
      </c>
      <c r="D470" s="3">
        <v>0</v>
      </c>
      <c r="E470" s="3">
        <v>6833674</v>
      </c>
      <c r="F470" s="3">
        <v>6747124</v>
      </c>
      <c r="G470" s="3">
        <v>52451</v>
      </c>
      <c r="H470" s="3">
        <v>3488</v>
      </c>
      <c r="I470" s="3">
        <v>14955</v>
      </c>
      <c r="J470" s="3">
        <v>0</v>
      </c>
      <c r="K470" s="3">
        <v>0</v>
      </c>
      <c r="L470" s="3">
        <v>0</v>
      </c>
      <c r="M470" s="3">
        <v>325673</v>
      </c>
      <c r="N470" s="3">
        <v>880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f t="shared" si="7"/>
        <v>149505241</v>
      </c>
    </row>
    <row r="471" spans="1:20" x14ac:dyDescent="0.25">
      <c r="A471" s="2">
        <v>46127</v>
      </c>
      <c r="B471" s="3">
        <v>46347510</v>
      </c>
      <c r="C471" s="3">
        <v>46466322</v>
      </c>
      <c r="D471" s="3">
        <v>0</v>
      </c>
      <c r="E471" s="3">
        <v>39216368</v>
      </c>
      <c r="F471" s="3">
        <v>8690971</v>
      </c>
      <c r="G471" s="3">
        <v>20232</v>
      </c>
      <c r="H471" s="3">
        <v>13890</v>
      </c>
      <c r="I471" s="3">
        <v>7412</v>
      </c>
      <c r="J471" s="3">
        <v>0</v>
      </c>
      <c r="K471" s="3">
        <v>0</v>
      </c>
      <c r="L471" s="3">
        <v>0</v>
      </c>
      <c r="M471" s="3">
        <v>668492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f t="shared" si="7"/>
        <v>141431197</v>
      </c>
    </row>
    <row r="472" spans="1:20" x14ac:dyDescent="0.25">
      <c r="A472" s="2">
        <v>46128</v>
      </c>
      <c r="B472" s="3">
        <v>36874842</v>
      </c>
      <c r="C472" s="3">
        <v>27019791</v>
      </c>
      <c r="D472" s="3">
        <v>0</v>
      </c>
      <c r="E472" s="3">
        <v>9059486</v>
      </c>
      <c r="F472" s="3">
        <v>9022732</v>
      </c>
      <c r="G472" s="3">
        <v>1314677</v>
      </c>
      <c r="H472" s="3">
        <v>12423</v>
      </c>
      <c r="I472" s="3">
        <v>26053</v>
      </c>
      <c r="J472" s="3">
        <v>186</v>
      </c>
      <c r="K472" s="3">
        <v>0</v>
      </c>
      <c r="L472" s="3">
        <v>0</v>
      </c>
      <c r="M472" s="3">
        <v>108009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f t="shared" si="7"/>
        <v>83438199</v>
      </c>
    </row>
    <row r="473" spans="1:20" x14ac:dyDescent="0.25">
      <c r="A473" s="2">
        <v>46129</v>
      </c>
      <c r="B473" s="3">
        <v>49309623</v>
      </c>
      <c r="C473" s="3">
        <v>42852455</v>
      </c>
      <c r="D473" s="3">
        <v>0</v>
      </c>
      <c r="E473" s="3">
        <v>7519322</v>
      </c>
      <c r="F473" s="3">
        <v>12440845</v>
      </c>
      <c r="G473" s="3">
        <v>1860696</v>
      </c>
      <c r="H473" s="3">
        <v>10361</v>
      </c>
      <c r="I473" s="3">
        <v>61721</v>
      </c>
      <c r="J473" s="3">
        <v>0</v>
      </c>
      <c r="K473" s="3">
        <v>0</v>
      </c>
      <c r="L473" s="3">
        <v>0</v>
      </c>
      <c r="M473" s="3">
        <v>17422</v>
      </c>
      <c r="N473" s="3">
        <v>44699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f t="shared" si="7"/>
        <v>114117144</v>
      </c>
    </row>
    <row r="474" spans="1:20" x14ac:dyDescent="0.25">
      <c r="A474" s="2">
        <v>46130</v>
      </c>
      <c r="B474" s="3">
        <v>719319</v>
      </c>
      <c r="C474" s="3">
        <v>14583347</v>
      </c>
      <c r="D474" s="3">
        <v>0</v>
      </c>
      <c r="E474" s="3">
        <v>2036833</v>
      </c>
      <c r="F474" s="3">
        <v>8875696</v>
      </c>
      <c r="G474" s="3">
        <v>330</v>
      </c>
      <c r="H474" s="3">
        <v>824</v>
      </c>
      <c r="I474" s="3">
        <v>0</v>
      </c>
      <c r="J474" s="3">
        <v>0</v>
      </c>
      <c r="K474" s="3">
        <v>0</v>
      </c>
      <c r="L474" s="3">
        <v>0</v>
      </c>
      <c r="M474" s="3">
        <v>268843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f t="shared" si="7"/>
        <v>26485192</v>
      </c>
    </row>
    <row r="475" spans="1:20" x14ac:dyDescent="0.25">
      <c r="A475" s="2">
        <v>46131</v>
      </c>
      <c r="B475" s="3">
        <v>457778</v>
      </c>
      <c r="C475" s="3">
        <v>9289266</v>
      </c>
      <c r="D475" s="3">
        <v>0</v>
      </c>
      <c r="E475" s="3">
        <v>632575</v>
      </c>
      <c r="F475" s="3">
        <v>1558882</v>
      </c>
      <c r="G475" s="3">
        <v>0</v>
      </c>
      <c r="H475" s="3">
        <v>393</v>
      </c>
      <c r="I475" s="3">
        <v>693</v>
      </c>
      <c r="J475" s="3">
        <v>0</v>
      </c>
      <c r="K475" s="3">
        <v>0</v>
      </c>
      <c r="L475" s="3">
        <v>0</v>
      </c>
      <c r="M475" s="3">
        <v>700710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f t="shared" si="7"/>
        <v>12640297</v>
      </c>
    </row>
    <row r="476" spans="1:20" x14ac:dyDescent="0.25">
      <c r="A476" s="2">
        <v>46132</v>
      </c>
      <c r="B476" s="3">
        <v>77738903</v>
      </c>
      <c r="C476" s="3">
        <v>5355590</v>
      </c>
      <c r="D476" s="3">
        <v>0</v>
      </c>
      <c r="E476" s="3">
        <v>35860398</v>
      </c>
      <c r="F476" s="3">
        <v>15539056</v>
      </c>
      <c r="G476" s="3">
        <v>4975056</v>
      </c>
      <c r="H476" s="3">
        <v>13619</v>
      </c>
      <c r="I476" s="3">
        <v>35921</v>
      </c>
      <c r="J476" s="3">
        <v>0</v>
      </c>
      <c r="K476" s="3">
        <v>0</v>
      </c>
      <c r="L476" s="3">
        <v>0</v>
      </c>
      <c r="M476" s="3">
        <v>354722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f t="shared" si="7"/>
        <v>139873265</v>
      </c>
    </row>
    <row r="477" spans="1:20" x14ac:dyDescent="0.25">
      <c r="A477" s="2">
        <v>46133</v>
      </c>
      <c r="B477" s="3">
        <v>38538820</v>
      </c>
      <c r="C477" s="3">
        <v>42183475</v>
      </c>
      <c r="D477" s="3">
        <v>0</v>
      </c>
      <c r="E477" s="3">
        <v>12550024</v>
      </c>
      <c r="F477" s="3">
        <v>3185547</v>
      </c>
      <c r="G477" s="3">
        <v>750486</v>
      </c>
      <c r="H477" s="3">
        <v>8818</v>
      </c>
      <c r="I477" s="3">
        <v>15168</v>
      </c>
      <c r="J477" s="3">
        <v>0</v>
      </c>
      <c r="K477" s="3">
        <v>0</v>
      </c>
      <c r="L477" s="3">
        <v>0</v>
      </c>
      <c r="M477" s="3">
        <v>155733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f t="shared" si="7"/>
        <v>97388071</v>
      </c>
    </row>
    <row r="478" spans="1:20" x14ac:dyDescent="0.25">
      <c r="A478" s="2">
        <v>46134</v>
      </c>
      <c r="B478" s="3">
        <v>37322547</v>
      </c>
      <c r="C478" s="3">
        <v>32354410</v>
      </c>
      <c r="D478" s="3">
        <v>0</v>
      </c>
      <c r="E478" s="3">
        <v>10389898</v>
      </c>
      <c r="F478" s="3">
        <v>2179775</v>
      </c>
      <c r="G478" s="3">
        <v>644422</v>
      </c>
      <c r="H478" s="3">
        <v>31154</v>
      </c>
      <c r="I478" s="3">
        <v>22455</v>
      </c>
      <c r="J478" s="3">
        <v>0</v>
      </c>
      <c r="K478" s="3">
        <v>0</v>
      </c>
      <c r="L478" s="3">
        <v>0</v>
      </c>
      <c r="M478" s="3">
        <v>58093</v>
      </c>
      <c r="N478" s="3">
        <v>358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f t="shared" si="7"/>
        <v>83003112</v>
      </c>
    </row>
    <row r="479" spans="1:20" x14ac:dyDescent="0.25">
      <c r="A479" s="2">
        <v>46135</v>
      </c>
      <c r="B479" s="3">
        <v>34494936</v>
      </c>
      <c r="C479" s="3">
        <v>8926483</v>
      </c>
      <c r="D479" s="3">
        <v>0</v>
      </c>
      <c r="E479" s="3">
        <v>11301969</v>
      </c>
      <c r="F479" s="3">
        <v>4236084</v>
      </c>
      <c r="G479" s="3">
        <v>100274</v>
      </c>
      <c r="H479" s="3">
        <v>12464</v>
      </c>
      <c r="I479" s="3">
        <v>203340</v>
      </c>
      <c r="J479" s="3">
        <v>0</v>
      </c>
      <c r="K479" s="3">
        <v>0</v>
      </c>
      <c r="L479" s="3">
        <v>1065</v>
      </c>
      <c r="M479" s="3">
        <v>660103</v>
      </c>
      <c r="N479" s="3">
        <v>1237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f t="shared" si="7"/>
        <v>59937955</v>
      </c>
    </row>
    <row r="480" spans="1:20" x14ac:dyDescent="0.25">
      <c r="A480" s="2">
        <v>46136</v>
      </c>
      <c r="B480" s="3">
        <v>57218937</v>
      </c>
      <c r="C480" s="3">
        <v>45217248</v>
      </c>
      <c r="D480" s="3">
        <v>0</v>
      </c>
      <c r="E480" s="3">
        <v>11917655</v>
      </c>
      <c r="F480" s="3">
        <v>1564330</v>
      </c>
      <c r="G480" s="3">
        <v>1387984</v>
      </c>
      <c r="H480" s="3">
        <v>3635</v>
      </c>
      <c r="I480" s="3">
        <v>38066</v>
      </c>
      <c r="J480" s="3">
        <v>0</v>
      </c>
      <c r="K480" s="3">
        <v>0</v>
      </c>
      <c r="L480" s="3">
        <v>0</v>
      </c>
      <c r="M480" s="3">
        <v>482041</v>
      </c>
      <c r="N480" s="3">
        <v>99161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f t="shared" si="7"/>
        <v>117929057</v>
      </c>
    </row>
    <row r="481" spans="1:20" x14ac:dyDescent="0.25">
      <c r="A481" s="2">
        <v>46137</v>
      </c>
      <c r="B481" s="3">
        <v>358599</v>
      </c>
      <c r="C481" s="3">
        <v>8721570</v>
      </c>
      <c r="D481" s="3">
        <v>0</v>
      </c>
      <c r="E481" s="3">
        <v>637897</v>
      </c>
      <c r="F481" s="3">
        <v>5737511</v>
      </c>
      <c r="G481" s="3">
        <v>9</v>
      </c>
      <c r="H481" s="3">
        <v>400</v>
      </c>
      <c r="I481" s="3">
        <v>0</v>
      </c>
      <c r="J481" s="3">
        <v>0</v>
      </c>
      <c r="K481" s="3">
        <v>0</v>
      </c>
      <c r="L481" s="3">
        <v>0</v>
      </c>
      <c r="M481" s="3">
        <v>379682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f t="shared" si="7"/>
        <v>15835668</v>
      </c>
    </row>
    <row r="482" spans="1:20" x14ac:dyDescent="0.25">
      <c r="A482" s="2">
        <v>46138</v>
      </c>
      <c r="B482" s="3">
        <v>391136</v>
      </c>
      <c r="C482" s="3">
        <v>5897016</v>
      </c>
      <c r="D482" s="3">
        <v>0</v>
      </c>
      <c r="E482" s="3">
        <v>1362926</v>
      </c>
      <c r="F482" s="3">
        <v>7290292</v>
      </c>
      <c r="G482" s="3">
        <v>0</v>
      </c>
      <c r="H482" s="3">
        <v>1234</v>
      </c>
      <c r="I482" s="3">
        <v>4</v>
      </c>
      <c r="J482" s="3">
        <v>0</v>
      </c>
      <c r="K482" s="3">
        <v>0</v>
      </c>
      <c r="L482" s="3">
        <v>0</v>
      </c>
      <c r="M482" s="3">
        <v>26073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f t="shared" si="7"/>
        <v>14968681</v>
      </c>
    </row>
    <row r="483" spans="1:20" x14ac:dyDescent="0.25">
      <c r="A483" s="2">
        <v>46139</v>
      </c>
      <c r="B483" s="3">
        <v>41379402</v>
      </c>
      <c r="C483" s="3">
        <v>129402617</v>
      </c>
      <c r="D483" s="3">
        <v>0</v>
      </c>
      <c r="E483" s="3">
        <v>11559635</v>
      </c>
      <c r="F483" s="3">
        <v>5468171</v>
      </c>
      <c r="G483" s="3">
        <v>51349</v>
      </c>
      <c r="H483" s="3">
        <v>199031</v>
      </c>
      <c r="I483" s="3">
        <v>89478</v>
      </c>
      <c r="J483" s="3">
        <v>0</v>
      </c>
      <c r="K483" s="3">
        <v>0</v>
      </c>
      <c r="L483" s="3">
        <v>0</v>
      </c>
      <c r="M483" s="3">
        <v>353310</v>
      </c>
      <c r="N483" s="3">
        <v>154491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f t="shared" si="7"/>
        <v>188657484</v>
      </c>
    </row>
    <row r="484" spans="1:20" x14ac:dyDescent="0.25">
      <c r="A484" s="2">
        <v>46140</v>
      </c>
      <c r="B484" s="3">
        <v>63852889</v>
      </c>
      <c r="C484" s="3">
        <v>32548568</v>
      </c>
      <c r="D484" s="3">
        <v>0</v>
      </c>
      <c r="E484" s="3">
        <v>63133706</v>
      </c>
      <c r="F484" s="3">
        <v>2077425</v>
      </c>
      <c r="G484" s="3">
        <v>370938</v>
      </c>
      <c r="H484" s="3">
        <v>5210</v>
      </c>
      <c r="I484" s="3">
        <v>193294</v>
      </c>
      <c r="J484" s="3">
        <v>0</v>
      </c>
      <c r="K484" s="3">
        <v>0</v>
      </c>
      <c r="L484" s="3">
        <v>0</v>
      </c>
      <c r="M484" s="3">
        <v>842947</v>
      </c>
      <c r="N484" s="3">
        <v>6601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f t="shared" si="7"/>
        <v>163031578</v>
      </c>
    </row>
    <row r="485" spans="1:20" x14ac:dyDescent="0.25">
      <c r="A485" s="2">
        <v>46141</v>
      </c>
      <c r="B485" s="3">
        <v>43975938</v>
      </c>
      <c r="C485" s="3">
        <v>39036047</v>
      </c>
      <c r="D485" s="3">
        <v>0</v>
      </c>
      <c r="E485" s="3">
        <v>8525420</v>
      </c>
      <c r="F485" s="3">
        <v>2615505</v>
      </c>
      <c r="G485" s="3">
        <v>648896</v>
      </c>
      <c r="H485" s="3">
        <v>28014</v>
      </c>
      <c r="I485" s="3">
        <v>184896</v>
      </c>
      <c r="J485" s="3">
        <v>0</v>
      </c>
      <c r="K485" s="3">
        <v>0</v>
      </c>
      <c r="L485" s="3">
        <v>0</v>
      </c>
      <c r="M485" s="3">
        <v>277513</v>
      </c>
      <c r="N485" s="3">
        <v>409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f t="shared" si="7"/>
        <v>95292638</v>
      </c>
    </row>
    <row r="486" spans="1:20" x14ac:dyDescent="0.25">
      <c r="A486" s="2">
        <v>46142</v>
      </c>
      <c r="B486" s="3">
        <v>40271419</v>
      </c>
      <c r="C486" s="3">
        <v>41449743</v>
      </c>
      <c r="D486" s="3">
        <v>0</v>
      </c>
      <c r="E486" s="3">
        <v>22188198</v>
      </c>
      <c r="F486" s="3">
        <v>4790547</v>
      </c>
      <c r="G486" s="3">
        <v>562077</v>
      </c>
      <c r="H486" s="3">
        <v>20985</v>
      </c>
      <c r="I486" s="3">
        <v>42468</v>
      </c>
      <c r="J486" s="3">
        <v>0</v>
      </c>
      <c r="K486" s="3">
        <v>0</v>
      </c>
      <c r="L486" s="3">
        <v>0</v>
      </c>
      <c r="M486" s="3">
        <v>179221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f t="shared" si="7"/>
        <v>109504658</v>
      </c>
    </row>
    <row r="487" spans="1:20" x14ac:dyDescent="0.25">
      <c r="A487" s="2">
        <v>46143</v>
      </c>
      <c r="B487" s="3">
        <v>50993409</v>
      </c>
      <c r="C487" s="3">
        <v>35324828</v>
      </c>
      <c r="D487" s="3">
        <v>0</v>
      </c>
      <c r="E487" s="3">
        <v>35518455</v>
      </c>
      <c r="F487" s="3">
        <v>915360</v>
      </c>
      <c r="G487" s="3">
        <v>632881</v>
      </c>
      <c r="H487" s="3">
        <v>2777</v>
      </c>
      <c r="I487" s="3">
        <v>120384</v>
      </c>
      <c r="J487" s="3">
        <v>0</v>
      </c>
      <c r="K487" s="3">
        <v>0</v>
      </c>
      <c r="L487" s="3">
        <v>0</v>
      </c>
      <c r="M487" s="3">
        <v>205750</v>
      </c>
      <c r="N487" s="3">
        <v>46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f t="shared" si="7"/>
        <v>123713890</v>
      </c>
    </row>
    <row r="488" spans="1:20" x14ac:dyDescent="0.25">
      <c r="A488" s="2">
        <v>46144</v>
      </c>
      <c r="B488" s="3">
        <v>112091</v>
      </c>
      <c r="C488" s="3">
        <v>5738662</v>
      </c>
      <c r="D488" s="3">
        <v>0</v>
      </c>
      <c r="E488" s="3">
        <v>789930</v>
      </c>
      <c r="F488" s="3">
        <v>1073808</v>
      </c>
      <c r="G488" s="3">
        <v>0</v>
      </c>
      <c r="H488" s="3">
        <v>212</v>
      </c>
      <c r="I488" s="3">
        <v>0</v>
      </c>
      <c r="J488" s="3">
        <v>0</v>
      </c>
      <c r="K488" s="3">
        <v>0</v>
      </c>
      <c r="L488" s="3">
        <v>0</v>
      </c>
      <c r="M488" s="3">
        <v>4646</v>
      </c>
      <c r="N488" s="3">
        <v>0</v>
      </c>
      <c r="O488" s="3">
        <v>0</v>
      </c>
      <c r="P488" s="3">
        <v>0</v>
      </c>
      <c r="Q488" s="3">
        <v>1</v>
      </c>
      <c r="R488" s="3">
        <v>0</v>
      </c>
      <c r="S488" s="3">
        <v>0</v>
      </c>
      <c r="T488" s="3">
        <f t="shared" si="7"/>
        <v>7719350</v>
      </c>
    </row>
    <row r="489" spans="1:20" x14ac:dyDescent="0.25">
      <c r="A489" s="2">
        <v>46145</v>
      </c>
      <c r="B489" s="3">
        <v>371241</v>
      </c>
      <c r="C489" s="3">
        <v>3805055</v>
      </c>
      <c r="D489" s="3">
        <v>0</v>
      </c>
      <c r="E489" s="3">
        <v>1023604</v>
      </c>
      <c r="F489" s="3">
        <v>93253</v>
      </c>
      <c r="G489" s="3">
        <v>0</v>
      </c>
      <c r="H489" s="3">
        <v>285</v>
      </c>
      <c r="I489" s="3">
        <v>0</v>
      </c>
      <c r="J489" s="3">
        <v>0</v>
      </c>
      <c r="K489" s="3">
        <v>0</v>
      </c>
      <c r="L489" s="3">
        <v>0</v>
      </c>
      <c r="M489" s="3">
        <v>44167</v>
      </c>
      <c r="N489" s="3">
        <v>671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f t="shared" si="7"/>
        <v>5338276</v>
      </c>
    </row>
    <row r="490" spans="1:20" x14ac:dyDescent="0.25">
      <c r="A490" s="2">
        <v>46146</v>
      </c>
      <c r="B490" s="3">
        <v>66251109</v>
      </c>
      <c r="C490" s="3">
        <v>57042645</v>
      </c>
      <c r="D490" s="3">
        <v>0</v>
      </c>
      <c r="E490" s="3">
        <v>24175077</v>
      </c>
      <c r="F490" s="3">
        <v>1777912</v>
      </c>
      <c r="G490" s="3">
        <v>765243</v>
      </c>
      <c r="H490" s="3">
        <v>8315</v>
      </c>
      <c r="I490" s="3">
        <v>164715</v>
      </c>
      <c r="J490" s="3">
        <v>0</v>
      </c>
      <c r="K490" s="3">
        <v>0</v>
      </c>
      <c r="L490" s="3">
        <v>0</v>
      </c>
      <c r="M490" s="3">
        <v>110692</v>
      </c>
      <c r="N490" s="3">
        <v>0</v>
      </c>
      <c r="O490" s="3">
        <v>0</v>
      </c>
      <c r="P490" s="3">
        <v>0</v>
      </c>
      <c r="Q490" s="3">
        <v>1</v>
      </c>
      <c r="R490" s="3">
        <v>0</v>
      </c>
      <c r="S490" s="3">
        <v>0</v>
      </c>
      <c r="T490" s="3">
        <f t="shared" si="7"/>
        <v>150295709</v>
      </c>
    </row>
    <row r="491" spans="1:20" x14ac:dyDescent="0.25">
      <c r="A491" s="2">
        <v>46147</v>
      </c>
      <c r="B491" s="3">
        <v>56272221</v>
      </c>
      <c r="C491" s="3">
        <v>40371001</v>
      </c>
      <c r="D491" s="3">
        <v>0</v>
      </c>
      <c r="E491" s="3">
        <v>10630236</v>
      </c>
      <c r="F491" s="3">
        <v>1266576</v>
      </c>
      <c r="G491" s="3">
        <v>1055358</v>
      </c>
      <c r="H491" s="3">
        <v>3636</v>
      </c>
      <c r="I491" s="3">
        <v>97503</v>
      </c>
      <c r="J491" s="3">
        <v>0</v>
      </c>
      <c r="K491" s="3">
        <v>0</v>
      </c>
      <c r="L491" s="3">
        <v>0</v>
      </c>
      <c r="M491" s="3">
        <v>79601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f t="shared" si="7"/>
        <v>109776132</v>
      </c>
    </row>
    <row r="492" spans="1:20" x14ac:dyDescent="0.25">
      <c r="A492" s="2">
        <v>46148</v>
      </c>
      <c r="B492" s="3">
        <v>93637339</v>
      </c>
      <c r="C492" s="3">
        <v>61021694</v>
      </c>
      <c r="D492" s="3">
        <v>0</v>
      </c>
      <c r="E492" s="3">
        <v>28252144</v>
      </c>
      <c r="F492" s="3">
        <v>8563366</v>
      </c>
      <c r="G492" s="3">
        <v>1313584</v>
      </c>
      <c r="H492" s="3">
        <v>8847</v>
      </c>
      <c r="I492" s="3">
        <v>71505</v>
      </c>
      <c r="J492" s="3">
        <v>0</v>
      </c>
      <c r="K492" s="3">
        <v>0</v>
      </c>
      <c r="L492" s="3">
        <v>0</v>
      </c>
      <c r="M492" s="3">
        <v>31384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f t="shared" si="7"/>
        <v>192899863</v>
      </c>
    </row>
    <row r="493" spans="1:20" x14ac:dyDescent="0.25">
      <c r="A493" s="2">
        <v>46149</v>
      </c>
      <c r="B493" s="3">
        <v>66174119</v>
      </c>
      <c r="C493" s="3">
        <v>52569711</v>
      </c>
      <c r="D493" s="3">
        <v>0</v>
      </c>
      <c r="E493" s="3">
        <v>15702343</v>
      </c>
      <c r="F493" s="3">
        <v>16193763</v>
      </c>
      <c r="G493" s="3">
        <v>290790</v>
      </c>
      <c r="H493" s="3">
        <v>4499</v>
      </c>
      <c r="I493" s="3">
        <v>62786</v>
      </c>
      <c r="J493" s="3">
        <v>0</v>
      </c>
      <c r="K493" s="3">
        <v>0</v>
      </c>
      <c r="L493" s="3">
        <v>0</v>
      </c>
      <c r="M493" s="3">
        <v>29014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f t="shared" si="7"/>
        <v>151027025</v>
      </c>
    </row>
    <row r="494" spans="1:20" x14ac:dyDescent="0.25">
      <c r="A494" s="2">
        <v>46150</v>
      </c>
      <c r="B494" s="3">
        <v>61987802</v>
      </c>
      <c r="C494" s="3">
        <v>46005746</v>
      </c>
      <c r="D494" s="3">
        <v>0</v>
      </c>
      <c r="E494" s="3">
        <v>14108159</v>
      </c>
      <c r="F494" s="3">
        <v>3758658</v>
      </c>
      <c r="G494" s="3">
        <v>326113</v>
      </c>
      <c r="H494" s="3">
        <v>15602</v>
      </c>
      <c r="I494" s="3">
        <v>326971</v>
      </c>
      <c r="J494" s="3">
        <v>0</v>
      </c>
      <c r="K494" s="3">
        <v>0</v>
      </c>
      <c r="L494" s="3">
        <v>0</v>
      </c>
      <c r="M494" s="3">
        <v>41861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f t="shared" si="7"/>
        <v>126570912</v>
      </c>
    </row>
    <row r="495" spans="1:20" x14ac:dyDescent="0.25">
      <c r="A495" s="2">
        <v>46151</v>
      </c>
      <c r="B495" s="3">
        <v>168897</v>
      </c>
      <c r="C495" s="3">
        <v>8822741</v>
      </c>
      <c r="D495" s="3">
        <v>0</v>
      </c>
      <c r="E495" s="3">
        <v>1035855</v>
      </c>
      <c r="F495" s="3">
        <v>530600</v>
      </c>
      <c r="G495" s="3">
        <v>0</v>
      </c>
      <c r="H495" s="3">
        <v>587</v>
      </c>
      <c r="I495" s="3">
        <v>1196</v>
      </c>
      <c r="J495" s="3">
        <v>0</v>
      </c>
      <c r="K495" s="3">
        <v>0</v>
      </c>
      <c r="L495" s="3">
        <v>0</v>
      </c>
      <c r="M495" s="3">
        <v>13968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f t="shared" si="7"/>
        <v>10573844</v>
      </c>
    </row>
    <row r="496" spans="1:20" x14ac:dyDescent="0.25">
      <c r="A496" s="2">
        <v>46152</v>
      </c>
      <c r="B496" s="3">
        <v>1710801</v>
      </c>
      <c r="C496" s="3">
        <v>10292462</v>
      </c>
      <c r="D496" s="3">
        <v>0</v>
      </c>
      <c r="E496" s="3">
        <v>534776</v>
      </c>
      <c r="F496" s="3">
        <v>403982</v>
      </c>
      <c r="G496" s="3">
        <v>0</v>
      </c>
      <c r="H496" s="3">
        <v>549</v>
      </c>
      <c r="I496" s="3">
        <v>108</v>
      </c>
      <c r="J496" s="3">
        <v>0</v>
      </c>
      <c r="K496" s="3">
        <v>0</v>
      </c>
      <c r="L496" s="3">
        <v>0</v>
      </c>
      <c r="M496" s="3">
        <v>13647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f t="shared" si="7"/>
        <v>12956325</v>
      </c>
    </row>
    <row r="497" spans="1:20" x14ac:dyDescent="0.25">
      <c r="A497" s="2">
        <v>46153</v>
      </c>
      <c r="B497" s="3">
        <v>123582220</v>
      </c>
      <c r="C497" s="3">
        <v>81695431</v>
      </c>
      <c r="D497" s="3">
        <v>0</v>
      </c>
      <c r="E497" s="3">
        <v>15732126</v>
      </c>
      <c r="F497" s="3">
        <v>1043127</v>
      </c>
      <c r="G497" s="3">
        <v>618851</v>
      </c>
      <c r="H497" s="3">
        <v>30630</v>
      </c>
      <c r="I497" s="3">
        <v>135181</v>
      </c>
      <c r="J497" s="3">
        <v>0</v>
      </c>
      <c r="K497" s="3">
        <v>0</v>
      </c>
      <c r="L497" s="3">
        <v>0</v>
      </c>
      <c r="M497" s="3">
        <v>26897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f t="shared" si="7"/>
        <v>222864463</v>
      </c>
    </row>
    <row r="498" spans="1:20" x14ac:dyDescent="0.25">
      <c r="A498" s="2">
        <v>46154</v>
      </c>
      <c r="B498" s="3">
        <v>93931733</v>
      </c>
      <c r="C498" s="3">
        <v>65065273</v>
      </c>
      <c r="D498" s="3">
        <v>0</v>
      </c>
      <c r="E498" s="3">
        <v>12565252</v>
      </c>
      <c r="F498" s="3">
        <v>3142521</v>
      </c>
      <c r="G498" s="3">
        <v>1052503</v>
      </c>
      <c r="H498" s="3">
        <v>6485</v>
      </c>
      <c r="I498" s="3">
        <v>19229</v>
      </c>
      <c r="J498" s="3">
        <v>0</v>
      </c>
      <c r="K498" s="3">
        <v>20</v>
      </c>
      <c r="L498" s="3">
        <v>0</v>
      </c>
      <c r="M498" s="3">
        <v>20993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f t="shared" si="7"/>
        <v>175804009</v>
      </c>
    </row>
    <row r="499" spans="1:20" x14ac:dyDescent="0.25">
      <c r="A499" s="2">
        <v>46155</v>
      </c>
      <c r="B499" s="3">
        <v>86102014</v>
      </c>
      <c r="C499" s="3">
        <v>49032195</v>
      </c>
      <c r="D499" s="3">
        <v>0</v>
      </c>
      <c r="E499" s="3">
        <v>29522624</v>
      </c>
      <c r="F499" s="3">
        <v>2381263</v>
      </c>
      <c r="G499" s="3">
        <v>1889548</v>
      </c>
      <c r="H499" s="3">
        <v>7277</v>
      </c>
      <c r="I499" s="3">
        <v>22300</v>
      </c>
      <c r="J499" s="3">
        <v>0</v>
      </c>
      <c r="K499" s="3">
        <v>44519</v>
      </c>
      <c r="L499" s="3">
        <v>0</v>
      </c>
      <c r="M499" s="3">
        <v>17100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f t="shared" si="7"/>
        <v>169018840</v>
      </c>
    </row>
    <row r="500" spans="1:20" x14ac:dyDescent="0.25">
      <c r="A500" s="2">
        <v>46156</v>
      </c>
      <c r="B500" s="3">
        <v>90322603</v>
      </c>
      <c r="C500" s="3">
        <v>65380285</v>
      </c>
      <c r="D500" s="3">
        <v>0</v>
      </c>
      <c r="E500" s="3">
        <v>27100534</v>
      </c>
      <c r="F500" s="3">
        <v>3049808</v>
      </c>
      <c r="G500" s="3">
        <v>1650776</v>
      </c>
      <c r="H500" s="3">
        <v>6562</v>
      </c>
      <c r="I500" s="3">
        <v>334988</v>
      </c>
      <c r="J500" s="3">
        <v>0</v>
      </c>
      <c r="K500" s="3">
        <v>0</v>
      </c>
      <c r="L500" s="3">
        <v>0</v>
      </c>
      <c r="M500" s="3">
        <v>138467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f t="shared" si="7"/>
        <v>187984023</v>
      </c>
    </row>
    <row r="501" spans="1:20" x14ac:dyDescent="0.25">
      <c r="A501" s="2">
        <v>46157</v>
      </c>
      <c r="B501" s="3">
        <v>71351959</v>
      </c>
      <c r="C501" s="3">
        <v>73416359</v>
      </c>
      <c r="D501" s="3">
        <v>0</v>
      </c>
      <c r="E501" s="3">
        <v>21125212</v>
      </c>
      <c r="F501" s="3">
        <v>6148318</v>
      </c>
      <c r="G501" s="3">
        <v>9632275</v>
      </c>
      <c r="H501" s="3">
        <v>5915</v>
      </c>
      <c r="I501" s="3">
        <v>8609</v>
      </c>
      <c r="J501" s="3">
        <v>0</v>
      </c>
      <c r="K501" s="3">
        <v>118</v>
      </c>
      <c r="L501" s="3">
        <v>0</v>
      </c>
      <c r="M501" s="3">
        <v>39253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f t="shared" si="7"/>
        <v>181728018</v>
      </c>
    </row>
    <row r="502" spans="1:20" x14ac:dyDescent="0.25">
      <c r="A502" s="2">
        <v>46158</v>
      </c>
      <c r="B502" s="3">
        <v>102503</v>
      </c>
      <c r="C502" s="3">
        <v>8817494</v>
      </c>
      <c r="D502" s="3">
        <v>0</v>
      </c>
      <c r="E502" s="3">
        <v>1126376</v>
      </c>
      <c r="F502" s="3">
        <v>384693</v>
      </c>
      <c r="G502" s="3">
        <v>0</v>
      </c>
      <c r="H502" s="3">
        <v>440</v>
      </c>
      <c r="I502" s="3">
        <v>349</v>
      </c>
      <c r="J502" s="3">
        <v>0</v>
      </c>
      <c r="K502" s="3">
        <v>1787</v>
      </c>
      <c r="L502" s="3">
        <v>0</v>
      </c>
      <c r="M502" s="3">
        <v>5845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f t="shared" si="7"/>
        <v>10439487</v>
      </c>
    </row>
    <row r="503" spans="1:20" x14ac:dyDescent="0.25">
      <c r="A503" s="2">
        <v>46159</v>
      </c>
      <c r="B503" s="3">
        <v>116730</v>
      </c>
      <c r="C503" s="3">
        <v>7060064</v>
      </c>
      <c r="D503" s="3">
        <v>0</v>
      </c>
      <c r="E503" s="3">
        <v>3413979</v>
      </c>
      <c r="F503" s="3">
        <v>376554</v>
      </c>
      <c r="G503" s="3">
        <v>0</v>
      </c>
      <c r="H503" s="3">
        <v>222</v>
      </c>
      <c r="I503" s="3">
        <v>33</v>
      </c>
      <c r="J503" s="3">
        <v>0</v>
      </c>
      <c r="K503" s="3">
        <v>76047</v>
      </c>
      <c r="L503" s="3">
        <v>0</v>
      </c>
      <c r="M503" s="3">
        <v>132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f t="shared" si="7"/>
        <v>11043761</v>
      </c>
    </row>
    <row r="504" spans="1:20" x14ac:dyDescent="0.25">
      <c r="A504" s="2">
        <v>46160</v>
      </c>
      <c r="B504" s="3">
        <v>79178751</v>
      </c>
      <c r="C504" s="3">
        <v>64503163</v>
      </c>
      <c r="D504" s="3">
        <v>0</v>
      </c>
      <c r="E504" s="3">
        <v>22697236</v>
      </c>
      <c r="F504" s="3">
        <v>7430660</v>
      </c>
      <c r="G504" s="3">
        <v>1866725</v>
      </c>
      <c r="H504" s="3">
        <v>6313</v>
      </c>
      <c r="I504" s="3">
        <v>17497</v>
      </c>
      <c r="J504" s="3">
        <v>0</v>
      </c>
      <c r="K504" s="3">
        <v>17612</v>
      </c>
      <c r="L504" s="3">
        <v>0</v>
      </c>
      <c r="M504" s="3">
        <v>29423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f t="shared" si="7"/>
        <v>175747380</v>
      </c>
    </row>
    <row r="505" spans="1:20" x14ac:dyDescent="0.25">
      <c r="A505" s="2">
        <v>46161</v>
      </c>
      <c r="B505" s="3">
        <v>66597190</v>
      </c>
      <c r="C505" s="3">
        <v>49105479</v>
      </c>
      <c r="D505" s="3">
        <v>0</v>
      </c>
      <c r="E505" s="3">
        <v>27157497</v>
      </c>
      <c r="F505" s="3">
        <v>3105145</v>
      </c>
      <c r="G505" s="3">
        <v>649631</v>
      </c>
      <c r="H505" s="3">
        <v>4224</v>
      </c>
      <c r="I505" s="3">
        <v>82459</v>
      </c>
      <c r="J505" s="3">
        <v>0</v>
      </c>
      <c r="K505" s="3">
        <v>17143</v>
      </c>
      <c r="L505" s="3">
        <v>0</v>
      </c>
      <c r="M505" s="3">
        <v>2612</v>
      </c>
      <c r="N505" s="3">
        <v>4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f t="shared" si="7"/>
        <v>146721384</v>
      </c>
    </row>
    <row r="506" spans="1:20" x14ac:dyDescent="0.25">
      <c r="A506" s="2">
        <v>46162</v>
      </c>
      <c r="B506" s="3">
        <v>74943753</v>
      </c>
      <c r="C506" s="3">
        <v>201493896</v>
      </c>
      <c r="D506" s="3">
        <v>0</v>
      </c>
      <c r="E506" s="3">
        <v>46181772</v>
      </c>
      <c r="F506" s="3">
        <v>6358945</v>
      </c>
      <c r="G506" s="3">
        <v>58702</v>
      </c>
      <c r="H506" s="3">
        <v>6322</v>
      </c>
      <c r="I506" s="3">
        <v>14868</v>
      </c>
      <c r="J506" s="3">
        <v>0</v>
      </c>
      <c r="K506" s="3">
        <v>13731</v>
      </c>
      <c r="L506" s="3">
        <v>0</v>
      </c>
      <c r="M506" s="3">
        <v>5134</v>
      </c>
      <c r="N506" s="3">
        <v>820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f t="shared" si="7"/>
        <v>329077943</v>
      </c>
    </row>
    <row r="507" spans="1:20" x14ac:dyDescent="0.25">
      <c r="A507" s="2">
        <v>46163</v>
      </c>
      <c r="B507" s="3">
        <v>88882251</v>
      </c>
      <c r="C507" s="3">
        <v>60233750</v>
      </c>
      <c r="D507" s="3">
        <v>0</v>
      </c>
      <c r="E507" s="3">
        <v>25228733</v>
      </c>
      <c r="F507" s="3">
        <v>2903539</v>
      </c>
      <c r="G507" s="3">
        <v>351284</v>
      </c>
      <c r="H507" s="3">
        <v>2808</v>
      </c>
      <c r="I507" s="3">
        <v>16158</v>
      </c>
      <c r="J507" s="3">
        <v>0</v>
      </c>
      <c r="K507" s="3">
        <v>565075</v>
      </c>
      <c r="L507" s="3">
        <v>0</v>
      </c>
      <c r="M507" s="3">
        <v>2560</v>
      </c>
      <c r="N507" s="3">
        <v>616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f t="shared" si="7"/>
        <v>178186774</v>
      </c>
    </row>
    <row r="508" spans="1:20" x14ac:dyDescent="0.25">
      <c r="A508" s="2">
        <v>46164</v>
      </c>
      <c r="B508" s="3">
        <v>100508659</v>
      </c>
      <c r="C508" s="3">
        <v>92426738</v>
      </c>
      <c r="D508" s="3">
        <v>0</v>
      </c>
      <c r="E508" s="3">
        <v>26776329</v>
      </c>
      <c r="F508" s="3">
        <v>2043735</v>
      </c>
      <c r="G508" s="3">
        <v>159470</v>
      </c>
      <c r="H508" s="3">
        <v>6837</v>
      </c>
      <c r="I508" s="3">
        <v>19972</v>
      </c>
      <c r="J508" s="3">
        <v>0</v>
      </c>
      <c r="K508" s="3">
        <v>173035</v>
      </c>
      <c r="L508" s="3">
        <v>0</v>
      </c>
      <c r="M508" s="3">
        <v>10453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f t="shared" si="7"/>
        <v>222125228</v>
      </c>
    </row>
    <row r="509" spans="1:20" x14ac:dyDescent="0.25">
      <c r="A509" s="2">
        <v>46165</v>
      </c>
      <c r="B509" s="3">
        <v>340427</v>
      </c>
      <c r="C509" s="3">
        <v>27255593</v>
      </c>
      <c r="D509" s="3">
        <v>0</v>
      </c>
      <c r="E509" s="3">
        <v>7594917</v>
      </c>
      <c r="F509" s="3">
        <v>6542232</v>
      </c>
      <c r="G509" s="3">
        <v>0</v>
      </c>
      <c r="H509" s="3">
        <v>379</v>
      </c>
      <c r="I509" s="3">
        <v>0</v>
      </c>
      <c r="J509" s="3">
        <v>0</v>
      </c>
      <c r="K509" s="3">
        <v>208939</v>
      </c>
      <c r="L509" s="3">
        <v>0</v>
      </c>
      <c r="M509" s="3">
        <v>1224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f t="shared" si="7"/>
        <v>41943711</v>
      </c>
    </row>
    <row r="510" spans="1:20" x14ac:dyDescent="0.25">
      <c r="A510" s="2">
        <v>46166</v>
      </c>
      <c r="B510" s="3">
        <v>167616</v>
      </c>
      <c r="C510" s="3">
        <v>8779297</v>
      </c>
      <c r="D510" s="3">
        <v>0</v>
      </c>
      <c r="E510" s="3">
        <v>888088</v>
      </c>
      <c r="F510" s="3">
        <v>1133359</v>
      </c>
      <c r="G510" s="3">
        <v>0</v>
      </c>
      <c r="H510" s="3">
        <v>412</v>
      </c>
      <c r="I510" s="3">
        <v>46</v>
      </c>
      <c r="J510" s="3">
        <v>0</v>
      </c>
      <c r="K510" s="3">
        <v>598805</v>
      </c>
      <c r="L510" s="3">
        <v>0</v>
      </c>
      <c r="M510" s="3">
        <v>1500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f t="shared" si="7"/>
        <v>11569123</v>
      </c>
    </row>
    <row r="511" spans="1:20" x14ac:dyDescent="0.25">
      <c r="A511" s="2">
        <v>46167</v>
      </c>
      <c r="B511" s="3">
        <v>1799352</v>
      </c>
      <c r="C511" s="3">
        <v>21031593</v>
      </c>
      <c r="D511" s="3">
        <v>0</v>
      </c>
      <c r="E511" s="3">
        <v>2671019</v>
      </c>
      <c r="F511" s="3">
        <v>1043841</v>
      </c>
      <c r="G511" s="3">
        <v>0</v>
      </c>
      <c r="H511" s="3">
        <v>12129</v>
      </c>
      <c r="I511" s="3">
        <v>69</v>
      </c>
      <c r="J511" s="3">
        <v>0</v>
      </c>
      <c r="K511" s="3">
        <v>754814</v>
      </c>
      <c r="L511" s="3">
        <v>0</v>
      </c>
      <c r="M511" s="3">
        <v>117</v>
      </c>
      <c r="N511" s="3">
        <v>272742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f t="shared" si="7"/>
        <v>27585676</v>
      </c>
    </row>
    <row r="512" spans="1:20" x14ac:dyDescent="0.25">
      <c r="A512" s="2">
        <v>46168</v>
      </c>
      <c r="B512" s="3">
        <v>140407006</v>
      </c>
      <c r="C512" s="3">
        <v>64550548</v>
      </c>
      <c r="D512" s="3">
        <v>0</v>
      </c>
      <c r="E512" s="3">
        <v>61505687</v>
      </c>
      <c r="F512" s="3">
        <v>4734649</v>
      </c>
      <c r="G512" s="3">
        <v>562213</v>
      </c>
      <c r="H512" s="3">
        <v>6616</v>
      </c>
      <c r="I512" s="3">
        <v>11287</v>
      </c>
      <c r="J512" s="3">
        <v>0</v>
      </c>
      <c r="K512" s="3">
        <v>1836049</v>
      </c>
      <c r="L512" s="3">
        <v>0</v>
      </c>
      <c r="M512" s="3">
        <v>5789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f t="shared" si="7"/>
        <v>273619844</v>
      </c>
    </row>
    <row r="513" spans="1:20" x14ac:dyDescent="0.25">
      <c r="A513" s="2">
        <v>46169</v>
      </c>
      <c r="B513" s="3">
        <v>104226663</v>
      </c>
      <c r="C513" s="3">
        <v>6619253</v>
      </c>
      <c r="D513" s="3">
        <v>0</v>
      </c>
      <c r="E513" s="3">
        <v>43485148</v>
      </c>
      <c r="F513" s="3">
        <v>1738745</v>
      </c>
      <c r="G513" s="3">
        <v>299898</v>
      </c>
      <c r="H513" s="3">
        <v>22800</v>
      </c>
      <c r="I513" s="3">
        <v>53233</v>
      </c>
      <c r="J513" s="3">
        <v>0</v>
      </c>
      <c r="K513" s="3">
        <v>2294687</v>
      </c>
      <c r="L513" s="3">
        <v>0</v>
      </c>
      <c r="M513" s="3">
        <v>5506</v>
      </c>
      <c r="N513" s="3">
        <v>167283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f t="shared" si="7"/>
        <v>158913216</v>
      </c>
    </row>
    <row r="514" spans="1:20" x14ac:dyDescent="0.25">
      <c r="A514" s="2">
        <v>46170</v>
      </c>
      <c r="B514" s="3">
        <v>94276887</v>
      </c>
      <c r="C514" s="3">
        <v>52984211</v>
      </c>
      <c r="D514" s="3">
        <v>0</v>
      </c>
      <c r="E514" s="3">
        <v>22749668</v>
      </c>
      <c r="F514" s="3">
        <v>3872549</v>
      </c>
      <c r="G514" s="3">
        <v>113011</v>
      </c>
      <c r="H514" s="3">
        <v>5783</v>
      </c>
      <c r="I514" s="3">
        <v>19314</v>
      </c>
      <c r="J514" s="3">
        <v>0</v>
      </c>
      <c r="K514" s="3">
        <v>1312873</v>
      </c>
      <c r="L514" s="3">
        <v>16550</v>
      </c>
      <c r="M514" s="3">
        <v>15072</v>
      </c>
      <c r="N514" s="3">
        <v>375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f t="shared" ref="T514:T577" si="8">SUM(B514:S514)</f>
        <v>175366293</v>
      </c>
    </row>
    <row r="515" spans="1:20" x14ac:dyDescent="0.25">
      <c r="A515" s="2">
        <v>46171</v>
      </c>
      <c r="B515" s="3">
        <v>72977752</v>
      </c>
      <c r="C515" s="3">
        <v>68384858</v>
      </c>
      <c r="D515" s="3">
        <v>0</v>
      </c>
      <c r="E515" s="3">
        <v>17125415</v>
      </c>
      <c r="F515" s="3">
        <v>11184524</v>
      </c>
      <c r="G515" s="3">
        <v>199165</v>
      </c>
      <c r="H515" s="3">
        <v>5547</v>
      </c>
      <c r="I515" s="3">
        <v>36114</v>
      </c>
      <c r="J515" s="3">
        <v>0</v>
      </c>
      <c r="K515" s="3">
        <v>1664472</v>
      </c>
      <c r="L515" s="3">
        <v>0</v>
      </c>
      <c r="M515" s="3">
        <v>14132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f t="shared" si="8"/>
        <v>171591979</v>
      </c>
    </row>
    <row r="516" spans="1:20" x14ac:dyDescent="0.25">
      <c r="A516" s="2">
        <v>46172</v>
      </c>
      <c r="B516" s="3">
        <v>310685</v>
      </c>
      <c r="C516" s="3">
        <v>9088694</v>
      </c>
      <c r="D516" s="3">
        <v>0</v>
      </c>
      <c r="E516" s="3">
        <v>2197134</v>
      </c>
      <c r="F516" s="3">
        <v>13996012</v>
      </c>
      <c r="G516" s="3">
        <v>1237</v>
      </c>
      <c r="H516" s="3">
        <v>1288</v>
      </c>
      <c r="I516" s="3">
        <v>422</v>
      </c>
      <c r="J516" s="3">
        <v>0</v>
      </c>
      <c r="K516" s="3">
        <v>569501</v>
      </c>
      <c r="L516" s="3">
        <v>0</v>
      </c>
      <c r="M516" s="3">
        <v>1505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f t="shared" si="8"/>
        <v>26166478</v>
      </c>
    </row>
    <row r="517" spans="1:20" x14ac:dyDescent="0.25">
      <c r="A517" s="2">
        <v>46173</v>
      </c>
      <c r="B517" s="3">
        <v>387005</v>
      </c>
      <c r="C517" s="3">
        <v>10458077</v>
      </c>
      <c r="D517" s="3">
        <v>0</v>
      </c>
      <c r="E517" s="3">
        <v>988398</v>
      </c>
      <c r="F517" s="3">
        <v>6101881</v>
      </c>
      <c r="G517" s="3">
        <v>1025</v>
      </c>
      <c r="H517" s="3">
        <v>473</v>
      </c>
      <c r="I517" s="3">
        <v>0</v>
      </c>
      <c r="J517" s="3">
        <v>0</v>
      </c>
      <c r="K517" s="3">
        <v>651190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f t="shared" si="8"/>
        <v>18588049</v>
      </c>
    </row>
    <row r="518" spans="1:20" x14ac:dyDescent="0.25">
      <c r="A518" s="2">
        <v>46174</v>
      </c>
      <c r="B518" s="3">
        <v>218374017</v>
      </c>
      <c r="C518" s="3">
        <v>93064023</v>
      </c>
      <c r="D518" s="3">
        <v>0</v>
      </c>
      <c r="E518" s="3">
        <v>31008100</v>
      </c>
      <c r="F518" s="3">
        <v>4479502</v>
      </c>
      <c r="G518" s="3">
        <v>318898</v>
      </c>
      <c r="H518" s="3">
        <v>11344</v>
      </c>
      <c r="I518" s="3">
        <v>146637</v>
      </c>
      <c r="J518" s="3">
        <v>0</v>
      </c>
      <c r="K518" s="3">
        <v>2074313</v>
      </c>
      <c r="L518" s="3">
        <v>0</v>
      </c>
      <c r="M518" s="3">
        <v>13117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f t="shared" si="8"/>
        <v>349489951</v>
      </c>
    </row>
    <row r="519" spans="1:20" x14ac:dyDescent="0.25">
      <c r="A519" s="2">
        <v>46175</v>
      </c>
      <c r="B519" s="3">
        <v>181606989</v>
      </c>
      <c r="C519" s="3">
        <v>80177581</v>
      </c>
      <c r="D519" s="3">
        <v>0</v>
      </c>
      <c r="E519" s="3">
        <v>34410629</v>
      </c>
      <c r="F519" s="3">
        <v>10444820</v>
      </c>
      <c r="G519" s="3">
        <v>423871</v>
      </c>
      <c r="H519" s="3">
        <v>7113</v>
      </c>
      <c r="I519" s="3">
        <v>67748</v>
      </c>
      <c r="J519" s="3">
        <v>0</v>
      </c>
      <c r="K519" s="3">
        <v>2202745</v>
      </c>
      <c r="L519" s="3">
        <v>0</v>
      </c>
      <c r="M519" s="3">
        <v>8605</v>
      </c>
      <c r="N519" s="3">
        <v>67006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f t="shared" si="8"/>
        <v>309417107</v>
      </c>
    </row>
    <row r="520" spans="1:20" x14ac:dyDescent="0.25">
      <c r="A520" s="2">
        <v>46176</v>
      </c>
      <c r="B520" s="3">
        <v>125853946</v>
      </c>
      <c r="C520" s="3">
        <v>60131078</v>
      </c>
      <c r="D520" s="3">
        <v>0</v>
      </c>
      <c r="E520" s="3">
        <v>15865192</v>
      </c>
      <c r="F520" s="3">
        <v>10364875</v>
      </c>
      <c r="G520" s="3">
        <v>647492</v>
      </c>
      <c r="H520" s="3">
        <v>3611</v>
      </c>
      <c r="I520" s="3">
        <v>89307</v>
      </c>
      <c r="J520" s="3">
        <v>0</v>
      </c>
      <c r="K520" s="3">
        <v>1887620</v>
      </c>
      <c r="L520" s="3">
        <v>0</v>
      </c>
      <c r="M520" s="3">
        <v>8463</v>
      </c>
      <c r="N520" s="3">
        <v>9649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f t="shared" si="8"/>
        <v>214861233</v>
      </c>
    </row>
    <row r="521" spans="1:20" x14ac:dyDescent="0.25">
      <c r="A521" s="2">
        <v>46177</v>
      </c>
      <c r="B521" s="3">
        <v>67024195</v>
      </c>
      <c r="C521" s="3">
        <v>52077113</v>
      </c>
      <c r="D521" s="3">
        <v>0</v>
      </c>
      <c r="E521" s="3">
        <v>11678607</v>
      </c>
      <c r="F521" s="3">
        <v>3614944</v>
      </c>
      <c r="G521" s="3">
        <v>360750</v>
      </c>
      <c r="H521" s="3">
        <v>20006</v>
      </c>
      <c r="I521" s="3">
        <v>42792</v>
      </c>
      <c r="J521" s="3">
        <v>0</v>
      </c>
      <c r="K521" s="3">
        <v>2259809</v>
      </c>
      <c r="L521" s="3">
        <v>453</v>
      </c>
      <c r="M521" s="3">
        <v>15643</v>
      </c>
      <c r="N521" s="3">
        <v>19455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f t="shared" si="8"/>
        <v>137113767</v>
      </c>
    </row>
    <row r="522" spans="1:20" x14ac:dyDescent="0.25">
      <c r="A522" s="2">
        <v>46178</v>
      </c>
      <c r="B522" s="3">
        <v>104362133</v>
      </c>
      <c r="C522" s="3">
        <v>63179912</v>
      </c>
      <c r="D522" s="3">
        <v>0</v>
      </c>
      <c r="E522" s="3">
        <v>32923542</v>
      </c>
      <c r="F522" s="3">
        <v>9551271</v>
      </c>
      <c r="G522" s="3">
        <v>752885</v>
      </c>
      <c r="H522" s="3">
        <v>4215</v>
      </c>
      <c r="I522" s="3">
        <v>28130</v>
      </c>
      <c r="J522" s="3">
        <v>0</v>
      </c>
      <c r="K522" s="3">
        <v>291495</v>
      </c>
      <c r="L522" s="3">
        <v>0</v>
      </c>
      <c r="M522" s="3">
        <v>15506</v>
      </c>
      <c r="N522" s="3">
        <v>6450</v>
      </c>
      <c r="O522" s="3">
        <v>0</v>
      </c>
      <c r="P522" s="3">
        <v>0</v>
      </c>
      <c r="Q522" s="3">
        <v>998</v>
      </c>
      <c r="R522" s="3">
        <v>0</v>
      </c>
      <c r="S522" s="3">
        <v>0</v>
      </c>
      <c r="T522" s="3">
        <f t="shared" si="8"/>
        <v>211116537</v>
      </c>
    </row>
    <row r="523" spans="1:20" x14ac:dyDescent="0.25">
      <c r="A523" s="2">
        <v>46179</v>
      </c>
      <c r="B523" s="3">
        <v>1100751</v>
      </c>
      <c r="C523" s="3">
        <v>25291860</v>
      </c>
      <c r="D523" s="3">
        <v>0</v>
      </c>
      <c r="E523" s="3">
        <v>2055197</v>
      </c>
      <c r="F523" s="3">
        <v>4871299</v>
      </c>
      <c r="G523" s="3">
        <v>2849</v>
      </c>
      <c r="H523" s="3">
        <v>1001</v>
      </c>
      <c r="I523" s="3">
        <v>12</v>
      </c>
      <c r="J523" s="3">
        <v>0</v>
      </c>
      <c r="K523" s="3">
        <v>322150</v>
      </c>
      <c r="L523" s="3">
        <v>0</v>
      </c>
      <c r="M523" s="3">
        <v>2071</v>
      </c>
      <c r="N523" s="3">
        <v>6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f t="shared" si="8"/>
        <v>33647196</v>
      </c>
    </row>
    <row r="524" spans="1:20" x14ac:dyDescent="0.25">
      <c r="A524" s="2">
        <v>46180</v>
      </c>
      <c r="B524" s="3">
        <v>422460</v>
      </c>
      <c r="C524" s="3">
        <v>11409912</v>
      </c>
      <c r="D524" s="3">
        <v>0</v>
      </c>
      <c r="E524" s="3">
        <v>1147968</v>
      </c>
      <c r="F524" s="3">
        <v>4127968</v>
      </c>
      <c r="G524" s="3">
        <v>0</v>
      </c>
      <c r="H524" s="3">
        <v>81</v>
      </c>
      <c r="I524" s="3">
        <v>0</v>
      </c>
      <c r="J524" s="3">
        <v>0</v>
      </c>
      <c r="K524" s="3">
        <v>727675</v>
      </c>
      <c r="L524" s="3">
        <v>0</v>
      </c>
      <c r="M524" s="3">
        <v>4997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f t="shared" si="8"/>
        <v>17841061</v>
      </c>
    </row>
    <row r="525" spans="1:20" x14ac:dyDescent="0.25">
      <c r="A525" s="2">
        <v>46181</v>
      </c>
      <c r="B525" s="3">
        <v>64452422</v>
      </c>
      <c r="C525" s="3">
        <v>51563881</v>
      </c>
      <c r="D525" s="3">
        <v>0</v>
      </c>
      <c r="E525" s="3">
        <v>15987298</v>
      </c>
      <c r="F525" s="3">
        <v>10793162</v>
      </c>
      <c r="G525" s="3">
        <v>140747</v>
      </c>
      <c r="H525" s="3">
        <v>16973</v>
      </c>
      <c r="I525" s="3">
        <v>25434</v>
      </c>
      <c r="J525" s="3">
        <v>0</v>
      </c>
      <c r="K525" s="3">
        <v>1501576</v>
      </c>
      <c r="L525" s="3">
        <v>0</v>
      </c>
      <c r="M525" s="3">
        <v>4530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f t="shared" si="8"/>
        <v>144486023</v>
      </c>
    </row>
    <row r="526" spans="1:20" x14ac:dyDescent="0.25">
      <c r="A526" s="2">
        <v>46182</v>
      </c>
      <c r="B526" s="3">
        <v>77888755</v>
      </c>
      <c r="C526" s="3">
        <v>51877178</v>
      </c>
      <c r="D526" s="3">
        <v>0</v>
      </c>
      <c r="E526" s="3">
        <v>20630381</v>
      </c>
      <c r="F526" s="3">
        <v>18286816</v>
      </c>
      <c r="G526" s="3">
        <v>197042</v>
      </c>
      <c r="H526" s="3">
        <v>2691</v>
      </c>
      <c r="I526" s="3">
        <v>1466709</v>
      </c>
      <c r="J526" s="3">
        <v>0</v>
      </c>
      <c r="K526" s="3">
        <v>0</v>
      </c>
      <c r="L526" s="3">
        <v>0</v>
      </c>
      <c r="M526" s="3">
        <v>13197</v>
      </c>
      <c r="N526" s="3">
        <v>1794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f t="shared" si="8"/>
        <v>170364563</v>
      </c>
    </row>
    <row r="527" spans="1:20" x14ac:dyDescent="0.25">
      <c r="A527" s="2">
        <v>46183</v>
      </c>
      <c r="B527" s="3">
        <v>48228776</v>
      </c>
      <c r="C527" s="3">
        <v>60812903</v>
      </c>
      <c r="D527" s="3">
        <v>0</v>
      </c>
      <c r="E527" s="3">
        <v>17982245</v>
      </c>
      <c r="F527" s="3">
        <v>11013567</v>
      </c>
      <c r="G527" s="3">
        <v>157361</v>
      </c>
      <c r="H527" s="3">
        <v>12524</v>
      </c>
      <c r="I527" s="3">
        <v>8877558</v>
      </c>
      <c r="J527" s="3">
        <v>0</v>
      </c>
      <c r="K527" s="3">
        <v>494</v>
      </c>
      <c r="L527" s="3">
        <v>0</v>
      </c>
      <c r="M527" s="3">
        <v>18063</v>
      </c>
      <c r="N527" s="3">
        <v>0</v>
      </c>
      <c r="O527" s="3">
        <v>0</v>
      </c>
      <c r="P527" s="3">
        <v>0</v>
      </c>
      <c r="Q527" s="3">
        <v>2</v>
      </c>
      <c r="R527" s="3">
        <v>0</v>
      </c>
      <c r="S527" s="3">
        <v>0</v>
      </c>
      <c r="T527" s="3">
        <f t="shared" si="8"/>
        <v>147103493</v>
      </c>
    </row>
    <row r="528" spans="1:20" x14ac:dyDescent="0.25">
      <c r="A528" s="2">
        <v>46184</v>
      </c>
      <c r="B528" s="3">
        <v>64583983</v>
      </c>
      <c r="C528" s="3">
        <v>78360818</v>
      </c>
      <c r="D528" s="3">
        <v>0</v>
      </c>
      <c r="E528" s="3">
        <v>18801224</v>
      </c>
      <c r="F528" s="3">
        <v>10479489</v>
      </c>
      <c r="G528" s="3">
        <v>43661</v>
      </c>
      <c r="H528" s="3">
        <v>5926</v>
      </c>
      <c r="I528" s="3">
        <v>56842</v>
      </c>
      <c r="J528" s="3">
        <v>0</v>
      </c>
      <c r="K528" s="3">
        <v>10</v>
      </c>
      <c r="L528" s="3">
        <v>0</v>
      </c>
      <c r="M528" s="3">
        <v>9227</v>
      </c>
      <c r="N528" s="3">
        <v>0</v>
      </c>
      <c r="O528" s="3">
        <v>0</v>
      </c>
      <c r="P528" s="3">
        <v>0</v>
      </c>
      <c r="Q528" s="3">
        <v>31</v>
      </c>
      <c r="R528" s="3">
        <v>0</v>
      </c>
      <c r="S528" s="3">
        <v>0</v>
      </c>
      <c r="T528" s="3">
        <f t="shared" si="8"/>
        <v>172341211</v>
      </c>
    </row>
    <row r="529" spans="1:20" x14ac:dyDescent="0.25">
      <c r="A529" s="2">
        <v>46185</v>
      </c>
      <c r="B529" s="3">
        <v>69108570</v>
      </c>
      <c r="C529" s="3">
        <v>128630033</v>
      </c>
      <c r="D529" s="3">
        <v>0</v>
      </c>
      <c r="E529" s="3">
        <v>11687989</v>
      </c>
      <c r="F529" s="3">
        <v>12291710</v>
      </c>
      <c r="G529" s="3">
        <v>115076</v>
      </c>
      <c r="H529" s="3">
        <v>14025</v>
      </c>
      <c r="I529" s="3">
        <v>7368</v>
      </c>
      <c r="J529" s="3">
        <v>0</v>
      </c>
      <c r="K529" s="3">
        <v>0</v>
      </c>
      <c r="L529" s="3">
        <v>1269</v>
      </c>
      <c r="M529" s="3">
        <v>178124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f t="shared" si="8"/>
        <v>222034164</v>
      </c>
    </row>
    <row r="530" spans="1:20" x14ac:dyDescent="0.25">
      <c r="A530" s="2">
        <v>46186</v>
      </c>
      <c r="B530" s="3">
        <v>844034</v>
      </c>
      <c r="C530" s="3">
        <v>56032613</v>
      </c>
      <c r="D530" s="3">
        <v>0</v>
      </c>
      <c r="E530" s="3">
        <v>2159886</v>
      </c>
      <c r="F530" s="3">
        <v>1173364</v>
      </c>
      <c r="G530" s="3">
        <v>0</v>
      </c>
      <c r="H530" s="3">
        <v>200</v>
      </c>
      <c r="I530" s="3">
        <v>323</v>
      </c>
      <c r="J530" s="3">
        <v>0</v>
      </c>
      <c r="K530" s="3">
        <v>0</v>
      </c>
      <c r="L530" s="3">
        <v>0</v>
      </c>
      <c r="M530" s="3">
        <v>2067774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f t="shared" si="8"/>
        <v>62278194</v>
      </c>
    </row>
    <row r="531" spans="1:20" x14ac:dyDescent="0.25">
      <c r="A531" s="2">
        <v>46187</v>
      </c>
      <c r="B531" s="3">
        <v>510150</v>
      </c>
      <c r="C531" s="3">
        <v>93683260</v>
      </c>
      <c r="D531" s="3">
        <v>0</v>
      </c>
      <c r="E531" s="3">
        <v>1359642</v>
      </c>
      <c r="F531" s="3">
        <v>1466631</v>
      </c>
      <c r="G531" s="3">
        <v>0</v>
      </c>
      <c r="H531" s="3">
        <v>1104</v>
      </c>
      <c r="I531" s="3">
        <v>968</v>
      </c>
      <c r="J531" s="3">
        <v>0</v>
      </c>
      <c r="K531" s="3">
        <v>268528</v>
      </c>
      <c r="L531" s="3">
        <v>0</v>
      </c>
      <c r="M531" s="3">
        <v>49438</v>
      </c>
      <c r="N531" s="3">
        <v>0</v>
      </c>
      <c r="O531" s="3">
        <v>0</v>
      </c>
      <c r="P531" s="3">
        <v>0</v>
      </c>
      <c r="Q531" s="3">
        <v>56</v>
      </c>
      <c r="R531" s="3">
        <v>0</v>
      </c>
      <c r="S531" s="3">
        <v>0</v>
      </c>
      <c r="T531" s="3">
        <f t="shared" si="8"/>
        <v>97339777</v>
      </c>
    </row>
    <row r="532" spans="1:20" x14ac:dyDescent="0.25">
      <c r="A532" s="2">
        <v>46188</v>
      </c>
      <c r="B532" s="3">
        <v>83934728</v>
      </c>
      <c r="C532" s="3">
        <v>201069367</v>
      </c>
      <c r="D532" s="3">
        <v>0</v>
      </c>
      <c r="E532" s="3">
        <v>47347901</v>
      </c>
      <c r="F532" s="3">
        <v>6450200</v>
      </c>
      <c r="G532" s="3">
        <v>80625</v>
      </c>
      <c r="H532" s="3">
        <v>17133</v>
      </c>
      <c r="I532" s="3">
        <v>78057</v>
      </c>
      <c r="J532" s="3">
        <v>0</v>
      </c>
      <c r="K532" s="3">
        <v>752943</v>
      </c>
      <c r="L532" s="3">
        <v>0</v>
      </c>
      <c r="M532" s="3">
        <v>176023</v>
      </c>
      <c r="N532" s="3">
        <v>0</v>
      </c>
      <c r="O532" s="3">
        <v>0</v>
      </c>
      <c r="P532" s="3">
        <v>0</v>
      </c>
      <c r="Q532" s="3">
        <v>7</v>
      </c>
      <c r="R532" s="3">
        <v>0</v>
      </c>
      <c r="S532" s="3">
        <v>0</v>
      </c>
      <c r="T532" s="3">
        <f t="shared" si="8"/>
        <v>339906984</v>
      </c>
    </row>
    <row r="533" spans="1:20" x14ac:dyDescent="0.25">
      <c r="A533" s="2">
        <v>46189</v>
      </c>
      <c r="B533" s="3">
        <v>56796645</v>
      </c>
      <c r="C533" s="3">
        <v>246900930</v>
      </c>
      <c r="D533" s="3">
        <v>0</v>
      </c>
      <c r="E533" s="3">
        <v>16803112</v>
      </c>
      <c r="F533" s="3">
        <v>2422523</v>
      </c>
      <c r="G533" s="3">
        <v>185430</v>
      </c>
      <c r="H533" s="3">
        <v>12927</v>
      </c>
      <c r="I533" s="3">
        <v>179501</v>
      </c>
      <c r="J533" s="3">
        <v>0</v>
      </c>
      <c r="K533" s="3">
        <v>1119461</v>
      </c>
      <c r="L533" s="3">
        <v>0</v>
      </c>
      <c r="M533" s="3">
        <v>207931</v>
      </c>
      <c r="N533" s="3">
        <v>0</v>
      </c>
      <c r="O533" s="3">
        <v>0</v>
      </c>
      <c r="P533" s="3">
        <v>0</v>
      </c>
      <c r="Q533" s="3">
        <v>21</v>
      </c>
      <c r="R533" s="3">
        <v>0</v>
      </c>
      <c r="S533" s="3">
        <v>0</v>
      </c>
      <c r="T533" s="3">
        <f t="shared" si="8"/>
        <v>324628481</v>
      </c>
    </row>
    <row r="534" spans="1:20" x14ac:dyDescent="0.25">
      <c r="A534" s="2">
        <v>46190</v>
      </c>
      <c r="B534" s="3">
        <v>35711155</v>
      </c>
      <c r="C534" s="3">
        <v>175077406</v>
      </c>
      <c r="D534" s="3">
        <v>0</v>
      </c>
      <c r="E534" s="3">
        <v>40762412</v>
      </c>
      <c r="F534" s="3">
        <v>5818924</v>
      </c>
      <c r="G534" s="3">
        <v>137038</v>
      </c>
      <c r="H534" s="3">
        <v>3360</v>
      </c>
      <c r="I534" s="3">
        <v>79375</v>
      </c>
      <c r="J534" s="3">
        <v>0</v>
      </c>
      <c r="K534" s="3">
        <v>1403332</v>
      </c>
      <c r="L534" s="3">
        <v>0</v>
      </c>
      <c r="M534" s="3">
        <v>181242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f t="shared" si="8"/>
        <v>259174244</v>
      </c>
    </row>
    <row r="535" spans="1:20" x14ac:dyDescent="0.25">
      <c r="A535" s="2">
        <v>46191</v>
      </c>
      <c r="B535" s="3">
        <v>91912282</v>
      </c>
      <c r="C535" s="3">
        <v>280258784</v>
      </c>
      <c r="D535" s="3">
        <v>0</v>
      </c>
      <c r="E535" s="3">
        <v>23993508</v>
      </c>
      <c r="F535" s="3">
        <v>8381819</v>
      </c>
      <c r="G535" s="3">
        <v>34317</v>
      </c>
      <c r="H535" s="3">
        <v>13197</v>
      </c>
      <c r="I535" s="3">
        <v>403159</v>
      </c>
      <c r="J535" s="3">
        <v>0</v>
      </c>
      <c r="K535" s="3">
        <v>348858</v>
      </c>
      <c r="L535" s="3">
        <v>0</v>
      </c>
      <c r="M535" s="3">
        <v>331063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f t="shared" si="8"/>
        <v>405676987</v>
      </c>
    </row>
    <row r="536" spans="1:20" x14ac:dyDescent="0.25">
      <c r="A536" s="2">
        <v>46192</v>
      </c>
      <c r="B536" s="3">
        <v>4445205</v>
      </c>
      <c r="C536" s="3">
        <v>367636677</v>
      </c>
      <c r="D536" s="3">
        <v>0</v>
      </c>
      <c r="E536" s="3">
        <v>2071018</v>
      </c>
      <c r="F536" s="3">
        <v>5970499</v>
      </c>
      <c r="G536" s="3">
        <v>0</v>
      </c>
      <c r="H536" s="3">
        <v>1616</v>
      </c>
      <c r="I536" s="3">
        <v>2152</v>
      </c>
      <c r="J536" s="3">
        <v>0</v>
      </c>
      <c r="K536" s="3">
        <v>376811</v>
      </c>
      <c r="L536" s="3">
        <v>0</v>
      </c>
      <c r="M536" s="3">
        <v>89503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f t="shared" si="8"/>
        <v>380593481</v>
      </c>
    </row>
    <row r="537" spans="1:20" x14ac:dyDescent="0.25">
      <c r="A537" s="2">
        <v>46193</v>
      </c>
      <c r="B537" s="3">
        <v>2454769</v>
      </c>
      <c r="C537" s="3">
        <v>473997899</v>
      </c>
      <c r="D537" s="3">
        <v>0</v>
      </c>
      <c r="E537" s="3">
        <v>555424</v>
      </c>
      <c r="F537" s="3">
        <v>864488</v>
      </c>
      <c r="G537" s="3">
        <v>0</v>
      </c>
      <c r="H537" s="3">
        <v>175</v>
      </c>
      <c r="I537" s="3">
        <v>10032</v>
      </c>
      <c r="J537" s="3">
        <v>0</v>
      </c>
      <c r="K537" s="3">
        <v>541388</v>
      </c>
      <c r="L537" s="3">
        <v>0</v>
      </c>
      <c r="M537" s="3">
        <v>59980</v>
      </c>
      <c r="N537" s="3">
        <v>0</v>
      </c>
      <c r="O537" s="3">
        <v>0</v>
      </c>
      <c r="P537" s="3">
        <v>0</v>
      </c>
      <c r="Q537" s="3">
        <v>52</v>
      </c>
      <c r="R537" s="3">
        <v>0</v>
      </c>
      <c r="S537" s="3">
        <v>0</v>
      </c>
      <c r="T537" s="3">
        <f t="shared" si="8"/>
        <v>478484207</v>
      </c>
    </row>
    <row r="538" spans="1:20" x14ac:dyDescent="0.25">
      <c r="A538" s="2">
        <v>46194</v>
      </c>
      <c r="B538" s="3">
        <v>1027299</v>
      </c>
      <c r="C538" s="3">
        <v>455187574</v>
      </c>
      <c r="D538" s="3">
        <v>0</v>
      </c>
      <c r="E538" s="3">
        <v>908831</v>
      </c>
      <c r="F538" s="3">
        <v>1693616</v>
      </c>
      <c r="G538" s="3">
        <v>0</v>
      </c>
      <c r="H538" s="3">
        <v>277</v>
      </c>
      <c r="I538" s="3">
        <v>1011</v>
      </c>
      <c r="J538" s="3">
        <v>0</v>
      </c>
      <c r="K538" s="3">
        <v>451222</v>
      </c>
      <c r="L538" s="3">
        <v>0</v>
      </c>
      <c r="M538" s="3">
        <v>20375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f t="shared" si="8"/>
        <v>459290205</v>
      </c>
    </row>
    <row r="539" spans="1:20" x14ac:dyDescent="0.25">
      <c r="A539" s="2">
        <v>46195</v>
      </c>
      <c r="B539" s="3">
        <v>71840223</v>
      </c>
      <c r="C539" s="3">
        <v>361080683</v>
      </c>
      <c r="D539" s="3">
        <v>0</v>
      </c>
      <c r="E539" s="3">
        <v>21599879</v>
      </c>
      <c r="F539" s="3">
        <v>3223794</v>
      </c>
      <c r="G539" s="3">
        <v>299949</v>
      </c>
      <c r="H539" s="3">
        <v>8961</v>
      </c>
      <c r="I539" s="3">
        <v>151076</v>
      </c>
      <c r="J539" s="3">
        <v>0</v>
      </c>
      <c r="K539" s="3">
        <v>892005</v>
      </c>
      <c r="L539" s="3">
        <v>0</v>
      </c>
      <c r="M539" s="3">
        <v>565721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f t="shared" si="8"/>
        <v>459662291</v>
      </c>
    </row>
    <row r="540" spans="1:20" x14ac:dyDescent="0.25">
      <c r="A540" s="2">
        <v>46196</v>
      </c>
      <c r="B540" s="3">
        <v>78763031</v>
      </c>
      <c r="C540" s="3">
        <v>613485226</v>
      </c>
      <c r="D540" s="3">
        <v>0</v>
      </c>
      <c r="E540" s="3">
        <v>17387969</v>
      </c>
      <c r="F540" s="3">
        <v>12942266</v>
      </c>
      <c r="G540" s="3">
        <v>159720</v>
      </c>
      <c r="H540" s="3">
        <v>5598</v>
      </c>
      <c r="I540" s="3">
        <v>36048</v>
      </c>
      <c r="J540" s="3">
        <v>0</v>
      </c>
      <c r="K540" s="3">
        <v>2488018</v>
      </c>
      <c r="L540" s="3">
        <v>0</v>
      </c>
      <c r="M540" s="3">
        <v>1577737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f t="shared" si="8"/>
        <v>726845613</v>
      </c>
    </row>
    <row r="541" spans="1:20" x14ac:dyDescent="0.25">
      <c r="A541" s="2">
        <v>46197</v>
      </c>
      <c r="B541" s="3">
        <v>44832637</v>
      </c>
      <c r="C541" s="3">
        <v>1043816066</v>
      </c>
      <c r="D541" s="3">
        <v>0</v>
      </c>
      <c r="E541" s="3">
        <v>81789027</v>
      </c>
      <c r="F541" s="3">
        <v>12293525</v>
      </c>
      <c r="G541" s="3">
        <v>221291</v>
      </c>
      <c r="H541" s="3">
        <v>25594</v>
      </c>
      <c r="I541" s="3">
        <v>47368</v>
      </c>
      <c r="J541" s="3">
        <v>0</v>
      </c>
      <c r="K541" s="3">
        <v>0</v>
      </c>
      <c r="L541" s="3">
        <v>0</v>
      </c>
      <c r="M541" s="3">
        <v>462751</v>
      </c>
      <c r="N541" s="3">
        <v>0</v>
      </c>
      <c r="O541" s="3">
        <v>0</v>
      </c>
      <c r="P541" s="3">
        <v>0</v>
      </c>
      <c r="Q541" s="3">
        <v>28</v>
      </c>
      <c r="R541" s="3">
        <v>0</v>
      </c>
      <c r="S541" s="3">
        <v>0</v>
      </c>
      <c r="T541" s="3">
        <f t="shared" si="8"/>
        <v>1183488287</v>
      </c>
    </row>
    <row r="542" spans="1:20" x14ac:dyDescent="0.25">
      <c r="A542" s="2">
        <v>46198</v>
      </c>
      <c r="B542" s="3">
        <v>50397564</v>
      </c>
      <c r="C542" s="3">
        <v>68350472</v>
      </c>
      <c r="D542" s="3">
        <v>0</v>
      </c>
      <c r="E542" s="3">
        <v>21224950</v>
      </c>
      <c r="F542" s="3">
        <v>11118768</v>
      </c>
      <c r="G542" s="3">
        <v>215443</v>
      </c>
      <c r="H542" s="3">
        <v>7416</v>
      </c>
      <c r="I542" s="3">
        <v>20594</v>
      </c>
      <c r="J542" s="3">
        <v>2</v>
      </c>
      <c r="K542" s="3">
        <v>7</v>
      </c>
      <c r="L542" s="3">
        <v>0</v>
      </c>
      <c r="M542" s="3">
        <v>208188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f t="shared" si="8"/>
        <v>151543404</v>
      </c>
    </row>
    <row r="543" spans="1:20" x14ac:dyDescent="0.25">
      <c r="A543" s="2">
        <v>46199</v>
      </c>
      <c r="B543" s="3">
        <v>78635404</v>
      </c>
      <c r="C543" s="3">
        <v>59698039</v>
      </c>
      <c r="D543" s="3">
        <v>5668</v>
      </c>
      <c r="E543" s="3">
        <v>17872992</v>
      </c>
      <c r="F543" s="3">
        <v>17958599</v>
      </c>
      <c r="G543" s="3">
        <v>216223</v>
      </c>
      <c r="H543" s="3">
        <v>14930</v>
      </c>
      <c r="I543" s="3">
        <v>10394</v>
      </c>
      <c r="J543" s="3">
        <v>0</v>
      </c>
      <c r="K543" s="3">
        <v>0</v>
      </c>
      <c r="L543" s="3">
        <v>0</v>
      </c>
      <c r="M543" s="3">
        <v>328398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f t="shared" si="8"/>
        <v>174740647</v>
      </c>
    </row>
    <row r="544" spans="1:20" x14ac:dyDescent="0.25">
      <c r="A544" s="2">
        <v>46200</v>
      </c>
      <c r="B544" s="3">
        <v>1624926</v>
      </c>
      <c r="C544" s="3">
        <v>806875051</v>
      </c>
      <c r="D544" s="3">
        <v>122</v>
      </c>
      <c r="E544" s="3">
        <v>2572490</v>
      </c>
      <c r="F544" s="3">
        <v>2076276</v>
      </c>
      <c r="G544" s="3">
        <v>0</v>
      </c>
      <c r="H544" s="3">
        <v>281</v>
      </c>
      <c r="I544" s="3">
        <v>5</v>
      </c>
      <c r="J544" s="3">
        <v>0</v>
      </c>
      <c r="K544" s="3">
        <v>370</v>
      </c>
      <c r="L544" s="3">
        <v>0</v>
      </c>
      <c r="M544" s="3">
        <v>25913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f t="shared" si="8"/>
        <v>813175434</v>
      </c>
    </row>
    <row r="545" spans="1:20" x14ac:dyDescent="0.25">
      <c r="A545" s="2">
        <v>46201</v>
      </c>
      <c r="B545" s="3">
        <v>663349</v>
      </c>
      <c r="C545" s="3">
        <v>15499546</v>
      </c>
      <c r="D545" s="3">
        <v>0</v>
      </c>
      <c r="E545" s="3">
        <v>6517718</v>
      </c>
      <c r="F545" s="3">
        <v>1447580</v>
      </c>
      <c r="G545" s="3">
        <v>0</v>
      </c>
      <c r="H545" s="3">
        <v>277</v>
      </c>
      <c r="I545" s="3">
        <v>0</v>
      </c>
      <c r="J545" s="3">
        <v>0</v>
      </c>
      <c r="K545" s="3">
        <v>586</v>
      </c>
      <c r="L545" s="3">
        <v>0</v>
      </c>
      <c r="M545" s="3">
        <v>14544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f t="shared" si="8"/>
        <v>24143600</v>
      </c>
    </row>
    <row r="546" spans="1:20" x14ac:dyDescent="0.25">
      <c r="A546" s="2">
        <v>46202</v>
      </c>
      <c r="B546" s="3">
        <v>53463540</v>
      </c>
      <c r="C546" s="3">
        <v>299142904</v>
      </c>
      <c r="D546" s="3">
        <v>29962</v>
      </c>
      <c r="E546" s="3">
        <v>39520084</v>
      </c>
      <c r="F546" s="3">
        <v>4245720</v>
      </c>
      <c r="G546" s="3">
        <v>348437</v>
      </c>
      <c r="H546" s="3">
        <v>12018</v>
      </c>
      <c r="I546" s="3">
        <v>31639</v>
      </c>
      <c r="J546" s="3">
        <v>0</v>
      </c>
      <c r="K546" s="3">
        <v>1893</v>
      </c>
      <c r="L546" s="3">
        <v>0</v>
      </c>
      <c r="M546" s="3">
        <v>43487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f t="shared" si="8"/>
        <v>396839684</v>
      </c>
    </row>
    <row r="547" spans="1:20" x14ac:dyDescent="0.25">
      <c r="A547" s="2">
        <v>46203</v>
      </c>
      <c r="B547" s="3">
        <v>44783918</v>
      </c>
      <c r="C547" s="3">
        <v>64436563</v>
      </c>
      <c r="D547" s="3">
        <v>12192342</v>
      </c>
      <c r="E547" s="3">
        <v>15142222</v>
      </c>
      <c r="F547" s="3">
        <v>10048891</v>
      </c>
      <c r="G547" s="3">
        <v>188917121</v>
      </c>
      <c r="H547" s="3">
        <v>7201</v>
      </c>
      <c r="I547" s="3">
        <v>21045</v>
      </c>
      <c r="J547" s="3">
        <v>0</v>
      </c>
      <c r="K547" s="3">
        <v>646</v>
      </c>
      <c r="L547" s="3">
        <v>0</v>
      </c>
      <c r="M547" s="3">
        <v>66355</v>
      </c>
      <c r="N547" s="3">
        <v>0</v>
      </c>
      <c r="O547" s="3">
        <v>0</v>
      </c>
      <c r="P547" s="3">
        <v>0</v>
      </c>
      <c r="Q547" s="3">
        <v>1</v>
      </c>
      <c r="R547" s="3">
        <v>0</v>
      </c>
      <c r="S547" s="3">
        <v>0</v>
      </c>
      <c r="T547" s="3">
        <f t="shared" si="8"/>
        <v>335616305</v>
      </c>
    </row>
    <row r="548" spans="1:20" x14ac:dyDescent="0.25">
      <c r="A548" s="2">
        <v>46204</v>
      </c>
      <c r="B548" s="3">
        <v>51698711</v>
      </c>
      <c r="C548" s="3">
        <v>67435104</v>
      </c>
      <c r="D548" s="3">
        <v>16900475</v>
      </c>
      <c r="E548" s="3">
        <v>37883171</v>
      </c>
      <c r="F548" s="3">
        <v>4031243</v>
      </c>
      <c r="G548" s="3">
        <v>367636</v>
      </c>
      <c r="H548" s="3">
        <v>18044</v>
      </c>
      <c r="I548" s="3">
        <v>7201</v>
      </c>
      <c r="J548" s="3">
        <v>0</v>
      </c>
      <c r="K548" s="3">
        <v>2667</v>
      </c>
      <c r="L548" s="3">
        <v>0</v>
      </c>
      <c r="M548" s="3">
        <v>53617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f t="shared" si="8"/>
        <v>178397869</v>
      </c>
    </row>
    <row r="549" spans="1:20" x14ac:dyDescent="0.25">
      <c r="A549" s="2">
        <v>46205</v>
      </c>
      <c r="B549" s="3">
        <v>63548593</v>
      </c>
      <c r="C549" s="3">
        <v>95394345</v>
      </c>
      <c r="D549" s="3">
        <v>1942011</v>
      </c>
      <c r="E549" s="3">
        <v>2163934</v>
      </c>
      <c r="F549" s="3">
        <v>7986143</v>
      </c>
      <c r="G549" s="3">
        <v>40142</v>
      </c>
      <c r="H549" s="3">
        <v>6573</v>
      </c>
      <c r="I549" s="3">
        <v>65107</v>
      </c>
      <c r="J549" s="3">
        <v>0</v>
      </c>
      <c r="K549" s="3">
        <v>912</v>
      </c>
      <c r="L549" s="3">
        <v>0</v>
      </c>
      <c r="M549" s="3">
        <v>131406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f t="shared" si="8"/>
        <v>171279166</v>
      </c>
    </row>
    <row r="550" spans="1:20" x14ac:dyDescent="0.25">
      <c r="A550" s="2">
        <v>46206</v>
      </c>
      <c r="B550" s="3">
        <v>2911714</v>
      </c>
      <c r="C550" s="3">
        <v>15434280</v>
      </c>
      <c r="D550" s="3">
        <v>935384</v>
      </c>
      <c r="E550" s="3">
        <v>8339670</v>
      </c>
      <c r="F550" s="3">
        <v>10432473</v>
      </c>
      <c r="G550" s="3">
        <v>0</v>
      </c>
      <c r="H550" s="3">
        <v>1655</v>
      </c>
      <c r="I550" s="3">
        <v>39697</v>
      </c>
      <c r="J550" s="3">
        <v>0</v>
      </c>
      <c r="K550" s="3">
        <v>142</v>
      </c>
      <c r="L550" s="3">
        <v>0</v>
      </c>
      <c r="M550" s="3">
        <v>5993</v>
      </c>
      <c r="N550" s="3">
        <v>0</v>
      </c>
      <c r="O550" s="3">
        <v>0</v>
      </c>
      <c r="P550" s="3">
        <v>0</v>
      </c>
      <c r="Q550" s="3">
        <v>103</v>
      </c>
      <c r="R550" s="3">
        <v>0</v>
      </c>
      <c r="S550" s="3">
        <v>0</v>
      </c>
      <c r="T550" s="3">
        <f t="shared" si="8"/>
        <v>38101111</v>
      </c>
    </row>
    <row r="551" spans="1:20" x14ac:dyDescent="0.25">
      <c r="A551" s="2">
        <v>46207</v>
      </c>
      <c r="B551" s="3">
        <v>13617247</v>
      </c>
      <c r="C551" s="3">
        <v>5977932</v>
      </c>
      <c r="D551" s="3">
        <v>313719</v>
      </c>
      <c r="E551" s="3">
        <v>5595326</v>
      </c>
      <c r="F551" s="3">
        <v>590282</v>
      </c>
      <c r="G551" s="3">
        <v>0</v>
      </c>
      <c r="H551" s="3">
        <v>130</v>
      </c>
      <c r="I551" s="3">
        <v>285</v>
      </c>
      <c r="J551" s="3">
        <v>0</v>
      </c>
      <c r="K551" s="3">
        <v>0</v>
      </c>
      <c r="L551" s="3">
        <v>0</v>
      </c>
      <c r="M551" s="3">
        <v>148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f t="shared" si="8"/>
        <v>26095069</v>
      </c>
    </row>
    <row r="552" spans="1:20" x14ac:dyDescent="0.25">
      <c r="A552" s="2">
        <v>46208</v>
      </c>
      <c r="B552" s="3">
        <v>1043595</v>
      </c>
      <c r="C552" s="3">
        <v>6804259</v>
      </c>
      <c r="D552" s="3">
        <v>328928</v>
      </c>
      <c r="E552" s="3">
        <v>6898234</v>
      </c>
      <c r="F552" s="3">
        <v>326249</v>
      </c>
      <c r="G552" s="3">
        <v>0</v>
      </c>
      <c r="H552" s="3">
        <v>283</v>
      </c>
      <c r="I552" s="3">
        <v>12011</v>
      </c>
      <c r="J552" s="3">
        <v>0</v>
      </c>
      <c r="K552" s="3">
        <v>44916</v>
      </c>
      <c r="L552" s="3">
        <v>0</v>
      </c>
      <c r="M552" s="3">
        <v>3011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f t="shared" si="8"/>
        <v>15461486</v>
      </c>
    </row>
    <row r="553" spans="1:20" x14ac:dyDescent="0.25">
      <c r="A553" s="2">
        <v>46209</v>
      </c>
      <c r="B553" s="3">
        <v>71458070</v>
      </c>
      <c r="C553" s="3">
        <v>60137684</v>
      </c>
      <c r="D553" s="3">
        <v>1885543</v>
      </c>
      <c r="E553" s="3">
        <v>38107831</v>
      </c>
      <c r="F553" s="3">
        <v>5275371</v>
      </c>
      <c r="G553" s="3">
        <v>85820</v>
      </c>
      <c r="H553" s="3">
        <v>124562</v>
      </c>
      <c r="I553" s="3">
        <v>2804</v>
      </c>
      <c r="J553" s="3">
        <v>0</v>
      </c>
      <c r="K553" s="3">
        <v>0</v>
      </c>
      <c r="L553" s="3">
        <v>0</v>
      </c>
      <c r="M553" s="3">
        <v>9262</v>
      </c>
      <c r="N553" s="3">
        <v>315</v>
      </c>
      <c r="O553" s="3">
        <v>0</v>
      </c>
      <c r="P553" s="3">
        <v>0</v>
      </c>
      <c r="Q553" s="3">
        <v>10</v>
      </c>
      <c r="R553" s="3">
        <v>0</v>
      </c>
      <c r="S553" s="3">
        <v>0</v>
      </c>
      <c r="T553" s="3">
        <f t="shared" si="8"/>
        <v>177087272</v>
      </c>
    </row>
    <row r="554" spans="1:20" x14ac:dyDescent="0.25">
      <c r="A554" s="2">
        <v>46210</v>
      </c>
      <c r="B554" s="3">
        <v>34609559</v>
      </c>
      <c r="C554" s="3">
        <v>40841581</v>
      </c>
      <c r="D554" s="3">
        <v>1963529</v>
      </c>
      <c r="E554" s="3">
        <v>44140839</v>
      </c>
      <c r="F554" s="3">
        <v>2314401</v>
      </c>
      <c r="G554" s="3">
        <v>83710</v>
      </c>
      <c r="H554" s="3">
        <v>11526</v>
      </c>
      <c r="I554" s="3">
        <v>1282</v>
      </c>
      <c r="J554" s="3">
        <v>0</v>
      </c>
      <c r="K554" s="3">
        <v>392</v>
      </c>
      <c r="L554" s="3">
        <v>0</v>
      </c>
      <c r="M554" s="3">
        <v>6710</v>
      </c>
      <c r="N554" s="3">
        <v>312</v>
      </c>
      <c r="O554" s="3">
        <v>0</v>
      </c>
      <c r="P554" s="3">
        <v>0</v>
      </c>
      <c r="Q554" s="3">
        <v>17</v>
      </c>
      <c r="R554" s="3">
        <v>0</v>
      </c>
      <c r="S554" s="3">
        <v>0</v>
      </c>
      <c r="T554" s="3">
        <f t="shared" si="8"/>
        <v>123973858</v>
      </c>
    </row>
    <row r="555" spans="1:20" x14ac:dyDescent="0.25">
      <c r="A555" s="2">
        <v>46211</v>
      </c>
      <c r="B555" s="3">
        <v>35623753</v>
      </c>
      <c r="C555" s="3">
        <v>53870543</v>
      </c>
      <c r="D555" s="3">
        <v>999013</v>
      </c>
      <c r="E555" s="3">
        <v>7734306</v>
      </c>
      <c r="F555" s="3">
        <v>7984344</v>
      </c>
      <c r="G555" s="3">
        <v>110371</v>
      </c>
      <c r="H555" s="3">
        <v>18610</v>
      </c>
      <c r="I555" s="3">
        <v>153768</v>
      </c>
      <c r="J555" s="3">
        <v>0</v>
      </c>
      <c r="K555" s="3">
        <v>276</v>
      </c>
      <c r="L555" s="3">
        <v>0</v>
      </c>
      <c r="M555" s="3">
        <v>39070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f t="shared" si="8"/>
        <v>106534054</v>
      </c>
    </row>
    <row r="556" spans="1:20" x14ac:dyDescent="0.25">
      <c r="A556" s="2">
        <v>46212</v>
      </c>
      <c r="B556" s="3">
        <v>28077811</v>
      </c>
      <c r="C556" s="3">
        <v>59285263</v>
      </c>
      <c r="D556" s="3">
        <v>3276501</v>
      </c>
      <c r="E556" s="3">
        <v>15631903</v>
      </c>
      <c r="F556" s="3">
        <v>4628178</v>
      </c>
      <c r="G556" s="3">
        <v>197274</v>
      </c>
      <c r="H556" s="3">
        <v>7423</v>
      </c>
      <c r="I556" s="3">
        <v>34545</v>
      </c>
      <c r="J556" s="3">
        <v>0</v>
      </c>
      <c r="K556" s="3">
        <v>362</v>
      </c>
      <c r="L556" s="3">
        <v>0</v>
      </c>
      <c r="M556" s="3">
        <v>160069</v>
      </c>
      <c r="N556" s="3">
        <v>0</v>
      </c>
      <c r="O556" s="3">
        <v>0</v>
      </c>
      <c r="P556" s="3">
        <v>0</v>
      </c>
      <c r="Q556" s="3">
        <v>1</v>
      </c>
      <c r="R556" s="3">
        <v>0</v>
      </c>
      <c r="S556" s="3">
        <v>0</v>
      </c>
      <c r="T556" s="3">
        <f t="shared" si="8"/>
        <v>111299330</v>
      </c>
    </row>
    <row r="557" spans="1:20" x14ac:dyDescent="0.25">
      <c r="A557" s="2">
        <v>46213</v>
      </c>
      <c r="B557" s="3">
        <v>30671616</v>
      </c>
      <c r="C557" s="3">
        <v>56535026</v>
      </c>
      <c r="D557" s="3">
        <v>3735216</v>
      </c>
      <c r="E557" s="3">
        <v>9309477</v>
      </c>
      <c r="F557" s="3">
        <v>2746755</v>
      </c>
      <c r="G557" s="3">
        <v>112286</v>
      </c>
      <c r="H557" s="3">
        <v>42295</v>
      </c>
      <c r="I557" s="3">
        <v>77058</v>
      </c>
      <c r="J557" s="3">
        <v>0</v>
      </c>
      <c r="K557" s="3">
        <v>0</v>
      </c>
      <c r="L557" s="3">
        <v>0</v>
      </c>
      <c r="M557" s="3">
        <v>42369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f t="shared" si="8"/>
        <v>103272098</v>
      </c>
    </row>
    <row r="558" spans="1:20" x14ac:dyDescent="0.25">
      <c r="A558" s="2">
        <v>46214</v>
      </c>
      <c r="B558" s="3">
        <v>4277075</v>
      </c>
      <c r="C558" s="3">
        <v>8966978</v>
      </c>
      <c r="D558" s="3">
        <v>8704181</v>
      </c>
      <c r="E558" s="3">
        <v>1002862</v>
      </c>
      <c r="F558" s="3">
        <v>150034</v>
      </c>
      <c r="G558" s="3">
        <v>0</v>
      </c>
      <c r="H558" s="3">
        <v>625</v>
      </c>
      <c r="I558" s="3">
        <v>143788</v>
      </c>
      <c r="J558" s="3">
        <v>0</v>
      </c>
      <c r="K558" s="3">
        <v>0</v>
      </c>
      <c r="L558" s="3">
        <v>0</v>
      </c>
      <c r="M558" s="3">
        <v>497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f t="shared" si="8"/>
        <v>23246040</v>
      </c>
    </row>
    <row r="559" spans="1:20" x14ac:dyDescent="0.25">
      <c r="A559" s="2">
        <v>46215</v>
      </c>
      <c r="B559" s="3">
        <v>6959357</v>
      </c>
      <c r="C559" s="3">
        <v>6224681</v>
      </c>
      <c r="D559" s="3">
        <v>4905545</v>
      </c>
      <c r="E559" s="3">
        <v>929643</v>
      </c>
      <c r="F559" s="3">
        <v>931226</v>
      </c>
      <c r="G559" s="3">
        <v>0</v>
      </c>
      <c r="H559" s="3">
        <v>1483</v>
      </c>
      <c r="I559" s="3">
        <v>49492</v>
      </c>
      <c r="J559" s="3">
        <v>0</v>
      </c>
      <c r="K559" s="3">
        <v>0</v>
      </c>
      <c r="L559" s="3">
        <v>0</v>
      </c>
      <c r="M559" s="3">
        <v>225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f t="shared" si="8"/>
        <v>20001652</v>
      </c>
    </row>
    <row r="560" spans="1:20" x14ac:dyDescent="0.25">
      <c r="A560" s="2">
        <v>46216</v>
      </c>
      <c r="B560" s="3">
        <v>83137772</v>
      </c>
      <c r="C560" s="3">
        <v>54394468</v>
      </c>
      <c r="D560" s="3">
        <v>8945776</v>
      </c>
      <c r="E560" s="3">
        <v>32994992</v>
      </c>
      <c r="F560" s="3">
        <v>4043737</v>
      </c>
      <c r="G560" s="3">
        <v>44998</v>
      </c>
      <c r="H560" s="3">
        <v>32065</v>
      </c>
      <c r="I560" s="3">
        <v>108018</v>
      </c>
      <c r="J560" s="3">
        <v>0</v>
      </c>
      <c r="K560" s="3">
        <v>0</v>
      </c>
      <c r="L560" s="3">
        <v>0</v>
      </c>
      <c r="M560" s="3">
        <v>5686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f t="shared" si="8"/>
        <v>183707512</v>
      </c>
    </row>
    <row r="561" spans="1:20" x14ac:dyDescent="0.25">
      <c r="A561" s="2">
        <v>46217</v>
      </c>
      <c r="B561" s="3">
        <v>42356121</v>
      </c>
      <c r="C561" s="3">
        <v>48205057</v>
      </c>
      <c r="D561" s="3">
        <v>13198766</v>
      </c>
      <c r="E561" s="3">
        <v>74485030</v>
      </c>
      <c r="F561" s="3">
        <v>7983154</v>
      </c>
      <c r="G561" s="3">
        <v>75935</v>
      </c>
      <c r="H561" s="3">
        <v>3847</v>
      </c>
      <c r="I561" s="3">
        <v>203302</v>
      </c>
      <c r="J561" s="3">
        <v>0</v>
      </c>
      <c r="K561" s="3">
        <v>33</v>
      </c>
      <c r="L561" s="3">
        <v>0</v>
      </c>
      <c r="M561" s="3">
        <v>7854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f t="shared" si="8"/>
        <v>186519099</v>
      </c>
    </row>
    <row r="562" spans="1:20" x14ac:dyDescent="0.25">
      <c r="A562" s="2">
        <v>46218</v>
      </c>
      <c r="B562" s="3">
        <v>37577219</v>
      </c>
      <c r="C562" s="3">
        <v>74898005</v>
      </c>
      <c r="D562" s="3">
        <v>19581893</v>
      </c>
      <c r="E562" s="3">
        <v>15144628</v>
      </c>
      <c r="F562" s="3">
        <v>1598588</v>
      </c>
      <c r="G562" s="3">
        <v>30930</v>
      </c>
      <c r="H562" s="3">
        <v>3591</v>
      </c>
      <c r="I562" s="3">
        <v>149853</v>
      </c>
      <c r="J562" s="3">
        <v>0</v>
      </c>
      <c r="K562" s="3">
        <v>0</v>
      </c>
      <c r="L562" s="3">
        <v>0</v>
      </c>
      <c r="M562" s="3">
        <v>13704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f t="shared" si="8"/>
        <v>148998411</v>
      </c>
    </row>
    <row r="563" spans="1:20" x14ac:dyDescent="0.25">
      <c r="A563" s="2">
        <v>46219</v>
      </c>
      <c r="B563" s="3">
        <v>36893345</v>
      </c>
      <c r="C563" s="3">
        <v>0</v>
      </c>
      <c r="D563" s="3">
        <v>11751568</v>
      </c>
      <c r="E563" s="3">
        <v>17630796</v>
      </c>
      <c r="F563" s="3">
        <v>3727265</v>
      </c>
      <c r="G563" s="3">
        <v>32753</v>
      </c>
      <c r="H563" s="3">
        <v>7962</v>
      </c>
      <c r="I563" s="3">
        <v>104024</v>
      </c>
      <c r="J563" s="3">
        <v>0</v>
      </c>
      <c r="K563" s="3">
        <v>0</v>
      </c>
      <c r="L563" s="3">
        <v>0</v>
      </c>
      <c r="M563" s="3">
        <v>9748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f t="shared" si="8"/>
        <v>70157461</v>
      </c>
    </row>
    <row r="564" spans="1:20" x14ac:dyDescent="0.25">
      <c r="A564" s="2">
        <v>46220</v>
      </c>
      <c r="B564" s="3">
        <v>43334020</v>
      </c>
      <c r="C564" s="3">
        <v>47127634</v>
      </c>
      <c r="D564" s="3">
        <v>20303410</v>
      </c>
      <c r="E564" s="3">
        <v>14238817</v>
      </c>
      <c r="F564" s="3">
        <v>15089487</v>
      </c>
      <c r="G564" s="3">
        <v>90619</v>
      </c>
      <c r="H564" s="3">
        <v>31756</v>
      </c>
      <c r="I564" s="3">
        <v>6697</v>
      </c>
      <c r="J564" s="3">
        <v>0</v>
      </c>
      <c r="K564" s="3">
        <v>0</v>
      </c>
      <c r="L564" s="3">
        <v>0</v>
      </c>
      <c r="M564" s="3">
        <v>7029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f t="shared" si="8"/>
        <v>140229469</v>
      </c>
    </row>
    <row r="565" spans="1:20" x14ac:dyDescent="0.25">
      <c r="A565" s="2">
        <v>46221</v>
      </c>
      <c r="B565" s="3">
        <v>113029654</v>
      </c>
      <c r="C565" s="3">
        <v>7577169</v>
      </c>
      <c r="D565" s="3">
        <v>7474305</v>
      </c>
      <c r="E565" s="3">
        <v>980791</v>
      </c>
      <c r="F565" s="3">
        <v>361626</v>
      </c>
      <c r="G565" s="3">
        <v>36097</v>
      </c>
      <c r="H565" s="3">
        <v>1664</v>
      </c>
      <c r="I565" s="3">
        <v>98710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f t="shared" si="8"/>
        <v>129560016</v>
      </c>
    </row>
    <row r="566" spans="1:20" x14ac:dyDescent="0.25">
      <c r="A566" s="2">
        <v>46222</v>
      </c>
      <c r="B566" s="3">
        <v>594563254</v>
      </c>
      <c r="C566" s="3">
        <v>6037191</v>
      </c>
      <c r="D566" s="3">
        <v>10484144</v>
      </c>
      <c r="E566" s="3">
        <v>4689719</v>
      </c>
      <c r="F566" s="3">
        <v>208823</v>
      </c>
      <c r="G566" s="3">
        <v>0</v>
      </c>
      <c r="H566" s="3">
        <v>109</v>
      </c>
      <c r="I566" s="3">
        <v>37035</v>
      </c>
      <c r="J566" s="3">
        <v>0</v>
      </c>
      <c r="K566" s="3">
        <v>0</v>
      </c>
      <c r="L566" s="3">
        <v>0</v>
      </c>
      <c r="M566" s="3">
        <v>248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f t="shared" si="8"/>
        <v>616020523</v>
      </c>
    </row>
    <row r="567" spans="1:20" x14ac:dyDescent="0.25">
      <c r="A567" s="2">
        <v>46223</v>
      </c>
      <c r="B567" s="3">
        <v>52056478</v>
      </c>
      <c r="C567" s="3">
        <v>101177661</v>
      </c>
      <c r="D567" s="3">
        <v>28144877</v>
      </c>
      <c r="E567" s="3">
        <v>8266783</v>
      </c>
      <c r="F567" s="3">
        <v>9210720</v>
      </c>
      <c r="G567" s="3">
        <v>69996</v>
      </c>
      <c r="H567" s="3">
        <v>21707</v>
      </c>
      <c r="I567" s="3">
        <v>91679</v>
      </c>
      <c r="J567" s="3">
        <v>0</v>
      </c>
      <c r="K567" s="3">
        <v>0</v>
      </c>
      <c r="L567" s="3">
        <v>0</v>
      </c>
      <c r="M567" s="3">
        <v>5325</v>
      </c>
      <c r="N567" s="3">
        <v>0</v>
      </c>
      <c r="O567" s="3">
        <v>0</v>
      </c>
      <c r="P567" s="3">
        <v>0</v>
      </c>
      <c r="Q567" s="3">
        <v>1</v>
      </c>
      <c r="R567" s="3">
        <v>0</v>
      </c>
      <c r="S567" s="3">
        <v>0</v>
      </c>
      <c r="T567" s="3">
        <f t="shared" si="8"/>
        <v>199045227</v>
      </c>
    </row>
    <row r="568" spans="1:20" x14ac:dyDescent="0.25">
      <c r="A568" s="2">
        <v>46224</v>
      </c>
      <c r="B568" s="3">
        <v>90647948</v>
      </c>
      <c r="C568" s="3">
        <v>222978440</v>
      </c>
      <c r="D568" s="3">
        <v>35873599</v>
      </c>
      <c r="E568" s="3">
        <v>28541270</v>
      </c>
      <c r="F568" s="3">
        <v>1013989</v>
      </c>
      <c r="G568" s="3">
        <v>295266</v>
      </c>
      <c r="H568" s="3">
        <v>14188</v>
      </c>
      <c r="I568" s="3">
        <v>72336</v>
      </c>
      <c r="J568" s="3">
        <v>0</v>
      </c>
      <c r="K568" s="3">
        <v>0</v>
      </c>
      <c r="L568" s="3">
        <v>0</v>
      </c>
      <c r="M568" s="3">
        <v>10565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f t="shared" si="8"/>
        <v>379447601</v>
      </c>
    </row>
    <row r="569" spans="1:20" x14ac:dyDescent="0.25">
      <c r="A569" s="2">
        <v>46225</v>
      </c>
      <c r="B569" s="3">
        <v>112213054</v>
      </c>
      <c r="C569" s="3">
        <v>76578504</v>
      </c>
      <c r="D569" s="3">
        <v>96841935</v>
      </c>
      <c r="E569" s="3">
        <v>13507855</v>
      </c>
      <c r="F569" s="3">
        <v>1271484</v>
      </c>
      <c r="G569" s="3">
        <v>61506</v>
      </c>
      <c r="H569" s="3">
        <v>46101</v>
      </c>
      <c r="I569" s="3">
        <v>233527</v>
      </c>
      <c r="J569" s="3">
        <v>0</v>
      </c>
      <c r="K569" s="3">
        <v>0</v>
      </c>
      <c r="L569" s="3">
        <v>0</v>
      </c>
      <c r="M569" s="3">
        <v>2270</v>
      </c>
      <c r="N569" s="3">
        <v>0</v>
      </c>
      <c r="O569" s="3">
        <v>0</v>
      </c>
      <c r="P569" s="3">
        <v>0</v>
      </c>
      <c r="Q569" s="3">
        <v>2</v>
      </c>
      <c r="R569" s="3">
        <v>0</v>
      </c>
      <c r="S569" s="3">
        <v>0</v>
      </c>
      <c r="T569" s="3">
        <f t="shared" si="8"/>
        <v>300756238</v>
      </c>
    </row>
    <row r="570" spans="1:20" x14ac:dyDescent="0.25">
      <c r="A570" s="2">
        <v>46226</v>
      </c>
      <c r="B570" s="3">
        <v>57033698</v>
      </c>
      <c r="C570" s="3">
        <v>110009818</v>
      </c>
      <c r="D570" s="3">
        <v>207812807</v>
      </c>
      <c r="E570" s="3">
        <v>11050602</v>
      </c>
      <c r="F570" s="3">
        <v>10001031</v>
      </c>
      <c r="G570" s="3">
        <v>127760</v>
      </c>
      <c r="H570" s="3">
        <v>11941</v>
      </c>
      <c r="I570" s="3">
        <v>183801</v>
      </c>
      <c r="J570" s="3">
        <v>0</v>
      </c>
      <c r="K570" s="3">
        <v>400</v>
      </c>
      <c r="L570" s="3">
        <v>0</v>
      </c>
      <c r="M570" s="3">
        <v>14922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f t="shared" si="8"/>
        <v>396246780</v>
      </c>
    </row>
    <row r="571" spans="1:20" x14ac:dyDescent="0.25">
      <c r="A571" s="2">
        <v>46227</v>
      </c>
      <c r="B571" s="3">
        <v>210900220</v>
      </c>
      <c r="C571" s="3">
        <v>0</v>
      </c>
      <c r="D571" s="3">
        <v>131315586</v>
      </c>
      <c r="E571" s="3">
        <v>6989293</v>
      </c>
      <c r="F571" s="3">
        <v>1749400</v>
      </c>
      <c r="G571" s="3">
        <v>3687</v>
      </c>
      <c r="H571" s="3">
        <v>7974</v>
      </c>
      <c r="I571" s="3">
        <v>9492</v>
      </c>
      <c r="J571" s="3">
        <v>0</v>
      </c>
      <c r="K571" s="3">
        <v>18</v>
      </c>
      <c r="L571" s="3">
        <v>0</v>
      </c>
      <c r="M571" s="3">
        <v>5774</v>
      </c>
      <c r="N571" s="3">
        <v>0</v>
      </c>
      <c r="O571" s="3">
        <v>0</v>
      </c>
      <c r="P571" s="3">
        <v>0</v>
      </c>
      <c r="Q571" s="3">
        <v>5</v>
      </c>
      <c r="R571" s="3">
        <v>0</v>
      </c>
      <c r="S571" s="3">
        <v>0</v>
      </c>
      <c r="T571" s="3">
        <f t="shared" si="8"/>
        <v>350981449</v>
      </c>
    </row>
    <row r="572" spans="1:20" x14ac:dyDescent="0.25">
      <c r="A572" s="2">
        <v>46228</v>
      </c>
      <c r="B572" s="3">
        <v>2084805</v>
      </c>
      <c r="C572" s="3">
        <v>16174166</v>
      </c>
      <c r="D572" s="3">
        <v>43836070</v>
      </c>
      <c r="E572" s="3">
        <v>1196738</v>
      </c>
      <c r="F572" s="3">
        <v>354120</v>
      </c>
      <c r="G572" s="3">
        <v>0</v>
      </c>
      <c r="H572" s="3">
        <v>5006</v>
      </c>
      <c r="I572" s="3">
        <v>41960</v>
      </c>
      <c r="J572" s="3">
        <v>0</v>
      </c>
      <c r="K572" s="3">
        <v>21451</v>
      </c>
      <c r="L572" s="3">
        <v>0</v>
      </c>
      <c r="M572" s="3">
        <v>277</v>
      </c>
      <c r="N572" s="3">
        <v>0</v>
      </c>
      <c r="O572" s="3">
        <v>0</v>
      </c>
      <c r="P572" s="3">
        <v>0</v>
      </c>
      <c r="Q572" s="3">
        <v>1</v>
      </c>
      <c r="R572" s="3">
        <v>0</v>
      </c>
      <c r="S572" s="3">
        <v>0</v>
      </c>
      <c r="T572" s="3">
        <f t="shared" si="8"/>
        <v>63714594</v>
      </c>
    </row>
    <row r="573" spans="1:20" x14ac:dyDescent="0.25">
      <c r="A573" s="2">
        <v>46229</v>
      </c>
      <c r="B573" s="3">
        <v>2877587</v>
      </c>
      <c r="C573" s="3">
        <v>7852715</v>
      </c>
      <c r="D573" s="3">
        <v>26707185</v>
      </c>
      <c r="E573" s="3">
        <v>725245</v>
      </c>
      <c r="F573" s="3">
        <v>542678</v>
      </c>
      <c r="G573" s="3">
        <v>0</v>
      </c>
      <c r="H573" s="3">
        <v>73</v>
      </c>
      <c r="I573" s="3">
        <v>2185</v>
      </c>
      <c r="J573" s="3">
        <v>0</v>
      </c>
      <c r="K573" s="3">
        <v>0</v>
      </c>
      <c r="L573" s="3">
        <v>0</v>
      </c>
      <c r="M573" s="3">
        <v>745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f t="shared" si="8"/>
        <v>38708413</v>
      </c>
    </row>
    <row r="574" spans="1:20" x14ac:dyDescent="0.25">
      <c r="A574" s="2">
        <v>46230</v>
      </c>
      <c r="B574" s="3">
        <v>33286973</v>
      </c>
      <c r="C574" s="3">
        <v>69154647</v>
      </c>
      <c r="D574" s="3">
        <v>98771134</v>
      </c>
      <c r="E574" s="3">
        <v>8035448</v>
      </c>
      <c r="F574" s="3">
        <v>2193780</v>
      </c>
      <c r="G574" s="3">
        <v>0</v>
      </c>
      <c r="H574" s="3">
        <v>1954</v>
      </c>
      <c r="I574" s="3">
        <v>92994</v>
      </c>
      <c r="J574" s="3">
        <v>0</v>
      </c>
      <c r="K574" s="3">
        <v>338</v>
      </c>
      <c r="L574" s="3">
        <v>0</v>
      </c>
      <c r="M574" s="3">
        <v>6574</v>
      </c>
      <c r="N574" s="3">
        <v>0</v>
      </c>
      <c r="O574" s="3">
        <v>0</v>
      </c>
      <c r="P574" s="3">
        <v>0</v>
      </c>
      <c r="Q574" s="3">
        <v>9</v>
      </c>
      <c r="R574" s="3">
        <v>0</v>
      </c>
      <c r="S574" s="3">
        <v>0</v>
      </c>
      <c r="T574" s="3">
        <f t="shared" si="8"/>
        <v>211543851</v>
      </c>
    </row>
    <row r="575" spans="1:20" x14ac:dyDescent="0.25">
      <c r="A575" s="2">
        <v>46231</v>
      </c>
      <c r="B575" s="3">
        <v>41737160</v>
      </c>
      <c r="C575" s="3">
        <v>91081328</v>
      </c>
      <c r="D575" s="3">
        <v>88564808</v>
      </c>
      <c r="E575" s="3">
        <v>11402616</v>
      </c>
      <c r="F575" s="3">
        <v>1725450</v>
      </c>
      <c r="G575" s="3">
        <v>76766</v>
      </c>
      <c r="H575" s="3">
        <v>56491</v>
      </c>
      <c r="I575" s="3">
        <v>422766</v>
      </c>
      <c r="J575" s="3">
        <v>0</v>
      </c>
      <c r="K575" s="3">
        <v>0</v>
      </c>
      <c r="L575" s="3">
        <v>0</v>
      </c>
      <c r="M575" s="3">
        <v>7413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f t="shared" si="8"/>
        <v>235074798</v>
      </c>
    </row>
    <row r="576" spans="1:20" x14ac:dyDescent="0.25">
      <c r="A576" s="2">
        <v>46232</v>
      </c>
      <c r="B576" s="3">
        <v>57880017</v>
      </c>
      <c r="C576" s="3">
        <v>98187377</v>
      </c>
      <c r="D576" s="3">
        <v>95610408</v>
      </c>
      <c r="E576" s="3">
        <v>127533004</v>
      </c>
      <c r="F576" s="3">
        <v>4291617</v>
      </c>
      <c r="G576" s="3">
        <v>238509</v>
      </c>
      <c r="H576" s="3">
        <v>37295</v>
      </c>
      <c r="I576" s="3">
        <v>162020</v>
      </c>
      <c r="J576" s="3">
        <v>0</v>
      </c>
      <c r="K576" s="3">
        <v>0</v>
      </c>
      <c r="L576" s="3">
        <v>0</v>
      </c>
      <c r="M576" s="3">
        <v>6293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f t="shared" si="8"/>
        <v>383946540</v>
      </c>
    </row>
    <row r="577" spans="1:20" x14ac:dyDescent="0.25">
      <c r="A577" s="2">
        <v>46233</v>
      </c>
      <c r="B577" s="3">
        <v>57463155</v>
      </c>
      <c r="C577" s="3">
        <v>99538313</v>
      </c>
      <c r="D577" s="3">
        <v>80001255</v>
      </c>
      <c r="E577" s="3">
        <v>18333674</v>
      </c>
      <c r="F577" s="3">
        <v>2618620</v>
      </c>
      <c r="G577" s="3">
        <v>62427</v>
      </c>
      <c r="H577" s="3">
        <v>48875</v>
      </c>
      <c r="I577" s="3">
        <v>168230</v>
      </c>
      <c r="J577" s="3">
        <v>0</v>
      </c>
      <c r="K577" s="3">
        <v>0</v>
      </c>
      <c r="L577" s="3">
        <v>0</v>
      </c>
      <c r="M577" s="3">
        <v>17371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f t="shared" si="8"/>
        <v>258251920</v>
      </c>
    </row>
    <row r="578" spans="1:20" x14ac:dyDescent="0.25">
      <c r="A578" s="2">
        <v>46234</v>
      </c>
      <c r="B578" s="3">
        <v>3332641852</v>
      </c>
      <c r="C578" s="3">
        <v>119053944</v>
      </c>
      <c r="D578" s="3">
        <v>83738116</v>
      </c>
      <c r="E578" s="3">
        <v>65691660</v>
      </c>
      <c r="F578" s="3">
        <v>2452963</v>
      </c>
      <c r="G578" s="3">
        <v>24985</v>
      </c>
      <c r="H578" s="3">
        <v>2701</v>
      </c>
      <c r="I578" s="3">
        <v>91721</v>
      </c>
      <c r="J578" s="3">
        <v>0</v>
      </c>
      <c r="K578" s="3">
        <v>0</v>
      </c>
      <c r="L578" s="3">
        <v>0</v>
      </c>
      <c r="M578" s="3">
        <v>17679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f t="shared" ref="T578:T641" si="9">SUM(B578:S578)</f>
        <v>3603715621</v>
      </c>
    </row>
    <row r="579" spans="1:20" x14ac:dyDescent="0.25">
      <c r="A579" s="2">
        <v>46235</v>
      </c>
      <c r="B579" s="3">
        <v>2185648537</v>
      </c>
      <c r="C579" s="3">
        <v>25792981</v>
      </c>
      <c r="D579" s="3">
        <v>26782352</v>
      </c>
      <c r="E579" s="3">
        <v>1829172</v>
      </c>
      <c r="F579" s="3">
        <v>333376</v>
      </c>
      <c r="G579" s="3">
        <v>0</v>
      </c>
      <c r="H579" s="3">
        <v>673</v>
      </c>
      <c r="I579" s="3">
        <v>28006</v>
      </c>
      <c r="J579" s="3">
        <v>0</v>
      </c>
      <c r="K579" s="3">
        <v>0</v>
      </c>
      <c r="L579" s="3">
        <v>0</v>
      </c>
      <c r="M579" s="3">
        <v>1935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f t="shared" si="9"/>
        <v>2240417032</v>
      </c>
    </row>
    <row r="580" spans="1:20" x14ac:dyDescent="0.25">
      <c r="A580" s="2">
        <v>46236</v>
      </c>
      <c r="B580" s="3">
        <v>2060584044</v>
      </c>
      <c r="C580" s="3">
        <v>19190093</v>
      </c>
      <c r="D580" s="3">
        <v>15825504</v>
      </c>
      <c r="E580" s="3">
        <v>1079806</v>
      </c>
      <c r="F580" s="3">
        <v>720165</v>
      </c>
      <c r="G580" s="3">
        <v>0</v>
      </c>
      <c r="H580" s="3">
        <v>626</v>
      </c>
      <c r="I580" s="3">
        <v>96053</v>
      </c>
      <c r="J580" s="3">
        <v>0</v>
      </c>
      <c r="K580" s="3">
        <v>0</v>
      </c>
      <c r="L580" s="3">
        <v>0</v>
      </c>
      <c r="M580" s="3">
        <v>1254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f t="shared" si="9"/>
        <v>2097497545</v>
      </c>
    </row>
    <row r="581" spans="1:20" x14ac:dyDescent="0.25">
      <c r="A581" s="2">
        <v>46237</v>
      </c>
      <c r="B581" s="3">
        <v>2290000190</v>
      </c>
      <c r="C581" s="3">
        <v>59474231</v>
      </c>
      <c r="D581" s="3">
        <v>56555704</v>
      </c>
      <c r="E581" s="3">
        <v>10789158</v>
      </c>
      <c r="F581" s="3">
        <v>4204113</v>
      </c>
      <c r="G581" s="3">
        <v>223253</v>
      </c>
      <c r="H581" s="3">
        <v>8615</v>
      </c>
      <c r="I581" s="3">
        <v>25777</v>
      </c>
      <c r="J581" s="3">
        <v>3017</v>
      </c>
      <c r="K581" s="3">
        <v>0</v>
      </c>
      <c r="L581" s="3">
        <v>0</v>
      </c>
      <c r="M581" s="3">
        <v>18686</v>
      </c>
      <c r="N581" s="3">
        <v>0</v>
      </c>
      <c r="O581" s="3">
        <v>0</v>
      </c>
      <c r="P581" s="3">
        <v>0</v>
      </c>
      <c r="Q581" s="3">
        <v>1</v>
      </c>
      <c r="R581" s="3">
        <v>0</v>
      </c>
      <c r="S581" s="3">
        <v>0</v>
      </c>
      <c r="T581" s="3">
        <f t="shared" si="9"/>
        <v>2421302745</v>
      </c>
    </row>
    <row r="582" spans="1:20" x14ac:dyDescent="0.25">
      <c r="A582" s="2">
        <v>46238</v>
      </c>
      <c r="B582" s="3">
        <v>2532063260</v>
      </c>
      <c r="C582" s="3">
        <v>0</v>
      </c>
      <c r="D582" s="3">
        <v>84890857</v>
      </c>
      <c r="E582" s="3">
        <v>12331599</v>
      </c>
      <c r="F582" s="3">
        <v>5391560</v>
      </c>
      <c r="G582" s="3">
        <v>120475</v>
      </c>
      <c r="H582" s="3">
        <v>25224</v>
      </c>
      <c r="I582" s="3">
        <v>492043</v>
      </c>
      <c r="J582" s="3">
        <v>6463</v>
      </c>
      <c r="K582" s="3">
        <v>100178</v>
      </c>
      <c r="L582" s="3">
        <v>0</v>
      </c>
      <c r="M582" s="3">
        <v>19139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f t="shared" si="9"/>
        <v>2635440798</v>
      </c>
    </row>
    <row r="583" spans="1:20" x14ac:dyDescent="0.25">
      <c r="A583" s="2">
        <v>46239</v>
      </c>
      <c r="B583" s="3">
        <v>2749135131</v>
      </c>
      <c r="C583" s="3">
        <v>127464231</v>
      </c>
      <c r="D583" s="3">
        <v>75727557</v>
      </c>
      <c r="E583" s="3">
        <v>18544024</v>
      </c>
      <c r="F583" s="3">
        <v>2600656</v>
      </c>
      <c r="G583" s="3">
        <v>145087</v>
      </c>
      <c r="H583" s="3">
        <v>210034</v>
      </c>
      <c r="I583" s="3">
        <v>7090</v>
      </c>
      <c r="J583" s="3">
        <v>0</v>
      </c>
      <c r="K583" s="3">
        <v>216638</v>
      </c>
      <c r="L583" s="3">
        <v>0</v>
      </c>
      <c r="M583" s="3">
        <v>21977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f t="shared" si="9"/>
        <v>2974072425</v>
      </c>
    </row>
    <row r="584" spans="1:20" x14ac:dyDescent="0.25">
      <c r="A584" s="2">
        <v>46240</v>
      </c>
      <c r="B584" s="3">
        <v>2459572315</v>
      </c>
      <c r="C584" s="3">
        <v>83628824</v>
      </c>
      <c r="D584" s="3">
        <v>50900846</v>
      </c>
      <c r="E584" s="3">
        <v>20769801</v>
      </c>
      <c r="F584" s="3">
        <v>5939126</v>
      </c>
      <c r="G584" s="3">
        <v>200671</v>
      </c>
      <c r="H584" s="3">
        <v>903095</v>
      </c>
      <c r="I584" s="3">
        <v>135446</v>
      </c>
      <c r="J584" s="3">
        <v>0</v>
      </c>
      <c r="K584" s="3">
        <v>3591</v>
      </c>
      <c r="L584" s="3">
        <v>0</v>
      </c>
      <c r="M584" s="3">
        <v>10423</v>
      </c>
      <c r="N584" s="3">
        <v>0</v>
      </c>
      <c r="O584" s="3">
        <v>0</v>
      </c>
      <c r="P584" s="3">
        <v>0</v>
      </c>
      <c r="Q584" s="3">
        <v>4</v>
      </c>
      <c r="R584" s="3">
        <v>0</v>
      </c>
      <c r="S584" s="3">
        <v>0</v>
      </c>
      <c r="T584" s="3">
        <f t="shared" si="9"/>
        <v>2622064142</v>
      </c>
    </row>
    <row r="585" spans="1:20" x14ac:dyDescent="0.25">
      <c r="A585" s="2">
        <v>46241</v>
      </c>
      <c r="B585" s="3">
        <v>2796303034</v>
      </c>
      <c r="C585" s="3">
        <v>0</v>
      </c>
      <c r="D585" s="3">
        <v>45564575</v>
      </c>
      <c r="E585" s="3">
        <v>22068332</v>
      </c>
      <c r="F585" s="3">
        <v>3430861</v>
      </c>
      <c r="G585" s="3">
        <v>202294</v>
      </c>
      <c r="H585" s="3">
        <v>55675</v>
      </c>
      <c r="I585" s="3">
        <v>11480</v>
      </c>
      <c r="J585" s="3">
        <v>0</v>
      </c>
      <c r="K585" s="3">
        <v>67136</v>
      </c>
      <c r="L585" s="3">
        <v>0</v>
      </c>
      <c r="M585" s="3">
        <v>11879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f t="shared" si="9"/>
        <v>2867715266</v>
      </c>
    </row>
    <row r="586" spans="1:20" x14ac:dyDescent="0.25">
      <c r="A586" s="2">
        <v>46242</v>
      </c>
      <c r="B586" s="3">
        <v>549625561</v>
      </c>
      <c r="C586" s="3">
        <v>28669967</v>
      </c>
      <c r="D586" s="3">
        <v>19956003</v>
      </c>
      <c r="E586" s="3">
        <v>1061214</v>
      </c>
      <c r="F586" s="3">
        <v>167111</v>
      </c>
      <c r="G586" s="3">
        <v>0</v>
      </c>
      <c r="H586" s="3">
        <v>16218</v>
      </c>
      <c r="I586" s="3">
        <v>31734</v>
      </c>
      <c r="J586" s="3">
        <v>0</v>
      </c>
      <c r="K586" s="3">
        <v>0</v>
      </c>
      <c r="L586" s="3">
        <v>0</v>
      </c>
      <c r="M586" s="3">
        <v>182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f t="shared" si="9"/>
        <v>599527990</v>
      </c>
    </row>
    <row r="587" spans="1:20" x14ac:dyDescent="0.25">
      <c r="A587" s="2">
        <v>46243</v>
      </c>
      <c r="B587" s="3">
        <v>248261011</v>
      </c>
      <c r="C587" s="3">
        <v>19939478</v>
      </c>
      <c r="D587" s="3">
        <v>20791412</v>
      </c>
      <c r="E587" s="3">
        <v>1014195</v>
      </c>
      <c r="F587" s="3">
        <v>221816</v>
      </c>
      <c r="G587" s="3">
        <v>0</v>
      </c>
      <c r="H587" s="3">
        <v>2146</v>
      </c>
      <c r="I587" s="3">
        <v>231816</v>
      </c>
      <c r="J587" s="3">
        <v>0</v>
      </c>
      <c r="K587" s="3">
        <v>545</v>
      </c>
      <c r="L587" s="3">
        <v>0</v>
      </c>
      <c r="M587" s="3">
        <v>31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f t="shared" si="9"/>
        <v>290462450</v>
      </c>
    </row>
    <row r="588" spans="1:20" x14ac:dyDescent="0.25">
      <c r="A588" s="2">
        <v>46244</v>
      </c>
      <c r="B588" s="3">
        <v>579784204</v>
      </c>
      <c r="C588" s="3">
        <v>101133093</v>
      </c>
      <c r="D588" s="3">
        <v>54348801</v>
      </c>
      <c r="E588" s="3">
        <v>12575052</v>
      </c>
      <c r="F588" s="3">
        <v>1206934</v>
      </c>
      <c r="G588" s="3">
        <v>89342</v>
      </c>
      <c r="H588" s="3">
        <v>30132</v>
      </c>
      <c r="I588" s="3">
        <v>277057</v>
      </c>
      <c r="J588" s="3">
        <v>0</v>
      </c>
      <c r="K588" s="3">
        <v>2292057</v>
      </c>
      <c r="L588" s="3">
        <v>0</v>
      </c>
      <c r="M588" s="3">
        <v>8168</v>
      </c>
      <c r="N588" s="3">
        <v>0</v>
      </c>
      <c r="O588" s="3">
        <v>0</v>
      </c>
      <c r="P588" s="3">
        <v>0</v>
      </c>
      <c r="Q588" s="3">
        <v>1</v>
      </c>
      <c r="R588" s="3">
        <v>0</v>
      </c>
      <c r="S588" s="3">
        <v>0</v>
      </c>
      <c r="T588" s="3">
        <f t="shared" si="9"/>
        <v>751744841</v>
      </c>
    </row>
    <row r="589" spans="1:20" x14ac:dyDescent="0.25">
      <c r="A589" s="2">
        <v>46245</v>
      </c>
      <c r="B589" s="3">
        <v>464010999</v>
      </c>
      <c r="C589" s="3">
        <v>117777043</v>
      </c>
      <c r="D589" s="3">
        <v>45824176</v>
      </c>
      <c r="E589" s="3">
        <v>22384591</v>
      </c>
      <c r="F589" s="3">
        <v>678736</v>
      </c>
      <c r="G589" s="3">
        <v>43009209</v>
      </c>
      <c r="H589" s="3">
        <v>334178</v>
      </c>
      <c r="I589" s="3">
        <v>4205</v>
      </c>
      <c r="J589" s="3">
        <v>0</v>
      </c>
      <c r="K589" s="3">
        <v>687304</v>
      </c>
      <c r="L589" s="3">
        <v>0</v>
      </c>
      <c r="M589" s="3">
        <v>9645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f t="shared" si="9"/>
        <v>694720086</v>
      </c>
    </row>
    <row r="590" spans="1:20" x14ac:dyDescent="0.25">
      <c r="A590" s="2">
        <v>46246</v>
      </c>
      <c r="B590" s="3">
        <v>407664594</v>
      </c>
      <c r="C590" s="3">
        <v>111746460</v>
      </c>
      <c r="D590" s="3">
        <v>65299980</v>
      </c>
      <c r="E590" s="3">
        <v>5699931</v>
      </c>
      <c r="F590" s="3">
        <v>3897187</v>
      </c>
      <c r="G590" s="3">
        <v>78970</v>
      </c>
      <c r="H590" s="3">
        <v>22278</v>
      </c>
      <c r="I590" s="3">
        <v>1939</v>
      </c>
      <c r="J590" s="3">
        <v>0</v>
      </c>
      <c r="K590" s="3">
        <v>106876</v>
      </c>
      <c r="L590" s="3">
        <v>0</v>
      </c>
      <c r="M590" s="3">
        <v>6070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f t="shared" si="9"/>
        <v>594524285</v>
      </c>
    </row>
    <row r="591" spans="1:20" x14ac:dyDescent="0.25">
      <c r="A591" s="2">
        <v>46247</v>
      </c>
      <c r="B591" s="3">
        <v>456212339</v>
      </c>
      <c r="C591" s="3">
        <v>108108689</v>
      </c>
      <c r="D591" s="3">
        <v>82840454</v>
      </c>
      <c r="E591" s="3">
        <v>19598289</v>
      </c>
      <c r="F591" s="3">
        <v>11859552</v>
      </c>
      <c r="G591" s="3">
        <v>928734</v>
      </c>
      <c r="H591" s="3">
        <v>53300</v>
      </c>
      <c r="I591" s="3">
        <v>34100</v>
      </c>
      <c r="J591" s="3">
        <v>0</v>
      </c>
      <c r="K591" s="3">
        <v>30506</v>
      </c>
      <c r="L591" s="3">
        <v>0</v>
      </c>
      <c r="M591" s="3">
        <v>19890</v>
      </c>
      <c r="N591" s="3">
        <v>0</v>
      </c>
      <c r="O591" s="3">
        <v>0</v>
      </c>
      <c r="P591" s="3">
        <v>0</v>
      </c>
      <c r="Q591" s="3">
        <v>2069</v>
      </c>
      <c r="R591" s="3">
        <v>0</v>
      </c>
      <c r="S591" s="3">
        <v>0</v>
      </c>
      <c r="T591" s="3">
        <f t="shared" si="9"/>
        <v>679687922</v>
      </c>
    </row>
    <row r="592" spans="1:20" x14ac:dyDescent="0.25">
      <c r="A592" s="2">
        <v>46248</v>
      </c>
      <c r="B592" s="3">
        <v>415402184</v>
      </c>
      <c r="C592" s="3">
        <v>101713550</v>
      </c>
      <c r="D592" s="3">
        <v>67940340</v>
      </c>
      <c r="E592" s="3">
        <v>9623988</v>
      </c>
      <c r="F592" s="3">
        <v>1350859</v>
      </c>
      <c r="G592" s="3">
        <v>727278</v>
      </c>
      <c r="H592" s="3">
        <v>74590</v>
      </c>
      <c r="I592" s="3">
        <v>112086</v>
      </c>
      <c r="J592" s="3">
        <v>1</v>
      </c>
      <c r="K592" s="3">
        <v>9601</v>
      </c>
      <c r="L592" s="3">
        <v>0</v>
      </c>
      <c r="M592" s="3">
        <v>1292698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f t="shared" si="9"/>
        <v>598247175</v>
      </c>
    </row>
    <row r="593" spans="1:20" x14ac:dyDescent="0.25">
      <c r="A593" s="2">
        <v>46249</v>
      </c>
      <c r="B593" s="3">
        <v>363902816</v>
      </c>
      <c r="C593" s="3">
        <v>18487523</v>
      </c>
      <c r="D593" s="3">
        <v>30217750</v>
      </c>
      <c r="E593" s="3">
        <v>1160797</v>
      </c>
      <c r="F593" s="3">
        <v>517404</v>
      </c>
      <c r="G593" s="3">
        <v>0</v>
      </c>
      <c r="H593" s="3">
        <v>1860</v>
      </c>
      <c r="I593" s="3">
        <v>201364</v>
      </c>
      <c r="J593" s="3">
        <v>0</v>
      </c>
      <c r="K593" s="3">
        <v>9199</v>
      </c>
      <c r="L593" s="3">
        <v>0</v>
      </c>
      <c r="M593" s="3">
        <v>1506</v>
      </c>
      <c r="N593" s="3">
        <v>0</v>
      </c>
      <c r="O593" s="3">
        <v>0</v>
      </c>
      <c r="P593" s="3">
        <v>0</v>
      </c>
      <c r="Q593" s="3">
        <v>8</v>
      </c>
      <c r="R593" s="3">
        <v>0</v>
      </c>
      <c r="S593" s="3">
        <v>0</v>
      </c>
      <c r="T593" s="3">
        <f t="shared" si="9"/>
        <v>414500227</v>
      </c>
    </row>
    <row r="594" spans="1:20" x14ac:dyDescent="0.25">
      <c r="A594" s="2">
        <v>46250</v>
      </c>
      <c r="B594" s="3">
        <v>325912415</v>
      </c>
      <c r="C594" s="3">
        <v>10739444</v>
      </c>
      <c r="D594" s="3">
        <v>37914967</v>
      </c>
      <c r="E594" s="3">
        <v>314560</v>
      </c>
      <c r="F594" s="3">
        <v>126740</v>
      </c>
      <c r="G594" s="3">
        <v>0</v>
      </c>
      <c r="H594" s="3">
        <v>549</v>
      </c>
      <c r="I594" s="3">
        <v>214099</v>
      </c>
      <c r="J594" s="3">
        <v>0</v>
      </c>
      <c r="K594" s="3">
        <v>79585</v>
      </c>
      <c r="L594" s="3">
        <v>0</v>
      </c>
      <c r="M594" s="3">
        <v>630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f t="shared" si="9"/>
        <v>375302989</v>
      </c>
    </row>
    <row r="595" spans="1:20" x14ac:dyDescent="0.25">
      <c r="A595" s="2">
        <v>46251</v>
      </c>
      <c r="B595" s="3">
        <v>541614022</v>
      </c>
      <c r="C595" s="3">
        <v>0</v>
      </c>
      <c r="D595" s="3">
        <v>114281041</v>
      </c>
      <c r="E595" s="3">
        <v>16133936</v>
      </c>
      <c r="F595" s="3">
        <v>12558896</v>
      </c>
      <c r="G595" s="3">
        <v>708409</v>
      </c>
      <c r="H595" s="3">
        <v>15369</v>
      </c>
      <c r="I595" s="3">
        <v>60323</v>
      </c>
      <c r="J595" s="3">
        <v>0</v>
      </c>
      <c r="K595" s="3">
        <v>10497</v>
      </c>
      <c r="L595" s="3">
        <v>0</v>
      </c>
      <c r="M595" s="3">
        <v>9450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f t="shared" si="9"/>
        <v>685391943</v>
      </c>
    </row>
    <row r="596" spans="1:20" x14ac:dyDescent="0.25">
      <c r="A596" s="2">
        <v>46252</v>
      </c>
      <c r="B596" s="3">
        <v>677371307</v>
      </c>
      <c r="C596" s="3">
        <v>0</v>
      </c>
      <c r="D596" s="3">
        <v>216594400</v>
      </c>
      <c r="E596" s="3">
        <v>12638134</v>
      </c>
      <c r="F596" s="3">
        <v>3415108</v>
      </c>
      <c r="G596" s="3">
        <v>705297</v>
      </c>
      <c r="H596" s="3">
        <v>56128</v>
      </c>
      <c r="I596" s="3">
        <v>575764</v>
      </c>
      <c r="J596" s="3">
        <v>0</v>
      </c>
      <c r="K596" s="3">
        <v>6164966</v>
      </c>
      <c r="L596" s="3">
        <v>0</v>
      </c>
      <c r="M596" s="3">
        <v>13289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f t="shared" si="9"/>
        <v>917534393</v>
      </c>
    </row>
    <row r="597" spans="1:20" x14ac:dyDescent="0.25">
      <c r="A597" s="2">
        <v>46253</v>
      </c>
      <c r="B597" s="3">
        <v>595121048</v>
      </c>
      <c r="C597" s="3">
        <v>158750553</v>
      </c>
      <c r="D597" s="3">
        <v>190089933</v>
      </c>
      <c r="E597" s="3">
        <v>8498594</v>
      </c>
      <c r="F597" s="3">
        <v>9082700</v>
      </c>
      <c r="G597" s="3">
        <v>1167286</v>
      </c>
      <c r="H597" s="3">
        <v>78480</v>
      </c>
      <c r="I597" s="3">
        <v>366055</v>
      </c>
      <c r="J597" s="3">
        <v>0</v>
      </c>
      <c r="K597" s="3">
        <v>702596</v>
      </c>
      <c r="L597" s="3">
        <v>0</v>
      </c>
      <c r="M597" s="3">
        <v>41179</v>
      </c>
      <c r="N597" s="3">
        <v>0</v>
      </c>
      <c r="O597" s="3">
        <v>0</v>
      </c>
      <c r="P597" s="3">
        <v>0</v>
      </c>
      <c r="Q597" s="3">
        <v>4</v>
      </c>
      <c r="R597" s="3">
        <v>0</v>
      </c>
      <c r="S597" s="3">
        <v>0</v>
      </c>
      <c r="T597" s="3">
        <f t="shared" si="9"/>
        <v>963898428</v>
      </c>
    </row>
    <row r="598" spans="1:20" x14ac:dyDescent="0.25">
      <c r="A598" s="2">
        <v>46254</v>
      </c>
      <c r="B598" s="3">
        <v>655213340</v>
      </c>
      <c r="C598" s="3">
        <v>129619431</v>
      </c>
      <c r="D598" s="3">
        <v>148187235</v>
      </c>
      <c r="E598" s="3">
        <v>14351995</v>
      </c>
      <c r="F598" s="3">
        <v>2474881</v>
      </c>
      <c r="G598" s="3">
        <v>1384968</v>
      </c>
      <c r="H598" s="3">
        <v>39643</v>
      </c>
      <c r="I598" s="3">
        <v>202231</v>
      </c>
      <c r="J598" s="3">
        <v>0</v>
      </c>
      <c r="K598" s="3">
        <v>792985</v>
      </c>
      <c r="L598" s="3">
        <v>0</v>
      </c>
      <c r="M598" s="3">
        <v>44366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f t="shared" si="9"/>
        <v>952311075</v>
      </c>
    </row>
    <row r="599" spans="1:20" x14ac:dyDescent="0.25">
      <c r="A599" s="2">
        <v>46255</v>
      </c>
      <c r="B599" s="3">
        <v>549289732</v>
      </c>
      <c r="C599" s="3">
        <v>126059116</v>
      </c>
      <c r="D599" s="3">
        <v>146857501</v>
      </c>
      <c r="E599" s="3">
        <v>19859356</v>
      </c>
      <c r="F599" s="3">
        <v>2796191</v>
      </c>
      <c r="G599" s="3">
        <v>753077</v>
      </c>
      <c r="H599" s="3">
        <v>25245</v>
      </c>
      <c r="I599" s="3">
        <v>300210</v>
      </c>
      <c r="J599" s="3">
        <v>0</v>
      </c>
      <c r="K599" s="3">
        <v>535198</v>
      </c>
      <c r="L599" s="3">
        <v>0</v>
      </c>
      <c r="M599" s="3">
        <v>45434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f t="shared" si="9"/>
        <v>846521060</v>
      </c>
    </row>
    <row r="600" spans="1:20" x14ac:dyDescent="0.25">
      <c r="A600" s="2">
        <v>46256</v>
      </c>
      <c r="B600" s="3">
        <v>404230100</v>
      </c>
      <c r="C600" s="3">
        <v>63820244</v>
      </c>
      <c r="D600" s="3">
        <v>70038424</v>
      </c>
      <c r="E600" s="3">
        <v>5416215</v>
      </c>
      <c r="F600" s="3">
        <v>1181460</v>
      </c>
      <c r="G600" s="3">
        <v>0</v>
      </c>
      <c r="H600" s="3">
        <v>40033</v>
      </c>
      <c r="I600" s="3">
        <v>706738</v>
      </c>
      <c r="J600" s="3">
        <v>0</v>
      </c>
      <c r="K600" s="3">
        <v>2784</v>
      </c>
      <c r="L600" s="3">
        <v>0</v>
      </c>
      <c r="M600" s="3">
        <v>4466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f t="shared" si="9"/>
        <v>545440464</v>
      </c>
    </row>
    <row r="601" spans="1:20" x14ac:dyDescent="0.25">
      <c r="A601" s="2">
        <v>46257</v>
      </c>
      <c r="B601" s="3">
        <v>276656432</v>
      </c>
      <c r="C601" s="3">
        <v>20587115</v>
      </c>
      <c r="D601" s="3">
        <v>132016176</v>
      </c>
      <c r="E601" s="3">
        <v>1339400</v>
      </c>
      <c r="F601" s="3">
        <v>3943474</v>
      </c>
      <c r="G601" s="3">
        <v>0</v>
      </c>
      <c r="H601" s="3">
        <v>2120</v>
      </c>
      <c r="I601" s="3">
        <v>106068</v>
      </c>
      <c r="J601" s="3">
        <v>0</v>
      </c>
      <c r="K601" s="3">
        <v>3909</v>
      </c>
      <c r="L601" s="3">
        <v>0</v>
      </c>
      <c r="M601" s="3">
        <v>4626</v>
      </c>
      <c r="N601" s="3">
        <v>0</v>
      </c>
      <c r="O601" s="3">
        <v>0</v>
      </c>
      <c r="P601" s="3">
        <v>0</v>
      </c>
      <c r="Q601" s="3">
        <v>1</v>
      </c>
      <c r="R601" s="3">
        <v>0</v>
      </c>
      <c r="S601" s="3">
        <v>0</v>
      </c>
      <c r="T601" s="3">
        <f t="shared" si="9"/>
        <v>434659321</v>
      </c>
    </row>
    <row r="602" spans="1:20" x14ac:dyDescent="0.25">
      <c r="A602" s="2">
        <v>46258</v>
      </c>
      <c r="B602" s="3">
        <v>490856389</v>
      </c>
      <c r="C602" s="3">
        <v>111739131</v>
      </c>
      <c r="D602" s="3">
        <v>344713330</v>
      </c>
      <c r="E602" s="3">
        <v>43072714</v>
      </c>
      <c r="F602" s="3">
        <v>10738969</v>
      </c>
      <c r="G602" s="3">
        <v>413497</v>
      </c>
      <c r="H602" s="3">
        <v>36746</v>
      </c>
      <c r="I602" s="3">
        <v>623193</v>
      </c>
      <c r="J602" s="3">
        <v>0</v>
      </c>
      <c r="K602" s="3">
        <v>41819</v>
      </c>
      <c r="L602" s="3">
        <v>0</v>
      </c>
      <c r="M602" s="3">
        <v>36355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f t="shared" si="9"/>
        <v>1002272143</v>
      </c>
    </row>
    <row r="603" spans="1:20" x14ac:dyDescent="0.25">
      <c r="A603" s="2">
        <v>46259</v>
      </c>
      <c r="B603" s="3">
        <v>509373920</v>
      </c>
      <c r="C603" s="3">
        <v>109825973</v>
      </c>
      <c r="D603" s="3">
        <v>245901735</v>
      </c>
      <c r="E603" s="3">
        <v>32812060</v>
      </c>
      <c r="F603" s="3">
        <v>2850869</v>
      </c>
      <c r="G603" s="3">
        <v>709254</v>
      </c>
      <c r="H603" s="3">
        <v>67361</v>
      </c>
      <c r="I603" s="3">
        <v>177537</v>
      </c>
      <c r="J603" s="3">
        <v>0</v>
      </c>
      <c r="K603" s="3">
        <v>341525</v>
      </c>
      <c r="L603" s="3">
        <v>0</v>
      </c>
      <c r="M603" s="3">
        <v>33369</v>
      </c>
      <c r="N603" s="3">
        <v>2549</v>
      </c>
      <c r="O603" s="3">
        <v>0</v>
      </c>
      <c r="P603" s="3">
        <v>0</v>
      </c>
      <c r="Q603" s="3">
        <v>1</v>
      </c>
      <c r="R603" s="3">
        <v>0</v>
      </c>
      <c r="S603" s="3">
        <v>0</v>
      </c>
      <c r="T603" s="3">
        <f t="shared" si="9"/>
        <v>902096153</v>
      </c>
    </row>
    <row r="604" spans="1:20" x14ac:dyDescent="0.25">
      <c r="A604" s="2">
        <v>46260</v>
      </c>
      <c r="B604" s="3">
        <v>473978525</v>
      </c>
      <c r="C604" s="3">
        <v>84783863</v>
      </c>
      <c r="D604" s="3">
        <v>286261617</v>
      </c>
      <c r="E604" s="3">
        <v>6092859</v>
      </c>
      <c r="F604" s="3">
        <v>2898509</v>
      </c>
      <c r="G604" s="3">
        <v>838362</v>
      </c>
      <c r="H604" s="3">
        <v>22468</v>
      </c>
      <c r="I604" s="3">
        <v>248184</v>
      </c>
      <c r="J604" s="3">
        <v>1</v>
      </c>
      <c r="K604" s="3">
        <v>385285</v>
      </c>
      <c r="L604" s="3">
        <v>104250</v>
      </c>
      <c r="M604" s="3">
        <v>28478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20</v>
      </c>
      <c r="T604" s="3">
        <f t="shared" si="9"/>
        <v>855642421</v>
      </c>
    </row>
    <row r="605" spans="1:20" x14ac:dyDescent="0.25">
      <c r="A605" s="2">
        <v>46261</v>
      </c>
      <c r="B605" s="3">
        <v>481955770</v>
      </c>
      <c r="C605" s="3">
        <v>122193892</v>
      </c>
      <c r="D605" s="3">
        <v>354263134</v>
      </c>
      <c r="E605" s="3">
        <v>31869940</v>
      </c>
      <c r="F605" s="3">
        <v>8875815</v>
      </c>
      <c r="G605" s="3">
        <v>184131</v>
      </c>
      <c r="H605" s="3">
        <v>37669</v>
      </c>
      <c r="I605" s="3">
        <v>160652</v>
      </c>
      <c r="J605" s="3">
        <v>0</v>
      </c>
      <c r="K605" s="3">
        <v>410906</v>
      </c>
      <c r="L605" s="3">
        <v>87320</v>
      </c>
      <c r="M605" s="3">
        <v>31432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f t="shared" si="9"/>
        <v>1000070661</v>
      </c>
    </row>
    <row r="606" spans="1:20" x14ac:dyDescent="0.25">
      <c r="A606" s="2">
        <v>46262</v>
      </c>
      <c r="B606" s="3">
        <v>444701393</v>
      </c>
      <c r="C606" s="3">
        <v>114616850</v>
      </c>
      <c r="D606" s="3">
        <v>456572878</v>
      </c>
      <c r="E606" s="3">
        <v>12383062</v>
      </c>
      <c r="F606" s="3">
        <v>11256723</v>
      </c>
      <c r="G606" s="3">
        <v>572054</v>
      </c>
      <c r="H606" s="3">
        <v>13948</v>
      </c>
      <c r="I606" s="3">
        <v>54272</v>
      </c>
      <c r="J606" s="3">
        <v>1</v>
      </c>
      <c r="K606" s="3">
        <v>136609</v>
      </c>
      <c r="L606" s="3">
        <v>0</v>
      </c>
      <c r="M606" s="3">
        <v>46387</v>
      </c>
      <c r="N606" s="3">
        <v>0</v>
      </c>
      <c r="O606" s="3">
        <v>0</v>
      </c>
      <c r="P606" s="3">
        <v>0</v>
      </c>
      <c r="Q606" s="3">
        <v>7</v>
      </c>
      <c r="R606" s="3">
        <v>0</v>
      </c>
      <c r="S606" s="3">
        <v>0</v>
      </c>
      <c r="T606" s="3">
        <f t="shared" si="9"/>
        <v>1040354184</v>
      </c>
    </row>
    <row r="607" spans="1:20" x14ac:dyDescent="0.25">
      <c r="A607" s="2">
        <v>46263</v>
      </c>
      <c r="B607" s="3">
        <v>236316615</v>
      </c>
      <c r="C607" s="3">
        <v>30193293</v>
      </c>
      <c r="D607" s="3">
        <v>323538638</v>
      </c>
      <c r="E607" s="3">
        <v>2511938</v>
      </c>
      <c r="F607" s="3">
        <v>6273273</v>
      </c>
      <c r="G607" s="3">
        <v>0</v>
      </c>
      <c r="H607" s="3">
        <v>2380</v>
      </c>
      <c r="I607" s="3">
        <v>22318</v>
      </c>
      <c r="J607" s="3">
        <v>0</v>
      </c>
      <c r="K607" s="3">
        <v>307</v>
      </c>
      <c r="L607" s="3">
        <v>0</v>
      </c>
      <c r="M607" s="3">
        <v>299</v>
      </c>
      <c r="N607" s="3">
        <v>0</v>
      </c>
      <c r="O607" s="3">
        <v>0</v>
      </c>
      <c r="P607" s="3">
        <v>0</v>
      </c>
      <c r="Q607" s="3">
        <v>5</v>
      </c>
      <c r="R607" s="3">
        <v>0</v>
      </c>
      <c r="S607" s="3">
        <v>0</v>
      </c>
      <c r="T607" s="3">
        <f t="shared" si="9"/>
        <v>598859066</v>
      </c>
    </row>
    <row r="608" spans="1:20" x14ac:dyDescent="0.25">
      <c r="A608" s="2">
        <v>46264</v>
      </c>
      <c r="B608" s="3">
        <v>324368842</v>
      </c>
      <c r="C608" s="3">
        <v>19843936</v>
      </c>
      <c r="D608" s="3">
        <v>340263613</v>
      </c>
      <c r="E608" s="3">
        <v>3042848</v>
      </c>
      <c r="F608" s="3">
        <v>6279146</v>
      </c>
      <c r="G608" s="3">
        <v>0</v>
      </c>
      <c r="H608" s="3">
        <v>2369</v>
      </c>
      <c r="I608" s="3">
        <v>27180</v>
      </c>
      <c r="J608" s="3">
        <v>0</v>
      </c>
      <c r="K608" s="3">
        <v>12</v>
      </c>
      <c r="L608" s="3">
        <v>0</v>
      </c>
      <c r="M608" s="3">
        <v>2503</v>
      </c>
      <c r="N608" s="3">
        <v>0</v>
      </c>
      <c r="O608" s="3">
        <v>0</v>
      </c>
      <c r="P608" s="3">
        <v>0</v>
      </c>
      <c r="Q608" s="3">
        <v>1</v>
      </c>
      <c r="R608" s="3">
        <v>0</v>
      </c>
      <c r="S608" s="3">
        <v>0</v>
      </c>
      <c r="T608" s="3">
        <f t="shared" si="9"/>
        <v>693830450</v>
      </c>
    </row>
    <row r="609" spans="1:20" x14ac:dyDescent="0.25">
      <c r="A609" s="2">
        <v>46265</v>
      </c>
      <c r="B609" s="3">
        <v>520195301</v>
      </c>
      <c r="C609" s="3">
        <v>0</v>
      </c>
      <c r="D609" s="3">
        <v>859143492</v>
      </c>
      <c r="E609" s="3">
        <v>12608873</v>
      </c>
      <c r="F609" s="3">
        <v>13533789</v>
      </c>
      <c r="G609" s="3">
        <v>221974</v>
      </c>
      <c r="H609" s="3">
        <v>23605</v>
      </c>
      <c r="I609" s="3">
        <v>30805</v>
      </c>
      <c r="J609" s="3">
        <v>0</v>
      </c>
      <c r="K609" s="3">
        <v>1005341</v>
      </c>
      <c r="L609" s="3">
        <v>0</v>
      </c>
      <c r="M609" s="3">
        <v>26255</v>
      </c>
      <c r="N609" s="3">
        <v>52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f t="shared" si="9"/>
        <v>1406789487</v>
      </c>
    </row>
    <row r="610" spans="1:20" x14ac:dyDescent="0.25">
      <c r="A610" s="2">
        <v>46266</v>
      </c>
      <c r="B610" s="3">
        <v>492907167</v>
      </c>
      <c r="C610" s="3">
        <v>98628245</v>
      </c>
      <c r="D610" s="3">
        <v>948428415</v>
      </c>
      <c r="E610" s="3">
        <v>19225905</v>
      </c>
      <c r="F610" s="3">
        <v>13542678</v>
      </c>
      <c r="G610" s="3">
        <v>765127</v>
      </c>
      <c r="H610" s="3">
        <v>30430</v>
      </c>
      <c r="I610" s="3">
        <v>1895733</v>
      </c>
      <c r="J610" s="3">
        <v>0</v>
      </c>
      <c r="K610" s="3">
        <v>914441</v>
      </c>
      <c r="L610" s="3">
        <v>0</v>
      </c>
      <c r="M610" s="3">
        <v>32293</v>
      </c>
      <c r="N610" s="3">
        <v>2554</v>
      </c>
      <c r="O610" s="3">
        <v>0</v>
      </c>
      <c r="P610" s="3">
        <v>0</v>
      </c>
      <c r="Q610" s="3">
        <v>1</v>
      </c>
      <c r="R610" s="3">
        <v>0</v>
      </c>
      <c r="S610" s="3">
        <v>0</v>
      </c>
      <c r="T610" s="3">
        <f t="shared" si="9"/>
        <v>1576372989</v>
      </c>
    </row>
    <row r="611" spans="1:20" x14ac:dyDescent="0.25">
      <c r="A611" s="2">
        <v>46267</v>
      </c>
      <c r="B611" s="3">
        <v>517820221</v>
      </c>
      <c r="C611" s="3">
        <v>87702613</v>
      </c>
      <c r="D611" s="3">
        <v>1112088509</v>
      </c>
      <c r="E611" s="3">
        <v>18581590</v>
      </c>
      <c r="F611" s="3">
        <v>15868260</v>
      </c>
      <c r="G611" s="3">
        <v>402007</v>
      </c>
      <c r="H611" s="3">
        <v>27540401</v>
      </c>
      <c r="I611" s="3">
        <v>1294430</v>
      </c>
      <c r="J611" s="3">
        <v>0</v>
      </c>
      <c r="K611" s="3">
        <v>252265</v>
      </c>
      <c r="L611" s="3">
        <v>0</v>
      </c>
      <c r="M611" s="3">
        <v>46752</v>
      </c>
      <c r="N611" s="3">
        <v>829</v>
      </c>
      <c r="O611" s="3">
        <v>0</v>
      </c>
      <c r="P611" s="3">
        <v>853</v>
      </c>
      <c r="Q611" s="3">
        <v>1</v>
      </c>
      <c r="R611" s="3">
        <v>0</v>
      </c>
      <c r="S611" s="3">
        <v>0</v>
      </c>
      <c r="T611" s="3">
        <f t="shared" si="9"/>
        <v>1781598731</v>
      </c>
    </row>
    <row r="612" spans="1:20" x14ac:dyDescent="0.25">
      <c r="A612" s="2">
        <v>46268</v>
      </c>
      <c r="B612" s="3">
        <v>470886553</v>
      </c>
      <c r="C612" s="3">
        <v>164998242</v>
      </c>
      <c r="D612" s="3">
        <v>1178761893</v>
      </c>
      <c r="E612" s="3">
        <v>62460129</v>
      </c>
      <c r="F612" s="3">
        <v>8844688</v>
      </c>
      <c r="G612" s="3">
        <v>384969</v>
      </c>
      <c r="H612" s="3">
        <v>17392394</v>
      </c>
      <c r="I612" s="3">
        <v>189422</v>
      </c>
      <c r="J612" s="3">
        <v>0</v>
      </c>
      <c r="K612" s="3">
        <v>101580</v>
      </c>
      <c r="L612" s="3">
        <v>0</v>
      </c>
      <c r="M612" s="3">
        <v>43172</v>
      </c>
      <c r="N612" s="3">
        <v>0</v>
      </c>
      <c r="O612" s="3">
        <v>0</v>
      </c>
      <c r="P612" s="3">
        <v>1690</v>
      </c>
      <c r="Q612" s="3">
        <v>0</v>
      </c>
      <c r="R612" s="3">
        <v>0</v>
      </c>
      <c r="S612" s="3">
        <v>20</v>
      </c>
      <c r="T612" s="3">
        <f t="shared" si="9"/>
        <v>1904064752</v>
      </c>
    </row>
    <row r="613" spans="1:20" x14ac:dyDescent="0.25">
      <c r="A613" s="2">
        <v>46269</v>
      </c>
      <c r="B613" s="3">
        <v>558236858</v>
      </c>
      <c r="C613" s="3">
        <v>146369363</v>
      </c>
      <c r="D613" s="3">
        <v>1494991695</v>
      </c>
      <c r="E613" s="3">
        <v>23501199</v>
      </c>
      <c r="F613" s="3">
        <v>7570086</v>
      </c>
      <c r="G613" s="3">
        <v>154988</v>
      </c>
      <c r="H613" s="3">
        <v>86116164</v>
      </c>
      <c r="I613" s="3">
        <v>31937307</v>
      </c>
      <c r="J613" s="3">
        <v>0</v>
      </c>
      <c r="K613" s="3">
        <v>57195</v>
      </c>
      <c r="L613" s="3">
        <v>0</v>
      </c>
      <c r="M613" s="3">
        <v>14865</v>
      </c>
      <c r="N613" s="3">
        <v>0</v>
      </c>
      <c r="O613" s="3">
        <v>0</v>
      </c>
      <c r="P613" s="3">
        <v>1732</v>
      </c>
      <c r="Q613" s="3">
        <v>0</v>
      </c>
      <c r="R613" s="3">
        <v>0</v>
      </c>
      <c r="S613" s="3">
        <v>0</v>
      </c>
      <c r="T613" s="3">
        <f t="shared" si="9"/>
        <v>2348951452</v>
      </c>
    </row>
    <row r="614" spans="1:20" x14ac:dyDescent="0.25">
      <c r="A614" s="2">
        <v>46270</v>
      </c>
      <c r="B614" s="3">
        <v>472563538</v>
      </c>
      <c r="C614" s="3">
        <v>36515853</v>
      </c>
      <c r="D614" s="3">
        <v>549047254</v>
      </c>
      <c r="E614" s="3">
        <v>4459437</v>
      </c>
      <c r="F614" s="3">
        <v>4291225</v>
      </c>
      <c r="G614" s="3">
        <v>0</v>
      </c>
      <c r="H614" s="3">
        <v>8720277</v>
      </c>
      <c r="I614" s="3">
        <v>23687</v>
      </c>
      <c r="J614" s="3">
        <v>0</v>
      </c>
      <c r="K614" s="3">
        <v>45</v>
      </c>
      <c r="L614" s="3">
        <v>0</v>
      </c>
      <c r="M614" s="3">
        <v>4709</v>
      </c>
      <c r="N614" s="3">
        <v>0</v>
      </c>
      <c r="O614" s="3">
        <v>0</v>
      </c>
      <c r="P614" s="3">
        <v>528</v>
      </c>
      <c r="Q614" s="3">
        <v>21</v>
      </c>
      <c r="R614" s="3">
        <v>0</v>
      </c>
      <c r="S614" s="3">
        <v>0</v>
      </c>
      <c r="T614" s="3">
        <f t="shared" si="9"/>
        <v>1075626574</v>
      </c>
    </row>
    <row r="615" spans="1:20" x14ac:dyDescent="0.25">
      <c r="A615" s="2">
        <v>46271</v>
      </c>
      <c r="B615" s="3">
        <v>431738248</v>
      </c>
      <c r="C615" s="3">
        <v>124707703</v>
      </c>
      <c r="D615" s="3">
        <v>387394847</v>
      </c>
      <c r="E615" s="3">
        <v>4741183</v>
      </c>
      <c r="F615" s="3">
        <v>3446518</v>
      </c>
      <c r="G615" s="3">
        <v>0</v>
      </c>
      <c r="H615" s="3">
        <v>2708548</v>
      </c>
      <c r="I615" s="3">
        <v>37376</v>
      </c>
      <c r="J615" s="3">
        <v>0</v>
      </c>
      <c r="K615" s="3">
        <v>19892</v>
      </c>
      <c r="L615" s="3">
        <v>0</v>
      </c>
      <c r="M615" s="3">
        <v>6557</v>
      </c>
      <c r="N615" s="3">
        <v>0</v>
      </c>
      <c r="O615" s="3">
        <v>0</v>
      </c>
      <c r="P615" s="3">
        <v>19</v>
      </c>
      <c r="Q615" s="3">
        <v>0</v>
      </c>
      <c r="R615" s="3">
        <v>0</v>
      </c>
      <c r="S615" s="3">
        <v>0</v>
      </c>
      <c r="T615" s="3">
        <f t="shared" si="9"/>
        <v>954800891</v>
      </c>
    </row>
    <row r="616" spans="1:20" x14ac:dyDescent="0.25">
      <c r="A616" s="2">
        <v>46272</v>
      </c>
      <c r="B616" s="3">
        <v>348510133</v>
      </c>
      <c r="C616" s="3">
        <v>110270987</v>
      </c>
      <c r="D616" s="3">
        <v>531067184</v>
      </c>
      <c r="E616" s="3">
        <v>20253485</v>
      </c>
      <c r="F616" s="3">
        <v>2221157</v>
      </c>
      <c r="G616" s="3">
        <v>0</v>
      </c>
      <c r="H616" s="3">
        <v>191181</v>
      </c>
      <c r="I616" s="3">
        <v>3977291</v>
      </c>
      <c r="J616" s="3">
        <v>0</v>
      </c>
      <c r="K616" s="3">
        <v>17027</v>
      </c>
      <c r="L616" s="3">
        <v>0</v>
      </c>
      <c r="M616" s="3">
        <v>3081</v>
      </c>
      <c r="N616" s="3">
        <v>0</v>
      </c>
      <c r="O616" s="3">
        <v>0</v>
      </c>
      <c r="P616" s="3">
        <v>39266</v>
      </c>
      <c r="Q616" s="3">
        <v>0</v>
      </c>
      <c r="R616" s="3">
        <v>0</v>
      </c>
      <c r="S616" s="3">
        <v>0</v>
      </c>
      <c r="T616" s="3">
        <f t="shared" si="9"/>
        <v>1016550792</v>
      </c>
    </row>
    <row r="617" spans="1:20" x14ac:dyDescent="0.25">
      <c r="A617" s="2">
        <v>46273</v>
      </c>
      <c r="B617" s="3">
        <v>605330548</v>
      </c>
      <c r="C617" s="3">
        <v>183981450</v>
      </c>
      <c r="D617" s="3">
        <v>781135355</v>
      </c>
      <c r="E617" s="3">
        <v>25712517</v>
      </c>
      <c r="F617" s="3">
        <v>6415143</v>
      </c>
      <c r="G617" s="3">
        <v>117403</v>
      </c>
      <c r="H617" s="3">
        <v>63339538</v>
      </c>
      <c r="I617" s="3">
        <v>114551</v>
      </c>
      <c r="J617" s="3">
        <v>0</v>
      </c>
      <c r="K617" s="3">
        <v>827555</v>
      </c>
      <c r="L617" s="3">
        <v>0</v>
      </c>
      <c r="M617" s="3">
        <v>16625</v>
      </c>
      <c r="N617" s="3">
        <v>8301</v>
      </c>
      <c r="O617" s="3">
        <v>0</v>
      </c>
      <c r="P617" s="3">
        <v>4415</v>
      </c>
      <c r="Q617" s="3">
        <v>0</v>
      </c>
      <c r="R617" s="3">
        <v>0</v>
      </c>
      <c r="S617" s="3">
        <v>1</v>
      </c>
      <c r="T617" s="3">
        <f t="shared" si="9"/>
        <v>1667003402</v>
      </c>
    </row>
    <row r="618" spans="1:20" x14ac:dyDescent="0.25">
      <c r="A618" s="2">
        <v>46274</v>
      </c>
      <c r="B618" s="3">
        <v>673131968</v>
      </c>
      <c r="C618" s="3">
        <v>261529762</v>
      </c>
      <c r="D618" s="3">
        <v>669775617</v>
      </c>
      <c r="E618" s="3">
        <v>15453073</v>
      </c>
      <c r="F618" s="3">
        <v>3680956</v>
      </c>
      <c r="G618" s="3">
        <v>419781</v>
      </c>
      <c r="H618" s="3">
        <v>5705803</v>
      </c>
      <c r="I618" s="3">
        <v>121801</v>
      </c>
      <c r="J618" s="3">
        <v>1</v>
      </c>
      <c r="K618" s="3">
        <v>845469</v>
      </c>
      <c r="L618" s="3">
        <v>0</v>
      </c>
      <c r="M618" s="3">
        <v>9584</v>
      </c>
      <c r="N618" s="3">
        <v>0</v>
      </c>
      <c r="O618" s="3">
        <v>0</v>
      </c>
      <c r="P618" s="3">
        <v>21258</v>
      </c>
      <c r="Q618" s="3">
        <v>0</v>
      </c>
      <c r="R618" s="3">
        <v>0</v>
      </c>
      <c r="S618" s="3">
        <v>0</v>
      </c>
      <c r="T618" s="3">
        <f t="shared" si="9"/>
        <v>1630695073</v>
      </c>
    </row>
    <row r="620" spans="1:20" x14ac:dyDescent="0.25">
      <c r="A620" s="4" t="s">
        <v>20</v>
      </c>
    </row>
    <row r="621" spans="1:20" x14ac:dyDescent="0.25">
      <c r="A621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19" width="19" customWidth="1"/>
    <col min="20" max="21" width="21" customWidth="1"/>
    <col min="22" max="22" width="19" customWidth="1"/>
  </cols>
  <sheetData>
    <row r="1" spans="1:22" ht="30" customHeight="1" x14ac:dyDescent="0.25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23</v>
      </c>
      <c r="V1" s="1" t="s">
        <v>24</v>
      </c>
    </row>
    <row r="2" spans="1:22" x14ac:dyDescent="0.25">
      <c r="A2" s="5">
        <v>45658</v>
      </c>
      <c r="B2" s="3">
        <f>SUMIFS(Daily!$B$2:$B$618,Daily!$A$2:$A$618,"&gt;="&amp;$A2,Daily!$A$2:$A$618,"&lt;"&amp;EDATE($A2,1))</f>
        <v>0</v>
      </c>
      <c r="C2" s="3">
        <f>SUMIFS(Daily!$C$2:$C$618,Daily!$A$2:$A$618,"&gt;="&amp;$A2,Daily!$A$2:$A$618,"&lt;"&amp;EDATE($A2,1))</f>
        <v>0</v>
      </c>
      <c r="D2" s="3">
        <f>SUMIFS(Daily!$D$2:$D$618,Daily!$A$2:$A$618,"&gt;="&amp;$A2,Daily!$A$2:$A$618,"&lt;"&amp;EDATE($A2,1))</f>
        <v>0</v>
      </c>
      <c r="E2" s="3">
        <f>SUMIFS(Daily!$E$2:$E$618,Daily!$A$2:$A$618,"&gt;="&amp;$A2,Daily!$A$2:$A$618,"&lt;"&amp;EDATE($A2,1))</f>
        <v>1861756</v>
      </c>
      <c r="F2" s="3">
        <f>SUMIFS(Daily!$F$2:$F$618,Daily!$A$2:$A$618,"&gt;="&amp;$A2,Daily!$A$2:$A$618,"&lt;"&amp;EDATE($A2,1))</f>
        <v>0</v>
      </c>
      <c r="G2" s="3">
        <f>SUMIFS(Daily!$G$2:$G$618,Daily!$A$2:$A$618,"&gt;="&amp;$A2,Daily!$A$2:$A$618,"&lt;"&amp;EDATE($A2,1))</f>
        <v>0</v>
      </c>
      <c r="H2" s="3">
        <f>SUMIFS(Daily!$H$2:$H$618,Daily!$A$2:$A$618,"&gt;="&amp;$A2,Daily!$A$2:$A$618,"&lt;"&amp;EDATE($A2,1))</f>
        <v>29396</v>
      </c>
      <c r="I2" s="3">
        <f>SUMIFS(Daily!$I$2:$I$618,Daily!$A$2:$A$618,"&gt;="&amp;$A2,Daily!$A$2:$A$618,"&lt;"&amp;EDATE($A2,1))</f>
        <v>0</v>
      </c>
      <c r="J2" s="3">
        <f>SUMIFS(Daily!$J$2:$J$618,Daily!$A$2:$A$618,"&gt;="&amp;$A2,Daily!$A$2:$A$618,"&lt;"&amp;EDATE($A2,1))</f>
        <v>0</v>
      </c>
      <c r="K2" s="3">
        <f>SUMIFS(Daily!$K$2:$K$618,Daily!$A$2:$A$618,"&gt;="&amp;$A2,Daily!$A$2:$A$618,"&lt;"&amp;EDATE($A2,1))</f>
        <v>0</v>
      </c>
      <c r="L2" s="3">
        <f>SUMIFS(Daily!$L$2:$L$618,Daily!$A$2:$A$618,"&gt;="&amp;$A2,Daily!$A$2:$A$618,"&lt;"&amp;EDATE($A2,1))</f>
        <v>220925</v>
      </c>
      <c r="M2" s="3">
        <f>SUMIFS(Daily!$M$2:$M$618,Daily!$A$2:$A$618,"&gt;="&amp;$A2,Daily!$A$2:$A$618,"&lt;"&amp;EDATE($A2,1))</f>
        <v>0</v>
      </c>
      <c r="N2" s="3">
        <f>SUMIFS(Daily!$N$2:$N$618,Daily!$A$2:$A$618,"&gt;="&amp;$A2,Daily!$A$2:$A$618,"&lt;"&amp;EDATE($A2,1))</f>
        <v>207892</v>
      </c>
      <c r="O2" s="3">
        <f>SUMIFS(Daily!$O$2:$O$618,Daily!$A$2:$A$618,"&gt;="&amp;$A2,Daily!$A$2:$A$618,"&lt;"&amp;EDATE($A2,1))</f>
        <v>76508</v>
      </c>
      <c r="P2" s="3">
        <f>SUMIFS(Daily!$P$2:$P$618,Daily!$A$2:$A$618,"&gt;="&amp;$A2,Daily!$A$2:$A$618,"&lt;"&amp;EDATE($A2,1))</f>
        <v>0</v>
      </c>
      <c r="Q2" s="3">
        <f>SUMIFS(Daily!$Q$2:$Q$618,Daily!$A$2:$A$618,"&gt;="&amp;$A2,Daily!$A$2:$A$618,"&lt;"&amp;EDATE($A2,1))</f>
        <v>0</v>
      </c>
      <c r="R2" s="3">
        <f>SUMIFS(Daily!$R$2:$R$618,Daily!$A$2:$A$618,"&gt;="&amp;$A2,Daily!$A$2:$A$618,"&lt;"&amp;EDATE($A2,1))</f>
        <v>0</v>
      </c>
      <c r="S2" s="3">
        <f>SUMIFS(Daily!$S$2:$S$618,Daily!$A$2:$A$618,"&gt;="&amp;$A2,Daily!$A$2:$A$618,"&lt;"&amp;EDATE($A2,1))</f>
        <v>0</v>
      </c>
      <c r="T2" s="3">
        <f t="shared" ref="T2:T22" si="0">SUM(B2:S2)</f>
        <v>2396477</v>
      </c>
      <c r="U2" s="6" t="s">
        <v>25</v>
      </c>
      <c r="V2" s="7" t="s">
        <v>25</v>
      </c>
    </row>
    <row r="3" spans="1:22" x14ac:dyDescent="0.25">
      <c r="A3" s="5">
        <v>45689</v>
      </c>
      <c r="B3" s="3">
        <f>SUMIFS(Daily!$B$2:$B$618,Daily!$A$2:$A$618,"&gt;="&amp;$A3,Daily!$A$2:$A$618,"&lt;"&amp;EDATE($A3,1))</f>
        <v>0</v>
      </c>
      <c r="C3" s="3">
        <f>SUMIFS(Daily!$C$2:$C$618,Daily!$A$2:$A$618,"&gt;="&amp;$A3,Daily!$A$2:$A$618,"&lt;"&amp;EDATE($A3,1))</f>
        <v>0</v>
      </c>
      <c r="D3" s="3">
        <f>SUMIFS(Daily!$D$2:$D$618,Daily!$A$2:$A$618,"&gt;="&amp;$A3,Daily!$A$2:$A$618,"&lt;"&amp;EDATE($A3,1))</f>
        <v>0</v>
      </c>
      <c r="E3" s="3">
        <f>SUMIFS(Daily!$E$2:$E$618,Daily!$A$2:$A$618,"&gt;="&amp;$A3,Daily!$A$2:$A$618,"&lt;"&amp;EDATE($A3,1))</f>
        <v>266067</v>
      </c>
      <c r="F3" s="3">
        <f>SUMIFS(Daily!$F$2:$F$618,Daily!$A$2:$A$618,"&gt;="&amp;$A3,Daily!$A$2:$A$618,"&lt;"&amp;EDATE($A3,1))</f>
        <v>64847</v>
      </c>
      <c r="G3" s="3">
        <f>SUMIFS(Daily!$G$2:$G$618,Daily!$A$2:$A$618,"&gt;="&amp;$A3,Daily!$A$2:$A$618,"&lt;"&amp;EDATE($A3,1))</f>
        <v>0</v>
      </c>
      <c r="H3" s="3">
        <f>SUMIFS(Daily!$H$2:$H$618,Daily!$A$2:$A$618,"&gt;="&amp;$A3,Daily!$A$2:$A$618,"&lt;"&amp;EDATE($A3,1))</f>
        <v>10105</v>
      </c>
      <c r="I3" s="3">
        <f>SUMIFS(Daily!$I$2:$I$618,Daily!$A$2:$A$618,"&gt;="&amp;$A3,Daily!$A$2:$A$618,"&lt;"&amp;EDATE($A3,1))</f>
        <v>0</v>
      </c>
      <c r="J3" s="3">
        <f>SUMIFS(Daily!$J$2:$J$618,Daily!$A$2:$A$618,"&gt;="&amp;$A3,Daily!$A$2:$A$618,"&lt;"&amp;EDATE($A3,1))</f>
        <v>299515</v>
      </c>
      <c r="K3" s="3">
        <f>SUMIFS(Daily!$K$2:$K$618,Daily!$A$2:$A$618,"&gt;="&amp;$A3,Daily!$A$2:$A$618,"&lt;"&amp;EDATE($A3,1))</f>
        <v>0</v>
      </c>
      <c r="L3" s="3">
        <f>SUMIFS(Daily!$L$2:$L$618,Daily!$A$2:$A$618,"&gt;="&amp;$A3,Daily!$A$2:$A$618,"&lt;"&amp;EDATE($A3,1))</f>
        <v>18522</v>
      </c>
      <c r="M3" s="3">
        <f>SUMIFS(Daily!$M$2:$M$618,Daily!$A$2:$A$618,"&gt;="&amp;$A3,Daily!$A$2:$A$618,"&lt;"&amp;EDATE($A3,1))</f>
        <v>0</v>
      </c>
      <c r="N3" s="3">
        <f>SUMIFS(Daily!$N$2:$N$618,Daily!$A$2:$A$618,"&gt;="&amp;$A3,Daily!$A$2:$A$618,"&lt;"&amp;EDATE($A3,1))</f>
        <v>116595</v>
      </c>
      <c r="O3" s="3">
        <f>SUMIFS(Daily!$O$2:$O$618,Daily!$A$2:$A$618,"&gt;="&amp;$A3,Daily!$A$2:$A$618,"&lt;"&amp;EDATE($A3,1))</f>
        <v>121532</v>
      </c>
      <c r="P3" s="3">
        <f>SUMIFS(Daily!$P$2:$P$618,Daily!$A$2:$A$618,"&gt;="&amp;$A3,Daily!$A$2:$A$618,"&lt;"&amp;EDATE($A3,1))</f>
        <v>0</v>
      </c>
      <c r="Q3" s="3">
        <f>SUMIFS(Daily!$Q$2:$Q$618,Daily!$A$2:$A$618,"&gt;="&amp;$A3,Daily!$A$2:$A$618,"&lt;"&amp;EDATE($A3,1))</f>
        <v>0</v>
      </c>
      <c r="R3" s="3">
        <f>SUMIFS(Daily!$R$2:$R$618,Daily!$A$2:$A$618,"&gt;="&amp;$A3,Daily!$A$2:$A$618,"&lt;"&amp;EDATE($A3,1))</f>
        <v>0</v>
      </c>
      <c r="S3" s="3">
        <f>SUMIFS(Daily!$S$2:$S$618,Daily!$A$2:$A$618,"&gt;="&amp;$A3,Daily!$A$2:$A$618,"&lt;"&amp;EDATE($A3,1))</f>
        <v>0</v>
      </c>
      <c r="T3" s="3">
        <f t="shared" si="0"/>
        <v>897183</v>
      </c>
      <c r="U3" s="3">
        <f t="shared" ref="U3:U22" si="1">T3-T2</f>
        <v>-1499294</v>
      </c>
      <c r="V3" s="8">
        <f t="shared" ref="V3:V22" si="2">IF(T2=0,"-",T3/T2-1)</f>
        <v>-0.6256241975199428</v>
      </c>
    </row>
    <row r="4" spans="1:22" x14ac:dyDescent="0.25">
      <c r="A4" s="5">
        <v>45717</v>
      </c>
      <c r="B4" s="3">
        <f>SUMIFS(Daily!$B$2:$B$618,Daily!$A$2:$A$618,"&gt;="&amp;$A4,Daily!$A$2:$A$618,"&lt;"&amp;EDATE($A4,1))</f>
        <v>0</v>
      </c>
      <c r="C4" s="3">
        <f>SUMIFS(Daily!$C$2:$C$618,Daily!$A$2:$A$618,"&gt;="&amp;$A4,Daily!$A$2:$A$618,"&lt;"&amp;EDATE($A4,1))</f>
        <v>0</v>
      </c>
      <c r="D4" s="3">
        <f>SUMIFS(Daily!$D$2:$D$618,Daily!$A$2:$A$618,"&gt;="&amp;$A4,Daily!$A$2:$A$618,"&lt;"&amp;EDATE($A4,1))</f>
        <v>0</v>
      </c>
      <c r="E4" s="3">
        <f>SUMIFS(Daily!$E$2:$E$618,Daily!$A$2:$A$618,"&gt;="&amp;$A4,Daily!$A$2:$A$618,"&lt;"&amp;EDATE($A4,1))</f>
        <v>61294</v>
      </c>
      <c r="F4" s="3">
        <f>SUMIFS(Daily!$F$2:$F$618,Daily!$A$2:$A$618,"&gt;="&amp;$A4,Daily!$A$2:$A$618,"&lt;"&amp;EDATE($A4,1))</f>
        <v>3751820</v>
      </c>
      <c r="G4" s="3">
        <f>SUMIFS(Daily!$G$2:$G$618,Daily!$A$2:$A$618,"&gt;="&amp;$A4,Daily!$A$2:$A$618,"&lt;"&amp;EDATE($A4,1))</f>
        <v>0</v>
      </c>
      <c r="H4" s="3">
        <f>SUMIFS(Daily!$H$2:$H$618,Daily!$A$2:$A$618,"&gt;="&amp;$A4,Daily!$A$2:$A$618,"&lt;"&amp;EDATE($A4,1))</f>
        <v>6411</v>
      </c>
      <c r="I4" s="3">
        <f>SUMIFS(Daily!$I$2:$I$618,Daily!$A$2:$A$618,"&gt;="&amp;$A4,Daily!$A$2:$A$618,"&lt;"&amp;EDATE($A4,1))</f>
        <v>0</v>
      </c>
      <c r="J4" s="3">
        <f>SUMIFS(Daily!$J$2:$J$618,Daily!$A$2:$A$618,"&gt;="&amp;$A4,Daily!$A$2:$A$618,"&lt;"&amp;EDATE($A4,1))</f>
        <v>7719743</v>
      </c>
      <c r="K4" s="3">
        <f>SUMIFS(Daily!$K$2:$K$618,Daily!$A$2:$A$618,"&gt;="&amp;$A4,Daily!$A$2:$A$618,"&lt;"&amp;EDATE($A4,1))</f>
        <v>0</v>
      </c>
      <c r="L4" s="3">
        <f>SUMIFS(Daily!$L$2:$L$618,Daily!$A$2:$A$618,"&gt;="&amp;$A4,Daily!$A$2:$A$618,"&lt;"&amp;EDATE($A4,1))</f>
        <v>2393</v>
      </c>
      <c r="M4" s="3">
        <f>SUMIFS(Daily!$M$2:$M$618,Daily!$A$2:$A$618,"&gt;="&amp;$A4,Daily!$A$2:$A$618,"&lt;"&amp;EDATE($A4,1))</f>
        <v>0</v>
      </c>
      <c r="N4" s="3">
        <f>SUMIFS(Daily!$N$2:$N$618,Daily!$A$2:$A$618,"&gt;="&amp;$A4,Daily!$A$2:$A$618,"&lt;"&amp;EDATE($A4,1))</f>
        <v>1037603</v>
      </c>
      <c r="O4" s="3">
        <f>SUMIFS(Daily!$O$2:$O$618,Daily!$A$2:$A$618,"&gt;="&amp;$A4,Daily!$A$2:$A$618,"&lt;"&amp;EDATE($A4,1))</f>
        <v>113602</v>
      </c>
      <c r="P4" s="3">
        <f>SUMIFS(Daily!$P$2:$P$618,Daily!$A$2:$A$618,"&gt;="&amp;$A4,Daily!$A$2:$A$618,"&lt;"&amp;EDATE($A4,1))</f>
        <v>0</v>
      </c>
      <c r="Q4" s="3">
        <f>SUMIFS(Daily!$Q$2:$Q$618,Daily!$A$2:$A$618,"&gt;="&amp;$A4,Daily!$A$2:$A$618,"&lt;"&amp;EDATE($A4,1))</f>
        <v>0</v>
      </c>
      <c r="R4" s="3">
        <f>SUMIFS(Daily!$R$2:$R$618,Daily!$A$2:$A$618,"&gt;="&amp;$A4,Daily!$A$2:$A$618,"&lt;"&amp;EDATE($A4,1))</f>
        <v>0</v>
      </c>
      <c r="S4" s="3">
        <f>SUMIFS(Daily!$S$2:$S$618,Daily!$A$2:$A$618,"&gt;="&amp;$A4,Daily!$A$2:$A$618,"&lt;"&amp;EDATE($A4,1))</f>
        <v>370</v>
      </c>
      <c r="T4" s="3">
        <f t="shared" si="0"/>
        <v>12693236</v>
      </c>
      <c r="U4" s="3">
        <f t="shared" si="1"/>
        <v>11796053</v>
      </c>
      <c r="V4" s="8">
        <f t="shared" si="2"/>
        <v>13.147878414994489</v>
      </c>
    </row>
    <row r="5" spans="1:22" x14ac:dyDescent="0.25">
      <c r="A5" s="5">
        <v>45748</v>
      </c>
      <c r="B5" s="3">
        <f>SUMIFS(Daily!$B$2:$B$618,Daily!$A$2:$A$618,"&gt;="&amp;$A5,Daily!$A$2:$A$618,"&lt;"&amp;EDATE($A5,1))</f>
        <v>0</v>
      </c>
      <c r="C5" s="3">
        <f>SUMIFS(Daily!$C$2:$C$618,Daily!$A$2:$A$618,"&gt;="&amp;$A5,Daily!$A$2:$A$618,"&lt;"&amp;EDATE($A5,1))</f>
        <v>0</v>
      </c>
      <c r="D5" s="3">
        <f>SUMIFS(Daily!$D$2:$D$618,Daily!$A$2:$A$618,"&gt;="&amp;$A5,Daily!$A$2:$A$618,"&lt;"&amp;EDATE($A5,1))</f>
        <v>0</v>
      </c>
      <c r="E5" s="3">
        <f>SUMIFS(Daily!$E$2:$E$618,Daily!$A$2:$A$618,"&gt;="&amp;$A5,Daily!$A$2:$A$618,"&lt;"&amp;EDATE($A5,1))</f>
        <v>124499</v>
      </c>
      <c r="F5" s="3">
        <f>SUMIFS(Daily!$F$2:$F$618,Daily!$A$2:$A$618,"&gt;="&amp;$A5,Daily!$A$2:$A$618,"&lt;"&amp;EDATE($A5,1))</f>
        <v>5421476</v>
      </c>
      <c r="G5" s="3">
        <f>SUMIFS(Daily!$G$2:$G$618,Daily!$A$2:$A$618,"&gt;="&amp;$A5,Daily!$A$2:$A$618,"&lt;"&amp;EDATE($A5,1))</f>
        <v>0</v>
      </c>
      <c r="H5" s="3">
        <f>SUMIFS(Daily!$H$2:$H$618,Daily!$A$2:$A$618,"&gt;="&amp;$A5,Daily!$A$2:$A$618,"&lt;"&amp;EDATE($A5,1))</f>
        <v>22383</v>
      </c>
      <c r="I5" s="3">
        <f>SUMIFS(Daily!$I$2:$I$618,Daily!$A$2:$A$618,"&gt;="&amp;$A5,Daily!$A$2:$A$618,"&lt;"&amp;EDATE($A5,1))</f>
        <v>0</v>
      </c>
      <c r="J5" s="3">
        <f>SUMIFS(Daily!$J$2:$J$618,Daily!$A$2:$A$618,"&gt;="&amp;$A5,Daily!$A$2:$A$618,"&lt;"&amp;EDATE($A5,1))</f>
        <v>15373965</v>
      </c>
      <c r="K5" s="3">
        <f>SUMIFS(Daily!$K$2:$K$618,Daily!$A$2:$A$618,"&gt;="&amp;$A5,Daily!$A$2:$A$618,"&lt;"&amp;EDATE($A5,1))</f>
        <v>0</v>
      </c>
      <c r="L5" s="3">
        <f>SUMIFS(Daily!$L$2:$L$618,Daily!$A$2:$A$618,"&gt;="&amp;$A5,Daily!$A$2:$A$618,"&lt;"&amp;EDATE($A5,1))</f>
        <v>337535</v>
      </c>
      <c r="M5" s="3">
        <f>SUMIFS(Daily!$M$2:$M$618,Daily!$A$2:$A$618,"&gt;="&amp;$A5,Daily!$A$2:$A$618,"&lt;"&amp;EDATE($A5,1))</f>
        <v>0</v>
      </c>
      <c r="N5" s="3">
        <f>SUMIFS(Daily!$N$2:$N$618,Daily!$A$2:$A$618,"&gt;="&amp;$A5,Daily!$A$2:$A$618,"&lt;"&amp;EDATE($A5,1))</f>
        <v>74393</v>
      </c>
      <c r="O5" s="3">
        <f>SUMIFS(Daily!$O$2:$O$618,Daily!$A$2:$A$618,"&gt;="&amp;$A5,Daily!$A$2:$A$618,"&lt;"&amp;EDATE($A5,1))</f>
        <v>58622</v>
      </c>
      <c r="P5" s="3">
        <f>SUMIFS(Daily!$P$2:$P$618,Daily!$A$2:$A$618,"&gt;="&amp;$A5,Daily!$A$2:$A$618,"&lt;"&amp;EDATE($A5,1))</f>
        <v>0</v>
      </c>
      <c r="Q5" s="3">
        <f>SUMIFS(Daily!$Q$2:$Q$618,Daily!$A$2:$A$618,"&gt;="&amp;$A5,Daily!$A$2:$A$618,"&lt;"&amp;EDATE($A5,1))</f>
        <v>0</v>
      </c>
      <c r="R5" s="3">
        <f>SUMIFS(Daily!$R$2:$R$618,Daily!$A$2:$A$618,"&gt;="&amp;$A5,Daily!$A$2:$A$618,"&lt;"&amp;EDATE($A5,1))</f>
        <v>0</v>
      </c>
      <c r="S5" s="3">
        <f>SUMIFS(Daily!$S$2:$S$618,Daily!$A$2:$A$618,"&gt;="&amp;$A5,Daily!$A$2:$A$618,"&lt;"&amp;EDATE($A5,1))</f>
        <v>0</v>
      </c>
      <c r="T5" s="3">
        <f t="shared" si="0"/>
        <v>21412873</v>
      </c>
      <c r="U5" s="3">
        <f t="shared" si="1"/>
        <v>8719637</v>
      </c>
      <c r="V5" s="8">
        <f t="shared" si="2"/>
        <v>0.68695145981686623</v>
      </c>
    </row>
    <row r="6" spans="1:22" x14ac:dyDescent="0.25">
      <c r="A6" s="5">
        <v>45778</v>
      </c>
      <c r="B6" s="3">
        <f>SUMIFS(Daily!$B$2:$B$618,Daily!$A$2:$A$618,"&gt;="&amp;$A6,Daily!$A$2:$A$618,"&lt;"&amp;EDATE($A6,1))</f>
        <v>0</v>
      </c>
      <c r="C6" s="3">
        <f>SUMIFS(Daily!$C$2:$C$618,Daily!$A$2:$A$618,"&gt;="&amp;$A6,Daily!$A$2:$A$618,"&lt;"&amp;EDATE($A6,1))</f>
        <v>0</v>
      </c>
      <c r="D6" s="3">
        <f>SUMIFS(Daily!$D$2:$D$618,Daily!$A$2:$A$618,"&gt;="&amp;$A6,Daily!$A$2:$A$618,"&lt;"&amp;EDATE($A6,1))</f>
        <v>0</v>
      </c>
      <c r="E6" s="3">
        <f>SUMIFS(Daily!$E$2:$E$618,Daily!$A$2:$A$618,"&gt;="&amp;$A6,Daily!$A$2:$A$618,"&lt;"&amp;EDATE($A6,1))</f>
        <v>126073</v>
      </c>
      <c r="F6" s="3">
        <f>SUMIFS(Daily!$F$2:$F$618,Daily!$A$2:$A$618,"&gt;="&amp;$A6,Daily!$A$2:$A$618,"&lt;"&amp;EDATE($A6,1))</f>
        <v>1614251</v>
      </c>
      <c r="G6" s="3">
        <f>SUMIFS(Daily!$G$2:$G$618,Daily!$A$2:$A$618,"&gt;="&amp;$A6,Daily!$A$2:$A$618,"&lt;"&amp;EDATE($A6,1))</f>
        <v>0</v>
      </c>
      <c r="H6" s="3">
        <f>SUMIFS(Daily!$H$2:$H$618,Daily!$A$2:$A$618,"&gt;="&amp;$A6,Daily!$A$2:$A$618,"&lt;"&amp;EDATE($A6,1))</f>
        <v>152782</v>
      </c>
      <c r="I6" s="3">
        <f>SUMIFS(Daily!$I$2:$I$618,Daily!$A$2:$A$618,"&gt;="&amp;$A6,Daily!$A$2:$A$618,"&lt;"&amp;EDATE($A6,1))</f>
        <v>0</v>
      </c>
      <c r="J6" s="3">
        <f>SUMIFS(Daily!$J$2:$J$618,Daily!$A$2:$A$618,"&gt;="&amp;$A6,Daily!$A$2:$A$618,"&lt;"&amp;EDATE($A6,1))</f>
        <v>12069785</v>
      </c>
      <c r="K6" s="3">
        <f>SUMIFS(Daily!$K$2:$K$618,Daily!$A$2:$A$618,"&gt;="&amp;$A6,Daily!$A$2:$A$618,"&lt;"&amp;EDATE($A6,1))</f>
        <v>0</v>
      </c>
      <c r="L6" s="3">
        <f>SUMIFS(Daily!$L$2:$L$618,Daily!$A$2:$A$618,"&gt;="&amp;$A6,Daily!$A$2:$A$618,"&lt;"&amp;EDATE($A6,1))</f>
        <v>15860939</v>
      </c>
      <c r="M6" s="3">
        <f>SUMIFS(Daily!$M$2:$M$618,Daily!$A$2:$A$618,"&gt;="&amp;$A6,Daily!$A$2:$A$618,"&lt;"&amp;EDATE($A6,1))</f>
        <v>0</v>
      </c>
      <c r="N6" s="3">
        <f>SUMIFS(Daily!$N$2:$N$618,Daily!$A$2:$A$618,"&gt;="&amp;$A6,Daily!$A$2:$A$618,"&lt;"&amp;EDATE($A6,1))</f>
        <v>135601</v>
      </c>
      <c r="O6" s="3">
        <f>SUMIFS(Daily!$O$2:$O$618,Daily!$A$2:$A$618,"&gt;="&amp;$A6,Daily!$A$2:$A$618,"&lt;"&amp;EDATE($A6,1))</f>
        <v>0</v>
      </c>
      <c r="P6" s="3">
        <f>SUMIFS(Daily!$P$2:$P$618,Daily!$A$2:$A$618,"&gt;="&amp;$A6,Daily!$A$2:$A$618,"&lt;"&amp;EDATE($A6,1))</f>
        <v>0</v>
      </c>
      <c r="Q6" s="3">
        <f>SUMIFS(Daily!$Q$2:$Q$618,Daily!$A$2:$A$618,"&gt;="&amp;$A6,Daily!$A$2:$A$618,"&lt;"&amp;EDATE($A6,1))</f>
        <v>10089</v>
      </c>
      <c r="R6" s="3">
        <f>SUMIFS(Daily!$R$2:$R$618,Daily!$A$2:$A$618,"&gt;="&amp;$A6,Daily!$A$2:$A$618,"&lt;"&amp;EDATE($A6,1))</f>
        <v>0</v>
      </c>
      <c r="S6" s="3">
        <f>SUMIFS(Daily!$S$2:$S$618,Daily!$A$2:$A$618,"&gt;="&amp;$A6,Daily!$A$2:$A$618,"&lt;"&amp;EDATE($A6,1))</f>
        <v>0</v>
      </c>
      <c r="T6" s="3">
        <f t="shared" si="0"/>
        <v>29969520</v>
      </c>
      <c r="U6" s="3">
        <f t="shared" si="1"/>
        <v>8556647</v>
      </c>
      <c r="V6" s="8">
        <f t="shared" si="2"/>
        <v>0.39960293978299877</v>
      </c>
    </row>
    <row r="7" spans="1:22" x14ac:dyDescent="0.25">
      <c r="A7" s="5">
        <v>45809</v>
      </c>
      <c r="B7" s="3">
        <f>SUMIFS(Daily!$B$2:$B$618,Daily!$A$2:$A$618,"&gt;="&amp;$A7,Daily!$A$2:$A$618,"&lt;"&amp;EDATE($A7,1))</f>
        <v>0</v>
      </c>
      <c r="C7" s="3">
        <f>SUMIFS(Daily!$C$2:$C$618,Daily!$A$2:$A$618,"&gt;="&amp;$A7,Daily!$A$2:$A$618,"&lt;"&amp;EDATE($A7,1))</f>
        <v>25603222</v>
      </c>
      <c r="D7" s="3">
        <f>SUMIFS(Daily!$D$2:$D$618,Daily!$A$2:$A$618,"&gt;="&amp;$A7,Daily!$A$2:$A$618,"&lt;"&amp;EDATE($A7,1))</f>
        <v>0</v>
      </c>
      <c r="E7" s="3">
        <f>SUMIFS(Daily!$E$2:$E$618,Daily!$A$2:$A$618,"&gt;="&amp;$A7,Daily!$A$2:$A$618,"&lt;"&amp;EDATE($A7,1))</f>
        <v>13120</v>
      </c>
      <c r="F7" s="3">
        <f>SUMIFS(Daily!$F$2:$F$618,Daily!$A$2:$A$618,"&gt;="&amp;$A7,Daily!$A$2:$A$618,"&lt;"&amp;EDATE($A7,1))</f>
        <v>1037343</v>
      </c>
      <c r="G7" s="3">
        <f>SUMIFS(Daily!$G$2:$G$618,Daily!$A$2:$A$618,"&gt;="&amp;$A7,Daily!$A$2:$A$618,"&lt;"&amp;EDATE($A7,1))</f>
        <v>0</v>
      </c>
      <c r="H7" s="3">
        <f>SUMIFS(Daily!$H$2:$H$618,Daily!$A$2:$A$618,"&gt;="&amp;$A7,Daily!$A$2:$A$618,"&lt;"&amp;EDATE($A7,1))</f>
        <v>1011764</v>
      </c>
      <c r="I7" s="3">
        <f>SUMIFS(Daily!$I$2:$I$618,Daily!$A$2:$A$618,"&gt;="&amp;$A7,Daily!$A$2:$A$618,"&lt;"&amp;EDATE($A7,1))</f>
        <v>0</v>
      </c>
      <c r="J7" s="3">
        <f>SUMIFS(Daily!$J$2:$J$618,Daily!$A$2:$A$618,"&gt;="&amp;$A7,Daily!$A$2:$A$618,"&lt;"&amp;EDATE($A7,1))</f>
        <v>12462462</v>
      </c>
      <c r="K7" s="3">
        <f>SUMIFS(Daily!$K$2:$K$618,Daily!$A$2:$A$618,"&gt;="&amp;$A7,Daily!$A$2:$A$618,"&lt;"&amp;EDATE($A7,1))</f>
        <v>0</v>
      </c>
      <c r="L7" s="3">
        <f>SUMIFS(Daily!$L$2:$L$618,Daily!$A$2:$A$618,"&gt;="&amp;$A7,Daily!$A$2:$A$618,"&lt;"&amp;EDATE($A7,1))</f>
        <v>141697</v>
      </c>
      <c r="M7" s="3">
        <f>SUMIFS(Daily!$M$2:$M$618,Daily!$A$2:$A$618,"&gt;="&amp;$A7,Daily!$A$2:$A$618,"&lt;"&amp;EDATE($A7,1))</f>
        <v>0</v>
      </c>
      <c r="N7" s="3">
        <f>SUMIFS(Daily!$N$2:$N$618,Daily!$A$2:$A$618,"&gt;="&amp;$A7,Daily!$A$2:$A$618,"&lt;"&amp;EDATE($A7,1))</f>
        <v>714057</v>
      </c>
      <c r="O7" s="3">
        <f>SUMIFS(Daily!$O$2:$O$618,Daily!$A$2:$A$618,"&gt;="&amp;$A7,Daily!$A$2:$A$618,"&lt;"&amp;EDATE($A7,1))</f>
        <v>0</v>
      </c>
      <c r="P7" s="3">
        <f>SUMIFS(Daily!$P$2:$P$618,Daily!$A$2:$A$618,"&gt;="&amp;$A7,Daily!$A$2:$A$618,"&lt;"&amp;EDATE($A7,1))</f>
        <v>0</v>
      </c>
      <c r="Q7" s="3">
        <f>SUMIFS(Daily!$Q$2:$Q$618,Daily!$A$2:$A$618,"&gt;="&amp;$A7,Daily!$A$2:$A$618,"&lt;"&amp;EDATE($A7,1))</f>
        <v>2237</v>
      </c>
      <c r="R7" s="3">
        <f>SUMIFS(Daily!$R$2:$R$618,Daily!$A$2:$A$618,"&gt;="&amp;$A7,Daily!$A$2:$A$618,"&lt;"&amp;EDATE($A7,1))</f>
        <v>0</v>
      </c>
      <c r="S7" s="3">
        <f>SUMIFS(Daily!$S$2:$S$618,Daily!$A$2:$A$618,"&gt;="&amp;$A7,Daily!$A$2:$A$618,"&lt;"&amp;EDATE($A7,1))</f>
        <v>0</v>
      </c>
      <c r="T7" s="3">
        <f t="shared" si="0"/>
        <v>40985902</v>
      </c>
      <c r="U7" s="3">
        <f t="shared" si="1"/>
        <v>11016382</v>
      </c>
      <c r="V7" s="8">
        <f t="shared" si="2"/>
        <v>0.36758620091346139</v>
      </c>
    </row>
    <row r="8" spans="1:22" x14ac:dyDescent="0.25">
      <c r="A8" s="5">
        <v>45839</v>
      </c>
      <c r="B8" s="3">
        <f>SUMIFS(Daily!$B$2:$B$618,Daily!$A$2:$A$618,"&gt;="&amp;$A8,Daily!$A$2:$A$618,"&lt;"&amp;EDATE($A8,1))</f>
        <v>0</v>
      </c>
      <c r="C8" s="3">
        <f>SUMIFS(Daily!$C$2:$C$618,Daily!$A$2:$A$618,"&gt;="&amp;$A8,Daily!$A$2:$A$618,"&lt;"&amp;EDATE($A8,1))</f>
        <v>350392859</v>
      </c>
      <c r="D8" s="3">
        <f>SUMIFS(Daily!$D$2:$D$618,Daily!$A$2:$A$618,"&gt;="&amp;$A8,Daily!$A$2:$A$618,"&lt;"&amp;EDATE($A8,1))</f>
        <v>0</v>
      </c>
      <c r="E8" s="3">
        <f>SUMIFS(Daily!$E$2:$E$618,Daily!$A$2:$A$618,"&gt;="&amp;$A8,Daily!$A$2:$A$618,"&lt;"&amp;EDATE($A8,1))</f>
        <v>241809</v>
      </c>
      <c r="F8" s="3">
        <f>SUMIFS(Daily!$F$2:$F$618,Daily!$A$2:$A$618,"&gt;="&amp;$A8,Daily!$A$2:$A$618,"&lt;"&amp;EDATE($A8,1))</f>
        <v>368750</v>
      </c>
      <c r="G8" s="3">
        <f>SUMIFS(Daily!$G$2:$G$618,Daily!$A$2:$A$618,"&gt;="&amp;$A8,Daily!$A$2:$A$618,"&lt;"&amp;EDATE($A8,1))</f>
        <v>0</v>
      </c>
      <c r="H8" s="3">
        <f>SUMIFS(Daily!$H$2:$H$618,Daily!$A$2:$A$618,"&gt;="&amp;$A8,Daily!$A$2:$A$618,"&lt;"&amp;EDATE($A8,1))</f>
        <v>427174</v>
      </c>
      <c r="I8" s="3">
        <f>SUMIFS(Daily!$I$2:$I$618,Daily!$A$2:$A$618,"&gt;="&amp;$A8,Daily!$A$2:$A$618,"&lt;"&amp;EDATE($A8,1))</f>
        <v>0</v>
      </c>
      <c r="J8" s="3">
        <f>SUMIFS(Daily!$J$2:$J$618,Daily!$A$2:$A$618,"&gt;="&amp;$A8,Daily!$A$2:$A$618,"&lt;"&amp;EDATE($A8,1))</f>
        <v>6393841</v>
      </c>
      <c r="K8" s="3">
        <f>SUMIFS(Daily!$K$2:$K$618,Daily!$A$2:$A$618,"&gt;="&amp;$A8,Daily!$A$2:$A$618,"&lt;"&amp;EDATE($A8,1))</f>
        <v>0</v>
      </c>
      <c r="L8" s="3">
        <f>SUMIFS(Daily!$L$2:$L$618,Daily!$A$2:$A$618,"&gt;="&amp;$A8,Daily!$A$2:$A$618,"&lt;"&amp;EDATE($A8,1))</f>
        <v>639701</v>
      </c>
      <c r="M8" s="3">
        <f>SUMIFS(Daily!$M$2:$M$618,Daily!$A$2:$A$618,"&gt;="&amp;$A8,Daily!$A$2:$A$618,"&lt;"&amp;EDATE($A8,1))</f>
        <v>0</v>
      </c>
      <c r="N8" s="3">
        <f>SUMIFS(Daily!$N$2:$N$618,Daily!$A$2:$A$618,"&gt;="&amp;$A8,Daily!$A$2:$A$618,"&lt;"&amp;EDATE($A8,1))</f>
        <v>476982</v>
      </c>
      <c r="O8" s="3">
        <f>SUMIFS(Daily!$O$2:$O$618,Daily!$A$2:$A$618,"&gt;="&amp;$A8,Daily!$A$2:$A$618,"&lt;"&amp;EDATE($A8,1))</f>
        <v>0</v>
      </c>
      <c r="P8" s="3">
        <f>SUMIFS(Daily!$P$2:$P$618,Daily!$A$2:$A$618,"&gt;="&amp;$A8,Daily!$A$2:$A$618,"&lt;"&amp;EDATE($A8,1))</f>
        <v>0</v>
      </c>
      <c r="Q8" s="3">
        <f>SUMIFS(Daily!$Q$2:$Q$618,Daily!$A$2:$A$618,"&gt;="&amp;$A8,Daily!$A$2:$A$618,"&lt;"&amp;EDATE($A8,1))</f>
        <v>8730</v>
      </c>
      <c r="R8" s="3">
        <f>SUMIFS(Daily!$R$2:$R$618,Daily!$A$2:$A$618,"&gt;="&amp;$A8,Daily!$A$2:$A$618,"&lt;"&amp;EDATE($A8,1))</f>
        <v>0</v>
      </c>
      <c r="S8" s="3">
        <f>SUMIFS(Daily!$S$2:$S$618,Daily!$A$2:$A$618,"&gt;="&amp;$A8,Daily!$A$2:$A$618,"&lt;"&amp;EDATE($A8,1))</f>
        <v>0</v>
      </c>
      <c r="T8" s="3">
        <f t="shared" si="0"/>
        <v>358949846</v>
      </c>
      <c r="U8" s="3">
        <f t="shared" si="1"/>
        <v>317963944</v>
      </c>
      <c r="V8" s="8">
        <f t="shared" si="2"/>
        <v>7.7578857237300767</v>
      </c>
    </row>
    <row r="9" spans="1:22" x14ac:dyDescent="0.25">
      <c r="A9" s="5">
        <v>45870</v>
      </c>
      <c r="B9" s="3">
        <f>SUMIFS(Daily!$B$2:$B$618,Daily!$A$2:$A$618,"&gt;="&amp;$A9,Daily!$A$2:$A$618,"&lt;"&amp;EDATE($A9,1))</f>
        <v>476</v>
      </c>
      <c r="C9" s="3">
        <f>SUMIFS(Daily!$C$2:$C$618,Daily!$A$2:$A$618,"&gt;="&amp;$A9,Daily!$A$2:$A$618,"&lt;"&amp;EDATE($A9,1))</f>
        <v>247240287</v>
      </c>
      <c r="D9" s="3">
        <f>SUMIFS(Daily!$D$2:$D$618,Daily!$A$2:$A$618,"&gt;="&amp;$A9,Daily!$A$2:$A$618,"&lt;"&amp;EDATE($A9,1))</f>
        <v>0</v>
      </c>
      <c r="E9" s="3">
        <f>SUMIFS(Daily!$E$2:$E$618,Daily!$A$2:$A$618,"&gt;="&amp;$A9,Daily!$A$2:$A$618,"&lt;"&amp;EDATE($A9,1))</f>
        <v>5279209</v>
      </c>
      <c r="F9" s="3">
        <f>SUMIFS(Daily!$F$2:$F$618,Daily!$A$2:$A$618,"&gt;="&amp;$A9,Daily!$A$2:$A$618,"&lt;"&amp;EDATE($A9,1))</f>
        <v>523956</v>
      </c>
      <c r="G9" s="3">
        <f>SUMIFS(Daily!$G$2:$G$618,Daily!$A$2:$A$618,"&gt;="&amp;$A9,Daily!$A$2:$A$618,"&lt;"&amp;EDATE($A9,1))</f>
        <v>0</v>
      </c>
      <c r="H9" s="3">
        <f>SUMIFS(Daily!$H$2:$H$618,Daily!$A$2:$A$618,"&gt;="&amp;$A9,Daily!$A$2:$A$618,"&lt;"&amp;EDATE($A9,1))</f>
        <v>63641</v>
      </c>
      <c r="I9" s="3">
        <f>SUMIFS(Daily!$I$2:$I$618,Daily!$A$2:$A$618,"&gt;="&amp;$A9,Daily!$A$2:$A$618,"&lt;"&amp;EDATE($A9,1))</f>
        <v>0</v>
      </c>
      <c r="J9" s="3">
        <f>SUMIFS(Daily!$J$2:$J$618,Daily!$A$2:$A$618,"&gt;="&amp;$A9,Daily!$A$2:$A$618,"&lt;"&amp;EDATE($A9,1))</f>
        <v>1951174</v>
      </c>
      <c r="K9" s="3">
        <f>SUMIFS(Daily!$K$2:$K$618,Daily!$A$2:$A$618,"&gt;="&amp;$A9,Daily!$A$2:$A$618,"&lt;"&amp;EDATE($A9,1))</f>
        <v>1142</v>
      </c>
      <c r="L9" s="3">
        <f>SUMIFS(Daily!$L$2:$L$618,Daily!$A$2:$A$618,"&gt;="&amp;$A9,Daily!$A$2:$A$618,"&lt;"&amp;EDATE($A9,1))</f>
        <v>14744004</v>
      </c>
      <c r="M9" s="3">
        <f>SUMIFS(Daily!$M$2:$M$618,Daily!$A$2:$A$618,"&gt;="&amp;$A9,Daily!$A$2:$A$618,"&lt;"&amp;EDATE($A9,1))</f>
        <v>0</v>
      </c>
      <c r="N9" s="3">
        <f>SUMIFS(Daily!$N$2:$N$618,Daily!$A$2:$A$618,"&gt;="&amp;$A9,Daily!$A$2:$A$618,"&lt;"&amp;EDATE($A9,1))</f>
        <v>180816</v>
      </c>
      <c r="O9" s="3">
        <f>SUMIFS(Daily!$O$2:$O$618,Daily!$A$2:$A$618,"&gt;="&amp;$A9,Daily!$A$2:$A$618,"&lt;"&amp;EDATE($A9,1))</f>
        <v>0</v>
      </c>
      <c r="P9" s="3">
        <f>SUMIFS(Daily!$P$2:$P$618,Daily!$A$2:$A$618,"&gt;="&amp;$A9,Daily!$A$2:$A$618,"&lt;"&amp;EDATE($A9,1))</f>
        <v>0</v>
      </c>
      <c r="Q9" s="3">
        <f>SUMIFS(Daily!$Q$2:$Q$618,Daily!$A$2:$A$618,"&gt;="&amp;$A9,Daily!$A$2:$A$618,"&lt;"&amp;EDATE($A9,1))</f>
        <v>18101</v>
      </c>
      <c r="R9" s="3">
        <f>SUMIFS(Daily!$R$2:$R$618,Daily!$A$2:$A$618,"&gt;="&amp;$A9,Daily!$A$2:$A$618,"&lt;"&amp;EDATE($A9,1))</f>
        <v>790</v>
      </c>
      <c r="S9" s="3">
        <f>SUMIFS(Daily!$S$2:$S$618,Daily!$A$2:$A$618,"&gt;="&amp;$A9,Daily!$A$2:$A$618,"&lt;"&amp;EDATE($A9,1))</f>
        <v>0</v>
      </c>
      <c r="T9" s="3">
        <f t="shared" si="0"/>
        <v>270003596</v>
      </c>
      <c r="U9" s="3">
        <f t="shared" si="1"/>
        <v>-88946250</v>
      </c>
      <c r="V9" s="8">
        <f t="shared" si="2"/>
        <v>-0.24779576030240169</v>
      </c>
    </row>
    <row r="10" spans="1:22" x14ac:dyDescent="0.25">
      <c r="A10" s="5">
        <v>45901</v>
      </c>
      <c r="B10" s="3">
        <f>SUMIFS(Daily!$B$2:$B$618,Daily!$A$2:$A$618,"&gt;="&amp;$A10,Daily!$A$2:$A$618,"&lt;"&amp;EDATE($A10,1))</f>
        <v>234959</v>
      </c>
      <c r="C10" s="3">
        <f>SUMIFS(Daily!$C$2:$C$618,Daily!$A$2:$A$618,"&gt;="&amp;$A10,Daily!$A$2:$A$618,"&lt;"&amp;EDATE($A10,1))</f>
        <v>369903368</v>
      </c>
      <c r="D10" s="3">
        <f>SUMIFS(Daily!$D$2:$D$618,Daily!$A$2:$A$618,"&gt;="&amp;$A10,Daily!$A$2:$A$618,"&lt;"&amp;EDATE($A10,1))</f>
        <v>0</v>
      </c>
      <c r="E10" s="3">
        <f>SUMIFS(Daily!$E$2:$E$618,Daily!$A$2:$A$618,"&gt;="&amp;$A10,Daily!$A$2:$A$618,"&lt;"&amp;EDATE($A10,1))</f>
        <v>135504358</v>
      </c>
      <c r="F10" s="3">
        <f>SUMIFS(Daily!$F$2:$F$618,Daily!$A$2:$A$618,"&gt;="&amp;$A10,Daily!$A$2:$A$618,"&lt;"&amp;EDATE($A10,1))</f>
        <v>545677</v>
      </c>
      <c r="G10" s="3">
        <f>SUMIFS(Daily!$G$2:$G$618,Daily!$A$2:$A$618,"&gt;="&amp;$A10,Daily!$A$2:$A$618,"&lt;"&amp;EDATE($A10,1))</f>
        <v>0</v>
      </c>
      <c r="H10" s="3">
        <f>SUMIFS(Daily!$H$2:$H$618,Daily!$A$2:$A$618,"&gt;="&amp;$A10,Daily!$A$2:$A$618,"&lt;"&amp;EDATE($A10,1))</f>
        <v>2658</v>
      </c>
      <c r="I10" s="3">
        <f>SUMIFS(Daily!$I$2:$I$618,Daily!$A$2:$A$618,"&gt;="&amp;$A10,Daily!$A$2:$A$618,"&lt;"&amp;EDATE($A10,1))</f>
        <v>0</v>
      </c>
      <c r="J10" s="3">
        <f>SUMIFS(Daily!$J$2:$J$618,Daily!$A$2:$A$618,"&gt;="&amp;$A10,Daily!$A$2:$A$618,"&lt;"&amp;EDATE($A10,1))</f>
        <v>1427488</v>
      </c>
      <c r="K10" s="3">
        <f>SUMIFS(Daily!$K$2:$K$618,Daily!$A$2:$A$618,"&gt;="&amp;$A10,Daily!$A$2:$A$618,"&lt;"&amp;EDATE($A10,1))</f>
        <v>2</v>
      </c>
      <c r="L10" s="3">
        <f>SUMIFS(Daily!$L$2:$L$618,Daily!$A$2:$A$618,"&gt;="&amp;$A10,Daily!$A$2:$A$618,"&lt;"&amp;EDATE($A10,1))</f>
        <v>8739</v>
      </c>
      <c r="M10" s="3">
        <f>SUMIFS(Daily!$M$2:$M$618,Daily!$A$2:$A$618,"&gt;="&amp;$A10,Daily!$A$2:$A$618,"&lt;"&amp;EDATE($A10,1))</f>
        <v>0</v>
      </c>
      <c r="N10" s="3">
        <f>SUMIFS(Daily!$N$2:$N$618,Daily!$A$2:$A$618,"&gt;="&amp;$A10,Daily!$A$2:$A$618,"&lt;"&amp;EDATE($A10,1))</f>
        <v>693404</v>
      </c>
      <c r="O10" s="3">
        <f>SUMIFS(Daily!$O$2:$O$618,Daily!$A$2:$A$618,"&gt;="&amp;$A10,Daily!$A$2:$A$618,"&lt;"&amp;EDATE($A10,1))</f>
        <v>0</v>
      </c>
      <c r="P10" s="3">
        <f>SUMIFS(Daily!$P$2:$P$618,Daily!$A$2:$A$618,"&gt;="&amp;$A10,Daily!$A$2:$A$618,"&lt;"&amp;EDATE($A10,1))</f>
        <v>0</v>
      </c>
      <c r="Q10" s="3">
        <f>SUMIFS(Daily!$Q$2:$Q$618,Daily!$A$2:$A$618,"&gt;="&amp;$A10,Daily!$A$2:$A$618,"&lt;"&amp;EDATE($A10,1))</f>
        <v>4041</v>
      </c>
      <c r="R10" s="3">
        <f>SUMIFS(Daily!$R$2:$R$618,Daily!$A$2:$A$618,"&gt;="&amp;$A10,Daily!$A$2:$A$618,"&lt;"&amp;EDATE($A10,1))</f>
        <v>333</v>
      </c>
      <c r="S10" s="3">
        <f>SUMIFS(Daily!$S$2:$S$618,Daily!$A$2:$A$618,"&gt;="&amp;$A10,Daily!$A$2:$A$618,"&lt;"&amp;EDATE($A10,1))</f>
        <v>0</v>
      </c>
      <c r="T10" s="3">
        <f t="shared" si="0"/>
        <v>508325027</v>
      </c>
      <c r="U10" s="3">
        <f t="shared" si="1"/>
        <v>238321431</v>
      </c>
      <c r="V10" s="8">
        <f t="shared" si="2"/>
        <v>0.88266021094030167</v>
      </c>
    </row>
    <row r="11" spans="1:22" x14ac:dyDescent="0.25">
      <c r="A11" s="5">
        <v>45931</v>
      </c>
      <c r="B11" s="3">
        <f>SUMIFS(Daily!$B$2:$B$618,Daily!$A$2:$A$618,"&gt;="&amp;$A11,Daily!$A$2:$A$618,"&lt;"&amp;EDATE($A11,1))</f>
        <v>2158351</v>
      </c>
      <c r="C11" s="3">
        <f>SUMIFS(Daily!$C$2:$C$618,Daily!$A$2:$A$618,"&gt;="&amp;$A11,Daily!$A$2:$A$618,"&lt;"&amp;EDATE($A11,1))</f>
        <v>685307402</v>
      </c>
      <c r="D11" s="3">
        <f>SUMIFS(Daily!$D$2:$D$618,Daily!$A$2:$A$618,"&gt;="&amp;$A11,Daily!$A$2:$A$618,"&lt;"&amp;EDATE($A11,1))</f>
        <v>0</v>
      </c>
      <c r="E11" s="3">
        <f>SUMIFS(Daily!$E$2:$E$618,Daily!$A$2:$A$618,"&gt;="&amp;$A11,Daily!$A$2:$A$618,"&lt;"&amp;EDATE($A11,1))</f>
        <v>200121515</v>
      </c>
      <c r="F11" s="3">
        <f>SUMIFS(Daily!$F$2:$F$618,Daily!$A$2:$A$618,"&gt;="&amp;$A11,Daily!$A$2:$A$618,"&lt;"&amp;EDATE($A11,1))</f>
        <v>157707</v>
      </c>
      <c r="G11" s="3">
        <f>SUMIFS(Daily!$G$2:$G$618,Daily!$A$2:$A$618,"&gt;="&amp;$A11,Daily!$A$2:$A$618,"&lt;"&amp;EDATE($A11,1))</f>
        <v>0</v>
      </c>
      <c r="H11" s="3">
        <f>SUMIFS(Daily!$H$2:$H$618,Daily!$A$2:$A$618,"&gt;="&amp;$A11,Daily!$A$2:$A$618,"&lt;"&amp;EDATE($A11,1))</f>
        <v>184824</v>
      </c>
      <c r="I11" s="3">
        <f>SUMIFS(Daily!$I$2:$I$618,Daily!$A$2:$A$618,"&gt;="&amp;$A11,Daily!$A$2:$A$618,"&lt;"&amp;EDATE($A11,1))</f>
        <v>0</v>
      </c>
      <c r="J11" s="3">
        <f>SUMIFS(Daily!$J$2:$J$618,Daily!$A$2:$A$618,"&gt;="&amp;$A11,Daily!$A$2:$A$618,"&lt;"&amp;EDATE($A11,1))</f>
        <v>1106500</v>
      </c>
      <c r="K11" s="3">
        <f>SUMIFS(Daily!$K$2:$K$618,Daily!$A$2:$A$618,"&gt;="&amp;$A11,Daily!$A$2:$A$618,"&lt;"&amp;EDATE($A11,1))</f>
        <v>0</v>
      </c>
      <c r="L11" s="3">
        <f>SUMIFS(Daily!$L$2:$L$618,Daily!$A$2:$A$618,"&gt;="&amp;$A11,Daily!$A$2:$A$618,"&lt;"&amp;EDATE($A11,1))</f>
        <v>381089</v>
      </c>
      <c r="M11" s="3">
        <f>SUMIFS(Daily!$M$2:$M$618,Daily!$A$2:$A$618,"&gt;="&amp;$A11,Daily!$A$2:$A$618,"&lt;"&amp;EDATE($A11,1))</f>
        <v>0</v>
      </c>
      <c r="N11" s="3">
        <f>SUMIFS(Daily!$N$2:$N$618,Daily!$A$2:$A$618,"&gt;="&amp;$A11,Daily!$A$2:$A$618,"&lt;"&amp;EDATE($A11,1))</f>
        <v>86103</v>
      </c>
      <c r="O11" s="3">
        <f>SUMIFS(Daily!$O$2:$O$618,Daily!$A$2:$A$618,"&gt;="&amp;$A11,Daily!$A$2:$A$618,"&lt;"&amp;EDATE($A11,1))</f>
        <v>0</v>
      </c>
      <c r="P11" s="3">
        <f>SUMIFS(Daily!$P$2:$P$618,Daily!$A$2:$A$618,"&gt;="&amp;$A11,Daily!$A$2:$A$618,"&lt;"&amp;EDATE($A11,1))</f>
        <v>0</v>
      </c>
      <c r="Q11" s="3">
        <f>SUMIFS(Daily!$Q$2:$Q$618,Daily!$A$2:$A$618,"&gt;="&amp;$A11,Daily!$A$2:$A$618,"&lt;"&amp;EDATE($A11,1))</f>
        <v>609</v>
      </c>
      <c r="R11" s="3">
        <f>SUMIFS(Daily!$R$2:$R$618,Daily!$A$2:$A$618,"&gt;="&amp;$A11,Daily!$A$2:$A$618,"&lt;"&amp;EDATE($A11,1))</f>
        <v>0</v>
      </c>
      <c r="S11" s="3">
        <f>SUMIFS(Daily!$S$2:$S$618,Daily!$A$2:$A$618,"&gt;="&amp;$A11,Daily!$A$2:$A$618,"&lt;"&amp;EDATE($A11,1))</f>
        <v>0</v>
      </c>
      <c r="T11" s="3">
        <f t="shared" si="0"/>
        <v>889504100</v>
      </c>
      <c r="U11" s="3">
        <f t="shared" si="1"/>
        <v>381179073</v>
      </c>
      <c r="V11" s="8">
        <f t="shared" si="2"/>
        <v>0.74987272464159038</v>
      </c>
    </row>
    <row r="12" spans="1:22" x14ac:dyDescent="0.25">
      <c r="A12" s="5">
        <v>45962</v>
      </c>
      <c r="B12" s="3">
        <f>SUMIFS(Daily!$B$2:$B$618,Daily!$A$2:$A$618,"&gt;="&amp;$A12,Daily!$A$2:$A$618,"&lt;"&amp;EDATE($A12,1))</f>
        <v>14764428</v>
      </c>
      <c r="C12" s="3">
        <f>SUMIFS(Daily!$C$2:$C$618,Daily!$A$2:$A$618,"&gt;="&amp;$A12,Daily!$A$2:$A$618,"&lt;"&amp;EDATE($A12,1))</f>
        <v>701805764</v>
      </c>
      <c r="D12" s="3">
        <f>SUMIFS(Daily!$D$2:$D$618,Daily!$A$2:$A$618,"&gt;="&amp;$A12,Daily!$A$2:$A$618,"&lt;"&amp;EDATE($A12,1))</f>
        <v>0</v>
      </c>
      <c r="E12" s="3">
        <f>SUMIFS(Daily!$E$2:$E$618,Daily!$A$2:$A$618,"&gt;="&amp;$A12,Daily!$A$2:$A$618,"&lt;"&amp;EDATE($A12,1))</f>
        <v>367211961</v>
      </c>
      <c r="F12" s="3">
        <f>SUMIFS(Daily!$F$2:$F$618,Daily!$A$2:$A$618,"&gt;="&amp;$A12,Daily!$A$2:$A$618,"&lt;"&amp;EDATE($A12,1))</f>
        <v>10182945</v>
      </c>
      <c r="G12" s="3">
        <f>SUMIFS(Daily!$G$2:$G$618,Daily!$A$2:$A$618,"&gt;="&amp;$A12,Daily!$A$2:$A$618,"&lt;"&amp;EDATE($A12,1))</f>
        <v>0</v>
      </c>
      <c r="H12" s="3">
        <f>SUMIFS(Daily!$H$2:$H$618,Daily!$A$2:$A$618,"&gt;="&amp;$A12,Daily!$A$2:$A$618,"&lt;"&amp;EDATE($A12,1))</f>
        <v>4928</v>
      </c>
      <c r="I12" s="3">
        <f>SUMIFS(Daily!$I$2:$I$618,Daily!$A$2:$A$618,"&gt;="&amp;$A12,Daily!$A$2:$A$618,"&lt;"&amp;EDATE($A12,1))</f>
        <v>0</v>
      </c>
      <c r="J12" s="3">
        <f>SUMIFS(Daily!$J$2:$J$618,Daily!$A$2:$A$618,"&gt;="&amp;$A12,Daily!$A$2:$A$618,"&lt;"&amp;EDATE($A12,1))</f>
        <v>448454</v>
      </c>
      <c r="K12" s="3">
        <f>SUMIFS(Daily!$K$2:$K$618,Daily!$A$2:$A$618,"&gt;="&amp;$A12,Daily!$A$2:$A$618,"&lt;"&amp;EDATE($A12,1))</f>
        <v>0</v>
      </c>
      <c r="L12" s="3">
        <f>SUMIFS(Daily!$L$2:$L$618,Daily!$A$2:$A$618,"&gt;="&amp;$A12,Daily!$A$2:$A$618,"&lt;"&amp;EDATE($A12,1))</f>
        <v>2419300</v>
      </c>
      <c r="M12" s="3">
        <f>SUMIFS(Daily!$M$2:$M$618,Daily!$A$2:$A$618,"&gt;="&amp;$A12,Daily!$A$2:$A$618,"&lt;"&amp;EDATE($A12,1))</f>
        <v>0</v>
      </c>
      <c r="N12" s="3">
        <f>SUMIFS(Daily!$N$2:$N$618,Daily!$A$2:$A$618,"&gt;="&amp;$A12,Daily!$A$2:$A$618,"&lt;"&amp;EDATE($A12,1))</f>
        <v>236264</v>
      </c>
      <c r="O12" s="3">
        <f>SUMIFS(Daily!$O$2:$O$618,Daily!$A$2:$A$618,"&gt;="&amp;$A12,Daily!$A$2:$A$618,"&lt;"&amp;EDATE($A12,1))</f>
        <v>0</v>
      </c>
      <c r="P12" s="3">
        <f>SUMIFS(Daily!$P$2:$P$618,Daily!$A$2:$A$618,"&gt;="&amp;$A12,Daily!$A$2:$A$618,"&lt;"&amp;EDATE($A12,1))</f>
        <v>0</v>
      </c>
      <c r="Q12" s="3">
        <f>SUMIFS(Daily!$Q$2:$Q$618,Daily!$A$2:$A$618,"&gt;="&amp;$A12,Daily!$A$2:$A$618,"&lt;"&amp;EDATE($A12,1))</f>
        <v>2468</v>
      </c>
      <c r="R12" s="3">
        <f>SUMIFS(Daily!$R$2:$R$618,Daily!$A$2:$A$618,"&gt;="&amp;$A12,Daily!$A$2:$A$618,"&lt;"&amp;EDATE($A12,1))</f>
        <v>0</v>
      </c>
      <c r="S12" s="3">
        <f>SUMIFS(Daily!$S$2:$S$618,Daily!$A$2:$A$618,"&gt;="&amp;$A12,Daily!$A$2:$A$618,"&lt;"&amp;EDATE($A12,1))</f>
        <v>0</v>
      </c>
      <c r="T12" s="3">
        <f t="shared" si="0"/>
        <v>1097076512</v>
      </c>
      <c r="U12" s="3">
        <f t="shared" si="1"/>
        <v>207572412</v>
      </c>
      <c r="V12" s="8">
        <f t="shared" si="2"/>
        <v>0.23335745388919515</v>
      </c>
    </row>
    <row r="13" spans="1:22" x14ac:dyDescent="0.25">
      <c r="A13" s="5">
        <v>45992</v>
      </c>
      <c r="B13" s="3">
        <f>SUMIFS(Daily!$B$2:$B$618,Daily!$A$2:$A$618,"&gt;="&amp;$A13,Daily!$A$2:$A$618,"&lt;"&amp;EDATE($A13,1))</f>
        <v>1977844121</v>
      </c>
      <c r="C13" s="3">
        <f>SUMIFS(Daily!$C$2:$C$618,Daily!$A$2:$A$618,"&gt;="&amp;$A13,Daily!$A$2:$A$618,"&lt;"&amp;EDATE($A13,1))</f>
        <v>459058187</v>
      </c>
      <c r="D13" s="3">
        <f>SUMIFS(Daily!$D$2:$D$618,Daily!$A$2:$A$618,"&gt;="&amp;$A13,Daily!$A$2:$A$618,"&lt;"&amp;EDATE($A13,1))</f>
        <v>0</v>
      </c>
      <c r="E13" s="3">
        <f>SUMIFS(Daily!$E$2:$E$618,Daily!$A$2:$A$618,"&gt;="&amp;$A13,Daily!$A$2:$A$618,"&lt;"&amp;EDATE($A13,1))</f>
        <v>134784121</v>
      </c>
      <c r="F13" s="3">
        <f>SUMIFS(Daily!$F$2:$F$618,Daily!$A$2:$A$618,"&gt;="&amp;$A13,Daily!$A$2:$A$618,"&lt;"&amp;EDATE($A13,1))</f>
        <v>38720</v>
      </c>
      <c r="G13" s="3">
        <f>SUMIFS(Daily!$G$2:$G$618,Daily!$A$2:$A$618,"&gt;="&amp;$A13,Daily!$A$2:$A$618,"&lt;"&amp;EDATE($A13,1))</f>
        <v>0</v>
      </c>
      <c r="H13" s="3">
        <f>SUMIFS(Daily!$H$2:$H$618,Daily!$A$2:$A$618,"&gt;="&amp;$A13,Daily!$A$2:$A$618,"&lt;"&amp;EDATE($A13,1))</f>
        <v>1814</v>
      </c>
      <c r="I13" s="3">
        <f>SUMIFS(Daily!$I$2:$I$618,Daily!$A$2:$A$618,"&gt;="&amp;$A13,Daily!$A$2:$A$618,"&lt;"&amp;EDATE($A13,1))</f>
        <v>0</v>
      </c>
      <c r="J13" s="3">
        <f>SUMIFS(Daily!$J$2:$J$618,Daily!$A$2:$A$618,"&gt;="&amp;$A13,Daily!$A$2:$A$618,"&lt;"&amp;EDATE($A13,1))</f>
        <v>5180</v>
      </c>
      <c r="K13" s="3">
        <f>SUMIFS(Daily!$K$2:$K$618,Daily!$A$2:$A$618,"&gt;="&amp;$A13,Daily!$A$2:$A$618,"&lt;"&amp;EDATE($A13,1))</f>
        <v>0</v>
      </c>
      <c r="L13" s="3">
        <f>SUMIFS(Daily!$L$2:$L$618,Daily!$A$2:$A$618,"&gt;="&amp;$A13,Daily!$A$2:$A$618,"&lt;"&amp;EDATE($A13,1))</f>
        <v>0</v>
      </c>
      <c r="M13" s="3">
        <f>SUMIFS(Daily!$M$2:$M$618,Daily!$A$2:$A$618,"&gt;="&amp;$A13,Daily!$A$2:$A$618,"&lt;"&amp;EDATE($A13,1))</f>
        <v>106</v>
      </c>
      <c r="N13" s="3">
        <f>SUMIFS(Daily!$N$2:$N$618,Daily!$A$2:$A$618,"&gt;="&amp;$A13,Daily!$A$2:$A$618,"&lt;"&amp;EDATE($A13,1))</f>
        <v>50729</v>
      </c>
      <c r="O13" s="3">
        <f>SUMIFS(Daily!$O$2:$O$618,Daily!$A$2:$A$618,"&gt;="&amp;$A13,Daily!$A$2:$A$618,"&lt;"&amp;EDATE($A13,1))</f>
        <v>0</v>
      </c>
      <c r="P13" s="3">
        <f>SUMIFS(Daily!$P$2:$P$618,Daily!$A$2:$A$618,"&gt;="&amp;$A13,Daily!$A$2:$A$618,"&lt;"&amp;EDATE($A13,1))</f>
        <v>0</v>
      </c>
      <c r="Q13" s="3">
        <f>SUMIFS(Daily!$Q$2:$Q$618,Daily!$A$2:$A$618,"&gt;="&amp;$A13,Daily!$A$2:$A$618,"&lt;"&amp;EDATE($A13,1))</f>
        <v>58</v>
      </c>
      <c r="R13" s="3">
        <f>SUMIFS(Daily!$R$2:$R$618,Daily!$A$2:$A$618,"&gt;="&amp;$A13,Daily!$A$2:$A$618,"&lt;"&amp;EDATE($A13,1))</f>
        <v>7</v>
      </c>
      <c r="S13" s="3">
        <f>SUMIFS(Daily!$S$2:$S$618,Daily!$A$2:$A$618,"&gt;="&amp;$A13,Daily!$A$2:$A$618,"&lt;"&amp;EDATE($A13,1))</f>
        <v>0</v>
      </c>
      <c r="T13" s="3">
        <f t="shared" si="0"/>
        <v>2571783043</v>
      </c>
      <c r="U13" s="3">
        <f t="shared" si="1"/>
        <v>1474706531</v>
      </c>
      <c r="V13" s="8">
        <f t="shared" si="2"/>
        <v>1.3442148426927583</v>
      </c>
    </row>
    <row r="14" spans="1:22" x14ac:dyDescent="0.25">
      <c r="A14" s="5">
        <v>46023</v>
      </c>
      <c r="B14" s="3">
        <f>SUMIFS(Daily!$B$2:$B$618,Daily!$A$2:$A$618,"&gt;="&amp;$A14,Daily!$A$2:$A$618,"&lt;"&amp;EDATE($A14,1))</f>
        <v>887054489</v>
      </c>
      <c r="C14" s="3">
        <f>SUMIFS(Daily!$C$2:$C$618,Daily!$A$2:$A$618,"&gt;="&amp;$A14,Daily!$A$2:$A$618,"&lt;"&amp;EDATE($A14,1))</f>
        <v>748295097</v>
      </c>
      <c r="D14" s="3">
        <f>SUMIFS(Daily!$D$2:$D$618,Daily!$A$2:$A$618,"&gt;="&amp;$A14,Daily!$A$2:$A$618,"&lt;"&amp;EDATE($A14,1))</f>
        <v>0</v>
      </c>
      <c r="E14" s="3">
        <f>SUMIFS(Daily!$E$2:$E$618,Daily!$A$2:$A$618,"&gt;="&amp;$A14,Daily!$A$2:$A$618,"&lt;"&amp;EDATE($A14,1))</f>
        <v>198437838</v>
      </c>
      <c r="F14" s="3">
        <f>SUMIFS(Daily!$F$2:$F$618,Daily!$A$2:$A$618,"&gt;="&amp;$A14,Daily!$A$2:$A$618,"&lt;"&amp;EDATE($A14,1))</f>
        <v>28476</v>
      </c>
      <c r="G14" s="3">
        <f>SUMIFS(Daily!$G$2:$G$618,Daily!$A$2:$A$618,"&gt;="&amp;$A14,Daily!$A$2:$A$618,"&lt;"&amp;EDATE($A14,1))</f>
        <v>0</v>
      </c>
      <c r="H14" s="3">
        <f>SUMIFS(Daily!$H$2:$H$618,Daily!$A$2:$A$618,"&gt;="&amp;$A14,Daily!$A$2:$A$618,"&lt;"&amp;EDATE($A14,1))</f>
        <v>45583</v>
      </c>
      <c r="I14" s="3">
        <f>SUMIFS(Daily!$I$2:$I$618,Daily!$A$2:$A$618,"&gt;="&amp;$A14,Daily!$A$2:$A$618,"&lt;"&amp;EDATE($A14,1))</f>
        <v>0</v>
      </c>
      <c r="J14" s="3">
        <f>SUMIFS(Daily!$J$2:$J$618,Daily!$A$2:$A$618,"&gt;="&amp;$A14,Daily!$A$2:$A$618,"&lt;"&amp;EDATE($A14,1))</f>
        <v>55438</v>
      </c>
      <c r="K14" s="3">
        <f>SUMIFS(Daily!$K$2:$K$618,Daily!$A$2:$A$618,"&gt;="&amp;$A14,Daily!$A$2:$A$618,"&lt;"&amp;EDATE($A14,1))</f>
        <v>10</v>
      </c>
      <c r="L14" s="3">
        <f>SUMIFS(Daily!$L$2:$L$618,Daily!$A$2:$A$618,"&gt;="&amp;$A14,Daily!$A$2:$A$618,"&lt;"&amp;EDATE($A14,1))</f>
        <v>0</v>
      </c>
      <c r="M14" s="3">
        <f>SUMIFS(Daily!$M$2:$M$618,Daily!$A$2:$A$618,"&gt;="&amp;$A14,Daily!$A$2:$A$618,"&lt;"&amp;EDATE($A14,1))</f>
        <v>100</v>
      </c>
      <c r="N14" s="3">
        <f>SUMIFS(Daily!$N$2:$N$618,Daily!$A$2:$A$618,"&gt;="&amp;$A14,Daily!$A$2:$A$618,"&lt;"&amp;EDATE($A14,1))</f>
        <v>30848</v>
      </c>
      <c r="O14" s="3">
        <f>SUMIFS(Daily!$O$2:$O$618,Daily!$A$2:$A$618,"&gt;="&amp;$A14,Daily!$A$2:$A$618,"&lt;"&amp;EDATE($A14,1))</f>
        <v>0</v>
      </c>
      <c r="P14" s="3">
        <f>SUMIFS(Daily!$P$2:$P$618,Daily!$A$2:$A$618,"&gt;="&amp;$A14,Daily!$A$2:$A$618,"&lt;"&amp;EDATE($A14,1))</f>
        <v>0</v>
      </c>
      <c r="Q14" s="3">
        <f>SUMIFS(Daily!$Q$2:$Q$618,Daily!$A$2:$A$618,"&gt;="&amp;$A14,Daily!$A$2:$A$618,"&lt;"&amp;EDATE($A14,1))</f>
        <v>291</v>
      </c>
      <c r="R14" s="3">
        <f>SUMIFS(Daily!$R$2:$R$618,Daily!$A$2:$A$618,"&gt;="&amp;$A14,Daily!$A$2:$A$618,"&lt;"&amp;EDATE($A14,1))</f>
        <v>824</v>
      </c>
      <c r="S14" s="3">
        <f>SUMIFS(Daily!$S$2:$S$618,Daily!$A$2:$A$618,"&gt;="&amp;$A14,Daily!$A$2:$A$618,"&lt;"&amp;EDATE($A14,1))</f>
        <v>0</v>
      </c>
      <c r="T14" s="3">
        <f t="shared" si="0"/>
        <v>1833948994</v>
      </c>
      <c r="U14" s="3">
        <f t="shared" si="1"/>
        <v>-737834049</v>
      </c>
      <c r="V14" s="8">
        <f t="shared" si="2"/>
        <v>-0.28689591488219479</v>
      </c>
    </row>
    <row r="15" spans="1:22" x14ac:dyDescent="0.25">
      <c r="A15" s="5">
        <v>46054</v>
      </c>
      <c r="B15" s="3">
        <f>SUMIFS(Daily!$B$2:$B$618,Daily!$A$2:$A$618,"&gt;="&amp;$A15,Daily!$A$2:$A$618,"&lt;"&amp;EDATE($A15,1))</f>
        <v>699811411</v>
      </c>
      <c r="C15" s="3">
        <f>SUMIFS(Daily!$C$2:$C$618,Daily!$A$2:$A$618,"&gt;="&amp;$A15,Daily!$A$2:$A$618,"&lt;"&amp;EDATE($A15,1))</f>
        <v>505194805</v>
      </c>
      <c r="D15" s="3">
        <f>SUMIFS(Daily!$D$2:$D$618,Daily!$A$2:$A$618,"&gt;="&amp;$A15,Daily!$A$2:$A$618,"&lt;"&amp;EDATE($A15,1))</f>
        <v>0</v>
      </c>
      <c r="E15" s="3">
        <f>SUMIFS(Daily!$E$2:$E$618,Daily!$A$2:$A$618,"&gt;="&amp;$A15,Daily!$A$2:$A$618,"&lt;"&amp;EDATE($A15,1))</f>
        <v>233809897</v>
      </c>
      <c r="F15" s="3">
        <f>SUMIFS(Daily!$F$2:$F$618,Daily!$A$2:$A$618,"&gt;="&amp;$A15,Daily!$A$2:$A$618,"&lt;"&amp;EDATE($A15,1))</f>
        <v>759334</v>
      </c>
      <c r="G15" s="3">
        <f>SUMIFS(Daily!$G$2:$G$618,Daily!$A$2:$A$618,"&gt;="&amp;$A15,Daily!$A$2:$A$618,"&lt;"&amp;EDATE($A15,1))</f>
        <v>188895018</v>
      </c>
      <c r="H15" s="3">
        <f>SUMIFS(Daily!$H$2:$H$618,Daily!$A$2:$A$618,"&gt;="&amp;$A15,Daily!$A$2:$A$618,"&lt;"&amp;EDATE($A15,1))</f>
        <v>231021</v>
      </c>
      <c r="I15" s="3">
        <f>SUMIFS(Daily!$I$2:$I$618,Daily!$A$2:$A$618,"&gt;="&amp;$A15,Daily!$A$2:$A$618,"&lt;"&amp;EDATE($A15,1))</f>
        <v>701</v>
      </c>
      <c r="J15" s="3">
        <f>SUMIFS(Daily!$J$2:$J$618,Daily!$A$2:$A$618,"&gt;="&amp;$A15,Daily!$A$2:$A$618,"&lt;"&amp;EDATE($A15,1))</f>
        <v>0</v>
      </c>
      <c r="K15" s="3">
        <f>SUMIFS(Daily!$K$2:$K$618,Daily!$A$2:$A$618,"&gt;="&amp;$A15,Daily!$A$2:$A$618,"&lt;"&amp;EDATE($A15,1))</f>
        <v>31</v>
      </c>
      <c r="L15" s="3">
        <f>SUMIFS(Daily!$L$2:$L$618,Daily!$A$2:$A$618,"&gt;="&amp;$A15,Daily!$A$2:$A$618,"&lt;"&amp;EDATE($A15,1))</f>
        <v>3553</v>
      </c>
      <c r="M15" s="3">
        <f>SUMIFS(Daily!$M$2:$M$618,Daily!$A$2:$A$618,"&gt;="&amp;$A15,Daily!$A$2:$A$618,"&lt;"&amp;EDATE($A15,1))</f>
        <v>0</v>
      </c>
      <c r="N15" s="3">
        <f>SUMIFS(Daily!$N$2:$N$618,Daily!$A$2:$A$618,"&gt;="&amp;$A15,Daily!$A$2:$A$618,"&lt;"&amp;EDATE($A15,1))</f>
        <v>80848</v>
      </c>
      <c r="O15" s="3">
        <f>SUMIFS(Daily!$O$2:$O$618,Daily!$A$2:$A$618,"&gt;="&amp;$A15,Daily!$A$2:$A$618,"&lt;"&amp;EDATE($A15,1))</f>
        <v>1562</v>
      </c>
      <c r="P15" s="3">
        <f>SUMIFS(Daily!$P$2:$P$618,Daily!$A$2:$A$618,"&gt;="&amp;$A15,Daily!$A$2:$A$618,"&lt;"&amp;EDATE($A15,1))</f>
        <v>0</v>
      </c>
      <c r="Q15" s="3">
        <f>SUMIFS(Daily!$Q$2:$Q$618,Daily!$A$2:$A$618,"&gt;="&amp;$A15,Daily!$A$2:$A$618,"&lt;"&amp;EDATE($A15,1))</f>
        <v>33</v>
      </c>
      <c r="R15" s="3">
        <f>SUMIFS(Daily!$R$2:$R$618,Daily!$A$2:$A$618,"&gt;="&amp;$A15,Daily!$A$2:$A$618,"&lt;"&amp;EDATE($A15,1))</f>
        <v>1884</v>
      </c>
      <c r="S15" s="3">
        <f>SUMIFS(Daily!$S$2:$S$618,Daily!$A$2:$A$618,"&gt;="&amp;$A15,Daily!$A$2:$A$618,"&lt;"&amp;EDATE($A15,1))</f>
        <v>0</v>
      </c>
      <c r="T15" s="3">
        <f t="shared" si="0"/>
        <v>1628790098</v>
      </c>
      <c r="U15" s="3">
        <f t="shared" si="1"/>
        <v>-205158896</v>
      </c>
      <c r="V15" s="8">
        <f t="shared" si="2"/>
        <v>-0.1118672856612718</v>
      </c>
    </row>
    <row r="16" spans="1:22" x14ac:dyDescent="0.25">
      <c r="A16" s="5">
        <v>46082</v>
      </c>
      <c r="B16" s="3">
        <f>SUMIFS(Daily!$B$2:$B$618,Daily!$A$2:$A$618,"&gt;="&amp;$A16,Daily!$A$2:$A$618,"&lt;"&amp;EDATE($A16,1))</f>
        <v>1463628588</v>
      </c>
      <c r="C16" s="3">
        <f>SUMIFS(Daily!$C$2:$C$618,Daily!$A$2:$A$618,"&gt;="&amp;$A16,Daily!$A$2:$A$618,"&lt;"&amp;EDATE($A16,1))</f>
        <v>819743039</v>
      </c>
      <c r="D16" s="3">
        <f>SUMIFS(Daily!$D$2:$D$618,Daily!$A$2:$A$618,"&gt;="&amp;$A16,Daily!$A$2:$A$618,"&lt;"&amp;EDATE($A16,1))</f>
        <v>0</v>
      </c>
      <c r="E16" s="3">
        <f>SUMIFS(Daily!$E$2:$E$618,Daily!$A$2:$A$618,"&gt;="&amp;$A16,Daily!$A$2:$A$618,"&lt;"&amp;EDATE($A16,1))</f>
        <v>600130718</v>
      </c>
      <c r="F16" s="3">
        <f>SUMIFS(Daily!$F$2:$F$618,Daily!$A$2:$A$618,"&gt;="&amp;$A16,Daily!$A$2:$A$618,"&lt;"&amp;EDATE($A16,1))</f>
        <v>50928118</v>
      </c>
      <c r="G16" s="3">
        <f>SUMIFS(Daily!$G$2:$G$618,Daily!$A$2:$A$618,"&gt;="&amp;$A16,Daily!$A$2:$A$618,"&lt;"&amp;EDATE($A16,1))</f>
        <v>19228118</v>
      </c>
      <c r="H16" s="3">
        <f>SUMIFS(Daily!$H$2:$H$618,Daily!$A$2:$A$618,"&gt;="&amp;$A16,Daily!$A$2:$A$618,"&lt;"&amp;EDATE($A16,1))</f>
        <v>218000</v>
      </c>
      <c r="I16" s="3">
        <f>SUMIFS(Daily!$I$2:$I$618,Daily!$A$2:$A$618,"&gt;="&amp;$A16,Daily!$A$2:$A$618,"&lt;"&amp;EDATE($A16,1))</f>
        <v>337394</v>
      </c>
      <c r="J16" s="3">
        <f>SUMIFS(Daily!$J$2:$J$618,Daily!$A$2:$A$618,"&gt;="&amp;$A16,Daily!$A$2:$A$618,"&lt;"&amp;EDATE($A16,1))</f>
        <v>796</v>
      </c>
      <c r="K16" s="3">
        <f>SUMIFS(Daily!$K$2:$K$618,Daily!$A$2:$A$618,"&gt;="&amp;$A16,Daily!$A$2:$A$618,"&lt;"&amp;EDATE($A16,1))</f>
        <v>0</v>
      </c>
      <c r="L16" s="3">
        <f>SUMIFS(Daily!$L$2:$L$618,Daily!$A$2:$A$618,"&gt;="&amp;$A16,Daily!$A$2:$A$618,"&lt;"&amp;EDATE($A16,1))</f>
        <v>5347239</v>
      </c>
      <c r="M16" s="3">
        <f>SUMIFS(Daily!$M$2:$M$618,Daily!$A$2:$A$618,"&gt;="&amp;$A16,Daily!$A$2:$A$618,"&lt;"&amp;EDATE($A16,1))</f>
        <v>2082523</v>
      </c>
      <c r="N16" s="3">
        <f>SUMIFS(Daily!$N$2:$N$618,Daily!$A$2:$A$618,"&gt;="&amp;$A16,Daily!$A$2:$A$618,"&lt;"&amp;EDATE($A16,1))</f>
        <v>435282</v>
      </c>
      <c r="O16" s="3">
        <f>SUMIFS(Daily!$O$2:$O$618,Daily!$A$2:$A$618,"&gt;="&amp;$A16,Daily!$A$2:$A$618,"&lt;"&amp;EDATE($A16,1))</f>
        <v>0</v>
      </c>
      <c r="P16" s="3">
        <f>SUMIFS(Daily!$P$2:$P$618,Daily!$A$2:$A$618,"&gt;="&amp;$A16,Daily!$A$2:$A$618,"&lt;"&amp;EDATE($A16,1))</f>
        <v>0</v>
      </c>
      <c r="Q16" s="3">
        <f>SUMIFS(Daily!$Q$2:$Q$618,Daily!$A$2:$A$618,"&gt;="&amp;$A16,Daily!$A$2:$A$618,"&lt;"&amp;EDATE($A16,1))</f>
        <v>996</v>
      </c>
      <c r="R16" s="3">
        <f>SUMIFS(Daily!$R$2:$R$618,Daily!$A$2:$A$618,"&gt;="&amp;$A16,Daily!$A$2:$A$618,"&lt;"&amp;EDATE($A16,1))</f>
        <v>0</v>
      </c>
      <c r="S16" s="3">
        <f>SUMIFS(Daily!$S$2:$S$618,Daily!$A$2:$A$618,"&gt;="&amp;$A16,Daily!$A$2:$A$618,"&lt;"&amp;EDATE($A16,1))</f>
        <v>0</v>
      </c>
      <c r="T16" s="3">
        <f t="shared" si="0"/>
        <v>2962080811</v>
      </c>
      <c r="U16" s="3">
        <f t="shared" si="1"/>
        <v>1333290713</v>
      </c>
      <c r="V16" s="8">
        <f t="shared" si="2"/>
        <v>0.81857736895451083</v>
      </c>
    </row>
    <row r="17" spans="1:22" x14ac:dyDescent="0.25">
      <c r="A17" s="5">
        <v>46113</v>
      </c>
      <c r="B17" s="3">
        <f>SUMIFS(Daily!$B$2:$B$618,Daily!$A$2:$A$618,"&gt;="&amp;$A17,Daily!$A$2:$A$618,"&lt;"&amp;EDATE($A17,1))</f>
        <v>927468756</v>
      </c>
      <c r="C17" s="3">
        <f>SUMIFS(Daily!$C$2:$C$618,Daily!$A$2:$A$618,"&gt;="&amp;$A17,Daily!$A$2:$A$618,"&lt;"&amp;EDATE($A17,1))</f>
        <v>942762600</v>
      </c>
      <c r="D17" s="3">
        <f>SUMIFS(Daily!$D$2:$D$618,Daily!$A$2:$A$618,"&gt;="&amp;$A17,Daily!$A$2:$A$618,"&lt;"&amp;EDATE($A17,1))</f>
        <v>0</v>
      </c>
      <c r="E17" s="3">
        <f>SUMIFS(Daily!$E$2:$E$618,Daily!$A$2:$A$618,"&gt;="&amp;$A17,Daily!$A$2:$A$618,"&lt;"&amp;EDATE($A17,1))</f>
        <v>371145083</v>
      </c>
      <c r="F17" s="3">
        <f>SUMIFS(Daily!$F$2:$F$618,Daily!$A$2:$A$618,"&gt;="&amp;$A17,Daily!$A$2:$A$618,"&lt;"&amp;EDATE($A17,1))</f>
        <v>452335049</v>
      </c>
      <c r="G17" s="3">
        <f>SUMIFS(Daily!$G$2:$G$618,Daily!$A$2:$A$618,"&gt;="&amp;$A17,Daily!$A$2:$A$618,"&lt;"&amp;EDATE($A17,1))</f>
        <v>13421663</v>
      </c>
      <c r="H17" s="3">
        <f>SUMIFS(Daily!$H$2:$H$618,Daily!$A$2:$A$618,"&gt;="&amp;$A17,Daily!$A$2:$A$618,"&lt;"&amp;EDATE($A17,1))</f>
        <v>453708</v>
      </c>
      <c r="I17" s="3">
        <f>SUMIFS(Daily!$I$2:$I$618,Daily!$A$2:$A$618,"&gt;="&amp;$A17,Daily!$A$2:$A$618,"&lt;"&amp;EDATE($A17,1))</f>
        <v>1324758</v>
      </c>
      <c r="J17" s="3">
        <f>SUMIFS(Daily!$J$2:$J$618,Daily!$A$2:$A$618,"&gt;="&amp;$A17,Daily!$A$2:$A$618,"&lt;"&amp;EDATE($A17,1))</f>
        <v>186</v>
      </c>
      <c r="K17" s="3">
        <f>SUMIFS(Daily!$K$2:$K$618,Daily!$A$2:$A$618,"&gt;="&amp;$A17,Daily!$A$2:$A$618,"&lt;"&amp;EDATE($A17,1))</f>
        <v>0</v>
      </c>
      <c r="L17" s="3">
        <f>SUMIFS(Daily!$L$2:$L$618,Daily!$A$2:$A$618,"&gt;="&amp;$A17,Daily!$A$2:$A$618,"&lt;"&amp;EDATE($A17,1))</f>
        <v>71595</v>
      </c>
      <c r="M17" s="3">
        <f>SUMIFS(Daily!$M$2:$M$618,Daily!$A$2:$A$618,"&gt;="&amp;$A17,Daily!$A$2:$A$618,"&lt;"&amp;EDATE($A17,1))</f>
        <v>11158783</v>
      </c>
      <c r="N17" s="3">
        <f>SUMIFS(Daily!$N$2:$N$618,Daily!$A$2:$A$618,"&gt;="&amp;$A17,Daily!$A$2:$A$618,"&lt;"&amp;EDATE($A17,1))</f>
        <v>322112</v>
      </c>
      <c r="O17" s="3">
        <f>SUMIFS(Daily!$O$2:$O$618,Daily!$A$2:$A$618,"&gt;="&amp;$A17,Daily!$A$2:$A$618,"&lt;"&amp;EDATE($A17,1))</f>
        <v>0</v>
      </c>
      <c r="P17" s="3">
        <f>SUMIFS(Daily!$P$2:$P$618,Daily!$A$2:$A$618,"&gt;="&amp;$A17,Daily!$A$2:$A$618,"&lt;"&amp;EDATE($A17,1))</f>
        <v>0</v>
      </c>
      <c r="Q17" s="3">
        <f>SUMIFS(Daily!$Q$2:$Q$618,Daily!$A$2:$A$618,"&gt;="&amp;$A17,Daily!$A$2:$A$618,"&lt;"&amp;EDATE($A17,1))</f>
        <v>1</v>
      </c>
      <c r="R17" s="3">
        <f>SUMIFS(Daily!$R$2:$R$618,Daily!$A$2:$A$618,"&gt;="&amp;$A17,Daily!$A$2:$A$618,"&lt;"&amp;EDATE($A17,1))</f>
        <v>5432</v>
      </c>
      <c r="S17" s="3">
        <f>SUMIFS(Daily!$S$2:$S$618,Daily!$A$2:$A$618,"&gt;="&amp;$A17,Daily!$A$2:$A$618,"&lt;"&amp;EDATE($A17,1))</f>
        <v>0</v>
      </c>
      <c r="T17" s="3">
        <f t="shared" si="0"/>
        <v>2720469726</v>
      </c>
      <c r="U17" s="3">
        <f t="shared" si="1"/>
        <v>-241611085</v>
      </c>
      <c r="V17" s="8">
        <f t="shared" si="2"/>
        <v>-8.1568026133099325E-2</v>
      </c>
    </row>
    <row r="18" spans="1:22" x14ac:dyDescent="0.25">
      <c r="A18" s="5">
        <v>46143</v>
      </c>
      <c r="B18" s="3">
        <f>SUMIFS(Daily!$B$2:$B$618,Daily!$A$2:$A$618,"&gt;="&amp;$A18,Daily!$A$2:$A$618,"&lt;"&amp;EDATE($A18,1))</f>
        <v>1688192788</v>
      </c>
      <c r="C18" s="3">
        <f>SUMIFS(Daily!$C$2:$C$618,Daily!$A$2:$A$618,"&gt;="&amp;$A18,Daily!$A$2:$A$618,"&lt;"&amp;EDATE($A18,1))</f>
        <v>1408376796</v>
      </c>
      <c r="D18" s="3">
        <f>SUMIFS(Daily!$D$2:$D$618,Daily!$A$2:$A$618,"&gt;="&amp;$A18,Daily!$A$2:$A$618,"&lt;"&amp;EDATE($A18,1))</f>
        <v>0</v>
      </c>
      <c r="E18" s="3">
        <f>SUMIFS(Daily!$E$2:$E$618,Daily!$A$2:$A$618,"&gt;="&amp;$A18,Daily!$A$2:$A$618,"&lt;"&amp;EDATE($A18,1))</f>
        <v>549603723</v>
      </c>
      <c r="F18" s="3">
        <f>SUMIFS(Daily!$F$2:$F$618,Daily!$A$2:$A$618,"&gt;="&amp;$A18,Daily!$A$2:$A$618,"&lt;"&amp;EDATE($A18,1))</f>
        <v>123293378</v>
      </c>
      <c r="G18" s="3">
        <f>SUMIFS(Daily!$G$2:$G$618,Daily!$A$2:$A$618,"&gt;="&amp;$A18,Daily!$A$2:$A$618,"&lt;"&amp;EDATE($A18,1))</f>
        <v>23490283</v>
      </c>
      <c r="H18" s="3">
        <f>SUMIFS(Daily!$H$2:$H$618,Daily!$A$2:$A$618,"&gt;="&amp;$A18,Daily!$A$2:$A$618,"&lt;"&amp;EDATE($A18,1))</f>
        <v>184771</v>
      </c>
      <c r="I18" s="3">
        <f>SUMIFS(Daily!$I$2:$I$618,Daily!$A$2:$A$618,"&gt;="&amp;$A18,Daily!$A$2:$A$618,"&lt;"&amp;EDATE($A18,1))</f>
        <v>1637296</v>
      </c>
      <c r="J18" s="3">
        <f>SUMIFS(Daily!$J$2:$J$618,Daily!$A$2:$A$618,"&gt;="&amp;$A18,Daily!$A$2:$A$618,"&lt;"&amp;EDATE($A18,1))</f>
        <v>0</v>
      </c>
      <c r="K18" s="3">
        <f>SUMIFS(Daily!$K$2:$K$618,Daily!$A$2:$A$618,"&gt;="&amp;$A18,Daily!$A$2:$A$618,"&lt;"&amp;EDATE($A18,1))</f>
        <v>10800417</v>
      </c>
      <c r="L18" s="3">
        <f>SUMIFS(Daily!$L$2:$L$618,Daily!$A$2:$A$618,"&gt;="&amp;$A18,Daily!$A$2:$A$618,"&lt;"&amp;EDATE($A18,1))</f>
        <v>16550</v>
      </c>
      <c r="M18" s="3">
        <f>SUMIFS(Daily!$M$2:$M$618,Daily!$A$2:$A$618,"&gt;="&amp;$A18,Daily!$A$2:$A$618,"&lt;"&amp;EDATE($A18,1))</f>
        <v>918444</v>
      </c>
      <c r="N18" s="3">
        <f>SUMIFS(Daily!$N$2:$N$618,Daily!$A$2:$A$618,"&gt;="&amp;$A18,Daily!$A$2:$A$618,"&lt;"&amp;EDATE($A18,1))</f>
        <v>442557</v>
      </c>
      <c r="O18" s="3">
        <f>SUMIFS(Daily!$O$2:$O$618,Daily!$A$2:$A$618,"&gt;="&amp;$A18,Daily!$A$2:$A$618,"&lt;"&amp;EDATE($A18,1))</f>
        <v>0</v>
      </c>
      <c r="P18" s="3">
        <f>SUMIFS(Daily!$P$2:$P$618,Daily!$A$2:$A$618,"&gt;="&amp;$A18,Daily!$A$2:$A$618,"&lt;"&amp;EDATE($A18,1))</f>
        <v>0</v>
      </c>
      <c r="Q18" s="3">
        <f>SUMIFS(Daily!$Q$2:$Q$618,Daily!$A$2:$A$618,"&gt;="&amp;$A18,Daily!$A$2:$A$618,"&lt;"&amp;EDATE($A18,1))</f>
        <v>2</v>
      </c>
      <c r="R18" s="3">
        <f>SUMIFS(Daily!$R$2:$R$618,Daily!$A$2:$A$618,"&gt;="&amp;$A18,Daily!$A$2:$A$618,"&lt;"&amp;EDATE($A18,1))</f>
        <v>0</v>
      </c>
      <c r="S18" s="3">
        <f>SUMIFS(Daily!$S$2:$S$618,Daily!$A$2:$A$618,"&gt;="&amp;$A18,Daily!$A$2:$A$618,"&lt;"&amp;EDATE($A18,1))</f>
        <v>0</v>
      </c>
      <c r="T18" s="3">
        <f t="shared" si="0"/>
        <v>3806957005</v>
      </c>
      <c r="U18" s="3">
        <f t="shared" si="1"/>
        <v>1086487279</v>
      </c>
      <c r="V18" s="8">
        <f t="shared" si="2"/>
        <v>0.39937488317412728</v>
      </c>
    </row>
    <row r="19" spans="1:22" x14ac:dyDescent="0.25">
      <c r="A19" s="5">
        <v>46174</v>
      </c>
      <c r="B19" s="3">
        <f>SUMIFS(Daily!$B$2:$B$618,Daily!$A$2:$A$618,"&gt;="&amp;$A19,Daily!$A$2:$A$618,"&lt;"&amp;EDATE($A19,1))</f>
        <v>1725647856</v>
      </c>
      <c r="C19" s="3">
        <f>SUMIFS(Daily!$C$2:$C$618,Daily!$A$2:$A$618,"&gt;="&amp;$A19,Daily!$A$2:$A$618,"&lt;"&amp;EDATE($A19,1))</f>
        <v>6438805352</v>
      </c>
      <c r="D19" s="3">
        <f>SUMIFS(Daily!$D$2:$D$618,Daily!$A$2:$A$618,"&gt;="&amp;$A19,Daily!$A$2:$A$618,"&lt;"&amp;EDATE($A19,1))</f>
        <v>12228094</v>
      </c>
      <c r="E19" s="3">
        <f>SUMIFS(Daily!$E$2:$E$618,Daily!$A$2:$A$618,"&gt;="&amp;$A19,Daily!$A$2:$A$618,"&lt;"&amp;EDATE($A19,1))</f>
        <v>573767437</v>
      </c>
      <c r="F19" s="3">
        <f>SUMIFS(Daily!$F$2:$F$618,Daily!$A$2:$A$618,"&gt;="&amp;$A19,Daily!$A$2:$A$618,"&lt;"&amp;EDATE($A19,1))</f>
        <v>219916906</v>
      </c>
      <c r="G19" s="3">
        <f>SUMIFS(Daily!$G$2:$G$618,Daily!$A$2:$A$618,"&gt;="&amp;$A19,Daily!$A$2:$A$618,"&lt;"&amp;EDATE($A19,1))</f>
        <v>193976226</v>
      </c>
      <c r="H19" s="3">
        <f>SUMIFS(Daily!$H$2:$H$618,Daily!$A$2:$A$618,"&gt;="&amp;$A19,Daily!$A$2:$A$618,"&lt;"&amp;EDATE($A19,1))</f>
        <v>231775</v>
      </c>
      <c r="I19" s="3">
        <f>SUMIFS(Daily!$I$2:$I$618,Daily!$A$2:$A$618,"&gt;="&amp;$A19,Daily!$A$2:$A$618,"&lt;"&amp;EDATE($A19,1))</f>
        <v>11881284</v>
      </c>
      <c r="J19" s="3">
        <f>SUMIFS(Daily!$J$2:$J$618,Daily!$A$2:$A$618,"&gt;="&amp;$A19,Daily!$A$2:$A$618,"&lt;"&amp;EDATE($A19,1))</f>
        <v>2</v>
      </c>
      <c r="K19" s="3">
        <f>SUMIFS(Daily!$K$2:$K$618,Daily!$A$2:$A$618,"&gt;="&amp;$A19,Daily!$A$2:$A$618,"&lt;"&amp;EDATE($A19,1))</f>
        <v>19913955</v>
      </c>
      <c r="L19" s="3">
        <f>SUMIFS(Daily!$L$2:$L$618,Daily!$A$2:$A$618,"&gt;="&amp;$A19,Daily!$A$2:$A$618,"&lt;"&amp;EDATE($A19,1))</f>
        <v>1722</v>
      </c>
      <c r="M19" s="3">
        <f>SUMIFS(Daily!$M$2:$M$618,Daily!$A$2:$A$618,"&gt;="&amp;$A19,Daily!$A$2:$A$618,"&lt;"&amp;EDATE($A19,1))</f>
        <v>6767966</v>
      </c>
      <c r="N19" s="3">
        <f>SUMIFS(Daily!$N$2:$N$618,Daily!$A$2:$A$618,"&gt;="&amp;$A19,Daily!$A$2:$A$618,"&lt;"&amp;EDATE($A19,1))</f>
        <v>104360</v>
      </c>
      <c r="O19" s="3">
        <f>SUMIFS(Daily!$O$2:$O$618,Daily!$A$2:$A$618,"&gt;="&amp;$A19,Daily!$A$2:$A$618,"&lt;"&amp;EDATE($A19,1))</f>
        <v>0</v>
      </c>
      <c r="P19" s="3">
        <f>SUMIFS(Daily!$P$2:$P$618,Daily!$A$2:$A$618,"&gt;="&amp;$A19,Daily!$A$2:$A$618,"&lt;"&amp;EDATE($A19,1))</f>
        <v>0</v>
      </c>
      <c r="Q19" s="3">
        <f>SUMIFS(Daily!$Q$2:$Q$618,Daily!$A$2:$A$618,"&gt;="&amp;$A19,Daily!$A$2:$A$618,"&lt;"&amp;EDATE($A19,1))</f>
        <v>1196</v>
      </c>
      <c r="R19" s="3">
        <f>SUMIFS(Daily!$R$2:$R$618,Daily!$A$2:$A$618,"&gt;="&amp;$A19,Daily!$A$2:$A$618,"&lt;"&amp;EDATE($A19,1))</f>
        <v>0</v>
      </c>
      <c r="S19" s="3">
        <f>SUMIFS(Daily!$S$2:$S$618,Daily!$A$2:$A$618,"&gt;="&amp;$A19,Daily!$A$2:$A$618,"&lt;"&amp;EDATE($A19,1))</f>
        <v>0</v>
      </c>
      <c r="T19" s="3">
        <f t="shared" si="0"/>
        <v>9203244131</v>
      </c>
      <c r="U19" s="3">
        <f t="shared" si="1"/>
        <v>5396287126</v>
      </c>
      <c r="V19" s="8">
        <f t="shared" si="2"/>
        <v>1.417480449322805</v>
      </c>
    </row>
    <row r="20" spans="1:22" x14ac:dyDescent="0.25">
      <c r="A20" s="5">
        <v>46204</v>
      </c>
      <c r="B20" s="3">
        <f>SUMIFS(Daily!$B$2:$B$618,Daily!$A$2:$A$618,"&gt;="&amp;$A20,Daily!$A$2:$A$618,"&lt;"&amp;EDATE($A20,1))</f>
        <v>5346211433</v>
      </c>
      <c r="C20" s="3">
        <f>SUMIFS(Daily!$C$2:$C$618,Daily!$A$2:$A$618,"&gt;="&amp;$A20,Daily!$A$2:$A$618,"&lt;"&amp;EDATE($A20,1))</f>
        <v>1726934113</v>
      </c>
      <c r="D20" s="3">
        <f>SUMIFS(Daily!$D$2:$D$618,Daily!$A$2:$A$618,"&gt;="&amp;$A20,Daily!$A$2:$A$618,"&lt;"&amp;EDATE($A20,1))</f>
        <v>1154847687</v>
      </c>
      <c r="E20" s="3">
        <f>SUMIFS(Daily!$E$2:$E$618,Daily!$A$2:$A$618,"&gt;="&amp;$A20,Daily!$A$2:$A$618,"&lt;"&amp;EDATE($A20,1))</f>
        <v>639176157</v>
      </c>
      <c r="F20" s="3">
        <f>SUMIFS(Daily!$F$2:$F$618,Daily!$A$2:$A$618,"&gt;="&amp;$A20,Daily!$A$2:$A$618,"&lt;"&amp;EDATE($A20,1))</f>
        <v>117835231</v>
      </c>
      <c r="G20" s="3">
        <f>SUMIFS(Daily!$G$2:$G$618,Daily!$A$2:$A$618,"&gt;="&amp;$A20,Daily!$A$2:$A$618,"&lt;"&amp;EDATE($A20,1))</f>
        <v>2269473</v>
      </c>
      <c r="H20" s="3">
        <f>SUMIFS(Daily!$H$2:$H$618,Daily!$A$2:$A$618,"&gt;="&amp;$A20,Daily!$A$2:$A$618,"&lt;"&amp;EDATE($A20,1))</f>
        <v>568509</v>
      </c>
      <c r="I20" s="3">
        <f>SUMIFS(Daily!$I$2:$I$618,Daily!$A$2:$A$618,"&gt;="&amp;$A20,Daily!$A$2:$A$618,"&lt;"&amp;EDATE($A20,1))</f>
        <v>2867388</v>
      </c>
      <c r="J20" s="3">
        <f>SUMIFS(Daily!$J$2:$J$618,Daily!$A$2:$A$618,"&gt;="&amp;$A20,Daily!$A$2:$A$618,"&lt;"&amp;EDATE($A20,1))</f>
        <v>0</v>
      </c>
      <c r="K20" s="3">
        <f>SUMIFS(Daily!$K$2:$K$618,Daily!$A$2:$A$618,"&gt;="&amp;$A20,Daily!$A$2:$A$618,"&lt;"&amp;EDATE($A20,1))</f>
        <v>71907</v>
      </c>
      <c r="L20" s="3">
        <f>SUMIFS(Daily!$L$2:$L$618,Daily!$A$2:$A$618,"&gt;="&amp;$A20,Daily!$A$2:$A$618,"&lt;"&amp;EDATE($A20,1))</f>
        <v>0</v>
      </c>
      <c r="M20" s="3">
        <f>SUMIFS(Daily!$M$2:$M$618,Daily!$A$2:$A$618,"&gt;="&amp;$A20,Daily!$A$2:$A$618,"&lt;"&amp;EDATE($A20,1))</f>
        <v>591854</v>
      </c>
      <c r="N20" s="3">
        <f>SUMIFS(Daily!$N$2:$N$618,Daily!$A$2:$A$618,"&gt;="&amp;$A20,Daily!$A$2:$A$618,"&lt;"&amp;EDATE($A20,1))</f>
        <v>627</v>
      </c>
      <c r="O20" s="3">
        <f>SUMIFS(Daily!$O$2:$O$618,Daily!$A$2:$A$618,"&gt;="&amp;$A20,Daily!$A$2:$A$618,"&lt;"&amp;EDATE($A20,1))</f>
        <v>0</v>
      </c>
      <c r="P20" s="3">
        <f>SUMIFS(Daily!$P$2:$P$618,Daily!$A$2:$A$618,"&gt;="&amp;$A20,Daily!$A$2:$A$618,"&lt;"&amp;EDATE($A20,1))</f>
        <v>0</v>
      </c>
      <c r="Q20" s="3">
        <f>SUMIFS(Daily!$Q$2:$Q$618,Daily!$A$2:$A$618,"&gt;="&amp;$A20,Daily!$A$2:$A$618,"&lt;"&amp;EDATE($A20,1))</f>
        <v>149</v>
      </c>
      <c r="R20" s="3">
        <f>SUMIFS(Daily!$R$2:$R$618,Daily!$A$2:$A$618,"&gt;="&amp;$A20,Daily!$A$2:$A$618,"&lt;"&amp;EDATE($A20,1))</f>
        <v>0</v>
      </c>
      <c r="S20" s="3">
        <f>SUMIFS(Daily!$S$2:$S$618,Daily!$A$2:$A$618,"&gt;="&amp;$A20,Daily!$A$2:$A$618,"&lt;"&amp;EDATE($A20,1))</f>
        <v>0</v>
      </c>
      <c r="T20" s="3">
        <f t="shared" si="0"/>
        <v>8991374528</v>
      </c>
      <c r="U20" s="3">
        <f t="shared" si="1"/>
        <v>-211869603</v>
      </c>
      <c r="V20" s="8">
        <f t="shared" si="2"/>
        <v>-2.3021186875434863E-2</v>
      </c>
    </row>
    <row r="21" spans="1:22" x14ac:dyDescent="0.25">
      <c r="A21" s="5">
        <v>46235</v>
      </c>
      <c r="B21" s="3">
        <f>SUMIFS(Daily!$B$2:$B$618,Daily!$A$2:$A$618,"&gt;="&amp;$A21,Daily!$A$2:$A$618,"&lt;"&amp;EDATE($A21,1))</f>
        <v>28065325370</v>
      </c>
      <c r="C21" s="3">
        <f>SUMIFS(Daily!$C$2:$C$618,Daily!$A$2:$A$618,"&gt;="&amp;$A21,Daily!$A$2:$A$618,"&lt;"&amp;EDATE($A21,1))</f>
        <v>2025899004</v>
      </c>
      <c r="D21" s="3">
        <f>SUMIFS(Daily!$D$2:$D$618,Daily!$A$2:$A$618,"&gt;="&amp;$A21,Daily!$A$2:$A$618,"&lt;"&amp;EDATE($A21,1))</f>
        <v>5010104425</v>
      </c>
      <c r="E21" s="3">
        <f>SUMIFS(Daily!$E$2:$E$618,Daily!$A$2:$A$618,"&gt;="&amp;$A21,Daily!$A$2:$A$618,"&lt;"&amp;EDATE($A21,1))</f>
        <v>383476433</v>
      </c>
      <c r="F21" s="3">
        <f>SUMIFS(Daily!$F$2:$F$618,Daily!$A$2:$A$618,"&gt;="&amp;$A21,Daily!$A$2:$A$618,"&lt;"&amp;EDATE($A21,1))</f>
        <v>140805999</v>
      </c>
      <c r="G21" s="3">
        <f>SUMIFS(Daily!$G$2:$G$618,Daily!$A$2:$A$618,"&gt;="&amp;$A21,Daily!$A$2:$A$618,"&lt;"&amp;EDATE($A21,1))</f>
        <v>53383622</v>
      </c>
      <c r="H21" s="3">
        <f>SUMIFS(Daily!$H$2:$H$618,Daily!$A$2:$A$618,"&gt;="&amp;$A21,Daily!$A$2:$A$618,"&lt;"&amp;EDATE($A21,1))</f>
        <v>2202757</v>
      </c>
      <c r="I21" s="3">
        <f>SUMIFS(Daily!$I$2:$I$618,Daily!$A$2:$A$618,"&gt;="&amp;$A21,Daily!$A$2:$A$618,"&lt;"&amp;EDATE($A21,1))</f>
        <v>5565825</v>
      </c>
      <c r="J21" s="3">
        <f>SUMIFS(Daily!$J$2:$J$618,Daily!$A$2:$A$618,"&gt;="&amp;$A21,Daily!$A$2:$A$618,"&lt;"&amp;EDATE($A21,1))</f>
        <v>9483</v>
      </c>
      <c r="K21" s="3">
        <f>SUMIFS(Daily!$K$2:$K$618,Daily!$A$2:$A$618,"&gt;="&amp;$A21,Daily!$A$2:$A$618,"&lt;"&amp;EDATE($A21,1))</f>
        <v>14137955</v>
      </c>
      <c r="L21" s="3">
        <f>SUMIFS(Daily!$L$2:$L$618,Daily!$A$2:$A$618,"&gt;="&amp;$A21,Daily!$A$2:$A$618,"&lt;"&amp;EDATE($A21,1))</f>
        <v>191570</v>
      </c>
      <c r="M21" s="3">
        <f>SUMIFS(Daily!$M$2:$M$618,Daily!$A$2:$A$618,"&gt;="&amp;$A21,Daily!$A$2:$A$618,"&lt;"&amp;EDATE($A21,1))</f>
        <v>1792001</v>
      </c>
      <c r="N21" s="3">
        <f>SUMIFS(Daily!$N$2:$N$618,Daily!$A$2:$A$618,"&gt;="&amp;$A21,Daily!$A$2:$A$618,"&lt;"&amp;EDATE($A21,1))</f>
        <v>2601</v>
      </c>
      <c r="O21" s="3">
        <f>SUMIFS(Daily!$O$2:$O$618,Daily!$A$2:$A$618,"&gt;="&amp;$A21,Daily!$A$2:$A$618,"&lt;"&amp;EDATE($A21,1))</f>
        <v>0</v>
      </c>
      <c r="P21" s="3">
        <f>SUMIFS(Daily!$P$2:$P$618,Daily!$A$2:$A$618,"&gt;="&amp;$A21,Daily!$A$2:$A$618,"&lt;"&amp;EDATE($A21,1))</f>
        <v>0</v>
      </c>
      <c r="Q21" s="3">
        <f>SUMIFS(Daily!$Q$2:$Q$618,Daily!$A$2:$A$618,"&gt;="&amp;$A21,Daily!$A$2:$A$618,"&lt;"&amp;EDATE($A21,1))</f>
        <v>2102</v>
      </c>
      <c r="R21" s="3">
        <f>SUMIFS(Daily!$R$2:$R$618,Daily!$A$2:$A$618,"&gt;="&amp;$A21,Daily!$A$2:$A$618,"&lt;"&amp;EDATE($A21,1))</f>
        <v>0</v>
      </c>
      <c r="S21" s="3">
        <f>SUMIFS(Daily!$S$2:$S$618,Daily!$A$2:$A$618,"&gt;="&amp;$A21,Daily!$A$2:$A$618,"&lt;"&amp;EDATE($A21,1))</f>
        <v>20</v>
      </c>
      <c r="T21" s="3">
        <f t="shared" si="0"/>
        <v>35702899167</v>
      </c>
      <c r="U21" s="3">
        <f t="shared" si="1"/>
        <v>26711524639</v>
      </c>
      <c r="V21" s="8">
        <f t="shared" si="2"/>
        <v>2.9707943491640525</v>
      </c>
    </row>
    <row r="22" spans="1:22" x14ac:dyDescent="0.25">
      <c r="A22" s="9">
        <v>46266</v>
      </c>
      <c r="B22" s="3">
        <f>SUMIFS(Daily!$B$2:$B$618,Daily!$A$2:$A$618,"&gt;="&amp;$A22,Daily!$A$2:$A$618,"&lt;"&amp;EDATE($A22,1))</f>
        <v>4571125234</v>
      </c>
      <c r="C22" s="3">
        <f>SUMIFS(Daily!$C$2:$C$618,Daily!$A$2:$A$618,"&gt;="&amp;$A22,Daily!$A$2:$A$618,"&lt;"&amp;EDATE($A22,1))</f>
        <v>1214704218</v>
      </c>
      <c r="D22" s="3">
        <f>SUMIFS(Daily!$D$2:$D$618,Daily!$A$2:$A$618,"&gt;="&amp;$A22,Daily!$A$2:$A$618,"&lt;"&amp;EDATE($A22,1))</f>
        <v>7652690769</v>
      </c>
      <c r="E22" s="3">
        <f>SUMIFS(Daily!$E$2:$E$618,Daily!$A$2:$A$618,"&gt;="&amp;$A22,Daily!$A$2:$A$618,"&lt;"&amp;EDATE($A22,1))</f>
        <v>194388518</v>
      </c>
      <c r="F22" s="3">
        <f>SUMIFS(Daily!$F$2:$F$618,Daily!$A$2:$A$618,"&gt;="&amp;$A22,Daily!$A$2:$A$618,"&lt;"&amp;EDATE($A22,1))</f>
        <v>65880711</v>
      </c>
      <c r="G22" s="3">
        <f>SUMIFS(Daily!$G$2:$G$618,Daily!$A$2:$A$618,"&gt;="&amp;$A22,Daily!$A$2:$A$618,"&lt;"&amp;EDATE($A22,1))</f>
        <v>2244275</v>
      </c>
      <c r="H22" s="3">
        <f>SUMIFS(Daily!$H$2:$H$618,Daily!$A$2:$A$618,"&gt;="&amp;$A22,Daily!$A$2:$A$618,"&lt;"&amp;EDATE($A22,1))</f>
        <v>211744736</v>
      </c>
      <c r="I22" s="3">
        <f>SUMIFS(Daily!$I$2:$I$618,Daily!$A$2:$A$618,"&gt;="&amp;$A22,Daily!$A$2:$A$618,"&lt;"&amp;EDATE($A22,1))</f>
        <v>39591598</v>
      </c>
      <c r="J22" s="3">
        <f>SUMIFS(Daily!$J$2:$J$618,Daily!$A$2:$A$618,"&gt;="&amp;$A22,Daily!$A$2:$A$618,"&lt;"&amp;EDATE($A22,1))</f>
        <v>1</v>
      </c>
      <c r="K22" s="3">
        <f>SUMIFS(Daily!$K$2:$K$618,Daily!$A$2:$A$618,"&gt;="&amp;$A22,Daily!$A$2:$A$618,"&lt;"&amp;EDATE($A22,1))</f>
        <v>3035469</v>
      </c>
      <c r="L22" s="3">
        <f>SUMIFS(Daily!$L$2:$L$618,Daily!$A$2:$A$618,"&gt;="&amp;$A22,Daily!$A$2:$A$618,"&lt;"&amp;EDATE($A22,1))</f>
        <v>0</v>
      </c>
      <c r="M22" s="3">
        <f>SUMIFS(Daily!$M$2:$M$618,Daily!$A$2:$A$618,"&gt;="&amp;$A22,Daily!$A$2:$A$618,"&lt;"&amp;EDATE($A22,1))</f>
        <v>177638</v>
      </c>
      <c r="N22" s="3">
        <f>SUMIFS(Daily!$N$2:$N$618,Daily!$A$2:$A$618,"&gt;="&amp;$A22,Daily!$A$2:$A$618,"&lt;"&amp;EDATE($A22,1))</f>
        <v>11684</v>
      </c>
      <c r="O22" s="3">
        <f>SUMIFS(Daily!$O$2:$O$618,Daily!$A$2:$A$618,"&gt;="&amp;$A22,Daily!$A$2:$A$618,"&lt;"&amp;EDATE($A22,1))</f>
        <v>0</v>
      </c>
      <c r="P22" s="3">
        <f>SUMIFS(Daily!$P$2:$P$618,Daily!$A$2:$A$618,"&gt;="&amp;$A22,Daily!$A$2:$A$618,"&lt;"&amp;EDATE($A22,1))</f>
        <v>69761</v>
      </c>
      <c r="Q22" s="3">
        <f>SUMIFS(Daily!$Q$2:$Q$618,Daily!$A$2:$A$618,"&gt;="&amp;$A22,Daily!$A$2:$A$618,"&lt;"&amp;EDATE($A22,1))</f>
        <v>23</v>
      </c>
      <c r="R22" s="3">
        <f>SUMIFS(Daily!$R$2:$R$618,Daily!$A$2:$A$618,"&gt;="&amp;$A22,Daily!$A$2:$A$618,"&lt;"&amp;EDATE($A22,1))</f>
        <v>0</v>
      </c>
      <c r="S22" s="3">
        <f>SUMIFS(Daily!$S$2:$S$618,Daily!$A$2:$A$618,"&gt;="&amp;$A22,Daily!$A$2:$A$618,"&lt;"&amp;EDATE($A22,1))</f>
        <v>21</v>
      </c>
      <c r="T22" s="3">
        <f t="shared" si="0"/>
        <v>13955664656</v>
      </c>
      <c r="U22" s="3">
        <f t="shared" si="1"/>
        <v>-21747234511</v>
      </c>
      <c r="V22" s="8">
        <f t="shared" si="2"/>
        <v>-0.60911676694034012</v>
      </c>
    </row>
    <row r="24" spans="1:22" x14ac:dyDescent="0.25">
      <c r="A24" s="4" t="s">
        <v>26</v>
      </c>
    </row>
    <row r="25" spans="1:22" x14ac:dyDescent="0.25">
      <c r="A25" s="10" t="s">
        <v>27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2026-09-11T04:37:35Z</dcterms:created>
  <dcterms:modified xsi:type="dcterms:W3CDTF">2026-09-11T04:38:01Z</dcterms:modified>
</cp:coreProperties>
</file>