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1201067fc29930/Desktop/Codex folder/India Power/"/>
    </mc:Choice>
  </mc:AlternateContent>
  <xr:revisionPtr revIDLastSave="0" documentId="11_294D125716DE5034FC4754145210D6BEDC6C23BD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dani_Entities" sheetId="1" r:id="rId1"/>
  </sheets>
  <definedNames>
    <definedName name="_xlnm._FilterDatabase" localSheetId="0" hidden="1">Adani_Entities!$A$5:$L$28</definedName>
  </definedNames>
  <calcPr calcId="191029"/>
</workbook>
</file>

<file path=xl/calcChain.xml><?xml version="1.0" encoding="utf-8"?>
<calcChain xmlns="http://schemas.openxmlformats.org/spreadsheetml/2006/main">
  <c r="H43" i="1" l="1"/>
  <c r="G43" i="1"/>
  <c r="F43" i="1"/>
  <c r="H42" i="1"/>
  <c r="G42" i="1"/>
  <c r="F42" i="1"/>
  <c r="H41" i="1"/>
  <c r="G41" i="1"/>
  <c r="F41" i="1"/>
  <c r="H40" i="1"/>
  <c r="G40" i="1"/>
  <c r="F40" i="1"/>
  <c r="H39" i="1"/>
  <c r="G39" i="1"/>
  <c r="F39" i="1"/>
  <c r="H34" i="1"/>
  <c r="G34" i="1"/>
  <c r="F34" i="1"/>
  <c r="I34" i="1" s="1"/>
  <c r="H33" i="1"/>
  <c r="G33" i="1"/>
  <c r="F33" i="1"/>
  <c r="I33" i="1" s="1"/>
  <c r="H32" i="1"/>
  <c r="G32" i="1"/>
  <c r="F32" i="1"/>
  <c r="I32" i="1" s="1"/>
  <c r="H31" i="1"/>
  <c r="G31" i="1"/>
  <c r="F31" i="1"/>
  <c r="I31" i="1" s="1"/>
</calcChain>
</file>

<file path=xl/sharedStrings.xml><?xml version="1.0" encoding="utf-8"?>
<sst xmlns="http://schemas.openxmlformats.org/spreadsheetml/2006/main" count="228" uniqueCount="119">
  <si>
    <t>Adani Group entities in the data-centre power datasets - ownership link, data source, state and power</t>
  </si>
  <si>
    <t>Sources: CTUIL GNA register (bulk-consumer applications, live only; 19-Oct-2026) and the state-level dataset (Backup_All_States). Approved = GNA approved / permit or govt approval granted / operating. Under process = application pending or under construction. LoI / MoU = contracted, MoU, LoI or announced only. MW bases differ (CTUIL grid MW vs IT MW in state data) - do not add CTUIL and overlapping state rows.</t>
  </si>
  <si>
    <t>Link type: Direct = the Adani company itself; Indirect - subsidiary = 100% owned by an Adani company (ownership confirmed in exchange filing / press); Indirect - inferred = Adani link from addresses, project codes or press, parent not disclosed.</t>
  </si>
  <si>
    <t>Company (as filed)</t>
  </si>
  <si>
    <t>Direct / indirect link</t>
  </si>
  <si>
    <t>Related Adani company (listed / unlisted)</t>
  </si>
  <si>
    <t>Data source</t>
  </si>
  <si>
    <t>State</t>
  </si>
  <si>
    <t>Approved (MW)</t>
  </si>
  <si>
    <t>Under process (MW)</t>
  </si>
  <si>
    <t>LoI / MoU (MW)</t>
  </si>
  <si>
    <t>Site / basis</t>
  </si>
  <si>
    <t>Overlap / notes</t>
  </si>
  <si>
    <t>Ownership basis</t>
  </si>
  <si>
    <t>Ownership source</t>
  </si>
  <si>
    <t>Support Properties Pvt Ltd</t>
  </si>
  <si>
    <t>Indirect - subsidiary</t>
  </si>
  <si>
    <t>AdaniConneX Pvt Ltd (unlisted 50:50 JV of Adani Enterprises Ltd (LISTED) &amp; EdgeConneX)</t>
  </si>
  <si>
    <t>CTUIL</t>
  </si>
  <si>
    <t>Maharashtra</t>
  </si>
  <si>
    <t>17 GNA applications at 400KV Power Grid Navi Mumbai</t>
  </si>
  <si>
    <t>100% bought by AdaniConneX from Adani Power (Mar-2023)</t>
  </si>
  <si>
    <t>https://www.business-standard.com/amp/article/companies/adani-power-sells-support-properties-stake-to-adaniconnex-for-rs-1-556-cr-123032301331_1.html</t>
  </si>
  <si>
    <t>State data</t>
  </si>
  <si>
    <t>A-GEN-4 TTC Rabale/Ghansoli - MPCB CTE Feb-2024; SEIAA EC expansion on agenda (tier A1)</t>
  </si>
  <si>
    <t>OVERLAPS CTUIL: Support Properties 1,468 MW APPROVED at 400 kV Navi Mumbai (GIS); excluded from state charts</t>
  </si>
  <si>
    <t>Granthik Realtors Pvt Ltd</t>
  </si>
  <si>
    <t>Telangana</t>
  </si>
  <si>
    <t>3 GNA applications at Power Grid Maheswaram Substation; Power Grid Maheswaran Substation</t>
  </si>
  <si>
    <t>100% bought by AdaniConneX from Windson Projects LLP (26-Jun-2025, Rs 86 cr)</t>
  </si>
  <si>
    <t>https://www.business-standard.com/markets/capital-market-news/adani-enterprises-gains-after-adaniconnex-completes-acquisition-of-granthik-realtors-125062700303_1.html</t>
  </si>
  <si>
    <t>Giridhari Build Estate Ltd</t>
  </si>
  <si>
    <t>8 GNA applications at LILO of 765kV Bidar PS- Maheshwaram TL; Power Grid Maheswaram Substation; Power Grid Maheswaran Substation</t>
  </si>
  <si>
    <t>100% bought by AdaniConneX (31-Dec-2025, Rs 367 cr)</t>
  </si>
  <si>
    <t>https://www.businessworld.in/article/adani-enterprises-jv-adaniconnex-completes-acquisition-of-giridhari-build-estate-585595</t>
  </si>
  <si>
    <t>Madhuvanti Build Estate Ltd</t>
  </si>
  <si>
    <t>5 GNA applications at LILO of 400kV Doma-Kethireddypally</t>
  </si>
  <si>
    <t>100% bought by AdaniConneX from Adani Infra (India) (11-Jun-2026, Rs 765 cr)</t>
  </si>
  <si>
    <t>https://www.angelone.in/news/stocks/adani-enterprises-announces-765-25-crore-acquisition-of-madhuvanti-build-estate</t>
  </si>
  <si>
    <t>Chandenvalle Infra Park Ltd</t>
  </si>
  <si>
    <t>100% bought by AdaniConneX from Adani Power Ltd (LISTED) (Aug-2026, Rs 536 cr)</t>
  </si>
  <si>
    <t>https://www.sahi.com/news/adani-enterprises-jv-adaniconnex-buys-chandenvalle-infra-park-stake-for-535-69-crore-1645-PE1_COR</t>
  </si>
  <si>
    <t>AdaniConneX Pvt Ltd</t>
  </si>
  <si>
    <t>Direct</t>
  </si>
  <si>
    <t>Andhra Pradesh</t>
  </si>
  <si>
    <t>Madhurawada (130 acres) - Land allotted (2021 GOs, per registry) (tier D)</t>
  </si>
  <si>
    <t>Adani Enterprises' data-centre JV (AEL deck lists its sites)</t>
  </si>
  <si>
    <t>https://www.adanienterprises.com/-/media/Project/Enterprises/Investors/Investor-Downloads/Results-Presentations/AEL_Investor_Presentation.pdf</t>
  </si>
  <si>
    <t>Taloja campus - Contracted; no permit found yet (tier C)</t>
  </si>
  <si>
    <t>May overlap CTUIL: Adani Infra 10 x 50 MW at LILO of 400 kV Padghe-Kharghar (under process)</t>
  </si>
  <si>
    <t>Tamil Nadu</t>
  </si>
  <si>
    <t>Chennai - 17 MW operating; 33 MW total (AEL deck) (tier B)</t>
  </si>
  <si>
    <t>Hyderabad - 19.2 MW operating; 406 MW planned (AEL Q1 FY27 deck) (tier B)</t>
  </si>
  <si>
    <t>May overlap CTUIL: Adani-mapped SPVs at Maheshwaram/Doma (2.4 GW, under process)</t>
  </si>
  <si>
    <t>Adani Enterprises Ltd</t>
  </si>
  <si>
    <t>Adani Enterprises Ltd (LISTED)</t>
  </si>
  <si>
    <t>Uttar Pradesh</t>
  </si>
  <si>
    <t>Noida - Dashboard: 35 MW commercialised of 100 MW (tier A1)</t>
  </si>
  <si>
    <t>Named in UP data-centre policy dashboard (Projects 1 &amp; 2); likely AdaniConneX Noida</t>
  </si>
  <si>
    <t>https://uplc.up.gov.in/en/page/uttar-pradesh-data-center-policy</t>
  </si>
  <si>
    <t>Mundra Petrochem Ltd</t>
  </si>
  <si>
    <t>Gujarat</t>
  </si>
  <si>
    <t>1 GNA applications at Navinal</t>
  </si>
  <si>
    <t>NOT a data centre (PVC complex) - remove for DC-only totals</t>
  </si>
  <si>
    <t>Wholly owned step-down subsidiary of AEL (EC compliance filings). NOT a data centre - coal-to-PVC complex at Mundra</t>
  </si>
  <si>
    <t>https://www.adanienterprises.com/-/media/Project/Enterprises/Downloads/Green-PVC-Environment-Clearance-and-Compliances/Six-Monthly-EC-Compliance-Report--PVC-project--Industry--1--April-2024-to-September-2024.pdf</t>
  </si>
  <si>
    <t>Adani Infra (India) Ltd</t>
  </si>
  <si>
    <t>Adani Infra (India) Ltd (UNLISTED promoter-group co; not under a listed Adani co)</t>
  </si>
  <si>
    <t>1 GNA applications at VATAMAN</t>
  </si>
  <si>
    <t>Promoter-group infrastructure holding co; seller of Madhuvanti to AdaniConneX</t>
  </si>
  <si>
    <t>10 GNA applications at LILO of 400kV Padghe-Kharghar</t>
  </si>
  <si>
    <t>Vizag Mega Data Center Park Ltd</t>
  </si>
  <si>
    <t>11 GNA applications at Gajuwaka Substation; Gazuwaka Substation; Pendurthi; Pendurthi Substation</t>
  </si>
  <si>
    <t>One of three SPVs 'fully owned by Adani Infra (India)' holding the Google (Raiden) Vizag land</t>
  </si>
  <si>
    <t>https://theprint.in/judiciary/google-adanis-vizag-data-centre-cluster-andhra-argues-public-interest-to-defend-allotment-sans-auction/3042456/</t>
  </si>
  <si>
    <t>Tarluvada (for Google) - SEIAA EC granted 18-04-2026 (tier A2)</t>
  </si>
  <si>
    <t>OVERLAPS CTUIL: CTUIL 929 MW (11 apps, under process)</t>
  </si>
  <si>
    <t>Vizag Rambilli Data Center Park Ltd</t>
  </si>
  <si>
    <t>8 GNA applications at Gajuwaka Substation; Pendurthi Substation</t>
  </si>
  <si>
    <t>As above (Google / Raiden infra partner SPV)</t>
  </si>
  <si>
    <t>Rambilli (for Google) - SEIAA EC granted 18-04-2026 (tier A2)</t>
  </si>
  <si>
    <t>OVERLAPS CTUIL: CTUIL 697 MW (8 apps, under process)</t>
  </si>
  <si>
    <t>Vizag Hyperscale Data Center Park Ltd</t>
  </si>
  <si>
    <t>8 GNA applications at Gajuwaka Substation; Pendurathi Substation; Pendurthi Substation</t>
  </si>
  <si>
    <t>Adavivaram-Mudasarlova (for Google) - SEIAA EC Jun-2026 + APPCB CTE 14-07-2026 (tier A2)</t>
  </si>
  <si>
    <t>Blueparrot Pedestal Ltd</t>
  </si>
  <si>
    <t>Indirect - subsidiary (aggregator only)</t>
  </si>
  <si>
    <t>26 GNA applications at LILO of 765kV Halvad-Vataman line</t>
  </si>
  <si>
    <t>Listed as 100% subsidiary of Adani Infra (India) in EMIS company profile (aggregator - confirm via MCA). End use not stated</t>
  </si>
  <si>
    <t>https://www.emis.com/php/company-profile/IN/Adani_Infra__India__Limited_en_3413955.html</t>
  </si>
  <si>
    <t>Pune Data Center Ltd</t>
  </si>
  <si>
    <t>Indirect - inferred</t>
  </si>
  <si>
    <t>Parent not disclosed (likely AdaniConneX - 'ACX' project codes)</t>
  </si>
  <si>
    <t>ACXPNQ26 / PNQ04, Bhosari, Pune (Microsoft site) - EC granted 22-07-2025 (517762/2025); expansion referred back Feb-2026 (tier A1)</t>
  </si>
  <si>
    <t>SEIAA minutes: regd office Adani Corporate House, Ahmedabad; EC transferred from Microsoft 28-11-2024</t>
  </si>
  <si>
    <t>https://environmentclearance.nic.in/writereaddata/FormB/agenda/2302202697285484%28921161%29MINUTESOF319DAY-5PART-B.pdf</t>
  </si>
  <si>
    <t>High Density Data Centre Ltd</t>
  </si>
  <si>
    <t>Parent not disclosed ('a unit of Adani Group')</t>
  </si>
  <si>
    <t>Odisha</t>
  </si>
  <si>
    <t>Naraj (~250 acres) - HLCA approval (CM-chaired) (tier A2)</t>
  </si>
  <si>
    <t>Press: 'unit of India's Adani Group' (Odisha HLCA approval, Sep-2026)</t>
  </si>
  <si>
    <t>https://www.businessworld.in/article/adani-arm-gets-odisha-nod-for-rs-1-04-lakh-cr-data-centre-park-625673</t>
  </si>
  <si>
    <t>Totals (MW)</t>
  </si>
  <si>
    <t>CTUIL - all Adani-mapped</t>
  </si>
  <si>
    <t>CTUIL - excluding Mundra Petrochem (non-DC)</t>
  </si>
  <si>
    <t>State data - all Adani rows</t>
  </si>
  <si>
    <t>State data - not overlapping CTUIL</t>
  </si>
  <si>
    <t>Column I on the total rows = approved + under process + LoI. Adding 'CTUIL excl. Mundra' and 'State data not overlapping CTUIL' gives a combined DC view, but it mixes grid MW and IT MW.</t>
  </si>
  <si>
    <t>By related Adani company (MW, all sources, excl. overlapping state rows)</t>
  </si>
  <si>
    <t>Related Adani company</t>
  </si>
  <si>
    <t>Approved</t>
  </si>
  <si>
    <t>Under process</t>
  </si>
  <si>
    <t>LoI / MoU</t>
  </si>
  <si>
    <t>Key observations</t>
  </si>
  <si>
    <t>1) Pattern: data-centre land / grid SPVs are often first held by unlisted Adani Infra (India) or by Adani Power, then moved into AdaniConneX (the listed Adani Enterprises' JV): Support Properties (Adani Power -&gt; ACX, 2023), Madhuvanti (Adani Infra -&gt; ACX, Jun-2026), Chandenvalle (Adani Power -&gt; ACX, Aug-2026).</t>
  </si>
  <si>
    <t>2) Still outside the listed perimeter: the three Vizag SPVs (2,323 MW CTUIL, Google/Raiden infra partner) and Blueparrot Pedestal (2,080 MW CTUIL, Gujarat) sit under unlisted Adani Infra (India) - candidates for a future transfer to AdaniConneX / AEL.</t>
  </si>
  <si>
    <t>3) Mundra Petrochem (1,140 MW approved) is Adani's coal-to-PVC complex, not a data centre - exclude it from DC totals.</t>
  </si>
  <si>
    <t>4) Blueparrot's parent is from an aggregator (EMIS) and its end use is not stated anywhere - treat as Adani-linked bulk load, DC use unconfirmed. Pune Data Center Ltd and High Density Data Centre Ltd parents are not disclosed.</t>
  </si>
  <si>
    <t>5) In the v3 dataset, row P035 described Support Properties as 'K Raheja Corp group' - that is wrong; it has been an AdaniConneX subsidiary since Mar-2023 (corrected).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</si>
</sst>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&quot;-&quot;"/>
  </numFmts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name val="Arial"/>
    </font>
    <font>
      <b/>
      <sz val="10"/>
      <color rgb="FFFFFFFF"/>
      <name val="Arial"/>
    </font>
    <font>
      <sz val="9"/>
      <name val="Arial"/>
    </font>
    <font>
      <u/>
      <sz val="9"/>
      <color rgb="FF0563C1"/>
      <name val="Arial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0" borderId="0" xfId="0" applyFont="1"/>
    <xf numFmtId="164" fontId="6" fillId="0" borderId="1" xfId="0" applyNumberFormat="1" applyFont="1" applyBorder="1"/>
    <xf numFmtId="164" fontId="6" fillId="0" borderId="0" xfId="0" applyNumberFormat="1" applyFont="1"/>
    <xf numFmtId="0" fontId="2" fillId="0" borderId="0" xfId="0" applyFont="1"/>
    <xf numFmtId="0" fontId="3" fillId="2" borderId="1" xfId="0" applyFont="1" applyFill="1" applyBorder="1"/>
    <xf numFmtId="164" fontId="4" fillId="0" borderId="1" xfId="0" applyNumberFormat="1" applyFont="1" applyBorder="1"/>
    <xf numFmtId="0" fontId="4" fillId="0" borderId="0" xfId="0" applyFont="1" applyAlignment="1">
      <alignment vertical="top" wrapText="1"/>
    </xf>
    <xf numFmtId="0" fontId="0" fillId="0" borderId="0" xfId="0"/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13" Type="http://schemas.openxmlformats.org/officeDocument/2006/relationships/hyperlink" Target="https://www.angelone.in/news/stocks/adani-enterprises-announces-765-25-crore-acquisition-of-madhuvanti-build-estate" TargetMode="External"/><Relationship Id="rId18" Type="http://schemas.openxmlformats.org/officeDocument/2006/relationships/hyperlink" Target="https://theprint.in/judiciary/google-adanis-vizag-data-centre-cluster-andhra-argues-public-interest-to-defend-allotment-sans-auction/3042456/" TargetMode="External"/><Relationship Id="rId3" Type="http://schemas.openxmlformats.org/officeDocument/2006/relationships/hyperlink" Target="https://www.business-standard.com/markets/capital-market-news/adani-enterprises-gains-after-adaniconnex-completes-acquisition-of-granthik-realtors-125062700303_1.html" TargetMode="External"/><Relationship Id="rId21" Type="http://schemas.openxmlformats.org/officeDocument/2006/relationships/hyperlink" Target="https://www.emis.com/php/company-profile/IN/Adani_Infra__India__Limited_en_3413955.html" TargetMode="External"/><Relationship Id="rId7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12" Type="http://schemas.openxmlformats.org/officeDocument/2006/relationships/hyperlink" Target="https://www.adanienterprises.com/-/media/Project/Enterprises/Downloads/Green-PVC-Environment-Clearance-and-Compliances/Six-Monthly-EC-Compliance-Report--PVC-project--Industry--1--April-2024-to-September-2024.pdf" TargetMode="External"/><Relationship Id="rId17" Type="http://schemas.openxmlformats.org/officeDocument/2006/relationships/hyperlink" Target="https://theprint.in/judiciary/google-adanis-vizag-data-centre-cluster-andhra-argues-public-interest-to-defend-allotment-sans-auction/3042456/" TargetMode="External"/><Relationship Id="rId2" Type="http://schemas.openxmlformats.org/officeDocument/2006/relationships/hyperlink" Target="https://www.business-standard.com/amp/article/companies/adani-power-sells-support-properties-stake-to-adaniconnex-for-rs-1-556-cr-123032301331_1.html" TargetMode="External"/><Relationship Id="rId16" Type="http://schemas.openxmlformats.org/officeDocument/2006/relationships/hyperlink" Target="https://theprint.in/judiciary/google-adanis-vizag-data-centre-cluster-andhra-argues-public-interest-to-defend-allotment-sans-auction/3042456/" TargetMode="External"/><Relationship Id="rId20" Type="http://schemas.openxmlformats.org/officeDocument/2006/relationships/hyperlink" Target="https://theprint.in/judiciary/google-adanis-vizag-data-centre-cluster-andhra-argues-public-interest-to-defend-allotment-sans-auction/3042456/" TargetMode="External"/><Relationship Id="rId1" Type="http://schemas.openxmlformats.org/officeDocument/2006/relationships/hyperlink" Target="https://www.business-standard.com/amp/article/companies/adani-power-sells-support-properties-stake-to-adaniconnex-for-rs-1-556-cr-123032301331_1.html" TargetMode="External"/><Relationship Id="rId6" Type="http://schemas.openxmlformats.org/officeDocument/2006/relationships/hyperlink" Target="https://www.sahi.com/news/adani-enterprises-jv-adaniconnex-buys-chandenvalle-infra-park-stake-for-535-69-crore-1645-PE1_COR" TargetMode="External"/><Relationship Id="rId11" Type="http://schemas.openxmlformats.org/officeDocument/2006/relationships/hyperlink" Target="https://uplc.up.gov.in/en/page/uttar-pradesh-data-center-policy" TargetMode="External"/><Relationship Id="rId5" Type="http://schemas.openxmlformats.org/officeDocument/2006/relationships/hyperlink" Target="https://www.angelone.in/news/stocks/adani-enterprises-announces-765-25-crore-acquisition-of-madhuvanti-build-estate" TargetMode="External"/><Relationship Id="rId15" Type="http://schemas.openxmlformats.org/officeDocument/2006/relationships/hyperlink" Target="https://theprint.in/judiciary/google-adanis-vizag-data-centre-cluster-andhra-argues-public-interest-to-defend-allotment-sans-auction/3042456/" TargetMode="External"/><Relationship Id="rId23" Type="http://schemas.openxmlformats.org/officeDocument/2006/relationships/hyperlink" Target="https://www.businessworld.in/article/adani-arm-gets-odisha-nod-for-rs-1-04-lakh-cr-data-centre-park-625673" TargetMode="External"/><Relationship Id="rId10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19" Type="http://schemas.openxmlformats.org/officeDocument/2006/relationships/hyperlink" Target="https://theprint.in/judiciary/google-adanis-vizag-data-centre-cluster-andhra-argues-public-interest-to-defend-allotment-sans-auction/3042456/" TargetMode="External"/><Relationship Id="rId4" Type="http://schemas.openxmlformats.org/officeDocument/2006/relationships/hyperlink" Target="https://www.businessworld.in/article/adani-enterprises-jv-adaniconnex-completes-acquisition-of-giridhari-build-estate-585595" TargetMode="External"/><Relationship Id="rId9" Type="http://schemas.openxmlformats.org/officeDocument/2006/relationships/hyperlink" Target="https://www.adanienterprises.com/-/media/Project/Enterprises/Investors/Investor-Downloads/Results-Presentations/AEL_Investor_Presentation.pdf" TargetMode="External"/><Relationship Id="rId14" Type="http://schemas.openxmlformats.org/officeDocument/2006/relationships/hyperlink" Target="https://www.angelone.in/news/stocks/adani-enterprises-announces-765-25-crore-acquisition-of-madhuvanti-build-estate" TargetMode="External"/><Relationship Id="rId22" Type="http://schemas.openxmlformats.org/officeDocument/2006/relationships/hyperlink" Target="https://environmentclearance.nic.in/writereaddata/FormB/agenda/2302202697285484%28921161%29MINUTESOF319DAY-5PART-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17" customWidth="1"/>
    <col min="3" max="3" width="40" customWidth="1"/>
    <col min="4" max="4" width="11" customWidth="1"/>
    <col min="5" max="5" width="14" customWidth="1"/>
    <col min="6" max="8" width="10" customWidth="1"/>
    <col min="9" max="9" width="46" customWidth="1"/>
    <col min="10" max="10" width="40" customWidth="1"/>
    <col min="11" max="11" width="44" customWidth="1"/>
    <col min="12" max="12" width="30" customWidth="1"/>
  </cols>
  <sheetData>
    <row r="1" spans="1:12" ht="16.5" x14ac:dyDescent="0.25">
      <c r="A1" s="1" t="s">
        <v>0</v>
      </c>
    </row>
    <row r="2" spans="1:12" ht="39.950000000000003" customHeight="1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2" ht="27.95" customHeight="1" x14ac:dyDescent="0.25">
      <c r="A3" s="16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5" spans="1:12" ht="38.2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2" ht="60" x14ac:dyDescent="0.25">
      <c r="A6" s="3" t="s">
        <v>15</v>
      </c>
      <c r="B6" s="3" t="s">
        <v>16</v>
      </c>
      <c r="C6" s="3" t="s">
        <v>17</v>
      </c>
      <c r="D6" s="4" t="s">
        <v>18</v>
      </c>
      <c r="E6" s="3" t="s">
        <v>19</v>
      </c>
      <c r="F6" s="5">
        <v>1468</v>
      </c>
      <c r="G6" s="5"/>
      <c r="H6" s="5"/>
      <c r="I6" s="3" t="s">
        <v>20</v>
      </c>
      <c r="J6" s="3"/>
      <c r="K6" s="3" t="s">
        <v>21</v>
      </c>
      <c r="L6" s="6" t="s">
        <v>22</v>
      </c>
    </row>
    <row r="7" spans="1:12" ht="60" x14ac:dyDescent="0.25">
      <c r="A7" s="3" t="s">
        <v>15</v>
      </c>
      <c r="B7" s="3" t="s">
        <v>16</v>
      </c>
      <c r="C7" s="3" t="s">
        <v>17</v>
      </c>
      <c r="D7" s="7" t="s">
        <v>23</v>
      </c>
      <c r="E7" s="3" t="s">
        <v>19</v>
      </c>
      <c r="F7" s="5"/>
      <c r="G7" s="5"/>
      <c r="H7" s="5"/>
      <c r="I7" s="3" t="s">
        <v>24</v>
      </c>
      <c r="J7" s="3" t="s">
        <v>25</v>
      </c>
      <c r="K7" s="3" t="s">
        <v>21</v>
      </c>
      <c r="L7" s="6" t="s">
        <v>22</v>
      </c>
    </row>
    <row r="8" spans="1:12" ht="72" x14ac:dyDescent="0.25">
      <c r="A8" s="3" t="s">
        <v>26</v>
      </c>
      <c r="B8" s="3" t="s">
        <v>16</v>
      </c>
      <c r="C8" s="3" t="s">
        <v>17</v>
      </c>
      <c r="D8" s="4" t="s">
        <v>18</v>
      </c>
      <c r="E8" s="3" t="s">
        <v>27</v>
      </c>
      <c r="F8" s="5"/>
      <c r="G8" s="5">
        <v>174</v>
      </c>
      <c r="H8" s="5"/>
      <c r="I8" s="3" t="s">
        <v>28</v>
      </c>
      <c r="J8" s="3"/>
      <c r="K8" s="3" t="s">
        <v>29</v>
      </c>
      <c r="L8" s="6" t="s">
        <v>30</v>
      </c>
    </row>
    <row r="9" spans="1:12" ht="48" x14ac:dyDescent="0.25">
      <c r="A9" s="3" t="s">
        <v>31</v>
      </c>
      <c r="B9" s="3" t="s">
        <v>16</v>
      </c>
      <c r="C9" s="3" t="s">
        <v>17</v>
      </c>
      <c r="D9" s="4" t="s">
        <v>18</v>
      </c>
      <c r="E9" s="3" t="s">
        <v>27</v>
      </c>
      <c r="F9" s="5"/>
      <c r="G9" s="5">
        <v>1172</v>
      </c>
      <c r="H9" s="5"/>
      <c r="I9" s="3" t="s">
        <v>32</v>
      </c>
      <c r="J9" s="3"/>
      <c r="K9" s="3" t="s">
        <v>33</v>
      </c>
      <c r="L9" s="6" t="s">
        <v>34</v>
      </c>
    </row>
    <row r="10" spans="1:12" ht="48" x14ac:dyDescent="0.25">
      <c r="A10" s="3" t="s">
        <v>35</v>
      </c>
      <c r="B10" s="3" t="s">
        <v>16</v>
      </c>
      <c r="C10" s="3" t="s">
        <v>17</v>
      </c>
      <c r="D10" s="4" t="s">
        <v>18</v>
      </c>
      <c r="E10" s="3" t="s">
        <v>27</v>
      </c>
      <c r="F10" s="5"/>
      <c r="G10" s="5">
        <v>528</v>
      </c>
      <c r="H10" s="5"/>
      <c r="I10" s="3" t="s">
        <v>36</v>
      </c>
      <c r="J10" s="3"/>
      <c r="K10" s="3" t="s">
        <v>37</v>
      </c>
      <c r="L10" s="6" t="s">
        <v>38</v>
      </c>
    </row>
    <row r="11" spans="1:12" ht="48" x14ac:dyDescent="0.25">
      <c r="A11" s="3" t="s">
        <v>39</v>
      </c>
      <c r="B11" s="3" t="s">
        <v>16</v>
      </c>
      <c r="C11" s="3" t="s">
        <v>17</v>
      </c>
      <c r="D11" s="4" t="s">
        <v>18</v>
      </c>
      <c r="E11" s="3" t="s">
        <v>27</v>
      </c>
      <c r="F11" s="5"/>
      <c r="G11" s="5">
        <v>528</v>
      </c>
      <c r="H11" s="5"/>
      <c r="I11" s="3" t="s">
        <v>36</v>
      </c>
      <c r="J11" s="3"/>
      <c r="K11" s="3" t="s">
        <v>40</v>
      </c>
      <c r="L11" s="6" t="s">
        <v>41</v>
      </c>
    </row>
    <row r="12" spans="1:12" ht="60" x14ac:dyDescent="0.25">
      <c r="A12" s="3" t="s">
        <v>42</v>
      </c>
      <c r="B12" s="3" t="s">
        <v>43</v>
      </c>
      <c r="C12" s="3" t="s">
        <v>17</v>
      </c>
      <c r="D12" s="7" t="s">
        <v>23</v>
      </c>
      <c r="E12" s="3" t="s">
        <v>44</v>
      </c>
      <c r="F12" s="5">
        <v>200</v>
      </c>
      <c r="G12" s="5"/>
      <c r="H12" s="5"/>
      <c r="I12" s="3" t="s">
        <v>45</v>
      </c>
      <c r="J12" s="3"/>
      <c r="K12" s="3" t="s">
        <v>46</v>
      </c>
      <c r="L12" s="6" t="s">
        <v>47</v>
      </c>
    </row>
    <row r="13" spans="1:12" ht="60" x14ac:dyDescent="0.25">
      <c r="A13" s="3" t="s">
        <v>42</v>
      </c>
      <c r="B13" s="3" t="s">
        <v>43</v>
      </c>
      <c r="C13" s="3" t="s">
        <v>17</v>
      </c>
      <c r="D13" s="7" t="s">
        <v>23</v>
      </c>
      <c r="E13" s="3" t="s">
        <v>19</v>
      </c>
      <c r="F13" s="5"/>
      <c r="G13" s="5"/>
      <c r="H13" s="5">
        <v>240</v>
      </c>
      <c r="I13" s="3" t="s">
        <v>48</v>
      </c>
      <c r="J13" s="3" t="s">
        <v>49</v>
      </c>
      <c r="K13" s="3" t="s">
        <v>46</v>
      </c>
      <c r="L13" s="6" t="s">
        <v>47</v>
      </c>
    </row>
    <row r="14" spans="1:12" ht="60" x14ac:dyDescent="0.25">
      <c r="A14" s="3" t="s">
        <v>42</v>
      </c>
      <c r="B14" s="3" t="s">
        <v>43</v>
      </c>
      <c r="C14" s="3" t="s">
        <v>17</v>
      </c>
      <c r="D14" s="7" t="s">
        <v>23</v>
      </c>
      <c r="E14" s="3" t="s">
        <v>50</v>
      </c>
      <c r="F14" s="5">
        <v>17</v>
      </c>
      <c r="G14" s="5">
        <v>16</v>
      </c>
      <c r="H14" s="5"/>
      <c r="I14" s="3" t="s">
        <v>51</v>
      </c>
      <c r="J14" s="3"/>
      <c r="K14" s="3" t="s">
        <v>46</v>
      </c>
      <c r="L14" s="6" t="s">
        <v>47</v>
      </c>
    </row>
    <row r="15" spans="1:12" ht="60" x14ac:dyDescent="0.25">
      <c r="A15" s="3" t="s">
        <v>42</v>
      </c>
      <c r="B15" s="3" t="s">
        <v>43</v>
      </c>
      <c r="C15" s="3" t="s">
        <v>17</v>
      </c>
      <c r="D15" s="7" t="s">
        <v>23</v>
      </c>
      <c r="E15" s="3" t="s">
        <v>27</v>
      </c>
      <c r="F15" s="5">
        <v>19.2</v>
      </c>
      <c r="G15" s="5">
        <v>386.8</v>
      </c>
      <c r="H15" s="5"/>
      <c r="I15" s="3" t="s">
        <v>52</v>
      </c>
      <c r="J15" s="3" t="s">
        <v>53</v>
      </c>
      <c r="K15" s="3" t="s">
        <v>46</v>
      </c>
      <c r="L15" s="6" t="s">
        <v>47</v>
      </c>
    </row>
    <row r="16" spans="1:12" ht="24" x14ac:dyDescent="0.25">
      <c r="A16" s="3" t="s">
        <v>54</v>
      </c>
      <c r="B16" s="3" t="s">
        <v>43</v>
      </c>
      <c r="C16" s="3" t="s">
        <v>55</v>
      </c>
      <c r="D16" s="7" t="s">
        <v>23</v>
      </c>
      <c r="E16" s="3" t="s">
        <v>56</v>
      </c>
      <c r="F16" s="5">
        <v>35</v>
      </c>
      <c r="G16" s="5">
        <v>65</v>
      </c>
      <c r="H16" s="5"/>
      <c r="I16" s="3" t="s">
        <v>57</v>
      </c>
      <c r="J16" s="3"/>
      <c r="K16" s="3" t="s">
        <v>58</v>
      </c>
      <c r="L16" s="6" t="s">
        <v>59</v>
      </c>
    </row>
    <row r="17" spans="1:12" ht="84" x14ac:dyDescent="0.25">
      <c r="A17" s="3" t="s">
        <v>60</v>
      </c>
      <c r="B17" s="3" t="s">
        <v>16</v>
      </c>
      <c r="C17" s="3" t="s">
        <v>55</v>
      </c>
      <c r="D17" s="4" t="s">
        <v>18</v>
      </c>
      <c r="E17" s="3" t="s">
        <v>61</v>
      </c>
      <c r="F17" s="5">
        <v>1140</v>
      </c>
      <c r="G17" s="5"/>
      <c r="H17" s="5"/>
      <c r="I17" s="3" t="s">
        <v>62</v>
      </c>
      <c r="J17" s="3" t="s">
        <v>63</v>
      </c>
      <c r="K17" s="3" t="s">
        <v>64</v>
      </c>
      <c r="L17" s="6" t="s">
        <v>65</v>
      </c>
    </row>
    <row r="18" spans="1:12" ht="48" x14ac:dyDescent="0.25">
      <c r="A18" s="3" t="s">
        <v>66</v>
      </c>
      <c r="B18" s="3" t="s">
        <v>43</v>
      </c>
      <c r="C18" s="3" t="s">
        <v>67</v>
      </c>
      <c r="D18" s="4" t="s">
        <v>18</v>
      </c>
      <c r="E18" s="3" t="s">
        <v>61</v>
      </c>
      <c r="F18" s="5"/>
      <c r="G18" s="5">
        <v>50</v>
      </c>
      <c r="H18" s="5"/>
      <c r="I18" s="3" t="s">
        <v>68</v>
      </c>
      <c r="J18" s="3"/>
      <c r="K18" s="3" t="s">
        <v>69</v>
      </c>
      <c r="L18" s="6" t="s">
        <v>38</v>
      </c>
    </row>
    <row r="19" spans="1:12" ht="48" x14ac:dyDescent="0.25">
      <c r="A19" s="3" t="s">
        <v>66</v>
      </c>
      <c r="B19" s="3" t="s">
        <v>43</v>
      </c>
      <c r="C19" s="3" t="s">
        <v>67</v>
      </c>
      <c r="D19" s="4" t="s">
        <v>18</v>
      </c>
      <c r="E19" s="3" t="s">
        <v>19</v>
      </c>
      <c r="F19" s="5"/>
      <c r="G19" s="5">
        <v>500</v>
      </c>
      <c r="H19" s="5"/>
      <c r="I19" s="3" t="s">
        <v>70</v>
      </c>
      <c r="J19" s="3"/>
      <c r="K19" s="3" t="s">
        <v>69</v>
      </c>
      <c r="L19" s="6" t="s">
        <v>38</v>
      </c>
    </row>
    <row r="20" spans="1:12" ht="60" x14ac:dyDescent="0.25">
      <c r="A20" s="3" t="s">
        <v>71</v>
      </c>
      <c r="B20" s="3" t="s">
        <v>16</v>
      </c>
      <c r="C20" s="3" t="s">
        <v>67</v>
      </c>
      <c r="D20" s="4" t="s">
        <v>18</v>
      </c>
      <c r="E20" s="3" t="s">
        <v>44</v>
      </c>
      <c r="F20" s="5"/>
      <c r="G20" s="5">
        <v>929</v>
      </c>
      <c r="H20" s="5"/>
      <c r="I20" s="3" t="s">
        <v>72</v>
      </c>
      <c r="J20" s="3"/>
      <c r="K20" s="3" t="s">
        <v>73</v>
      </c>
      <c r="L20" s="6" t="s">
        <v>74</v>
      </c>
    </row>
    <row r="21" spans="1:12" ht="60" x14ac:dyDescent="0.25">
      <c r="A21" s="3" t="s">
        <v>71</v>
      </c>
      <c r="B21" s="3" t="s">
        <v>16</v>
      </c>
      <c r="C21" s="3" t="s">
        <v>67</v>
      </c>
      <c r="D21" s="7" t="s">
        <v>23</v>
      </c>
      <c r="E21" s="3" t="s">
        <v>44</v>
      </c>
      <c r="F21" s="5">
        <v>929</v>
      </c>
      <c r="G21" s="5"/>
      <c r="H21" s="5"/>
      <c r="I21" s="3" t="s">
        <v>75</v>
      </c>
      <c r="J21" s="3" t="s">
        <v>76</v>
      </c>
      <c r="K21" s="3" t="s">
        <v>73</v>
      </c>
      <c r="L21" s="6" t="s">
        <v>74</v>
      </c>
    </row>
    <row r="22" spans="1:12" ht="60" x14ac:dyDescent="0.25">
      <c r="A22" s="3" t="s">
        <v>77</v>
      </c>
      <c r="B22" s="3" t="s">
        <v>16</v>
      </c>
      <c r="C22" s="3" t="s">
        <v>67</v>
      </c>
      <c r="D22" s="4" t="s">
        <v>18</v>
      </c>
      <c r="E22" s="3" t="s">
        <v>44</v>
      </c>
      <c r="F22" s="5"/>
      <c r="G22" s="5">
        <v>697</v>
      </c>
      <c r="H22" s="5"/>
      <c r="I22" s="3" t="s">
        <v>78</v>
      </c>
      <c r="J22" s="3"/>
      <c r="K22" s="3" t="s">
        <v>79</v>
      </c>
      <c r="L22" s="6" t="s">
        <v>74</v>
      </c>
    </row>
    <row r="23" spans="1:12" ht="60" x14ac:dyDescent="0.25">
      <c r="A23" s="3" t="s">
        <v>77</v>
      </c>
      <c r="B23" s="3" t="s">
        <v>16</v>
      </c>
      <c r="C23" s="3" t="s">
        <v>67</v>
      </c>
      <c r="D23" s="7" t="s">
        <v>23</v>
      </c>
      <c r="E23" s="3" t="s">
        <v>44</v>
      </c>
      <c r="F23" s="5">
        <v>697</v>
      </c>
      <c r="G23" s="5"/>
      <c r="H23" s="5"/>
      <c r="I23" s="3" t="s">
        <v>80</v>
      </c>
      <c r="J23" s="3" t="s">
        <v>81</v>
      </c>
      <c r="K23" s="3" t="s">
        <v>79</v>
      </c>
      <c r="L23" s="6" t="s">
        <v>74</v>
      </c>
    </row>
    <row r="24" spans="1:12" ht="60" x14ac:dyDescent="0.25">
      <c r="A24" s="3" t="s">
        <v>82</v>
      </c>
      <c r="B24" s="3" t="s">
        <v>16</v>
      </c>
      <c r="C24" s="3" t="s">
        <v>67</v>
      </c>
      <c r="D24" s="4" t="s">
        <v>18</v>
      </c>
      <c r="E24" s="3" t="s">
        <v>44</v>
      </c>
      <c r="F24" s="5"/>
      <c r="G24" s="5">
        <v>697</v>
      </c>
      <c r="H24" s="5"/>
      <c r="I24" s="3" t="s">
        <v>83</v>
      </c>
      <c r="J24" s="3"/>
      <c r="K24" s="3" t="s">
        <v>79</v>
      </c>
      <c r="L24" s="6" t="s">
        <v>74</v>
      </c>
    </row>
    <row r="25" spans="1:12" ht="60" x14ac:dyDescent="0.25">
      <c r="A25" s="3" t="s">
        <v>82</v>
      </c>
      <c r="B25" s="3" t="s">
        <v>16</v>
      </c>
      <c r="C25" s="3" t="s">
        <v>67</v>
      </c>
      <c r="D25" s="7" t="s">
        <v>23</v>
      </c>
      <c r="E25" s="3" t="s">
        <v>44</v>
      </c>
      <c r="F25" s="5">
        <v>512</v>
      </c>
      <c r="G25" s="5"/>
      <c r="H25" s="5"/>
      <c r="I25" s="3" t="s">
        <v>84</v>
      </c>
      <c r="J25" s="3" t="s">
        <v>81</v>
      </c>
      <c r="K25" s="3" t="s">
        <v>79</v>
      </c>
      <c r="L25" s="6" t="s">
        <v>74</v>
      </c>
    </row>
    <row r="26" spans="1:12" ht="36" x14ac:dyDescent="0.25">
      <c r="A26" s="3" t="s">
        <v>85</v>
      </c>
      <c r="B26" s="3" t="s">
        <v>86</v>
      </c>
      <c r="C26" s="3" t="s">
        <v>67</v>
      </c>
      <c r="D26" s="4" t="s">
        <v>18</v>
      </c>
      <c r="E26" s="3" t="s">
        <v>61</v>
      </c>
      <c r="F26" s="5"/>
      <c r="G26" s="5">
        <v>2080</v>
      </c>
      <c r="H26" s="5"/>
      <c r="I26" s="3" t="s">
        <v>87</v>
      </c>
      <c r="J26" s="3"/>
      <c r="K26" s="3" t="s">
        <v>88</v>
      </c>
      <c r="L26" s="6" t="s">
        <v>89</v>
      </c>
    </row>
    <row r="27" spans="1:12" ht="48" x14ac:dyDescent="0.25">
      <c r="A27" s="3" t="s">
        <v>90</v>
      </c>
      <c r="B27" s="3" t="s">
        <v>91</v>
      </c>
      <c r="C27" s="3" t="s">
        <v>92</v>
      </c>
      <c r="D27" s="7" t="s">
        <v>23</v>
      </c>
      <c r="E27" s="3" t="s">
        <v>19</v>
      </c>
      <c r="F27" s="5">
        <v>75.400000000000006</v>
      </c>
      <c r="G27" s="5"/>
      <c r="H27" s="5"/>
      <c r="I27" s="3" t="s">
        <v>93</v>
      </c>
      <c r="J27" s="3"/>
      <c r="K27" s="3" t="s">
        <v>94</v>
      </c>
      <c r="L27" s="6" t="s">
        <v>95</v>
      </c>
    </row>
    <row r="28" spans="1:12" ht="48" x14ac:dyDescent="0.25">
      <c r="A28" s="3" t="s">
        <v>96</v>
      </c>
      <c r="B28" s="3" t="s">
        <v>91</v>
      </c>
      <c r="C28" s="3" t="s">
        <v>97</v>
      </c>
      <c r="D28" s="7" t="s">
        <v>23</v>
      </c>
      <c r="E28" s="3" t="s">
        <v>98</v>
      </c>
      <c r="F28" s="5">
        <v>1000</v>
      </c>
      <c r="G28" s="5"/>
      <c r="H28" s="5"/>
      <c r="I28" s="3" t="s">
        <v>99</v>
      </c>
      <c r="J28" s="3"/>
      <c r="K28" s="3" t="s">
        <v>100</v>
      </c>
      <c r="L28" s="6" t="s">
        <v>101</v>
      </c>
    </row>
    <row r="30" spans="1:12" x14ac:dyDescent="0.25">
      <c r="A30" s="8" t="s">
        <v>102</v>
      </c>
    </row>
    <row r="31" spans="1:12" x14ac:dyDescent="0.25">
      <c r="A31" s="8" t="s">
        <v>103</v>
      </c>
      <c r="F31" s="9">
        <f>SUMIFS(F6:F28,D6:D28,"CTUIL")</f>
        <v>2608</v>
      </c>
      <c r="G31" s="9">
        <f>SUMIFS(G6:G28,D6:D28,"CTUIL")</f>
        <v>7355</v>
      </c>
      <c r="H31" s="9">
        <f>SUMIFS(H6:H28,D6:D28,"CTUIL")</f>
        <v>0</v>
      </c>
      <c r="I31" s="10">
        <f>SUM(F31:H31)</f>
        <v>9963</v>
      </c>
    </row>
    <row r="32" spans="1:12" x14ac:dyDescent="0.25">
      <c r="A32" s="8" t="s">
        <v>104</v>
      </c>
      <c r="F32" s="9">
        <f>SUMIFS(F6:F28,D6:D28,"CTUIL",A6:A28,"&lt;&gt;Mundra Petrochem Ltd")</f>
        <v>1468</v>
      </c>
      <c r="G32" s="9">
        <f>SUMIFS(G6:G28,D6:D28,"CTUIL",A6:A28,"&lt;&gt;Mundra Petrochem Ltd")</f>
        <v>7355</v>
      </c>
      <c r="H32" s="9">
        <f>SUMIFS(H6:H28,D6:D28,"CTUIL",A6:A28,"&lt;&gt;Mundra Petrochem Ltd")</f>
        <v>0</v>
      </c>
      <c r="I32" s="10">
        <f>SUM(F32:H32)</f>
        <v>8823</v>
      </c>
    </row>
    <row r="33" spans="1:11" x14ac:dyDescent="0.25">
      <c r="A33" s="8" t="s">
        <v>105</v>
      </c>
      <c r="F33" s="9">
        <f>SUMIFS(F6:F28,D6:D28,"State data")</f>
        <v>3484.6</v>
      </c>
      <c r="G33" s="9">
        <f>SUMIFS(G6:G28,D6:D28,"State data")</f>
        <v>467.8</v>
      </c>
      <c r="H33" s="9">
        <f>SUMIFS(H6:H28,D6:D28,"State data")</f>
        <v>240</v>
      </c>
      <c r="I33" s="10">
        <f>SUM(F33:H33)</f>
        <v>4192.3999999999996</v>
      </c>
    </row>
    <row r="34" spans="1:11" x14ac:dyDescent="0.25">
      <c r="A34" s="8" t="s">
        <v>106</v>
      </c>
      <c r="F34" s="9">
        <f>SUMIFS(F6:F28,D6:D28,"State data",J6:J28,"&lt;&gt;OVERLAPS*")</f>
        <v>1346.6</v>
      </c>
      <c r="G34" s="9">
        <f>SUMIFS(G6:G28,D6:D28,"State data",J6:J28,"&lt;&gt;OVERLAPS*")</f>
        <v>467.8</v>
      </c>
      <c r="H34" s="9">
        <f>SUMIFS(H6:H28,D6:D28,"State data",J6:J28,"&lt;&gt;OVERLAPS*")</f>
        <v>240</v>
      </c>
      <c r="I34" s="10">
        <f>SUM(F34:H34)</f>
        <v>2054.3999999999996</v>
      </c>
    </row>
    <row r="35" spans="1:11" x14ac:dyDescent="0.25">
      <c r="A35" s="11" t="s">
        <v>107</v>
      </c>
    </row>
    <row r="37" spans="1:11" x14ac:dyDescent="0.25">
      <c r="A37" s="8" t="s">
        <v>108</v>
      </c>
    </row>
    <row r="38" spans="1:11" x14ac:dyDescent="0.25">
      <c r="A38" s="12" t="s">
        <v>109</v>
      </c>
      <c r="F38" s="12" t="s">
        <v>110</v>
      </c>
      <c r="G38" s="12" t="s">
        <v>111</v>
      </c>
      <c r="H38" s="12" t="s">
        <v>112</v>
      </c>
    </row>
    <row r="39" spans="1:11" ht="24" customHeight="1" x14ac:dyDescent="0.25">
      <c r="A39" s="14" t="s">
        <v>17</v>
      </c>
      <c r="B39" s="15"/>
      <c r="C39" s="15"/>
      <c r="D39" s="15"/>
      <c r="E39" s="15"/>
      <c r="F39" s="13">
        <f>SUMIFS(F6:F28,C6:C28,A39,J6:J28,"&lt;&gt;OVERLAPS*")</f>
        <v>1704.2</v>
      </c>
      <c r="G39" s="13">
        <f>SUMIFS(G6:G28,C6:C28,A39,J6:J28,"&lt;&gt;OVERLAPS*")</f>
        <v>2804.8</v>
      </c>
      <c r="H39" s="13">
        <f>SUMIFS(H6:H28,C6:C28,A39,J6:J28,"&lt;&gt;OVERLAPS*")</f>
        <v>240</v>
      </c>
    </row>
    <row r="40" spans="1:11" ht="24" customHeight="1" x14ac:dyDescent="0.25">
      <c r="A40" s="14" t="s">
        <v>55</v>
      </c>
      <c r="B40" s="15"/>
      <c r="C40" s="15"/>
      <c r="D40" s="15"/>
      <c r="E40" s="15"/>
      <c r="F40" s="13">
        <f>SUMIFS(F6:F28,C6:C28,A40,J6:J28,"&lt;&gt;OVERLAPS*")</f>
        <v>1175</v>
      </c>
      <c r="G40" s="13">
        <f>SUMIFS(G6:G28,C6:C28,A40,J6:J28,"&lt;&gt;OVERLAPS*")</f>
        <v>65</v>
      </c>
      <c r="H40" s="13">
        <f>SUMIFS(H6:H28,C6:C28,A40,J6:J28,"&lt;&gt;OVERLAPS*")</f>
        <v>0</v>
      </c>
    </row>
    <row r="41" spans="1:11" ht="24" customHeight="1" x14ac:dyDescent="0.25">
      <c r="A41" s="14" t="s">
        <v>67</v>
      </c>
      <c r="B41" s="15"/>
      <c r="C41" s="15"/>
      <c r="D41" s="15"/>
      <c r="E41" s="15"/>
      <c r="F41" s="13">
        <f>SUMIFS(F6:F28,C6:C28,A41,J6:J28,"&lt;&gt;OVERLAPS*")</f>
        <v>0</v>
      </c>
      <c r="G41" s="13">
        <f>SUMIFS(G6:G28,C6:C28,A41,J6:J28,"&lt;&gt;OVERLAPS*")</f>
        <v>4953</v>
      </c>
      <c r="H41" s="13">
        <f>SUMIFS(H6:H28,C6:C28,A41,J6:J28,"&lt;&gt;OVERLAPS*")</f>
        <v>0</v>
      </c>
    </row>
    <row r="42" spans="1:11" ht="24" customHeight="1" x14ac:dyDescent="0.25">
      <c r="A42" s="14" t="s">
        <v>92</v>
      </c>
      <c r="B42" s="15"/>
      <c r="C42" s="15"/>
      <c r="D42" s="15"/>
      <c r="E42" s="15"/>
      <c r="F42" s="13">
        <f>SUMIFS(F6:F28,C6:C28,A42,J6:J28,"&lt;&gt;OVERLAPS*")</f>
        <v>75.400000000000006</v>
      </c>
      <c r="G42" s="13">
        <f>SUMIFS(G6:G28,C6:C28,A42,J6:J28,"&lt;&gt;OVERLAPS*")</f>
        <v>0</v>
      </c>
      <c r="H42" s="13">
        <f>SUMIFS(H6:H28,C6:C28,A42,J6:J28,"&lt;&gt;OVERLAPS*")</f>
        <v>0</v>
      </c>
    </row>
    <row r="43" spans="1:11" ht="24" customHeight="1" x14ac:dyDescent="0.25">
      <c r="A43" s="14" t="s">
        <v>97</v>
      </c>
      <c r="B43" s="15"/>
      <c r="C43" s="15"/>
      <c r="D43" s="15"/>
      <c r="E43" s="15"/>
      <c r="F43" s="13">
        <f>SUMIFS(F6:F28,C6:C28,A43,J6:J28,"&lt;&gt;OVERLAPS*")</f>
        <v>1000</v>
      </c>
      <c r="G43" s="13">
        <f>SUMIFS(G6:G28,C6:C28,A43,J6:J28,"&lt;&gt;OVERLAPS*")</f>
        <v>0</v>
      </c>
      <c r="H43" s="13">
        <f>SUMIFS(H6:H28,C6:C28,A43,J6:J28,"&lt;&gt;OVERLAPS*")</f>
        <v>0</v>
      </c>
    </row>
    <row r="45" spans="1:11" x14ac:dyDescent="0.25">
      <c r="A45" s="17" t="s">
        <v>113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ht="27.95" customHeight="1" x14ac:dyDescent="0.25">
      <c r="A46" s="14" t="s">
        <v>114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27.95" customHeight="1" x14ac:dyDescent="0.25">
      <c r="A47" s="14" t="s">
        <v>115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ht="27.95" customHeight="1" x14ac:dyDescent="0.25">
      <c r="A48" s="14" t="s">
        <v>116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 ht="27.95" customHeight="1" x14ac:dyDescent="0.25">
      <c r="A49" s="14" t="s">
        <v>117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27.95" customHeight="1" x14ac:dyDescent="0.25">
      <c r="A50" s="14" t="s">
        <v>118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</row>
  </sheetData>
  <autoFilter ref="A5:L28" xr:uid="{00000000-0009-0000-0000-000000000000}"/>
  <mergeCells count="13">
    <mergeCell ref="A2:K2"/>
    <mergeCell ref="A45:K45"/>
    <mergeCell ref="A49:K49"/>
    <mergeCell ref="A47:K47"/>
    <mergeCell ref="A46:K46"/>
    <mergeCell ref="A40:E40"/>
    <mergeCell ref="A39:E39"/>
    <mergeCell ref="A50:K50"/>
    <mergeCell ref="A43:E43"/>
    <mergeCell ref="A3:K3"/>
    <mergeCell ref="A48:K48"/>
    <mergeCell ref="A42:E42"/>
    <mergeCell ref="A41:E41"/>
  </mergeCells>
  <hyperlinks>
    <hyperlink ref="L6" r:id="rId1" xr:uid="{00000000-0004-0000-0000-000000000000}"/>
    <hyperlink ref="L7" r:id="rId2" xr:uid="{00000000-0004-0000-0000-000001000000}"/>
    <hyperlink ref="L8" r:id="rId3" xr:uid="{00000000-0004-0000-0000-000002000000}"/>
    <hyperlink ref="L9" r:id="rId4" xr:uid="{00000000-0004-0000-0000-000003000000}"/>
    <hyperlink ref="L10" r:id="rId5" xr:uid="{00000000-0004-0000-0000-000004000000}"/>
    <hyperlink ref="L11" r:id="rId6" xr:uid="{00000000-0004-0000-0000-000005000000}"/>
    <hyperlink ref="L12" r:id="rId7" xr:uid="{00000000-0004-0000-0000-000006000000}"/>
    <hyperlink ref="L13" r:id="rId8" xr:uid="{00000000-0004-0000-0000-000007000000}"/>
    <hyperlink ref="L14" r:id="rId9" xr:uid="{00000000-0004-0000-0000-000008000000}"/>
    <hyperlink ref="L15" r:id="rId10" xr:uid="{00000000-0004-0000-0000-000009000000}"/>
    <hyperlink ref="L16" r:id="rId11" xr:uid="{00000000-0004-0000-0000-00000A000000}"/>
    <hyperlink ref="L17" r:id="rId12" xr:uid="{00000000-0004-0000-0000-00000B000000}"/>
    <hyperlink ref="L18" r:id="rId13" xr:uid="{00000000-0004-0000-0000-00000C000000}"/>
    <hyperlink ref="L19" r:id="rId14" xr:uid="{00000000-0004-0000-0000-00000D000000}"/>
    <hyperlink ref="L20" r:id="rId15" xr:uid="{00000000-0004-0000-0000-00000E000000}"/>
    <hyperlink ref="L21" r:id="rId16" xr:uid="{00000000-0004-0000-0000-00000F000000}"/>
    <hyperlink ref="L22" r:id="rId17" xr:uid="{00000000-0004-0000-0000-000010000000}"/>
    <hyperlink ref="L23" r:id="rId18" xr:uid="{00000000-0004-0000-0000-000011000000}"/>
    <hyperlink ref="L24" r:id="rId19" xr:uid="{00000000-0004-0000-0000-000012000000}"/>
    <hyperlink ref="L25" r:id="rId20" xr:uid="{00000000-0004-0000-0000-000013000000}"/>
    <hyperlink ref="L26" r:id="rId21" xr:uid="{00000000-0004-0000-0000-000014000000}"/>
    <hyperlink ref="L27" r:id="rId22" xr:uid="{00000000-0004-0000-0000-000015000000}"/>
    <hyperlink ref="L28" r:id="rId23" xr:uid="{00000000-0004-0000-0000-00001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Adani_Entities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206_Harsh Misra</cp:lastModifiedBy>
  <dcterms:created xsi:type="dcterms:W3CDTF">2026-10-21T11:20:53Z</dcterms:created>
  <dcterms:modified xsi:type="dcterms:W3CDTF">2026-10-21T11:21:19Z</dcterms:modified>
</cp:coreProperties>
</file>