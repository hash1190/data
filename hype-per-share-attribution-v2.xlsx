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Attribution" sheetId="2" state="visible" r:id="rId4"/>
    <sheet name="Metho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<sst xmlns="http://schemas.openxmlformats.org/spreadsheetml/2006/main" count="180" uniqueCount="147">
  <si>
    <t xml:space="preserve">HYPE per 1000 shares — inputs and derived flows  (v2)</t>
  </si>
  <si>
    <t xml:space="preserve">AMBER = input. Overwrite columns D, E, F and (optionally) G. Do not link to the model — paste values.</t>
  </si>
  <si>
    <t xml:space="preserve">Placeholder series is constructed at mNAV = 1.00 to demonstrate that acquisitions and dilution offset exactly. Replace before use.</t>
  </si>
  <si>
    <t xml:space="preserve">Assumptions</t>
  </si>
  <si>
    <t xml:space="preserve">% of HYPE staked</t>
  </si>
  <si>
    <t xml:space="preserve">Set 100% if the model stakes the whole balance</t>
  </si>
  <si>
    <t xml:space="preserve">Annual staking yield</t>
  </si>
  <si>
    <t xml:space="preserve">(1+q)^4-1. Only used if column G is blank</t>
  </si>
  <si>
    <t xml:space="preserve">Quarterly staking rate</t>
  </si>
  <si>
    <t xml:space="preserve">#</t>
  </si>
  <si>
    <t xml:space="preserve">Period</t>
  </si>
  <si>
    <t xml:space="preserve">Date</t>
  </si>
  <si>
    <t xml:space="preserve">Total HYPE (m)</t>
  </si>
  <si>
    <t xml:space="preserve">FD shares (m)</t>
  </si>
  <si>
    <t xml:space="preserve">HYPE price ($)</t>
  </si>
  <si>
    <t xml:space="preserve">Purchases (m) — optional</t>
  </si>
  <si>
    <t xml:space="preserve">HYPE / 1000 sh</t>
  </si>
  <si>
    <t xml:space="preserve">NAV / 1000 sh ($)</t>
  </si>
  <si>
    <t xml:space="preserve">Δ HYPE (m)</t>
  </si>
  <si>
    <t xml:space="preserve">Δ shares (m)</t>
  </si>
  <si>
    <t xml:space="preserve">Staking est. (m)</t>
  </si>
  <si>
    <t xml:space="preserve">Acquisitions used (m)</t>
  </si>
  <si>
    <t xml:space="preserve">Staking used (m)</t>
  </si>
  <si>
    <t xml:space="preserve">ln(1+acq/open)</t>
  </si>
  <si>
    <t xml:space="preserve">Acq % of open HYPE</t>
  </si>
  <si>
    <t xml:space="preserve">Shares issued % of open</t>
  </si>
  <si>
    <t xml:space="preserve">mNAV proxy</t>
  </si>
  <si>
    <t xml:space="preserve">Check</t>
  </si>
  <si>
    <t xml:space="preserve">Dec-25</t>
  </si>
  <si>
    <t xml:space="preserve">—</t>
  </si>
  <si>
    <t xml:space="preserve">Mar-26</t>
  </si>
  <si>
    <t xml:space="preserve">Jun-26</t>
  </si>
  <si>
    <t xml:space="preserve">Sep-26</t>
  </si>
  <si>
    <t xml:space="preserve">Dec-26</t>
  </si>
  <si>
    <t xml:space="preserve">Mar-27</t>
  </si>
  <si>
    <t xml:space="preserve">Jun-27</t>
  </si>
  <si>
    <t xml:space="preserve">Sep-27</t>
  </si>
  <si>
    <t xml:space="preserve">Dec-27</t>
  </si>
  <si>
    <t xml:space="preserve">Mar-28</t>
  </si>
  <si>
    <t xml:space="preserve">Jun-28</t>
  </si>
  <si>
    <t xml:space="preserve">Sep-28</t>
  </si>
  <si>
    <t xml:space="preserve">Dec-28</t>
  </si>
  <si>
    <t xml:space="preserve">Mar-29</t>
  </si>
  <si>
    <t xml:space="preserve">Jun-29</t>
  </si>
  <si>
    <t xml:space="preserve">Sep-29</t>
  </si>
  <si>
    <t xml:space="preserve">Dec-29</t>
  </si>
  <si>
    <t xml:space="preserve">Mar-30</t>
  </si>
  <si>
    <t xml:space="preserve">Jun-30</t>
  </si>
  <si>
    <t xml:space="preserve">Sep-30</t>
  </si>
  <si>
    <t xml:space="preserve">Dec-30</t>
  </si>
  <si>
    <t xml:space="preserve">Mar-31</t>
  </si>
  <si>
    <t xml:space="preserve">Jun-31</t>
  </si>
  <si>
    <t xml:space="preserve">Sep-31</t>
  </si>
  <si>
    <t xml:space="preserve">Dec-31</t>
  </si>
  <si>
    <t xml:space="preserve">Mar-32</t>
  </si>
  <si>
    <t xml:space="preserve">Jun-32</t>
  </si>
  <si>
    <t xml:space="preserve">Sep-32</t>
  </si>
  <si>
    <t xml:space="preserve">Dec-32</t>
  </si>
  <si>
    <t xml:space="preserve">Mar-33</t>
  </si>
  <si>
    <t xml:space="preserve">Jun-33</t>
  </si>
  <si>
    <t xml:space="preserve">Sep-33</t>
  </si>
  <si>
    <t xml:space="preserve">Dec-33</t>
  </si>
  <si>
    <t xml:space="preserve">Mar-34</t>
  </si>
  <si>
    <t xml:space="preserve">Jun-34</t>
  </si>
  <si>
    <t xml:space="preserve">Sep-34</t>
  </si>
  <si>
    <t xml:space="preserve">Dec-34</t>
  </si>
  <si>
    <t xml:space="preserve">Mar-35</t>
  </si>
  <si>
    <t xml:space="preserve">Jun-35</t>
  </si>
  <si>
    <t xml:space="preserve">Sep-35</t>
  </si>
  <si>
    <t xml:space="preserve">Dec-35</t>
  </si>
  <si>
    <t xml:space="preserve">Column G (Purchases) is the preferred input. If supplied, acquisitions are taken directly from the model and staking becomes the residual — this is what makes Method B exact.</t>
  </si>
  <si>
    <t xml:space="preserve">If column G is left blank, staking is estimated from the assumptions above and acquisitions fall out as the residual. That reverses which line carries any error.</t>
  </si>
  <si>
    <t xml:space="preserve">mNAV proxy (column R) = acquisitions as % of opening HYPE, divided by shares issued as % of opening shares. A value of 1.000 means issuance is exactly at NAV and acquisitions must offset dilution exactly.</t>
  </si>
  <si>
    <t xml:space="preserve">A value below 1.000 means shares were issued below NAV, or some issuance did not fund HYPE purchases (ESOP, warrants). Above 1.000 means issuance at a premium — accretive.</t>
  </si>
  <si>
    <t xml:space="preserve">CAGR attribution — HYPE per 1000 shares  (v2)</t>
  </si>
  <si>
    <t xml:space="preserve">Two allocation methods shown side by side. Method A is the v1 weighted split; Method B is the corrected sequential split.</t>
  </si>
  <si>
    <t xml:space="preserve">Start</t>
  </si>
  <si>
    <t xml:space="preserve">End</t>
  </si>
  <si>
    <t xml:space="preserve">Start date</t>
  </si>
  <si>
    <t xml:space="preserve">End date</t>
  </si>
  <si>
    <t xml:space="preserve">Years  (from dates)</t>
  </si>
  <si>
    <t xml:space="preserve">Quarters</t>
  </si>
  <si>
    <t xml:space="preserve">Years (legacy, row index)</t>
  </si>
  <si>
    <t xml:space="preserve">Index vs date check</t>
  </si>
  <si>
    <t xml:space="preserve">Levels</t>
  </si>
  <si>
    <t xml:space="preserve">HYPE held (m)</t>
  </si>
  <si>
    <t xml:space="preserve">Log growth rates (annualised, continuously compounded)</t>
  </si>
  <si>
    <t xml:space="preserve">r_HYPE</t>
  </si>
  <si>
    <t xml:space="preserve">r_Shares</t>
  </si>
  <si>
    <t xml:space="preserve">r_Price</t>
  </si>
  <si>
    <t xml:space="preserve">r_HPS  (= r_HYPE − r_Shares)</t>
  </si>
  <si>
    <t xml:space="preserve">r_NAV  (= r_HPS + r_Price)</t>
  </si>
  <si>
    <t xml:space="preserve">Headline CAGRs — two formulas, must agree</t>
  </si>
  <si>
    <t xml:space="preserve">EXP(r)−1</t>
  </si>
  <si>
    <t xml:space="preserve">RRI</t>
  </si>
  <si>
    <t xml:space="preserve">(End/Start)^(1/n)−1</t>
  </si>
  <si>
    <t xml:space="preserve">Agree?</t>
  </si>
  <si>
    <t xml:space="preserve">HYPE per 1000 shares</t>
  </si>
  <si>
    <t xml:space="preserve">NAV per 1000 shares</t>
  </si>
  <si>
    <t xml:space="preserve">RRI is the annually-compounded rate. All three columns must agree by construction; if they do not, the period length is wrong. RRI is written as _xlfn.RRI so Excel resolves it — it will display as RRI.</t>
  </si>
  <si>
    <t xml:space="preserve">Source of HYPE added over the window</t>
  </si>
  <si>
    <t xml:space="preserve">Cumulative acquisitions (m)</t>
  </si>
  <si>
    <t xml:space="preserve">Cumulative staking (m)</t>
  </si>
  <si>
    <t xml:space="preserve">Total added (m)</t>
  </si>
  <si>
    <t xml:space="preserve">Weight — acquisitions</t>
  </si>
  <si>
    <t xml:space="preserve">Weight — staking</t>
  </si>
  <si>
    <t xml:space="preserve">Σ ln(1+acq/open)</t>
  </si>
  <si>
    <t xml:space="preserve">r_acq  (sequential)</t>
  </si>
  <si>
    <t xml:space="preserve">Method A — weighted split  (as built in v1)</t>
  </si>
  <si>
    <t xml:space="preserve">Driver</t>
  </si>
  <si>
    <t xml:space="preserve">Log contribution</t>
  </si>
  <si>
    <t xml:space="preserve">CAGR contribution</t>
  </si>
  <si>
    <t xml:space="preserve">New HYPE acquired</t>
  </si>
  <si>
    <t xml:space="preserve">Staking rewards</t>
  </si>
  <si>
    <t xml:space="preserve">Share dilution</t>
  </si>
  <si>
    <t xml:space="preserve">Total</t>
  </si>
  <si>
    <t xml:space="preserve">Ties to headline</t>
  </si>
  <si>
    <t xml:space="preserve">Method B — sequential split  (corrected)</t>
  </si>
  <si>
    <t xml:space="preserve">Acquisition vs dilution, net</t>
  </si>
  <si>
    <t xml:space="preserve">NAV per 1000 shares attribution  (Method B)</t>
  </si>
  <si>
    <t xml:space="preserve">HYPE price</t>
  </si>
  <si>
    <t xml:space="preserve">Diagnostics</t>
  </si>
  <si>
    <t xml:space="preserve">r_acq  −  r_Shares</t>
  </si>
  <si>
    <t xml:space="preserve">Mean mNAV proxy over window</t>
  </si>
  <si>
    <t xml:space="preserve">Method A vs B — acquisitions gap</t>
  </si>
  <si>
    <t xml:space="preserve">Non-zero gap is an artefact of the weighting in Method A, not a business finding.</t>
  </si>
  <si>
    <t xml:space="preserve">Method, the v1→v2 changes, and caveats</t>
  </si>
  <si>
    <t xml:space="preserve">The identity</t>
  </si>
  <si>
    <t xml:space="preserve">HYPE per 1000 shares = 1000 x HYPE held / fully diluted shares. Growth in the ratio equals growth in the numerator less growth in the denominator. Dilution is a subtraction, not an adjustment, and is usually the largest single line.</t>
  </si>
  <si>
    <t xml:space="preserve">Why logs</t>
  </si>
  <si>
    <t xml:space="preserve">Percentage growth rates multiply; log rates add. r_HPS = r_HYPE - r_Shares is an exact identity. Each driver's log contribution is rescaled by CAGR / r_total so the parts sum to the reported CAGR with no balancing plug.</t>
  </si>
  <si>
    <t xml:space="preserve">EXP(r)-1 vs RRI</t>
  </si>
  <si>
    <t xml:space="preserve">A log rate is continuously compounded; a CAGR is annually compounded. EXP(r)-1 converts between them and must equal RRI(years, start, end). Both are shown with an agreement check. If they disagree, the period length is wrong — that is the single most common error here.</t>
  </si>
  <si>
    <t xml:space="preserve">FIX in v2 — period length</t>
  </si>
  <si>
    <t xml:space="preserve">v1 derived Years from the row-index column, which silently breaks when real data is pasted in or rows are inserted. v2 derives Years from the date column using whole months, and reports the legacy index-based figure alongside with a mismatch flag. In the v1 build this understated the period by two quarters and overstated NAV CAGR by roughly 2.7pp.</t>
  </si>
  <si>
    <t xml:space="preserve">FIX in v2 — allocation</t>
  </si>
  <si>
    <t xml:space="preserve">Method A (v1) splits r_HYPE by each source's share of cumulative tokens added. Because acquisitions and staking compound on each other, that static weighting misallocates the cross-term and can make acquisitions and dilution fail to offset even when issuance is exactly at NAV. Method B instead sums ln(1 + acquisitions / opening balance) period by period, and takes staking as the residual. Both sum to r_HYPE; Method B is exact.</t>
  </si>
  <si>
    <t xml:space="preserve">The mNAV test</t>
  </si>
  <si>
    <t xml:space="preserve">If shares are issued at NAV, cash raised buys tokens in exact proportion to shares issued, so r_acq must equal r_Shares and acquisitions must offset dilution exactly. Column R on Inputs tests this per period; the diagnostics block tests it over the window. A reading of 1.000 with a non-zero gap in Method A is proof the gap is a method artefact.</t>
  </si>
  <si>
    <t xml:space="preserve">Which method to report</t>
  </si>
  <si>
    <t xml:space="preserve">Report Method B. Keep Method A visible only to reconcile against earlier drafts. Method B's gross-versus-dilution comparison is exact; its internal split of acquisitions and staking still assumes purchases settle before staking accrues within each quarter, which matches the model's row ordering.</t>
  </si>
  <si>
    <t xml:space="preserve">Price is not in the HPS metric</t>
  </si>
  <si>
    <t xml:space="preserve">HYPE per 1000 shares is a token count and is unaffected by price. Price enters only the NAV attribution, as a fourth driver. Keep the two decompositions separate.</t>
  </si>
  <si>
    <t xml:space="preserve">Sub-periods</t>
  </si>
  <si>
    <t xml:space="preserve">A ten-year CAGR conceals phases. Acquisitions are typically front-loaded while staking compounds later, so run shorter windows by changing the start and end labels and check whether the mix shifts.</t>
  </si>
  <si>
    <t xml:space="preserve">Placeholder data</t>
  </si>
  <si>
    <t xml:space="preserve">Columns D, E, F and G on Inputs are a constructed series at mNAV = 1.00, present only to demonstrate that the two methods behave as described. They are not estimates and must be replaced.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</si>
</sst>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%"/>
    <numFmt numFmtId="166" formatCode="0.000%"/>
    <numFmt numFmtId="167" formatCode="0.0000%"/>
    <numFmt numFmtId="168" formatCode="dd\-mmm\-yy"/>
    <numFmt numFmtId="169" formatCode="#,##0.00"/>
    <numFmt numFmtId="170" formatCode="#,##0.0"/>
    <numFmt numFmtId="171" formatCode="\$#,##0.00"/>
    <numFmt numFmtId="172" formatCode="#,##0.0000"/>
    <numFmt numFmtId="173" formatCode="#,##0.000"/>
    <numFmt numFmtId="174" formatCode="0.00000"/>
    <numFmt numFmtId="175" formatCode="0.000"/>
    <numFmt numFmtId="176" formatCode="0.00"/>
    <numFmt numFmtId="177" formatCode="0"/>
    <numFmt numFmtId="178" formatCode="0.00%"/>
    <numFmt numFmtId="179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1206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012060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8E1"/>
        <bgColor rgb="FFFDECEA"/>
      </patternFill>
    </fill>
    <fill>
      <patternFill patternType="solid">
        <fgColor rgb="FF012060"/>
        <bgColor rgb="FF000080"/>
      </patternFill>
    </fill>
    <fill>
      <patternFill patternType="solid">
        <fgColor rgb="FFEAF2EA"/>
        <bgColor rgb="FFFDECEA"/>
      </patternFill>
    </fill>
    <fill>
      <patternFill patternType="solid">
        <fgColor rgb="FFFDECEA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EAF2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1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16"/>
    <col collapsed="false" customWidth="true" hidden="false" outlineLevel="0" max="15" min="14" style="0" width="14"/>
    <col collapsed="false" customWidth="true" hidden="false" outlineLevel="0" max="16" min="16" style="0" width="15"/>
    <col collapsed="false" customWidth="true" hidden="false" outlineLevel="0" max="17" min="17" style="0" width="17"/>
    <col collapsed="false" customWidth="true" hidden="false" outlineLevel="0" max="18" min="18" style="0" width="11"/>
    <col collapsed="false" customWidth="true" hidden="false" outlineLevel="0" max="19" min="19" style="0" width="9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5" t="n">
        <v>1</v>
      </c>
      <c r="C6" s="2" t="s">
        <v>5</v>
      </c>
    </row>
    <row r="7" customFormat="false" ht="15" hidden="false" customHeight="false" outlineLevel="0" collapsed="false">
      <c r="A7" s="4" t="s">
        <v>6</v>
      </c>
      <c r="B7" s="6" t="n">
        <v>0.019757</v>
      </c>
      <c r="C7" s="2" t="s">
        <v>7</v>
      </c>
    </row>
    <row r="8" customFormat="false" ht="15" hidden="false" customHeight="false" outlineLevel="0" collapsed="false">
      <c r="A8" s="4" t="s">
        <v>8</v>
      </c>
      <c r="B8" s="7" t="n">
        <f aca="false">(1+B7)^0.25-1</f>
        <v>0.00490307181527805</v>
      </c>
    </row>
    <row r="10" customFormat="false" ht="42" hidden="false" customHeight="true" outlineLevel="0" collapsed="false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8" t="s">
        <v>16</v>
      </c>
      <c r="I10" s="8" t="s">
        <v>17</v>
      </c>
      <c r="J10" s="8" t="s">
        <v>18</v>
      </c>
      <c r="K10" s="8" t="s">
        <v>19</v>
      </c>
      <c r="L10" s="8" t="s">
        <v>20</v>
      </c>
      <c r="M10" s="8" t="s">
        <v>21</v>
      </c>
      <c r="N10" s="8" t="s">
        <v>22</v>
      </c>
      <c r="O10" s="8" t="s">
        <v>23</v>
      </c>
      <c r="P10" s="8" t="s">
        <v>24</v>
      </c>
      <c r="Q10" s="8" t="s">
        <v>25</v>
      </c>
      <c r="R10" s="8" t="s">
        <v>26</v>
      </c>
      <c r="S10" s="8" t="s">
        <v>27</v>
      </c>
    </row>
    <row r="11" customFormat="false" ht="15" hidden="false" customHeight="false" outlineLevel="0" collapsed="false">
      <c r="A11" s="9" t="n">
        <v>0</v>
      </c>
      <c r="B11" s="10" t="s">
        <v>28</v>
      </c>
      <c r="C11" s="11" t="n">
        <v>46022</v>
      </c>
      <c r="D11" s="12" t="n">
        <v>12.86</v>
      </c>
      <c r="E11" s="13" t="n">
        <v>150.7</v>
      </c>
      <c r="F11" s="14" t="n">
        <v>25.48</v>
      </c>
      <c r="G11" s="15"/>
      <c r="H11" s="16" t="n">
        <f aca="false">D11/E11*1000</f>
        <v>85.335102853351</v>
      </c>
      <c r="I11" s="17" t="n">
        <f aca="false">H11*F11</f>
        <v>2174.33842070338</v>
      </c>
      <c r="J11" s="18" t="s">
        <v>29</v>
      </c>
      <c r="K11" s="19" t="s">
        <v>29</v>
      </c>
      <c r="L11" s="20" t="s">
        <v>29</v>
      </c>
      <c r="M11" s="20" t="s">
        <v>29</v>
      </c>
      <c r="N11" s="20" t="s">
        <v>29</v>
      </c>
      <c r="O11" s="21" t="s">
        <v>29</v>
      </c>
      <c r="P11" s="22" t="s">
        <v>29</v>
      </c>
      <c r="Q11" s="22" t="s">
        <v>29</v>
      </c>
      <c r="R11" s="23" t="s">
        <v>29</v>
      </c>
      <c r="S11" s="24" t="s">
        <v>29</v>
      </c>
    </row>
    <row r="12" customFormat="false" ht="15" hidden="false" customHeight="false" outlineLevel="0" collapsed="false">
      <c r="A12" s="9" t="n">
        <v>1</v>
      </c>
      <c r="B12" s="10" t="s">
        <v>30</v>
      </c>
      <c r="C12" s="11" t="n">
        <v>46112</v>
      </c>
      <c r="D12" s="12" t="n">
        <v>13.3261</v>
      </c>
      <c r="E12" s="13" t="n">
        <v>155.4235</v>
      </c>
      <c r="F12" s="14" t="n">
        <v>27.407</v>
      </c>
      <c r="G12" s="15" t="n">
        <v>0.4031</v>
      </c>
      <c r="H12" s="16" t="n">
        <f aca="false">D12/E12*1000</f>
        <v>85.7405733367219</v>
      </c>
      <c r="I12" s="17" t="n">
        <f aca="false">H12*F12</f>
        <v>2349.89189343954</v>
      </c>
      <c r="J12" s="16" t="n">
        <f aca="false">D12-D11</f>
        <v>0.466100000000001</v>
      </c>
      <c r="K12" s="25" t="n">
        <f aca="false">E12-E11</f>
        <v>4.7235</v>
      </c>
      <c r="L12" s="26" t="n">
        <f aca="false">D11*$B$6*$B$8</f>
        <v>0.0630535035444757</v>
      </c>
      <c r="M12" s="26" t="n">
        <f aca="false">IF(G12="",J12-L12,G12)</f>
        <v>0.4031</v>
      </c>
      <c r="N12" s="26" t="n">
        <f aca="false">J12-M12</f>
        <v>0.0630000000000008</v>
      </c>
      <c r="O12" s="27" t="n">
        <f aca="false">LN(1+M12/D11)</f>
        <v>0.0308640244466175</v>
      </c>
      <c r="P12" s="28" t="n">
        <f aca="false">M12/D11</f>
        <v>0.0313452566096423</v>
      </c>
      <c r="Q12" s="28" t="n">
        <f aca="false">K12/E11</f>
        <v>0.0313437292634373</v>
      </c>
      <c r="R12" s="29" t="n">
        <f aca="false">IFERROR(P12/Q12,"n/a")</f>
        <v>1.00004872892412</v>
      </c>
      <c r="S12" s="9" t="str">
        <f aca="false">IF(ROUND(M12+N12-J12,6)=0,"ok","CHECK")</f>
        <v>ok</v>
      </c>
    </row>
    <row r="13" customFormat="false" ht="15" hidden="false" customHeight="false" outlineLevel="0" collapsed="false">
      <c r="A13" s="9" t="n">
        <v>2</v>
      </c>
      <c r="B13" s="10" t="s">
        <v>31</v>
      </c>
      <c r="C13" s="11" t="n">
        <v>46203</v>
      </c>
      <c r="D13" s="12" t="n">
        <v>13.8091</v>
      </c>
      <c r="E13" s="13" t="n">
        <v>160.295</v>
      </c>
      <c r="F13" s="14" t="n">
        <v>29.4797</v>
      </c>
      <c r="G13" s="15" t="n">
        <v>0.4177</v>
      </c>
      <c r="H13" s="16" t="n">
        <f aca="false">D13/E13*1000</f>
        <v>86.1480395520759</v>
      </c>
      <c r="I13" s="17" t="n">
        <f aca="false">H13*F13</f>
        <v>2539.61836158333</v>
      </c>
      <c r="J13" s="16" t="n">
        <f aca="false">D13-D12</f>
        <v>0.483000000000001</v>
      </c>
      <c r="K13" s="25" t="n">
        <f aca="false">E13-E12</f>
        <v>4.8715</v>
      </c>
      <c r="L13" s="26" t="n">
        <f aca="false">D12*$B$6*$B$8</f>
        <v>0.0653388253175768</v>
      </c>
      <c r="M13" s="26" t="n">
        <f aca="false">IF(G13="",J13-L13,G13)</f>
        <v>0.4177</v>
      </c>
      <c r="N13" s="26" t="n">
        <f aca="false">J13-M13</f>
        <v>0.0653000000000005</v>
      </c>
      <c r="O13" s="27" t="n">
        <f aca="false">LN(1+M13/D12)</f>
        <v>0.0308632950921377</v>
      </c>
      <c r="P13" s="28" t="n">
        <f aca="false">M13/D12</f>
        <v>0.0313445043936335</v>
      </c>
      <c r="Q13" s="28" t="n">
        <f aca="false">K13/E12</f>
        <v>0.0313433940169923</v>
      </c>
      <c r="R13" s="29" t="n">
        <f aca="false">IFERROR(P13/Q13,"n/a")</f>
        <v>1.00003542617754</v>
      </c>
      <c r="S13" s="9" t="str">
        <f aca="false">IF(ROUND(M13+N13-J13,6)=0,"ok","CHECK")</f>
        <v>ok</v>
      </c>
    </row>
    <row r="14" customFormat="false" ht="15" hidden="false" customHeight="false" outlineLevel="0" collapsed="false">
      <c r="A14" s="9" t="n">
        <v>3</v>
      </c>
      <c r="B14" s="10" t="s">
        <v>32</v>
      </c>
      <c r="C14" s="11" t="n">
        <v>46295</v>
      </c>
      <c r="D14" s="12" t="n">
        <v>14.3096</v>
      </c>
      <c r="E14" s="13" t="n">
        <v>165.3192</v>
      </c>
      <c r="F14" s="14" t="n">
        <v>31.7092</v>
      </c>
      <c r="G14" s="15" t="n">
        <v>0.4328</v>
      </c>
      <c r="H14" s="16" t="n">
        <f aca="false">D14/E14*1000</f>
        <v>86.5573992615498</v>
      </c>
      <c r="I14" s="17" t="n">
        <f aca="false">H14*F14</f>
        <v>2744.66588466433</v>
      </c>
      <c r="J14" s="16" t="n">
        <f aca="false">D14-D13</f>
        <v>0.500499999999999</v>
      </c>
      <c r="K14" s="25" t="n">
        <f aca="false">E14-E13</f>
        <v>5.02420000000001</v>
      </c>
      <c r="L14" s="26" t="n">
        <f aca="false">D13*$B$6*$B$8</f>
        <v>0.0677070090043561</v>
      </c>
      <c r="M14" s="26" t="n">
        <f aca="false">IF(G14="",J14-L14,G14)</f>
        <v>0.4328</v>
      </c>
      <c r="N14" s="26" t="n">
        <f aca="false">J14-M14</f>
        <v>0.0676999999999988</v>
      </c>
      <c r="O14" s="27" t="n">
        <f aca="false">LN(1+M14/D13)</f>
        <v>0.0308605289185487</v>
      </c>
      <c r="P14" s="28" t="n">
        <f aca="false">M14/D13</f>
        <v>0.0313416515196501</v>
      </c>
      <c r="Q14" s="28" t="n">
        <f aca="false">K14/E13</f>
        <v>0.0313434604947129</v>
      </c>
      <c r="R14" s="29" t="n">
        <f aca="false">IFERROR(P14/Q14,"n/a")</f>
        <v>0.99994228540709</v>
      </c>
      <c r="S14" s="9" t="str">
        <f aca="false">IF(ROUND(M14+N14-J14,6)=0,"ok","CHECK")</f>
        <v>ok</v>
      </c>
    </row>
    <row r="15" customFormat="false" ht="15" hidden="false" customHeight="false" outlineLevel="0" collapsed="false">
      <c r="A15" s="9" t="n">
        <v>4</v>
      </c>
      <c r="B15" s="10" t="s">
        <v>33</v>
      </c>
      <c r="C15" s="11" t="n">
        <v>46387</v>
      </c>
      <c r="D15" s="12" t="n">
        <v>14.8282</v>
      </c>
      <c r="E15" s="13" t="n">
        <v>170.5009</v>
      </c>
      <c r="F15" s="14" t="n">
        <v>34.1073</v>
      </c>
      <c r="G15" s="15" t="n">
        <v>0.4485</v>
      </c>
      <c r="H15" s="16" t="n">
        <f aca="false">D15/E15*1000</f>
        <v>86.9684558849836</v>
      </c>
      <c r="I15" s="17" t="n">
        <f aca="false">H15*F15</f>
        <v>2966.2592154059</v>
      </c>
      <c r="J15" s="16" t="n">
        <f aca="false">D15-D14</f>
        <v>0.518600000000001</v>
      </c>
      <c r="K15" s="25" t="n">
        <f aca="false">E15-E14</f>
        <v>5.18170000000001</v>
      </c>
      <c r="L15" s="26" t="n">
        <f aca="false">D14*$B$6*$B$8</f>
        <v>0.0701609964479028</v>
      </c>
      <c r="M15" s="26" t="n">
        <f aca="false">IF(G15="",J15-L15,G15)</f>
        <v>0.4485</v>
      </c>
      <c r="N15" s="26" t="n">
        <f aca="false">J15-M15</f>
        <v>0.0701000000000011</v>
      </c>
      <c r="O15" s="27" t="n">
        <f aca="false">LN(1+M15/D14)</f>
        <v>0.030861443902225</v>
      </c>
      <c r="P15" s="28" t="n">
        <f aca="false">M15/D14</f>
        <v>0.0313425951808576</v>
      </c>
      <c r="Q15" s="28" t="n">
        <f aca="false">K15/E14</f>
        <v>0.0313436067921936</v>
      </c>
      <c r="R15" s="29" t="n">
        <f aca="false">IFERROR(P15/Q15,"n/a")</f>
        <v>0.999967725114003</v>
      </c>
      <c r="S15" s="9" t="str">
        <f aca="false">IF(ROUND(M15+N15-J15,6)=0,"ok","CHECK")</f>
        <v>ok</v>
      </c>
    </row>
    <row r="16" customFormat="false" ht="15" hidden="false" customHeight="false" outlineLevel="0" collapsed="false">
      <c r="A16" s="9" t="n">
        <v>5</v>
      </c>
      <c r="B16" s="10" t="s">
        <v>34</v>
      </c>
      <c r="C16" s="11" t="n">
        <v>46477</v>
      </c>
      <c r="D16" s="12" t="n">
        <v>15.3656</v>
      </c>
      <c r="E16" s="13" t="n">
        <v>175.8449</v>
      </c>
      <c r="F16" s="14" t="n">
        <v>36.6867</v>
      </c>
      <c r="G16" s="15" t="n">
        <v>0.4648</v>
      </c>
      <c r="H16" s="16" t="n">
        <f aca="false">D16/E16*1000</f>
        <v>87.3815504458759</v>
      </c>
      <c r="I16" s="17" t="n">
        <f aca="false">H16*F16</f>
        <v>3205.74072674272</v>
      </c>
      <c r="J16" s="16" t="n">
        <f aca="false">D16-D15</f>
        <v>0.5374</v>
      </c>
      <c r="K16" s="25" t="n">
        <f aca="false">E16-E15</f>
        <v>5.34399999999999</v>
      </c>
      <c r="L16" s="26" t="n">
        <f aca="false">D15*$B$6*$B$8</f>
        <v>0.072703729491306</v>
      </c>
      <c r="M16" s="26" t="n">
        <f aca="false">IF(G16="",J16-L16,G16)</f>
        <v>0.4648</v>
      </c>
      <c r="N16" s="26" t="n">
        <f aca="false">J16-M16</f>
        <v>0.0725999999999999</v>
      </c>
      <c r="O16" s="27" t="n">
        <f aca="false">LN(1+M16/D15)</f>
        <v>0.0308644341727789</v>
      </c>
      <c r="P16" s="28" t="n">
        <f aca="false">M16/D15</f>
        <v>0.0313456791788619</v>
      </c>
      <c r="Q16" s="28" t="n">
        <f aca="false">K16/E15</f>
        <v>0.0313429430577785</v>
      </c>
      <c r="R16" s="29" t="n">
        <f aca="false">IFERROR(P16/Q16,"n/a")</f>
        <v>1.00008729624012</v>
      </c>
      <c r="S16" s="9" t="str">
        <f aca="false">IF(ROUND(M16+N16-J16,6)=0,"ok","CHECK")</f>
        <v>ok</v>
      </c>
    </row>
    <row r="17" customFormat="false" ht="15" hidden="false" customHeight="false" outlineLevel="0" collapsed="false">
      <c r="A17" s="9" t="n">
        <v>6</v>
      </c>
      <c r="B17" s="10" t="s">
        <v>35</v>
      </c>
      <c r="C17" s="11" t="n">
        <v>46568</v>
      </c>
      <c r="D17" s="12" t="n">
        <v>15.9225</v>
      </c>
      <c r="E17" s="13" t="n">
        <v>181.3565</v>
      </c>
      <c r="F17" s="14" t="n">
        <v>39.4612</v>
      </c>
      <c r="G17" s="15" t="n">
        <v>0.4816</v>
      </c>
      <c r="H17" s="16" t="n">
        <f aca="false">D17/E17*1000</f>
        <v>87.7966877393421</v>
      </c>
      <c r="I17" s="17" t="n">
        <f aca="false">H17*F17</f>
        <v>3464.56265421973</v>
      </c>
      <c r="J17" s="16" t="n">
        <f aca="false">D17-D16</f>
        <v>0.556899999999999</v>
      </c>
      <c r="K17" s="25" t="n">
        <f aca="false">E17-E16</f>
        <v>5.51160000000002</v>
      </c>
      <c r="L17" s="26" t="n">
        <f aca="false">D16*$B$6*$B$8</f>
        <v>0.0753386402848364</v>
      </c>
      <c r="M17" s="26" t="n">
        <f aca="false">IF(G17="",J17-L17,G17)</f>
        <v>0.4816</v>
      </c>
      <c r="N17" s="26" t="n">
        <f aca="false">J17-M17</f>
        <v>0.0752999999999989</v>
      </c>
      <c r="O17" s="27" t="n">
        <f aca="false">LN(1+M17/D16)</f>
        <v>0.0308615839578292</v>
      </c>
      <c r="P17" s="28" t="n">
        <f aca="false">M17/D16</f>
        <v>0.031342739626178</v>
      </c>
      <c r="Q17" s="28" t="n">
        <f aca="false">K17/E16</f>
        <v>0.0313435305772304</v>
      </c>
      <c r="R17" s="29" t="n">
        <f aca="false">IFERROR(P17/Q17,"n/a")</f>
        <v>0.999974765093854</v>
      </c>
      <c r="S17" s="9" t="str">
        <f aca="false">IF(ROUND(M17+N17-J17,6)=0,"ok","CHECK")</f>
        <v>ok</v>
      </c>
    </row>
    <row r="18" customFormat="false" ht="15" hidden="false" customHeight="false" outlineLevel="0" collapsed="false">
      <c r="A18" s="9" t="n">
        <v>7</v>
      </c>
      <c r="B18" s="10" t="s">
        <v>36</v>
      </c>
      <c r="C18" s="11" t="n">
        <v>46660</v>
      </c>
      <c r="D18" s="12" t="n">
        <v>16.4996</v>
      </c>
      <c r="E18" s="13" t="n">
        <v>187.0409</v>
      </c>
      <c r="F18" s="14" t="n">
        <v>42.4456</v>
      </c>
      <c r="G18" s="15" t="n">
        <v>0.4991</v>
      </c>
      <c r="H18" s="16" t="n">
        <f aca="false">D18/E18*1000</f>
        <v>88.2138612463905</v>
      </c>
      <c r="I18" s="17" t="n">
        <f aca="false">H18*F18</f>
        <v>3744.29026891979</v>
      </c>
      <c r="J18" s="16" t="n">
        <f aca="false">D18-D17</f>
        <v>0.577100000000002</v>
      </c>
      <c r="K18" s="25" t="n">
        <f aca="false">E18-E17</f>
        <v>5.68439999999998</v>
      </c>
      <c r="L18" s="26" t="n">
        <f aca="false">D17*$B$6*$B$8</f>
        <v>0.0780691609787647</v>
      </c>
      <c r="M18" s="26" t="n">
        <f aca="false">IF(G18="",J18-L18,G18)</f>
        <v>0.4991</v>
      </c>
      <c r="N18" s="26" t="n">
        <f aca="false">J18-M18</f>
        <v>0.0780000000000015</v>
      </c>
      <c r="O18" s="27" t="n">
        <f aca="false">LN(1+M18/D17)</f>
        <v>0.0308643381574481</v>
      </c>
      <c r="P18" s="28" t="n">
        <f aca="false">M18/D17</f>
        <v>0.0313455801538703</v>
      </c>
      <c r="Q18" s="28" t="n">
        <f aca="false">K18/E17</f>
        <v>0.0313437897180414</v>
      </c>
      <c r="R18" s="29" t="n">
        <f aca="false">IFERROR(P18/Q18,"n/a")</f>
        <v>1.0000571225064</v>
      </c>
      <c r="S18" s="9" t="str">
        <f aca="false">IF(ROUND(M18+N18-J18,6)=0,"ok","CHECK")</f>
        <v>ok</v>
      </c>
    </row>
    <row r="19" customFormat="false" ht="15" hidden="false" customHeight="false" outlineLevel="0" collapsed="false">
      <c r="A19" s="9" t="n">
        <v>8</v>
      </c>
      <c r="B19" s="10" t="s">
        <v>37</v>
      </c>
      <c r="C19" s="11" t="n">
        <v>46752</v>
      </c>
      <c r="D19" s="12" t="n">
        <v>17.0976</v>
      </c>
      <c r="E19" s="13" t="n">
        <v>192.9034</v>
      </c>
      <c r="F19" s="14" t="n">
        <v>45.6556</v>
      </c>
      <c r="G19" s="15" t="n">
        <v>0.5172</v>
      </c>
      <c r="H19" s="16" t="n">
        <f aca="false">D19/E19*1000</f>
        <v>88.6329634418056</v>
      </c>
      <c r="I19" s="17" t="n">
        <f aca="false">H19*F19</f>
        <v>4046.5911257137</v>
      </c>
      <c r="J19" s="16" t="n">
        <f aca="false">D19-D18</f>
        <v>0.597999999999999</v>
      </c>
      <c r="K19" s="25" t="n">
        <f aca="false">E19-E18</f>
        <v>5.86250000000001</v>
      </c>
      <c r="L19" s="26" t="n">
        <f aca="false">D18*$B$6*$B$8</f>
        <v>0.0808987237233617</v>
      </c>
      <c r="M19" s="26" t="n">
        <f aca="false">IF(G19="",J19-L19,G19)</f>
        <v>0.5172</v>
      </c>
      <c r="N19" s="26" t="n">
        <f aca="false">J19-M19</f>
        <v>0.080799999999999</v>
      </c>
      <c r="O19" s="27" t="n">
        <f aca="false">LN(1+M19/D18)</f>
        <v>0.0308649531788636</v>
      </c>
      <c r="P19" s="28" t="n">
        <f aca="false">M19/D18</f>
        <v>0.0313462144536837</v>
      </c>
      <c r="Q19" s="28" t="n">
        <f aca="false">K19/E18</f>
        <v>0.0313434120558659</v>
      </c>
      <c r="R19" s="29" t="n">
        <f aca="false">IFERROR(P19/Q19,"n/a")</f>
        <v>1.00008940946866</v>
      </c>
      <c r="S19" s="9" t="str">
        <f aca="false">IF(ROUND(M19+N19-J19,6)=0,"ok","CHECK")</f>
        <v>ok</v>
      </c>
    </row>
    <row r="20" customFormat="false" ht="15" hidden="false" customHeight="false" outlineLevel="0" collapsed="false">
      <c r="A20" s="9" t="n">
        <v>9</v>
      </c>
      <c r="B20" s="10" t="s">
        <v>38</v>
      </c>
      <c r="C20" s="11" t="n">
        <v>46843</v>
      </c>
      <c r="D20" s="12" t="n">
        <v>17.7173</v>
      </c>
      <c r="E20" s="13" t="n">
        <v>198.9497</v>
      </c>
      <c r="F20" s="14" t="n">
        <v>49.1084</v>
      </c>
      <c r="G20" s="15" t="n">
        <v>0.5359</v>
      </c>
      <c r="H20" s="16" t="n">
        <f aca="false">D20/E20*1000</f>
        <v>89.054167963058</v>
      </c>
      <c r="I20" s="17" t="n">
        <f aca="false">H20*F20</f>
        <v>4373.30770199704</v>
      </c>
      <c r="J20" s="16" t="n">
        <f aca="false">D20-D19</f>
        <v>0.619700000000002</v>
      </c>
      <c r="K20" s="25" t="n">
        <f aca="false">E20-E19</f>
        <v>6.0463</v>
      </c>
      <c r="L20" s="26" t="n">
        <f aca="false">D19*$B$6*$B$8</f>
        <v>0.083830760668898</v>
      </c>
      <c r="M20" s="26" t="n">
        <f aca="false">IF(G20="",J20-L20,G20)</f>
        <v>0.5359</v>
      </c>
      <c r="N20" s="26" t="n">
        <f aca="false">J20-M20</f>
        <v>0.0838000000000017</v>
      </c>
      <c r="O20" s="27" t="n">
        <f aca="false">LN(1+M20/D19)</f>
        <v>0.0308623991660022</v>
      </c>
      <c r="P20" s="28" t="n">
        <f aca="false">M20/D19</f>
        <v>0.0313435803855512</v>
      </c>
      <c r="Q20" s="28" t="n">
        <f aca="false">K20/E19</f>
        <v>0.0313436673485278</v>
      </c>
      <c r="R20" s="29" t="n">
        <f aca="false">IFERROR(P20/Q20,"n/a")</f>
        <v>0.999997225500907</v>
      </c>
      <c r="S20" s="9" t="str">
        <f aca="false">IF(ROUND(M20+N20-J20,6)=0,"ok","CHECK")</f>
        <v>ok</v>
      </c>
    </row>
    <row r="21" customFormat="false" ht="15" hidden="false" customHeight="false" outlineLevel="0" collapsed="false">
      <c r="A21" s="9" t="n">
        <v>10</v>
      </c>
      <c r="B21" s="10" t="s">
        <v>39</v>
      </c>
      <c r="C21" s="11" t="n">
        <v>46934</v>
      </c>
      <c r="D21" s="12" t="n">
        <v>18.3594</v>
      </c>
      <c r="E21" s="13" t="n">
        <v>205.1854</v>
      </c>
      <c r="F21" s="14" t="n">
        <v>52.8223</v>
      </c>
      <c r="G21" s="15" t="n">
        <v>0.5553</v>
      </c>
      <c r="H21" s="16" t="n">
        <f aca="false">D21/E21*1000</f>
        <v>89.4771265401924</v>
      </c>
      <c r="I21" s="17" t="n">
        <f aca="false">H21*F21</f>
        <v>4726.38762124401</v>
      </c>
      <c r="J21" s="16" t="n">
        <f aca="false">D21-D20</f>
        <v>0.642099999999999</v>
      </c>
      <c r="K21" s="25" t="n">
        <f aca="false">E21-E20</f>
        <v>6.23569999999998</v>
      </c>
      <c r="L21" s="26" t="n">
        <f aca="false">D20*$B$6*$B$8</f>
        <v>0.0868691942728258</v>
      </c>
      <c r="M21" s="26" t="n">
        <f aca="false">IF(G21="",J21-L21,G21)</f>
        <v>0.5553</v>
      </c>
      <c r="N21" s="26" t="n">
        <f aca="false">J21-M21</f>
        <v>0.0867999999999992</v>
      </c>
      <c r="O21" s="27" t="n">
        <f aca="false">LN(1+M21/D20)</f>
        <v>0.0308611066980631</v>
      </c>
      <c r="P21" s="28" t="n">
        <f aca="false">M21/D20</f>
        <v>0.0313422474079008</v>
      </c>
      <c r="Q21" s="28" t="n">
        <f aca="false">K21/E20</f>
        <v>0.0313430982806206</v>
      </c>
      <c r="R21" s="29" t="n">
        <f aca="false">IFERROR(P21/Q21,"n/a")</f>
        <v>0.999972852947969</v>
      </c>
      <c r="S21" s="9" t="str">
        <f aca="false">IF(ROUND(M21+N21-J21,6)=0,"ok","CHECK")</f>
        <v>ok</v>
      </c>
    </row>
    <row r="22" customFormat="false" ht="15" hidden="false" customHeight="false" outlineLevel="0" collapsed="false">
      <c r="A22" s="9" t="n">
        <v>11</v>
      </c>
      <c r="B22" s="10" t="s">
        <v>40</v>
      </c>
      <c r="C22" s="11" t="n">
        <v>47026</v>
      </c>
      <c r="D22" s="12" t="n">
        <v>19.0248</v>
      </c>
      <c r="E22" s="13" t="n">
        <v>211.6167</v>
      </c>
      <c r="F22" s="14" t="n">
        <v>56.8172</v>
      </c>
      <c r="G22" s="15" t="n">
        <v>0.5754</v>
      </c>
      <c r="H22" s="16" t="n">
        <f aca="false">D22/E22*1000</f>
        <v>89.9021674565382</v>
      </c>
      <c r="I22" s="17" t="n">
        <f aca="false">H22*F22</f>
        <v>5107.98942881162</v>
      </c>
      <c r="J22" s="16" t="n">
        <f aca="false">D22-D21</f>
        <v>0.665399999999998</v>
      </c>
      <c r="K22" s="25" t="n">
        <f aca="false">E22-E21</f>
        <v>6.43130000000002</v>
      </c>
      <c r="L22" s="26" t="n">
        <f aca="false">D21*$B$6*$B$8</f>
        <v>0.0900174566854158</v>
      </c>
      <c r="M22" s="26" t="n">
        <f aca="false">IF(G22="",J22-L22,G22)</f>
        <v>0.5754</v>
      </c>
      <c r="N22" s="26" t="n">
        <f aca="false">J22-M22</f>
        <v>0.0899999999999982</v>
      </c>
      <c r="O22" s="27" t="n">
        <f aca="false">LN(1+M22/D21)</f>
        <v>0.0308597939276984</v>
      </c>
      <c r="P22" s="28" t="n">
        <f aca="false">M22/D21</f>
        <v>0.0313408934932514</v>
      </c>
      <c r="Q22" s="28" t="n">
        <f aca="false">K22/E21</f>
        <v>0.0313438480515671</v>
      </c>
      <c r="R22" s="29" t="n">
        <f aca="false">IFERROR(P22/Q22,"n/a")</f>
        <v>0.999905737218007</v>
      </c>
      <c r="S22" s="9" t="str">
        <f aca="false">IF(ROUND(M22+N22-J22,6)=0,"ok","CHECK")</f>
        <v>ok</v>
      </c>
    </row>
    <row r="23" customFormat="false" ht="15" hidden="false" customHeight="false" outlineLevel="0" collapsed="false">
      <c r="A23" s="9" t="n">
        <v>12</v>
      </c>
      <c r="B23" s="10" t="s">
        <v>41</v>
      </c>
      <c r="C23" s="11" t="n">
        <v>47118</v>
      </c>
      <c r="D23" s="12" t="n">
        <v>19.7144</v>
      </c>
      <c r="E23" s="13" t="n">
        <v>218.2495</v>
      </c>
      <c r="F23" s="14" t="n">
        <v>61.1141</v>
      </c>
      <c r="G23" s="15" t="n">
        <v>0.5963</v>
      </c>
      <c r="H23" s="16" t="n">
        <f aca="false">D23/E23*1000</f>
        <v>90.3296456578366</v>
      </c>
      <c r="I23" s="17" t="n">
        <f aca="false">H23*F23</f>
        <v>5520.41499769759</v>
      </c>
      <c r="J23" s="16" t="n">
        <f aca="false">D23-D22</f>
        <v>0.689600000000002</v>
      </c>
      <c r="K23" s="25" t="n">
        <f aca="false">E23-E22</f>
        <v>6.6328</v>
      </c>
      <c r="L23" s="26" t="n">
        <f aca="false">D22*$B$6*$B$8</f>
        <v>0.0932799606713018</v>
      </c>
      <c r="M23" s="26" t="n">
        <f aca="false">IF(G23="",J23-L23,G23)</f>
        <v>0.5963</v>
      </c>
      <c r="N23" s="26" t="n">
        <f aca="false">J23-M23</f>
        <v>0.0933000000000022</v>
      </c>
      <c r="O23" s="27" t="n">
        <f aca="false">LN(1+M23/D22)</f>
        <v>0.0308621265962529</v>
      </c>
      <c r="P23" s="28" t="n">
        <f aca="false">M23/D22</f>
        <v>0.0313432992725285</v>
      </c>
      <c r="Q23" s="28" t="n">
        <f aca="false">K23/E22</f>
        <v>0.0313434620235549</v>
      </c>
      <c r="R23" s="29" t="n">
        <f aca="false">IFERROR(P23/Q23,"n/a")</f>
        <v>0.999994807496816</v>
      </c>
      <c r="S23" s="9" t="str">
        <f aca="false">IF(ROUND(M23+N23-J23,6)=0,"ok","CHECK")</f>
        <v>ok</v>
      </c>
    </row>
    <row r="24" customFormat="false" ht="15" hidden="false" customHeight="false" outlineLevel="0" collapsed="false">
      <c r="A24" s="9" t="n">
        <v>13</v>
      </c>
      <c r="B24" s="10" t="s">
        <v>42</v>
      </c>
      <c r="C24" s="11" t="n">
        <v>47208</v>
      </c>
      <c r="D24" s="12" t="n">
        <v>20.4289</v>
      </c>
      <c r="E24" s="13" t="n">
        <v>225.0902</v>
      </c>
      <c r="F24" s="14" t="n">
        <v>65.736</v>
      </c>
      <c r="G24" s="15" t="n">
        <v>0.6179</v>
      </c>
      <c r="H24" s="16" t="n">
        <f aca="false">D24/E24*1000</f>
        <v>90.7587269459088</v>
      </c>
      <c r="I24" s="17" t="n">
        <f aca="false">H24*F24</f>
        <v>5966.11567451626</v>
      </c>
      <c r="J24" s="16" t="n">
        <f aca="false">D24-D23</f>
        <v>0.714499999999998</v>
      </c>
      <c r="K24" s="25" t="n">
        <f aca="false">E24-E23</f>
        <v>6.8407</v>
      </c>
      <c r="L24" s="26" t="n">
        <f aca="false">D23*$B$6*$B$8</f>
        <v>0.0966611189951176</v>
      </c>
      <c r="M24" s="26" t="n">
        <f aca="false">IF(G24="",J24-L24,G24)</f>
        <v>0.6179</v>
      </c>
      <c r="N24" s="26" t="n">
        <f aca="false">J24-M24</f>
        <v>0.0965999999999975</v>
      </c>
      <c r="O24" s="27" t="n">
        <f aca="false">LN(1+M24/D23)</f>
        <v>0.0308614213551695</v>
      </c>
      <c r="P24" s="28" t="n">
        <f aca="false">M24/D23</f>
        <v>0.0313425719271193</v>
      </c>
      <c r="Q24" s="28" t="n">
        <f aca="false">K24/E23</f>
        <v>0.0313434853229904</v>
      </c>
      <c r="R24" s="29" t="n">
        <f aca="false">IFERROR(P24/Q24,"n/a")</f>
        <v>0.999970858509775</v>
      </c>
      <c r="S24" s="9" t="str">
        <f aca="false">IF(ROUND(M24+N24-J24,6)=0,"ok","CHECK")</f>
        <v>ok</v>
      </c>
    </row>
    <row r="25" customFormat="false" ht="15" hidden="false" customHeight="false" outlineLevel="0" collapsed="false">
      <c r="A25" s="9" t="n">
        <v>14</v>
      </c>
      <c r="B25" s="10" t="s">
        <v>43</v>
      </c>
      <c r="C25" s="11" t="n">
        <v>47299</v>
      </c>
      <c r="D25" s="12" t="n">
        <v>21.1693</v>
      </c>
      <c r="E25" s="13" t="n">
        <v>232.1453</v>
      </c>
      <c r="F25" s="14" t="n">
        <v>70.7074</v>
      </c>
      <c r="G25" s="15" t="n">
        <v>0.6403</v>
      </c>
      <c r="H25" s="16" t="n">
        <f aca="false">D25/E25*1000</f>
        <v>91.1898711712018</v>
      </c>
      <c r="I25" s="17" t="n">
        <f aca="false">H25*F25</f>
        <v>6447.79869685064</v>
      </c>
      <c r="J25" s="16" t="n">
        <f aca="false">D25-D24</f>
        <v>0.740400000000001</v>
      </c>
      <c r="K25" s="25" t="n">
        <f aca="false">E25-E24</f>
        <v>7.05509999999998</v>
      </c>
      <c r="L25" s="26" t="n">
        <f aca="false">D24*$B$6*$B$8</f>
        <v>0.100164363807134</v>
      </c>
      <c r="M25" s="26" t="n">
        <f aca="false">IF(G25="",J25-L25,G25)</f>
        <v>0.6403</v>
      </c>
      <c r="N25" s="26" t="n">
        <f aca="false">J25-M25</f>
        <v>0.100100000000001</v>
      </c>
      <c r="O25" s="27" t="n">
        <f aca="false">LN(1+M25/D24)</f>
        <v>0.0308616934280937</v>
      </c>
      <c r="P25" s="28" t="n">
        <f aca="false">M25/D24</f>
        <v>0.0313428525275468</v>
      </c>
      <c r="Q25" s="28" t="n">
        <f aca="false">K25/E24</f>
        <v>0.0313434347652629</v>
      </c>
      <c r="R25" s="29" t="n">
        <f aca="false">IFERROR(P25/Q25,"n/a")</f>
        <v>0.999981423933895</v>
      </c>
      <c r="S25" s="9" t="str">
        <f aca="false">IF(ROUND(M25+N25-J25,6)=0,"ok","CHECK")</f>
        <v>ok</v>
      </c>
    </row>
    <row r="26" customFormat="false" ht="15" hidden="false" customHeight="false" outlineLevel="0" collapsed="false">
      <c r="A26" s="9" t="n">
        <v>15</v>
      </c>
      <c r="B26" s="10" t="s">
        <v>44</v>
      </c>
      <c r="C26" s="11" t="n">
        <v>47391</v>
      </c>
      <c r="D26" s="12" t="n">
        <v>21.9365</v>
      </c>
      <c r="E26" s="13" t="n">
        <v>239.4215</v>
      </c>
      <c r="F26" s="14" t="n">
        <v>76.0548</v>
      </c>
      <c r="G26" s="15" t="n">
        <v>0.6635</v>
      </c>
      <c r="H26" s="16" t="n">
        <f aca="false">D26/E26*1000</f>
        <v>91.6229327775492</v>
      </c>
      <c r="I26" s="17" t="n">
        <f aca="false">H26*F26</f>
        <v>6968.36382780995</v>
      </c>
      <c r="J26" s="16" t="n">
        <f aca="false">D26-D25</f>
        <v>0.767199999999999</v>
      </c>
      <c r="K26" s="25" t="n">
        <f aca="false">E26-E25</f>
        <v>7.27620000000002</v>
      </c>
      <c r="L26" s="26" t="n">
        <f aca="false">D25*$B$6*$B$8</f>
        <v>0.103794598179166</v>
      </c>
      <c r="M26" s="26" t="n">
        <f aca="false">IF(G26="",J26-L26,G26)</f>
        <v>0.6635</v>
      </c>
      <c r="N26" s="26" t="n">
        <f aca="false">J26-M26</f>
        <v>0.103699999999999</v>
      </c>
      <c r="O26" s="27" t="n">
        <f aca="false">LN(1+M26/D25)</f>
        <v>0.0308614072526833</v>
      </c>
      <c r="P26" s="28" t="n">
        <f aca="false">M26/D25</f>
        <v>0.0313425573826248</v>
      </c>
      <c r="Q26" s="28" t="n">
        <f aca="false">K26/E25</f>
        <v>0.031343300941264</v>
      </c>
      <c r="R26" s="29" t="n">
        <f aca="false">IFERROR(P26/Q26,"n/a")</f>
        <v>0.999976276951794</v>
      </c>
      <c r="S26" s="9" t="str">
        <f aca="false">IF(ROUND(M26+N26-J26,6)=0,"ok","CHECK")</f>
        <v>ok</v>
      </c>
    </row>
    <row r="27" customFormat="false" ht="15" hidden="false" customHeight="false" outlineLevel="0" collapsed="false">
      <c r="A27" s="9" t="n">
        <v>16</v>
      </c>
      <c r="B27" s="10" t="s">
        <v>45</v>
      </c>
      <c r="C27" s="11" t="n">
        <v>47483</v>
      </c>
      <c r="D27" s="12" t="n">
        <v>22.7316</v>
      </c>
      <c r="E27" s="13" t="n">
        <v>246.9258</v>
      </c>
      <c r="F27" s="14" t="n">
        <v>81.8067</v>
      </c>
      <c r="G27" s="15" t="n">
        <v>0.6876</v>
      </c>
      <c r="H27" s="16" t="n">
        <f aca="false">D27/E27*1000</f>
        <v>92.0584240285948</v>
      </c>
      <c r="I27" s="17" t="n">
        <f aca="false">H27*F27</f>
        <v>7530.99587698005</v>
      </c>
      <c r="J27" s="16" t="n">
        <f aca="false">D27-D26</f>
        <v>0.795100000000002</v>
      </c>
      <c r="K27" s="25" t="n">
        <f aca="false">E27-E26</f>
        <v>7.5043</v>
      </c>
      <c r="L27" s="26" t="n">
        <f aca="false">D26*$B$6*$B$8</f>
        <v>0.107556234875847</v>
      </c>
      <c r="M27" s="26" t="n">
        <f aca="false">IF(G27="",J27-L27,G27)</f>
        <v>0.6876</v>
      </c>
      <c r="N27" s="26" t="n">
        <f aca="false">J27-M27</f>
        <v>0.107500000000001</v>
      </c>
      <c r="O27" s="27" t="n">
        <f aca="false">LN(1+M27/D26)</f>
        <v>0.0308637936477429</v>
      </c>
      <c r="P27" s="28" t="n">
        <f aca="false">M27/D26</f>
        <v>0.0313450185763454</v>
      </c>
      <c r="Q27" s="28" t="n">
        <f aca="false">K27/E26</f>
        <v>0.031343467483079</v>
      </c>
      <c r="R27" s="29" t="n">
        <f aca="false">IFERROR(P27/Q27,"n/a")</f>
        <v>1.000049486971</v>
      </c>
      <c r="S27" s="9" t="str">
        <f aca="false">IF(ROUND(M27+N27-J27,6)=0,"ok","CHECK")</f>
        <v>ok</v>
      </c>
    </row>
    <row r="28" customFormat="false" ht="15" hidden="false" customHeight="false" outlineLevel="0" collapsed="false">
      <c r="A28" s="9" t="n">
        <v>17</v>
      </c>
      <c r="B28" s="10" t="s">
        <v>46</v>
      </c>
      <c r="C28" s="11" t="n">
        <v>47573</v>
      </c>
      <c r="D28" s="12" t="n">
        <v>23.5555</v>
      </c>
      <c r="E28" s="13" t="n">
        <v>254.6653</v>
      </c>
      <c r="F28" s="14" t="n">
        <v>87.9935</v>
      </c>
      <c r="G28" s="15" t="n">
        <v>0.7125</v>
      </c>
      <c r="H28" s="16" t="n">
        <f aca="false">D28/E28*1000</f>
        <v>92.4959152267702</v>
      </c>
      <c r="I28" s="17" t="n">
        <f aca="false">H28*F28</f>
        <v>8139.0393165068</v>
      </c>
      <c r="J28" s="16" t="n">
        <f aca="false">D28-D27</f>
        <v>0.823899999999998</v>
      </c>
      <c r="K28" s="25" t="n">
        <f aca="false">E28-E27</f>
        <v>7.73949999999999</v>
      </c>
      <c r="L28" s="26" t="n">
        <f aca="false">D27*$B$6*$B$8</f>
        <v>0.111454667276174</v>
      </c>
      <c r="M28" s="26" t="n">
        <f aca="false">IF(G28="",J28-L28,G28)</f>
        <v>0.7125</v>
      </c>
      <c r="N28" s="26" t="n">
        <f aca="false">J28-M28</f>
        <v>0.111399999999998</v>
      </c>
      <c r="O28" s="27" t="n">
        <f aca="false">LN(1+M28/D27)</f>
        <v>0.030862837148695</v>
      </c>
      <c r="P28" s="28" t="n">
        <f aca="false">M28/D27</f>
        <v>0.0313440320962889</v>
      </c>
      <c r="Q28" s="28" t="n">
        <f aca="false">K28/E27</f>
        <v>0.0313434238139554</v>
      </c>
      <c r="R28" s="29" t="n">
        <f aca="false">IFERROR(P28/Q28,"n/a")</f>
        <v>1.00001940701619</v>
      </c>
      <c r="S28" s="9" t="str">
        <f aca="false">IF(ROUND(M28+N28-J28,6)=0,"ok","CHECK")</f>
        <v>ok</v>
      </c>
    </row>
    <row r="29" customFormat="false" ht="15" hidden="false" customHeight="false" outlineLevel="0" collapsed="false">
      <c r="A29" s="9" t="n">
        <v>18</v>
      </c>
      <c r="B29" s="10" t="s">
        <v>47</v>
      </c>
      <c r="C29" s="11" t="n">
        <v>47664</v>
      </c>
      <c r="D29" s="12" t="n">
        <v>24.4092</v>
      </c>
      <c r="E29" s="13" t="n">
        <v>262.6474</v>
      </c>
      <c r="F29" s="14" t="n">
        <v>94.6482</v>
      </c>
      <c r="G29" s="15" t="n">
        <v>0.7383</v>
      </c>
      <c r="H29" s="16" t="n">
        <f aca="false">D29/E29*1000</f>
        <v>92.9352432196169</v>
      </c>
      <c r="I29" s="17" t="n">
        <f aca="false">H29*F29</f>
        <v>8796.15348729894</v>
      </c>
      <c r="J29" s="16" t="n">
        <f aca="false">D29-D28</f>
        <v>0.8537</v>
      </c>
      <c r="K29" s="25" t="n">
        <f aca="false">E29-E28</f>
        <v>7.9821</v>
      </c>
      <c r="L29" s="26" t="n">
        <f aca="false">D28*$B$6*$B$8</f>
        <v>0.115494308144782</v>
      </c>
      <c r="M29" s="26" t="n">
        <f aca="false">IF(G29="",J29-L29,G29)</f>
        <v>0.7383</v>
      </c>
      <c r="N29" s="26" t="n">
        <f aca="false">J29-M29</f>
        <v>0.1154</v>
      </c>
      <c r="O29" s="27" t="n">
        <f aca="false">LN(1+M29/D28)</f>
        <v>0.0308618349163589</v>
      </c>
      <c r="P29" s="28" t="n">
        <f aca="false">M29/D28</f>
        <v>0.031342998450468</v>
      </c>
      <c r="Q29" s="28" t="n">
        <f aca="false">K29/E28</f>
        <v>0.0313434928119379</v>
      </c>
      <c r="R29" s="29" t="n">
        <f aca="false">IFERROR(P29/Q29,"n/a")</f>
        <v>0.999984227620297</v>
      </c>
      <c r="S29" s="9" t="str">
        <f aca="false">IF(ROUND(M29+N29-J29,6)=0,"ok","CHECK")</f>
        <v>ok</v>
      </c>
    </row>
    <row r="30" customFormat="false" ht="15" hidden="false" customHeight="false" outlineLevel="0" collapsed="false">
      <c r="A30" s="9" t="n">
        <v>19</v>
      </c>
      <c r="B30" s="10" t="s">
        <v>48</v>
      </c>
      <c r="C30" s="11" t="n">
        <v>47756</v>
      </c>
      <c r="D30" s="12" t="n">
        <v>25.2939</v>
      </c>
      <c r="E30" s="13" t="n">
        <v>270.8797</v>
      </c>
      <c r="F30" s="14" t="n">
        <v>101.8062</v>
      </c>
      <c r="G30" s="15" t="n">
        <v>0.7651</v>
      </c>
      <c r="H30" s="16" t="n">
        <f aca="false">D30/E30*1000</f>
        <v>93.3768754173901</v>
      </c>
      <c r="I30" s="17" t="n">
        <f aca="false">H30*F30</f>
        <v>9506.3448541179</v>
      </c>
      <c r="J30" s="16" t="n">
        <f aca="false">D30-D29</f>
        <v>0.884700000000002</v>
      </c>
      <c r="K30" s="25" t="n">
        <f aca="false">E30-E29</f>
        <v>8.23230000000001</v>
      </c>
      <c r="L30" s="26" t="n">
        <f aca="false">D29*$B$6*$B$8</f>
        <v>0.119680060553485</v>
      </c>
      <c r="M30" s="26" t="n">
        <f aca="false">IF(G30="",J30-L30,G30)</f>
        <v>0.7651</v>
      </c>
      <c r="N30" s="26" t="n">
        <f aca="false">J30-M30</f>
        <v>0.119600000000002</v>
      </c>
      <c r="O30" s="27" t="n">
        <f aca="false">LN(1+M30/D29)</f>
        <v>0.0308635224412822</v>
      </c>
      <c r="P30" s="28" t="n">
        <f aca="false">M30/D29</f>
        <v>0.0313447388689511</v>
      </c>
      <c r="Q30" s="28" t="n">
        <f aca="false">K30/E29</f>
        <v>0.0313435427116355</v>
      </c>
      <c r="R30" s="29" t="n">
        <f aca="false">IFERROR(P30/Q30,"n/a")</f>
        <v>1.00003816279884</v>
      </c>
      <c r="S30" s="9" t="str">
        <f aca="false">IF(ROUND(M30+N30-J30,6)=0,"ok","CHECK")</f>
        <v>ok</v>
      </c>
    </row>
    <row r="31" customFormat="false" ht="15" hidden="false" customHeight="false" outlineLevel="0" collapsed="false">
      <c r="A31" s="9" t="n">
        <v>20</v>
      </c>
      <c r="B31" s="10" t="s">
        <v>49</v>
      </c>
      <c r="C31" s="11" t="n">
        <v>47848</v>
      </c>
      <c r="D31" s="12" t="n">
        <v>26.2106</v>
      </c>
      <c r="E31" s="13" t="n">
        <v>279.37</v>
      </c>
      <c r="F31" s="14" t="n">
        <v>109.5055</v>
      </c>
      <c r="G31" s="15" t="n">
        <v>0.7928</v>
      </c>
      <c r="H31" s="16" t="n">
        <f aca="false">D31/E31*1000</f>
        <v>93.8203815728246</v>
      </c>
      <c r="I31" s="17" t="n">
        <f aca="false">H31*F31</f>
        <v>10273.8477943229</v>
      </c>
      <c r="J31" s="16" t="n">
        <f aca="false">D31-D30</f>
        <v>0.916699999999999</v>
      </c>
      <c r="K31" s="25" t="n">
        <f aca="false">E31-E30</f>
        <v>8.49029999999999</v>
      </c>
      <c r="L31" s="26" t="n">
        <f aca="false">D30*$B$6*$B$8</f>
        <v>0.124017808188461</v>
      </c>
      <c r="M31" s="26" t="n">
        <f aca="false">IF(G31="",J31-L31,G31)</f>
        <v>0.7928</v>
      </c>
      <c r="N31" s="26" t="n">
        <f aca="false">J31-M31</f>
        <v>0.123899999999999</v>
      </c>
      <c r="O31" s="27" t="n">
        <f aca="false">LN(1+M31/D30)</f>
        <v>0.0308623459621069</v>
      </c>
      <c r="P31" s="28" t="n">
        <f aca="false">M31/D30</f>
        <v>0.0313435255140567</v>
      </c>
      <c r="Q31" s="28" t="n">
        <f aca="false">K31/E30</f>
        <v>0.0313434340040985</v>
      </c>
      <c r="R31" s="29" t="n">
        <f aca="false">IFERROR(P31/Q31,"n/a")</f>
        <v>1.00000291958942</v>
      </c>
      <c r="S31" s="9" t="str">
        <f aca="false">IF(ROUND(M31+N31-J31,6)=0,"ok","CHECK")</f>
        <v>ok</v>
      </c>
    </row>
    <row r="32" customFormat="false" ht="15" hidden="false" customHeight="false" outlineLevel="0" collapsed="false">
      <c r="A32" s="9" t="n">
        <v>21</v>
      </c>
      <c r="B32" s="10" t="s">
        <v>50</v>
      </c>
      <c r="C32" s="11" t="n">
        <v>47938</v>
      </c>
      <c r="D32" s="12" t="n">
        <v>27.1606</v>
      </c>
      <c r="E32" s="13" t="n">
        <v>288.1265</v>
      </c>
      <c r="F32" s="14" t="n">
        <v>117.7871</v>
      </c>
      <c r="G32" s="15" t="n">
        <v>0.8215</v>
      </c>
      <c r="H32" s="16" t="n">
        <f aca="false">D32/E32*1000</f>
        <v>94.2662337549653</v>
      </c>
      <c r="I32" s="17" t="n">
        <f aca="false">H32*F32</f>
        <v>11103.3463019195</v>
      </c>
      <c r="J32" s="16" t="n">
        <f aca="false">D32-D31</f>
        <v>0.949999999999999</v>
      </c>
      <c r="K32" s="25" t="n">
        <f aca="false">E32-E31</f>
        <v>8.75650000000002</v>
      </c>
      <c r="L32" s="26" t="n">
        <f aca="false">D31*$B$6*$B$8</f>
        <v>0.128512454121527</v>
      </c>
      <c r="M32" s="26" t="n">
        <f aca="false">IF(G32="",J32-L32,G32)</f>
        <v>0.8215</v>
      </c>
      <c r="N32" s="26" t="n">
        <f aca="false">J32-M32</f>
        <v>0.128499999999999</v>
      </c>
      <c r="O32" s="27" t="n">
        <f aca="false">LN(1+M32/D31)</f>
        <v>0.0308611396252308</v>
      </c>
      <c r="P32" s="28" t="n">
        <f aca="false">M32/D31</f>
        <v>0.0313422813670805</v>
      </c>
      <c r="Q32" s="28" t="n">
        <f aca="false">K32/E31</f>
        <v>0.0313437376955293</v>
      </c>
      <c r="R32" s="29" t="n">
        <f aca="false">IFERROR(P32/Q32,"n/a")</f>
        <v>0.999953536860762</v>
      </c>
      <c r="S32" s="9" t="str">
        <f aca="false">IF(ROUND(M32+N32-J32,6)=0,"ok","CHECK")</f>
        <v>ok</v>
      </c>
    </row>
    <row r="33" customFormat="false" ht="15" hidden="false" customHeight="false" outlineLevel="0" collapsed="false">
      <c r="A33" s="9" t="n">
        <v>22</v>
      </c>
      <c r="B33" s="10" t="s">
        <v>51</v>
      </c>
      <c r="C33" s="11" t="n">
        <v>48029</v>
      </c>
      <c r="D33" s="12" t="n">
        <v>28.145</v>
      </c>
      <c r="E33" s="13" t="n">
        <v>297.1574</v>
      </c>
      <c r="F33" s="14" t="n">
        <v>126.6951</v>
      </c>
      <c r="G33" s="15" t="n">
        <v>0.8513</v>
      </c>
      <c r="H33" s="16" t="n">
        <f aca="false">D33/E33*1000</f>
        <v>94.7141144726667</v>
      </c>
      <c r="I33" s="17" t="n">
        <f aca="false">H33*F33</f>
        <v>11999.814204526</v>
      </c>
      <c r="J33" s="16" t="n">
        <f aca="false">D33-D32</f>
        <v>0.984400000000001</v>
      </c>
      <c r="K33" s="25" t="n">
        <f aca="false">E33-E32</f>
        <v>9.03089999999997</v>
      </c>
      <c r="L33" s="26" t="n">
        <f aca="false">D32*$B$6*$B$8</f>
        <v>0.133170372346041</v>
      </c>
      <c r="M33" s="26" t="n">
        <f aca="false">IF(G33="",J33-L33,G33)</f>
        <v>0.8513</v>
      </c>
      <c r="N33" s="26" t="n">
        <f aca="false">J33-M33</f>
        <v>0.133100000000001</v>
      </c>
      <c r="O33" s="27" t="n">
        <f aca="false">LN(1+M33/D32)</f>
        <v>0.0308620261310472</v>
      </c>
      <c r="P33" s="28" t="n">
        <f aca="false">M33/D32</f>
        <v>0.031343195658417</v>
      </c>
      <c r="Q33" s="28" t="n">
        <f aca="false">K33/E32</f>
        <v>0.0313435244588747</v>
      </c>
      <c r="R33" s="29" t="n">
        <f aca="false">IFERROR(P33/Q33,"n/a")</f>
        <v>0.999989509780299</v>
      </c>
      <c r="S33" s="9" t="str">
        <f aca="false">IF(ROUND(M33+N33-J33,6)=0,"ok","CHECK")</f>
        <v>ok</v>
      </c>
    </row>
    <row r="34" customFormat="false" ht="15" hidden="false" customHeight="false" outlineLevel="0" collapsed="false">
      <c r="A34" s="9" t="n">
        <v>23</v>
      </c>
      <c r="B34" s="10" t="s">
        <v>52</v>
      </c>
      <c r="C34" s="11" t="n">
        <v>48121</v>
      </c>
      <c r="D34" s="12" t="n">
        <v>29.165</v>
      </c>
      <c r="E34" s="13" t="n">
        <v>306.4713</v>
      </c>
      <c r="F34" s="14" t="n">
        <v>136.2767</v>
      </c>
      <c r="G34" s="15" t="n">
        <v>0.8822</v>
      </c>
      <c r="H34" s="16" t="n">
        <f aca="false">D34/E34*1000</f>
        <v>95.163886471588</v>
      </c>
      <c r="I34" s="17" t="n">
        <f aca="false">H34*F34</f>
        <v>12968.6204075227</v>
      </c>
      <c r="J34" s="16" t="n">
        <f aca="false">D34-D33</f>
        <v>1.02</v>
      </c>
      <c r="K34" s="25" t="n">
        <f aca="false">E34-E33</f>
        <v>9.31389999999999</v>
      </c>
      <c r="L34" s="26" t="n">
        <f aca="false">D33*$B$6*$B$8</f>
        <v>0.137996956241001</v>
      </c>
      <c r="M34" s="26" t="n">
        <f aca="false">IF(G34="",J34-L34,G34)</f>
        <v>0.8822</v>
      </c>
      <c r="N34" s="26" t="n">
        <f aca="false">J34-M34</f>
        <v>0.1378</v>
      </c>
      <c r="O34" s="27" t="n">
        <f aca="false">LN(1+M34/D33)</f>
        <v>0.0308636025224981</v>
      </c>
      <c r="P34" s="28" t="n">
        <f aca="false">M34/D33</f>
        <v>0.0313448214602949</v>
      </c>
      <c r="Q34" s="28" t="n">
        <f aca="false">K34/E33</f>
        <v>0.0313433217547333</v>
      </c>
      <c r="R34" s="29" t="n">
        <f aca="false">IFERROR(P34/Q34,"n/a")</f>
        <v>1.0000478476906</v>
      </c>
      <c r="S34" s="9" t="str">
        <f aca="false">IF(ROUND(M34+N34-J34,6)=0,"ok","CHECK")</f>
        <v>ok</v>
      </c>
    </row>
    <row r="35" customFormat="false" ht="15" hidden="false" customHeight="false" outlineLevel="0" collapsed="false">
      <c r="A35" s="9" t="n">
        <v>24</v>
      </c>
      <c r="B35" s="10" t="s">
        <v>53</v>
      </c>
      <c r="C35" s="11" t="n">
        <v>48213</v>
      </c>
      <c r="D35" s="12" t="n">
        <v>30.2221</v>
      </c>
      <c r="E35" s="13" t="n">
        <v>316.0772</v>
      </c>
      <c r="F35" s="14" t="n">
        <v>146.5829</v>
      </c>
      <c r="G35" s="15" t="n">
        <v>0.9141</v>
      </c>
      <c r="H35" s="16" t="n">
        <f aca="false">D35/E35*1000</f>
        <v>95.6161975618615</v>
      </c>
      <c r="I35" s="17" t="n">
        <f aca="false">H35*F35</f>
        <v>14015.6995255906</v>
      </c>
      <c r="J35" s="16" t="n">
        <f aca="false">D35-D34</f>
        <v>1.0571</v>
      </c>
      <c r="K35" s="25" t="n">
        <f aca="false">E35-E34</f>
        <v>9.60590000000002</v>
      </c>
      <c r="L35" s="26" t="n">
        <f aca="false">D34*$B$6*$B$8</f>
        <v>0.142998089492584</v>
      </c>
      <c r="M35" s="26" t="n">
        <f aca="false">IF(G35="",J35-L35,G35)</f>
        <v>0.9141</v>
      </c>
      <c r="N35" s="26" t="n">
        <f aca="false">J35-M35</f>
        <v>0.143000000000002</v>
      </c>
      <c r="O35" s="27" t="n">
        <f aca="false">LN(1+M35/D34)</f>
        <v>0.0308612182156538</v>
      </c>
      <c r="P35" s="28" t="n">
        <f aca="false">M35/D34</f>
        <v>0.0313423624207098</v>
      </c>
      <c r="Q35" s="28" t="n">
        <f aca="false">K35/E34</f>
        <v>0.031343554845103</v>
      </c>
      <c r="R35" s="29" t="n">
        <f aca="false">IFERROR(P35/Q35,"n/a")</f>
        <v>0.999961956312896</v>
      </c>
      <c r="S35" s="9" t="str">
        <f aca="false">IF(ROUND(M35+N35-J35,6)=0,"ok","CHECK")</f>
        <v>ok</v>
      </c>
    </row>
    <row r="36" customFormat="false" ht="15" hidden="false" customHeight="false" outlineLevel="0" collapsed="false">
      <c r="A36" s="9" t="n">
        <v>25</v>
      </c>
      <c r="B36" s="10" t="s">
        <v>54</v>
      </c>
      <c r="C36" s="11" t="n">
        <v>48304</v>
      </c>
      <c r="D36" s="12" t="n">
        <v>31.3174</v>
      </c>
      <c r="E36" s="13" t="n">
        <v>325.9842</v>
      </c>
      <c r="F36" s="14" t="n">
        <v>157.6686</v>
      </c>
      <c r="G36" s="15" t="n">
        <v>0.9473</v>
      </c>
      <c r="H36" s="16" t="n">
        <f aca="false">D36/E36*1000</f>
        <v>96.0703003397097</v>
      </c>
      <c r="I36" s="17" t="n">
        <f aca="false">H36*F36</f>
        <v>15147.2697561416</v>
      </c>
      <c r="J36" s="16" t="n">
        <f aca="false">D36-D35</f>
        <v>1.0953</v>
      </c>
      <c r="K36" s="25" t="n">
        <f aca="false">E36-E35</f>
        <v>9.90699999999998</v>
      </c>
      <c r="L36" s="26" t="n">
        <f aca="false">D35*$B$6*$B$8</f>
        <v>0.148181126708515</v>
      </c>
      <c r="M36" s="26" t="n">
        <f aca="false">IF(G36="",J36-L36,G36)</f>
        <v>0.9473</v>
      </c>
      <c r="N36" s="26" t="n">
        <f aca="false">J36-M36</f>
        <v>0.147999999999998</v>
      </c>
      <c r="O36" s="27" t="n">
        <f aca="false">LN(1+M36/D35)</f>
        <v>0.0308633994818705</v>
      </c>
      <c r="P36" s="28" t="n">
        <f aca="false">M36/D35</f>
        <v>0.0313446120554164</v>
      </c>
      <c r="Q36" s="28" t="n">
        <f aca="false">K36/E35</f>
        <v>0.0313436084602116</v>
      </c>
      <c r="R36" s="29" t="n">
        <f aca="false">IFERROR(P36/Q36,"n/a")</f>
        <v>1.00003201913418</v>
      </c>
      <c r="S36" s="9" t="str">
        <f aca="false">IF(ROUND(M36+N36-J36,6)=0,"ok","CHECK")</f>
        <v>ok</v>
      </c>
    </row>
    <row r="37" customFormat="false" ht="15" hidden="false" customHeight="false" outlineLevel="0" collapsed="false">
      <c r="A37" s="9" t="n">
        <v>26</v>
      </c>
      <c r="B37" s="10" t="s">
        <v>55</v>
      </c>
      <c r="C37" s="11" t="n">
        <v>48395</v>
      </c>
      <c r="D37" s="12" t="n">
        <v>32.4525</v>
      </c>
      <c r="E37" s="13" t="n">
        <v>336.2016</v>
      </c>
      <c r="F37" s="14" t="n">
        <v>169.5926</v>
      </c>
      <c r="G37" s="15" t="n">
        <v>0.9816</v>
      </c>
      <c r="H37" s="16" t="n">
        <f aca="false">D37/E37*1000</f>
        <v>96.5269052854002</v>
      </c>
      <c r="I37" s="17" t="n">
        <f aca="false">H37*F37</f>
        <v>16370.2488373048</v>
      </c>
      <c r="J37" s="16" t="n">
        <f aca="false">D37-D36</f>
        <v>1.1351</v>
      </c>
      <c r="K37" s="25" t="n">
        <f aca="false">E37-E36</f>
        <v>10.2174</v>
      </c>
      <c r="L37" s="26" t="n">
        <f aca="false">D36*$B$6*$B$8</f>
        <v>0.153551461267789</v>
      </c>
      <c r="M37" s="26" t="n">
        <f aca="false">IF(G37="",J37-L37,G37)</f>
        <v>0.9816</v>
      </c>
      <c r="N37" s="26" t="n">
        <f aca="false">J37-M37</f>
        <v>0.153500000000001</v>
      </c>
      <c r="O37" s="27" t="n">
        <f aca="false">LN(1+M37/D36)</f>
        <v>0.0308624163688116</v>
      </c>
      <c r="P37" s="28" t="n">
        <f aca="false">M37/D36</f>
        <v>0.0313435981275585</v>
      </c>
      <c r="Q37" s="28" t="n">
        <f aca="false">K37/E36</f>
        <v>0.0313432368808059</v>
      </c>
      <c r="R37" s="29" t="n">
        <f aca="false">IFERROR(P37/Q37,"n/a")</f>
        <v>1.0000115255088</v>
      </c>
      <c r="S37" s="9" t="str">
        <f aca="false">IF(ROUND(M37+N37-J37,6)=0,"ok","CHECK")</f>
        <v>ok</v>
      </c>
    </row>
    <row r="38" customFormat="false" ht="15" hidden="false" customHeight="false" outlineLevel="0" collapsed="false">
      <c r="A38" s="9" t="n">
        <v>27</v>
      </c>
      <c r="B38" s="10" t="s">
        <v>56</v>
      </c>
      <c r="C38" s="11" t="n">
        <v>48487</v>
      </c>
      <c r="D38" s="12" t="n">
        <v>33.6287</v>
      </c>
      <c r="E38" s="13" t="n">
        <v>346.7394</v>
      </c>
      <c r="F38" s="14" t="n">
        <v>182.4185</v>
      </c>
      <c r="G38" s="15" t="n">
        <v>1.0172</v>
      </c>
      <c r="H38" s="16" t="n">
        <f aca="false">D38/E38*1000</f>
        <v>96.9855170770902</v>
      </c>
      <c r="I38" s="17" t="n">
        <f aca="false">H38*F38</f>
        <v>17691.9525469272</v>
      </c>
      <c r="J38" s="16" t="n">
        <f aca="false">D38-D37</f>
        <v>1.1762</v>
      </c>
      <c r="K38" s="25" t="n">
        <f aca="false">E38-E37</f>
        <v>10.5378</v>
      </c>
      <c r="L38" s="26" t="n">
        <f aca="false">D37*$B$6*$B$8</f>
        <v>0.159116938085311</v>
      </c>
      <c r="M38" s="26" t="n">
        <f aca="false">IF(G38="",J38-L38,G38)</f>
        <v>1.0172</v>
      </c>
      <c r="N38" s="26" t="n">
        <f aca="false">J38-M38</f>
        <v>0.159000000000001</v>
      </c>
      <c r="O38" s="27" t="n">
        <f aca="false">LN(1+M38/D37)</f>
        <v>0.0308630701473803</v>
      </c>
      <c r="P38" s="28" t="n">
        <f aca="false">M38/D37</f>
        <v>0.0313442723981203</v>
      </c>
      <c r="Q38" s="28" t="n">
        <f aca="false">K38/E37</f>
        <v>0.0313436937837298</v>
      </c>
      <c r="R38" s="29" t="n">
        <f aca="false">IFERROR(P38/Q38,"n/a")</f>
        <v>1.00001846031277</v>
      </c>
      <c r="S38" s="9" t="str">
        <f aca="false">IF(ROUND(M38+N38-J38,6)=0,"ok","CHECK")</f>
        <v>ok</v>
      </c>
    </row>
    <row r="39" customFormat="false" ht="15" hidden="false" customHeight="false" outlineLevel="0" collapsed="false">
      <c r="A39" s="9" t="n">
        <v>28</v>
      </c>
      <c r="B39" s="10" t="s">
        <v>57</v>
      </c>
      <c r="C39" s="11" t="n">
        <v>48579</v>
      </c>
      <c r="D39" s="12" t="n">
        <v>34.8475</v>
      </c>
      <c r="E39" s="13" t="n">
        <v>357.6074</v>
      </c>
      <c r="F39" s="14" t="n">
        <v>196.2143</v>
      </c>
      <c r="G39" s="15" t="n">
        <v>1.054</v>
      </c>
      <c r="H39" s="16" t="n">
        <f aca="false">D39/E39*1000</f>
        <v>97.4462497140719</v>
      </c>
      <c r="I39" s="17" t="n">
        <f aca="false">H39*F39</f>
        <v>19120.3476752718</v>
      </c>
      <c r="J39" s="16" t="n">
        <f aca="false">D39-D38</f>
        <v>1.21879999999999</v>
      </c>
      <c r="K39" s="25" t="n">
        <f aca="false">E39-E38</f>
        <v>10.868</v>
      </c>
      <c r="L39" s="26" t="n">
        <f aca="false">D38*$B$6*$B$8</f>
        <v>0.164883931154441</v>
      </c>
      <c r="M39" s="26" t="n">
        <f aca="false">IF(G39="",J39-L39,G39)</f>
        <v>1.054</v>
      </c>
      <c r="N39" s="26" t="n">
        <f aca="false">J39-M39</f>
        <v>0.164799999999995</v>
      </c>
      <c r="O39" s="27" t="n">
        <f aca="false">LN(1+M39/D38)</f>
        <v>0.0308611345100252</v>
      </c>
      <c r="P39" s="28" t="n">
        <f aca="false">M39/D38</f>
        <v>0.0313422760915528</v>
      </c>
      <c r="Q39" s="28" t="n">
        <f aca="false">K39/E38</f>
        <v>0.0313434239085607</v>
      </c>
      <c r="R39" s="29" t="n">
        <f aca="false">IFERROR(P39/Q39,"n/a")</f>
        <v>0.999963379335605</v>
      </c>
      <c r="S39" s="9" t="str">
        <f aca="false">IF(ROUND(M39+N39-J39,6)=0,"ok","CHECK")</f>
        <v>ok</v>
      </c>
    </row>
    <row r="40" customFormat="false" ht="15" hidden="false" customHeight="false" outlineLevel="0" collapsed="false">
      <c r="A40" s="9" t="n">
        <v>29</v>
      </c>
      <c r="B40" s="10" t="s">
        <v>58</v>
      </c>
      <c r="C40" s="11" t="n">
        <v>48669</v>
      </c>
      <c r="D40" s="12" t="n">
        <v>36.1105</v>
      </c>
      <c r="E40" s="13" t="n">
        <v>368.816</v>
      </c>
      <c r="F40" s="14" t="n">
        <v>211.0535</v>
      </c>
      <c r="G40" s="15" t="n">
        <v>1.0922</v>
      </c>
      <c r="H40" s="16" t="n">
        <f aca="false">D40/E40*1000</f>
        <v>97.90925556375</v>
      </c>
      <c r="I40" s="17" t="n">
        <f aca="false">H40*F40</f>
        <v>20664.0910691239</v>
      </c>
      <c r="J40" s="16" t="n">
        <f aca="false">D40-D39</f>
        <v>1.26300000000001</v>
      </c>
      <c r="K40" s="25" t="n">
        <f aca="false">E40-E39</f>
        <v>11.2086</v>
      </c>
      <c r="L40" s="26" t="n">
        <f aca="false">D39*$B$6*$B$8</f>
        <v>0.170859795082902</v>
      </c>
      <c r="M40" s="26" t="n">
        <f aca="false">IF(G40="",J40-L40,G40)</f>
        <v>1.0922</v>
      </c>
      <c r="N40" s="26" t="n">
        <f aca="false">J40-M40</f>
        <v>0.170800000000005</v>
      </c>
      <c r="O40" s="27" t="n">
        <f aca="false">LN(1+M40/D39)</f>
        <v>0.0308611354532612</v>
      </c>
      <c r="P40" s="28" t="n">
        <f aca="false">M40/D39</f>
        <v>0.0313422770643518</v>
      </c>
      <c r="Q40" s="28" t="n">
        <f aca="false">K40/E39</f>
        <v>0.0313433111283491</v>
      </c>
      <c r="R40" s="29" t="n">
        <f aca="false">IFERROR(P40/Q40,"n/a")</f>
        <v>0.999967008463367</v>
      </c>
      <c r="S40" s="9" t="str">
        <f aca="false">IF(ROUND(M40+N40-J40,6)=0,"ok","CHECK")</f>
        <v>ok</v>
      </c>
    </row>
    <row r="41" customFormat="false" ht="15" hidden="false" customHeight="false" outlineLevel="0" collapsed="false">
      <c r="A41" s="9" t="n">
        <v>30</v>
      </c>
      <c r="B41" s="10" t="s">
        <v>59</v>
      </c>
      <c r="C41" s="11" t="n">
        <v>48760</v>
      </c>
      <c r="D41" s="12" t="n">
        <v>37.4193</v>
      </c>
      <c r="E41" s="13" t="n">
        <v>380.376</v>
      </c>
      <c r="F41" s="14" t="n">
        <v>227.0149</v>
      </c>
      <c r="G41" s="15" t="n">
        <v>1.1318</v>
      </c>
      <c r="H41" s="16" t="n">
        <f aca="false">D41/E41*1000</f>
        <v>98.3745031232255</v>
      </c>
      <c r="I41" s="17" t="n">
        <f aca="false">H41*F41</f>
        <v>22332.4779890687</v>
      </c>
      <c r="J41" s="16" t="n">
        <f aca="false">D41-D40</f>
        <v>1.3088</v>
      </c>
      <c r="K41" s="25" t="n">
        <f aca="false">E41-E40</f>
        <v>11.56</v>
      </c>
      <c r="L41" s="26" t="n">
        <f aca="false">D40*$B$6*$B$8</f>
        <v>0.177052374785598</v>
      </c>
      <c r="M41" s="26" t="n">
        <f aca="false">IF(G41="",J41-L41,G41)</f>
        <v>1.1318</v>
      </c>
      <c r="N41" s="26" t="n">
        <f aca="false">J41-M41</f>
        <v>0.176999999999998</v>
      </c>
      <c r="O41" s="27" t="n">
        <f aca="false">LN(1+M41/D40)</f>
        <v>0.0308615302750264</v>
      </c>
      <c r="P41" s="28" t="n">
        <f aca="false">M41/D40</f>
        <v>0.0313426842608106</v>
      </c>
      <c r="Q41" s="28" t="n">
        <f aca="false">K41/E40</f>
        <v>0.0313435425794976</v>
      </c>
      <c r="R41" s="29" t="n">
        <f aca="false">IFERROR(P41/Q41,"n/a")</f>
        <v>0.999972615772933</v>
      </c>
      <c r="S41" s="9" t="str">
        <f aca="false">IF(ROUND(M41+N41-J41,6)=0,"ok","CHECK")</f>
        <v>ok</v>
      </c>
    </row>
    <row r="42" customFormat="false" ht="15" hidden="false" customHeight="false" outlineLevel="0" collapsed="false">
      <c r="A42" s="9" t="n">
        <v>31</v>
      </c>
      <c r="B42" s="10" t="s">
        <v>60</v>
      </c>
      <c r="C42" s="11" t="n">
        <v>48852</v>
      </c>
      <c r="D42" s="12" t="n">
        <v>38.7755</v>
      </c>
      <c r="E42" s="13" t="n">
        <v>392.2983</v>
      </c>
      <c r="F42" s="14" t="n">
        <v>244.1834</v>
      </c>
      <c r="G42" s="15" t="n">
        <v>1.1729</v>
      </c>
      <c r="H42" s="16" t="n">
        <f aca="false">D42/E42*1000</f>
        <v>98.8418761947222</v>
      </c>
      <c r="I42" s="17" t="n">
        <f aca="false">H42*F42</f>
        <v>24135.5453916063</v>
      </c>
      <c r="J42" s="16" t="n">
        <f aca="false">D42-D41</f>
        <v>1.3562</v>
      </c>
      <c r="K42" s="25" t="n">
        <f aca="false">E42-E41</f>
        <v>11.9223</v>
      </c>
      <c r="L42" s="26" t="n">
        <f aca="false">D41*$B$6*$B$8</f>
        <v>0.183469515177434</v>
      </c>
      <c r="M42" s="26" t="n">
        <f aca="false">IF(G42="",J42-L42,G42)</f>
        <v>1.1729</v>
      </c>
      <c r="N42" s="26" t="n">
        <f aca="false">J42-M42</f>
        <v>0.183300000000001</v>
      </c>
      <c r="O42" s="27" t="n">
        <f aca="false">LN(1+M42/D41)</f>
        <v>0.0308635694155698</v>
      </c>
      <c r="P42" s="28" t="n">
        <f aca="false">M42/D41</f>
        <v>0.0313447873156366</v>
      </c>
      <c r="Q42" s="28" t="n">
        <f aca="false">K42/E41</f>
        <v>0.0313434601552149</v>
      </c>
      <c r="R42" s="29" t="n">
        <f aca="false">IFERROR(P42/Q42,"n/a")</f>
        <v>1.00004234249873</v>
      </c>
      <c r="S42" s="9" t="str">
        <f aca="false">IF(ROUND(M42+N42-J42,6)=0,"ok","CHECK")</f>
        <v>ok</v>
      </c>
    </row>
    <row r="43" customFormat="false" ht="15" hidden="false" customHeight="false" outlineLevel="0" collapsed="false">
      <c r="A43" s="9" t="n">
        <v>32</v>
      </c>
      <c r="B43" s="10" t="s">
        <v>61</v>
      </c>
      <c r="C43" s="11" t="n">
        <v>48944</v>
      </c>
      <c r="D43" s="12" t="n">
        <v>40.1808</v>
      </c>
      <c r="E43" s="13" t="n">
        <v>404.5943</v>
      </c>
      <c r="F43" s="14" t="n">
        <v>262.6503</v>
      </c>
      <c r="G43" s="15" t="n">
        <v>1.2154</v>
      </c>
      <c r="H43" s="16" t="n">
        <f aca="false">D43/E43*1000</f>
        <v>99.3113348359085</v>
      </c>
      <c r="I43" s="17" t="n">
        <f aca="false">H43*F43</f>
        <v>26084.1518880518</v>
      </c>
      <c r="J43" s="16" t="n">
        <f aca="false">D43-D42</f>
        <v>1.4053</v>
      </c>
      <c r="K43" s="25" t="n">
        <f aca="false">E43-E42</f>
        <v>12.296</v>
      </c>
      <c r="L43" s="26" t="n">
        <f aca="false">D42*$B$6*$B$8</f>
        <v>0.190119061173314</v>
      </c>
      <c r="M43" s="26" t="n">
        <f aca="false">IF(G43="",J43-L43,G43)</f>
        <v>1.2154</v>
      </c>
      <c r="N43" s="26" t="n">
        <f aca="false">J43-M43</f>
        <v>0.189899999999997</v>
      </c>
      <c r="O43" s="27" t="n">
        <f aca="false">LN(1+M43/D42)</f>
        <v>0.03086332434591</v>
      </c>
      <c r="P43" s="28" t="n">
        <f aca="false">M43/D42</f>
        <v>0.0313445345643512</v>
      </c>
      <c r="Q43" s="28" t="n">
        <f aca="false">K43/E42</f>
        <v>0.0313434954981961</v>
      </c>
      <c r="R43" s="29" t="n">
        <f aca="false">IFERROR(P43/Q43,"n/a")</f>
        <v>1.00003315093414</v>
      </c>
      <c r="S43" s="9" t="str">
        <f aca="false">IF(ROUND(M43+N43-J43,6)=0,"ok","CHECK")</f>
        <v>ok</v>
      </c>
    </row>
    <row r="44" customFormat="false" ht="15" hidden="false" customHeight="false" outlineLevel="0" collapsed="false">
      <c r="A44" s="9" t="n">
        <v>33</v>
      </c>
      <c r="B44" s="10" t="s">
        <v>62</v>
      </c>
      <c r="C44" s="11" t="n">
        <v>49034</v>
      </c>
      <c r="D44" s="12" t="n">
        <v>41.6371</v>
      </c>
      <c r="E44" s="13" t="n">
        <v>417.2757</v>
      </c>
      <c r="F44" s="14" t="n">
        <v>282.5139</v>
      </c>
      <c r="G44" s="15" t="n">
        <v>1.2594</v>
      </c>
      <c r="H44" s="16" t="n">
        <f aca="false">D44/E44*1000</f>
        <v>99.7831889084363</v>
      </c>
      <c r="I44" s="17" t="n">
        <f aca="false">H44*F44</f>
        <v>28190.1378529591</v>
      </c>
      <c r="J44" s="16" t="n">
        <f aca="false">D44-D43</f>
        <v>1.4563</v>
      </c>
      <c r="K44" s="25" t="n">
        <f aca="false">E44-E43</f>
        <v>12.6814</v>
      </c>
      <c r="L44" s="26" t="n">
        <f aca="false">D43*$B$6*$B$8</f>
        <v>0.197009347995324</v>
      </c>
      <c r="M44" s="26" t="n">
        <f aca="false">IF(G44="",J44-L44,G44)</f>
        <v>1.2594</v>
      </c>
      <c r="N44" s="26" t="n">
        <f aca="false">J44-M44</f>
        <v>0.196899999999999</v>
      </c>
      <c r="O44" s="27" t="n">
        <f aca="false">LN(1+M44/D43)</f>
        <v>0.0308621546026431</v>
      </c>
      <c r="P44" s="28" t="n">
        <f aca="false">M44/D43</f>
        <v>0.0313433281567316</v>
      </c>
      <c r="Q44" s="28" t="n">
        <f aca="false">K44/E43</f>
        <v>0.0313434964358124</v>
      </c>
      <c r="R44" s="29" t="n">
        <f aca="false">IFERROR(P44/Q44,"n/a")</f>
        <v>0.999994631132454</v>
      </c>
      <c r="S44" s="9" t="str">
        <f aca="false">IF(ROUND(M44+N44-J44,6)=0,"ok","CHECK")</f>
        <v>ok</v>
      </c>
    </row>
    <row r="45" customFormat="false" ht="15" hidden="false" customHeight="false" outlineLevel="0" collapsed="false">
      <c r="A45" s="9" t="n">
        <v>34</v>
      </c>
      <c r="B45" s="10" t="s">
        <v>63</v>
      </c>
      <c r="C45" s="11" t="n">
        <v>49125</v>
      </c>
      <c r="D45" s="12" t="n">
        <v>43.1462</v>
      </c>
      <c r="E45" s="13" t="n">
        <v>430.3546</v>
      </c>
      <c r="F45" s="14" t="n">
        <v>303.8796</v>
      </c>
      <c r="G45" s="15" t="n">
        <v>1.3051</v>
      </c>
      <c r="H45" s="16" t="n">
        <f aca="false">D45/E45*1000</f>
        <v>100.257322682272</v>
      </c>
      <c r="I45" s="17" t="n">
        <f aca="false">H45*F45</f>
        <v>30466.1551137597</v>
      </c>
      <c r="J45" s="16" t="n">
        <f aca="false">D45-D44</f>
        <v>1.5091</v>
      </c>
      <c r="K45" s="25" t="n">
        <f aca="false">E45-E44</f>
        <v>13.0789</v>
      </c>
      <c r="L45" s="26" t="n">
        <f aca="false">D44*$B$6*$B$8</f>
        <v>0.204149691479914</v>
      </c>
      <c r="M45" s="26" t="n">
        <f aca="false">IF(G45="",J45-L45,G45)</f>
        <v>1.3051</v>
      </c>
      <c r="N45" s="26" t="n">
        <f aca="false">J45-M45</f>
        <v>0.204000000000004</v>
      </c>
      <c r="O45" s="27" t="n">
        <f aca="false">LN(1+M45/D44)</f>
        <v>0.0308634286696495</v>
      </c>
      <c r="P45" s="28" t="n">
        <f aca="false">M45/D44</f>
        <v>0.0313446421580754</v>
      </c>
      <c r="Q45" s="28" t="n">
        <f aca="false">K45/E44</f>
        <v>0.0313435457660248</v>
      </c>
      <c r="R45" s="29" t="n">
        <f aca="false">IFERROR(P45/Q45,"n/a")</f>
        <v>1.00003497983472</v>
      </c>
      <c r="S45" s="9" t="str">
        <f aca="false">IF(ROUND(M45+N45-J45,6)=0,"ok","CHECK")</f>
        <v>ok</v>
      </c>
    </row>
    <row r="46" customFormat="false" ht="15" hidden="false" customHeight="false" outlineLevel="0" collapsed="false">
      <c r="A46" s="9" t="n">
        <v>35</v>
      </c>
      <c r="B46" s="10" t="s">
        <v>64</v>
      </c>
      <c r="C46" s="11" t="n">
        <v>49217</v>
      </c>
      <c r="D46" s="12" t="n">
        <v>44.71</v>
      </c>
      <c r="E46" s="13" t="n">
        <v>443.8434</v>
      </c>
      <c r="F46" s="14" t="n">
        <v>326.8612</v>
      </c>
      <c r="G46" s="15" t="n">
        <v>1.3524</v>
      </c>
      <c r="H46" s="16" t="n">
        <f aca="false">D46/E46*1000</f>
        <v>100.733727256055</v>
      </c>
      <c r="I46" s="17" t="n">
        <f aca="false">H46*F46</f>
        <v>32925.9469713868</v>
      </c>
      <c r="J46" s="16" t="n">
        <f aca="false">D46-D45</f>
        <v>1.5638</v>
      </c>
      <c r="K46" s="25" t="n">
        <f aca="false">E46-E45</f>
        <v>13.4888</v>
      </c>
      <c r="L46" s="26" t="n">
        <f aca="false">D45*$B$6*$B$8</f>
        <v>0.21154891715635</v>
      </c>
      <c r="M46" s="26" t="n">
        <f aca="false">IF(G46="",J46-L46,G46)</f>
        <v>1.3524</v>
      </c>
      <c r="N46" s="26" t="n">
        <f aca="false">J46-M46</f>
        <v>0.2114</v>
      </c>
      <c r="O46" s="27" t="n">
        <f aca="false">LN(1+M46/D45)</f>
        <v>0.0308633792415619</v>
      </c>
      <c r="P46" s="28" t="n">
        <f aca="false">M46/D45</f>
        <v>0.0313445911806834</v>
      </c>
      <c r="Q46" s="28" t="n">
        <f aca="false">K46/E45</f>
        <v>0.0313434549090447</v>
      </c>
      <c r="R46" s="29" t="n">
        <f aca="false">IFERROR(P46/Q46,"n/a")</f>
        <v>1.00003625227793</v>
      </c>
      <c r="S46" s="9" t="str">
        <f aca="false">IF(ROUND(M46+N46-J46,6)=0,"ok","CHECK")</f>
        <v>ok</v>
      </c>
    </row>
    <row r="47" customFormat="false" ht="15" hidden="false" customHeight="false" outlineLevel="0" collapsed="false">
      <c r="A47" s="9" t="n">
        <v>36</v>
      </c>
      <c r="B47" s="10" t="s">
        <v>65</v>
      </c>
      <c r="C47" s="11" t="n">
        <v>49309</v>
      </c>
      <c r="D47" s="12" t="n">
        <v>46.3304</v>
      </c>
      <c r="E47" s="13" t="n">
        <v>457.755</v>
      </c>
      <c r="F47" s="14" t="n">
        <v>351.5809</v>
      </c>
      <c r="G47" s="15" t="n">
        <v>1.4014</v>
      </c>
      <c r="H47" s="16" t="n">
        <f aca="false">D47/E47*1000</f>
        <v>101.212220510972</v>
      </c>
      <c r="I47" s="17" t="n">
        <f aca="false">H47*F47</f>
        <v>35584.283578246</v>
      </c>
      <c r="J47" s="16" t="n">
        <f aca="false">D47-D46</f>
        <v>1.6204</v>
      </c>
      <c r="K47" s="25" t="n">
        <f aca="false">E47-E46</f>
        <v>13.9116</v>
      </c>
      <c r="L47" s="26" t="n">
        <f aca="false">D46*$B$6*$B$8</f>
        <v>0.219216340861082</v>
      </c>
      <c r="M47" s="26" t="n">
        <f aca="false">IF(G47="",J47-L47,G47)</f>
        <v>1.4014</v>
      </c>
      <c r="N47" s="26" t="n">
        <f aca="false">J47-M47</f>
        <v>0.218999999999997</v>
      </c>
      <c r="O47" s="27" t="n">
        <f aca="false">LN(1+M47/D46)</f>
        <v>0.0308630176892053</v>
      </c>
      <c r="P47" s="28" t="n">
        <f aca="false">M47/D46</f>
        <v>0.0313442182956833</v>
      </c>
      <c r="Q47" s="28" t="n">
        <f aca="false">K47/E46</f>
        <v>0.0313434873651383</v>
      </c>
      <c r="R47" s="29" t="n">
        <f aca="false">IFERROR(P47/Q47,"n/a")</f>
        <v>1.00002332001339</v>
      </c>
      <c r="S47" s="9" t="str">
        <f aca="false">IF(ROUND(M47+N47-J47,6)=0,"ok","CHECK")</f>
        <v>ok</v>
      </c>
    </row>
    <row r="48" customFormat="false" ht="15" hidden="false" customHeight="false" outlineLevel="0" collapsed="false">
      <c r="A48" s="9" t="n">
        <v>37</v>
      </c>
      <c r="B48" s="10" t="s">
        <v>66</v>
      </c>
      <c r="C48" s="11" t="n">
        <v>49399</v>
      </c>
      <c r="D48" s="12" t="n">
        <v>48.0096</v>
      </c>
      <c r="E48" s="13" t="n">
        <v>472.1027</v>
      </c>
      <c r="F48" s="14" t="n">
        <v>378.17</v>
      </c>
      <c r="G48" s="15" t="n">
        <v>1.4522</v>
      </c>
      <c r="H48" s="16" t="n">
        <f aca="false">D48/E48*1000</f>
        <v>101.693127364025</v>
      </c>
      <c r="I48" s="17" t="n">
        <f aca="false">H48*F48</f>
        <v>38457.2899752533</v>
      </c>
      <c r="J48" s="16" t="n">
        <f aca="false">D48-D47</f>
        <v>1.6792</v>
      </c>
      <c r="K48" s="25" t="n">
        <f aca="false">E48-E47</f>
        <v>14.3477</v>
      </c>
      <c r="L48" s="26" t="n">
        <f aca="false">D47*$B$6*$B$8</f>
        <v>0.227161278430558</v>
      </c>
      <c r="M48" s="26" t="n">
        <f aca="false">IF(G48="",J48-L48,G48)</f>
        <v>1.4522</v>
      </c>
      <c r="N48" s="26" t="n">
        <f aca="false">J48-M48</f>
        <v>0.227000000000002</v>
      </c>
      <c r="O48" s="27" t="n">
        <f aca="false">LN(1+M48/D47)</f>
        <v>0.0308632233848912</v>
      </c>
      <c r="P48" s="28" t="n">
        <f aca="false">M48/D47</f>
        <v>0.0313444304387616</v>
      </c>
      <c r="Q48" s="28" t="n">
        <f aca="false">K48/E47</f>
        <v>0.0313436226802548</v>
      </c>
      <c r="R48" s="29" t="n">
        <f aca="false">IFERROR(P48/Q48,"n/a")</f>
        <v>1.00002577106402</v>
      </c>
      <c r="S48" s="9" t="str">
        <f aca="false">IF(ROUND(M48+N48-J48,6)=0,"ok","CHECK")</f>
        <v>ok</v>
      </c>
    </row>
    <row r="49" customFormat="false" ht="15" hidden="false" customHeight="false" outlineLevel="0" collapsed="false">
      <c r="A49" s="9" t="n">
        <v>38</v>
      </c>
      <c r="B49" s="10" t="s">
        <v>67</v>
      </c>
      <c r="C49" s="11" t="n">
        <v>49490</v>
      </c>
      <c r="D49" s="12" t="n">
        <v>49.7496</v>
      </c>
      <c r="E49" s="13" t="n">
        <v>486.9</v>
      </c>
      <c r="F49" s="14" t="n">
        <v>406.77</v>
      </c>
      <c r="G49" s="15" t="n">
        <v>1.5048</v>
      </c>
      <c r="H49" s="16" t="n">
        <f aca="false">D49/E49*1000</f>
        <v>102.176216882317</v>
      </c>
      <c r="I49" s="17" t="n">
        <f aca="false">H49*F49</f>
        <v>41562.21974122</v>
      </c>
      <c r="J49" s="16" t="n">
        <f aca="false">D49-D48</f>
        <v>1.74</v>
      </c>
      <c r="K49" s="25" t="n">
        <f aca="false">E49-E48</f>
        <v>14.7973</v>
      </c>
      <c r="L49" s="26" t="n">
        <f aca="false">D48*$B$6*$B$8</f>
        <v>0.235394516622773</v>
      </c>
      <c r="M49" s="26" t="n">
        <f aca="false">IF(G49="",J49-L49,G49)</f>
        <v>1.5048</v>
      </c>
      <c r="N49" s="26" t="n">
        <f aca="false">J49-M49</f>
        <v>0.235200000000002</v>
      </c>
      <c r="O49" s="27" t="n">
        <f aca="false">LN(1+M49/D48)</f>
        <v>0.0308625454491515</v>
      </c>
      <c r="P49" s="28" t="n">
        <f aca="false">M49/D48</f>
        <v>0.0313437312537493</v>
      </c>
      <c r="Q49" s="28" t="n">
        <f aca="false">K49/E48</f>
        <v>0.0313433920204226</v>
      </c>
      <c r="R49" s="29" t="n">
        <f aca="false">IFERROR(P49/Q49,"n/a")</f>
        <v>1.00001082312107</v>
      </c>
      <c r="S49" s="9" t="str">
        <f aca="false">IF(ROUND(M49+N49-J49,6)=0,"ok","CHECK")</f>
        <v>ok</v>
      </c>
    </row>
    <row r="50" customFormat="false" ht="15" hidden="false" customHeight="false" outlineLevel="0" collapsed="false">
      <c r="A50" s="9" t="n">
        <v>39</v>
      </c>
      <c r="B50" s="10" t="s">
        <v>68</v>
      </c>
      <c r="C50" s="11" t="n">
        <v>49582</v>
      </c>
      <c r="D50" s="12" t="n">
        <v>51.5527</v>
      </c>
      <c r="E50" s="13" t="n">
        <v>502.1611</v>
      </c>
      <c r="F50" s="14" t="n">
        <v>437.5329</v>
      </c>
      <c r="G50" s="15" t="n">
        <v>1.5593</v>
      </c>
      <c r="H50" s="16" t="n">
        <f aca="false">D50/E50*1000</f>
        <v>102.661675705267</v>
      </c>
      <c r="I50" s="17" t="n">
        <f aca="false">H50*F50</f>
        <v>44917.8606901849</v>
      </c>
      <c r="J50" s="16" t="n">
        <f aca="false">D50-D49</f>
        <v>1.8031</v>
      </c>
      <c r="K50" s="25" t="n">
        <f aca="false">E50-E49</f>
        <v>15.2611</v>
      </c>
      <c r="L50" s="26" t="n">
        <f aca="false">D49*$B$6*$B$8</f>
        <v>0.243925861581357</v>
      </c>
      <c r="M50" s="26" t="n">
        <f aca="false">IF(G50="",J50-L50,G50)</f>
        <v>1.5593</v>
      </c>
      <c r="N50" s="26" t="n">
        <f aca="false">J50-M50</f>
        <v>0.243800000000001</v>
      </c>
      <c r="O50" s="27" t="n">
        <f aca="false">LN(1+M50/D49)</f>
        <v>0.0308618030366775</v>
      </c>
      <c r="P50" s="28" t="n">
        <f aca="false">M50/D49</f>
        <v>0.0313429655715825</v>
      </c>
      <c r="Q50" s="28" t="n">
        <f aca="false">K50/E49</f>
        <v>0.0313433970014377</v>
      </c>
      <c r="R50" s="29" t="n">
        <f aca="false">IFERROR(P50/Q50,"n/a")</f>
        <v>0.999986235383001</v>
      </c>
      <c r="S50" s="9" t="str">
        <f aca="false">IF(ROUND(M50+N50-J50,6)=0,"ok","CHECK")</f>
        <v>ok</v>
      </c>
    </row>
    <row r="51" customFormat="false" ht="15" hidden="false" customHeight="false" outlineLevel="0" collapsed="false">
      <c r="A51" s="9" t="n">
        <v>40</v>
      </c>
      <c r="B51" s="10" t="s">
        <v>69</v>
      </c>
      <c r="C51" s="11" t="n">
        <v>49674</v>
      </c>
      <c r="D51" s="12" t="n">
        <v>53.4212</v>
      </c>
      <c r="E51" s="13" t="n">
        <v>517.9006</v>
      </c>
      <c r="F51" s="14" t="n">
        <v>470.6224</v>
      </c>
      <c r="G51" s="15" t="n">
        <v>1.6158</v>
      </c>
      <c r="H51" s="16" t="n">
        <f aca="false">D51/E51*1000</f>
        <v>103.149523286901</v>
      </c>
      <c r="I51" s="17" t="n">
        <f aca="false">H51*F51</f>
        <v>48544.4762081372</v>
      </c>
      <c r="J51" s="16" t="n">
        <f aca="false">D51-D50</f>
        <v>1.8685</v>
      </c>
      <c r="K51" s="25" t="n">
        <f aca="false">E51-E50</f>
        <v>15.7395000000001</v>
      </c>
      <c r="L51" s="26" t="n">
        <f aca="false">D50*$B$6*$B$8</f>
        <v>0.252766590371485</v>
      </c>
      <c r="M51" s="26" t="n">
        <f aca="false">IF(G51="",J51-L51,G51)</f>
        <v>1.6158</v>
      </c>
      <c r="N51" s="26" t="n">
        <f aca="false">J51-M51</f>
        <v>0.252699999999998</v>
      </c>
      <c r="O51" s="27" t="n">
        <f aca="false">LN(1+M51/D50)</f>
        <v>0.0308615302958602</v>
      </c>
      <c r="P51" s="28" t="n">
        <f aca="false">M51/D50</f>
        <v>0.0313426842822975</v>
      </c>
      <c r="Q51" s="28" t="n">
        <f aca="false">K51/E50</f>
        <v>0.031343527007568</v>
      </c>
      <c r="R51" s="29" t="n">
        <f aca="false">IFERROR(P51/Q51,"n/a")</f>
        <v>0.999973113259707</v>
      </c>
      <c r="S51" s="9" t="str">
        <f aca="false">IF(ROUND(M51+N51-J51,6)=0,"ok","CHECK")</f>
        <v>ok</v>
      </c>
    </row>
    <row r="53" customFormat="false" ht="15" hidden="false" customHeight="false" outlineLevel="0" collapsed="false">
      <c r="A53" s="2" t="s">
        <v>70</v>
      </c>
    </row>
    <row r="54" customFormat="false" ht="15" hidden="false" customHeight="false" outlineLevel="0" collapsed="false">
      <c r="A54" s="2" t="s">
        <v>71</v>
      </c>
    </row>
    <row r="55" customFormat="false" ht="15" hidden="false" customHeight="false" outlineLevel="0" collapsed="false">
      <c r="A55" s="2" t="s">
        <v>72</v>
      </c>
    </row>
    <row r="56" customFormat="false" ht="15" hidden="false" customHeight="false" outlineLevel="0" collapsed="false">
      <c r="A56" s="2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21"/>
    <col collapsed="false" customWidth="true" hidden="false" outlineLevel="0" max="5" min="5" style="0" width="11"/>
    <col collapsed="false" customWidth="true" hidden="false" outlineLevel="0" max="6" min="6" style="0" width="46"/>
  </cols>
  <sheetData>
    <row r="1" customFormat="false" ht="16.1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15" hidden="false" customHeight="false" outlineLevel="0" collapsed="false">
      <c r="A4" s="3" t="s">
        <v>10</v>
      </c>
    </row>
    <row r="5" customFormat="false" ht="15" hidden="false" customHeight="false" outlineLevel="0" collapsed="false">
      <c r="A5" s="4" t="s">
        <v>76</v>
      </c>
      <c r="B5" s="30" t="s">
        <v>28</v>
      </c>
    </row>
    <row r="6" customFormat="false" ht="15" hidden="false" customHeight="false" outlineLevel="0" collapsed="false">
      <c r="A6" s="4" t="s">
        <v>77</v>
      </c>
      <c r="B6" s="30" t="s">
        <v>67</v>
      </c>
    </row>
    <row r="7" customFormat="false" ht="15" hidden="false" customHeight="false" outlineLevel="0" collapsed="false">
      <c r="A7" s="9" t="s">
        <v>78</v>
      </c>
      <c r="B7" s="11" t="n">
        <f aca="false">INDEX(Inputs!$C$11:$C$51,MATCH($B$5,Inputs!$B$11:$B$51,0))</f>
        <v>46022</v>
      </c>
    </row>
    <row r="8" customFormat="false" ht="15" hidden="false" customHeight="false" outlineLevel="0" collapsed="false">
      <c r="A8" s="9" t="s">
        <v>79</v>
      </c>
      <c r="B8" s="11" t="n">
        <f aca="false">INDEX(Inputs!$C$11:$C$51,MATCH($B$6,Inputs!$B$11:$B$51,0))</f>
        <v>49490</v>
      </c>
    </row>
    <row r="9" customFormat="false" ht="15" hidden="false" customHeight="false" outlineLevel="0" collapsed="false">
      <c r="A9" s="9" t="s">
        <v>80</v>
      </c>
      <c r="B9" s="31" t="n">
        <f aca="false">((YEAR(B8)-YEAR(B7))*12+MONTH(B8)-MONTH(B7))/12</f>
        <v>9.5</v>
      </c>
    </row>
    <row r="10" customFormat="false" ht="15" hidden="false" customHeight="false" outlineLevel="0" collapsed="false">
      <c r="A10" s="9" t="s">
        <v>81</v>
      </c>
      <c r="B10" s="32" t="n">
        <f aca="false">B9*4</f>
        <v>38</v>
      </c>
    </row>
    <row r="11" customFormat="false" ht="15" hidden="false" customHeight="false" outlineLevel="0" collapsed="false">
      <c r="A11" s="9" t="s">
        <v>82</v>
      </c>
      <c r="B11" s="33" t="n">
        <f aca="false">(INDEX(Inputs!$A$11:$A$51,MATCH($B$6,Inputs!$B$11:$B$51,0))-INDEX(Inputs!$A$11:$A$51,MATCH($B$5,Inputs!$B$11:$B$51,0)))/4</f>
        <v>9.5</v>
      </c>
    </row>
    <row r="12" customFormat="false" ht="15" hidden="false" customHeight="false" outlineLevel="0" collapsed="false">
      <c r="A12" s="9" t="s">
        <v>83</v>
      </c>
      <c r="B12" s="34" t="str">
        <f aca="false">IF(ROUND(B9-B11,6)=0,"agree","MISMATCH — index column is out of step")</f>
        <v>agree</v>
      </c>
    </row>
    <row r="14" customFormat="false" ht="15" hidden="false" customHeight="false" outlineLevel="0" collapsed="false">
      <c r="A14" s="3" t="s">
        <v>84</v>
      </c>
    </row>
    <row r="15" customFormat="false" ht="15" hidden="false" customHeight="false" outlineLevel="0" collapsed="false">
      <c r="B15" s="35" t="s">
        <v>76</v>
      </c>
      <c r="C15" s="35" t="s">
        <v>77</v>
      </c>
    </row>
    <row r="16" customFormat="false" ht="15" hidden="false" customHeight="false" outlineLevel="0" collapsed="false">
      <c r="A16" s="9" t="s">
        <v>85</v>
      </c>
      <c r="B16" s="25" t="n">
        <f aca="false">INDEX(Inputs!$D$11:$D$51,MATCH($B$5,Inputs!$B$11:$B$51,0))</f>
        <v>12.86</v>
      </c>
      <c r="C16" s="25" t="n">
        <f aca="false">INDEX(Inputs!$D$11:$D$51,MATCH($B$6,Inputs!$B$11:$B$51,0))</f>
        <v>49.7496</v>
      </c>
    </row>
    <row r="17" customFormat="false" ht="15" hidden="false" customHeight="false" outlineLevel="0" collapsed="false">
      <c r="A17" s="9" t="s">
        <v>13</v>
      </c>
      <c r="B17" s="36" t="n">
        <f aca="false">INDEX(Inputs!$E$11:$E$51,MATCH($B$5,Inputs!$B$11:$B$51,0))</f>
        <v>150.7</v>
      </c>
      <c r="C17" s="36" t="n">
        <f aca="false">INDEX(Inputs!$E$11:$E$51,MATCH($B$6,Inputs!$B$11:$B$51,0))</f>
        <v>486.9</v>
      </c>
    </row>
    <row r="18" customFormat="false" ht="15" hidden="false" customHeight="false" outlineLevel="0" collapsed="false">
      <c r="A18" s="9" t="s">
        <v>14</v>
      </c>
      <c r="B18" s="17" t="n">
        <f aca="false">INDEX(Inputs!$F$11:$F$51,MATCH($B$5,Inputs!$B$11:$B$51,0))</f>
        <v>25.48</v>
      </c>
      <c r="C18" s="17" t="n">
        <f aca="false">INDEX(Inputs!$F$11:$F$51,MATCH($B$6,Inputs!$B$11:$B$51,0))</f>
        <v>406.77</v>
      </c>
    </row>
    <row r="19" customFormat="false" ht="15" hidden="false" customHeight="false" outlineLevel="0" collapsed="false">
      <c r="A19" s="9" t="s">
        <v>16</v>
      </c>
      <c r="B19" s="16" t="n">
        <f aca="false">INDEX(Inputs!$H$11:$H$51,MATCH($B$5,Inputs!$B$11:$B$51,0))</f>
        <v>85.335102853351</v>
      </c>
      <c r="C19" s="16" t="n">
        <f aca="false">INDEX(Inputs!$H$11:$H$51,MATCH($B$6,Inputs!$B$11:$B$51,0))</f>
        <v>102.176216882317</v>
      </c>
    </row>
    <row r="20" customFormat="false" ht="15" hidden="false" customHeight="false" outlineLevel="0" collapsed="false">
      <c r="A20" s="9" t="s">
        <v>17</v>
      </c>
      <c r="B20" s="17" t="n">
        <f aca="false">INDEX(Inputs!$I$11:$I$51,MATCH($B$5,Inputs!$B$11:$B$51,0))</f>
        <v>2174.33842070338</v>
      </c>
      <c r="C20" s="17" t="n">
        <f aca="false">INDEX(Inputs!$I$11:$I$51,MATCH($B$6,Inputs!$B$11:$B$51,0))</f>
        <v>41562.21974122</v>
      </c>
    </row>
    <row r="22" customFormat="false" ht="15" hidden="false" customHeight="false" outlineLevel="0" collapsed="false">
      <c r="A22" s="3" t="s">
        <v>86</v>
      </c>
    </row>
    <row r="23" customFormat="false" ht="15" hidden="false" customHeight="false" outlineLevel="0" collapsed="false">
      <c r="A23" s="9" t="s">
        <v>87</v>
      </c>
      <c r="B23" s="27" t="n">
        <f aca="false">LN(C16/B16)/$B$9</f>
        <v>0.142408495217032</v>
      </c>
    </row>
    <row r="24" customFormat="false" ht="15" hidden="false" customHeight="false" outlineLevel="0" collapsed="false">
      <c r="A24" s="9" t="s">
        <v>88</v>
      </c>
      <c r="B24" s="27" t="n">
        <f aca="false">LN(C17/B17)/$B$9</f>
        <v>0.12344922711118</v>
      </c>
    </row>
    <row r="25" customFormat="false" ht="15" hidden="false" customHeight="false" outlineLevel="0" collapsed="false">
      <c r="A25" s="9" t="s">
        <v>89</v>
      </c>
      <c r="B25" s="27" t="n">
        <f aca="false">LN(C18/B18)/$B$9</f>
        <v>0.291616219414565</v>
      </c>
    </row>
    <row r="26" customFormat="false" ht="15" hidden="false" customHeight="false" outlineLevel="0" collapsed="false">
      <c r="A26" s="9" t="s">
        <v>90</v>
      </c>
      <c r="B26" s="27" t="n">
        <f aca="false">B23-B24</f>
        <v>0.0189592681058522</v>
      </c>
    </row>
    <row r="27" customFormat="false" ht="15" hidden="false" customHeight="false" outlineLevel="0" collapsed="false">
      <c r="A27" s="9" t="s">
        <v>91</v>
      </c>
      <c r="B27" s="27" t="n">
        <f aca="false">B26+B25</f>
        <v>0.310575487520417</v>
      </c>
    </row>
    <row r="29" customFormat="false" ht="15" hidden="false" customHeight="false" outlineLevel="0" collapsed="false">
      <c r="A29" s="3" t="s">
        <v>92</v>
      </c>
    </row>
    <row r="30" customFormat="false" ht="15" hidden="false" customHeight="false" outlineLevel="0" collapsed="false">
      <c r="B30" s="35" t="s">
        <v>93</v>
      </c>
      <c r="C30" s="35" t="s">
        <v>94</v>
      </c>
      <c r="D30" s="35" t="s">
        <v>95</v>
      </c>
      <c r="E30" s="35" t="s">
        <v>96</v>
      </c>
    </row>
    <row r="31" customFormat="false" ht="15" hidden="false" customHeight="false" outlineLevel="0" collapsed="false">
      <c r="A31" s="9" t="s">
        <v>97</v>
      </c>
      <c r="B31" s="37" t="n">
        <f aca="false">EXP(B26)-1</f>
        <v>0.0191401362638233</v>
      </c>
      <c r="C31" s="37" t="n">
        <f aca="false">_xlfn.RRI($B$9,B19,C19)</f>
        <v>0.0191401362638233</v>
      </c>
      <c r="D31" s="38" t="n">
        <f aca="false">(C19/B19)^(1/$B$9)-1</f>
        <v>0.0191401362638233</v>
      </c>
      <c r="E31" s="9" t="str">
        <f aca="false">IF(AND(ROUND(B31-C31,8)=0,ROUND(B31-D31,8)=0),"yes","NO")</f>
        <v>yes</v>
      </c>
    </row>
    <row r="32" customFormat="false" ht="15" hidden="false" customHeight="false" outlineLevel="0" collapsed="false">
      <c r="A32" s="9" t="s">
        <v>98</v>
      </c>
      <c r="B32" s="37" t="n">
        <f aca="false">EXP(B27)-1</f>
        <v>0.364209974087277</v>
      </c>
      <c r="C32" s="37" t="n">
        <f aca="false">_xlfn.RRI($B$9,B20,C20)</f>
        <v>0.364209974087277</v>
      </c>
      <c r="D32" s="38" t="n">
        <f aca="false">(C20/B20)^(1/$B$9)-1</f>
        <v>0.364209974087277</v>
      </c>
      <c r="E32" s="9" t="str">
        <f aca="false">IF(AND(ROUND(B32-C32,8)=0,ROUND(B32-D32,8)=0),"yes","NO")</f>
        <v>yes</v>
      </c>
    </row>
    <row r="33" customFormat="false" ht="15" hidden="false" customHeight="false" outlineLevel="0" collapsed="false">
      <c r="A33" s="2" t="s">
        <v>99</v>
      </c>
    </row>
    <row r="35" customFormat="false" ht="15" hidden="false" customHeight="false" outlineLevel="0" collapsed="false">
      <c r="A35" s="3" t="s">
        <v>100</v>
      </c>
    </row>
    <row r="36" customFormat="false" ht="15" hidden="false" customHeight="false" outlineLevel="0" collapsed="false">
      <c r="A36" s="9" t="s">
        <v>101</v>
      </c>
      <c r="B36" s="25" t="n">
        <f aca="false">SUMIFS(Inputs!$M$11:$M$51,Inputs!$A$11:$A$51,"&gt;"&amp;INDEX(Inputs!$A$11:$A$51,MATCH($B$5,Inputs!$B$11:$B$51,0)),Inputs!$A$11:$A$51,"&lt;="&amp;INDEX(Inputs!$A$11:$A$51,MATCH($B$6,Inputs!$B$11:$B$51,0)))</f>
        <v>31.9025</v>
      </c>
    </row>
    <row r="37" customFormat="false" ht="15" hidden="false" customHeight="false" outlineLevel="0" collapsed="false">
      <c r="A37" s="9" t="s">
        <v>102</v>
      </c>
      <c r="B37" s="25" t="n">
        <f aca="false">SUMIFS(Inputs!$N$11:$N$51,Inputs!$A$11:$A$51,"&gt;"&amp;INDEX(Inputs!$A$11:$A$51,MATCH($B$5,Inputs!$B$11:$B$51,0)),Inputs!$A$11:$A$51,"&lt;="&amp;INDEX(Inputs!$A$11:$A$51,MATCH($B$6,Inputs!$B$11:$B$51,0)))</f>
        <v>4.9871</v>
      </c>
    </row>
    <row r="38" customFormat="false" ht="15" hidden="false" customHeight="false" outlineLevel="0" collapsed="false">
      <c r="A38" s="9" t="s">
        <v>103</v>
      </c>
      <c r="B38" s="25" t="n">
        <f aca="false">B36+B37</f>
        <v>36.8896</v>
      </c>
    </row>
    <row r="39" customFormat="false" ht="15" hidden="false" customHeight="false" outlineLevel="0" collapsed="false">
      <c r="A39" s="9" t="s">
        <v>104</v>
      </c>
      <c r="B39" s="39" t="n">
        <f aca="false">IFERROR(B36/B38,0)</f>
        <v>0.864810136190146</v>
      </c>
    </row>
    <row r="40" customFormat="false" ht="15" hidden="false" customHeight="false" outlineLevel="0" collapsed="false">
      <c r="A40" s="9" t="s">
        <v>105</v>
      </c>
      <c r="B40" s="39" t="n">
        <f aca="false">IFERROR(B37/B38,0)</f>
        <v>0.135189863809854</v>
      </c>
    </row>
    <row r="41" customFormat="false" ht="15" hidden="false" customHeight="false" outlineLevel="0" collapsed="false">
      <c r="A41" s="9" t="s">
        <v>106</v>
      </c>
      <c r="B41" s="27" t="n">
        <f aca="false">SUMIFS(Inputs!$O$11:$O$51,Inputs!$A$11:$A$51,"&gt;"&amp;INDEX(Inputs!$A$11:$A$51,MATCH($B$5,Inputs!$B$11:$B$51,0)),Inputs!$A$11:$A$51,"&lt;="&amp;INDEX(Inputs!$A$11:$A$51,MATCH($B$6,Inputs!$B$11:$B$51,0)))</f>
        <v>1.17277419989599</v>
      </c>
    </row>
    <row r="42" customFormat="false" ht="15" hidden="false" customHeight="false" outlineLevel="0" collapsed="false">
      <c r="A42" s="9" t="s">
        <v>107</v>
      </c>
      <c r="B42" s="27" t="n">
        <f aca="false">B41/$B$9</f>
        <v>0.123449915778525</v>
      </c>
    </row>
    <row r="44" customFormat="false" ht="15" hidden="false" customHeight="false" outlineLevel="0" collapsed="false">
      <c r="A44" s="3" t="s">
        <v>108</v>
      </c>
    </row>
    <row r="45" customFormat="false" ht="22.35" hidden="false" customHeight="false" outlineLevel="0" collapsed="false">
      <c r="A45" s="40" t="s">
        <v>109</v>
      </c>
      <c r="B45" s="40" t="s">
        <v>110</v>
      </c>
      <c r="C45" s="40" t="s">
        <v>111</v>
      </c>
    </row>
    <row r="46" customFormat="false" ht="15" hidden="false" customHeight="false" outlineLevel="0" collapsed="false">
      <c r="A46" s="9" t="s">
        <v>112</v>
      </c>
      <c r="B46" s="27" t="n">
        <f aca="false">$B$39*$B$23</f>
        <v>0.123156310143275</v>
      </c>
      <c r="C46" s="38" t="n">
        <f aca="false">IFERROR(B46/$B$26*$B$31,0)</f>
        <v>0.124331200167181</v>
      </c>
    </row>
    <row r="47" customFormat="false" ht="15" hidden="false" customHeight="false" outlineLevel="0" collapsed="false">
      <c r="A47" s="9" t="s">
        <v>113</v>
      </c>
      <c r="B47" s="27" t="n">
        <f aca="false">$B$40*$B$23</f>
        <v>0.0192521850737568</v>
      </c>
      <c r="C47" s="38" t="n">
        <f aca="false">IFERROR(B47/$B$26*$B$31,0)</f>
        <v>0.0194358476092391</v>
      </c>
    </row>
    <row r="48" customFormat="false" ht="15" hidden="false" customHeight="false" outlineLevel="0" collapsed="false">
      <c r="A48" s="9" t="s">
        <v>114</v>
      </c>
      <c r="B48" s="27" t="n">
        <f aca="false">-$B$24</f>
        <v>-0.12344922711118</v>
      </c>
      <c r="C48" s="38" t="n">
        <f aca="false">IFERROR(B48/$B$26*$B$31,0)</f>
        <v>-0.124626911512597</v>
      </c>
    </row>
    <row r="49" customFormat="false" ht="15" hidden="false" customHeight="false" outlineLevel="0" collapsed="false">
      <c r="A49" s="41" t="s">
        <v>115</v>
      </c>
      <c r="B49" s="42" t="n">
        <f aca="false">SUM(B46:B48)</f>
        <v>0.0189592681058522</v>
      </c>
      <c r="C49" s="37" t="n">
        <f aca="false">SUM(C46:C48)</f>
        <v>0.0191401362638232</v>
      </c>
    </row>
    <row r="50" customFormat="false" ht="15" hidden="false" customHeight="false" outlineLevel="0" collapsed="false">
      <c r="A50" s="4" t="s">
        <v>116</v>
      </c>
      <c r="C50" s="4" t="str">
        <f aca="false">IF(ROUND(C49-B31,8)=0,"ties","does not tie")</f>
        <v>ties</v>
      </c>
    </row>
    <row r="52" customFormat="false" ht="15" hidden="false" customHeight="false" outlineLevel="0" collapsed="false">
      <c r="A52" s="3" t="s">
        <v>117</v>
      </c>
    </row>
    <row r="53" customFormat="false" ht="22.35" hidden="false" customHeight="false" outlineLevel="0" collapsed="false">
      <c r="A53" s="40" t="s">
        <v>109</v>
      </c>
      <c r="B53" s="40" t="s">
        <v>110</v>
      </c>
      <c r="C53" s="40" t="s">
        <v>111</v>
      </c>
    </row>
    <row r="54" customFormat="false" ht="15" hidden="false" customHeight="false" outlineLevel="0" collapsed="false">
      <c r="A54" s="9" t="s">
        <v>112</v>
      </c>
      <c r="B54" s="27" t="n">
        <f aca="false">$B$42</f>
        <v>0.123449915778525</v>
      </c>
      <c r="C54" s="38" t="n">
        <f aca="false">IFERROR(B54/$B$26*$B$31,0)</f>
        <v>0.12462760674971</v>
      </c>
    </row>
    <row r="55" customFormat="false" ht="15" hidden="false" customHeight="false" outlineLevel="0" collapsed="false">
      <c r="A55" s="9" t="s">
        <v>113</v>
      </c>
      <c r="B55" s="27" t="n">
        <f aca="false">$B$23-$B$42</f>
        <v>0.0189585794385069</v>
      </c>
      <c r="C55" s="38" t="n">
        <f aca="false">IFERROR(B55/$B$26*$B$31,0)</f>
        <v>0.01913944102671</v>
      </c>
    </row>
    <row r="56" customFormat="false" ht="15" hidden="false" customHeight="false" outlineLevel="0" collapsed="false">
      <c r="A56" s="9" t="s">
        <v>114</v>
      </c>
      <c r="B56" s="27" t="n">
        <f aca="false">-$B$24</f>
        <v>-0.12344922711118</v>
      </c>
      <c r="C56" s="38" t="n">
        <f aca="false">IFERROR(B56/$B$26*$B$31,0)</f>
        <v>-0.124626911512597</v>
      </c>
    </row>
    <row r="57" customFormat="false" ht="15" hidden="false" customHeight="false" outlineLevel="0" collapsed="false">
      <c r="A57" s="41" t="s">
        <v>115</v>
      </c>
      <c r="B57" s="42" t="n">
        <f aca="false">SUM(B54:B56)</f>
        <v>0.0189592681058522</v>
      </c>
      <c r="C57" s="37" t="n">
        <f aca="false">SUM(C54:C56)</f>
        <v>0.0191401362638233</v>
      </c>
    </row>
    <row r="58" customFormat="false" ht="15" hidden="false" customHeight="false" outlineLevel="0" collapsed="false">
      <c r="A58" s="4" t="s">
        <v>116</v>
      </c>
      <c r="C58" s="4" t="str">
        <f aca="false">IF(ROUND(C57-B31,8)=0,"ties","does not tie")</f>
        <v>ties</v>
      </c>
    </row>
    <row r="59" customFormat="false" ht="15" hidden="false" customHeight="false" outlineLevel="0" collapsed="false">
      <c r="A59" s="35" t="s">
        <v>118</v>
      </c>
      <c r="C59" s="43" t="n">
        <f aca="false">C54+C56</f>
        <v>6.95237113296221E-007</v>
      </c>
      <c r="D59" s="2" t="str">
        <f aca="false">IF(ABS(C59)&lt;0.0001,"offset exactly — issuance at NAV","net effect of issuance")</f>
        <v>offset exactly — issuance at NAV</v>
      </c>
    </row>
    <row r="61" customFormat="false" ht="15" hidden="false" customHeight="false" outlineLevel="0" collapsed="false">
      <c r="A61" s="3" t="s">
        <v>119</v>
      </c>
    </row>
    <row r="62" customFormat="false" ht="22.35" hidden="false" customHeight="false" outlineLevel="0" collapsed="false">
      <c r="A62" s="40" t="s">
        <v>109</v>
      </c>
      <c r="B62" s="40" t="s">
        <v>110</v>
      </c>
      <c r="C62" s="40" t="s">
        <v>111</v>
      </c>
    </row>
    <row r="63" customFormat="false" ht="15" hidden="false" customHeight="false" outlineLevel="0" collapsed="false">
      <c r="A63" s="9" t="s">
        <v>120</v>
      </c>
      <c r="B63" s="27" t="n">
        <f aca="false">$B$25</f>
        <v>0.291616219414565</v>
      </c>
      <c r="C63" s="38" t="n">
        <f aca="false">IFERROR(B63/$B$27*$B$32,0)</f>
        <v>0.341976556374</v>
      </c>
    </row>
    <row r="64" customFormat="false" ht="15" hidden="false" customHeight="false" outlineLevel="0" collapsed="false">
      <c r="A64" s="9" t="s">
        <v>112</v>
      </c>
      <c r="B64" s="27" t="n">
        <f aca="false">$B$42</f>
        <v>0.123449915778525</v>
      </c>
      <c r="C64" s="38" t="n">
        <f aca="false">IFERROR(B64/$B$27*$B$32,0)</f>
        <v>0.144768960956126</v>
      </c>
    </row>
    <row r="65" customFormat="false" ht="15" hidden="false" customHeight="false" outlineLevel="0" collapsed="false">
      <c r="A65" s="9" t="s">
        <v>113</v>
      </c>
      <c r="B65" s="27" t="n">
        <f aca="false">$B$23-$B$42</f>
        <v>0.0189585794385069</v>
      </c>
      <c r="C65" s="38" t="n">
        <f aca="false">IFERROR(B65/$B$27*$B$32,0)</f>
        <v>0.0222326101172949</v>
      </c>
    </row>
    <row r="66" customFormat="false" ht="15" hidden="false" customHeight="false" outlineLevel="0" collapsed="false">
      <c r="A66" s="9" t="s">
        <v>114</v>
      </c>
      <c r="B66" s="27" t="n">
        <f aca="false">-$B$24</f>
        <v>-0.12344922711118</v>
      </c>
      <c r="C66" s="38" t="n">
        <f aca="false">IFERROR(B66/$B$27*$B$32,0)</f>
        <v>-0.144768153360144</v>
      </c>
    </row>
    <row r="67" customFormat="false" ht="15" hidden="false" customHeight="false" outlineLevel="0" collapsed="false">
      <c r="A67" s="41" t="s">
        <v>115</v>
      </c>
      <c r="B67" s="42" t="n">
        <f aca="false">SUM(B63:B66)</f>
        <v>0.310575487520417</v>
      </c>
      <c r="C67" s="37" t="n">
        <f aca="false">SUM(C63:C66)</f>
        <v>0.364209974087277</v>
      </c>
    </row>
    <row r="69" customFormat="false" ht="15" hidden="false" customHeight="false" outlineLevel="0" collapsed="false">
      <c r="A69" s="3" t="s">
        <v>121</v>
      </c>
    </row>
    <row r="70" customFormat="false" ht="15" hidden="false" customHeight="false" outlineLevel="0" collapsed="false">
      <c r="A70" s="9" t="s">
        <v>122</v>
      </c>
      <c r="B70" s="27" t="n">
        <f aca="false">B42-B24</f>
        <v>6.88667345233318E-007</v>
      </c>
      <c r="C70" s="2" t="str">
        <f aca="false">IF(ABS(B70)&lt;0.00001,"zero — mNAV is 1.00","non-zero — issuance is not at NAV")</f>
        <v>zero — mNAV is 1.00</v>
      </c>
    </row>
    <row r="71" customFormat="false" ht="15" hidden="false" customHeight="false" outlineLevel="0" collapsed="false">
      <c r="A71" s="9" t="s">
        <v>123</v>
      </c>
      <c r="B71" s="29" t="n">
        <f aca="false">IFERROR(AVERAGEIFS(Inputs!$R$11:$R$51,Inputs!$A$11:$A$51,"&gt;"&amp;INDEX(Inputs!$A$11:$A$51,MATCH($B$5,Inputs!$B$11:$B$51,0)),Inputs!$A$11:$A$51,"&lt;="&amp;INDEX(Inputs!$A$11:$A$51,MATCH($B$6,Inputs!$B$11:$B$51,0))),"n/a")</f>
        <v>1.00000566514567</v>
      </c>
    </row>
    <row r="72" customFormat="false" ht="15" hidden="false" customHeight="false" outlineLevel="0" collapsed="false">
      <c r="A72" s="9" t="s">
        <v>124</v>
      </c>
      <c r="B72" s="38" t="n">
        <f aca="false">C46-C54</f>
        <v>-0.000296406582529121</v>
      </c>
      <c r="C72" s="2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18"/>
  </cols>
  <sheetData>
    <row r="1" customFormat="false" ht="16.15" hidden="false" customHeight="false" outlineLevel="0" collapsed="false">
      <c r="A1" s="1" t="s">
        <v>126</v>
      </c>
    </row>
    <row r="3" customFormat="false" ht="61.5" hidden="false" customHeight="true" outlineLevel="0" collapsed="false">
      <c r="A3" s="10" t="s">
        <v>127</v>
      </c>
      <c r="B3" s="44" t="s">
        <v>128</v>
      </c>
    </row>
    <row r="4" customFormat="false" ht="61.5" hidden="false" customHeight="true" outlineLevel="0" collapsed="false">
      <c r="A4" s="10" t="s">
        <v>129</v>
      </c>
      <c r="B4" s="44" t="s">
        <v>130</v>
      </c>
    </row>
    <row r="5" customFormat="false" ht="61.5" hidden="false" customHeight="true" outlineLevel="0" collapsed="false">
      <c r="A5" s="10" t="s">
        <v>131</v>
      </c>
      <c r="B5" s="44" t="s">
        <v>132</v>
      </c>
    </row>
    <row r="6" customFormat="false" ht="61.5" hidden="false" customHeight="true" outlineLevel="0" collapsed="false">
      <c r="A6" s="10" t="s">
        <v>133</v>
      </c>
      <c r="B6" s="44" t="s">
        <v>134</v>
      </c>
    </row>
    <row r="7" customFormat="false" ht="61.5" hidden="false" customHeight="true" outlineLevel="0" collapsed="false">
      <c r="A7" s="10" t="s">
        <v>135</v>
      </c>
      <c r="B7" s="44" t="s">
        <v>136</v>
      </c>
    </row>
    <row r="8" customFormat="false" ht="61.5" hidden="false" customHeight="true" outlineLevel="0" collapsed="false">
      <c r="A8" s="10" t="s">
        <v>137</v>
      </c>
      <c r="B8" s="44" t="s">
        <v>138</v>
      </c>
    </row>
    <row r="9" customFormat="false" ht="61.5" hidden="false" customHeight="true" outlineLevel="0" collapsed="false">
      <c r="A9" s="10" t="s">
        <v>139</v>
      </c>
      <c r="B9" s="44" t="s">
        <v>140</v>
      </c>
    </row>
    <row r="10" customFormat="false" ht="61.5" hidden="false" customHeight="true" outlineLevel="0" collapsed="false">
      <c r="A10" s="10" t="s">
        <v>141</v>
      </c>
      <c r="B10" s="44" t="s">
        <v>142</v>
      </c>
    </row>
    <row r="11" customFormat="false" ht="61.5" hidden="false" customHeight="true" outlineLevel="0" collapsed="false">
      <c r="A11" s="10" t="s">
        <v>143</v>
      </c>
      <c r="B11" s="44" t="s">
        <v>144</v>
      </c>
    </row>
    <row r="12" customFormat="false" ht="61.5" hidden="false" customHeight="true" outlineLevel="0" collapsed="false">
      <c r="A12" s="10" t="s">
        <v>145</v>
      </c>
      <c r="B12" s="44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2026-09-18T04:51:46Z</dcterms:created>
  <dc:creator>openpyxl</dc:creator>
  <dc:description/>
  <dc:language>en-US</dc:language>
  <cp:lastModifiedBy/>
  <dcterms:modified xsi:type="dcterms:W3CDTF">2026-09-18T04:51:46Z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