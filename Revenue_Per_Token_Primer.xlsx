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Primer" sheetId="1" state="visible" r:id="rId3"/>
    <sheet name="⚡ L0 Physics" sheetId="2" state="visible" r:id="rId4"/>
    <sheet name="🏗 L1 Bare Metal" sheetId="3" state="visible" r:id="rId5"/>
    <sheet name="☁ L2 Neocloud" sheetId="4" state="visible" r:id="rId6"/>
    <sheet name="🤖 L3 Inference API" sheetId="5" state="visible" r:id="rId7"/>
    <sheet name="🏢 L4 Enterprise" sheetId="6" state="visible" r:id="rId8"/>
    <sheet name="📊 RPT Comparison" sheetId="7" state="visible" r:id="rId9"/>
    <sheet name="🔬 Sensitivity" sheetId="8" state="visible" r:id="rId10"/>
    <sheet name="📚 Gloss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<sst xmlns="http://schemas.openxmlformats.org/spreadsheetml/2006/main" count="527" uniqueCount="509">
  <si>
    <t xml:space="preserve">REVENUE PER TOKEN — A COMPLETE PRIMER</t>
  </si>
  <si>
    <t xml:space="preserve">From watts of compute → tokens generated → dollars earned</t>
  </si>
  <si>
    <t xml:space="preserve">THE MENTAL MODEL</t>
  </si>
  <si>
    <t xml:space="preserve">Revenue Per Token (RPT) = the economic yield squeezed out of each unit of compute work.</t>
  </si>
  <si>
    <t xml:space="preserve">Think of it like 'revenue per barrel' in oil, or 'revenue per seat-mile' in airlines.</t>
  </si>
  <si>
    <t xml:space="preserve">It ties the physical cost of running silicon to the commercial value of AI output.</t>
  </si>
  <si>
    <t xml:space="preserve">LAYER 0 — PHYSICS: WATTS → TOKENS</t>
  </si>
  <si>
    <t xml:space="preserve">A GPU/TPU converts electrical watts into floating-point operations (FLOPs).</t>
  </si>
  <si>
    <t xml:space="preserve">• H100 SXM: 700W TDP, ~2,000 TFLOPS (BF16). Effective utilisation ~40-55%.</t>
  </si>
  <si>
    <t xml:space="preserve">• A typical LLM inference token costs ~1-3 MFLOPs for a 7B model, ~6-12 MFLOPs for 70B.</t>
  </si>
  <si>
    <t xml:space="preserve">• Rough conversion: 1 watt-hour ≈ 50,000–200,000 tokens (model &amp; batch size dependent).</t>
  </si>
  <si>
    <t xml:space="preserve">• TPUs (Google) and Trainium (AWS) are more power-efficient but narrower in model support.</t>
  </si>
  <si>
    <t xml:space="preserve">• The key ratio: Tokens/Joule. Higher = better silicon efficiency.</t>
  </si>
  <si>
    <t xml:space="preserve">LAYER 1 — BARE METAL: WHAT DOES HARDWARE COST?</t>
  </si>
  <si>
    <t xml:space="preserve">Data centre operators buy or lease GPUs. True cost has several components:</t>
  </si>
  <si>
    <t xml:space="preserve">• CapEx: H100 cluster (8-GPU node) ~$200K–$300K. Amortised over 3–5 years.</t>
  </si>
  <si>
    <t xml:space="preserve">• OpEx: Power (electricity), cooling, networking, staff, real estate.</t>
  </si>
  <si>
    <t xml:space="preserve">• PUE (Power Usage Effectiveness): Best DCs ~1.1x, average ~1.4x. Multiply electricity draw.</t>
  </si>
  <si>
    <t xml:space="preserve">• All-in cost per GPU-hour (bare metal): ~$2–$4 on owned hardware; ~$2–$8 rented.</t>
  </si>
  <si>
    <t xml:space="preserve">• At full utilisation a single H100 can serve ~4–8 million tokens/hour (70B model).</t>
  </si>
  <si>
    <t xml:space="preserve">LAYER 2 — NEOCLOUD: RENTING OUT THE METAL</t>
  </si>
  <si>
    <t xml:space="preserve">Neoclouds (CoreWeave, Lambda, Vast.ai) buy clusters and sell GPU-hours.</t>
  </si>
  <si>
    <t xml:space="preserve">• Spot/interruptible H100: $2–$3/hr. Reserved 1yr: $2.5–$3.5/hr. On-demand: $3–$5/hr.</t>
  </si>
  <si>
    <t xml:space="preserve">• Gross margin target: 40–60%. So if cost is $2.50/hr, they charge $4–5/hr.</t>
  </si>
  <si>
    <t xml:space="preserve">• Their RPT is implicit — they charge for time, not tokens. Token efficiency accrues to tenant.</t>
  </si>
  <si>
    <t xml:space="preserve">• Risk: commodity pricing. Winner = whoever has cheapest power + newest silicon.</t>
  </si>
  <si>
    <t xml:space="preserve">LAYER 3 — INFERENCE API: SELLING TOKENS DIRECTLY</t>
  </si>
  <si>
    <t xml:space="preserve">Model API providers (Anthropic, OpenAI, Google, Mistral) price per 1M tokens.</t>
  </si>
  <si>
    <t xml:space="preserve">• Claude 3.5 Sonnet: ~$3 input / $15 output per 1M tokens.</t>
  </si>
  <si>
    <t xml:space="preserve">• GPT-4o: ~$2.50 input / $10 output per 1M tokens (as of early 2025).</t>
  </si>
  <si>
    <t xml:space="preserve">• The GPU cost to serve 1M tokens ≈ $0.10–$0.50 (large batch, efficient infra).</t>
  </si>
  <si>
    <t xml:space="preserve">• Gross margin on inference: 60–85% at scale.</t>
  </si>
  <si>
    <t xml:space="preserve">• Key levers: model distillation, speculative decoding, KV-cache reuse, batching.</t>
  </si>
  <si>
    <t xml:space="preserve">• Hyperscalers (Azure, GCP) resell or bundle — add SLA, compliance, ecosystem premium.</t>
  </si>
  <si>
    <t xml:space="preserve">LAYER 4 — ENTERPRISE / END-USER: VALUE EXTRACTION</t>
  </si>
  <si>
    <t xml:space="preserve">Enterprises pay for tokens embedded in software (GitHub Copilot, Salesforce Einstein).</t>
  </si>
  <si>
    <t xml:space="preserve">• The software vendor captures the spread: buys tokens at API price, sells value.</t>
  </si>
  <si>
    <t xml:space="preserve">• RPT here is opaque — priced per seat/month, not per token.</t>
  </si>
  <si>
    <t xml:space="preserve">• But internally, token efficiency = profit margin. Every wasted token = cost drag.</t>
  </si>
  <si>
    <t xml:space="preserve">• Best-in-class: tokens per task falling 40–60% YoY due to prompt engineering + smaller models.</t>
  </si>
  <si>
    <t xml:space="preserve">WHY RPT IS THE FUTURE METRIC OF COMPUTE</t>
  </si>
  <si>
    <t xml:space="preserve">1. Commoditisation: GPU hours are commoditising → price competition races to zero.</t>
  </si>
  <si>
    <t xml:space="preserve">2. Value shift: Differentiation moves to 'intelligence per token' not raw FLOP count.</t>
  </si>
  <si>
    <t xml:space="preserve">3. Efficiency moat: Companies with better architectures (MoE, distillation) earn more per token.</t>
  </si>
  <si>
    <t xml:space="preserve">4. CapEx treadmill: Only firms with high RPT can afford next-gen silicon.</t>
  </si>
  <si>
    <t xml:space="preserve">5. Analogy: Airlines moved from 'seats sold' to 'revenue per available seat-mile (RASM)'.</t>
  </si>
  <si>
    <t xml:space="preserve">   AI will move from 'GPU utilisation' to 'revenue per available token (RPAT)'.</t>
  </si>
  <si>
    <t xml:space="preserve">HOW TO EVALUATE A COMPANY ON RPT</t>
  </si>
  <si>
    <t xml:space="preserve">Ask these questions:</t>
  </si>
  <si>
    <t xml:space="preserve">• What is their blended $ per 1M output tokens (ASP)?</t>
  </si>
  <si>
    <t xml:space="preserve">• What is their compute cost per 1M tokens (COGS)? → Gross margin on tokens.</t>
  </si>
  <si>
    <t xml:space="preserve">• Is token volume growing faster than revenue? (RPT compressing = commoditisation.)</t>
  </si>
  <si>
    <t xml:space="preserve">• What % of revenue comes from output tokens vs subscriptions vs seats?</t>
  </si>
  <si>
    <t xml:space="preserve">• Are they investing in efficiency (smaller models, caching) or just scale?</t>
  </si>
  <si>
    <t xml:space="preserve">• Red flag: RPT declining AND margins declining = stuck on commodity treadmill.</t>
  </si>
  <si>
    <t xml:space="preserve">• Green flag: RPT stable/rising with volume growth = pricing power + efficiency gains.</t>
  </si>
  <si>
    <t xml:space="preserve">COLOUR LEGEND</t>
  </si>
  <si>
    <t xml:space="preserve">■</t>
  </si>
  <si>
    <t xml:space="preserve">Blue text = Hard-coded input (change these)</t>
  </si>
  <si>
    <t xml:space="preserve">Black text = Formula / calculated</t>
  </si>
  <si>
    <t xml:space="preserve">Green text = Cross-sheet reference</t>
  </si>
  <si>
    <t xml:space="preserve">Gold header = Key assumption block</t>
  </si>
  <si>
    <t xml:space="preserve">Cyan header = Section title</t>
  </si>
  <si>
    <t xml:space="preserve">NAVIGATE → [⚡ Layer 0: Physics]  [🏗 Layer 1: Bare Metal]  [☁ Layer 2: Neocloud]  [🤖 L3 Inference]  [🏢 L4 Enterprise]  [📊 Comparison]</t>
  </si>
  <si>
    <t xml:space="preserve">How much compute (measured in watts &amp; FLOPs) does it take to generate one token?</t>
  </si>
  <si>
    <t xml:space="preserve">Accelerator</t>
  </si>
  <si>
    <t xml:space="preserve">TDP (W)</t>
  </si>
  <si>
    <t xml:space="preserve">Peak TFLOPS (BF16)</t>
  </si>
  <si>
    <t xml:space="preserve">Typical Util %</t>
  </si>
  <si>
    <t xml:space="preserve">Notes</t>
  </si>
  <si>
    <t xml:space="preserve">NVIDIA H100 SXM</t>
  </si>
  <si>
    <t xml:space="preserve">45%</t>
  </si>
  <si>
    <t xml:space="preserve">Flagship training/inference; SXM version</t>
  </si>
  <si>
    <t xml:space="preserve">NVIDIA A100 SXM</t>
  </si>
  <si>
    <t xml:space="preserve">40%</t>
  </si>
  <si>
    <t xml:space="preserve">Previous gen; widely deployed</t>
  </si>
  <si>
    <t xml:space="preserve">NVIDIA H200 SXM</t>
  </si>
  <si>
    <t xml:space="preserve">50%</t>
  </si>
  <si>
    <t xml:space="preserve">Same die as H100 but HBM3e memory</t>
  </si>
  <si>
    <t xml:space="preserve">NVIDIA B200</t>
  </si>
  <si>
    <t xml:space="preserve">Blackwell; 2025 deployments</t>
  </si>
  <si>
    <t xml:space="preserve">Google TPU v5e</t>
  </si>
  <si>
    <t xml:space="preserve">60%</t>
  </si>
  <si>
    <t xml:space="preserve">Google-only; very efficient for TPU-native models</t>
  </si>
  <si>
    <t xml:space="preserve">AWS Trainium2</t>
  </si>
  <si>
    <t xml:space="preserve">AWS proprietary; competitive with H100</t>
  </si>
  <si>
    <t xml:space="preserve">AMD MI300X</t>
  </si>
  <si>
    <t xml:space="preserve">Strong memory bandwidth; growing adoption</t>
  </si>
  <si>
    <t xml:space="preserve">SECTION A — FLOPS PER TOKEN CALCULATOR</t>
  </si>
  <si>
    <t xml:space="preserve">Model size (B parameters)</t>
  </si>
  <si>
    <t xml:space="preserve">e.g. 70B = Llama-3-70B</t>
  </si>
  <si>
    <t xml:space="preserve">FLOPs per token (millions)</t>
  </si>
  <si>
    <t xml:space="preserve">~2× model params for dense; lower for MoE</t>
  </si>
  <si>
    <t xml:space="preserve">GPU TDP — chosen (W)</t>
  </si>
  <si>
    <t xml:space="preserve">Change to match GPU above</t>
  </si>
  <si>
    <t xml:space="preserve">GPU utilisation (%)</t>
  </si>
  <si>
    <t xml:space="preserve">Effective MFU during inference</t>
  </si>
  <si>
    <t xml:space="preserve">Peak TFLOPS (BF16) — chosen</t>
  </si>
  <si>
    <t xml:space="preserve">From table above</t>
  </si>
  <si>
    <t xml:space="preserve">Batch size (tokens processed together)</t>
  </si>
  <si>
    <t xml:space="preserve">Higher batch → better utilisation</t>
  </si>
  <si>
    <t xml:space="preserve">PUE of data centre</t>
  </si>
  <si>
    <t xml:space="preserve">Power Usage Effectiveness (1.1 best, 1.5 avg)</t>
  </si>
  <si>
    <t xml:space="preserve">SECTION B — DERIVED METRICS</t>
  </si>
  <si>
    <t xml:space="preserve">Effective TFLOPS (actual)</t>
  </si>
  <si>
    <t xml:space="preserve">Peak × utilisation</t>
  </si>
  <si>
    <t xml:space="preserve">Effective GFLOPS/second</t>
  </si>
  <si>
    <t xml:space="preserve">Effective TFLOPS × 1000</t>
  </si>
  <si>
    <t xml:space="preserve">Tokens per second (single GPU)</t>
  </si>
  <si>
    <t xml:space="preserve">GFLOPS ÷ MFLOPs-per-token × 1000</t>
  </si>
  <si>
    <t xml:space="preserve">Wall-clock watts (incl. PUE)</t>
  </si>
  <si>
    <t xml:space="preserve">GPU power × PUE</t>
  </si>
  <si>
    <t xml:space="preserve">Tokens per watt-second</t>
  </si>
  <si>
    <t xml:space="preserve">Tokens / joule</t>
  </si>
  <si>
    <t xml:space="preserve">Tokens per kWh</t>
  </si>
  <si>
    <t xml:space="preserve">1 kWh = 3,600,000 watt-seconds</t>
  </si>
  <si>
    <t xml:space="preserve">GPU-hours to serve 1M tokens</t>
  </si>
  <si>
    <t xml:space="preserve">1M ÷ (tokens/sec × 3600)</t>
  </si>
  <si>
    <t xml:space="preserve">LAYER 1 — BARE METAL: TRUE COST OF COMPUTE</t>
  </si>
  <si>
    <t xml:space="preserve">SECTION A — CAPEX (Hardware Purchase)</t>
  </si>
  <si>
    <t xml:space="preserve">GPUs per node (DGX style)</t>
  </si>
  <si>
    <t xml:space="preserve">Cost per GPU ($)</t>
  </si>
  <si>
    <t xml:space="preserve">H100 SXM ~$25K–$35K street</t>
  </si>
  <si>
    <t xml:space="preserve">Number of nodes</t>
  </si>
  <si>
    <t xml:space="preserve">Small inference cluster</t>
  </si>
  <si>
    <t xml:space="preserve">Networking cost per node ($)</t>
  </si>
  <si>
    <t xml:space="preserve">InfiniBand / NVLink switches</t>
  </si>
  <si>
    <t xml:space="preserve">Server chassis &amp; misc per node ($)</t>
  </si>
  <si>
    <t xml:space="preserve">Amortisation period (years)</t>
  </si>
  <si>
    <t xml:space="preserve">Typical 3–5 years</t>
  </si>
  <si>
    <t xml:space="preserve">Total GPU cost ($)</t>
  </si>
  <si>
    <t xml:space="preserve">GPUs × cost × nodes</t>
  </si>
  <si>
    <t xml:space="preserve">Total networking + chassis ($)</t>
  </si>
  <si>
    <t xml:space="preserve">Total CapEx ($)</t>
  </si>
  <si>
    <t xml:space="preserve">Annual CapEx charge (straight-line) ($)</t>
  </si>
  <si>
    <t xml:space="preserve">Total GPUs in cluster</t>
  </si>
  <si>
    <t xml:space="preserve">SECTION B — OPEX (Annual Running Costs)</t>
  </si>
  <si>
    <t xml:space="preserve">Power per GPU (W)</t>
  </si>
  <si>
    <t xml:space="preserve">PUE</t>
  </si>
  <si>
    <t xml:space="preserve">Electricity price ($/kWh)</t>
  </si>
  <si>
    <t xml:space="preserve">US avg DC rate; EU ~$0.08–$0.12</t>
  </si>
  <si>
    <t xml:space="preserve">Cluster uptime (%)</t>
  </si>
  <si>
    <t xml:space="preserve">~92% accounting for maintenance</t>
  </si>
  <si>
    <t xml:space="preserve">Staff FTEs</t>
  </si>
  <si>
    <t xml:space="preserve">Avg FTE fully-loaded cost ($/yr)</t>
  </si>
  <si>
    <t xml:space="preserve">Networking / bandwidth ($/yr)</t>
  </si>
  <si>
    <t xml:space="preserve">Other overhead ($/yr)</t>
  </si>
  <si>
    <t xml:space="preserve">Annual GPU power (kWh)</t>
  </si>
  <si>
    <t xml:space="preserve">W÷1000 × GPUs × hours/yr × uptime × PUE</t>
  </si>
  <si>
    <t xml:space="preserve">Annual electricity cost ($)</t>
  </si>
  <si>
    <t xml:space="preserve">Annual staff cost ($)</t>
  </si>
  <si>
    <t xml:space="preserve">Total annual OpEx ($)</t>
  </si>
  <si>
    <t xml:space="preserve">SECTION C — COST PER TOKEN</t>
  </si>
  <si>
    <t xml:space="preserve">Tokens/sec per GPU (from Layer 0)</t>
  </si>
  <si>
    <t xml:space="preserve">Pull from ⚡ Layer 0 C25, or enter manually</t>
  </si>
  <si>
    <t xml:space="preserve">Total tokens/sec (cluster)</t>
  </si>
  <si>
    <t xml:space="preserve">Annual tokens generated (billions)</t>
  </si>
  <si>
    <t xml:space="preserve">tokens/sec × seconds/yr × uptime</t>
  </si>
  <si>
    <t xml:space="preserve">Total annual cost (CapEx + OpEx) ($)</t>
  </si>
  <si>
    <t xml:space="preserve">Cost per 1M tokens ($) — BARE METAL</t>
  </si>
  <si>
    <t xml:space="preserve">Total cost ÷ (B tokens × 1000)</t>
  </si>
  <si>
    <t xml:space="preserve">Cost per GPU-hour ($)</t>
  </si>
  <si>
    <t xml:space="preserve">Total cost ÷ available GPU-hours</t>
  </si>
  <si>
    <t xml:space="preserve">LAYER 2 — NEOCLOUD: RENTING GPU HOURS</t>
  </si>
  <si>
    <t xml:space="preserve">SECTION A — NEOCLOUD COST BASE</t>
  </si>
  <si>
    <t xml:space="preserve">Bare metal cost per GPU-hr ($)</t>
  </si>
  <si>
    <t xml:space="preserve">Pulled from Layer 1</t>
  </si>
  <si>
    <t xml:space="preserve">Additional overhead markup (%)</t>
  </si>
  <si>
    <t xml:space="preserve">Sales, support, platform software</t>
  </si>
  <si>
    <t xml:space="preserve">Fully-loaded cost/GPU-hr ($)</t>
  </si>
  <si>
    <t xml:space="preserve">SECTION B — NEOCLOUD PRICING TIERS</t>
  </si>
  <si>
    <t xml:space="preserve">Tier</t>
  </si>
  <si>
    <t xml:space="preserve">Price/GPU-hr ($)</t>
  </si>
  <si>
    <t xml:space="preserve">Gross Margin (%)</t>
  </si>
  <si>
    <t xml:space="preserve">Spot / Interruptible</t>
  </si>
  <si>
    <t xml:space="preserve">Volatile; best for training</t>
  </si>
  <si>
    <t xml:space="preserve">On-Demand</t>
  </si>
  <si>
    <t xml:space="preserve">No commitment</t>
  </si>
  <si>
    <t xml:space="preserve">1-Year Reserved</t>
  </si>
  <si>
    <t xml:space="preserve">20–25% discount vs on-demand</t>
  </si>
  <si>
    <t xml:space="preserve">3-Year Reserved</t>
  </si>
  <si>
    <t xml:space="preserve">Deepest discount</t>
  </si>
  <si>
    <t xml:space="preserve">SECTION C — IMPLICIT REVENUE PER TOKEN (TENANT VIEW)</t>
  </si>
  <si>
    <t xml:space="preserve">Chosen tier price ($/GPU-hr)</t>
  </si>
  <si>
    <t xml:space="preserve">Tenant pays this to neocloud</t>
  </si>
  <si>
    <t xml:space="preserve">Tokens/sec per GPU (inference)</t>
  </si>
  <si>
    <t xml:space="preserve">Depends on model &amp; optimisation</t>
  </si>
  <si>
    <t xml:space="preserve">GPU-hours per 1M tokens</t>
  </si>
  <si>
    <t xml:space="preserve">Neocloud cost to tenant per 1M tokens ($)</t>
  </si>
  <si>
    <t xml:space="preserve">What the tenant pays for 1M tokens of compute</t>
  </si>
  <si>
    <t xml:space="preserve">API price charged to end-user ($/1M tokens)</t>
  </si>
  <si>
    <t xml:space="preserve">What tenant charges onward (Layer 3)</t>
  </si>
  <si>
    <t xml:space="preserve">Tenant spread per 1M tokens ($)</t>
  </si>
  <si>
    <t xml:space="preserve">Revenue − compute cost</t>
  </si>
  <si>
    <t xml:space="preserve">Tenant gross margin on tokens (%)</t>
  </si>
  <si>
    <t xml:space="preserve">LAYER 3 — INFERENCE API ECONOMICS</t>
  </si>
  <si>
    <t xml:space="preserve">SECTION A — MARKET PRICING BENCHMARK (mid-2025)</t>
  </si>
  <si>
    <t xml:space="preserve">Provider / Model</t>
  </si>
  <si>
    <t xml:space="preserve">Input $/1M tok</t>
  </si>
  <si>
    <t xml:space="preserve">Output $/1M tok</t>
  </si>
  <si>
    <t xml:space="preserve">Context (K)</t>
  </si>
  <si>
    <t xml:space="preserve">Anthropic Claude 3.5 Sonnet</t>
  </si>
  <si>
    <t xml:space="preserve">Strong reasoning; high output premium</t>
  </si>
  <si>
    <t xml:space="preserve">Anthropic Claude 3 Haiku</t>
  </si>
  <si>
    <t xml:space="preserve">Fast, cheap; volume workloads</t>
  </si>
  <si>
    <t xml:space="preserve">OpenAI GPT-4o</t>
  </si>
  <si>
    <t xml:space="preserve">Multimodal; wide adoption</t>
  </si>
  <si>
    <t xml:space="preserve">OpenAI GPT-4o mini</t>
  </si>
  <si>
    <t xml:space="preserve">Most used API model by volume</t>
  </si>
  <si>
    <t xml:space="preserve">Google Gemini 1.5 Pro</t>
  </si>
  <si>
    <t xml:space="preserve">Huge context window</t>
  </si>
  <si>
    <t xml:space="preserve">Google Gemini 1.5 Flash</t>
  </si>
  <si>
    <t xml:space="preserve">Aggressive pricing</t>
  </si>
  <si>
    <t xml:space="preserve">Meta Llama 3.1 70B (Groq)</t>
  </si>
  <si>
    <t xml:space="preserve">OSS model; Groq LPU pricing</t>
  </si>
  <si>
    <t xml:space="preserve">Mistral Large</t>
  </si>
  <si>
    <t xml:space="preserve">European provider</t>
  </si>
  <si>
    <t xml:space="preserve">Mistral 7B (self-hosted)</t>
  </si>
  <si>
    <t xml:space="preserve">DIY bare metal estimate</t>
  </si>
  <si>
    <t xml:space="preserve">SECTION B — INFERENCE API P&amp;L MODEL</t>
  </si>
  <si>
    <t xml:space="preserve">Input price ($/1M tokens)</t>
  </si>
  <si>
    <t xml:space="preserve">Output price ($/1M tokens)</t>
  </si>
  <si>
    <t xml:space="preserve">Input:Output token ratio</t>
  </si>
  <si>
    <t xml:space="preserve">Typical prompt is 3× shorter than completion</t>
  </si>
  <si>
    <t xml:space="preserve">Blended ASP ($/1M tokens)</t>
  </si>
  <si>
    <t xml:space="preserve">Weighted avg across in+out</t>
  </si>
  <si>
    <t xml:space="preserve">Compute cost/1M tokens (from Layer 1/2)</t>
  </si>
  <si>
    <t xml:space="preserve">Infra-only COGS; see Layer 1 C35</t>
  </si>
  <si>
    <t xml:space="preserve">Model serving overhead ($/1M)</t>
  </si>
  <si>
    <t xml:space="preserve">Batching infra, KV-cache, load balancers</t>
  </si>
  <si>
    <t xml:space="preserve">R&amp;D / model training amortisation ($/1M)</t>
  </si>
  <si>
    <t xml:space="preserve">Training cost spread over token volume</t>
  </si>
  <si>
    <t xml:space="preserve">Sales, support &amp; platform ($/1M)</t>
  </si>
  <si>
    <t xml:space="preserve">Total COGS ($/1M tokens)</t>
  </si>
  <si>
    <t xml:space="preserve">Gross profit per 1M tokens ($)</t>
  </si>
  <si>
    <t xml:space="preserve">Gross margin (%)</t>
  </si>
  <si>
    <t xml:space="preserve">Monthly token volume (B tokens/month)</t>
  </si>
  <si>
    <t xml:space="preserve">Large API provider scale</t>
  </si>
  <si>
    <t xml:space="preserve">Monthly gross profit ($M)</t>
  </si>
  <si>
    <t xml:space="preserve">Annual gross profit ($M)</t>
  </si>
  <si>
    <t xml:space="preserve">SECTION C — EFFICIENCY LEVERS (COGS REDUCTION)</t>
  </si>
  <si>
    <t xml:space="preserve">Technique</t>
  </si>
  <si>
    <t xml:space="preserve">COGS Impact</t>
  </si>
  <si>
    <t xml:space="preserve">Complexity</t>
  </si>
  <si>
    <t xml:space="preserve">Speculative decoding</t>
  </si>
  <si>
    <t xml:space="preserve">–20–30%</t>
  </si>
  <si>
    <t xml:space="preserve">Medium</t>
  </si>
  <si>
    <t xml:space="preserve">Draft model generates; large model verifies</t>
  </si>
  <si>
    <t xml:space="preserve">KV-cache reuse</t>
  </si>
  <si>
    <t xml:space="preserve">–15–25%</t>
  </si>
  <si>
    <t xml:space="preserve">Shared prefixes not recomputed</t>
  </si>
  <si>
    <t xml:space="preserve">Continuous batching</t>
  </si>
  <si>
    <t xml:space="preserve">–20–40%</t>
  </si>
  <si>
    <t xml:space="preserve">Low</t>
  </si>
  <si>
    <t xml:space="preserve">Fill GPU with concurrent requests</t>
  </si>
  <si>
    <t xml:space="preserve">Model quantisation (INT8)</t>
  </si>
  <si>
    <t xml:space="preserve">–30–50%</t>
  </si>
  <si>
    <t xml:space="preserve">Smaller model, similar quality</t>
  </si>
  <si>
    <t xml:space="preserve">Model distillation</t>
  </si>
  <si>
    <t xml:space="preserve">–40–70%</t>
  </si>
  <si>
    <t xml:space="preserve">High</t>
  </si>
  <si>
    <t xml:space="preserve">Small model learns from large teacher</t>
  </si>
  <si>
    <t xml:space="preserve">Mixture-of-Experts</t>
  </si>
  <si>
    <t xml:space="preserve">–50–80%</t>
  </si>
  <si>
    <t xml:space="preserve">Only activate subset of params per token</t>
  </si>
  <si>
    <t xml:space="preserve">Prompt caching</t>
  </si>
  <si>
    <t xml:space="preserve">–10–20%</t>
  </si>
  <si>
    <t xml:space="preserve">Cache system prompt across calls</t>
  </si>
  <si>
    <t xml:space="preserve">LAYER 4 — ENTERPRISE &amp; SaaS VALUE EXTRACTION</t>
  </si>
  <si>
    <t xml:space="preserve">SECTION A — TOKEN ECONOMICS PER USE CASE</t>
  </si>
  <si>
    <t xml:space="preserve">Use Case</t>
  </si>
  <si>
    <t xml:space="preserve">Tokens/task</t>
  </si>
  <si>
    <t xml:space="preserve">API cost ($)</t>
  </si>
  <si>
    <t xml:space="preserve">Value to user ($)</t>
  </si>
  <si>
    <t xml:space="preserve">Markup ×</t>
  </si>
  <si>
    <t xml:space="preserve">Code completion (Copilot-style)</t>
  </si>
  <si>
    <t xml:space="preserve">Email drafting</t>
  </si>
  <si>
    <t xml:space="preserve">Customer support ticket (resolved)</t>
  </si>
  <si>
    <t xml:space="preserve">Legal document review (10-pager)</t>
  </si>
  <si>
    <t xml:space="preserve">Medical note summarisation</t>
  </si>
  <si>
    <t xml:space="preserve">Data extraction (per row)</t>
  </si>
  <si>
    <t xml:space="preserve">SECTION B — SaaS UNIT ECONOMICS MODEL</t>
  </si>
  <si>
    <t xml:space="preserve">Monthly active users</t>
  </si>
  <si>
    <t xml:space="preserve">Tasks per user per month</t>
  </si>
  <si>
    <t xml:space="preserve">Avg tokens per task</t>
  </si>
  <si>
    <t xml:space="preserve">API cost (blended $/1M tokens)</t>
  </si>
  <si>
    <t xml:space="preserve">Monthly SaaS revenue per user ($)</t>
  </si>
  <si>
    <t xml:space="preserve">e.g. $30/seat/month</t>
  </si>
  <si>
    <t xml:space="preserve">Monthly tokens consumed (M)</t>
  </si>
  <si>
    <t xml:space="preserve">Monthly API cost ($)</t>
  </si>
  <si>
    <t xml:space="preserve">Monthly revenue ($)</t>
  </si>
  <si>
    <t xml:space="preserve">Token COGS as % of revenue</t>
  </si>
  <si>
    <t xml:space="preserve">Red flag if &gt;30–40%</t>
  </si>
  <si>
    <t xml:space="preserve">Gross margin (excl. other costs)</t>
  </si>
  <si>
    <t xml:space="preserve">Revenue per 1M tokens ($) — enterprise layer</t>
  </si>
  <si>
    <t xml:space="preserve">This is the ENTERPRISE RPT</t>
  </si>
  <si>
    <t xml:space="preserve">SECTION C — TOKEN EFFICIENCY IMPROVEMENT</t>
  </si>
  <si>
    <t xml:space="preserve">Baseline tokens/task</t>
  </si>
  <si>
    <t xml:space="preserve">Optimised tokens/task (prompt eng + smaller model)</t>
  </si>
  <si>
    <t xml:space="preserve">40–60% reduction typical YoY</t>
  </si>
  <si>
    <t xml:space="preserve">Token reduction (%)</t>
  </si>
  <si>
    <t xml:space="preserve">API cost saving per user per month ($)</t>
  </si>
  <si>
    <t xml:space="preserve">Annual saving across user base ($)</t>
  </si>
  <si>
    <t xml:space="preserve">Straight to gross margin</t>
  </si>
  <si>
    <t xml:space="preserve">REVENUE PER TOKEN — STACK COMPARISON &amp; SCORECARD</t>
  </si>
  <si>
    <t xml:space="preserve">FULL STACK — $/1M TOKENS AT EACH LAYER</t>
  </si>
  <si>
    <t xml:space="preserve">Layer</t>
  </si>
  <si>
    <t xml:space="preserve">Role</t>
  </si>
  <si>
    <t xml:space="preserve">Cost/1M tok ($)</t>
  </si>
  <si>
    <t xml:space="preserve">Revenue/1M tok ($)</t>
  </si>
  <si>
    <t xml:space="preserve">Gross Margin</t>
  </si>
  <si>
    <t xml:space="preserve">Who captures value?</t>
  </si>
  <si>
    <t xml:space="preserve">Layer 0 — Physics</t>
  </si>
  <si>
    <t xml:space="preserve">Silicon + electricity</t>
  </si>
  <si>
    <t xml:space="preserve">~0%</t>
  </si>
  <si>
    <t xml:space="preserve">Nobody (pure cost)</t>
  </si>
  <si>
    <t xml:space="preserve">~$0.05 electricity for 1M toks</t>
  </si>
  <si>
    <t xml:space="preserve">Layer 1 — Bare Metal</t>
  </si>
  <si>
    <t xml:space="preserve">DC operator owns GPU</t>
  </si>
  <si>
    <t xml:space="preserve">Pass-through to cloud</t>
  </si>
  <si>
    <t xml:space="preserve">Amortised CapEx + OpEx</t>
  </si>
  <si>
    <t xml:space="preserve">Layer 2 — Neocloud</t>
  </si>
  <si>
    <t xml:space="preserve">Rent GPU-hours</t>
  </si>
  <si>
    <t xml:space="preserve">~60%</t>
  </si>
  <si>
    <t xml:space="preserve">CoreWeave, Lambda, Vast</t>
  </si>
  <si>
    <t xml:space="preserve">Charge $/hr; tenant takes token risk</t>
  </si>
  <si>
    <t xml:space="preserve">Layer 3 — Inference</t>
  </si>
  <si>
    <t xml:space="preserve">Sell tokens direct</t>
  </si>
  <si>
    <t xml:space="preserve">~80%</t>
  </si>
  <si>
    <t xml:space="preserve">Anthropic, OpenAI, Google</t>
  </si>
  <si>
    <t xml:space="preserve">Blended in+out; scale matters</t>
  </si>
  <si>
    <t xml:space="preserve">Layer 4 — Enterprise</t>
  </si>
  <si>
    <t xml:space="preserve">Embed in SaaS product</t>
  </si>
  <si>
    <t xml:space="preserve">~94%</t>
  </si>
  <si>
    <t xml:space="preserve">Salesforce, Microsoft</t>
  </si>
  <si>
    <t xml:space="preserve">Seat pricing hides token cost</t>
  </si>
  <si>
    <t xml:space="preserve">COMPANY SCORECARD — HOW TO EVALUATE RPT HEALTH</t>
  </si>
  <si>
    <t xml:space="preserve">Metric</t>
  </si>
  <si>
    <t xml:space="preserve">Formula / Source</t>
  </si>
  <si>
    <t xml:space="preserve">Green (Good)</t>
  </si>
  <si>
    <t xml:space="preserve">Red (Bad)</t>
  </si>
  <si>
    <t xml:space="preserve">Why it matters</t>
  </si>
  <si>
    <t xml:space="preserve">ASP per 1M output tokens ($)</t>
  </si>
  <si>
    <t xml:space="preserve">Revenue ÷ output tokens</t>
  </si>
  <si>
    <t xml:space="preserve">&gt;$10</t>
  </si>
  <si>
    <t xml:space="preserve">&lt;$2</t>
  </si>
  <si>
    <t xml:space="preserve">Pricing power vs commoditisation</t>
  </si>
  <si>
    <t xml:space="preserve">COGS per 1M tokens ($)</t>
  </si>
  <si>
    <t xml:space="preserve">Infra cost ÷ tokens</t>
  </si>
  <si>
    <t xml:space="preserve">&lt;$1</t>
  </si>
  <si>
    <t xml:space="preserve">&gt;$3</t>
  </si>
  <si>
    <t xml:space="preserve">Efficiency of inference stack</t>
  </si>
  <si>
    <t xml:space="preserve">Token gross margin (%)</t>
  </si>
  <si>
    <t xml:space="preserve">(ASP−COGS) ÷ ASP</t>
  </si>
  <si>
    <t xml:space="preserve">&gt;70%</t>
  </si>
  <si>
    <t xml:space="preserve">&lt;40%</t>
  </si>
  <si>
    <t xml:space="preserve">Core unit economics</t>
  </si>
  <si>
    <t xml:space="preserve">RPT trend (YoY change)</t>
  </si>
  <si>
    <t xml:space="preserve">This yr ASP ÷ Last yr</t>
  </si>
  <si>
    <t xml:space="preserve">Stable/↑</t>
  </si>
  <si>
    <t xml:space="preserve">↓↓↓</t>
  </si>
  <si>
    <t xml:space="preserve">Falling RPT = commoditisation pressure</t>
  </si>
  <si>
    <t xml:space="preserve">Token vol growth vs Rev growth</t>
  </si>
  <si>
    <t xml:space="preserve">Tok CAGR ÷ Rev CAGR</t>
  </si>
  <si>
    <t xml:space="preserve">&lt;1.0×</t>
  </si>
  <si>
    <t xml:space="preserve">&gt;1.5×</t>
  </si>
  <si>
    <t xml:space="preserve">&gt;1 means rev growing slower = dilution</t>
  </si>
  <si>
    <t xml:space="preserve">% revenue from output tokens</t>
  </si>
  <si>
    <t xml:space="preserve">Output tok rev ÷ Total</t>
  </si>
  <si>
    <t xml:space="preserve">&gt;60%</t>
  </si>
  <si>
    <t xml:space="preserve">&lt;20%</t>
  </si>
  <si>
    <t xml:space="preserve">Output tokens = value delivery</t>
  </si>
  <si>
    <t xml:space="preserve">CapEx efficiency (tokens/$M CapEx)</t>
  </si>
  <si>
    <t xml:space="preserve">Annual toks ÷ CapEx ($M)</t>
  </si>
  <si>
    <t xml:space="preserve">High ↑</t>
  </si>
  <si>
    <t xml:space="preserve">Low ↓</t>
  </si>
  <si>
    <t xml:space="preserve">Next-gen silicon ROI</t>
  </si>
  <si>
    <t xml:space="preserve">Model efficiency (tokens/FLOP)</t>
  </si>
  <si>
    <t xml:space="preserve">Architecture quality</t>
  </si>
  <si>
    <t xml:space="preserve">MoE/distil</t>
  </si>
  <si>
    <t xml:space="preserve">Dense</t>
  </si>
  <si>
    <t xml:space="preserve">Smaller models = lower COGS</t>
  </si>
  <si>
    <t xml:space="preserve">ANALOGIES — WHY RPT IS THE FUTURE METRIC</t>
  </si>
  <si>
    <t xml:space="preserve">Industry</t>
  </si>
  <si>
    <t xml:space="preserve">Their key metric</t>
  </si>
  <si>
    <t xml:space="preserve">AI equivalent</t>
  </si>
  <si>
    <t xml:space="preserve">The parallel</t>
  </si>
  <si>
    <t xml:space="preserve">Airlines</t>
  </si>
  <si>
    <t xml:space="preserve">Revenue per Available Seat Mile (RASM)</t>
  </si>
  <si>
    <t xml:space="preserve">Revenue per Available Token (RPAT)</t>
  </si>
  <si>
    <t xml:space="preserve">Both measure yield on a perishable, fixed-capacity resource</t>
  </si>
  <si>
    <t xml:space="preserve">Oil &amp; Gas</t>
  </si>
  <si>
    <t xml:space="preserve">Revenue per Barrel ($/bbl)</t>
  </si>
  <si>
    <t xml:space="preserve">Revenue per Token ($/1M toks)</t>
  </si>
  <si>
    <t xml:space="preserve">Raw compute (GPU-hrs) = barrels; model output = refined product</t>
  </si>
  <si>
    <t xml:space="preserve">Telecoms</t>
  </si>
  <si>
    <t xml:space="preserve">Average Revenue per User (ARPU)</t>
  </si>
  <si>
    <t xml:space="preserve">Revenue per Token</t>
  </si>
  <si>
    <t xml:space="preserve">Shift from 'minutes sold' to 'data value delivered'</t>
  </si>
  <si>
    <t xml:space="preserve">Semiconductors</t>
  </si>
  <si>
    <t xml:space="preserve">Revenue per wafer / die yield</t>
  </si>
  <si>
    <t xml:space="preserve">Tokens per Joule × ASP</t>
  </si>
  <si>
    <t xml:space="preserve">Process efficiency × pricing power = durable moat</t>
  </si>
  <si>
    <t xml:space="preserve">SENSITIVITY ANALYSIS — GROSS MARGIN vs. PRICING &amp; COGS</t>
  </si>
  <si>
    <t xml:space="preserve">Two-way table: Output token ASP (rows) × COGS per 1M tokens (columns) → Gross Margin %</t>
  </si>
  <si>
    <t xml:space="preserve">ASP $ / COGS →</t>
  </si>
  <si>
    <t xml:space="preserve">$0.1</t>
  </si>
  <si>
    <t xml:space="preserve">$0.3</t>
  </si>
  <si>
    <t xml:space="preserve">$0.5</t>
  </si>
  <si>
    <t xml:space="preserve">$0.8</t>
  </si>
  <si>
    <t xml:space="preserve">$1.0</t>
  </si>
  <si>
    <t xml:space="preserve">$1.5</t>
  </si>
  <si>
    <t xml:space="preserve">$2.0</t>
  </si>
  <si>
    <t xml:space="preserve">$3.0</t>
  </si>
  <si>
    <t xml:space="preserve">$1/1M</t>
  </si>
  <si>
    <t xml:space="preserve">$3/1M</t>
  </si>
  <si>
    <t xml:space="preserve">$5/1M</t>
  </si>
  <si>
    <t xml:space="preserve">$8/1M</t>
  </si>
  <si>
    <t xml:space="preserve">$10/1M</t>
  </si>
  <si>
    <t xml:space="preserve">$15/1M</t>
  </si>
  <si>
    <t xml:space="preserve">$20/1M</t>
  </si>
  <si>
    <t xml:space="preserve">$30/1M</t>
  </si>
  <si>
    <t xml:space="preserve">LEGEND</t>
  </si>
  <si>
    <t xml:space="preserve">≥80%</t>
  </si>
  <si>
    <t xml:space="preserve">Exceptional — top-tier model API</t>
  </si>
  <si>
    <t xml:space="preserve">60–80%</t>
  </si>
  <si>
    <t xml:space="preserve">Strong — sustainable inference business</t>
  </si>
  <si>
    <t xml:space="preserve">40–60%</t>
  </si>
  <si>
    <t xml:space="preserve">Acceptable — watch COGS trajectory</t>
  </si>
  <si>
    <t xml:space="preserve">20–40%</t>
  </si>
  <si>
    <t xml:space="preserve">Marginal — efficiency investment needed</t>
  </si>
  <si>
    <t xml:space="preserve">Danger — commodity treadmill risk</t>
  </si>
  <si>
    <t xml:space="preserve">BREAK-EVEN VOLUME — MONTHLY TOKENS TO COVER $100M FIXED COST</t>
  </si>
  <si>
    <t xml:space="preserve">Gross Margin ↓ / ASP →</t>
  </si>
  <si>
    <t xml:space="preserve">$1</t>
  </si>
  <si>
    <t xml:space="preserve">$3</t>
  </si>
  <si>
    <t xml:space="preserve">$5</t>
  </si>
  <si>
    <t xml:space="preserve">$8</t>
  </si>
  <si>
    <t xml:space="preserve">$15</t>
  </si>
  <si>
    <t xml:space="preserve">$30</t>
  </si>
  <si>
    <t xml:space="preserve">70% GM</t>
  </si>
  <si>
    <t xml:space="preserve">75% GM</t>
  </si>
  <si>
    <t xml:space="preserve">80% GM</t>
  </si>
  <si>
    <t xml:space="preserve">85% GM</t>
  </si>
  <si>
    <t xml:space="preserve">90% GM</t>
  </si>
  <si>
    <t xml:space="preserve">GLOSSARY — KEY TERMS</t>
  </si>
  <si>
    <t xml:space="preserve">Term</t>
  </si>
  <si>
    <t xml:space="preserve">Definition</t>
  </si>
  <si>
    <t xml:space="preserve">Relevance to RPT</t>
  </si>
  <si>
    <t xml:space="preserve">Token</t>
  </si>
  <si>
    <t xml:space="preserve">Basic unit of text (≈ 0.75 words). LLMs read &amp; write tokens.</t>
  </si>
  <si>
    <t xml:space="preserve">The atom of AI compute pricing</t>
  </si>
  <si>
    <t xml:space="preserve">FLOP</t>
  </si>
  <si>
    <t xml:space="preserve">Floating Point Operation. Measure of compute work.</t>
  </si>
  <si>
    <t xml:space="preserve">1 token ≈ millions of FLOPs; hardware rated in TFLOPS</t>
  </si>
  <si>
    <t xml:space="preserve">TFLOPS</t>
  </si>
  <si>
    <t xml:space="preserve">Tera (10¹²) FLOPs per second. GPU throughput benchmark.</t>
  </si>
  <si>
    <t xml:space="preserve">Higher TFLOPS = more tokens/second at same watt</t>
  </si>
  <si>
    <t xml:space="preserve">MFU (Model FLOP Utilisation)</t>
  </si>
  <si>
    <t xml:space="preserve">Actual FLOP use ÷ theoretical peak. Often 40–55%.</t>
  </si>
  <si>
    <t xml:space="preserve">Low MFU = wasted silicon = higher cost/token</t>
  </si>
  <si>
    <t xml:space="preserve">PUE (Power Usage Effectiveness)</t>
  </si>
  <si>
    <t xml:space="preserve">Total DC power ÷ IT power. Best: 1.1, avg: 1.3–1.5.</t>
  </si>
  <si>
    <t xml:space="preserve">Higher PUE = more electricity cost per GPU-watt</t>
  </si>
  <si>
    <t xml:space="preserve">TDP (Thermal Design Power)</t>
  </si>
  <si>
    <t xml:space="preserve">Max sustained power draw of a chip (Watts).</t>
  </si>
  <si>
    <t xml:space="preserve">Directly drives electricity OpEx</t>
  </si>
  <si>
    <t xml:space="preserve">HBM (High Bandwidth Memory)</t>
  </si>
  <si>
    <t xml:space="preserve">Fast DRAM on GPU die. H100 has 80GB HBM3.</t>
  </si>
  <si>
    <t xml:space="preserve">Larger HBM → bigger batches → better utilisation</t>
  </si>
  <si>
    <t xml:space="preserve">KV Cache</t>
  </si>
  <si>
    <t xml:space="preserve">Stored attention keys/values to avoid recomputing prefixes.</t>
  </si>
  <si>
    <t xml:space="preserve">Reduces compute per token for long contexts → lower COGS</t>
  </si>
  <si>
    <t xml:space="preserve">Speculative Decoding</t>
  </si>
  <si>
    <t xml:space="preserve">Small draft model proposes tokens; large model verifies.</t>
  </si>
  <si>
    <t xml:space="preserve">3–5× throughput uplift → lower cost/token</t>
  </si>
  <si>
    <t xml:space="preserve">Quantisation</t>
  </si>
  <si>
    <t xml:space="preserve">Reduce precision (FP16→INT8→INT4) to shrink model.</t>
  </si>
  <si>
    <t xml:space="preserve">Lower VRAM use, higher throughput, lower COGS</t>
  </si>
  <si>
    <t xml:space="preserve">MoE (Mixture of Experts)</t>
  </si>
  <si>
    <t xml:space="preserve">Only a fraction of model parameters activate per token.</t>
  </si>
  <si>
    <t xml:space="preserve">Same output quality, fraction of FLOPs → huge COGS advantage</t>
  </si>
  <si>
    <t xml:space="preserve">Neocloud</t>
  </si>
  <si>
    <t xml:space="preserve">GPU-focused cloud (CoreWeave, Lambda, Vast.ai, Crusoe).</t>
  </si>
  <si>
    <t xml:space="preserve">Layer 2: sell GPU-hours; don't own the model</t>
  </si>
  <si>
    <t xml:space="preserve">ASP (Average Selling Price)</t>
  </si>
  <si>
    <t xml:space="preserve">Revenue ÷ units sold. Here: $/1M tokens.</t>
  </si>
  <si>
    <t xml:space="preserve">Numerator of RPT gross margin</t>
  </si>
  <si>
    <t xml:space="preserve">COGS (Cost of Goods Sold)</t>
  </si>
  <si>
    <t xml:space="preserve">Direct cost to deliver the product/service.</t>
  </si>
  <si>
    <t xml:space="preserve">Denominator driver: lower COGS = higher margin</t>
  </si>
  <si>
    <t xml:space="preserve">RPT (Revenue Per Token)</t>
  </si>
  <si>
    <t xml:space="preserve">Revenue generated per token processed.</t>
  </si>
  <si>
    <t xml:space="preserve">The KPI this model is built around</t>
  </si>
  <si>
    <t xml:space="preserve">RPAT (Revenue Per Available Token)</t>
  </si>
  <si>
    <t xml:space="preserve">ASP adjusted for utilisation rate.</t>
  </si>
  <si>
    <t xml:space="preserve">Airline RASM analogy; includes idle capacity cost</t>
  </si>
  <si>
    <t xml:space="preserve">Inference</t>
  </si>
  <si>
    <t xml:space="preserve">Running a trained model to generate output (vs training).</t>
  </si>
  <si>
    <t xml:space="preserve">90%+ of token revenue comes from inference, not training</t>
  </si>
  <si>
    <t xml:space="preserve">Batch Size</t>
  </si>
  <si>
    <t xml:space="preserve">Tokens processed simultaneously on a GPU.</t>
  </si>
  <si>
    <t xml:space="preserve">Larger batches → better GPU utilisation → lower cost/token</t>
  </si>
  <si>
    <t xml:space="preserve">Context Window</t>
  </si>
  <si>
    <t xml:space="preserve">Max tokens model can see at once.</t>
  </si>
  <si>
    <t xml:space="preserve">Longer context → more KV cache memory → higher infra cost</t>
  </si>
  <si>
    <t xml:space="preserve">Distillation</t>
  </si>
  <si>
    <t xml:space="preserve">Train small model to mimic large model's behaviour.</t>
  </si>
  <si>
    <t xml:space="preserve">Massive COGS reduction; key competitive moat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</si>
</sst>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%"/>
    <numFmt numFmtId="167" formatCode="0.00"/>
    <numFmt numFmtId="168" formatCode="#,##0.0"/>
    <numFmt numFmtId="169" formatCode="0.000"/>
    <numFmt numFmtId="170" formatCode="\$#,##0"/>
    <numFmt numFmtId="171" formatCode="0"/>
    <numFmt numFmtId="172" formatCode="\$0.000"/>
    <numFmt numFmtId="173" formatCode="\$0.00"/>
    <numFmt numFmtId="174" formatCode="0.0%"/>
    <numFmt numFmtId="175" formatCode="0.0000"/>
    <numFmt numFmtId="176" formatCode="\$#,##0.0"/>
    <numFmt numFmtId="177" formatCode="\$0.0000"/>
    <numFmt numFmtId="178" formatCode="0\x"/>
    <numFmt numFmtId="179" formatCode="\$#,##0.00"/>
    <numFmt numFmtId="180" formatCode="#,##0.0&quot; B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B4D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B4D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B70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2"/>
      <color rgb="FFFFB703"/>
      <name val="Arial"/>
      <family val="0"/>
      <charset val="1"/>
    </font>
    <font>
      <b val="true"/>
      <sz val="12"/>
      <color rgb="FF00B4D8"/>
      <name val="Arial"/>
      <family val="0"/>
      <charset val="1"/>
    </font>
    <font>
      <i val="true"/>
      <sz val="10"/>
      <color rgb="FF00B4D8"/>
      <name val="Arial"/>
      <family val="0"/>
      <charset val="1"/>
    </font>
    <font>
      <b val="true"/>
      <sz val="16"/>
      <color rgb="FF00B4D8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EF233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23047"/>
      </patternFill>
    </fill>
    <fill>
      <patternFill patternType="solid">
        <fgColor rgb="FF1B3A4B"/>
        <bgColor rgb="FF023047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FFFFFF"/>
      </patternFill>
    </fill>
    <fill>
      <patternFill patternType="solid">
        <fgColor rgb="FFFFF3CD"/>
        <bgColor rgb="FFF0F4F8"/>
      </patternFill>
    </fill>
    <fill>
      <patternFill patternType="solid">
        <fgColor rgb="FF00B050"/>
        <bgColor rgb="FF06D6A0"/>
      </patternFill>
    </fill>
    <fill>
      <patternFill patternType="solid">
        <fgColor rgb="FF92D050"/>
        <bgColor rgb="FFBBBBBB"/>
      </patternFill>
    </fill>
    <fill>
      <patternFill patternType="solid">
        <fgColor rgb="FFFFEB84"/>
        <bgColor rgb="FFFFCC99"/>
      </patternFill>
    </fill>
    <fill>
      <patternFill patternType="solid">
        <fgColor rgb="FFEF233C"/>
        <bgColor rgb="FF993366"/>
      </patternFill>
    </fill>
    <fill>
      <patternFill patternType="solid">
        <fgColor rgb="FFFF9900"/>
        <bgColor rgb="FFFB85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medium">
        <color rgb="FF555555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F23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209B7"/>
      <rgbColor rgb="FF00B050"/>
      <rgbColor rgb="FFBBBBBB"/>
      <rgbColor rgb="FF888888"/>
      <rgbColor rgb="FF9999FF"/>
      <rgbColor rgb="FF993366"/>
      <rgbColor rgb="FFFFF3CD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06D6A0"/>
      <rgbColor rgb="FF92D050"/>
      <rgbColor rgb="FFFFB703"/>
      <rgbColor rgb="FFFF9900"/>
      <rgbColor rgb="FFFB8500"/>
      <rgbColor rgb="FF555555"/>
      <rgbColor rgb="FF969696"/>
      <rgbColor rgb="FF023047"/>
      <rgbColor rgb="FF219EBC"/>
      <rgbColor rgb="FF0D1B2A"/>
      <rgbColor rgb="FF006400"/>
      <rgbColor rgb="FF9933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B1:D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60"/>
    <col collapsed="false" customWidth="true" hidden="false" outlineLevel="0" max="4" min="4" style="1" width="22"/>
  </cols>
  <sheetData>
    <row r="1" customFormat="false" ht="39.75" hidden="false" customHeight="true" outlineLevel="0" collapsed="false">
      <c r="B1" s="2" t="s">
        <v>0</v>
      </c>
      <c r="C1" s="2"/>
      <c r="D1" s="2"/>
    </row>
    <row r="2" customFormat="false" ht="24" hidden="false" customHeight="true" outlineLevel="0" collapsed="false">
      <c r="B2" s="3" t="s">
        <v>1</v>
      </c>
      <c r="C2" s="3"/>
      <c r="D2" s="3"/>
    </row>
    <row r="4" customFormat="false" ht="19.5" hidden="false" customHeight="true" outlineLevel="0" collapsed="false">
      <c r="B4" s="4" t="s">
        <v>2</v>
      </c>
      <c r="C4" s="4"/>
      <c r="D4" s="4"/>
    </row>
    <row r="5" customFormat="false" ht="15" hidden="false" customHeight="true" outlineLevel="0" collapsed="false">
      <c r="B5" s="5" t="s">
        <v>3</v>
      </c>
      <c r="C5" s="5"/>
      <c r="D5" s="5"/>
    </row>
    <row r="6" customFormat="false" ht="15" hidden="false" customHeight="true" outlineLevel="0" collapsed="false">
      <c r="B6" s="5" t="s">
        <v>4</v>
      </c>
      <c r="C6" s="5"/>
      <c r="D6" s="5"/>
    </row>
    <row r="7" customFormat="false" ht="15" hidden="false" customHeight="true" outlineLevel="0" collapsed="false">
      <c r="B7" s="5" t="s">
        <v>5</v>
      </c>
      <c r="C7" s="5"/>
      <c r="D7" s="5"/>
    </row>
    <row r="9" customFormat="false" ht="19.5" hidden="false" customHeight="true" outlineLevel="0" collapsed="false">
      <c r="B9" s="6" t="s">
        <v>6</v>
      </c>
      <c r="C9" s="6"/>
      <c r="D9" s="6"/>
    </row>
    <row r="10" customFormat="false" ht="15" hidden="false" customHeight="true" outlineLevel="0" collapsed="false">
      <c r="B10" s="7" t="s">
        <v>7</v>
      </c>
      <c r="C10" s="7"/>
      <c r="D10" s="7"/>
    </row>
    <row r="11" customFormat="false" ht="15" hidden="false" customHeight="true" outlineLevel="0" collapsed="false">
      <c r="B11" s="7" t="s">
        <v>8</v>
      </c>
      <c r="C11" s="7"/>
      <c r="D11" s="7"/>
    </row>
    <row r="12" customFormat="false" ht="15" hidden="false" customHeight="true" outlineLevel="0" collapsed="false">
      <c r="B12" s="7" t="s">
        <v>9</v>
      </c>
      <c r="C12" s="7"/>
      <c r="D12" s="7"/>
    </row>
    <row r="13" customFormat="false" ht="15" hidden="false" customHeight="true" outlineLevel="0" collapsed="false">
      <c r="B13" s="7" t="s">
        <v>10</v>
      </c>
      <c r="C13" s="7"/>
      <c r="D13" s="7"/>
    </row>
    <row r="14" customFormat="false" ht="15" hidden="false" customHeight="true" outlineLevel="0" collapsed="false">
      <c r="B14" s="7" t="s">
        <v>11</v>
      </c>
      <c r="C14" s="7"/>
      <c r="D14" s="7"/>
    </row>
    <row r="15" customFormat="false" ht="15" hidden="false" customHeight="true" outlineLevel="0" collapsed="false">
      <c r="B15" s="7" t="s">
        <v>12</v>
      </c>
      <c r="C15" s="7"/>
      <c r="D15" s="7"/>
    </row>
    <row r="16" customFormat="false" ht="19.5" hidden="false" customHeight="true" outlineLevel="0" collapsed="false">
      <c r="B16" s="4" t="s">
        <v>13</v>
      </c>
      <c r="C16" s="4"/>
      <c r="D16" s="4"/>
    </row>
    <row r="17" customFormat="false" ht="15" hidden="false" customHeight="true" outlineLevel="0" collapsed="false">
      <c r="B17" s="5" t="s">
        <v>14</v>
      </c>
      <c r="C17" s="5"/>
      <c r="D17" s="5"/>
    </row>
    <row r="18" customFormat="false" ht="15" hidden="false" customHeight="true" outlineLevel="0" collapsed="false">
      <c r="B18" s="5" t="s">
        <v>15</v>
      </c>
      <c r="C18" s="5"/>
      <c r="D18" s="5"/>
    </row>
    <row r="19" customFormat="false" ht="15" hidden="false" customHeight="true" outlineLevel="0" collapsed="false">
      <c r="B19" s="5" t="s">
        <v>16</v>
      </c>
      <c r="C19" s="5"/>
      <c r="D19" s="5"/>
    </row>
    <row r="20" customFormat="false" ht="15" hidden="false" customHeight="true" outlineLevel="0" collapsed="false">
      <c r="B20" s="5" t="s">
        <v>17</v>
      </c>
      <c r="C20" s="5"/>
      <c r="D20" s="5"/>
    </row>
    <row r="21" customFormat="false" ht="15" hidden="false" customHeight="true" outlineLevel="0" collapsed="false">
      <c r="B21" s="5" t="s">
        <v>18</v>
      </c>
      <c r="C21" s="5"/>
      <c r="D21" s="5"/>
    </row>
    <row r="22" customFormat="false" ht="15" hidden="false" customHeight="true" outlineLevel="0" collapsed="false">
      <c r="B22" s="5" t="s">
        <v>19</v>
      </c>
      <c r="C22" s="5"/>
      <c r="D22" s="5"/>
    </row>
    <row r="23" customFormat="false" ht="19.5" hidden="false" customHeight="true" outlineLevel="0" collapsed="false">
      <c r="B23" s="6" t="s">
        <v>20</v>
      </c>
      <c r="C23" s="6"/>
      <c r="D23" s="6"/>
    </row>
    <row r="24" customFormat="false" ht="15" hidden="false" customHeight="true" outlineLevel="0" collapsed="false">
      <c r="B24" s="7" t="s">
        <v>21</v>
      </c>
      <c r="C24" s="7"/>
      <c r="D24" s="7"/>
    </row>
    <row r="25" customFormat="false" ht="15" hidden="false" customHeight="true" outlineLevel="0" collapsed="false">
      <c r="B25" s="7" t="s">
        <v>22</v>
      </c>
      <c r="C25" s="7"/>
      <c r="D25" s="7"/>
    </row>
    <row r="26" customFormat="false" ht="15" hidden="false" customHeight="true" outlineLevel="0" collapsed="false">
      <c r="B26" s="7" t="s">
        <v>23</v>
      </c>
      <c r="C26" s="7"/>
      <c r="D26" s="7"/>
    </row>
    <row r="27" customFormat="false" ht="15" hidden="false" customHeight="true" outlineLevel="0" collapsed="false">
      <c r="B27" s="7" t="s">
        <v>24</v>
      </c>
      <c r="C27" s="7"/>
      <c r="D27" s="7"/>
    </row>
    <row r="28" customFormat="false" ht="15" hidden="false" customHeight="true" outlineLevel="0" collapsed="false">
      <c r="B28" s="7" t="s">
        <v>25</v>
      </c>
      <c r="C28" s="7"/>
      <c r="D28" s="7"/>
    </row>
    <row r="30" customFormat="false" ht="19.5" hidden="false" customHeight="true" outlineLevel="0" collapsed="false">
      <c r="B30" s="4" t="s">
        <v>26</v>
      </c>
      <c r="C30" s="4"/>
      <c r="D30" s="4"/>
    </row>
    <row r="31" customFormat="false" ht="15" hidden="false" customHeight="true" outlineLevel="0" collapsed="false">
      <c r="B31" s="5" t="s">
        <v>27</v>
      </c>
      <c r="C31" s="5"/>
      <c r="D31" s="5"/>
    </row>
    <row r="32" customFormat="false" ht="15" hidden="false" customHeight="true" outlineLevel="0" collapsed="false">
      <c r="B32" s="5" t="s">
        <v>28</v>
      </c>
      <c r="C32" s="5"/>
      <c r="D32" s="5"/>
    </row>
    <row r="33" customFormat="false" ht="15" hidden="false" customHeight="true" outlineLevel="0" collapsed="false">
      <c r="B33" s="5" t="s">
        <v>29</v>
      </c>
      <c r="C33" s="5"/>
      <c r="D33" s="5"/>
    </row>
    <row r="34" customFormat="false" ht="15" hidden="false" customHeight="true" outlineLevel="0" collapsed="false">
      <c r="B34" s="5" t="s">
        <v>30</v>
      </c>
      <c r="C34" s="5"/>
      <c r="D34" s="5"/>
    </row>
    <row r="35" customFormat="false" ht="15" hidden="false" customHeight="true" outlineLevel="0" collapsed="false">
      <c r="B35" s="5" t="s">
        <v>31</v>
      </c>
      <c r="C35" s="5"/>
      <c r="D35" s="5"/>
    </row>
    <row r="36" customFormat="false" ht="15" hidden="false" customHeight="true" outlineLevel="0" collapsed="false">
      <c r="B36" s="5" t="s">
        <v>32</v>
      </c>
      <c r="C36" s="5"/>
      <c r="D36" s="5"/>
    </row>
    <row r="37" customFormat="false" ht="15" hidden="false" customHeight="true" outlineLevel="0" collapsed="false">
      <c r="B37" s="5" t="s">
        <v>33</v>
      </c>
      <c r="C37" s="5"/>
      <c r="D37" s="5"/>
    </row>
    <row r="38" customFormat="false" ht="19.5" hidden="false" customHeight="true" outlineLevel="0" collapsed="false">
      <c r="B38" s="6" t="s">
        <v>34</v>
      </c>
      <c r="C38" s="6"/>
      <c r="D38" s="6"/>
    </row>
    <row r="39" customFormat="false" ht="15" hidden="false" customHeight="true" outlineLevel="0" collapsed="false">
      <c r="B39" s="7" t="s">
        <v>35</v>
      </c>
      <c r="C39" s="7"/>
      <c r="D39" s="7"/>
    </row>
    <row r="40" customFormat="false" ht="15" hidden="false" customHeight="true" outlineLevel="0" collapsed="false">
      <c r="B40" s="7" t="s">
        <v>36</v>
      </c>
      <c r="C40" s="7"/>
      <c r="D40" s="7"/>
    </row>
    <row r="41" customFormat="false" ht="15" hidden="false" customHeight="true" outlineLevel="0" collapsed="false">
      <c r="B41" s="7" t="s">
        <v>37</v>
      </c>
      <c r="C41" s="7"/>
      <c r="D41" s="7"/>
    </row>
    <row r="42" customFormat="false" ht="15" hidden="false" customHeight="true" outlineLevel="0" collapsed="false">
      <c r="B42" s="7" t="s">
        <v>38</v>
      </c>
      <c r="C42" s="7"/>
      <c r="D42" s="7"/>
    </row>
    <row r="43" customFormat="false" ht="15" hidden="false" customHeight="true" outlineLevel="0" collapsed="false">
      <c r="B43" s="7" t="s">
        <v>39</v>
      </c>
      <c r="C43" s="7"/>
      <c r="D43" s="7"/>
    </row>
    <row r="44" customFormat="false" ht="19.5" hidden="false" customHeight="true" outlineLevel="0" collapsed="false">
      <c r="B44" s="4" t="s">
        <v>40</v>
      </c>
      <c r="C44" s="4"/>
      <c r="D44" s="4"/>
    </row>
    <row r="45" customFormat="false" ht="15" hidden="false" customHeight="true" outlineLevel="0" collapsed="false">
      <c r="B45" s="5" t="s">
        <v>41</v>
      </c>
      <c r="C45" s="5"/>
      <c r="D45" s="5"/>
    </row>
    <row r="46" customFormat="false" ht="15" hidden="false" customHeight="true" outlineLevel="0" collapsed="false">
      <c r="B46" s="5" t="s">
        <v>42</v>
      </c>
      <c r="C46" s="5"/>
      <c r="D46" s="5"/>
    </row>
    <row r="47" customFormat="false" ht="15" hidden="false" customHeight="true" outlineLevel="0" collapsed="false">
      <c r="B47" s="5" t="s">
        <v>43</v>
      </c>
      <c r="C47" s="5"/>
      <c r="D47" s="5"/>
    </row>
    <row r="48" customFormat="false" ht="15" hidden="false" customHeight="true" outlineLevel="0" collapsed="false">
      <c r="B48" s="5" t="s">
        <v>44</v>
      </c>
      <c r="C48" s="5"/>
      <c r="D48" s="5"/>
    </row>
    <row r="49" customFormat="false" ht="15" hidden="false" customHeight="true" outlineLevel="0" collapsed="false">
      <c r="B49" s="5" t="s">
        <v>45</v>
      </c>
      <c r="C49" s="5"/>
      <c r="D49" s="5"/>
    </row>
    <row r="50" customFormat="false" ht="15" hidden="false" customHeight="true" outlineLevel="0" collapsed="false">
      <c r="B50" s="5" t="s">
        <v>46</v>
      </c>
      <c r="C50" s="5"/>
      <c r="D50" s="5"/>
    </row>
    <row r="51" customFormat="false" ht="19.5" hidden="false" customHeight="true" outlineLevel="0" collapsed="false">
      <c r="B51" s="6" t="s">
        <v>47</v>
      </c>
      <c r="C51" s="6"/>
      <c r="D51" s="6"/>
    </row>
    <row r="52" customFormat="false" ht="15" hidden="false" customHeight="true" outlineLevel="0" collapsed="false">
      <c r="B52" s="7" t="s">
        <v>48</v>
      </c>
      <c r="C52" s="7"/>
      <c r="D52" s="7"/>
    </row>
    <row r="53" customFormat="false" ht="15" hidden="false" customHeight="true" outlineLevel="0" collapsed="false">
      <c r="B53" s="7" t="s">
        <v>49</v>
      </c>
      <c r="C53" s="7"/>
      <c r="D53" s="7"/>
    </row>
    <row r="54" customFormat="false" ht="15" hidden="false" customHeight="true" outlineLevel="0" collapsed="false">
      <c r="B54" s="7" t="s">
        <v>50</v>
      </c>
      <c r="C54" s="7"/>
      <c r="D54" s="7"/>
    </row>
    <row r="55" customFormat="false" ht="15" hidden="false" customHeight="true" outlineLevel="0" collapsed="false">
      <c r="B55" s="7" t="s">
        <v>51</v>
      </c>
      <c r="C55" s="7"/>
      <c r="D55" s="7"/>
    </row>
    <row r="56" customFormat="false" ht="15" hidden="false" customHeight="true" outlineLevel="0" collapsed="false">
      <c r="B56" s="7" t="s">
        <v>52</v>
      </c>
      <c r="C56" s="7"/>
      <c r="D56" s="7"/>
    </row>
    <row r="57" customFormat="false" ht="15" hidden="false" customHeight="true" outlineLevel="0" collapsed="false">
      <c r="B57" s="7" t="s">
        <v>53</v>
      </c>
      <c r="C57" s="7"/>
      <c r="D57" s="7"/>
    </row>
    <row r="58" customFormat="false" ht="15" hidden="false" customHeight="true" outlineLevel="0" collapsed="false">
      <c r="B58" s="7" t="s">
        <v>54</v>
      </c>
      <c r="C58" s="7"/>
      <c r="D58" s="7"/>
    </row>
    <row r="59" customFormat="false" ht="15" hidden="false" customHeight="true" outlineLevel="0" collapsed="false">
      <c r="B59" s="7" t="s">
        <v>55</v>
      </c>
      <c r="C59" s="7"/>
      <c r="D59" s="7"/>
    </row>
    <row r="62" customFormat="false" ht="15" hidden="false" customHeight="true" outlineLevel="0" collapsed="false">
      <c r="B62" s="8" t="s">
        <v>56</v>
      </c>
      <c r="C62" s="8"/>
      <c r="D62" s="8"/>
    </row>
    <row r="63" customFormat="false" ht="15" hidden="false" customHeight="true" outlineLevel="0" collapsed="false">
      <c r="B63" s="9" t="s">
        <v>57</v>
      </c>
      <c r="C63" s="10" t="s">
        <v>58</v>
      </c>
      <c r="D63" s="10"/>
    </row>
    <row r="64" customFormat="false" ht="15" hidden="false" customHeight="true" outlineLevel="0" collapsed="false">
      <c r="B64" s="11" t="s">
        <v>57</v>
      </c>
      <c r="C64" s="10" t="s">
        <v>59</v>
      </c>
      <c r="D64" s="10"/>
    </row>
    <row r="65" customFormat="false" ht="15" hidden="false" customHeight="true" outlineLevel="0" collapsed="false">
      <c r="B65" s="12" t="s">
        <v>57</v>
      </c>
      <c r="C65" s="10" t="s">
        <v>60</v>
      </c>
      <c r="D65" s="10"/>
    </row>
    <row r="66" customFormat="false" ht="15" hidden="false" customHeight="true" outlineLevel="0" collapsed="false">
      <c r="B66" s="13" t="s">
        <v>57</v>
      </c>
      <c r="C66" s="10" t="s">
        <v>61</v>
      </c>
      <c r="D66" s="10"/>
    </row>
    <row r="67" customFormat="false" ht="15" hidden="false" customHeight="true" outlineLevel="0" collapsed="false">
      <c r="B67" s="14" t="s">
        <v>57</v>
      </c>
      <c r="C67" s="10" t="s">
        <v>62</v>
      </c>
      <c r="D67" s="10"/>
    </row>
    <row r="70" customFormat="false" ht="15" hidden="false" customHeight="true" outlineLevel="0" collapsed="false">
      <c r="B70" s="15" t="s">
        <v>63</v>
      </c>
      <c r="C70" s="15"/>
      <c r="D70" s="15"/>
    </row>
  </sheetData>
  <mergeCells count="63">
    <mergeCell ref="B1:D1"/>
    <mergeCell ref="B2:D2"/>
    <mergeCell ref="B4:D4"/>
    <mergeCell ref="B5:D5"/>
    <mergeCell ref="B6:D6"/>
    <mergeCell ref="B7:D7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2:D62"/>
    <mergeCell ref="C63:D63"/>
    <mergeCell ref="C64:D64"/>
    <mergeCell ref="C65:D65"/>
    <mergeCell ref="C66:D66"/>
    <mergeCell ref="C67:D67"/>
    <mergeCell ref="B70:D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703"/>
    <pageSetUpPr fitToPage="false"/>
  </sheetPr>
  <dimension ref="B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40"/>
  </cols>
  <sheetData>
    <row r="1" customFormat="false" ht="31.5" hidden="false" customHeight="true" outlineLevel="0" collapsed="false">
      <c r="B1" s="16" t="s">
        <v>6</v>
      </c>
      <c r="C1" s="16"/>
      <c r="D1" s="16"/>
      <c r="E1" s="16"/>
    </row>
    <row r="2" customFormat="false" ht="15" hidden="false" customHeight="true" outlineLevel="0" collapsed="false">
      <c r="B2" s="17" t="s">
        <v>64</v>
      </c>
      <c r="C2" s="17"/>
      <c r="D2" s="17"/>
      <c r="E2" s="17"/>
    </row>
    <row r="4" customFormat="false" ht="15" hidden="false" customHeight="true" outlineLevel="0" collapsed="false">
      <c r="B4" s="18" t="s">
        <v>65</v>
      </c>
      <c r="C4" s="18" t="s">
        <v>66</v>
      </c>
      <c r="D4" s="18" t="s">
        <v>67</v>
      </c>
      <c r="E4" s="18" t="s">
        <v>68</v>
      </c>
      <c r="F4" s="18" t="s">
        <v>69</v>
      </c>
    </row>
    <row r="5" customFormat="false" ht="15" hidden="false" customHeight="true" outlineLevel="0" collapsed="false">
      <c r="B5" s="19" t="s">
        <v>70</v>
      </c>
      <c r="C5" s="20" t="n">
        <v>700</v>
      </c>
      <c r="D5" s="20" t="n">
        <v>3958</v>
      </c>
      <c r="E5" s="21" t="s">
        <v>71</v>
      </c>
      <c r="F5" s="22" t="s">
        <v>72</v>
      </c>
    </row>
    <row r="6" customFormat="false" ht="15" hidden="false" customHeight="true" outlineLevel="0" collapsed="false">
      <c r="B6" s="23" t="s">
        <v>73</v>
      </c>
      <c r="C6" s="24" t="n">
        <v>400</v>
      </c>
      <c r="D6" s="24" t="n">
        <v>1248</v>
      </c>
      <c r="E6" s="25" t="s">
        <v>74</v>
      </c>
      <c r="F6" s="26" t="s">
        <v>75</v>
      </c>
    </row>
    <row r="7" customFormat="false" ht="15" hidden="false" customHeight="true" outlineLevel="0" collapsed="false">
      <c r="B7" s="19" t="s">
        <v>76</v>
      </c>
      <c r="C7" s="20" t="n">
        <v>700</v>
      </c>
      <c r="D7" s="20" t="n">
        <v>3958</v>
      </c>
      <c r="E7" s="21" t="s">
        <v>77</v>
      </c>
      <c r="F7" s="22" t="s">
        <v>78</v>
      </c>
    </row>
    <row r="8" customFormat="false" ht="15" hidden="false" customHeight="true" outlineLevel="0" collapsed="false">
      <c r="B8" s="23" t="s">
        <v>79</v>
      </c>
      <c r="C8" s="24" t="n">
        <v>1000</v>
      </c>
      <c r="D8" s="24" t="n">
        <v>9000</v>
      </c>
      <c r="E8" s="25" t="s">
        <v>77</v>
      </c>
      <c r="F8" s="26" t="s">
        <v>80</v>
      </c>
    </row>
    <row r="9" customFormat="false" ht="15" hidden="false" customHeight="true" outlineLevel="0" collapsed="false">
      <c r="B9" s="19" t="s">
        <v>81</v>
      </c>
      <c r="C9" s="20" t="n">
        <v>200</v>
      </c>
      <c r="D9" s="20" t="n">
        <v>393</v>
      </c>
      <c r="E9" s="21" t="s">
        <v>82</v>
      </c>
      <c r="F9" s="22" t="s">
        <v>83</v>
      </c>
    </row>
    <row r="10" customFormat="false" ht="15" hidden="false" customHeight="true" outlineLevel="0" collapsed="false">
      <c r="B10" s="23" t="s">
        <v>84</v>
      </c>
      <c r="C10" s="24" t="n">
        <v>700</v>
      </c>
      <c r="D10" s="24" t="n">
        <v>3840</v>
      </c>
      <c r="E10" s="25" t="s">
        <v>77</v>
      </c>
      <c r="F10" s="26" t="s">
        <v>85</v>
      </c>
    </row>
    <row r="11" customFormat="false" ht="15" hidden="false" customHeight="true" outlineLevel="0" collapsed="false">
      <c r="B11" s="19" t="s">
        <v>86</v>
      </c>
      <c r="C11" s="20" t="n">
        <v>750</v>
      </c>
      <c r="D11" s="20" t="n">
        <v>5220</v>
      </c>
      <c r="E11" s="21" t="s">
        <v>71</v>
      </c>
      <c r="F11" s="22" t="s">
        <v>87</v>
      </c>
    </row>
    <row r="13" customFormat="false" ht="15" hidden="false" customHeight="true" outlineLevel="0" collapsed="false">
      <c r="B13" s="27" t="s">
        <v>88</v>
      </c>
      <c r="C13" s="27"/>
      <c r="D13" s="27"/>
      <c r="E13" s="27"/>
    </row>
    <row r="14" customFormat="false" ht="15" hidden="false" customHeight="true" outlineLevel="0" collapsed="false">
      <c r="B14" s="19" t="s">
        <v>89</v>
      </c>
      <c r="C14" s="24" t="n">
        <v>70</v>
      </c>
      <c r="D14" s="28" t="s">
        <v>90</v>
      </c>
    </row>
    <row r="15" customFormat="false" ht="15" hidden="false" customHeight="true" outlineLevel="0" collapsed="false">
      <c r="B15" s="19" t="s">
        <v>91</v>
      </c>
      <c r="C15" s="24" t="n">
        <v>8</v>
      </c>
      <c r="D15" s="28" t="s">
        <v>92</v>
      </c>
    </row>
    <row r="16" customFormat="false" ht="15" hidden="false" customHeight="true" outlineLevel="0" collapsed="false">
      <c r="B16" s="19" t="s">
        <v>93</v>
      </c>
      <c r="C16" s="24" t="n">
        <v>700</v>
      </c>
      <c r="D16" s="28" t="s">
        <v>94</v>
      </c>
    </row>
    <row r="17" customFormat="false" ht="15" hidden="false" customHeight="true" outlineLevel="0" collapsed="false">
      <c r="B17" s="19" t="s">
        <v>95</v>
      </c>
      <c r="C17" s="25" t="n">
        <v>0.45</v>
      </c>
      <c r="D17" s="28" t="s">
        <v>96</v>
      </c>
    </row>
    <row r="18" customFormat="false" ht="15" hidden="false" customHeight="true" outlineLevel="0" collapsed="false">
      <c r="B18" s="19" t="s">
        <v>97</v>
      </c>
      <c r="C18" s="24" t="n">
        <v>3958</v>
      </c>
      <c r="D18" s="28" t="s">
        <v>98</v>
      </c>
    </row>
    <row r="19" customFormat="false" ht="15" hidden="false" customHeight="true" outlineLevel="0" collapsed="false">
      <c r="B19" s="19" t="s">
        <v>99</v>
      </c>
      <c r="C19" s="24" t="n">
        <v>64</v>
      </c>
      <c r="D19" s="28" t="s">
        <v>100</v>
      </c>
    </row>
    <row r="20" customFormat="false" ht="15" hidden="false" customHeight="true" outlineLevel="0" collapsed="false">
      <c r="B20" s="19" t="s">
        <v>101</v>
      </c>
      <c r="C20" s="29" t="n">
        <v>1.25</v>
      </c>
      <c r="D20" s="28" t="s">
        <v>102</v>
      </c>
    </row>
    <row r="22" customFormat="false" ht="15" hidden="false" customHeight="true" outlineLevel="0" collapsed="false">
      <c r="B22" s="27" t="s">
        <v>103</v>
      </c>
      <c r="C22" s="27"/>
      <c r="D22" s="27"/>
      <c r="E22" s="27"/>
    </row>
    <row r="23" customFormat="false" ht="15" hidden="false" customHeight="true" outlineLevel="0" collapsed="false">
      <c r="B23" s="19" t="s">
        <v>104</v>
      </c>
      <c r="C23" s="30" t="n">
        <f aca="false">C18*C17</f>
        <v>1781.1</v>
      </c>
      <c r="D23" s="28" t="s">
        <v>105</v>
      </c>
    </row>
    <row r="24" customFormat="false" ht="15" hidden="false" customHeight="true" outlineLevel="0" collapsed="false">
      <c r="B24" s="19" t="s">
        <v>106</v>
      </c>
      <c r="C24" s="31" t="n">
        <f aca="false">C23*1000</f>
        <v>1781100</v>
      </c>
      <c r="D24" s="28" t="s">
        <v>107</v>
      </c>
    </row>
    <row r="25" customFormat="false" ht="15" hidden="false" customHeight="true" outlineLevel="0" collapsed="false">
      <c r="B25" s="19" t="s">
        <v>108</v>
      </c>
      <c r="C25" s="31" t="n">
        <f aca="false">C24*1000/C15</f>
        <v>222637500</v>
      </c>
      <c r="D25" s="28" t="s">
        <v>109</v>
      </c>
    </row>
    <row r="26" customFormat="false" ht="15" hidden="false" customHeight="true" outlineLevel="0" collapsed="false">
      <c r="B26" s="19" t="s">
        <v>110</v>
      </c>
      <c r="C26" s="31" t="n">
        <f aca="false">C16*C20</f>
        <v>875</v>
      </c>
      <c r="D26" s="28" t="s">
        <v>111</v>
      </c>
    </row>
    <row r="27" customFormat="false" ht="15" hidden="false" customHeight="true" outlineLevel="0" collapsed="false">
      <c r="B27" s="19" t="s">
        <v>112</v>
      </c>
      <c r="C27" s="32" t="n">
        <f aca="false">C25/C26</f>
        <v>254442.857142857</v>
      </c>
      <c r="D27" s="28" t="s">
        <v>113</v>
      </c>
    </row>
    <row r="28" customFormat="false" ht="15" hidden="false" customHeight="true" outlineLevel="0" collapsed="false">
      <c r="B28" s="33" t="s">
        <v>114</v>
      </c>
      <c r="C28" s="34" t="n">
        <f aca="false">C25*3600/C26*1000</f>
        <v>915994285714.286</v>
      </c>
      <c r="D28" s="28" t="s">
        <v>115</v>
      </c>
    </row>
    <row r="29" customFormat="false" ht="15" hidden="false" customHeight="true" outlineLevel="0" collapsed="false">
      <c r="B29" s="33" t="s">
        <v>116</v>
      </c>
      <c r="C29" s="35" t="n">
        <f aca="false">1000000/(C25*3600)</f>
        <v>1.2476684196408E-006</v>
      </c>
      <c r="D29" s="28" t="s">
        <v>117</v>
      </c>
    </row>
  </sheetData>
  <mergeCells count="4">
    <mergeCell ref="B1:E1"/>
    <mergeCell ref="B2:E2"/>
    <mergeCell ref="B13:E13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8500"/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38"/>
  </cols>
  <sheetData>
    <row r="1" customFormat="false" ht="31.5" hidden="false" customHeight="true" outlineLevel="0" collapsed="false">
      <c r="B1" s="16" t="s">
        <v>118</v>
      </c>
      <c r="C1" s="16"/>
      <c r="D1" s="16"/>
      <c r="E1" s="16"/>
    </row>
    <row r="3" customFormat="false" ht="15" hidden="false" customHeight="true" outlineLevel="0" collapsed="false">
      <c r="B3" s="27" t="s">
        <v>119</v>
      </c>
      <c r="C3" s="27"/>
      <c r="D3" s="27"/>
    </row>
    <row r="4" customFormat="false" ht="15" hidden="false" customHeight="true" outlineLevel="0" collapsed="false">
      <c r="B4" s="19" t="s">
        <v>120</v>
      </c>
      <c r="C4" s="24" t="n">
        <v>8</v>
      </c>
    </row>
    <row r="5" customFormat="false" ht="15" hidden="false" customHeight="true" outlineLevel="0" collapsed="false">
      <c r="B5" s="19" t="s">
        <v>121</v>
      </c>
      <c r="C5" s="36" t="n">
        <v>30000</v>
      </c>
      <c r="D5" s="28" t="s">
        <v>122</v>
      </c>
    </row>
    <row r="6" customFormat="false" ht="15" hidden="false" customHeight="true" outlineLevel="0" collapsed="false">
      <c r="B6" s="19" t="s">
        <v>123</v>
      </c>
      <c r="C6" s="24" t="n">
        <v>10</v>
      </c>
      <c r="D6" s="28" t="s">
        <v>124</v>
      </c>
    </row>
    <row r="7" customFormat="false" ht="15" hidden="false" customHeight="true" outlineLevel="0" collapsed="false">
      <c r="B7" s="19" t="s">
        <v>125</v>
      </c>
      <c r="C7" s="36" t="n">
        <v>20000</v>
      </c>
      <c r="D7" s="28" t="s">
        <v>126</v>
      </c>
    </row>
    <row r="8" customFormat="false" ht="15" hidden="false" customHeight="true" outlineLevel="0" collapsed="false">
      <c r="B8" s="19" t="s">
        <v>127</v>
      </c>
      <c r="C8" s="36" t="n">
        <v>15000</v>
      </c>
    </row>
    <row r="9" customFormat="false" ht="15" hidden="false" customHeight="true" outlineLevel="0" collapsed="false">
      <c r="B9" s="19" t="s">
        <v>128</v>
      </c>
      <c r="C9" s="37" t="n">
        <v>3</v>
      </c>
      <c r="D9" s="28" t="s">
        <v>129</v>
      </c>
    </row>
    <row r="10" customFormat="false" ht="15" hidden="false" customHeight="true" outlineLevel="0" collapsed="false">
      <c r="B10" s="19" t="s">
        <v>130</v>
      </c>
      <c r="C10" s="38" t="n">
        <f aca="false">C4*C5*C6</f>
        <v>2400000</v>
      </c>
      <c r="D10" s="28" t="s">
        <v>131</v>
      </c>
    </row>
    <row r="11" customFormat="false" ht="15" hidden="false" customHeight="true" outlineLevel="0" collapsed="false">
      <c r="B11" s="19" t="s">
        <v>132</v>
      </c>
      <c r="C11" s="38" t="n">
        <f aca="false">(C7+C8)*C6</f>
        <v>350000</v>
      </c>
    </row>
    <row r="12" customFormat="false" ht="15" hidden="false" customHeight="true" outlineLevel="0" collapsed="false">
      <c r="B12" s="19" t="s">
        <v>133</v>
      </c>
      <c r="C12" s="38" t="n">
        <f aca="false">C10+C11</f>
        <v>2750000</v>
      </c>
    </row>
    <row r="13" customFormat="false" ht="15" hidden="false" customHeight="true" outlineLevel="0" collapsed="false">
      <c r="B13" s="19" t="s">
        <v>134</v>
      </c>
      <c r="C13" s="38" t="n">
        <f aca="false">C12/C9</f>
        <v>916666.666666667</v>
      </c>
    </row>
    <row r="14" customFormat="false" ht="15" hidden="false" customHeight="true" outlineLevel="0" collapsed="false">
      <c r="B14" s="19" t="s">
        <v>135</v>
      </c>
      <c r="C14" s="31" t="n">
        <f aca="false">C4*C6</f>
        <v>80</v>
      </c>
    </row>
    <row r="16" customFormat="false" ht="15" hidden="false" customHeight="true" outlineLevel="0" collapsed="false">
      <c r="B16" s="27" t="s">
        <v>136</v>
      </c>
      <c r="C16" s="27"/>
      <c r="D16" s="27"/>
    </row>
    <row r="17" customFormat="false" ht="15" hidden="false" customHeight="true" outlineLevel="0" collapsed="false">
      <c r="B17" s="19" t="s">
        <v>137</v>
      </c>
      <c r="C17" s="24" t="n">
        <v>700</v>
      </c>
    </row>
    <row r="18" customFormat="false" ht="15" hidden="false" customHeight="true" outlineLevel="0" collapsed="false">
      <c r="B18" s="19" t="s">
        <v>138</v>
      </c>
      <c r="C18" s="29" t="n">
        <v>1.25</v>
      </c>
    </row>
    <row r="19" customFormat="false" ht="15" hidden="false" customHeight="true" outlineLevel="0" collapsed="false">
      <c r="B19" s="19" t="s">
        <v>139</v>
      </c>
      <c r="C19" s="39" t="n">
        <v>0.07</v>
      </c>
      <c r="D19" s="28" t="s">
        <v>140</v>
      </c>
    </row>
    <row r="20" customFormat="false" ht="15" hidden="false" customHeight="true" outlineLevel="0" collapsed="false">
      <c r="B20" s="19" t="s">
        <v>141</v>
      </c>
      <c r="C20" s="25" t="n">
        <v>0.92</v>
      </c>
      <c r="D20" s="28" t="s">
        <v>142</v>
      </c>
    </row>
    <row r="21" customFormat="false" ht="15" hidden="false" customHeight="true" outlineLevel="0" collapsed="false">
      <c r="B21" s="19" t="s">
        <v>143</v>
      </c>
      <c r="C21" s="24" t="n">
        <v>5</v>
      </c>
    </row>
    <row r="22" customFormat="false" ht="15" hidden="false" customHeight="true" outlineLevel="0" collapsed="false">
      <c r="B22" s="19" t="s">
        <v>144</v>
      </c>
      <c r="C22" s="36" t="n">
        <v>150000</v>
      </c>
    </row>
    <row r="23" customFormat="false" ht="15" hidden="false" customHeight="true" outlineLevel="0" collapsed="false">
      <c r="B23" s="19" t="s">
        <v>145</v>
      </c>
      <c r="C23" s="36" t="n">
        <v>50000</v>
      </c>
    </row>
    <row r="24" customFormat="false" ht="15" hidden="false" customHeight="true" outlineLevel="0" collapsed="false">
      <c r="B24" s="19" t="s">
        <v>146</v>
      </c>
      <c r="C24" s="36" t="n">
        <v>30000</v>
      </c>
    </row>
    <row r="25" customFormat="false" ht="15" hidden="false" customHeight="true" outlineLevel="0" collapsed="false">
      <c r="B25" s="19" t="s">
        <v>147</v>
      </c>
      <c r="C25" s="31" t="n">
        <f aca="false">C17/1000*C14*8760*C20*C18</f>
        <v>564144</v>
      </c>
      <c r="D25" s="28" t="s">
        <v>148</v>
      </c>
    </row>
    <row r="26" customFormat="false" ht="15" hidden="false" customHeight="true" outlineLevel="0" collapsed="false">
      <c r="B26" s="19" t="s">
        <v>149</v>
      </c>
      <c r="C26" s="38" t="n">
        <f aca="false">C25*C19</f>
        <v>39490.08</v>
      </c>
    </row>
    <row r="27" customFormat="false" ht="15" hidden="false" customHeight="true" outlineLevel="0" collapsed="false">
      <c r="B27" s="19" t="s">
        <v>150</v>
      </c>
      <c r="C27" s="38" t="n">
        <f aca="false">C21*C22</f>
        <v>750000</v>
      </c>
    </row>
    <row r="28" customFormat="false" ht="15" hidden="false" customHeight="true" outlineLevel="0" collapsed="false">
      <c r="B28" s="19" t="s">
        <v>151</v>
      </c>
      <c r="C28" s="38" t="n">
        <f aca="false">C26+C27+C23+C24</f>
        <v>869490.08</v>
      </c>
    </row>
    <row r="30" customFormat="false" ht="15" hidden="false" customHeight="true" outlineLevel="0" collapsed="false">
      <c r="B30" s="27" t="s">
        <v>152</v>
      </c>
      <c r="C30" s="27"/>
      <c r="D30" s="27"/>
    </row>
    <row r="31" customFormat="false" ht="15" hidden="false" customHeight="true" outlineLevel="0" collapsed="false">
      <c r="B31" s="19" t="s">
        <v>153</v>
      </c>
      <c r="C31" s="24" t="n">
        <v>4200</v>
      </c>
      <c r="D31" s="28" t="s">
        <v>154</v>
      </c>
    </row>
    <row r="32" customFormat="false" ht="15" hidden="false" customHeight="true" outlineLevel="0" collapsed="false">
      <c r="B32" s="19" t="s">
        <v>155</v>
      </c>
      <c r="C32" s="31" t="n">
        <f aca="false">C31*C14</f>
        <v>336000</v>
      </c>
    </row>
    <row r="33" customFormat="false" ht="15" hidden="false" customHeight="true" outlineLevel="0" collapsed="false">
      <c r="B33" s="19" t="s">
        <v>156</v>
      </c>
      <c r="C33" s="30" t="n">
        <f aca="false">C32*3600*8760*C20/1000000000</f>
        <v>9748.40832</v>
      </c>
      <c r="D33" s="28" t="s">
        <v>157</v>
      </c>
    </row>
    <row r="34" customFormat="false" ht="15" hidden="false" customHeight="true" outlineLevel="0" collapsed="false">
      <c r="B34" s="19" t="s">
        <v>158</v>
      </c>
      <c r="C34" s="38" t="n">
        <f aca="false">C13+C28</f>
        <v>1786156.74666667</v>
      </c>
    </row>
    <row r="35" customFormat="false" ht="15" hidden="false" customHeight="true" outlineLevel="0" collapsed="false">
      <c r="B35" s="33" t="s">
        <v>159</v>
      </c>
      <c r="C35" s="40" t="n">
        <f aca="false">C34/(C33*1000)</f>
        <v>0.183225475178564</v>
      </c>
      <c r="D35" s="28" t="s">
        <v>160</v>
      </c>
    </row>
    <row r="36" customFormat="false" ht="15" hidden="false" customHeight="true" outlineLevel="0" collapsed="false">
      <c r="B36" s="33" t="s">
        <v>161</v>
      </c>
      <c r="C36" s="41" t="n">
        <f aca="false">C34/(C14*8760*C20)</f>
        <v>2.77036918469989</v>
      </c>
      <c r="D36" s="28" t="s">
        <v>162</v>
      </c>
    </row>
  </sheetData>
  <mergeCells count="4">
    <mergeCell ref="B1:E1"/>
    <mergeCell ref="B3:D3"/>
    <mergeCell ref="B16:D16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3047"/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38"/>
  </cols>
  <sheetData>
    <row r="1" customFormat="false" ht="31.5" hidden="false" customHeight="true" outlineLevel="0" collapsed="false">
      <c r="B1" s="16" t="s">
        <v>163</v>
      </c>
      <c r="C1" s="16"/>
      <c r="D1" s="16"/>
      <c r="E1" s="16"/>
    </row>
    <row r="3" customFormat="false" ht="15" hidden="false" customHeight="true" outlineLevel="0" collapsed="false">
      <c r="B3" s="27" t="s">
        <v>164</v>
      </c>
      <c r="C3" s="27"/>
      <c r="D3" s="27"/>
    </row>
    <row r="4" customFormat="false" ht="15" hidden="false" customHeight="true" outlineLevel="0" collapsed="false">
      <c r="B4" s="19" t="s">
        <v>165</v>
      </c>
      <c r="C4" s="42" t="n">
        <f aca="false">'🏗 L1 Bare Metal'!C36</f>
        <v>2.77036918469989</v>
      </c>
      <c r="D4" s="28" t="s">
        <v>166</v>
      </c>
    </row>
    <row r="5" customFormat="false" ht="15" hidden="false" customHeight="true" outlineLevel="0" collapsed="false">
      <c r="B5" s="19" t="s">
        <v>167</v>
      </c>
      <c r="C5" s="25" t="n">
        <v>0.15</v>
      </c>
      <c r="D5" s="28" t="s">
        <v>168</v>
      </c>
    </row>
    <row r="6" customFormat="false" ht="15" hidden="false" customHeight="true" outlineLevel="0" collapsed="false">
      <c r="B6" s="19" t="s">
        <v>169</v>
      </c>
      <c r="C6" s="43" t="n">
        <f aca="false">C4*(1+C5)</f>
        <v>3.18592456240487</v>
      </c>
    </row>
    <row r="8" customFormat="false" ht="15" hidden="false" customHeight="true" outlineLevel="0" collapsed="false">
      <c r="B8" s="27" t="s">
        <v>170</v>
      </c>
      <c r="C8" s="27"/>
      <c r="D8" s="27"/>
    </row>
    <row r="9" customFormat="false" ht="15" hidden="false" customHeight="true" outlineLevel="0" collapsed="false">
      <c r="B9" s="18" t="s">
        <v>171</v>
      </c>
      <c r="C9" s="18" t="s">
        <v>172</v>
      </c>
      <c r="D9" s="18" t="s">
        <v>173</v>
      </c>
      <c r="E9" s="18" t="s">
        <v>69</v>
      </c>
    </row>
    <row r="10" customFormat="false" ht="15" hidden="false" customHeight="true" outlineLevel="0" collapsed="false">
      <c r="B10" s="44" t="s">
        <v>174</v>
      </c>
      <c r="C10" s="45" t="n">
        <v>2.5</v>
      </c>
      <c r="D10" s="46" t="n">
        <f aca="false">(C10-$C$6)/C10</f>
        <v>-0.274369824961948</v>
      </c>
      <c r="E10" s="47" t="s">
        <v>175</v>
      </c>
    </row>
    <row r="11" customFormat="false" ht="15" hidden="false" customHeight="true" outlineLevel="0" collapsed="false">
      <c r="B11" s="48" t="s">
        <v>176</v>
      </c>
      <c r="C11" s="49" t="n">
        <v>4</v>
      </c>
      <c r="D11" s="50" t="n">
        <f aca="false">(C11-$C$6)/C11</f>
        <v>0.203518859398782</v>
      </c>
      <c r="E11" s="51" t="s">
        <v>177</v>
      </c>
    </row>
    <row r="12" customFormat="false" ht="15" hidden="false" customHeight="true" outlineLevel="0" collapsed="false">
      <c r="B12" s="44" t="s">
        <v>178</v>
      </c>
      <c r="C12" s="45" t="n">
        <v>3</v>
      </c>
      <c r="D12" s="46" t="n">
        <f aca="false">(C12-$C$6)/C12</f>
        <v>-0.0619748541349567</v>
      </c>
      <c r="E12" s="47" t="s">
        <v>179</v>
      </c>
    </row>
    <row r="13" customFormat="false" ht="15" hidden="false" customHeight="true" outlineLevel="0" collapsed="false">
      <c r="B13" s="48" t="s">
        <v>180</v>
      </c>
      <c r="C13" s="49" t="n">
        <v>2.5</v>
      </c>
      <c r="D13" s="50" t="n">
        <f aca="false">(C13-$C$6)/C13</f>
        <v>-0.274369824961948</v>
      </c>
      <c r="E13" s="51" t="s">
        <v>181</v>
      </c>
    </row>
    <row r="15" customFormat="false" ht="15" hidden="false" customHeight="true" outlineLevel="0" collapsed="false">
      <c r="B15" s="27" t="s">
        <v>182</v>
      </c>
      <c r="C15" s="27"/>
      <c r="D15" s="27"/>
    </row>
    <row r="16" customFormat="false" ht="15" hidden="false" customHeight="true" outlineLevel="0" collapsed="false">
      <c r="B16" s="19" t="s">
        <v>183</v>
      </c>
      <c r="C16" s="49" t="n">
        <v>4</v>
      </c>
      <c r="D16" s="28" t="s">
        <v>184</v>
      </c>
    </row>
    <row r="17" customFormat="false" ht="15" hidden="false" customHeight="true" outlineLevel="0" collapsed="false">
      <c r="B17" s="19" t="s">
        <v>185</v>
      </c>
      <c r="C17" s="24" t="n">
        <v>4200</v>
      </c>
      <c r="D17" s="28" t="s">
        <v>186</v>
      </c>
    </row>
    <row r="18" customFormat="false" ht="15" hidden="false" customHeight="true" outlineLevel="0" collapsed="false">
      <c r="B18" s="19" t="s">
        <v>187</v>
      </c>
      <c r="C18" s="52" t="n">
        <f aca="false">1000000/(C17*3600)</f>
        <v>0.0661375661375661</v>
      </c>
    </row>
    <row r="19" customFormat="false" ht="15" hidden="false" customHeight="true" outlineLevel="0" collapsed="false">
      <c r="B19" s="53" t="s">
        <v>188</v>
      </c>
      <c r="C19" s="54" t="n">
        <f aca="false">C16*C18</f>
        <v>0.264550264550265</v>
      </c>
      <c r="D19" s="28" t="s">
        <v>189</v>
      </c>
    </row>
    <row r="20" customFormat="false" ht="15" hidden="false" customHeight="true" outlineLevel="0" collapsed="false">
      <c r="B20" s="19" t="s">
        <v>190</v>
      </c>
      <c r="C20" s="49" t="n">
        <v>3</v>
      </c>
      <c r="D20" s="28" t="s">
        <v>191</v>
      </c>
    </row>
    <row r="21" customFormat="false" ht="15" hidden="false" customHeight="true" outlineLevel="0" collapsed="false">
      <c r="B21" s="53" t="s">
        <v>192</v>
      </c>
      <c r="C21" s="54" t="n">
        <f aca="false">C20-C19</f>
        <v>2.73544973544974</v>
      </c>
      <c r="D21" s="28" t="s">
        <v>193</v>
      </c>
    </row>
    <row r="22" customFormat="false" ht="15" hidden="false" customHeight="true" outlineLevel="0" collapsed="false">
      <c r="B22" s="53" t="s">
        <v>194</v>
      </c>
      <c r="C22" s="55" t="n">
        <f aca="false">IF(C20&gt;0,(C20-C19)/C20,0)</f>
        <v>0.911816578483245</v>
      </c>
    </row>
  </sheetData>
  <mergeCells count="4">
    <mergeCell ref="B1:E1"/>
    <mergeCell ref="B3:D3"/>
    <mergeCell ref="B8:D8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EBC"/>
    <pageSetUpPr fitToPage="false"/>
  </sheetPr>
  <dimension ref="B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30"/>
  </cols>
  <sheetData>
    <row r="1" customFormat="false" ht="31.5" hidden="false" customHeight="true" outlineLevel="0" collapsed="false">
      <c r="B1" s="16" t="s">
        <v>195</v>
      </c>
      <c r="C1" s="16"/>
      <c r="D1" s="16"/>
      <c r="E1" s="16"/>
      <c r="F1" s="16"/>
    </row>
    <row r="3" customFormat="false" ht="15" hidden="false" customHeight="true" outlineLevel="0" collapsed="false">
      <c r="B3" s="27" t="s">
        <v>196</v>
      </c>
      <c r="C3" s="27"/>
      <c r="D3" s="27"/>
      <c r="E3" s="27"/>
    </row>
    <row r="4" customFormat="false" ht="15" hidden="false" customHeight="true" outlineLevel="0" collapsed="false">
      <c r="B4" s="18" t="s">
        <v>197</v>
      </c>
      <c r="C4" s="18" t="s">
        <v>198</v>
      </c>
      <c r="D4" s="18" t="s">
        <v>199</v>
      </c>
      <c r="E4" s="18" t="s">
        <v>200</v>
      </c>
      <c r="F4" s="18" t="s">
        <v>69</v>
      </c>
    </row>
    <row r="5" customFormat="false" ht="15" hidden="false" customHeight="true" outlineLevel="0" collapsed="false">
      <c r="B5" s="19" t="s">
        <v>201</v>
      </c>
      <c r="C5" s="56" t="n">
        <v>3</v>
      </c>
      <c r="D5" s="56" t="n">
        <v>15</v>
      </c>
      <c r="E5" s="57" t="n">
        <v>200</v>
      </c>
      <c r="F5" s="22" t="s">
        <v>202</v>
      </c>
    </row>
    <row r="6" customFormat="false" ht="15" hidden="false" customHeight="true" outlineLevel="0" collapsed="false">
      <c r="B6" s="23" t="s">
        <v>203</v>
      </c>
      <c r="C6" s="39" t="n">
        <v>0.25</v>
      </c>
      <c r="D6" s="39" t="n">
        <v>1.25</v>
      </c>
      <c r="E6" s="58" t="n">
        <v>200</v>
      </c>
      <c r="F6" s="26" t="s">
        <v>204</v>
      </c>
    </row>
    <row r="7" customFormat="false" ht="15" hidden="false" customHeight="true" outlineLevel="0" collapsed="false">
      <c r="B7" s="19" t="s">
        <v>205</v>
      </c>
      <c r="C7" s="56" t="n">
        <v>2.5</v>
      </c>
      <c r="D7" s="56" t="n">
        <v>10</v>
      </c>
      <c r="E7" s="57" t="n">
        <v>128</v>
      </c>
      <c r="F7" s="22" t="s">
        <v>206</v>
      </c>
    </row>
    <row r="8" customFormat="false" ht="15" hidden="false" customHeight="true" outlineLevel="0" collapsed="false">
      <c r="B8" s="23" t="s">
        <v>207</v>
      </c>
      <c r="C8" s="39" t="n">
        <v>0.15</v>
      </c>
      <c r="D8" s="39" t="n">
        <v>0.6</v>
      </c>
      <c r="E8" s="58" t="n">
        <v>128</v>
      </c>
      <c r="F8" s="26" t="s">
        <v>208</v>
      </c>
    </row>
    <row r="9" customFormat="false" ht="15" hidden="false" customHeight="true" outlineLevel="0" collapsed="false">
      <c r="B9" s="19" t="s">
        <v>209</v>
      </c>
      <c r="C9" s="56" t="n">
        <v>3.5</v>
      </c>
      <c r="D9" s="56" t="n">
        <v>10.5</v>
      </c>
      <c r="E9" s="57" t="n">
        <v>2000</v>
      </c>
      <c r="F9" s="22" t="s">
        <v>210</v>
      </c>
    </row>
    <row r="10" customFormat="false" ht="15" hidden="false" customHeight="true" outlineLevel="0" collapsed="false">
      <c r="B10" s="23" t="s">
        <v>211</v>
      </c>
      <c r="C10" s="39" t="n">
        <v>0.075</v>
      </c>
      <c r="D10" s="39" t="n">
        <v>0.3</v>
      </c>
      <c r="E10" s="58" t="n">
        <v>1000</v>
      </c>
      <c r="F10" s="26" t="s">
        <v>212</v>
      </c>
    </row>
    <row r="11" customFormat="false" ht="15" hidden="false" customHeight="true" outlineLevel="0" collapsed="false">
      <c r="B11" s="19" t="s">
        <v>213</v>
      </c>
      <c r="C11" s="56" t="n">
        <v>0.59</v>
      </c>
      <c r="D11" s="56" t="n">
        <v>0.79</v>
      </c>
      <c r="E11" s="57" t="n">
        <v>128</v>
      </c>
      <c r="F11" s="22" t="s">
        <v>214</v>
      </c>
    </row>
    <row r="12" customFormat="false" ht="15" hidden="false" customHeight="true" outlineLevel="0" collapsed="false">
      <c r="B12" s="23" t="s">
        <v>215</v>
      </c>
      <c r="C12" s="39" t="n">
        <v>3</v>
      </c>
      <c r="D12" s="39" t="n">
        <v>9</v>
      </c>
      <c r="E12" s="58" t="n">
        <v>32</v>
      </c>
      <c r="F12" s="26" t="s">
        <v>216</v>
      </c>
    </row>
    <row r="13" customFormat="false" ht="15" hidden="false" customHeight="true" outlineLevel="0" collapsed="false">
      <c r="B13" s="19" t="s">
        <v>217</v>
      </c>
      <c r="C13" s="56" t="n">
        <v>0.05</v>
      </c>
      <c r="D13" s="56" t="n">
        <v>0.05</v>
      </c>
      <c r="E13" s="57" t="n">
        <v>8</v>
      </c>
      <c r="F13" s="22" t="s">
        <v>218</v>
      </c>
    </row>
    <row r="16" customFormat="false" ht="15" hidden="false" customHeight="true" outlineLevel="0" collapsed="false">
      <c r="B16" s="27" t="s">
        <v>219</v>
      </c>
      <c r="C16" s="27"/>
      <c r="D16" s="27"/>
      <c r="E16" s="27"/>
    </row>
    <row r="17" customFormat="false" ht="15" hidden="false" customHeight="true" outlineLevel="0" collapsed="false">
      <c r="B17" s="19" t="s">
        <v>220</v>
      </c>
      <c r="C17" s="39" t="n">
        <v>3</v>
      </c>
    </row>
    <row r="18" customFormat="false" ht="15" hidden="false" customHeight="true" outlineLevel="0" collapsed="false">
      <c r="B18" s="19" t="s">
        <v>221</v>
      </c>
      <c r="C18" s="39" t="n">
        <v>15</v>
      </c>
    </row>
    <row r="19" customFormat="false" ht="15" hidden="false" customHeight="true" outlineLevel="0" collapsed="false">
      <c r="B19" s="19" t="s">
        <v>222</v>
      </c>
      <c r="C19" s="37" t="n">
        <v>3</v>
      </c>
      <c r="D19" s="28" t="s">
        <v>223</v>
      </c>
    </row>
    <row r="20" customFormat="false" ht="15" hidden="false" customHeight="true" outlineLevel="0" collapsed="false">
      <c r="B20" s="33" t="s">
        <v>224</v>
      </c>
      <c r="C20" s="40" t="n">
        <f aca="false">(C17*C19+C18)/(C19+1)</f>
        <v>6</v>
      </c>
      <c r="D20" s="28" t="s">
        <v>225</v>
      </c>
    </row>
    <row r="21" customFormat="false" ht="15" hidden="false" customHeight="true" outlineLevel="0" collapsed="false">
      <c r="B21" s="19" t="s">
        <v>226</v>
      </c>
      <c r="C21" s="39" t="n">
        <v>0.35</v>
      </c>
      <c r="D21" s="28" t="s">
        <v>227</v>
      </c>
    </row>
    <row r="22" customFormat="false" ht="15" hidden="false" customHeight="true" outlineLevel="0" collapsed="false">
      <c r="B22" s="19" t="s">
        <v>228</v>
      </c>
      <c r="C22" s="39" t="n">
        <v>0.1</v>
      </c>
      <c r="D22" s="28" t="s">
        <v>229</v>
      </c>
    </row>
    <row r="23" customFormat="false" ht="15" hidden="false" customHeight="true" outlineLevel="0" collapsed="false">
      <c r="B23" s="19" t="s">
        <v>230</v>
      </c>
      <c r="C23" s="39" t="n">
        <v>0.2</v>
      </c>
      <c r="D23" s="28" t="s">
        <v>231</v>
      </c>
    </row>
    <row r="24" customFormat="false" ht="15" hidden="false" customHeight="true" outlineLevel="0" collapsed="false">
      <c r="B24" s="19" t="s">
        <v>232</v>
      </c>
      <c r="C24" s="39" t="n">
        <v>0.15</v>
      </c>
    </row>
    <row r="25" customFormat="false" ht="15" hidden="false" customHeight="true" outlineLevel="0" collapsed="false">
      <c r="B25" s="33" t="s">
        <v>233</v>
      </c>
      <c r="C25" s="40" t="n">
        <f aca="false">C21+C22+C23+C24</f>
        <v>0.8</v>
      </c>
    </row>
    <row r="26" customFormat="false" ht="15" hidden="false" customHeight="true" outlineLevel="0" collapsed="false">
      <c r="B26" s="33" t="s">
        <v>234</v>
      </c>
      <c r="C26" s="40" t="n">
        <f aca="false">C20-C25</f>
        <v>5.2</v>
      </c>
    </row>
    <row r="27" customFormat="false" ht="15" hidden="false" customHeight="true" outlineLevel="0" collapsed="false">
      <c r="B27" s="33" t="s">
        <v>235</v>
      </c>
      <c r="C27" s="59" t="n">
        <f aca="false">IF(C20&gt;0,C26/C20,0)</f>
        <v>0.866666666666667</v>
      </c>
    </row>
    <row r="29" customFormat="false" ht="15" hidden="false" customHeight="true" outlineLevel="0" collapsed="false">
      <c r="B29" s="19" t="s">
        <v>236</v>
      </c>
      <c r="C29" s="24" t="n">
        <v>500</v>
      </c>
      <c r="D29" s="28" t="s">
        <v>237</v>
      </c>
    </row>
    <row r="30" customFormat="false" ht="15" hidden="false" customHeight="true" outlineLevel="0" collapsed="false">
      <c r="B30" s="19" t="s">
        <v>238</v>
      </c>
      <c r="C30" s="60" t="n">
        <f aca="false">C29*C26/1000</f>
        <v>2.6</v>
      </c>
    </row>
    <row r="31" customFormat="false" ht="15" hidden="false" customHeight="true" outlineLevel="0" collapsed="false">
      <c r="B31" s="33" t="s">
        <v>239</v>
      </c>
      <c r="C31" s="61" t="n">
        <f aca="false">C30*12</f>
        <v>31.2</v>
      </c>
    </row>
    <row r="33" customFormat="false" ht="15" hidden="false" customHeight="true" outlineLevel="0" collapsed="false">
      <c r="B33" s="27" t="s">
        <v>240</v>
      </c>
      <c r="C33" s="27"/>
      <c r="D33" s="27"/>
      <c r="E33" s="27"/>
    </row>
    <row r="34" customFormat="false" ht="15" hidden="false" customHeight="true" outlineLevel="0" collapsed="false">
      <c r="B34" s="18" t="s">
        <v>241</v>
      </c>
      <c r="C34" s="18" t="s">
        <v>242</v>
      </c>
      <c r="D34" s="18" t="s">
        <v>243</v>
      </c>
      <c r="E34" s="18" t="s">
        <v>69</v>
      </c>
    </row>
    <row r="35" customFormat="false" ht="15" hidden="false" customHeight="true" outlineLevel="0" collapsed="false">
      <c r="B35" s="19" t="s">
        <v>244</v>
      </c>
      <c r="C35" s="62" t="s">
        <v>245</v>
      </c>
      <c r="D35" s="19" t="s">
        <v>246</v>
      </c>
      <c r="E35" s="19" t="s">
        <v>247</v>
      </c>
    </row>
    <row r="36" customFormat="false" ht="15" hidden="false" customHeight="true" outlineLevel="0" collapsed="false">
      <c r="B36" s="23" t="s">
        <v>248</v>
      </c>
      <c r="C36" s="63" t="s">
        <v>249</v>
      </c>
      <c r="D36" s="23" t="s">
        <v>246</v>
      </c>
      <c r="E36" s="23" t="s">
        <v>250</v>
      </c>
    </row>
    <row r="37" customFormat="false" ht="15" hidden="false" customHeight="true" outlineLevel="0" collapsed="false">
      <c r="B37" s="19" t="s">
        <v>251</v>
      </c>
      <c r="C37" s="62" t="s">
        <v>252</v>
      </c>
      <c r="D37" s="19" t="s">
        <v>253</v>
      </c>
      <c r="E37" s="19" t="s">
        <v>254</v>
      </c>
    </row>
    <row r="38" customFormat="false" ht="15" hidden="false" customHeight="true" outlineLevel="0" collapsed="false">
      <c r="B38" s="23" t="s">
        <v>255</v>
      </c>
      <c r="C38" s="63" t="s">
        <v>256</v>
      </c>
      <c r="D38" s="23" t="s">
        <v>253</v>
      </c>
      <c r="E38" s="23" t="s">
        <v>257</v>
      </c>
    </row>
    <row r="39" customFormat="false" ht="15" hidden="false" customHeight="true" outlineLevel="0" collapsed="false">
      <c r="B39" s="19" t="s">
        <v>258</v>
      </c>
      <c r="C39" s="62" t="s">
        <v>259</v>
      </c>
      <c r="D39" s="19" t="s">
        <v>260</v>
      </c>
      <c r="E39" s="19" t="s">
        <v>261</v>
      </c>
    </row>
    <row r="40" customFormat="false" ht="15" hidden="false" customHeight="true" outlineLevel="0" collapsed="false">
      <c r="B40" s="23" t="s">
        <v>262</v>
      </c>
      <c r="C40" s="63" t="s">
        <v>263</v>
      </c>
      <c r="D40" s="23" t="s">
        <v>260</v>
      </c>
      <c r="E40" s="23" t="s">
        <v>264</v>
      </c>
    </row>
    <row r="41" customFormat="false" ht="15" hidden="false" customHeight="true" outlineLevel="0" collapsed="false">
      <c r="B41" s="19" t="s">
        <v>265</v>
      </c>
      <c r="C41" s="62" t="s">
        <v>266</v>
      </c>
      <c r="D41" s="19" t="s">
        <v>253</v>
      </c>
      <c r="E41" s="19" t="s">
        <v>267</v>
      </c>
    </row>
  </sheetData>
  <mergeCells count="4">
    <mergeCell ref="B1:F1"/>
    <mergeCell ref="B3:E3"/>
    <mergeCell ref="B16:E16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D6A0"/>
    <pageSetUpPr fitToPage="false"/>
  </sheetPr>
  <dimension ref="B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36"/>
  </cols>
  <sheetData>
    <row r="1" customFormat="false" ht="31.5" hidden="false" customHeight="true" outlineLevel="0" collapsed="false">
      <c r="B1" s="16" t="s">
        <v>268</v>
      </c>
      <c r="C1" s="16"/>
      <c r="D1" s="16"/>
      <c r="E1" s="16"/>
    </row>
    <row r="3" customFormat="false" ht="15" hidden="false" customHeight="true" outlineLevel="0" collapsed="false">
      <c r="B3" s="27" t="s">
        <v>269</v>
      </c>
      <c r="C3" s="27"/>
      <c r="D3" s="27"/>
    </row>
    <row r="4" customFormat="false" ht="15" hidden="false" customHeight="true" outlineLevel="0" collapsed="false">
      <c r="B4" s="18" t="s">
        <v>270</v>
      </c>
      <c r="C4" s="18" t="s">
        <v>271</v>
      </c>
      <c r="D4" s="18" t="s">
        <v>272</v>
      </c>
      <c r="E4" s="18" t="s">
        <v>273</v>
      </c>
      <c r="F4" s="18" t="s">
        <v>274</v>
      </c>
    </row>
    <row r="5" customFormat="false" ht="15" hidden="false" customHeight="true" outlineLevel="0" collapsed="false">
      <c r="B5" s="44" t="s">
        <v>275</v>
      </c>
      <c r="C5" s="20" t="n">
        <v>500</v>
      </c>
      <c r="D5" s="64" t="n">
        <f aca="false">C5/1000000*9</f>
        <v>0.0045</v>
      </c>
      <c r="E5" s="45" t="n">
        <v>0.5</v>
      </c>
      <c r="F5" s="65" t="n">
        <f aca="false">IF(D5&gt;0,E5/D5,0)</f>
        <v>111.111111111111</v>
      </c>
    </row>
    <row r="6" customFormat="false" ht="15" hidden="false" customHeight="true" outlineLevel="0" collapsed="false">
      <c r="B6" s="48" t="s">
        <v>276</v>
      </c>
      <c r="C6" s="24" t="n">
        <v>1200</v>
      </c>
      <c r="D6" s="66" t="n">
        <f aca="false">C6/1000000*9</f>
        <v>0.0108</v>
      </c>
      <c r="E6" s="49" t="n">
        <v>2</v>
      </c>
      <c r="F6" s="67" t="n">
        <f aca="false">IF(D6&gt;0,E6/D6,0)</f>
        <v>185.185185185185</v>
      </c>
    </row>
    <row r="7" customFormat="false" ht="15" hidden="false" customHeight="true" outlineLevel="0" collapsed="false">
      <c r="B7" s="44" t="s">
        <v>277</v>
      </c>
      <c r="C7" s="20" t="n">
        <v>3000</v>
      </c>
      <c r="D7" s="64" t="n">
        <f aca="false">C7/1000000*9</f>
        <v>0.027</v>
      </c>
      <c r="E7" s="45" t="n">
        <v>8</v>
      </c>
      <c r="F7" s="65" t="n">
        <f aca="false">IF(D7&gt;0,E7/D7,0)</f>
        <v>296.296296296296</v>
      </c>
    </row>
    <row r="8" customFormat="false" ht="15" hidden="false" customHeight="true" outlineLevel="0" collapsed="false">
      <c r="B8" s="48" t="s">
        <v>278</v>
      </c>
      <c r="C8" s="24" t="n">
        <v>15000</v>
      </c>
      <c r="D8" s="66" t="n">
        <f aca="false">C8/1000000*9</f>
        <v>0.135</v>
      </c>
      <c r="E8" s="49" t="n">
        <v>150</v>
      </c>
      <c r="F8" s="67" t="n">
        <f aca="false">IF(D8&gt;0,E8/D8,0)</f>
        <v>1111.11111111111</v>
      </c>
    </row>
    <row r="9" customFormat="false" ht="15" hidden="false" customHeight="true" outlineLevel="0" collapsed="false">
      <c r="B9" s="44" t="s">
        <v>279</v>
      </c>
      <c r="C9" s="20" t="n">
        <v>5000</v>
      </c>
      <c r="D9" s="64" t="n">
        <f aca="false">C9/1000000*9</f>
        <v>0.045</v>
      </c>
      <c r="E9" s="45" t="n">
        <v>30</v>
      </c>
      <c r="F9" s="65" t="n">
        <f aca="false">IF(D9&gt;0,E9/D9,0)</f>
        <v>666.666666666667</v>
      </c>
    </row>
    <row r="10" customFormat="false" ht="15" hidden="false" customHeight="true" outlineLevel="0" collapsed="false">
      <c r="B10" s="48" t="s">
        <v>280</v>
      </c>
      <c r="C10" s="24" t="n">
        <v>200</v>
      </c>
      <c r="D10" s="66" t="n">
        <f aca="false">C10/1000000*9</f>
        <v>0.0018</v>
      </c>
      <c r="E10" s="49" t="n">
        <v>0.1</v>
      </c>
      <c r="F10" s="67" t="n">
        <f aca="false">IF(D10&gt;0,E10/D10,0)</f>
        <v>55.5555555555556</v>
      </c>
    </row>
    <row r="12" customFormat="false" ht="15" hidden="false" customHeight="true" outlineLevel="0" collapsed="false">
      <c r="B12" s="27" t="s">
        <v>281</v>
      </c>
      <c r="C12" s="27"/>
      <c r="D12" s="27"/>
    </row>
    <row r="13" customFormat="false" ht="15" hidden="false" customHeight="true" outlineLevel="0" collapsed="false">
      <c r="B13" s="19" t="s">
        <v>282</v>
      </c>
      <c r="C13" s="24" t="n">
        <v>10000</v>
      </c>
    </row>
    <row r="14" customFormat="false" ht="15" hidden="false" customHeight="true" outlineLevel="0" collapsed="false">
      <c r="B14" s="19" t="s">
        <v>283</v>
      </c>
      <c r="C14" s="24" t="n">
        <v>50</v>
      </c>
    </row>
    <row r="15" customFormat="false" ht="15" hidden="false" customHeight="true" outlineLevel="0" collapsed="false">
      <c r="B15" s="19" t="s">
        <v>284</v>
      </c>
      <c r="C15" s="24" t="n">
        <v>2000</v>
      </c>
    </row>
    <row r="16" customFormat="false" ht="15" hidden="false" customHeight="true" outlineLevel="0" collapsed="false">
      <c r="B16" s="19" t="s">
        <v>285</v>
      </c>
      <c r="C16" s="49" t="n">
        <v>9</v>
      </c>
    </row>
    <row r="17" customFormat="false" ht="15" hidden="false" customHeight="true" outlineLevel="0" collapsed="false">
      <c r="B17" s="19" t="s">
        <v>286</v>
      </c>
      <c r="C17" s="49" t="n">
        <v>30</v>
      </c>
      <c r="D17" s="28" t="s">
        <v>287</v>
      </c>
    </row>
    <row r="18" customFormat="false" ht="15" hidden="false" customHeight="true" outlineLevel="0" collapsed="false">
      <c r="B18" s="19" t="s">
        <v>288</v>
      </c>
      <c r="C18" s="30" t="n">
        <f aca="false">C13*C14*C15/1000000</f>
        <v>1000</v>
      </c>
    </row>
    <row r="19" customFormat="false" ht="15" hidden="false" customHeight="true" outlineLevel="0" collapsed="false">
      <c r="B19" s="19" t="s">
        <v>289</v>
      </c>
      <c r="C19" s="38" t="n">
        <f aca="false">C18*C16</f>
        <v>9000</v>
      </c>
    </row>
    <row r="20" customFormat="false" ht="15" hidden="false" customHeight="true" outlineLevel="0" collapsed="false">
      <c r="B20" s="19" t="s">
        <v>290</v>
      </c>
      <c r="C20" s="38" t="n">
        <f aca="false">C13*C17</f>
        <v>300000</v>
      </c>
    </row>
    <row r="21" customFormat="false" ht="15" hidden="false" customHeight="true" outlineLevel="0" collapsed="false">
      <c r="B21" s="33" t="s">
        <v>291</v>
      </c>
      <c r="C21" s="59" t="n">
        <f aca="false">IF(C20&gt;0,C19/C20,0)</f>
        <v>0.03</v>
      </c>
      <c r="D21" s="28" t="s">
        <v>292</v>
      </c>
    </row>
    <row r="22" customFormat="false" ht="15" hidden="false" customHeight="true" outlineLevel="0" collapsed="false">
      <c r="B22" s="33" t="s">
        <v>293</v>
      </c>
      <c r="C22" s="59" t="n">
        <f aca="false">1-C21</f>
        <v>0.97</v>
      </c>
    </row>
    <row r="23" customFormat="false" ht="15" hidden="false" customHeight="true" outlineLevel="0" collapsed="false">
      <c r="B23" s="33" t="s">
        <v>294</v>
      </c>
      <c r="C23" s="41" t="n">
        <f aca="false">C20/C18</f>
        <v>300</v>
      </c>
      <c r="D23" s="28" t="s">
        <v>295</v>
      </c>
    </row>
    <row r="25" customFormat="false" ht="15" hidden="false" customHeight="true" outlineLevel="0" collapsed="false">
      <c r="B25" s="27" t="s">
        <v>296</v>
      </c>
      <c r="C25" s="27"/>
      <c r="D25" s="27"/>
    </row>
    <row r="26" customFormat="false" ht="15" hidden="false" customHeight="true" outlineLevel="0" collapsed="false">
      <c r="B26" s="19" t="s">
        <v>297</v>
      </c>
      <c r="C26" s="24" t="n">
        <v>2000</v>
      </c>
    </row>
    <row r="27" customFormat="false" ht="15" hidden="false" customHeight="true" outlineLevel="0" collapsed="false">
      <c r="B27" s="19" t="s">
        <v>298</v>
      </c>
      <c r="C27" s="24" t="n">
        <v>800</v>
      </c>
      <c r="D27" s="28" t="s">
        <v>299</v>
      </c>
    </row>
    <row r="28" customFormat="false" ht="15" hidden="false" customHeight="true" outlineLevel="0" collapsed="false">
      <c r="B28" s="19" t="s">
        <v>300</v>
      </c>
      <c r="C28" s="50" t="n">
        <f aca="false">1-C27/C26</f>
        <v>0.6</v>
      </c>
    </row>
    <row r="29" customFormat="false" ht="15" hidden="false" customHeight="true" outlineLevel="0" collapsed="false">
      <c r="B29" s="19" t="s">
        <v>301</v>
      </c>
      <c r="C29" s="43" t="n">
        <f aca="false">(C26-C27)*C14*C16/1000000</f>
        <v>0.54</v>
      </c>
    </row>
    <row r="30" customFormat="false" ht="15" hidden="false" customHeight="true" outlineLevel="0" collapsed="false">
      <c r="B30" s="19" t="s">
        <v>302</v>
      </c>
      <c r="C30" s="38" t="n">
        <f aca="false">C29*C13*12</f>
        <v>64800</v>
      </c>
      <c r="D30" s="28" t="s">
        <v>303</v>
      </c>
    </row>
  </sheetData>
  <mergeCells count="4">
    <mergeCell ref="B1:E1"/>
    <mergeCell ref="B3:D3"/>
    <mergeCell ref="B12:D12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233C"/>
    <pageSetUpPr fitToPage="fals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8" min="8" style="1" width="32"/>
  </cols>
  <sheetData>
    <row r="1" customFormat="false" ht="31.5" hidden="false" customHeight="true" outlineLevel="0" collapsed="false">
      <c r="B1" s="16" t="s">
        <v>304</v>
      </c>
      <c r="C1" s="16"/>
      <c r="D1" s="16"/>
      <c r="E1" s="16"/>
      <c r="F1" s="16"/>
      <c r="G1" s="16"/>
      <c r="H1" s="16"/>
    </row>
    <row r="3" customFormat="false" ht="15" hidden="false" customHeight="true" outlineLevel="0" collapsed="false">
      <c r="B3" s="27" t="s">
        <v>305</v>
      </c>
      <c r="C3" s="27"/>
      <c r="D3" s="27"/>
      <c r="E3" s="27"/>
      <c r="F3" s="27"/>
      <c r="G3" s="27"/>
    </row>
    <row r="4" customFormat="false" ht="15" hidden="false" customHeight="true" outlineLevel="0" collapsed="false">
      <c r="B4" s="18" t="s">
        <v>306</v>
      </c>
      <c r="C4" s="18" t="s">
        <v>307</v>
      </c>
      <c r="D4" s="18" t="s">
        <v>308</v>
      </c>
      <c r="E4" s="18" t="s">
        <v>309</v>
      </c>
      <c r="F4" s="18" t="s">
        <v>310</v>
      </c>
      <c r="G4" s="18" t="s">
        <v>311</v>
      </c>
      <c r="H4" s="18" t="s">
        <v>69</v>
      </c>
    </row>
    <row r="5" customFormat="false" ht="15" hidden="false" customHeight="true" outlineLevel="0" collapsed="false">
      <c r="B5" s="19" t="s">
        <v>312</v>
      </c>
      <c r="C5" s="19" t="s">
        <v>313</v>
      </c>
      <c r="D5" s="68" t="n">
        <v>0.05</v>
      </c>
      <c r="E5" s="68" t="n">
        <v>0.05</v>
      </c>
      <c r="F5" s="69" t="s">
        <v>314</v>
      </c>
      <c r="G5" s="19" t="s">
        <v>315</v>
      </c>
      <c r="H5" s="19" t="s">
        <v>316</v>
      </c>
    </row>
    <row r="6" customFormat="false" ht="15" hidden="false" customHeight="true" outlineLevel="0" collapsed="false">
      <c r="B6" s="23" t="s">
        <v>317</v>
      </c>
      <c r="C6" s="23" t="s">
        <v>318</v>
      </c>
      <c r="D6" s="70" t="n">
        <v>0.3</v>
      </c>
      <c r="E6" s="70" t="n">
        <v>0.3</v>
      </c>
      <c r="F6" s="71" t="s">
        <v>314</v>
      </c>
      <c r="G6" s="23" t="s">
        <v>319</v>
      </c>
      <c r="H6" s="23" t="s">
        <v>320</v>
      </c>
    </row>
    <row r="7" customFormat="false" ht="15" hidden="false" customHeight="true" outlineLevel="0" collapsed="false">
      <c r="B7" s="19" t="s">
        <v>321</v>
      </c>
      <c r="C7" s="19" t="s">
        <v>322</v>
      </c>
      <c r="D7" s="68" t="n">
        <v>0.3</v>
      </c>
      <c r="E7" s="68" t="n">
        <v>0.8</v>
      </c>
      <c r="F7" s="69" t="s">
        <v>323</v>
      </c>
      <c r="G7" s="19" t="s">
        <v>324</v>
      </c>
      <c r="H7" s="19" t="s">
        <v>325</v>
      </c>
    </row>
    <row r="8" customFormat="false" ht="15" hidden="false" customHeight="true" outlineLevel="0" collapsed="false">
      <c r="B8" s="23" t="s">
        <v>326</v>
      </c>
      <c r="C8" s="23" t="s">
        <v>327</v>
      </c>
      <c r="D8" s="70" t="n">
        <v>0.8</v>
      </c>
      <c r="E8" s="70" t="n">
        <v>9</v>
      </c>
      <c r="F8" s="71" t="s">
        <v>328</v>
      </c>
      <c r="G8" s="23" t="s">
        <v>329</v>
      </c>
      <c r="H8" s="23" t="s">
        <v>330</v>
      </c>
    </row>
    <row r="9" customFormat="false" ht="15" hidden="false" customHeight="true" outlineLevel="0" collapsed="false">
      <c r="B9" s="19" t="s">
        <v>331</v>
      </c>
      <c r="C9" s="19" t="s">
        <v>332</v>
      </c>
      <c r="D9" s="68" t="n">
        <v>9</v>
      </c>
      <c r="E9" s="68" t="n">
        <v>1500</v>
      </c>
      <c r="F9" s="69" t="s">
        <v>333</v>
      </c>
      <c r="G9" s="19" t="s">
        <v>334</v>
      </c>
      <c r="H9" s="19" t="s">
        <v>335</v>
      </c>
    </row>
    <row r="11" customFormat="false" ht="15" hidden="false" customHeight="true" outlineLevel="0" collapsed="false">
      <c r="B11" s="27" t="s">
        <v>336</v>
      </c>
      <c r="C11" s="27"/>
      <c r="D11" s="27"/>
      <c r="E11" s="27"/>
      <c r="F11" s="27"/>
      <c r="G11" s="27"/>
    </row>
    <row r="12" customFormat="false" ht="15" hidden="false" customHeight="true" outlineLevel="0" collapsed="false">
      <c r="B12" s="72" t="s">
        <v>337</v>
      </c>
      <c r="C12" s="72" t="s">
        <v>338</v>
      </c>
      <c r="D12" s="72" t="s">
        <v>339</v>
      </c>
      <c r="E12" s="72" t="s">
        <v>340</v>
      </c>
      <c r="F12" s="72" t="s">
        <v>341</v>
      </c>
    </row>
    <row r="13" customFormat="false" ht="15" hidden="false" customHeight="true" outlineLevel="0" collapsed="false">
      <c r="B13" s="19" t="s">
        <v>342</v>
      </c>
      <c r="C13" s="19" t="s">
        <v>343</v>
      </c>
      <c r="D13" s="73" t="s">
        <v>344</v>
      </c>
      <c r="E13" s="74" t="s">
        <v>345</v>
      </c>
      <c r="F13" s="19" t="s">
        <v>346</v>
      </c>
    </row>
    <row r="14" customFormat="false" ht="15" hidden="false" customHeight="true" outlineLevel="0" collapsed="false">
      <c r="B14" s="23" t="s">
        <v>347</v>
      </c>
      <c r="C14" s="23" t="s">
        <v>348</v>
      </c>
      <c r="D14" s="75" t="s">
        <v>349</v>
      </c>
      <c r="E14" s="76" t="s">
        <v>350</v>
      </c>
      <c r="F14" s="23" t="s">
        <v>351</v>
      </c>
    </row>
    <row r="15" customFormat="false" ht="15" hidden="false" customHeight="true" outlineLevel="0" collapsed="false">
      <c r="B15" s="19" t="s">
        <v>352</v>
      </c>
      <c r="C15" s="19" t="s">
        <v>353</v>
      </c>
      <c r="D15" s="73" t="s">
        <v>354</v>
      </c>
      <c r="E15" s="74" t="s">
        <v>355</v>
      </c>
      <c r="F15" s="19" t="s">
        <v>356</v>
      </c>
    </row>
    <row r="16" customFormat="false" ht="15" hidden="false" customHeight="true" outlineLevel="0" collapsed="false">
      <c r="B16" s="23" t="s">
        <v>357</v>
      </c>
      <c r="C16" s="23" t="s">
        <v>358</v>
      </c>
      <c r="D16" s="75" t="s">
        <v>359</v>
      </c>
      <c r="E16" s="76" t="s">
        <v>360</v>
      </c>
      <c r="F16" s="23" t="s">
        <v>361</v>
      </c>
    </row>
    <row r="17" customFormat="false" ht="15" hidden="false" customHeight="true" outlineLevel="0" collapsed="false">
      <c r="B17" s="19" t="s">
        <v>362</v>
      </c>
      <c r="C17" s="19" t="s">
        <v>363</v>
      </c>
      <c r="D17" s="73" t="s">
        <v>364</v>
      </c>
      <c r="E17" s="74" t="s">
        <v>365</v>
      </c>
      <c r="F17" s="19" t="s">
        <v>366</v>
      </c>
    </row>
    <row r="18" customFormat="false" ht="15" hidden="false" customHeight="true" outlineLevel="0" collapsed="false">
      <c r="B18" s="23" t="s">
        <v>367</v>
      </c>
      <c r="C18" s="23" t="s">
        <v>368</v>
      </c>
      <c r="D18" s="75" t="s">
        <v>369</v>
      </c>
      <c r="E18" s="76" t="s">
        <v>370</v>
      </c>
      <c r="F18" s="23" t="s">
        <v>371</v>
      </c>
    </row>
    <row r="19" customFormat="false" ht="15" hidden="false" customHeight="true" outlineLevel="0" collapsed="false">
      <c r="B19" s="19" t="s">
        <v>372</v>
      </c>
      <c r="C19" s="19" t="s">
        <v>373</v>
      </c>
      <c r="D19" s="73" t="s">
        <v>374</v>
      </c>
      <c r="E19" s="74" t="s">
        <v>375</v>
      </c>
      <c r="F19" s="19" t="s">
        <v>376</v>
      </c>
    </row>
    <row r="20" customFormat="false" ht="15" hidden="false" customHeight="true" outlineLevel="0" collapsed="false">
      <c r="B20" s="23" t="s">
        <v>377</v>
      </c>
      <c r="C20" s="23" t="s">
        <v>378</v>
      </c>
      <c r="D20" s="75" t="s">
        <v>379</v>
      </c>
      <c r="E20" s="76" t="s">
        <v>380</v>
      </c>
      <c r="F20" s="23" t="s">
        <v>381</v>
      </c>
    </row>
    <row r="22" customFormat="false" ht="15" hidden="false" customHeight="true" outlineLevel="0" collapsed="false">
      <c r="B22" s="27" t="s">
        <v>382</v>
      </c>
      <c r="C22" s="27"/>
      <c r="D22" s="27"/>
      <c r="E22" s="27"/>
      <c r="F22" s="27"/>
      <c r="G22" s="27"/>
    </row>
    <row r="23" customFormat="false" ht="15" hidden="false" customHeight="true" outlineLevel="0" collapsed="false">
      <c r="B23" s="72" t="s">
        <v>383</v>
      </c>
      <c r="C23" s="72" t="s">
        <v>384</v>
      </c>
      <c r="D23" s="72" t="s">
        <v>385</v>
      </c>
      <c r="E23" s="72" t="s">
        <v>386</v>
      </c>
    </row>
    <row r="24" customFormat="false" ht="15" hidden="false" customHeight="true" outlineLevel="0" collapsed="false">
      <c r="B24" s="19" t="s">
        <v>387</v>
      </c>
      <c r="C24" s="19" t="s">
        <v>388</v>
      </c>
      <c r="D24" s="19" t="s">
        <v>389</v>
      </c>
      <c r="E24" s="19" t="s">
        <v>390</v>
      </c>
    </row>
    <row r="25" customFormat="false" ht="15" hidden="false" customHeight="true" outlineLevel="0" collapsed="false">
      <c r="B25" s="23" t="s">
        <v>391</v>
      </c>
      <c r="C25" s="23" t="s">
        <v>392</v>
      </c>
      <c r="D25" s="23" t="s">
        <v>393</v>
      </c>
      <c r="E25" s="23" t="s">
        <v>394</v>
      </c>
    </row>
    <row r="26" customFormat="false" ht="15" hidden="false" customHeight="true" outlineLevel="0" collapsed="false">
      <c r="B26" s="19" t="s">
        <v>395</v>
      </c>
      <c r="C26" s="19" t="s">
        <v>396</v>
      </c>
      <c r="D26" s="19" t="s">
        <v>397</v>
      </c>
      <c r="E26" s="19" t="s">
        <v>398</v>
      </c>
    </row>
    <row r="27" customFormat="false" ht="15" hidden="false" customHeight="true" outlineLevel="0" collapsed="false">
      <c r="B27" s="23" t="s">
        <v>399</v>
      </c>
      <c r="C27" s="23" t="s">
        <v>400</v>
      </c>
      <c r="D27" s="23" t="s">
        <v>401</v>
      </c>
      <c r="E27" s="23" t="s">
        <v>402</v>
      </c>
    </row>
  </sheetData>
  <mergeCells count="4">
    <mergeCell ref="B1:H1"/>
    <mergeCell ref="B3:G3"/>
    <mergeCell ref="B11:G11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09B7"/>
    <pageSetUpPr fitToPage="false"/>
  </sheetPr>
  <dimension ref="B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3"/>
    <col collapsed="false" customWidth="true" hidden="false" outlineLevel="0" max="8" min="8" style="1" width="30"/>
  </cols>
  <sheetData>
    <row r="1" customFormat="false" ht="31.5" hidden="false" customHeight="true" outlineLevel="0" collapsed="false">
      <c r="B1" s="16" t="s">
        <v>403</v>
      </c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B2" s="17" t="s">
        <v>404</v>
      </c>
      <c r="C2" s="17"/>
      <c r="D2" s="17"/>
      <c r="E2" s="17"/>
      <c r="F2" s="17"/>
      <c r="G2" s="17"/>
      <c r="H2" s="17"/>
    </row>
    <row r="4" customFormat="false" ht="15" hidden="false" customHeight="true" outlineLevel="0" collapsed="false">
      <c r="B4" s="77" t="s">
        <v>405</v>
      </c>
      <c r="C4" s="78" t="s">
        <v>406</v>
      </c>
      <c r="D4" s="78" t="s">
        <v>407</v>
      </c>
      <c r="E4" s="78" t="s">
        <v>408</v>
      </c>
      <c r="F4" s="78" t="s">
        <v>409</v>
      </c>
      <c r="G4" s="78" t="s">
        <v>410</v>
      </c>
      <c r="H4" s="78" t="s">
        <v>411</v>
      </c>
      <c r="I4" s="78" t="s">
        <v>412</v>
      </c>
      <c r="J4" s="78" t="s">
        <v>413</v>
      </c>
    </row>
    <row r="5" customFormat="false" ht="15" hidden="false" customHeight="true" outlineLevel="0" collapsed="false">
      <c r="B5" s="78" t="s">
        <v>414</v>
      </c>
      <c r="C5" s="79" t="n">
        <v>0.9</v>
      </c>
      <c r="D5" s="80" t="n">
        <v>0.7</v>
      </c>
      <c r="E5" s="81" t="n">
        <v>0.5</v>
      </c>
      <c r="F5" s="82" t="n">
        <v>0.2</v>
      </c>
      <c r="G5" s="82" t="n">
        <v>0</v>
      </c>
      <c r="H5" s="82" t="n">
        <v>-0.5</v>
      </c>
      <c r="I5" s="82" t="n">
        <v>-1</v>
      </c>
      <c r="J5" s="82" t="n">
        <v>-2</v>
      </c>
    </row>
    <row r="6" customFormat="false" ht="15" hidden="false" customHeight="true" outlineLevel="0" collapsed="false">
      <c r="B6" s="78" t="s">
        <v>415</v>
      </c>
      <c r="C6" s="79" t="n">
        <v>0.967</v>
      </c>
      <c r="D6" s="79" t="n">
        <v>0.9</v>
      </c>
      <c r="E6" s="79" t="n">
        <v>0.833</v>
      </c>
      <c r="F6" s="80" t="n">
        <v>0.733</v>
      </c>
      <c r="G6" s="80" t="n">
        <v>0.667</v>
      </c>
      <c r="H6" s="81" t="n">
        <v>0.5</v>
      </c>
      <c r="I6" s="83" t="n">
        <v>0.333</v>
      </c>
      <c r="J6" s="82" t="n">
        <v>0</v>
      </c>
    </row>
    <row r="7" customFormat="false" ht="15" hidden="false" customHeight="true" outlineLevel="0" collapsed="false">
      <c r="B7" s="78" t="s">
        <v>416</v>
      </c>
      <c r="C7" s="79" t="n">
        <v>0.98</v>
      </c>
      <c r="D7" s="79" t="n">
        <v>0.94</v>
      </c>
      <c r="E7" s="79" t="n">
        <v>0.9</v>
      </c>
      <c r="F7" s="79" t="n">
        <v>0.84</v>
      </c>
      <c r="G7" s="79" t="n">
        <v>0.8</v>
      </c>
      <c r="H7" s="80" t="n">
        <v>0.7</v>
      </c>
      <c r="I7" s="80" t="n">
        <v>0.6</v>
      </c>
      <c r="J7" s="81" t="n">
        <v>0.4</v>
      </c>
    </row>
    <row r="8" customFormat="false" ht="15" hidden="false" customHeight="true" outlineLevel="0" collapsed="false">
      <c r="B8" s="78" t="s">
        <v>417</v>
      </c>
      <c r="C8" s="79" t="n">
        <v>0.988</v>
      </c>
      <c r="D8" s="79" t="n">
        <v>0.963</v>
      </c>
      <c r="E8" s="79" t="n">
        <v>0.938</v>
      </c>
      <c r="F8" s="79" t="n">
        <v>0.9</v>
      </c>
      <c r="G8" s="79" t="n">
        <v>0.875</v>
      </c>
      <c r="H8" s="79" t="n">
        <v>0.812</v>
      </c>
      <c r="I8" s="80" t="n">
        <v>0.75</v>
      </c>
      <c r="J8" s="80" t="n">
        <v>0.625</v>
      </c>
    </row>
    <row r="9" customFormat="false" ht="15" hidden="false" customHeight="true" outlineLevel="0" collapsed="false">
      <c r="B9" s="78" t="s">
        <v>418</v>
      </c>
      <c r="C9" s="79" t="n">
        <v>0.99</v>
      </c>
      <c r="D9" s="79" t="n">
        <v>0.97</v>
      </c>
      <c r="E9" s="79" t="n">
        <v>0.95</v>
      </c>
      <c r="F9" s="79" t="n">
        <v>0.92</v>
      </c>
      <c r="G9" s="79" t="n">
        <v>0.9</v>
      </c>
      <c r="H9" s="79" t="n">
        <v>0.85</v>
      </c>
      <c r="I9" s="79" t="n">
        <v>0.8</v>
      </c>
      <c r="J9" s="80" t="n">
        <v>0.7</v>
      </c>
    </row>
    <row r="10" customFormat="false" ht="15" hidden="false" customHeight="true" outlineLevel="0" collapsed="false">
      <c r="B10" s="78" t="s">
        <v>419</v>
      </c>
      <c r="C10" s="79" t="n">
        <v>0.993</v>
      </c>
      <c r="D10" s="79" t="n">
        <v>0.98</v>
      </c>
      <c r="E10" s="79" t="n">
        <v>0.967</v>
      </c>
      <c r="F10" s="79" t="n">
        <v>0.947</v>
      </c>
      <c r="G10" s="79" t="n">
        <v>0.933</v>
      </c>
      <c r="H10" s="79" t="n">
        <v>0.9</v>
      </c>
      <c r="I10" s="79" t="n">
        <v>0.867</v>
      </c>
      <c r="J10" s="79" t="n">
        <v>0.8</v>
      </c>
    </row>
    <row r="11" customFormat="false" ht="15" hidden="false" customHeight="true" outlineLevel="0" collapsed="false">
      <c r="B11" s="78" t="s">
        <v>420</v>
      </c>
      <c r="C11" s="79" t="n">
        <v>0.995</v>
      </c>
      <c r="D11" s="79" t="n">
        <v>0.985</v>
      </c>
      <c r="E11" s="79" t="n">
        <v>0.975</v>
      </c>
      <c r="F11" s="79" t="n">
        <v>0.96</v>
      </c>
      <c r="G11" s="79" t="n">
        <v>0.95</v>
      </c>
      <c r="H11" s="79" t="n">
        <v>0.925</v>
      </c>
      <c r="I11" s="79" t="n">
        <v>0.9</v>
      </c>
      <c r="J11" s="79" t="n">
        <v>0.85</v>
      </c>
    </row>
    <row r="12" customFormat="false" ht="15" hidden="false" customHeight="true" outlineLevel="0" collapsed="false">
      <c r="B12" s="78" t="s">
        <v>421</v>
      </c>
      <c r="C12" s="79" t="n">
        <v>0.997</v>
      </c>
      <c r="D12" s="79" t="n">
        <v>0.99</v>
      </c>
      <c r="E12" s="79" t="n">
        <v>0.983</v>
      </c>
      <c r="F12" s="79" t="n">
        <v>0.973</v>
      </c>
      <c r="G12" s="79" t="n">
        <v>0.967</v>
      </c>
      <c r="H12" s="79" t="n">
        <v>0.95</v>
      </c>
      <c r="I12" s="79" t="n">
        <v>0.933</v>
      </c>
      <c r="J12" s="79" t="n">
        <v>0.9</v>
      </c>
    </row>
    <row r="14" customFormat="false" ht="15" hidden="false" customHeight="true" outlineLevel="0" collapsed="false">
      <c r="B14" s="84" t="s">
        <v>422</v>
      </c>
      <c r="C14" s="84"/>
      <c r="D14" s="84"/>
      <c r="E14" s="84"/>
      <c r="F14" s="84"/>
      <c r="G14" s="84"/>
      <c r="H14" s="84"/>
    </row>
    <row r="15" customFormat="false" ht="15" hidden="false" customHeight="true" outlineLevel="0" collapsed="false">
      <c r="B15" s="85" t="s">
        <v>423</v>
      </c>
      <c r="C15" s="86" t="s">
        <v>424</v>
      </c>
      <c r="D15" s="86"/>
      <c r="E15" s="86"/>
      <c r="F15" s="86"/>
      <c r="G15" s="86"/>
      <c r="H15" s="86"/>
    </row>
    <row r="16" customFormat="false" ht="15" hidden="false" customHeight="true" outlineLevel="0" collapsed="false">
      <c r="B16" s="87" t="s">
        <v>425</v>
      </c>
      <c r="C16" s="86" t="s">
        <v>426</v>
      </c>
      <c r="D16" s="86"/>
      <c r="E16" s="86"/>
      <c r="F16" s="86"/>
      <c r="G16" s="86"/>
      <c r="H16" s="86"/>
    </row>
    <row r="17" customFormat="false" ht="15" hidden="false" customHeight="true" outlineLevel="0" collapsed="false">
      <c r="B17" s="88" t="s">
        <v>427</v>
      </c>
      <c r="C17" s="86" t="s">
        <v>428</v>
      </c>
      <c r="D17" s="86"/>
      <c r="E17" s="86"/>
      <c r="F17" s="86"/>
      <c r="G17" s="86"/>
      <c r="H17" s="86"/>
    </row>
    <row r="18" customFormat="false" ht="15" hidden="false" customHeight="true" outlineLevel="0" collapsed="false">
      <c r="B18" s="89" t="s">
        <v>429</v>
      </c>
      <c r="C18" s="86" t="s">
        <v>430</v>
      </c>
      <c r="D18" s="86"/>
      <c r="E18" s="86"/>
      <c r="F18" s="86"/>
      <c r="G18" s="86"/>
      <c r="H18" s="86"/>
    </row>
    <row r="19" customFormat="false" ht="15" hidden="false" customHeight="true" outlineLevel="0" collapsed="false">
      <c r="B19" s="90" t="s">
        <v>370</v>
      </c>
      <c r="C19" s="86" t="s">
        <v>431</v>
      </c>
      <c r="D19" s="86"/>
      <c r="E19" s="86"/>
      <c r="F19" s="86"/>
      <c r="G19" s="86"/>
      <c r="H19" s="86"/>
    </row>
    <row r="21" customFormat="false" ht="15" hidden="false" customHeight="true" outlineLevel="0" collapsed="false">
      <c r="B21" s="27" t="s">
        <v>432</v>
      </c>
      <c r="C21" s="27"/>
      <c r="D21" s="27"/>
      <c r="E21" s="27"/>
      <c r="F21" s="27"/>
      <c r="G21" s="27"/>
    </row>
    <row r="22" customFormat="false" ht="15" hidden="false" customHeight="true" outlineLevel="0" collapsed="false">
      <c r="B22" s="91" t="s">
        <v>433</v>
      </c>
      <c r="C22" s="72" t="s">
        <v>434</v>
      </c>
      <c r="D22" s="72" t="s">
        <v>435</v>
      </c>
      <c r="E22" s="72" t="s">
        <v>436</v>
      </c>
      <c r="F22" s="72" t="s">
        <v>437</v>
      </c>
      <c r="G22" s="72" t="s">
        <v>438</v>
      </c>
      <c r="H22" s="72" t="s">
        <v>439</v>
      </c>
    </row>
    <row r="23" customFormat="false" ht="15" hidden="false" customHeight="true" outlineLevel="0" collapsed="false">
      <c r="B23" s="92" t="s">
        <v>440</v>
      </c>
      <c r="C23" s="93" t="n">
        <v>142857.1</v>
      </c>
      <c r="D23" s="93" t="n">
        <v>47619</v>
      </c>
      <c r="E23" s="93" t="n">
        <v>28571.4</v>
      </c>
      <c r="F23" s="93" t="n">
        <v>17857.1</v>
      </c>
      <c r="G23" s="93" t="n">
        <v>9523.8</v>
      </c>
      <c r="H23" s="93" t="n">
        <v>4761.9</v>
      </c>
    </row>
    <row r="24" customFormat="false" ht="15" hidden="false" customHeight="true" outlineLevel="0" collapsed="false">
      <c r="B24" s="92" t="s">
        <v>441</v>
      </c>
      <c r="C24" s="94" t="n">
        <v>133333.3</v>
      </c>
      <c r="D24" s="94" t="n">
        <v>44444.4</v>
      </c>
      <c r="E24" s="94" t="n">
        <v>26666.7</v>
      </c>
      <c r="F24" s="94" t="n">
        <v>16666.7</v>
      </c>
      <c r="G24" s="94" t="n">
        <v>8888.9</v>
      </c>
      <c r="H24" s="94" t="n">
        <v>4444.4</v>
      </c>
    </row>
    <row r="25" customFormat="false" ht="15" hidden="false" customHeight="true" outlineLevel="0" collapsed="false">
      <c r="B25" s="92" t="s">
        <v>442</v>
      </c>
      <c r="C25" s="93" t="n">
        <v>125000</v>
      </c>
      <c r="D25" s="93" t="n">
        <v>41666.7</v>
      </c>
      <c r="E25" s="93" t="n">
        <v>25000</v>
      </c>
      <c r="F25" s="93" t="n">
        <v>15625</v>
      </c>
      <c r="G25" s="93" t="n">
        <v>8333.3</v>
      </c>
      <c r="H25" s="93" t="n">
        <v>4166.7</v>
      </c>
    </row>
    <row r="26" customFormat="false" ht="15" hidden="false" customHeight="true" outlineLevel="0" collapsed="false">
      <c r="B26" s="92" t="s">
        <v>443</v>
      </c>
      <c r="C26" s="94" t="n">
        <v>117647.1</v>
      </c>
      <c r="D26" s="94" t="n">
        <v>39215.7</v>
      </c>
      <c r="E26" s="94" t="n">
        <v>23529.4</v>
      </c>
      <c r="F26" s="94" t="n">
        <v>14705.9</v>
      </c>
      <c r="G26" s="94" t="n">
        <v>7843.1</v>
      </c>
      <c r="H26" s="94" t="n">
        <v>3921.6</v>
      </c>
    </row>
    <row r="27" customFormat="false" ht="15" hidden="false" customHeight="true" outlineLevel="0" collapsed="false">
      <c r="B27" s="92" t="s">
        <v>444</v>
      </c>
      <c r="C27" s="93" t="n">
        <v>111111.1</v>
      </c>
      <c r="D27" s="93" t="n">
        <v>37037</v>
      </c>
      <c r="E27" s="93" t="n">
        <v>22222.2</v>
      </c>
      <c r="F27" s="93" t="n">
        <v>13888.9</v>
      </c>
      <c r="G27" s="93" t="n">
        <v>7407.4</v>
      </c>
      <c r="H27" s="93" t="n">
        <v>3703.7</v>
      </c>
    </row>
  </sheetData>
  <mergeCells count="9">
    <mergeCell ref="B1:H1"/>
    <mergeCell ref="B2:H2"/>
    <mergeCell ref="B14:H14"/>
    <mergeCell ref="C15:H15"/>
    <mergeCell ref="C16:H16"/>
    <mergeCell ref="C17:H17"/>
    <mergeCell ref="C18:H18"/>
    <mergeCell ref="C19:H19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B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28"/>
  </cols>
  <sheetData>
    <row r="1" customFormat="false" ht="31.5" hidden="false" customHeight="true" outlineLevel="0" collapsed="false">
      <c r="B1" s="16" t="s">
        <v>445</v>
      </c>
      <c r="C1" s="16"/>
      <c r="D1" s="16"/>
    </row>
    <row r="3" customFormat="false" ht="15" hidden="false" customHeight="true" outlineLevel="0" collapsed="false">
      <c r="B3" s="18" t="s">
        <v>446</v>
      </c>
      <c r="C3" s="18" t="s">
        <v>447</v>
      </c>
      <c r="D3" s="18" t="s">
        <v>448</v>
      </c>
    </row>
    <row r="4" customFormat="false" ht="15" hidden="false" customHeight="true" outlineLevel="0" collapsed="false">
      <c r="B4" s="92" t="s">
        <v>449</v>
      </c>
      <c r="C4" s="95" t="s">
        <v>450</v>
      </c>
      <c r="D4" s="96" t="s">
        <v>451</v>
      </c>
    </row>
    <row r="5" customFormat="false" ht="15" hidden="false" customHeight="true" outlineLevel="0" collapsed="false">
      <c r="B5" s="97" t="s">
        <v>452</v>
      </c>
      <c r="C5" s="98" t="s">
        <v>453</v>
      </c>
      <c r="D5" s="99" t="s">
        <v>454</v>
      </c>
    </row>
    <row r="6" customFormat="false" ht="15" hidden="false" customHeight="true" outlineLevel="0" collapsed="false">
      <c r="B6" s="92" t="s">
        <v>455</v>
      </c>
      <c r="C6" s="95" t="s">
        <v>456</v>
      </c>
      <c r="D6" s="96" t="s">
        <v>457</v>
      </c>
    </row>
    <row r="7" customFormat="false" ht="15" hidden="false" customHeight="true" outlineLevel="0" collapsed="false">
      <c r="B7" s="97" t="s">
        <v>458</v>
      </c>
      <c r="C7" s="98" t="s">
        <v>459</v>
      </c>
      <c r="D7" s="99" t="s">
        <v>460</v>
      </c>
    </row>
    <row r="8" customFormat="false" ht="15" hidden="false" customHeight="true" outlineLevel="0" collapsed="false">
      <c r="B8" s="92" t="s">
        <v>461</v>
      </c>
      <c r="C8" s="95" t="s">
        <v>462</v>
      </c>
      <c r="D8" s="96" t="s">
        <v>463</v>
      </c>
    </row>
    <row r="9" customFormat="false" ht="15" hidden="false" customHeight="true" outlineLevel="0" collapsed="false">
      <c r="B9" s="97" t="s">
        <v>464</v>
      </c>
      <c r="C9" s="98" t="s">
        <v>465</v>
      </c>
      <c r="D9" s="99" t="s">
        <v>466</v>
      </c>
    </row>
    <row r="10" customFormat="false" ht="15" hidden="false" customHeight="true" outlineLevel="0" collapsed="false">
      <c r="B10" s="92" t="s">
        <v>467</v>
      </c>
      <c r="C10" s="95" t="s">
        <v>468</v>
      </c>
      <c r="D10" s="96" t="s">
        <v>469</v>
      </c>
    </row>
    <row r="11" customFormat="false" ht="15" hidden="false" customHeight="true" outlineLevel="0" collapsed="false">
      <c r="B11" s="97" t="s">
        <v>470</v>
      </c>
      <c r="C11" s="98" t="s">
        <v>471</v>
      </c>
      <c r="D11" s="99" t="s">
        <v>472</v>
      </c>
    </row>
    <row r="12" customFormat="false" ht="15" hidden="false" customHeight="true" outlineLevel="0" collapsed="false">
      <c r="B12" s="92" t="s">
        <v>473</v>
      </c>
      <c r="C12" s="95" t="s">
        <v>474</v>
      </c>
      <c r="D12" s="96" t="s">
        <v>475</v>
      </c>
    </row>
    <row r="13" customFormat="false" ht="15" hidden="false" customHeight="true" outlineLevel="0" collapsed="false">
      <c r="B13" s="97" t="s">
        <v>476</v>
      </c>
      <c r="C13" s="98" t="s">
        <v>477</v>
      </c>
      <c r="D13" s="99" t="s">
        <v>478</v>
      </c>
    </row>
    <row r="14" customFormat="false" ht="15" hidden="false" customHeight="true" outlineLevel="0" collapsed="false">
      <c r="B14" s="92" t="s">
        <v>479</v>
      </c>
      <c r="C14" s="95" t="s">
        <v>480</v>
      </c>
      <c r="D14" s="96" t="s">
        <v>481</v>
      </c>
    </row>
    <row r="15" customFormat="false" ht="15" hidden="false" customHeight="true" outlineLevel="0" collapsed="false">
      <c r="B15" s="97" t="s">
        <v>482</v>
      </c>
      <c r="C15" s="98" t="s">
        <v>483</v>
      </c>
      <c r="D15" s="99" t="s">
        <v>484</v>
      </c>
    </row>
    <row r="16" customFormat="false" ht="15" hidden="false" customHeight="true" outlineLevel="0" collapsed="false">
      <c r="B16" s="92" t="s">
        <v>485</v>
      </c>
      <c r="C16" s="95" t="s">
        <v>486</v>
      </c>
      <c r="D16" s="96" t="s">
        <v>487</v>
      </c>
    </row>
    <row r="17" customFormat="false" ht="15" hidden="false" customHeight="true" outlineLevel="0" collapsed="false">
      <c r="B17" s="97" t="s">
        <v>488</v>
      </c>
      <c r="C17" s="98" t="s">
        <v>489</v>
      </c>
      <c r="D17" s="99" t="s">
        <v>490</v>
      </c>
    </row>
    <row r="18" customFormat="false" ht="15" hidden="false" customHeight="true" outlineLevel="0" collapsed="false">
      <c r="B18" s="92" t="s">
        <v>491</v>
      </c>
      <c r="C18" s="95" t="s">
        <v>492</v>
      </c>
      <c r="D18" s="96" t="s">
        <v>493</v>
      </c>
    </row>
    <row r="19" customFormat="false" ht="15" hidden="false" customHeight="true" outlineLevel="0" collapsed="false">
      <c r="B19" s="97" t="s">
        <v>494</v>
      </c>
      <c r="C19" s="98" t="s">
        <v>495</v>
      </c>
      <c r="D19" s="99" t="s">
        <v>496</v>
      </c>
    </row>
    <row r="20" customFormat="false" ht="15" hidden="false" customHeight="true" outlineLevel="0" collapsed="false">
      <c r="B20" s="92" t="s">
        <v>497</v>
      </c>
      <c r="C20" s="95" t="s">
        <v>498</v>
      </c>
      <c r="D20" s="96" t="s">
        <v>499</v>
      </c>
    </row>
    <row r="21" customFormat="false" ht="15" hidden="false" customHeight="true" outlineLevel="0" collapsed="false">
      <c r="B21" s="97" t="s">
        <v>500</v>
      </c>
      <c r="C21" s="98" t="s">
        <v>501</v>
      </c>
      <c r="D21" s="99" t="s">
        <v>502</v>
      </c>
    </row>
    <row r="22" customFormat="false" ht="15" hidden="false" customHeight="true" outlineLevel="0" collapsed="false">
      <c r="B22" s="92" t="s">
        <v>503</v>
      </c>
      <c r="C22" s="95" t="s">
        <v>504</v>
      </c>
      <c r="D22" s="96" t="s">
        <v>505</v>
      </c>
    </row>
    <row r="23" customFormat="false" ht="15" hidden="false" customHeight="true" outlineLevel="0" collapsed="false">
      <c r="B23" s="97" t="s">
        <v>506</v>
      </c>
      <c r="C23" s="98" t="s">
        <v>507</v>
      </c>
      <c r="D23" s="99" t="s">
        <v>508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2026-05-18T07:22:26Z</dcterms:created>
  <dc:creator>openpyxl</dc:creator>
  <dc:description/>
  <dc:language>en-US</dc:language>
  <cp:lastModifiedBy/>
  <dcterms:modified xsi:type="dcterms:W3CDTF">2026-05-18T07:22:51Z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