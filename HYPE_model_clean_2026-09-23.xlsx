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Model" sheetId="1" state="visible" r:id="rId1"/>
    <sheet name="Quarterly Model" sheetId="2" state="visible" r:id="rId2"/>
    <sheet name="HIP-4" sheetId="3" state="visible" r:id="rId3"/>
    <sheet name="Sources" sheetId="4" state="visible" r:id="rId4"/>
  </sheets>
  <definedNames>
    <definedName name="_xlnm._FilterDatabase" localSheetId="0" hidden="1">'Daily Model'!$A$3:$BH$664</definedName>
    <definedName name="_xlnm._FilterDatabase" localSheetId="2" hidden="1">'HIP-4'!$A$14:$K$157</definedName>
  </definedNames>
  <calcPr calcId="124519" fullCalcOnLoad="1"/>
</workbook>
</file>

<file path=xl/styles.xml><?xml version="1.0" encoding="utf-8"?>
<styleSheet xmlns="http://schemas.openxmlformats.org/spreadsheetml/2006/main">
  <numFmts count="7">
    <numFmt numFmtId="164" formatCode="yyyy-mm-dd"/>
    <numFmt numFmtId="165" formatCode="$#,##0;($#,##0);&quot;-&quot;"/>
    <numFmt numFmtId="166" formatCode="0.00;(0.00);&quot;-&quot;"/>
    <numFmt numFmtId="167" formatCode="#,##0;(#,##0);&quot;-&quot;"/>
    <numFmt numFmtId="168" formatCode="#,##0.0"/>
    <numFmt numFmtId="169" formatCode="$#,##0.00"/>
    <numFmt numFmtId="170" formatCode="0.0000"/>
  </numFmts>
  <fonts count="10">
    <font>
      <name val="Calibri"/>
      <family val="2"/>
      <color theme="1"/>
      <sz val="11"/>
      <scheme val="minor"/>
    </font>
    <font>
      <name val="Arial"/>
      <b val="1"/>
      <color rgb="00FFFFFF"/>
      <sz val="10"/>
    </font>
    <font>
      <name val="Arial"/>
      <b val="1"/>
      <color rgb="00FFFFFF"/>
      <sz val="9"/>
    </font>
    <font>
      <name val="Arial"/>
      <color rgb="00000000"/>
      <sz val="9"/>
    </font>
    <font>
      <name val="Arial"/>
      <color rgb="000000FF"/>
      <sz val="9"/>
    </font>
    <font>
      <name val="Arial"/>
      <color rgb="000B6E4F"/>
      <sz val="9"/>
    </font>
    <font>
      <name val="Arial"/>
      <b val="1"/>
      <color rgb="00000000"/>
      <sz val="9"/>
    </font>
    <font>
      <name val="Arial"/>
      <b val="1"/>
      <color rgb="00FFFFFF"/>
      <sz val="11"/>
    </font>
    <font>
      <name val="Arial"/>
      <i val="1"/>
      <color rgb="00555555"/>
      <sz val="9"/>
    </font>
    <font>
      <name val="Arial"/>
      <color rgb="001A1A1A"/>
      <sz val="9"/>
    </font>
  </fonts>
  <fills count="12">
    <fill>
      <patternFill/>
    </fill>
    <fill>
      <patternFill patternType="gray125"/>
    </fill>
    <fill>
      <patternFill patternType="solid">
        <fgColor rgb="001F2937"/>
      </patternFill>
    </fill>
    <fill>
      <patternFill patternType="solid">
        <fgColor rgb="00374151"/>
      </patternFill>
    </fill>
    <fill>
      <patternFill patternType="solid">
        <fgColor rgb="000B6E4F"/>
      </patternFill>
    </fill>
    <fill>
      <patternFill patternType="solid">
        <fgColor rgb="001D4E89"/>
      </patternFill>
    </fill>
    <fill>
      <patternFill patternType="solid">
        <fgColor rgb="007A4FB8"/>
      </patternFill>
    </fill>
    <fill>
      <patternFill patternType="solid">
        <fgColor rgb="00B8460B"/>
      </patternFill>
    </fill>
    <fill>
      <patternFill patternType="solid">
        <fgColor rgb="001A1A1A"/>
      </patternFill>
    </fill>
    <fill>
      <patternFill patternType="solid">
        <fgColor rgb="00444444"/>
      </patternFill>
    </fill>
    <fill>
      <patternFill patternType="solid">
        <fgColor rgb="00FDE9D9"/>
      </patternFill>
    </fill>
    <fill>
      <patternFill patternType="solid">
        <fgColor rgb="00FFF4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wrapText="1"/>
    </xf>
    <xf numFmtId="0" fontId="2" fillId="4" borderId="0" applyAlignment="1" pivotButton="0" quotePrefix="0" xfId="0">
      <alignment horizontal="center"/>
    </xf>
    <xf numFmtId="0" fontId="2" fillId="5" borderId="0" applyAlignment="1" pivotButton="0" quotePrefix="0" xfId="0">
      <alignment horizontal="center"/>
    </xf>
    <xf numFmtId="0" fontId="2" fillId="6" borderId="0" applyAlignment="1" pivotButton="0" quotePrefix="0" xfId="0">
      <alignment horizontal="center"/>
    </xf>
    <xf numFmtId="0" fontId="2" fillId="7" borderId="0" applyAlignment="1" pivotButton="0" quotePrefix="0" xfId="0">
      <alignment horizontal="center"/>
    </xf>
    <xf numFmtId="0" fontId="2" fillId="8" borderId="0" applyAlignment="1" pivotButton="0" quotePrefix="0" xfId="0">
      <alignment horizontal="center"/>
    </xf>
    <xf numFmtId="0" fontId="2" fillId="9" borderId="0" applyAlignment="1" pivotButton="0" quotePrefix="0" xfId="0">
      <alignment horizontal="center"/>
    </xf>
    <xf numFmtId="0" fontId="2" fillId="3" borderId="1" applyAlignment="1" pivotButton="0" quotePrefix="0" xfId="0">
      <alignment horizontal="center" vertical="center"/>
    </xf>
    <xf numFmtId="0" fontId="2" fillId="3" borderId="1" applyAlignment="1" pivotButton="0" quotePrefix="0" xfId="0">
      <alignment horizontal="center" vertical="center" wrapText="1"/>
    </xf>
    <xf numFmtId="164" fontId="3" fillId="0" borderId="1" pivotButton="0" quotePrefix="0" xfId="0"/>
    <xf numFmtId="165" fontId="4" fillId="0" borderId="1" pivotButton="0" quotePrefix="0" xfId="0"/>
    <xf numFmtId="165" fontId="5" fillId="10" borderId="1" pivotButton="0" quotePrefix="0" xfId="0"/>
    <xf numFmtId="10" fontId="3" fillId="0" borderId="1" pivotButton="0" quotePrefix="0" xfId="0"/>
    <xf numFmtId="166" fontId="3" fillId="0" borderId="1" pivotButton="0" quotePrefix="0" xfId="0"/>
    <xf numFmtId="167" fontId="4" fillId="0" borderId="1" pivotButton="0" quotePrefix="0" xfId="0"/>
    <xf numFmtId="168" fontId="4" fillId="0" borderId="1" pivotButton="0" quotePrefix="0" xfId="0"/>
    <xf numFmtId="167" fontId="3" fillId="0" borderId="1" pivotButton="0" quotePrefix="0" xfId="0"/>
    <xf numFmtId="167" fontId="5" fillId="0" borderId="1" pivotButton="0" quotePrefix="0" xfId="0"/>
    <xf numFmtId="167" fontId="6" fillId="0" borderId="1" pivotButton="0" quotePrefix="0" xfId="0"/>
    <xf numFmtId="168" fontId="3" fillId="0" borderId="1" pivotButton="0" quotePrefix="0" xfId="0"/>
    <xf numFmtId="165" fontId="3" fillId="0" borderId="1" pivotButton="0" quotePrefix="0" xfId="0"/>
    <xf numFmtId="165" fontId="6" fillId="0" borderId="1" pivotButton="0" quotePrefix="0" xfId="0"/>
    <xf numFmtId="165" fontId="4" fillId="10" borderId="1" pivotButton="0" quotePrefix="0" xfId="0"/>
    <xf numFmtId="165" fontId="5" fillId="0" borderId="1" pivotButton="0" quotePrefix="0" xfId="0"/>
    <xf numFmtId="167" fontId="5" fillId="10" borderId="1" pivotButton="0" quotePrefix="0" xfId="0"/>
    <xf numFmtId="169" fontId="5" fillId="10" borderId="1" pivotButton="0" quotePrefix="0" xfId="0"/>
    <xf numFmtId="169" fontId="4" fillId="0" borderId="1" pivotButton="0" quotePrefix="0" xfId="0"/>
    <xf numFmtId="170" fontId="5" fillId="0" borderId="1" pivotButton="0" quotePrefix="0" xfId="0"/>
    <xf numFmtId="167" fontId="6" fillId="10" borderId="1" pivotButton="0" quotePrefix="0" xfId="0"/>
    <xf numFmtId="168" fontId="3" fillId="10" borderId="1" pivotButton="0" quotePrefix="0" xfId="0"/>
    <xf numFmtId="165" fontId="3" fillId="10" borderId="1" pivotButton="0" quotePrefix="0" xfId="0"/>
    <xf numFmtId="0" fontId="6" fillId="0" borderId="1" pivotButton="0" quotePrefix="0" xfId="0"/>
    <xf numFmtId="164" fontId="0" fillId="0" borderId="1" pivotButton="0" quotePrefix="0" xfId="0"/>
    <xf numFmtId="169" fontId="3" fillId="0" borderId="1" pivotButton="0" quotePrefix="0" xfId="0"/>
    <xf numFmtId="0" fontId="7" fillId="2" borderId="0" pivotButton="0" quotePrefix="0" xfId="0"/>
    <xf numFmtId="0" fontId="8" fillId="0" borderId="0" applyAlignment="1" pivotButton="0" quotePrefix="0" xfId="0">
      <alignment vertical="top" wrapText="1"/>
    </xf>
    <xf numFmtId="0" fontId="2" fillId="3" borderId="0" pivotButton="0" quotePrefix="0" xfId="0"/>
    <xf numFmtId="0" fontId="0" fillId="3" borderId="0" pivotButton="0" quotePrefix="0" xfId="0"/>
    <xf numFmtId="0" fontId="9" fillId="0" borderId="0" pivotButton="0" quotePrefix="0" xfId="0"/>
    <xf numFmtId="0" fontId="6" fillId="0" borderId="0" pivotButton="0" quotePrefix="0" xfId="0"/>
    <xf numFmtId="0" fontId="3" fillId="0" borderId="0" pivotButton="0" quotePrefix="0" xfId="0"/>
    <xf numFmtId="169" fontId="4" fillId="10" borderId="1" pivotButton="0" quotePrefix="0" xfId="0"/>
    <xf numFmtId="0" fontId="9" fillId="0" borderId="0" applyAlignment="1" pivotButton="0" quotePrefix="0" xfId="0">
      <alignment vertical="top" wrapText="1"/>
    </xf>
    <xf numFmtId="0" fontId="8" fillId="11" borderId="0" applyAlignment="1" pivotButton="0" quotePrefix="0" xfId="0">
      <alignment vertical="top" wrapText="1"/>
    </xf>
    <xf numFmtId="0" fontId="1" fillId="2" borderId="0" pivotButton="0" quotePrefix="0" xfId="0"/>
    <xf numFmtId="0" fontId="2" fillId="3" borderId="1" pivotButton="0" quotePrefix="0" xfId="0"/>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Sources</author>
  </authors>
  <commentList>
    <comment ref="B3" authorId="0" shapeId="0">
      <text>
        <t>SOURCE: ASXN cloudfront/total_volume summed across every coin (SINGLE-SIDED notional), MINUS the dex-prefixed (HIP-3) coins inside that same feed, so both sides of the subtraction sit on one basis. Cumulative $4.815T, of which $543.0B is HIP-3. Cross-checked against ASXN's own cloudfront/hip3_percentage endpoint, which publishes the total it pairs with HIP-3: the per-coin sum reproduces it exactly (ratio 1.0000). Note ASXN only began tagging dex: coins inside total_volume on 2025-11-27, so the subtraction is zero before then, which is correct - HIP-3 was not in the total feed yet either.</t>
      </text>
    </comment>
    <comment ref="C3" authorId="0" shapeId="0">
      <text>
        <t>SOURCE: ASXN meta/hip3/daily-volume-chart?timeframe=all -&gt; total_volume, covering all 10 deployer DEXs. DATE-REALIGNED: ASXN dates this feed one day early through 2025-11-26 (its 2025-10-12 value is really 2025-10-13's), so those 45 days are shifted +1 to their true dates and the orphaned 2025-11-26 tail is dropped. Verified against HL per-symbol candles (api.hyperliquid.xyz, explicit UTC-midnight timestamps): Oct-2025 matches 100% shifted vs 0% unshifted. The HIP-3 FEES feed is not shifted, so this alignment is also what keeps volume and fees on the same day in the take-rate.</t>
      </text>
    </comment>
    <comment ref="D3" authorId="0" shapeId="0">
      <text>
        <t>SOURCE: ASXN spot-ecosystem/hl-spot-ecosystem -&gt; marketData, SHIFTED BACK ONE DAY (v10 fix: that feed is dated one day late - see the Spot Volume note on the Sources sheet), summing 'Daily Volume' across ALL listed tokens each day (307 listings = the named coins plus the Others bucket). Matches ASXN's own Spot Volume chart on every monthly bar and ties token-by-token to its tooltip. That feed starts 2025-07-16 and skips days inside its own range, so every remaining day is filled from DefiLlama /summary/dexs/hyperliquid-spot-orderbook dailyVolume - AMBER shading with green text marks those. 293 of 632 days are DefiLlama: all of 2024-11-30..2025-07-15 plus ASXN's internal gaps, worst in Oct-2025 (ASXN had 1 day of 31) and Nov-2025 (8 of 30). Months containing filled days therefore do not tie to the ASXN chart; fully-covered months do.</t>
      </text>
    </comment>
    <comment ref="E3" authorId="0" shapeId="0">
      <text>
        <t>SOURCE: Loris /hip4 daily TRADING volume (api.loris.tools/hip4-analytics/dashboard?range=all -&gt; timeseries.volume), full history from mainnet launch 2026-05-02. Restored in v10 after an interim build sourced this from ASXN; ASXN runs ~2.2x higher because its total_volume_usdc behaves like CONTRACT COUNT rather than USDC notional (tested against Hyperliquid outcome-coin candles with trade-count coverage as control: ~1.0x contracts, ~2.0x notional; a binary pair's two legs sum to $1, so contracts ~= 2x notional). EXCLUDES settlement volume, which Loris reports separately ($101.4M to 2026-09-21 vs $343.1M trading) - same basis as v6-v8. Note Loris trading volume includes primary split/merge flow: of $343.1M only $90.6M is standard secondary trading.</t>
      </text>
    </comment>
    <comment ref="F3" authorId="0" shapeId="0">
      <text>
        <t>SOURCE: ASXN categories/hip3-categories/historical -&gt; commodities, taken as given (no pro-rating). ASXN's feed starts 2025-11-27; the 45 days from 2025-10-13 to 2025-11-26 are BACKFILLED (amber) from ASXN's OWN per-symbol category map applied to HL per-symbol volumes. Loris cannot fill this gap - it has no category dimension at all, only a by-DEX split. Backfill validated on the 271-day overlap: every category within 0.15pp of ASXN's published mix.</t>
      </text>
    </comment>
    <comment ref="G3" authorId="0" shapeId="0">
      <text>
        <t>SOURCE: ASXN categories/hip3-categories/historical -&gt; crypto.</t>
      </text>
    </comment>
    <comment ref="H3" authorId="0" shapeId="0">
      <text>
        <t>SOURCE: ASXN categories/hip3-categories/historical -&gt; fx.</t>
      </text>
    </comment>
    <comment ref="I3" authorId="0" shapeId="0">
      <text>
        <t>SOURCE: ASXN categories/hip3-categories/historical -&gt; indices. Includes index and thematic-ETF perps.</t>
      </text>
    </comment>
    <comment ref="J3" authorId="0" shapeId="0">
      <text>
        <t>SOURCE: ASXN categories/hip3-categories/historical -&gt; preipo.</t>
      </text>
    </comment>
    <comment ref="K3" authorId="0" shapeId="0">
      <text>
        <t>SOURCE: ASXN categories/hip3-categories/historical -&gt; stocks, PLUS the ASXN-unclassified symbols judged to be single-name listed equities (index/ETF products go to Indices, private companies to Pre-IPO instead). ASXN's own feed silently drops uncategorised listings - $9.79B (1.86%) over the feed window - which is what made the category sum run ~2.1% below the HIP-3 volume feed; folding them into Equities cuts that residual to about -0.3%. The amounts are overwhelmingly single-name listed equities: SKHY (SK Hynix) $7.54B, CXMT $1.10B, UNITREE $348M, MRNA $274M, GIGADEV, SNDK, CAR and a para: tail, all listed Jun-Aug 2026. CAVEAT FLAGGED: ~$364M of it (3.7%) is leveraged/thematic ETFs (SOXL, KORU, MAGS) that arguably belong in Indices rather than single-name Equities.</t>
      </text>
    </comment>
    <comment ref="L3" authorId="0" shapeId="0">
      <text>
        <t>SOURCE: = sum of the six ASXN categories. NOT forced to equal HIP-3 Perp Vol: ASXN serves categories and HIP-3 volume from separate endpoints with different start dates and they do not reconcile (category sum runs ~2.1% below the volume feed over the 270-day overlap). The gap is exposed in the next column instead of being pro-rated away.</t>
      </text>
    </comment>
    <comment ref="M3" authorId="0" shapeId="0">
      <text>
        <t>SOURCE: = HIP-3 Perp Vol / (raw category sum). The six categories are scaled by this factor each day so they sum EXACTLY to HIP-3 Perp Vol. Shown rather than hidden so the size of the adjustment stays auditable: it sits near 1.00, and the further it strays the more the two ASXN feeds disagreed that day. Two gaps are closed before pro-rating - ASXN-unclassified symbols are routed to a category by judgement, and pre-2025-11-27 days are backfilled from ASXN's own per-symbol map - so the pro-rate is only cleaning up the residual difference between HL per-symbol candle volume and ASXN's HIP-3 volume feed, not papering over a missing category. BEHAVIOUR: across the 270 days where ASXN's own category feed exists the factor is tight - median 1.0024, min 0.918, max 1.365, only 1 day outside 0.80-1.25. It swings hard (0.17 to 8.19) almost only in the 45-day pre-2025-11-27 BACKFILL window, where per-symbol candle coverage is thin and daily volume was $6-450M; 24 of the 25 extreme days sit there. So the early daily category MIX is materially less reliable than the rest, though that window is just $4.3B of $542.8B (0.8%) of HIP-3 volume and barely moves any cumulative figure.</t>
      </text>
    </comment>
    <comment ref="N3" authorId="0" shapeId="0">
      <text>
        <t>SOURCE: ASXN income-statement fees_perp (same value as Core Crypto Perp Revenue - ASXN publishes one protocol-bound perp fee line, not a gross/net pair). ASXN's fee reconstruction starts 2025-08-17; earlier days are filled from DefiLlama hyperliquid-perps dailyFees, AMBER with green text. 27 days remain BLANK and are not fabricated: 2024-11-30..2024-12-22 predate DefiLlama's series (starts 2024-12-23), and DefiLlama itself skips 2025-01-12/13 and 2025-06-08/09. Neither source covers them.</t>
      </text>
    </comment>
    <comment ref="O3" authorId="0" shapeId="0">
      <text>
        <t>SOURCE: DERIVED = HIP-3 Revenue x (1 + HLP Rate) + HIP-3 Deployer Fees. ASXN publishes no gross HIP-3 fee line - only the protocol-bound net (fees_hip3) and the deployer cut - so gross is reconstructed in the one form that makes the bridge below land exactly back on ASXN's own fees_hip3.</t>
      </text>
    </comment>
    <comment ref="P3" authorId="0" shapeId="0">
      <text>
        <t>SOURCE: ASXN-DERIVED gross spot fees = income-statement fees_spot/(1-HLP) + fees_spot_unit. ASXN publishes spot REVENUE (fees_spot, protocol-bound) and the Unit cut, but no gross line, so gross is reconstructed this way specifically so the bridge below reproduces ASXN's fees_spot exactly. AMBER = DefiLlama dailyFees fill for 2024-12-23..2025-08-16, before ASXN's fee reconstruction starts (fees_start_date 2025-08-17). NOTE ASXN runs 15-27% ABOVE DefiLlama on spot revenue in recent months, and the gap is widening, so the join at 2025-08-17 is a genuine step - not smoothed.</t>
      </text>
    </comment>
    <comment ref="Q3" authorId="0" shapeId="0">
      <text>
        <t>SOURCE: Loris /hip4 timeseries.total_fees (trading fees only). Charged on CLOSE / SETTLE at 7bps taker / 4bps maker - opening is free - so the realised take-rate sits far below the nominal schedule. Near-zero at launch, first material day 2026-06-26, then a STEP CHANGE from 2026-08-29 when permissionless third-party deployment went live. EXCLUDES Loris's separately-reported SETTLEMENT fees ($12,146 to 2026-09-21 against $34,212 of trading fees) - same basis as v6-v8, flagged rather than silently widened.</t>
      </text>
    </comment>
    <comment ref="R3" authorId="0" shapeId="0">
      <text>
        <t>SOURCE: = Core + HIP-3 + Spot + HIP-4 gross fees.</t>
      </text>
    </comment>
    <comment ref="S3" authorId="0" shapeId="0">
      <text>
        <t>SOURCE: 1% from 2025-08-30, else 3%. DefiLlama methodology.</t>
      </text>
    </comment>
    <comment ref="T3" authorId="0" shapeId="0">
      <text>
        <t>SOURCE: = Core Fees x HLP. To HLP vault.</t>
      </text>
    </comment>
    <comment ref="U3" authorId="0" shapeId="0">
      <text>
        <t>SOURCE: = (HIP-3 Gross - HIP-3 Deployer) x HLP Rate. Applied to the PROTOCOL share only, not the deployer share - same shape as HLP-on-Spot, which nets off Unit first. IMPORTANT: ASXN publishes NO HLP line anywhere in its income statement, so this cannot be validated against them; their fees_hip3 is already net of it. The gross-up above is calibrated so this deduction cancels exactly and HIP-3 Revenue lands on ASXN fees_hip3.</t>
      </text>
    </comment>
    <comment ref="V3" authorId="0" shapeId="0">
      <text>
        <t>SOURCE: = (Spot Fees - Unit) x HLP. To HLP vault.</t>
      </text>
    </comment>
    <comment ref="W3" authorId="0" shapeId="0">
      <text>
        <t>SOURCE: = HIP-4 Fees x HLP. ASSUMPTION: HIP-4 is assumed to carry the same HLP share as the other segments; Hyperliquid has not published an HIP-4-specific HLP split. Immaterial (&lt;$100 cumulative).</t>
      </text>
    </comment>
    <comment ref="X3" authorId="0" shapeId="0">
      <text>
        <t>SOURCE: ASXN income-statement fees_spot_unit (Hyperunit deployer cut). AMBER = DefiLlama /summary/fees/unit fill before 2025-08-17.</t>
      </text>
    </comment>
    <comment ref="Y3" authorId="0" shapeId="0">
      <text>
        <t>SOURCE: ASXN income-statement fees_hip3_deployer: the share of HIP-3 fees accruing to the third-party DEX deployer, never to the Assistance Fund, so it can never fund a buyback. ASXN derives it per-day from each dex's deployerShare (deployerFeeScale), a primitive you can verify directly at source via a POST to api.hyperliquid.xyz/info with type=meta and dex=xyz. Runs at 47.5-50.0% of gross, consistent with HIP-3's published 50% deployer cap. This field exists only in the JSON - ASXN does not surface it in its UI.</t>
      </text>
    </comment>
    <comment ref="Z3" authorId="0" shapeId="0">
      <text>
        <t>SOURCE: 50% of the fees generated on the HIP-4 venues whose Hyperliquid-side deployerFeeScale is 1.0 - out (Outcome.xyz) and skew. Zero before 2026-08-29 (no third-party venue existed) and zero on txyz and the Hyperliquid-canonical markets, whose deployerFeeScale is unset. DERIVED, NOT SOURCED - amber: no provider publishes an HIP-4 deployer fee line. Was hardcoded ZERO in v6-v10, which the on-chain balances contradict: the out deployer holds $17,090.87 USDC accrued with no incoming transfers since launch, skew $409.60, txyz (scale unset) nothing. 50% is HIP-3's published cap, and HIP-3's realised take runs 47.5-50.0% of gross. Applied to TRADING fees only, matching the HIP-4 Fees column. See the HIP-4 sheet.</t>
      </text>
    </comment>
    <comment ref="AA3" authorId="0" shapeId="0">
      <text>
        <t>SOURCE: = sum of the seven (-) lines above. Gross Fees - Deductions = HyperCore Revenue.</t>
      </text>
    </comment>
    <comment ref="AB3" authorId="0" shapeId="0">
      <text>
        <t>SOURCE: hyperscreener node/builders. ON-TOP pass-through paid by users to front-ends; NOT part of the bridge. NOTE: ASXN revises this series — the 2026-05-21..06-04 overlap came back ~10-25% lower on the 2026-08-19 pull than on the 2026-06-04 pull; the newer values are used.</t>
      </text>
    </comment>
    <comment ref="AC3" authorId="0" shapeId="0">
      <text>
        <t>SOURCE: ASXN income-statement fees_perp, taken as SOURCE (not a residual plug - that was the v5-era method). Filled from DefiLlama hyperliquid-perps dailyRevenue before ASXN's 2025-08-17 start, AMBER with green text; on the 400-day overlap DL runs at a median 0.952x of ASXN, and the join is clean because HIP-3 did not exist until 2025-10-13 so hyperliquid-perps IS core crypto perps across the filled window. 27 days stay blank - see the Core Perp note on the Sources sheet.</t>
      </text>
    </comment>
    <comment ref="AD3" authorId="0" shapeId="0">
      <text>
        <t>SOURCE: = HIP-3 Gross - HIP-3 Deployer - HLP. Reproduces ASXN's own income-statement fees_hip3 EXACTLY ($0.00 cumulative difference over 315 days), by the same construction used for Spot. Deployer fees are excluded because they accrue to the third-party DEX operator and never reach the Assistance Fund.</t>
      </text>
    </comment>
    <comment ref="AE3" authorId="0" shapeId="0">
      <text>
        <t>SOURCE: = Spot Fees - HLP on Spot - Unit.</t>
      </text>
    </comment>
    <comment ref="AF3" authorId="0" shapeId="0">
      <text>
        <t>SOURCE: = HIP-4 Fees - HLP on HIP-4 - HIP-4 Deployer.</t>
      </text>
    </comment>
    <comment ref="AG3" authorId="0" shapeId="0">
      <text>
        <t>SOURCE: = Core + HIP-3 + Spot + HIP-4 revenue.</t>
      </text>
    </comment>
    <comment ref="AH3" authorId="0" shapeId="0">
      <text>
        <t>SOURCE: NORTH STAR. hyperscreener buyback/revenues "HyperCore Buybacks" (actual AF buyback USD) from 2025-03-20 onward; before that the AMBER cells use DefiLlama perp+spot holders-revenue (from 2024-12-23) - corroborated to the AF on-chain HYPE accumulation within 1.3%.</t>
      </text>
    </comment>
    <comment ref="AI3" authorId="0" shapeId="0">
      <text>
        <t>SOURCE: = the accrual segment sum MINUS the buyback (cash) north star. This is NOT a zero-check. Both figures are ASXN's own and they measure different things: the segment lines are fees ACCRUED, while HyperCore Revenue is USD actually spent buying HYPE for the Assistance Fund. The gap is persistent and widening - about +$9.8M in Jun-2026 and +$96.7M (11.9%) cumulatively since 2025-08-17, growing from ~6% in Nov-2025 to ~12% now. Because it grows monotonically it is structural, not a timing lag. Its cause is NOT established: ASXN's unpriced_spot_fee_token_amount is zero throughout, so it is not unconverted token fees. Note ASXN's own JSON revenue and holders_revenue fields both equal the CASH basis, not the accrual sum, even though its income-statement UI displays the accrual one.</t>
      </text>
    </comment>
    <comment ref="AJ3" authorId="0" shapeId="0">
      <text>
        <t>SOURCE: = Core Fees / Core Vol x 10000.</t>
      </text>
    </comment>
    <comment ref="AK3" authorId="0" shapeId="0">
      <text>
        <t>SOURCE: = HIP-3 Gross Fees / HIP-3 Vol x 10000.</t>
      </text>
    </comment>
    <comment ref="AL3" authorId="0" shapeId="0">
      <text>
        <t>SOURCE: = Spot Fees / Spot Vol x 10000.</t>
      </text>
    </comment>
    <comment ref="AM3" authorId="0" shapeId="0">
      <text>
        <t>SOURCE: = HIP-4 Fees / HIP-4 Vol x 10000. 0.33bps blended over the full life ($9,690 on $293.0M) — far below the 7bps taker / 4bps maker spot schedule HIP-4 nominally follows, because fees apply only on close/settle and canonical markets ran effectively fee-free until 2026-06-26.</t>
      </text>
    </comment>
    <comment ref="AN3" authorId="0" shapeId="0">
      <text>
        <t>SOURCE: hyperscreener buyback/revenues "HyperEVM Burn".</t>
      </text>
    </comment>
    <comment ref="AO3" authorId="0" shapeId="0">
      <text>
        <t>SOURCE: hyperscreener buyback/revenues "Auction Burn".</t>
      </text>
    </comment>
    <comment ref="AP3" authorId="0" shapeId="0">
      <text>
        <t>SOURCE: = HyperCore Revenue + HyperEVM Burn + Auction Burn.</t>
      </text>
    </comment>
    <comment ref="AQ3" authorId="0" shapeId="0">
      <text>
        <t>SOURCE: = HyperCore Revenue (100% funds AF buybacks).</t>
      </text>
    </comment>
    <comment ref="AR3" authorId="0" shapeId="0">
      <text>
        <t>SOURCE: hyperscreener buyback/hl-buybacks sz.</t>
      </text>
    </comment>
    <comment ref="AS3" authorId="0" shapeId="0">
      <text>
        <t>SOURCE: hyperscreener buyback/hl-buybacks average_price (quarterly = volume-weighted).</t>
      </text>
    </comment>
    <comment ref="AT3" authorId="0" shapeId="0">
      <text>
        <t>SOURCE: hyperscreener buyback/assistance-fund-holdings balance.</t>
      </text>
    </comment>
    <comment ref="AU3" authorId="0" shapeId="0">
      <text>
        <t>SOURCE: hyperscreener validators/daily-emissions dailyEmission.</t>
      </text>
    </comment>
    <comment ref="AV3" authorId="0" shapeId="0">
      <text>
        <t>SOURCE: hyperscreener buyback/daily-burn dailyBurn.</t>
      </text>
    </comment>
    <comment ref="AW3" authorId="0" shapeId="0">
      <text>
        <t>SOURCE: Core-contributor claims read DIRECTLY ON-CHAIN from the vesting address 0x43e9abea1910387c4292bca4b94de81462f8a251, via the Hyperliquid L1 API (api.hyperliquid.xyz/info, type=userNonFundingLedgerUpdates), summing outgoing HYPE spotTransfers per day. This is a primary source, not a tracker. Verified against tokenomist and Hypurrscan on 2026-08-06: 433,024 vs 433,029, a 5 HYPE display-rounding difference. May-Aug 2026 totals 1,840,655 HYPE across 5 payout dates - note the June distribution split over the 6th and 7th. Amounts are TOTAL outgoing and include a small community portion (about 2,000 HYPE of the August payout). Pre-May-2026 figures remain from the public unlock trackers. SERIES ENDS 2026-04-06 — the tracker was not re-pulled in the 2026-08-19 refresh, and the unlocks are NOT derivable from ASXN data. Cells after 2026-04-06 are deliberately BLANK, not zero.</t>
      </text>
    </comment>
    <comment ref="AX3" authorId="0" shapeId="0">
      <text>
        <t>SOURCE: hyperscreener validators/hype-staking/metrics totalStake.</t>
      </text>
    </comment>
    <comment ref="AY3" authorId="0" shapeId="0">
      <text>
        <t>SOURCE: COMPUTED = Staking Emissions x 365 / (HYPE Staked x 1e6). Annualized network yield from this sheet's own emission &amp; stake columns (NOT ASXN's reported APR). Quarterly = average of daily values.</t>
      </text>
    </comment>
    <comment ref="AZ3" authorId="0" shapeId="0">
      <text>
        <t>SOURCE: hyperscreener validators/daily-emissions currentDayFutureEmission.</t>
      </text>
    </comment>
    <comment ref="BA3" authorId="0" shapeId="0">
      <text>
        <t>SOURCE: 60,429,540 - fixed constant from hypestrat.xyz/hype-tokenomics. NOT an ASXN figure.</t>
      </text>
    </comment>
    <comment ref="BB3" authorId="0" shapeId="0">
      <text>
        <t>SOURCE: hyperscreener AF balance (permanently removed per HL Strategies).</t>
      </text>
    </comment>
    <comment ref="BC3" authorId="0" shapeId="0">
      <text>
        <t>SOURCE: 2,966,562 - fixed constant from hypestrat.xyz/hype-tokenomics. NOT an ASXN figure.</t>
      </text>
    </comment>
    <comment ref="BD3" authorId="0" shapeId="0">
      <text>
        <t>SOURCE: = (1,000,000,000 - ASXN total supply, which counts HyperCore burns ONLY) PLUS cumulative HyperEVM burn converted to HYPE at each day's own ASXN close price. ASXN's buyback/daily-burn feed is internally consistent (totalBurnedToDate = the daily sum = 1bn - currentDaySupply = 1,000,600 HYPE) but tracks HyperCore only, whereas hypestrat.xyz / hypeburn.fun count HyperCore AND HyperEVM (1,350,746 HYPE). Adding the HyperEVM leg (288,667 HYPE) closes ~82% of that gap and is what makes this line basis-comparable. ASSUMPTION FLAGGED: the USD-&gt;HYPE conversion uses daily closes, so this leg is an ASXN-derived estimate, not an on-chain HYPE count.</t>
      </text>
    </comment>
    <comment ref="BE3" authorId="0" shapeId="0">
      <text>
        <t>SOURCE: = 1B - FutureEmissions - HyperFoundation - AF - CommunityGrants - FeeBurns. RECONCILIATION (refresh 2026-09-23): at 2026-09-21 this gives 476,367,255 vs hypestrat.xyz 476,328,293 read live on 2026-09-23 - a +38,962 HYPE (+0.0082%) residual, left visible and NOT forced (+36,975 / +0.008% at v8). It reconciles EXACTLY to three timing/definition items: future emissions +70,611 (model lower OTS), AF -44,417 and fee burns -65,156 (both raising it). AF and future emissions are simply the two days between the model cut-off of 09-21 and hypestrat's live 09-23 read; the fee-burn gap is the standing difference where hypeburn.fun counts slightly more than the ASXN HyperCore feed plus the HyperEVM conversion. Hyper Foundation and Community Grants are taken FROM hypestrat each refresh (60,487,233 / 2,971,663 this time) so they contribute nothing to the residual.</t>
      </text>
    </comment>
    <comment ref="BF3" authorId="0" shapeId="0">
      <text>
        <t>SOURCE: = (238.0M - cumulative on-chain distributions)/1e6. The 238.0M is the DOCUMENTED genesis core-contributor allocation (23.8% of 1bn, per Hyper Foundation's HYPE Genesis post), subject to a 1-year lock from the Nov-2024 genesis event. NOTE hypestrat.xyz reports Core Contributors at 241.396M, which back-solves to a 246.75M genesis figure - 8.75M above the documented 23.8%. That disagreement is unresolved: it may reflect later allocations to contributors out of the future-emissions pool, or a different definition. Flagged rather than reconciled. HELD FLAT from 2026-04-06 (amber) because the unlock tracker was not re-pulled — see Team Tokens Unlocked.</t>
      </text>
    </comment>
    <comment ref="BG3" authorId="0" shapeId="0">
      <text>
        <t>SOURCE: = OTS/1e6 - Core Contributors Locked. Inherits the 2026-04-06 team-unlock cut-off (amber after that date).</t>
      </text>
    </comment>
    <comment ref="BH3" authorId="0" shapeId="0">
      <text>
        <t>SOURCE: = OTS x HYPE price.</t>
      </text>
    </comment>
  </commentList>
</comments>
</file>

<file path=xl/comments/comment2.xml><?xml version="1.0" encoding="utf-8"?>
<comments xmlns="http://schemas.openxmlformats.org/spreadsheetml/2006/main">
  <authors>
    <author>Sources</author>
  </authors>
  <commentList>
    <comment ref="D3" authorId="0" shapeId="0">
      <text>
        <t>SOURCE: ASXN cloudfront/total_volume summed across every coin (SINGLE-SIDED notional), MINUS the dex-prefixed (HIP-3) coins inside that same feed, so both sides of the subtraction sit on one basis. Cumulative $4.815T, of which $543.0B is HIP-3. Cross-checked against ASXN's own cloudfront/hip3_percentage endpoint, which publishes the total it pairs with HIP-3: the per-coin sum reproduces it exactly (ratio 1.0000). Note ASXN only began tagging dex: coins inside total_volume on 2025-11-27, so the subtraction is zero before then, which is correct - HIP-3 was not in the total feed yet either.</t>
      </text>
    </comment>
    <comment ref="E3" authorId="0" shapeId="0">
      <text>
        <t>SOURCE: ASXN meta/hip3/daily-volume-chart?timeframe=all -&gt; total_volume, covering all 10 deployer DEXs. DATE-REALIGNED: ASXN dates this feed one day early through 2025-11-26 (its 2025-10-12 value is really 2025-10-13's), so those 45 days are shifted +1 to their true dates and the orphaned 2025-11-26 tail is dropped. Verified against HL per-symbol candles (api.hyperliquid.xyz, explicit UTC-midnight timestamps): Oct-2025 matches 100% shifted vs 0% unshifted. The HIP-3 FEES feed is not shifted, so this alignment is also what keeps volume and fees on the same day in the take-rate.</t>
      </text>
    </comment>
    <comment ref="F3" authorId="0" shapeId="0">
      <text>
        <t>SOURCE: ASXN spot-ecosystem/hl-spot-ecosystem -&gt; marketData, SHIFTED BACK ONE DAY (v10 fix: that feed is dated one day late - see the Spot Volume note on the Sources sheet), summing 'Daily Volume' across ALL listed tokens each day (307 listings = the named coins plus the Others bucket). Matches ASXN's own Spot Volume chart on every monthly bar and ties token-by-token to its tooltip. That feed starts 2025-07-16 and skips days inside its own range, so every remaining day is filled from DefiLlama /summary/dexs/hyperliquid-spot-orderbook dailyVolume - AMBER shading with green text marks those. 293 of 632 days are DefiLlama: all of 2024-11-30..2025-07-15 plus ASXN's internal gaps, worst in Oct-2025 (ASXN had 1 day of 31) and Nov-2025 (8 of 30). Months containing filled days therefore do not tie to the ASXN chart; fully-covered months do.</t>
      </text>
    </comment>
    <comment ref="G3" authorId="0" shapeId="0">
      <text>
        <t>SOURCE: Loris /hip4 daily TRADING volume (api.loris.tools/hip4-analytics/dashboard?range=all -&gt; timeseries.volume), full history from mainnet launch 2026-05-02. Restored in v10 after an interim build sourced this from ASXN; ASXN runs ~2.2x higher because its total_volume_usdc behaves like CONTRACT COUNT rather than USDC notional (tested against Hyperliquid outcome-coin candles with trade-count coverage as control: ~1.0x contracts, ~2.0x notional; a binary pair's two legs sum to $1, so contracts ~= 2x notional). EXCLUDES settlement volume, which Loris reports separately ($101.4M to 2026-09-21 vs $343.1M trading) - same basis as v6-v8. Note Loris trading volume includes primary split/merge flow: of $343.1M only $90.6M is standard secondary trading.</t>
      </text>
    </comment>
    <comment ref="H3" authorId="0" shapeId="0">
      <text>
        <t>SOURCE: ASXN categories/hip3-categories/historical -&gt; commodities, taken as given (no pro-rating). ASXN's feed starts 2025-11-27; the 45 days from 2025-10-13 to 2025-11-26 are BACKFILLED (amber) from ASXN's OWN per-symbol category map applied to HL per-symbol volumes. Loris cannot fill this gap - it has no category dimension at all, only a by-DEX split. Backfill validated on the 271-day overlap: every category within 0.15pp of ASXN's published mix.</t>
      </text>
    </comment>
    <comment ref="I3" authorId="0" shapeId="0">
      <text>
        <t>SOURCE: ASXN categories/hip3-categories/historical -&gt; crypto.</t>
      </text>
    </comment>
    <comment ref="J3" authorId="0" shapeId="0">
      <text>
        <t>SOURCE: ASXN categories/hip3-categories/historical -&gt; fx.</t>
      </text>
    </comment>
    <comment ref="K3" authorId="0" shapeId="0">
      <text>
        <t>SOURCE: ASXN categories/hip3-categories/historical -&gt; indices. Includes index and thematic-ETF perps.</t>
      </text>
    </comment>
    <comment ref="L3" authorId="0" shapeId="0">
      <text>
        <t>SOURCE: ASXN categories/hip3-categories/historical -&gt; preipo.</t>
      </text>
    </comment>
    <comment ref="M3" authorId="0" shapeId="0">
      <text>
        <t>SOURCE: ASXN categories/hip3-categories/historical -&gt; stocks, PLUS the ASXN-unclassified symbols judged to be single-name listed equities (index/ETF products go to Indices, private companies to Pre-IPO instead). ASXN's own feed silently drops uncategorised listings - $9.79B (1.86%) over the feed window - which is what made the category sum run ~2.1% below the HIP-3 volume feed; folding them into Equities cuts that residual to about -0.3%. The amounts are overwhelmingly single-name listed equities: SKHY (SK Hynix) $7.54B, CXMT $1.10B, UNITREE $348M, MRNA $274M, GIGADEV, SNDK, CAR and a para: tail, all listed Jun-Aug 2026. CAVEAT FLAGGED: ~$364M of it (3.7%) is leveraged/thematic ETFs (SOXL, KORU, MAGS) that arguably belong in Indices rather than single-name Equities.</t>
      </text>
    </comment>
    <comment ref="N3" authorId="0" shapeId="0">
      <text>
        <t>SOURCE: = sum of the six ASXN categories. NOT forced to equal HIP-3 Perp Vol: ASXN serves categories and HIP-3 volume from separate endpoints with different start dates and they do not reconcile (category sum runs ~2.1% below the volume feed over the 270-day overlap). The gap is exposed in the next column instead of being pro-rated away.</t>
      </text>
    </comment>
    <comment ref="O3" authorId="0" shapeId="0">
      <text>
        <t>SOURCE: = HIP-3 Perp Vol / (raw category sum). The six categories are scaled by this factor each day so they sum EXACTLY to HIP-3 Perp Vol. Shown rather than hidden so the size of the adjustment stays auditable: it sits near 1.00, and the further it strays the more the two ASXN feeds disagreed that day. Two gaps are closed before pro-rating - ASXN-unclassified symbols are routed to a category by judgement, and pre-2025-11-27 days are backfilled from ASXN's own per-symbol map - so the pro-rate is only cleaning up the residual difference between HL per-symbol candle volume and ASXN's HIP-3 volume feed, not papering over a missing category. BEHAVIOUR: across the 270 days where ASXN's own category feed exists the factor is tight - median 1.0024, min 0.918, max 1.365, only 1 day outside 0.80-1.25. It swings hard (0.17 to 8.19) almost only in the 45-day pre-2025-11-27 BACKFILL window, where per-symbol candle coverage is thin and daily volume was $6-450M; 24 of the 25 extreme days sit there. So the early daily category MIX is materially less reliable than the rest, though that window is just $4.3B of $542.8B (0.8%) of HIP-3 volume and barely moves any cumulative figure.</t>
      </text>
    </comment>
    <comment ref="P3" authorId="0" shapeId="0">
      <text>
        <t>SOURCE: ASXN income-statement fees_perp (same value as Core Crypto Perp Revenue - ASXN publishes one protocol-bound perp fee line, not a gross/net pair). ASXN's fee reconstruction starts 2025-08-17; earlier days are filled from DefiLlama hyperliquid-perps dailyFees, AMBER with green text. 27 days remain BLANK and are not fabricated: 2024-11-30..2024-12-22 predate DefiLlama's series (starts 2024-12-23), and DefiLlama itself skips 2025-01-12/13 and 2025-06-08/09. Neither source covers them.</t>
      </text>
    </comment>
    <comment ref="Q3" authorId="0" shapeId="0">
      <text>
        <t>SOURCE: DERIVED = HIP-3 Revenue x (1 + HLP Rate) + HIP-3 Deployer Fees. ASXN publishes no gross HIP-3 fee line - only the protocol-bound net (fees_hip3) and the deployer cut - so gross is reconstructed in the one form that makes the bridge below land exactly back on ASXN's own fees_hip3.</t>
      </text>
    </comment>
    <comment ref="R3" authorId="0" shapeId="0">
      <text>
        <t>SOURCE: ASXN-DERIVED gross spot fees = income-statement fees_spot/(1-HLP) + fees_spot_unit. ASXN publishes spot REVENUE (fees_spot, protocol-bound) and the Unit cut, but no gross line, so gross is reconstructed this way specifically so the bridge below reproduces ASXN's fees_spot exactly. AMBER = DefiLlama dailyFees fill for 2024-12-23..2025-08-16, before ASXN's fee reconstruction starts (fees_start_date 2025-08-17). NOTE ASXN runs 15-27% ABOVE DefiLlama on spot revenue in recent months, and the gap is widening, so the join at 2025-08-17 is a genuine step - not smoothed.</t>
      </text>
    </comment>
    <comment ref="S3" authorId="0" shapeId="0">
      <text>
        <t>SOURCE: Loris /hip4 timeseries.total_fees (trading fees only). Charged on CLOSE / SETTLE at 7bps taker / 4bps maker - opening is free - so the realised take-rate sits far below the nominal schedule. Near-zero at launch, first material day 2026-06-26, then a STEP CHANGE from 2026-08-29 when permissionless third-party deployment went live. EXCLUDES Loris's separately-reported SETTLEMENT fees ($12,146 to 2026-09-21 against $34,212 of trading fees) - same basis as v6-v8, flagged rather than silently widened.</t>
      </text>
    </comment>
    <comment ref="T3" authorId="0" shapeId="0">
      <text>
        <t>SOURCE: = Core + HIP-3 + Spot + HIP-4 gross fees.</t>
      </text>
    </comment>
    <comment ref="U3" authorId="0" shapeId="0">
      <text>
        <t>SOURCE: 1% from 2025-08-30, else 3%. DefiLlama methodology.</t>
      </text>
    </comment>
    <comment ref="V3" authorId="0" shapeId="0">
      <text>
        <t>SOURCE: = Core Fees x HLP. To HLP vault.</t>
      </text>
    </comment>
    <comment ref="W3" authorId="0" shapeId="0">
      <text>
        <t>SOURCE: = (HIP-3 Gross - HIP-3 Deployer) x HLP Rate. Applied to the PROTOCOL share only, not the deployer share - same shape as HLP-on-Spot, which nets off Unit first. IMPORTANT: ASXN publishes NO HLP line anywhere in its income statement, so this cannot be validated against them; their fees_hip3 is already net of it. The gross-up above is calibrated so this deduction cancels exactly and HIP-3 Revenue lands on ASXN fees_hip3.</t>
      </text>
    </comment>
    <comment ref="X3" authorId="0" shapeId="0">
      <text>
        <t>SOURCE: = (Spot Fees - Unit) x HLP. To HLP vault.</t>
      </text>
    </comment>
    <comment ref="Y3" authorId="0" shapeId="0">
      <text>
        <t>SOURCE: = HIP-4 Fees x HLP. ASSUMPTION: HIP-4 is assumed to carry the same HLP share as the other segments; Hyperliquid has not published an HIP-4-specific HLP split. Immaterial (&lt;$100 cumulative).</t>
      </text>
    </comment>
    <comment ref="Z3" authorId="0" shapeId="0">
      <text>
        <t>SOURCE: ASXN income-statement fees_spot_unit (Hyperunit deployer cut). AMBER = DefiLlama /summary/fees/unit fill before 2025-08-17.</t>
      </text>
    </comment>
    <comment ref="AA3" authorId="0" shapeId="0">
      <text>
        <t>SOURCE: ASXN income-statement fees_hip3_deployer: the share of HIP-3 fees accruing to the third-party DEX deployer, never to the Assistance Fund, so it can never fund a buyback. ASXN derives it per-day from each dex's deployerShare (deployerFeeScale), a primitive you can verify directly at source via a POST to api.hyperliquid.xyz/info with type=meta and dex=xyz. Runs at 47.5-50.0% of gross, consistent with HIP-3's published 50% deployer cap. This field exists only in the JSON - ASXN does not surface it in its UI.</t>
      </text>
    </comment>
    <comment ref="AB3" authorId="0" shapeId="0">
      <text>
        <t>SOURCE: 50% of the fees generated on the HIP-4 venues whose Hyperliquid-side deployerFeeScale is 1.0 - out (Outcome.xyz) and skew. Zero before 2026-08-29 (no third-party venue existed) and zero on txyz and the Hyperliquid-canonical markets, whose deployerFeeScale is unset. DERIVED, NOT SOURCED - amber: no provider publishes an HIP-4 deployer fee line. Was hardcoded ZERO in v6-v10, which the on-chain balances contradict: the out deployer holds $17,090.87 USDC accrued with no incoming transfers since launch, skew $409.60, txyz (scale unset) nothing. 50% is HIP-3's published cap, and HIP-3's realised take runs 47.5-50.0% of gross. Applied to TRADING fees only, matching the HIP-4 Fees column. See the HIP-4 sheet.</t>
      </text>
    </comment>
    <comment ref="AC3" authorId="0" shapeId="0">
      <text>
        <t>SOURCE: = sum of the seven (-) lines above. Gross Fees - Deductions = HyperCore Revenue.</t>
      </text>
    </comment>
    <comment ref="AD3" authorId="0" shapeId="0">
      <text>
        <t>SOURCE: hyperscreener node/builders. ON-TOP pass-through paid by users to front-ends; NOT part of the bridge. NOTE: ASXN revises this series — the 2026-05-21..06-04 overlap came back ~10-25% lower on the 2026-08-19 pull than on the 2026-06-04 pull; the newer values are used.</t>
      </text>
    </comment>
    <comment ref="AE3" authorId="0" shapeId="0">
      <text>
        <t>SOURCE: ASXN income-statement fees_perp, taken as SOURCE (not a residual plug - that was the v5-era method). Filled from DefiLlama hyperliquid-perps dailyRevenue before ASXN's 2025-08-17 start, AMBER with green text; on the 400-day overlap DL runs at a median 0.952x of ASXN, and the join is clean because HIP-3 did not exist until 2025-10-13 so hyperliquid-perps IS core crypto perps across the filled window. 27 days stay blank - see the Core Perp note on the Sources sheet.</t>
      </text>
    </comment>
    <comment ref="AF3" authorId="0" shapeId="0">
      <text>
        <t>SOURCE: = HIP-3 Gross - HIP-3 Deployer - HLP. Reproduces ASXN's own income-statement fees_hip3 EXACTLY ($0.00 cumulative difference over 315 days), by the same construction used for Spot. Deployer fees are excluded because they accrue to the third-party DEX operator and never reach the Assistance Fund.</t>
      </text>
    </comment>
    <comment ref="AG3" authorId="0" shapeId="0">
      <text>
        <t>SOURCE: = Spot Fees - HLP on Spot - Unit.</t>
      </text>
    </comment>
    <comment ref="AH3" authorId="0" shapeId="0">
      <text>
        <t>SOURCE: = HIP-4 Fees - HLP on HIP-4 - HIP-4 Deployer.</t>
      </text>
    </comment>
    <comment ref="AI3" authorId="0" shapeId="0">
      <text>
        <t>SOURCE: = Core + HIP-3 + Spot + HIP-4 revenue.</t>
      </text>
    </comment>
    <comment ref="AJ3" authorId="0" shapeId="0">
      <text>
        <t>SOURCE: NORTH STAR. hyperscreener buyback/revenues "HyperCore Buybacks" (actual AF buyback USD) from 2025-03-20 onward; before that the AMBER cells use DefiLlama perp+spot holders-revenue (from 2024-12-23) - corroborated to the AF on-chain HYPE accumulation within 1.3%.</t>
      </text>
    </comment>
    <comment ref="AK3" authorId="0" shapeId="0">
      <text>
        <t>SOURCE: = the accrual segment sum MINUS the buyback (cash) north star. This is NOT a zero-check. Both figures are ASXN's own and they measure different things: the segment lines are fees ACCRUED, while HyperCore Revenue is USD actually spent buying HYPE for the Assistance Fund. The gap is persistent and widening - about +$9.8M in Jun-2026 and +$96.7M (11.9%) cumulatively since 2025-08-17, growing from ~6% in Nov-2025 to ~12% now. Because it grows monotonically it is structural, not a timing lag. Its cause is NOT established: ASXN's unpriced_spot_fee_token_amount is zero throughout, so it is not unconverted token fees. Note ASXN's own JSON revenue and holders_revenue fields both equal the CASH basis, not the accrual sum, even though its income-statement UI displays the accrual one.</t>
      </text>
    </comment>
    <comment ref="AL3" authorId="0" shapeId="0">
      <text>
        <t>SOURCE: = Core Fees / Core Vol x 10000.</t>
      </text>
    </comment>
    <comment ref="AM3" authorId="0" shapeId="0">
      <text>
        <t>SOURCE: = HIP-3 Gross Fees / HIP-3 Vol x 10000.</t>
      </text>
    </comment>
    <comment ref="AN3" authorId="0" shapeId="0">
      <text>
        <t>SOURCE: = Spot Fees / Spot Vol x 10000.</t>
      </text>
    </comment>
    <comment ref="AO3" authorId="0" shapeId="0">
      <text>
        <t>SOURCE: = HIP-4 Fees / HIP-4 Vol x 10000. 0.33bps blended over the full life ($9,690 on $293.0M) — far below the 7bps taker / 4bps maker spot schedule HIP-4 nominally follows, because fees apply only on close/settle and canonical markets ran effectively fee-free until 2026-06-26.</t>
      </text>
    </comment>
    <comment ref="AP3" authorId="0" shapeId="0">
      <text>
        <t>SOURCE: hyperscreener buyback/revenues "HyperEVM Burn".</t>
      </text>
    </comment>
    <comment ref="AQ3" authorId="0" shapeId="0">
      <text>
        <t>SOURCE: hyperscreener buyback/revenues "Auction Burn".</t>
      </text>
    </comment>
    <comment ref="AR3" authorId="0" shapeId="0">
      <text>
        <t>SOURCE: = HyperCore Revenue + HyperEVM Burn + Auction Burn.</t>
      </text>
    </comment>
    <comment ref="AS3" authorId="0" shapeId="0">
      <text>
        <t>SOURCE: = HyperCore Revenue (100% funds AF buybacks).</t>
      </text>
    </comment>
    <comment ref="AT3" authorId="0" shapeId="0">
      <text>
        <t>SOURCE: hyperscreener buyback/hl-buybacks sz.</t>
      </text>
    </comment>
    <comment ref="AU3" authorId="0" shapeId="0">
      <text>
        <t>SOURCE: hyperscreener buyback/hl-buybacks average_price (quarterly = volume-weighted).</t>
      </text>
    </comment>
    <comment ref="AV3" authorId="0" shapeId="0">
      <text>
        <t>SOURCE: hyperscreener buyback/assistance-fund-holdings balance.</t>
      </text>
    </comment>
    <comment ref="AW3" authorId="0" shapeId="0">
      <text>
        <t>SOURCE: hyperscreener validators/daily-emissions dailyEmission.</t>
      </text>
    </comment>
    <comment ref="AX3" authorId="0" shapeId="0">
      <text>
        <t>SOURCE: hyperscreener buyback/daily-burn dailyBurn.</t>
      </text>
    </comment>
    <comment ref="AY3" authorId="0" shapeId="0">
      <text>
        <t>SOURCE: Core-contributor claims read DIRECTLY ON-CHAIN from the vesting address 0x43e9abea1910387c4292bca4b94de81462f8a251, via the Hyperliquid L1 API (api.hyperliquid.xyz/info, type=userNonFundingLedgerUpdates), summing outgoing HYPE spotTransfers per day. This is a primary source, not a tracker. Verified against tokenomist and Hypurrscan on 2026-08-06: 433,024 vs 433,029, a 5 HYPE display-rounding difference. May-Aug 2026 totals 1,840,655 HYPE across 5 payout dates - note the June distribution split over the 6th and 7th. Amounts are TOTAL outgoing and include a small community portion (about 2,000 HYPE of the August payout). Pre-May-2026 figures remain from the public unlock trackers. SERIES ENDS 2026-04-06 — the tracker was not re-pulled in the 2026-08-19 refresh, and the unlocks are NOT derivable from ASXN data. Cells after 2026-04-06 are deliberately BLANK, not zero.</t>
      </text>
    </comment>
    <comment ref="AZ3" authorId="0" shapeId="0">
      <text>
        <t>SOURCE: hyperscreener validators/hype-staking/metrics totalStake.</t>
      </text>
    </comment>
    <comment ref="BA3" authorId="0" shapeId="0">
      <text>
        <t>SOURCE: COMPUTED = Staking Emissions x 365 / (HYPE Staked x 1e6). Annualized network yield from this sheet's own emission &amp; stake columns (NOT ASXN's reported APR). Quarterly = average of daily values.</t>
      </text>
    </comment>
    <comment ref="BB3" authorId="0" shapeId="0">
      <text>
        <t>SOURCE: hyperscreener validators/daily-emissions currentDayFutureEmission.</t>
      </text>
    </comment>
    <comment ref="BC3" authorId="0" shapeId="0">
      <text>
        <t>SOURCE: 60,429,540 - fixed constant from hypestrat.xyz/hype-tokenomics. NOT an ASXN figure.</t>
      </text>
    </comment>
    <comment ref="BD3" authorId="0" shapeId="0">
      <text>
        <t>SOURCE: hyperscreener AF balance (permanently removed per HL Strategies).</t>
      </text>
    </comment>
    <comment ref="BE3" authorId="0" shapeId="0">
      <text>
        <t>SOURCE: 2,966,562 - fixed constant from hypestrat.xyz/hype-tokenomics. NOT an ASXN figure.</t>
      </text>
    </comment>
    <comment ref="BF3" authorId="0" shapeId="0">
      <text>
        <t>SOURCE: = (1,000,000,000 - ASXN total supply, which counts HyperCore burns ONLY) PLUS cumulative HyperEVM burn converted to HYPE at each day's own ASXN close price. ASXN's buyback/daily-burn feed is internally consistent (totalBurnedToDate = the daily sum = 1bn - currentDaySupply = 1,000,600 HYPE) but tracks HyperCore only, whereas hypestrat.xyz / hypeburn.fun count HyperCore AND HyperEVM (1,350,746 HYPE). Adding the HyperEVM leg (288,667 HYPE) closes ~82% of that gap and is what makes this line basis-comparable. ASSUMPTION FLAGGED: the USD-&gt;HYPE conversion uses daily closes, so this leg is an ASXN-derived estimate, not an on-chain HYPE count.</t>
      </text>
    </comment>
    <comment ref="BG3" authorId="0" shapeId="0">
      <text>
        <t>SOURCE: = 1B - FutureEmissions - HyperFoundation - AF - CommunityGrants - FeeBurns. RECONCILIATION (refresh 2026-09-23): at 2026-09-21 this gives 476,367,255 vs hypestrat.xyz 476,328,293 read live on 2026-09-23 - a +38,962 HYPE (+0.0082%) residual, left visible and NOT forced (+36,975 / +0.008% at v8). It reconciles EXACTLY to three timing/definition items: future emissions +70,611 (model lower OTS), AF -44,417 and fee burns -65,156 (both raising it). AF and future emissions are simply the two days between the model cut-off of 09-21 and hypestrat's live 09-23 read; the fee-burn gap is the standing difference where hypeburn.fun counts slightly more than the ASXN HyperCore feed plus the HyperEVM conversion. Hyper Foundation and Community Grants are taken FROM hypestrat each refresh (60,487,233 / 2,971,663 this time) so they contribute nothing to the residual.</t>
      </text>
    </comment>
    <comment ref="BH3" authorId="0" shapeId="0">
      <text>
        <t>SOURCE: = (238.0M - cumulative on-chain distributions)/1e6. The 238.0M is the DOCUMENTED genesis core-contributor allocation (23.8% of 1bn, per Hyper Foundation's HYPE Genesis post), subject to a 1-year lock from the Nov-2024 genesis event. NOTE hypestrat.xyz reports Core Contributors at 241.396M, which back-solves to a 246.75M genesis figure - 8.75M above the documented 23.8%. That disagreement is unresolved: it may reflect later allocations to contributors out of the future-emissions pool, or a different definition. Flagged rather than reconciled. HELD FLAT from 2026-04-06 (amber) because the unlock tracker was not re-pulled — see Team Tokens Unlocked.</t>
      </text>
    </comment>
    <comment ref="BI3" authorId="0" shapeId="0">
      <text>
        <t>SOURCE: = OTS/1e6 - Core Contributors Locked. Inherits the 2026-04-06 team-unlock cut-off (amber after that date).</t>
      </text>
    </comment>
    <comment ref="BJ3" authorId="0" shapeId="0">
      <text>
        <t>SOURCE: = OTS x HYPE price.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H66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s>
  <sheetData>
    <row r="1" ht="52" customHeight="1">
      <c r="A1" s="1" t="inlineStr">
        <is>
          <t>HYPERLIQUID (HYPE) — DAILY MODEL.  Volumes -&gt; Gross Fees -&gt; Fee→Revenue bridge (−HLP, −Unit, −HIP-3/HIP-4 deployer; builder is on-top) -&gt; Revenue per segment (sum = HyperCore = hyperscreener) -&gt; + HyperEVM + Auction = Total Revenue.  Then AF/supply &amp; OTS.  Daily 2024-11-30 → 2026-09-21.  Hover headers for source.  blue=ASXN/primary source · black=formula · green=derived, cross-check or SECONDARY-SOURCE fill · amber shading=NOT ASXN (spot volume: DefiLlama fill; revenue: DefiLlama pre-2025-03-20; categories: pre-2025-11-27 backfill) (revenue: DefiLlama pre-2025-03-20; team unlocks &amp; the two supply-split columns: held flat after 2026-09-06).</t>
        </is>
      </c>
    </row>
    <row r="2" ht="14" customHeight="1">
      <c r="B2" s="2" t="inlineStr">
        <is>
          <t>VOLUME ($)</t>
        </is>
      </c>
      <c r="F2" s="3" t="inlineStr">
        <is>
          <t>HIP-3 VOLUME BY CATEGORY ($)</t>
        </is>
      </c>
      <c r="N2" s="4" t="inlineStr">
        <is>
          <t>GROSS FEES ($)  [user-paid]</t>
        </is>
      </c>
      <c r="S2" s="5" t="inlineStr">
        <is>
          <t>FEE → REVENUE BRIDGE  [deductions, $]</t>
        </is>
      </c>
      <c r="AC2" s="6" t="inlineStr">
        <is>
          <t>REVENUE TO HYPERCORE ($)</t>
        </is>
      </c>
      <c r="AJ2" s="5" t="inlineStr">
        <is>
          <t>IMPLIED TAKE-RATE (bps)</t>
        </is>
      </c>
      <c r="AN2" s="7" t="inlineStr">
        <is>
          <t>OTHER REVENUE ($)</t>
        </is>
      </c>
      <c r="AQ2" s="2" t="inlineStr">
        <is>
          <t>ASSISTANCE FUND &amp; SUPPLY</t>
        </is>
      </c>
      <c r="AZ2" s="3" t="inlineStr">
        <is>
          <t>OTS (Hyperliquid Strategies basis)</t>
        </is>
      </c>
    </row>
    <row r="3" ht="62" customHeight="1">
      <c r="A3" s="8" t="inlineStr">
        <is>
          <t>Date</t>
        </is>
      </c>
      <c r="B3" s="9" t="inlineStr">
        <is>
          <t>Core Crypto Perp Vol ($)</t>
        </is>
      </c>
      <c r="C3" s="9" t="inlineStr">
        <is>
          <t>HIP-3 Perp Vol ($)</t>
        </is>
      </c>
      <c r="D3" s="9" t="inlineStr">
        <is>
          <t>Spot Vol ($)</t>
        </is>
      </c>
      <c r="E3" s="9" t="inlineStr">
        <is>
          <t>HIP-4 Vol ($)</t>
        </is>
      </c>
      <c r="F3" s="9" t="inlineStr">
        <is>
          <t>HIP-3 Commodities ($)</t>
        </is>
      </c>
      <c r="G3" s="9" t="inlineStr">
        <is>
          <t>HIP-3 Crypto ($)</t>
        </is>
      </c>
      <c r="H3" s="9" t="inlineStr">
        <is>
          <t>HIP-3 FX ($)</t>
        </is>
      </c>
      <c r="I3" s="9" t="inlineStr">
        <is>
          <t>HIP-3 Indices ($)</t>
        </is>
      </c>
      <c r="J3" s="9" t="inlineStr">
        <is>
          <t>HIP-3 Pre-IPO ($)</t>
        </is>
      </c>
      <c r="K3" s="9" t="inlineStr">
        <is>
          <t>HIP-3 Equities ($)</t>
        </is>
      </c>
      <c r="L3" s="9" t="inlineStr">
        <is>
          <t>HIP-3 Cat Total ($)</t>
        </is>
      </c>
      <c r="M3" s="9" t="inlineStr">
        <is>
          <t>Pro-rate Factor Applied</t>
        </is>
      </c>
      <c r="N3" s="9" t="inlineStr">
        <is>
          <t>Core Crypto Perp Fees ($)</t>
        </is>
      </c>
      <c r="O3" s="9" t="inlineStr">
        <is>
          <t>HIP-3 Gross Fees ($)</t>
        </is>
      </c>
      <c r="P3" s="9" t="inlineStr">
        <is>
          <t>Spot Fees incl Unit ($)</t>
        </is>
      </c>
      <c r="Q3" s="9" t="inlineStr">
        <is>
          <t>HIP-4 Fees ($)</t>
        </is>
      </c>
      <c r="R3" s="9" t="inlineStr">
        <is>
          <t>Total Gross Fees ($)</t>
        </is>
      </c>
      <c r="S3" s="9" t="inlineStr">
        <is>
          <t>HLP Rate</t>
        </is>
      </c>
      <c r="T3" s="9" t="inlineStr">
        <is>
          <t>(-) HLP on Core Perp ($)</t>
        </is>
      </c>
      <c r="U3" s="9" t="inlineStr">
        <is>
          <t>(-) HLP on HIP-3 ($)</t>
        </is>
      </c>
      <c r="V3" s="9" t="inlineStr">
        <is>
          <t>(-) HLP on Spot ($)</t>
        </is>
      </c>
      <c r="W3" s="9" t="inlineStr">
        <is>
          <t>(-) HLP on HIP-4 ($)</t>
        </is>
      </c>
      <c r="X3" s="9" t="inlineStr">
        <is>
          <t>(-) Unit Protocol Fees ($)</t>
        </is>
      </c>
      <c r="Y3" s="9" t="inlineStr">
        <is>
          <t>(-) HIP-3 Deployer Fees ($)</t>
        </is>
      </c>
      <c r="Z3" s="9" t="inlineStr">
        <is>
          <t>(-) HIP-4 Deployer Fees ($)</t>
        </is>
      </c>
      <c r="AA3" s="9" t="inlineStr">
        <is>
          <t>Total Deductions ($)</t>
        </is>
      </c>
      <c r="AB3" s="9" t="inlineStr">
        <is>
          <t>Builder Code Fees [on-top, not deducted] ($)</t>
        </is>
      </c>
      <c r="AC3" s="9" t="inlineStr">
        <is>
          <t>Core Crypto Perp Revenue ($)</t>
        </is>
      </c>
      <c r="AD3" s="9" t="inlineStr">
        <is>
          <t>HIP-3 Revenue ($)</t>
        </is>
      </c>
      <c r="AE3" s="9" t="inlineStr">
        <is>
          <t>Spot Revenue ($)</t>
        </is>
      </c>
      <c r="AF3" s="9" t="inlineStr">
        <is>
          <t>HIP-4 Revenue ($)</t>
        </is>
      </c>
      <c r="AG3" s="9" t="inlineStr">
        <is>
          <t>= HyperCore Revenue (model) ($)</t>
        </is>
      </c>
      <c r="AH3" s="9" t="inlineStr">
        <is>
          <t>HyperCore Revenue ($)</t>
        </is>
      </c>
      <c r="AI3" s="9" t="inlineStr">
        <is>
          <t>Accrual less Buyback ($)</t>
        </is>
      </c>
      <c r="AJ3" s="9" t="inlineStr">
        <is>
          <t>Core Perp Take-Rate (bps)</t>
        </is>
      </c>
      <c r="AK3" s="9" t="inlineStr">
        <is>
          <t>HIP-3 Take-Rate (bps)</t>
        </is>
      </c>
      <c r="AL3" s="9" t="inlineStr">
        <is>
          <t>Spot Take-Rate (bps)</t>
        </is>
      </c>
      <c r="AM3" s="9" t="inlineStr">
        <is>
          <t>HIP-4 Take-Rate (bps)</t>
        </is>
      </c>
      <c r="AN3" s="9" t="inlineStr">
        <is>
          <t>HyperEVM Burn ($)</t>
        </is>
      </c>
      <c r="AO3" s="9" t="inlineStr">
        <is>
          <t>Auction Burn ($)</t>
        </is>
      </c>
      <c r="AP3" s="9" t="inlineStr">
        <is>
          <t>Total Revenue ($)</t>
        </is>
      </c>
      <c r="AQ3" s="9" t="inlineStr">
        <is>
          <t>Revenue -&gt; AF ($)</t>
        </is>
      </c>
      <c r="AR3" s="9" t="inlineStr">
        <is>
          <t>Buyback HYPE</t>
        </is>
      </c>
      <c r="AS3" s="9" t="inlineStr">
        <is>
          <t>Buyback Avg Price ($)</t>
        </is>
      </c>
      <c r="AT3" s="9" t="inlineStr">
        <is>
          <t>AF HYPE Balance</t>
        </is>
      </c>
      <c r="AU3" s="9" t="inlineStr">
        <is>
          <t>Staking Emissions (HYPE)</t>
        </is>
      </c>
      <c r="AV3" s="9" t="inlineStr">
        <is>
          <t>Fee Burn (HYPE)</t>
        </is>
      </c>
      <c r="AW3" s="9" t="inlineStr">
        <is>
          <t>Team Tokens Unlocked (HYPE)</t>
        </is>
      </c>
      <c r="AX3" s="9" t="inlineStr">
        <is>
          <t>HYPE Staked (M)</t>
        </is>
      </c>
      <c r="AY3" s="9" t="inlineStr">
        <is>
          <t>Implied Staking Yield</t>
        </is>
      </c>
      <c r="AZ3" s="9" t="inlineStr">
        <is>
          <t>(-) Future Emissions &amp; CR (HYPE)</t>
        </is>
      </c>
      <c r="BA3" s="9" t="inlineStr">
        <is>
          <t>(-) Hyper Foundation (HYPE)</t>
        </is>
      </c>
      <c r="BB3" s="9" t="inlineStr">
        <is>
          <t>(-) Assistance Fund (HYPE)</t>
        </is>
      </c>
      <c r="BC3" s="9" t="inlineStr">
        <is>
          <t>(-) Community Grants (HYPE)</t>
        </is>
      </c>
      <c r="BD3" s="9" t="inlineStr">
        <is>
          <t>(-) HC&amp;EVM Fee Burns (HYPE)</t>
        </is>
      </c>
      <c r="BE3" s="9" t="inlineStr">
        <is>
          <t>= OTS (HYPE)</t>
        </is>
      </c>
      <c r="BF3" s="9" t="inlineStr">
        <is>
          <t>Core Contributors Locked (M)</t>
        </is>
      </c>
      <c r="BG3" s="9" t="inlineStr">
        <is>
          <t>Circulating Token Supply (M)</t>
        </is>
      </c>
      <c r="BH3" s="9" t="inlineStr">
        <is>
          <t>OTS Value ($)</t>
        </is>
      </c>
    </row>
    <row r="4">
      <c r="A4" s="10" t="n">
        <v>45626</v>
      </c>
      <c r="B4" s="11" t="n">
        <v>1927839627</v>
      </c>
      <c r="C4" s="11" t="n"/>
      <c r="D4" s="12" t="n">
        <v>460835741</v>
      </c>
      <c r="E4" s="11" t="n"/>
      <c r="O4" s="11" t="n"/>
      <c r="P4" s="11" t="n"/>
      <c r="Q4" s="11" t="n"/>
      <c r="S4" s="13" t="n">
        <v>0.03</v>
      </c>
      <c r="X4" s="11" t="n"/>
      <c r="Y4" s="11" t="n"/>
      <c r="Z4" s="11" t="n"/>
      <c r="AB4" s="11" t="n"/>
      <c r="AH4" s="11" t="n"/>
      <c r="AJ4" s="14">
        <f>IF(OR(B4="",B4=0,N4=""),"",N4/B4*10000)</f>
        <v/>
      </c>
      <c r="AK4" s="14">
        <f>IF(OR(C4="",C4=0),"",O4/C4*10000)</f>
        <v/>
      </c>
      <c r="AL4" s="14">
        <f>IF(OR(D4="",D4=0),"",P4/D4*10000)</f>
        <v/>
      </c>
      <c r="AM4" s="14">
        <f>IF(OR(E4="",E4=0),"",Q4/E4*10000)</f>
        <v/>
      </c>
      <c r="AN4" s="11" t="n"/>
      <c r="AO4" s="11" t="n"/>
      <c r="AT4" s="15" t="n">
        <v>8714980.24</v>
      </c>
      <c r="AU4" s="15" t="n">
        <v>0</v>
      </c>
      <c r="AV4" s="15" t="n">
        <v>32364.464</v>
      </c>
      <c r="AW4" s="15" t="n"/>
      <c r="AX4" s="16" t="n"/>
      <c r="AY4" s="13">
        <f>IF(OR(AX4="",AX4=0,AU4=""),"",AU4*365/(AX4*1000000))</f>
        <v/>
      </c>
      <c r="AZ4" s="15" t="n">
        <v>0</v>
      </c>
      <c r="BA4" s="17" t="n">
        <v>60487233</v>
      </c>
      <c r="BB4" s="18" t="n">
        <v>8714980.24</v>
      </c>
      <c r="BC4" s="17" t="n">
        <v>2971663</v>
      </c>
      <c r="BD4" s="17">
        <f>1000000000-999967635.536+0.0000</f>
        <v/>
      </c>
      <c r="BE4" s="19">
        <f>1000000000-AZ4-BA4-BB4-BC4-BD4</f>
        <v/>
      </c>
      <c r="BF4" s="20" t="n">
        <v>238</v>
      </c>
      <c r="BG4" s="20">
        <f>BE4/1000000-BF4</f>
        <v/>
      </c>
      <c r="BH4" s="21">
        <f>BE4*8.64</f>
        <v/>
      </c>
    </row>
    <row r="5">
      <c r="A5" s="10" t="n">
        <v>45627</v>
      </c>
      <c r="B5" s="11" t="n">
        <v>2230952304</v>
      </c>
      <c r="C5" s="11" t="n"/>
      <c r="D5" s="12" t="n">
        <v>382137710</v>
      </c>
      <c r="E5" s="11" t="n"/>
      <c r="O5" s="11" t="n"/>
      <c r="P5" s="11" t="n"/>
      <c r="Q5" s="11" t="n"/>
      <c r="S5" s="13" t="n">
        <v>0.03</v>
      </c>
      <c r="X5" s="11" t="n"/>
      <c r="Y5" s="11" t="n"/>
      <c r="Z5" s="11" t="n"/>
      <c r="AB5" s="11" t="n"/>
      <c r="AH5" s="11" t="n"/>
      <c r="AJ5" s="14">
        <f>IF(OR(B5="",B5=0,N5=""),"",N5/B5*10000)</f>
        <v/>
      </c>
      <c r="AK5" s="14">
        <f>IF(OR(C5="",C5=0),"",O5/C5*10000)</f>
        <v/>
      </c>
      <c r="AL5" s="14">
        <f>IF(OR(D5="",D5=0),"",P5/D5*10000)</f>
        <v/>
      </c>
      <c r="AM5" s="14">
        <f>IF(OR(E5="",E5=0),"",Q5/E5*10000)</f>
        <v/>
      </c>
      <c r="AN5" s="11" t="n"/>
      <c r="AO5" s="11" t="n"/>
      <c r="AT5" s="15" t="n">
        <v>9336088.43</v>
      </c>
      <c r="AU5" s="15" t="n">
        <v>0</v>
      </c>
      <c r="AV5" s="15" t="n">
        <v>10604.896</v>
      </c>
      <c r="AW5" s="15" t="n"/>
      <c r="AX5" s="16" t="n"/>
      <c r="AY5" s="13">
        <f>IF(OR(AX5="",AX5=0,AU5=""),"",AU5*365/(AX5*1000000))</f>
        <v/>
      </c>
      <c r="AZ5" s="15" t="n">
        <v>0</v>
      </c>
      <c r="BA5" s="17" t="n">
        <v>60487233</v>
      </c>
      <c r="BB5" s="18" t="n">
        <v>9336088.43</v>
      </c>
      <c r="BC5" s="17" t="n">
        <v>2971663</v>
      </c>
      <c r="BD5" s="17">
        <f>1000000000-999957030.64+0.0000</f>
        <v/>
      </c>
      <c r="BE5" s="19">
        <f>1000000000-AZ5-BA5-BB5-BC5-BD5</f>
        <v/>
      </c>
      <c r="BF5" s="20" t="n">
        <v>238</v>
      </c>
      <c r="BG5" s="20">
        <f>BE5/1000000-BF5</f>
        <v/>
      </c>
      <c r="BH5" s="21">
        <f>BE5*8.9</f>
        <v/>
      </c>
    </row>
    <row r="6">
      <c r="A6" s="10" t="n">
        <v>45628</v>
      </c>
      <c r="B6" s="11" t="n">
        <v>5333125841</v>
      </c>
      <c r="C6" s="11" t="n"/>
      <c r="D6" s="12" t="n">
        <v>320571512</v>
      </c>
      <c r="E6" s="11" t="n"/>
      <c r="O6" s="11" t="n"/>
      <c r="P6" s="11" t="n"/>
      <c r="Q6" s="11" t="n"/>
      <c r="S6" s="13" t="n">
        <v>0.03</v>
      </c>
      <c r="X6" s="11" t="n"/>
      <c r="Y6" s="11" t="n"/>
      <c r="Z6" s="11" t="n"/>
      <c r="AB6" s="11" t="n"/>
      <c r="AH6" s="11" t="n"/>
      <c r="AJ6" s="14">
        <f>IF(OR(B6="",B6=0,N6=""),"",N6/B6*10000)</f>
        <v/>
      </c>
      <c r="AK6" s="14">
        <f>IF(OR(C6="",C6=0),"",O6/C6*10000)</f>
        <v/>
      </c>
      <c r="AL6" s="14">
        <f>IF(OR(D6="",D6=0),"",P6/D6*10000)</f>
        <v/>
      </c>
      <c r="AM6" s="14">
        <f>IF(OR(E6="",E6=0),"",Q6/E6*10000)</f>
        <v/>
      </c>
      <c r="AN6" s="11" t="n"/>
      <c r="AO6" s="11" t="n"/>
      <c r="AT6" s="15" t="n">
        <v>9336088.43</v>
      </c>
      <c r="AU6" s="15" t="n">
        <v>0</v>
      </c>
      <c r="AV6" s="15" t="n">
        <v>2916.6523</v>
      </c>
      <c r="AW6" s="15" t="n"/>
      <c r="AX6" s="16" t="n"/>
      <c r="AY6" s="13">
        <f>IF(OR(AX6="",AX6=0,AU6=""),"",AU6*365/(AX6*1000000))</f>
        <v/>
      </c>
      <c r="AZ6" s="15" t="n">
        <v>0</v>
      </c>
      <c r="BA6" s="17" t="n">
        <v>60487233</v>
      </c>
      <c r="BB6" s="18" t="n">
        <v>9336088.43</v>
      </c>
      <c r="BC6" s="17" t="n">
        <v>2971663</v>
      </c>
      <c r="BD6" s="17">
        <f>1000000000-999954113.9877+0.0000</f>
        <v/>
      </c>
      <c r="BE6" s="19">
        <f>1000000000-AZ6-BA6-BB6-BC6-BD6</f>
        <v/>
      </c>
      <c r="BF6" s="20" t="n">
        <v>238</v>
      </c>
      <c r="BG6" s="20">
        <f>BE6/1000000-BF6</f>
        <v/>
      </c>
      <c r="BH6" s="21">
        <f>BE6*8.66</f>
        <v/>
      </c>
    </row>
    <row r="7">
      <c r="A7" s="10" t="n">
        <v>45629</v>
      </c>
      <c r="B7" s="11" t="n">
        <v>4881981857</v>
      </c>
      <c r="C7" s="11" t="n"/>
      <c r="D7" s="12" t="n">
        <v>302890343</v>
      </c>
      <c r="E7" s="11" t="n"/>
      <c r="O7" s="11" t="n"/>
      <c r="P7" s="11" t="n"/>
      <c r="Q7" s="11" t="n"/>
      <c r="S7" s="13" t="n">
        <v>0.03</v>
      </c>
      <c r="X7" s="11" t="n"/>
      <c r="Y7" s="11" t="n"/>
      <c r="Z7" s="11" t="n"/>
      <c r="AB7" s="11" t="n"/>
      <c r="AH7" s="11" t="n"/>
      <c r="AJ7" s="14">
        <f>IF(OR(B7="",B7=0,N7=""),"",N7/B7*10000)</f>
        <v/>
      </c>
      <c r="AK7" s="14">
        <f>IF(OR(C7="",C7=0),"",O7/C7*10000)</f>
        <v/>
      </c>
      <c r="AL7" s="14">
        <f>IF(OR(D7="",D7=0),"",P7/D7*10000)</f>
        <v/>
      </c>
      <c r="AM7" s="14">
        <f>IF(OR(E7="",E7=0),"",Q7/E7*10000)</f>
        <v/>
      </c>
      <c r="AN7" s="11" t="n"/>
      <c r="AO7" s="11" t="n"/>
      <c r="AT7" s="15" t="n">
        <v>9933598.07</v>
      </c>
      <c r="AU7" s="15" t="n">
        <v>0</v>
      </c>
      <c r="AV7" s="15" t="n">
        <v>3632.1998</v>
      </c>
      <c r="AW7" s="15" t="n"/>
      <c r="AX7" s="16" t="n"/>
      <c r="AY7" s="13">
        <f>IF(OR(AX7="",AX7=0,AU7=""),"",AU7*365/(AX7*1000000))</f>
        <v/>
      </c>
      <c r="AZ7" s="15" t="n">
        <v>0</v>
      </c>
      <c r="BA7" s="17" t="n">
        <v>60487233</v>
      </c>
      <c r="BB7" s="18" t="n">
        <v>9933598.07</v>
      </c>
      <c r="BC7" s="17" t="n">
        <v>2971663</v>
      </c>
      <c r="BD7" s="17">
        <f>1000000000-999950481.7879+0.0000</f>
        <v/>
      </c>
      <c r="BE7" s="19">
        <f>1000000000-AZ7-BA7-BB7-BC7-BD7</f>
        <v/>
      </c>
      <c r="BF7" s="20" t="n">
        <v>238</v>
      </c>
      <c r="BG7" s="20">
        <f>BE7/1000000-BF7</f>
        <v/>
      </c>
      <c r="BH7" s="21">
        <f>BE7*8.96</f>
        <v/>
      </c>
    </row>
    <row r="8">
      <c r="A8" s="10" t="n">
        <v>45630</v>
      </c>
      <c r="B8" s="11" t="n">
        <v>6225918535</v>
      </c>
      <c r="C8" s="11" t="n"/>
      <c r="D8" s="12" t="n">
        <v>318696984</v>
      </c>
      <c r="E8" s="11" t="n"/>
      <c r="O8" s="11" t="n"/>
      <c r="P8" s="11" t="n"/>
      <c r="Q8" s="11" t="n"/>
      <c r="S8" s="13" t="n">
        <v>0.03</v>
      </c>
      <c r="X8" s="11" t="n"/>
      <c r="Y8" s="11" t="n"/>
      <c r="Z8" s="11" t="n"/>
      <c r="AB8" s="11" t="n"/>
      <c r="AH8" s="11" t="n"/>
      <c r="AJ8" s="14">
        <f>IF(OR(B8="",B8=0,N8=""),"",N8/B8*10000)</f>
        <v/>
      </c>
      <c r="AK8" s="14">
        <f>IF(OR(C8="",C8=0),"",O8/C8*10000)</f>
        <v/>
      </c>
      <c r="AL8" s="14">
        <f>IF(OR(D8="",D8=0),"",P8/D8*10000)</f>
        <v/>
      </c>
      <c r="AM8" s="14">
        <f>IF(OR(E8="",E8=0),"",Q8/E8*10000)</f>
        <v/>
      </c>
      <c r="AN8" s="11" t="n"/>
      <c r="AO8" s="11" t="n"/>
      <c r="AT8" s="15" t="n">
        <v>10009959.56</v>
      </c>
      <c r="AU8" s="15" t="n">
        <v>0</v>
      </c>
      <c r="AV8" s="15" t="n">
        <v>3743.7999</v>
      </c>
      <c r="AW8" s="15" t="n"/>
      <c r="AX8" s="16" t="n"/>
      <c r="AY8" s="13">
        <f>IF(OR(AX8="",AX8=0,AU8=""),"",AU8*365/(AX8*1000000))</f>
        <v/>
      </c>
      <c r="AZ8" s="15" t="n">
        <v>0</v>
      </c>
      <c r="BA8" s="17" t="n">
        <v>60487233</v>
      </c>
      <c r="BB8" s="18" t="n">
        <v>10009959.56</v>
      </c>
      <c r="BC8" s="17" t="n">
        <v>2971663</v>
      </c>
      <c r="BD8" s="17">
        <f>1000000000-999946737.988+0.0000</f>
        <v/>
      </c>
      <c r="BE8" s="19">
        <f>1000000000-AZ8-BA8-BB8-BC8-BD8</f>
        <v/>
      </c>
      <c r="BF8" s="20" t="n">
        <v>238</v>
      </c>
      <c r="BG8" s="20">
        <f>BE8/1000000-BF8</f>
        <v/>
      </c>
      <c r="BH8" s="21">
        <f>BE8*11.08</f>
        <v/>
      </c>
    </row>
    <row r="9">
      <c r="A9" s="10" t="n">
        <v>45631</v>
      </c>
      <c r="B9" s="11" t="n">
        <v>9789562819</v>
      </c>
      <c r="C9" s="11" t="n"/>
      <c r="D9" s="12" t="n">
        <v>323114172</v>
      </c>
      <c r="E9" s="11" t="n"/>
      <c r="O9" s="11" t="n"/>
      <c r="P9" s="11" t="n"/>
      <c r="Q9" s="11" t="n"/>
      <c r="S9" s="13" t="n">
        <v>0.03</v>
      </c>
      <c r="X9" s="11" t="n"/>
      <c r="Y9" s="11" t="n"/>
      <c r="Z9" s="11" t="n"/>
      <c r="AB9" s="11" t="n"/>
      <c r="AH9" s="11" t="n"/>
      <c r="AJ9" s="14">
        <f>IF(OR(B9="",B9=0,N9=""),"",N9/B9*10000)</f>
        <v/>
      </c>
      <c r="AK9" s="14">
        <f>IF(OR(C9="",C9=0),"",O9/C9*10000)</f>
        <v/>
      </c>
      <c r="AL9" s="14">
        <f>IF(OR(D9="",D9=0),"",P9/D9*10000)</f>
        <v/>
      </c>
      <c r="AM9" s="14">
        <f>IF(OR(E9="",E9=0),"",Q9/E9*10000)</f>
        <v/>
      </c>
      <c r="AN9" s="11" t="n"/>
      <c r="AO9" s="11" t="n"/>
      <c r="AT9" s="15" t="n">
        <v>10009959.56</v>
      </c>
      <c r="AU9" s="15" t="n">
        <v>0</v>
      </c>
      <c r="AV9" s="15" t="n">
        <v>4041.2964</v>
      </c>
      <c r="AW9" s="15" t="n"/>
      <c r="AX9" s="16" t="n"/>
      <c r="AY9" s="13">
        <f>IF(OR(AX9="",AX9=0,AU9=""),"",AU9*365/(AX9*1000000))</f>
        <v/>
      </c>
      <c r="AZ9" s="15" t="n">
        <v>0</v>
      </c>
      <c r="BA9" s="17" t="n">
        <v>60487233</v>
      </c>
      <c r="BB9" s="18" t="n">
        <v>10009959.56</v>
      </c>
      <c r="BC9" s="17" t="n">
        <v>2971663</v>
      </c>
      <c r="BD9" s="17">
        <f>1000000000-999942696.6916+0.0000</f>
        <v/>
      </c>
      <c r="BE9" s="19">
        <f>1000000000-AZ9-BA9-BB9-BC9-BD9</f>
        <v/>
      </c>
      <c r="BF9" s="20" t="n">
        <v>238</v>
      </c>
      <c r="BG9" s="20">
        <f>BE9/1000000-BF9</f>
        <v/>
      </c>
      <c r="BH9" s="21">
        <f>BE9*11.4</f>
        <v/>
      </c>
    </row>
    <row r="10">
      <c r="A10" s="10" t="n">
        <v>45632</v>
      </c>
      <c r="B10" s="11" t="n">
        <v>7811474440</v>
      </c>
      <c r="C10" s="11" t="n"/>
      <c r="D10" s="12" t="n">
        <v>218646771</v>
      </c>
      <c r="E10" s="11" t="n"/>
      <c r="O10" s="11" t="n"/>
      <c r="P10" s="11" t="n"/>
      <c r="Q10" s="11" t="n"/>
      <c r="S10" s="13" t="n">
        <v>0.03</v>
      </c>
      <c r="X10" s="11" t="n"/>
      <c r="Y10" s="11" t="n"/>
      <c r="Z10" s="11" t="n"/>
      <c r="AB10" s="11" t="n"/>
      <c r="AH10" s="11" t="n"/>
      <c r="AJ10" s="14">
        <f>IF(OR(B10="",B10=0,N10=""),"",N10/B10*10000)</f>
        <v/>
      </c>
      <c r="AK10" s="14">
        <f>IF(OR(C10="",C10=0),"",O10/C10*10000)</f>
        <v/>
      </c>
      <c r="AL10" s="14">
        <f>IF(OR(D10="",D10=0),"",P10/D10*10000)</f>
        <v/>
      </c>
      <c r="AM10" s="14">
        <f>IF(OR(E10="",E10=0),"",Q10/E10*10000)</f>
        <v/>
      </c>
      <c r="AN10" s="11" t="n"/>
      <c r="AO10" s="11" t="n"/>
      <c r="AT10" s="15" t="n">
        <v>10428490.65</v>
      </c>
      <c r="AU10" s="15" t="n">
        <v>0</v>
      </c>
      <c r="AV10" s="15" t="n">
        <v>3472.5047</v>
      </c>
      <c r="AW10" s="15" t="n"/>
      <c r="AX10" s="16" t="n"/>
      <c r="AY10" s="13">
        <f>IF(OR(AX10="",AX10=0,AU10=""),"",AU10*365/(AX10*1000000))</f>
        <v/>
      </c>
      <c r="AZ10" s="15" t="n">
        <v>0</v>
      </c>
      <c r="BA10" s="17" t="n">
        <v>60487233</v>
      </c>
      <c r="BB10" s="18" t="n">
        <v>10428490.65</v>
      </c>
      <c r="BC10" s="17" t="n">
        <v>2971663</v>
      </c>
      <c r="BD10" s="17">
        <f>1000000000-999939224.1869+0.0000</f>
        <v/>
      </c>
      <c r="BE10" s="19">
        <f>1000000000-AZ10-BA10-BB10-BC10-BD10</f>
        <v/>
      </c>
      <c r="BF10" s="20" t="n">
        <v>238</v>
      </c>
      <c r="BG10" s="20">
        <f>BE10/1000000-BF10</f>
        <v/>
      </c>
      <c r="BH10" s="21">
        <f>BE10*12.69</f>
        <v/>
      </c>
    </row>
    <row r="11">
      <c r="A11" s="10" t="n">
        <v>45633</v>
      </c>
      <c r="B11" s="11" t="n">
        <v>2862437941</v>
      </c>
      <c r="C11" s="11" t="n"/>
      <c r="D11" s="12" t="n">
        <v>182104753</v>
      </c>
      <c r="E11" s="11" t="n"/>
      <c r="O11" s="11" t="n"/>
      <c r="P11" s="11" t="n"/>
      <c r="Q11" s="11" t="n"/>
      <c r="S11" s="13" t="n">
        <v>0.03</v>
      </c>
      <c r="X11" s="11" t="n"/>
      <c r="Y11" s="11" t="n"/>
      <c r="Z11" s="11" t="n"/>
      <c r="AB11" s="11" t="n"/>
      <c r="AH11" s="11" t="n"/>
      <c r="AJ11" s="14">
        <f>IF(OR(B11="",B11=0,N11=""),"",N11/B11*10000)</f>
        <v/>
      </c>
      <c r="AK11" s="14">
        <f>IF(OR(C11="",C11=0),"",O11/C11*10000)</f>
        <v/>
      </c>
      <c r="AL11" s="14">
        <f>IF(OR(D11="",D11=0),"",P11/D11*10000)</f>
        <v/>
      </c>
      <c r="AM11" s="14">
        <f>IF(OR(E11="",E11=0),"",Q11/E11*10000)</f>
        <v/>
      </c>
      <c r="AN11" s="11" t="n"/>
      <c r="AO11" s="11" t="n"/>
      <c r="AT11" s="15" t="n">
        <v>10428490.65</v>
      </c>
      <c r="AU11" s="15" t="n">
        <v>0</v>
      </c>
      <c r="AV11" s="15" t="n">
        <v>2255.2254</v>
      </c>
      <c r="AW11" s="15" t="n"/>
      <c r="AX11" s="16" t="n"/>
      <c r="AY11" s="13">
        <f>IF(OR(AX11="",AX11=0,AU11=""),"",AU11*365/(AX11*1000000))</f>
        <v/>
      </c>
      <c r="AZ11" s="15" t="n">
        <v>0</v>
      </c>
      <c r="BA11" s="17" t="n">
        <v>60487233</v>
      </c>
      <c r="BB11" s="18" t="n">
        <v>10428490.65</v>
      </c>
      <c r="BC11" s="17" t="n">
        <v>2971663</v>
      </c>
      <c r="BD11" s="17">
        <f>1000000000-999936968.9615+0.0000</f>
        <v/>
      </c>
      <c r="BE11" s="19">
        <f>1000000000-AZ11-BA11-BB11-BC11-BD11</f>
        <v/>
      </c>
      <c r="BF11" s="20" t="n">
        <v>238</v>
      </c>
      <c r="BG11" s="20">
        <f>BE11/1000000-BF11</f>
        <v/>
      </c>
      <c r="BH11" s="21">
        <f>BE11*13.83</f>
        <v/>
      </c>
    </row>
    <row r="12">
      <c r="A12" s="10" t="n">
        <v>45634</v>
      </c>
      <c r="B12" s="11" t="n">
        <v>3252798818</v>
      </c>
      <c r="C12" s="11" t="n"/>
      <c r="D12" s="12" t="n">
        <v>136064768</v>
      </c>
      <c r="E12" s="11" t="n"/>
      <c r="O12" s="11" t="n"/>
      <c r="P12" s="11" t="n"/>
      <c r="Q12" s="11" t="n"/>
      <c r="S12" s="13" t="n">
        <v>0.03</v>
      </c>
      <c r="X12" s="11" t="n"/>
      <c r="Y12" s="11" t="n"/>
      <c r="Z12" s="11" t="n"/>
      <c r="AB12" s="11" t="n"/>
      <c r="AH12" s="11" t="n"/>
      <c r="AJ12" s="14">
        <f>IF(OR(B12="",B12=0,N12=""),"",N12/B12*10000)</f>
        <v/>
      </c>
      <c r="AK12" s="14">
        <f>IF(OR(C12="",C12=0),"",O12/C12*10000)</f>
        <v/>
      </c>
      <c r="AL12" s="14">
        <f>IF(OR(D12="",D12=0),"",P12/D12*10000)</f>
        <v/>
      </c>
      <c r="AM12" s="14">
        <f>IF(OR(E12="",E12=0),"",Q12/E12*10000)</f>
        <v/>
      </c>
      <c r="AN12" s="11" t="n"/>
      <c r="AO12" s="11" t="n"/>
      <c r="AT12" s="15" t="n">
        <v>10428490.65</v>
      </c>
      <c r="AU12" s="15" t="n">
        <v>0</v>
      </c>
      <c r="AV12" s="15" t="n">
        <v>1897.8347</v>
      </c>
      <c r="AW12" s="15" t="n"/>
      <c r="AX12" s="16" t="n"/>
      <c r="AY12" s="13">
        <f>IF(OR(AX12="",AX12=0,AU12=""),"",AU12*365/(AX12*1000000))</f>
        <v/>
      </c>
      <c r="AZ12" s="15" t="n">
        <v>0</v>
      </c>
      <c r="BA12" s="17" t="n">
        <v>60487233</v>
      </c>
      <c r="BB12" s="18" t="n">
        <v>10428490.65</v>
      </c>
      <c r="BC12" s="17" t="n">
        <v>2971663</v>
      </c>
      <c r="BD12" s="17">
        <f>1000000000-999935071.1268+0.0000</f>
        <v/>
      </c>
      <c r="BE12" s="19">
        <f>1000000000-AZ12-BA12-BB12-BC12-BD12</f>
        <v/>
      </c>
      <c r="BF12" s="20" t="n">
        <v>238</v>
      </c>
      <c r="BG12" s="20">
        <f>BE12/1000000-BF12</f>
        <v/>
      </c>
      <c r="BH12" s="21">
        <f>BE12*14.12</f>
        <v/>
      </c>
    </row>
    <row r="13">
      <c r="A13" s="10" t="n">
        <v>45635</v>
      </c>
      <c r="B13" s="11" t="n">
        <v>5306358932</v>
      </c>
      <c r="C13" s="11" t="n"/>
      <c r="D13" s="12" t="n">
        <v>270676721</v>
      </c>
      <c r="E13" s="11" t="n"/>
      <c r="O13" s="11" t="n"/>
      <c r="P13" s="11" t="n"/>
      <c r="Q13" s="11" t="n"/>
      <c r="S13" s="13" t="n">
        <v>0.03</v>
      </c>
      <c r="X13" s="11" t="n"/>
      <c r="Y13" s="11" t="n"/>
      <c r="Z13" s="11" t="n"/>
      <c r="AB13" s="11" t="n"/>
      <c r="AH13" s="11" t="n"/>
      <c r="AJ13" s="14">
        <f>IF(OR(B13="",B13=0,N13=""),"",N13/B13*10000)</f>
        <v/>
      </c>
      <c r="AK13" s="14">
        <f>IF(OR(C13="",C13=0),"",O13/C13*10000)</f>
        <v/>
      </c>
      <c r="AL13" s="14">
        <f>IF(OR(D13="",D13=0),"",P13/D13*10000)</f>
        <v/>
      </c>
      <c r="AM13" s="14">
        <f>IF(OR(E13="",E13=0),"",Q13/E13*10000)</f>
        <v/>
      </c>
      <c r="AN13" s="11" t="n"/>
      <c r="AO13" s="11" t="n"/>
      <c r="AT13" s="15" t="n">
        <v>10654299.17</v>
      </c>
      <c r="AU13" s="15" t="n">
        <v>0</v>
      </c>
      <c r="AV13" s="15" t="n">
        <v>1284.1908</v>
      </c>
      <c r="AW13" s="15" t="n"/>
      <c r="AX13" s="16" t="n"/>
      <c r="AY13" s="13">
        <f>IF(OR(AX13="",AX13=0,AU13=""),"",AU13*365/(AX13*1000000))</f>
        <v/>
      </c>
      <c r="AZ13" s="15" t="n">
        <v>0</v>
      </c>
      <c r="BA13" s="17" t="n">
        <v>60487233</v>
      </c>
      <c r="BB13" s="18" t="n">
        <v>10654299.17</v>
      </c>
      <c r="BC13" s="17" t="n">
        <v>2971663</v>
      </c>
      <c r="BD13" s="17">
        <f>1000000000-999933786.9361+0.0000</f>
        <v/>
      </c>
      <c r="BE13" s="19">
        <f>1000000000-AZ13-BA13-BB13-BC13-BD13</f>
        <v/>
      </c>
      <c r="BF13" s="20" t="n">
        <v>238</v>
      </c>
      <c r="BG13" s="20">
        <f>BE13/1000000-BF13</f>
        <v/>
      </c>
      <c r="BH13" s="21">
        <f>BE13*14.02</f>
        <v/>
      </c>
    </row>
    <row r="14">
      <c r="A14" s="10" t="n">
        <v>45636</v>
      </c>
      <c r="B14" s="11" t="n">
        <v>10009953607</v>
      </c>
      <c r="C14" s="11" t="n"/>
      <c r="D14" s="12" t="n">
        <v>208129108</v>
      </c>
      <c r="E14" s="11" t="n"/>
      <c r="O14" s="11" t="n"/>
      <c r="P14" s="11" t="n"/>
      <c r="Q14" s="11" t="n"/>
      <c r="S14" s="13" t="n">
        <v>0.03</v>
      </c>
      <c r="X14" s="11" t="n"/>
      <c r="Y14" s="11" t="n"/>
      <c r="Z14" s="11" t="n"/>
      <c r="AB14" s="11" t="n"/>
      <c r="AH14" s="11" t="n"/>
      <c r="AJ14" s="14">
        <f>IF(OR(B14="",B14=0,N14=""),"",N14/B14*10000)</f>
        <v/>
      </c>
      <c r="AK14" s="14">
        <f>IF(OR(C14="",C14=0),"",O14/C14*10000)</f>
        <v/>
      </c>
      <c r="AL14" s="14">
        <f>IF(OR(D14="",D14=0),"",P14/D14*10000)</f>
        <v/>
      </c>
      <c r="AM14" s="14">
        <f>IF(OR(E14="",E14=0),"",Q14/E14*10000)</f>
        <v/>
      </c>
      <c r="AN14" s="11" t="n"/>
      <c r="AO14" s="11" t="n"/>
      <c r="AT14" s="15" t="n">
        <v>10654299.17</v>
      </c>
      <c r="AU14" s="15" t="n">
        <v>0</v>
      </c>
      <c r="AV14" s="15" t="n">
        <v>2527.2104</v>
      </c>
      <c r="AW14" s="15" t="n"/>
      <c r="AX14" s="16" t="n"/>
      <c r="AY14" s="13">
        <f>IF(OR(AX14="",AX14=0,AU14=""),"",AU14*365/(AX14*1000000))</f>
        <v/>
      </c>
      <c r="AZ14" s="15" t="n">
        <v>0</v>
      </c>
      <c r="BA14" s="17" t="n">
        <v>60487233</v>
      </c>
      <c r="BB14" s="18" t="n">
        <v>10654299.17</v>
      </c>
      <c r="BC14" s="17" t="n">
        <v>2971663</v>
      </c>
      <c r="BD14" s="17">
        <f>1000000000-999931259.7256+0.0000</f>
        <v/>
      </c>
      <c r="BE14" s="19">
        <f>1000000000-AZ14-BA14-BB14-BC14-BD14</f>
        <v/>
      </c>
      <c r="BF14" s="20" t="n">
        <v>238</v>
      </c>
      <c r="BG14" s="20">
        <f>BE14/1000000-BF14</f>
        <v/>
      </c>
      <c r="BH14" s="21">
        <f>BE14*13.54</f>
        <v/>
      </c>
    </row>
    <row r="15">
      <c r="A15" s="10" t="n">
        <v>45637</v>
      </c>
      <c r="B15" s="11" t="n">
        <v>3979399218</v>
      </c>
      <c r="C15" s="11" t="n"/>
      <c r="D15" s="12" t="n">
        <v>211797447</v>
      </c>
      <c r="E15" s="11" t="n"/>
      <c r="O15" s="11" t="n"/>
      <c r="P15" s="11" t="n"/>
      <c r="Q15" s="11" t="n"/>
      <c r="S15" s="13" t="n">
        <v>0.03</v>
      </c>
      <c r="X15" s="11" t="n"/>
      <c r="Y15" s="11" t="n"/>
      <c r="Z15" s="11" t="n"/>
      <c r="AB15" s="11" t="n"/>
      <c r="AH15" s="11" t="n"/>
      <c r="AJ15" s="14">
        <f>IF(OR(B15="",B15=0,N15=""),"",N15/B15*10000)</f>
        <v/>
      </c>
      <c r="AK15" s="14">
        <f>IF(OR(C15="",C15=0),"",O15/C15*10000)</f>
        <v/>
      </c>
      <c r="AL15" s="14">
        <f>IF(OR(D15="",D15=0),"",P15/D15*10000)</f>
        <v/>
      </c>
      <c r="AM15" s="14">
        <f>IF(OR(E15="",E15=0),"",Q15/E15*10000)</f>
        <v/>
      </c>
      <c r="AN15" s="11" t="n"/>
      <c r="AO15" s="11" t="n"/>
      <c r="AT15" s="15" t="n">
        <v>10654299.17</v>
      </c>
      <c r="AU15" s="15" t="n">
        <v>0</v>
      </c>
      <c r="AV15" s="15" t="n">
        <v>2003.998</v>
      </c>
      <c r="AW15" s="15" t="n"/>
      <c r="AX15" s="16" t="n"/>
      <c r="AY15" s="13">
        <f>IF(OR(AX15="",AX15=0,AU15=""),"",AU15*365/(AX15*1000000))</f>
        <v/>
      </c>
      <c r="AZ15" s="15" t="n">
        <v>0</v>
      </c>
      <c r="BA15" s="17" t="n">
        <v>60487233</v>
      </c>
      <c r="BB15" s="18" t="n">
        <v>10654299.17</v>
      </c>
      <c r="BC15" s="17" t="n">
        <v>2971663</v>
      </c>
      <c r="BD15" s="17">
        <f>1000000000-999929255.7277+0.0000</f>
        <v/>
      </c>
      <c r="BE15" s="19">
        <f>1000000000-AZ15-BA15-BB15-BC15-BD15</f>
        <v/>
      </c>
      <c r="BF15" s="20" t="n">
        <v>238</v>
      </c>
      <c r="BG15" s="20">
        <f>BE15/1000000-BF15</f>
        <v/>
      </c>
      <c r="BH15" s="21">
        <f>BE15*13.56</f>
        <v/>
      </c>
    </row>
    <row r="16">
      <c r="A16" s="10" t="n">
        <v>45638</v>
      </c>
      <c r="B16" s="11" t="n">
        <v>4839045908</v>
      </c>
      <c r="C16" s="11" t="n"/>
      <c r="D16" s="12" t="n">
        <v>324908474</v>
      </c>
      <c r="E16" s="11" t="n"/>
      <c r="O16" s="11" t="n"/>
      <c r="P16" s="11" t="n"/>
      <c r="Q16" s="11" t="n"/>
      <c r="S16" s="13" t="n">
        <v>0.03</v>
      </c>
      <c r="X16" s="11" t="n"/>
      <c r="Y16" s="11" t="n"/>
      <c r="Z16" s="11" t="n"/>
      <c r="AB16" s="11" t="n"/>
      <c r="AH16" s="11" t="n"/>
      <c r="AJ16" s="14">
        <f>IF(OR(B16="",B16=0,N16=""),"",N16/B16*10000)</f>
        <v/>
      </c>
      <c r="AK16" s="14">
        <f>IF(OR(C16="",C16=0),"",O16/C16*10000)</f>
        <v/>
      </c>
      <c r="AL16" s="14">
        <f>IF(OR(D16="",D16=0),"",P16/D16*10000)</f>
        <v/>
      </c>
      <c r="AM16" s="14">
        <f>IF(OR(E16="",E16=0),"",Q16/E16*10000)</f>
        <v/>
      </c>
      <c r="AN16" s="11" t="n"/>
      <c r="AO16" s="11" t="n"/>
      <c r="AT16" s="15" t="n">
        <v>10654299.17</v>
      </c>
      <c r="AU16" s="15" t="n">
        <v>0</v>
      </c>
      <c r="AV16" s="15" t="n">
        <v>1932.7073</v>
      </c>
      <c r="AW16" s="15" t="n"/>
      <c r="AX16" s="16" t="n"/>
      <c r="AY16" s="13">
        <f>IF(OR(AX16="",AX16=0,AU16=""),"",AU16*365/(AX16*1000000))</f>
        <v/>
      </c>
      <c r="AZ16" s="15" t="n">
        <v>0</v>
      </c>
      <c r="BA16" s="17" t="n">
        <v>60487233</v>
      </c>
      <c r="BB16" s="18" t="n">
        <v>10654299.17</v>
      </c>
      <c r="BC16" s="17" t="n">
        <v>2971663</v>
      </c>
      <c r="BD16" s="17">
        <f>1000000000-999927323.0204+0.0000</f>
        <v/>
      </c>
      <c r="BE16" s="19">
        <f>1000000000-AZ16-BA16-BB16-BC16-BD16</f>
        <v/>
      </c>
      <c r="BF16" s="20" t="n">
        <v>238</v>
      </c>
      <c r="BG16" s="20">
        <f>BE16/1000000-BF16</f>
        <v/>
      </c>
      <c r="BH16" s="21">
        <f>BE16*16.11</f>
        <v/>
      </c>
    </row>
    <row r="17">
      <c r="A17" s="10" t="n">
        <v>45639</v>
      </c>
      <c r="B17" s="11" t="n">
        <v>4253319332</v>
      </c>
      <c r="C17" s="11" t="n"/>
      <c r="D17" s="12" t="n">
        <v>334237923</v>
      </c>
      <c r="E17" s="11" t="n"/>
      <c r="O17" s="11" t="n"/>
      <c r="P17" s="11" t="n"/>
      <c r="Q17" s="11" t="n"/>
      <c r="S17" s="13" t="n">
        <v>0.03</v>
      </c>
      <c r="X17" s="11" t="n"/>
      <c r="Y17" s="11" t="n"/>
      <c r="Z17" s="11" t="n"/>
      <c r="AB17" s="11" t="n"/>
      <c r="AH17" s="11" t="n"/>
      <c r="AJ17" s="14">
        <f>IF(OR(B17="",B17=0,N17=""),"",N17/B17*10000)</f>
        <v/>
      </c>
      <c r="AK17" s="14">
        <f>IF(OR(C17="",C17=0),"",O17/C17*10000)</f>
        <v/>
      </c>
      <c r="AL17" s="14">
        <f>IF(OR(D17="",D17=0),"",P17/D17*10000)</f>
        <v/>
      </c>
      <c r="AM17" s="14">
        <f>IF(OR(E17="",E17=0),"",Q17/E17*10000)</f>
        <v/>
      </c>
      <c r="AN17" s="11" t="n"/>
      <c r="AO17" s="11" t="n"/>
      <c r="AT17" s="15" t="n">
        <v>10662921.63</v>
      </c>
      <c r="AU17" s="15" t="n">
        <v>0</v>
      </c>
      <c r="AV17" s="15" t="n">
        <v>2435.2699</v>
      </c>
      <c r="AW17" s="15" t="n"/>
      <c r="AX17" s="16" t="n"/>
      <c r="AY17" s="13">
        <f>IF(OR(AX17="",AX17=0,AU17=""),"",AU17*365/(AX17*1000000))</f>
        <v/>
      </c>
      <c r="AZ17" s="15" t="n">
        <v>0</v>
      </c>
      <c r="BA17" s="17" t="n">
        <v>60487233</v>
      </c>
      <c r="BB17" s="18" t="n">
        <v>10662921.63</v>
      </c>
      <c r="BC17" s="17" t="n">
        <v>2971663</v>
      </c>
      <c r="BD17" s="17">
        <f>1000000000-999924887.7505+0.0000</f>
        <v/>
      </c>
      <c r="BE17" s="19">
        <f>1000000000-AZ17-BA17-BB17-BC17-BD17</f>
        <v/>
      </c>
      <c r="BF17" s="20" t="n">
        <v>238</v>
      </c>
      <c r="BG17" s="20">
        <f>BE17/1000000-BF17</f>
        <v/>
      </c>
      <c r="BH17" s="21">
        <f>BE17*18.04</f>
        <v/>
      </c>
    </row>
    <row r="18">
      <c r="A18" s="10" t="n">
        <v>45640</v>
      </c>
      <c r="B18" s="11" t="n">
        <v>3170522123</v>
      </c>
      <c r="C18" s="11" t="n"/>
      <c r="D18" s="12" t="n">
        <v>546075604</v>
      </c>
      <c r="E18" s="11" t="n"/>
      <c r="O18" s="11" t="n"/>
      <c r="P18" s="11" t="n"/>
      <c r="Q18" s="11" t="n"/>
      <c r="S18" s="13" t="n">
        <v>0.03</v>
      </c>
      <c r="X18" s="11" t="n"/>
      <c r="Y18" s="11" t="n"/>
      <c r="Z18" s="11" t="n"/>
      <c r="AB18" s="11" t="n"/>
      <c r="AH18" s="11" t="n"/>
      <c r="AJ18" s="14">
        <f>IF(OR(B18="",B18=0,N18=""),"",N18/B18*10000)</f>
        <v/>
      </c>
      <c r="AK18" s="14">
        <f>IF(OR(C18="",C18=0),"",O18/C18*10000)</f>
        <v/>
      </c>
      <c r="AL18" s="14">
        <f>IF(OR(D18="",D18=0),"",P18/D18*10000)</f>
        <v/>
      </c>
      <c r="AM18" s="14">
        <f>IF(OR(E18="",E18=0),"",Q18/E18*10000)</f>
        <v/>
      </c>
      <c r="AN18" s="11" t="n"/>
      <c r="AO18" s="11" t="n"/>
      <c r="AT18" s="15" t="n">
        <v>10761181.28</v>
      </c>
      <c r="AU18" s="15" t="n">
        <v>0</v>
      </c>
      <c r="AV18" s="15" t="n">
        <v>1602.2514</v>
      </c>
      <c r="AW18" s="15" t="n"/>
      <c r="AX18" s="16" t="n"/>
      <c r="AY18" s="13">
        <f>IF(OR(AX18="",AX18=0,AU18=""),"",AU18*365/(AX18*1000000))</f>
        <v/>
      </c>
      <c r="AZ18" s="15" t="n">
        <v>0</v>
      </c>
      <c r="BA18" s="17" t="n">
        <v>60487233</v>
      </c>
      <c r="BB18" s="18" t="n">
        <v>10761181.28</v>
      </c>
      <c r="BC18" s="17" t="n">
        <v>2971663</v>
      </c>
      <c r="BD18" s="17">
        <f>1000000000-999923285.4991+0.0000</f>
        <v/>
      </c>
      <c r="BE18" s="19">
        <f>1000000000-AZ18-BA18-BB18-BC18-BD18</f>
        <v/>
      </c>
      <c r="BF18" s="20" t="n">
        <v>238</v>
      </c>
      <c r="BG18" s="20">
        <f>BE18/1000000-BF18</f>
        <v/>
      </c>
      <c r="BH18" s="21">
        <f>BE18*19.49</f>
        <v/>
      </c>
    </row>
    <row r="19">
      <c r="A19" s="10" t="n">
        <v>45641</v>
      </c>
      <c r="B19" s="11" t="n">
        <v>3786628959</v>
      </c>
      <c r="C19" s="11" t="n"/>
      <c r="D19" s="12" t="n">
        <v>517821521</v>
      </c>
      <c r="E19" s="11" t="n"/>
      <c r="O19" s="11" t="n"/>
      <c r="P19" s="11" t="n"/>
      <c r="Q19" s="11" t="n"/>
      <c r="S19" s="13" t="n">
        <v>0.03</v>
      </c>
      <c r="X19" s="11" t="n"/>
      <c r="Y19" s="11" t="n"/>
      <c r="Z19" s="11" t="n"/>
      <c r="AB19" s="11" t="n"/>
      <c r="AH19" s="11" t="n"/>
      <c r="AJ19" s="14">
        <f>IF(OR(B19="",B19=0,N19=""),"",N19/B19*10000)</f>
        <v/>
      </c>
      <c r="AK19" s="14">
        <f>IF(OR(C19="",C19=0),"",O19/C19*10000)</f>
        <v/>
      </c>
      <c r="AL19" s="14">
        <f>IF(OR(D19="",D19=0),"",P19/D19*10000)</f>
        <v/>
      </c>
      <c r="AM19" s="14">
        <f>IF(OR(E19="",E19=0),"",Q19/E19*10000)</f>
        <v/>
      </c>
      <c r="AN19" s="11" t="n"/>
      <c r="AO19" s="11" t="n"/>
      <c r="AT19" s="15" t="n">
        <v>10761181.28</v>
      </c>
      <c r="AU19" s="15" t="n">
        <v>0</v>
      </c>
      <c r="AV19" s="15" t="n">
        <v>2857.882</v>
      </c>
      <c r="AW19" s="15" t="n"/>
      <c r="AX19" s="16" t="n"/>
      <c r="AY19" s="13">
        <f>IF(OR(AX19="",AX19=0,AU19=""),"",AU19*365/(AX19*1000000))</f>
        <v/>
      </c>
      <c r="AZ19" s="15" t="n">
        <v>0</v>
      </c>
      <c r="BA19" s="17" t="n">
        <v>60487233</v>
      </c>
      <c r="BB19" s="18" t="n">
        <v>10761181.28</v>
      </c>
      <c r="BC19" s="17" t="n">
        <v>2971663</v>
      </c>
      <c r="BD19" s="17">
        <f>1000000000-999920427.6171+0.0000</f>
        <v/>
      </c>
      <c r="BE19" s="19">
        <f>1000000000-AZ19-BA19-BB19-BC19-BD19</f>
        <v/>
      </c>
      <c r="BF19" s="20" t="n">
        <v>238</v>
      </c>
      <c r="BG19" s="20">
        <f>BE19/1000000-BF19</f>
        <v/>
      </c>
      <c r="BH19" s="21">
        <f>BE19*24.15</f>
        <v/>
      </c>
    </row>
    <row r="20">
      <c r="A20" s="10" t="n">
        <v>45642</v>
      </c>
      <c r="B20" s="11" t="n">
        <v>6267294833</v>
      </c>
      <c r="C20" s="11" t="n"/>
      <c r="D20" s="12" t="n">
        <v>552491542</v>
      </c>
      <c r="E20" s="11" t="n"/>
      <c r="O20" s="11" t="n"/>
      <c r="P20" s="11" t="n"/>
      <c r="Q20" s="11" t="n"/>
      <c r="S20" s="13" t="n">
        <v>0.03</v>
      </c>
      <c r="X20" s="11" t="n"/>
      <c r="Y20" s="11" t="n"/>
      <c r="Z20" s="11" t="n"/>
      <c r="AB20" s="11" t="n"/>
      <c r="AH20" s="11" t="n"/>
      <c r="AJ20" s="14">
        <f>IF(OR(B20="",B20=0,N20=""),"",N20/B20*10000)</f>
        <v/>
      </c>
      <c r="AK20" s="14">
        <f>IF(OR(C20="",C20=0),"",O20/C20*10000)</f>
        <v/>
      </c>
      <c r="AL20" s="14">
        <f>IF(OR(D20="",D20=0),"",P20/D20*10000)</f>
        <v/>
      </c>
      <c r="AM20" s="14">
        <f>IF(OR(E20="",E20=0),"",Q20/E20*10000)</f>
        <v/>
      </c>
      <c r="AN20" s="11" t="n"/>
      <c r="AO20" s="11" t="n"/>
      <c r="AT20" s="15" t="n">
        <v>10761181.28</v>
      </c>
      <c r="AU20" s="15" t="n">
        <v>0</v>
      </c>
      <c r="AV20" s="15" t="n">
        <v>2419.5935</v>
      </c>
      <c r="AW20" s="15" t="n"/>
      <c r="AX20" s="16" t="n"/>
      <c r="AY20" s="13">
        <f>IF(OR(AX20="",AX20=0,AU20=""),"",AU20*365/(AX20*1000000))</f>
        <v/>
      </c>
      <c r="AZ20" s="15" t="n">
        <v>0</v>
      </c>
      <c r="BA20" s="17" t="n">
        <v>60487233</v>
      </c>
      <c r="BB20" s="18" t="n">
        <v>10761181.28</v>
      </c>
      <c r="BC20" s="17" t="n">
        <v>2971663</v>
      </c>
      <c r="BD20" s="17">
        <f>1000000000-999918008.0235+0.0000</f>
        <v/>
      </c>
      <c r="BE20" s="19">
        <f>1000000000-AZ20-BA20-BB20-BC20-BD20</f>
        <v/>
      </c>
      <c r="BF20" s="20" t="n">
        <v>238</v>
      </c>
      <c r="BG20" s="20">
        <f>BE20/1000000-BF20</f>
        <v/>
      </c>
      <c r="BH20" s="21">
        <f>BE20*23.88</f>
        <v/>
      </c>
    </row>
    <row r="21">
      <c r="A21" s="10" t="n">
        <v>45643</v>
      </c>
      <c r="B21" s="11" t="n">
        <v>5593864857</v>
      </c>
      <c r="C21" s="11" t="n"/>
      <c r="D21" s="12" t="n">
        <v>533018011</v>
      </c>
      <c r="E21" s="11" t="n"/>
      <c r="O21" s="11" t="n"/>
      <c r="P21" s="11" t="n"/>
      <c r="Q21" s="11" t="n"/>
      <c r="S21" s="13" t="n">
        <v>0.03</v>
      </c>
      <c r="X21" s="11" t="n"/>
      <c r="Y21" s="11" t="n"/>
      <c r="Z21" s="11" t="n"/>
      <c r="AB21" s="11" t="n"/>
      <c r="AH21" s="11" t="n"/>
      <c r="AJ21" s="14">
        <f>IF(OR(B21="",B21=0,N21=""),"",N21/B21*10000)</f>
        <v/>
      </c>
      <c r="AK21" s="14">
        <f>IF(OR(C21="",C21=0),"",O21/C21*10000)</f>
        <v/>
      </c>
      <c r="AL21" s="14">
        <f>IF(OR(D21="",D21=0),"",P21/D21*10000)</f>
        <v/>
      </c>
      <c r="AM21" s="14">
        <f>IF(OR(E21="",E21=0),"",Q21/E21*10000)</f>
        <v/>
      </c>
      <c r="AN21" s="11" t="n"/>
      <c r="AO21" s="11" t="n"/>
      <c r="AT21" s="15" t="n">
        <v>10789059.15</v>
      </c>
      <c r="AU21" s="15" t="n">
        <v>0</v>
      </c>
      <c r="AV21" s="15" t="n">
        <v>2278.9176</v>
      </c>
      <c r="AW21" s="15" t="n"/>
      <c r="AX21" s="16" t="n"/>
      <c r="AY21" s="13">
        <f>IF(OR(AX21="",AX21=0,AU21=""),"",AU21*365/(AX21*1000000))</f>
        <v/>
      </c>
      <c r="AZ21" s="15" t="n">
        <v>0</v>
      </c>
      <c r="BA21" s="17" t="n">
        <v>60487233</v>
      </c>
      <c r="BB21" s="18" t="n">
        <v>10789059.15</v>
      </c>
      <c r="BC21" s="17" t="n">
        <v>2971663</v>
      </c>
      <c r="BD21" s="17">
        <f>1000000000-999915729.1059+0.0000</f>
        <v/>
      </c>
      <c r="BE21" s="19">
        <f>1000000000-AZ21-BA21-BB21-BC21-BD21</f>
        <v/>
      </c>
      <c r="BF21" s="20" t="n">
        <v>238</v>
      </c>
      <c r="BG21" s="20">
        <f>BE21/1000000-BF21</f>
        <v/>
      </c>
      <c r="BH21" s="21">
        <f>BE21*27.24</f>
        <v/>
      </c>
    </row>
    <row r="22">
      <c r="A22" s="10" t="n">
        <v>45644</v>
      </c>
      <c r="B22" s="11" t="n">
        <v>8540539048</v>
      </c>
      <c r="C22" s="11" t="n"/>
      <c r="D22" s="12" t="n">
        <v>472394527</v>
      </c>
      <c r="E22" s="11" t="n"/>
      <c r="O22" s="11" t="n"/>
      <c r="P22" s="11" t="n"/>
      <c r="Q22" s="11" t="n"/>
      <c r="S22" s="13" t="n">
        <v>0.03</v>
      </c>
      <c r="X22" s="11" t="n"/>
      <c r="Y22" s="11" t="n"/>
      <c r="Z22" s="11" t="n"/>
      <c r="AB22" s="11" t="n"/>
      <c r="AH22" s="11" t="n"/>
      <c r="AJ22" s="14">
        <f>IF(OR(B22="",B22=0,N22=""),"",N22/B22*10000)</f>
        <v/>
      </c>
      <c r="AK22" s="14">
        <f>IF(OR(C22="",C22=0),"",O22/C22*10000)</f>
        <v/>
      </c>
      <c r="AL22" s="14">
        <f>IF(OR(D22="",D22=0),"",P22/D22*10000)</f>
        <v/>
      </c>
      <c r="AM22" s="14">
        <f>IF(OR(E22="",E22=0),"",Q22/E22*10000)</f>
        <v/>
      </c>
      <c r="AN22" s="11" t="n"/>
      <c r="AO22" s="11" t="n"/>
      <c r="AT22" s="15" t="n">
        <v>10927484.59</v>
      </c>
      <c r="AU22" s="15" t="n">
        <v>0</v>
      </c>
      <c r="AV22" s="15" t="n">
        <v>2263.4293</v>
      </c>
      <c r="AW22" s="15" t="n"/>
      <c r="AX22" s="16" t="n"/>
      <c r="AY22" s="13">
        <f>IF(OR(AX22="",AX22=0,AU22=""),"",AU22*365/(AX22*1000000))</f>
        <v/>
      </c>
      <c r="AZ22" s="15" t="n">
        <v>0</v>
      </c>
      <c r="BA22" s="17" t="n">
        <v>60487233</v>
      </c>
      <c r="BB22" s="18" t="n">
        <v>10927484.59</v>
      </c>
      <c r="BC22" s="17" t="n">
        <v>2971663</v>
      </c>
      <c r="BD22" s="17">
        <f>1000000000-999913465.6766+0.0000</f>
        <v/>
      </c>
      <c r="BE22" s="19">
        <f>1000000000-AZ22-BA22-BB22-BC22-BD22</f>
        <v/>
      </c>
      <c r="BF22" s="20" t="n">
        <v>238</v>
      </c>
      <c r="BG22" s="20">
        <f>BE22/1000000-BF22</f>
        <v/>
      </c>
      <c r="BH22" s="21">
        <f>BE22*25.57</f>
        <v/>
      </c>
    </row>
    <row r="23">
      <c r="A23" s="10" t="n">
        <v>45645</v>
      </c>
      <c r="B23" s="11" t="n">
        <v>11512982470</v>
      </c>
      <c r="C23" s="11" t="n"/>
      <c r="D23" s="12" t="n">
        <v>564194362</v>
      </c>
      <c r="E23" s="11" t="n"/>
      <c r="O23" s="11" t="n"/>
      <c r="P23" s="11" t="n"/>
      <c r="Q23" s="11" t="n"/>
      <c r="S23" s="13" t="n">
        <v>0.03</v>
      </c>
      <c r="X23" s="11" t="n"/>
      <c r="Y23" s="11" t="n"/>
      <c r="Z23" s="11" t="n"/>
      <c r="AB23" s="11" t="n"/>
      <c r="AH23" s="11" t="n"/>
      <c r="AJ23" s="14">
        <f>IF(OR(B23="",B23=0,N23=""),"",N23/B23*10000)</f>
        <v/>
      </c>
      <c r="AK23" s="14">
        <f>IF(OR(C23="",C23=0),"",O23/C23*10000)</f>
        <v/>
      </c>
      <c r="AL23" s="14">
        <f>IF(OR(D23="",D23=0),"",P23/D23*10000)</f>
        <v/>
      </c>
      <c r="AM23" s="14">
        <f>IF(OR(E23="",E23=0),"",Q23/E23*10000)</f>
        <v/>
      </c>
      <c r="AN23" s="11" t="n"/>
      <c r="AO23" s="11" t="n"/>
      <c r="AT23" s="15" t="n">
        <v>11039805.54</v>
      </c>
      <c r="AU23" s="15" t="n">
        <v>0</v>
      </c>
      <c r="AV23" s="15" t="n">
        <v>2427.0823</v>
      </c>
      <c r="AW23" s="15" t="n"/>
      <c r="AX23" s="16" t="n"/>
      <c r="AY23" s="13">
        <f>IF(OR(AX23="",AX23=0,AU23=""),"",AU23*365/(AX23*1000000))</f>
        <v/>
      </c>
      <c r="AZ23" s="15" t="n">
        <v>0</v>
      </c>
      <c r="BA23" s="17" t="n">
        <v>60487233</v>
      </c>
      <c r="BB23" s="18" t="n">
        <v>11039805.54</v>
      </c>
      <c r="BC23" s="17" t="n">
        <v>2971663</v>
      </c>
      <c r="BD23" s="17">
        <f>1000000000-999911038.5943+0.0000</f>
        <v/>
      </c>
      <c r="BE23" s="19">
        <f>1000000000-AZ23-BA23-BB23-BC23-BD23</f>
        <v/>
      </c>
      <c r="BF23" s="20" t="n">
        <v>238</v>
      </c>
      <c r="BG23" s="20">
        <f>BE23/1000000-BF23</f>
        <v/>
      </c>
      <c r="BH23" s="21">
        <f>BE23*23.22</f>
        <v/>
      </c>
    </row>
    <row r="24">
      <c r="A24" s="10" t="n">
        <v>45646</v>
      </c>
      <c r="B24" s="11" t="n">
        <v>9878521131</v>
      </c>
      <c r="C24" s="11" t="n"/>
      <c r="D24" s="12" t="n">
        <v>703781781</v>
      </c>
      <c r="E24" s="11" t="n"/>
      <c r="O24" s="11" t="n"/>
      <c r="P24" s="11" t="n"/>
      <c r="Q24" s="11" t="n"/>
      <c r="S24" s="13" t="n">
        <v>0.03</v>
      </c>
      <c r="X24" s="11" t="n"/>
      <c r="Y24" s="11" t="n"/>
      <c r="Z24" s="11" t="n"/>
      <c r="AB24" s="11" t="n"/>
      <c r="AH24" s="11" t="n"/>
      <c r="AJ24" s="14">
        <f>IF(OR(B24="",B24=0,N24=""),"",N24/B24*10000)</f>
        <v/>
      </c>
      <c r="AK24" s="14">
        <f>IF(OR(C24="",C24=0),"",O24/C24*10000)</f>
        <v/>
      </c>
      <c r="AL24" s="14">
        <f>IF(OR(D24="",D24=0),"",P24/D24*10000)</f>
        <v/>
      </c>
      <c r="AM24" s="14">
        <f>IF(OR(E24="",E24=0),"",Q24/E24*10000)</f>
        <v/>
      </c>
      <c r="AN24" s="11" t="n"/>
      <c r="AO24" s="11" t="n"/>
      <c r="AT24" s="15" t="n">
        <v>11180483.87</v>
      </c>
      <c r="AU24" s="15" t="n">
        <v>0</v>
      </c>
      <c r="AV24" s="15" t="n">
        <v>2863.6836</v>
      </c>
      <c r="AW24" s="15" t="n"/>
      <c r="AX24" s="16" t="n"/>
      <c r="AY24" s="13">
        <f>IF(OR(AX24="",AX24=0,AU24=""),"",AU24*365/(AX24*1000000))</f>
        <v/>
      </c>
      <c r="AZ24" s="15" t="n">
        <v>0</v>
      </c>
      <c r="BA24" s="17" t="n">
        <v>60487233</v>
      </c>
      <c r="BB24" s="18" t="n">
        <v>11180483.87</v>
      </c>
      <c r="BC24" s="17" t="n">
        <v>2971663</v>
      </c>
      <c r="BD24" s="17">
        <f>1000000000-999908174.9107+0.0000</f>
        <v/>
      </c>
      <c r="BE24" s="19">
        <f>1000000000-AZ24-BA24-BB24-BC24-BD24</f>
        <v/>
      </c>
      <c r="BF24" s="20" t="n">
        <v>238</v>
      </c>
      <c r="BG24" s="20">
        <f>BE24/1000000-BF24</f>
        <v/>
      </c>
      <c r="BH24" s="21">
        <f>BE24*24.92</f>
        <v/>
      </c>
    </row>
    <row r="25">
      <c r="A25" s="10" t="n">
        <v>45647</v>
      </c>
      <c r="B25" s="11" t="n">
        <v>5203028237</v>
      </c>
      <c r="C25" s="11" t="n"/>
      <c r="D25" s="12" t="n">
        <v>527191283</v>
      </c>
      <c r="E25" s="11" t="n"/>
      <c r="O25" s="11" t="n"/>
      <c r="P25" s="11" t="n"/>
      <c r="Q25" s="11" t="n"/>
      <c r="S25" s="13" t="n">
        <v>0.03</v>
      </c>
      <c r="X25" s="11" t="n"/>
      <c r="Y25" s="11" t="n"/>
      <c r="Z25" s="11" t="n"/>
      <c r="AB25" s="11" t="n"/>
      <c r="AH25" s="11" t="n"/>
      <c r="AJ25" s="14">
        <f>IF(OR(B25="",B25=0,N25=""),"",N25/B25*10000)</f>
        <v/>
      </c>
      <c r="AK25" s="14">
        <f>IF(OR(C25="",C25=0),"",O25/C25*10000)</f>
        <v/>
      </c>
      <c r="AL25" s="14">
        <f>IF(OR(D25="",D25=0),"",P25/D25*10000)</f>
        <v/>
      </c>
      <c r="AM25" s="14">
        <f>IF(OR(E25="",E25=0),"",Q25/E25*10000)</f>
        <v/>
      </c>
      <c r="AN25" s="11" t="n"/>
      <c r="AO25" s="11" t="n"/>
      <c r="AT25" s="15" t="n">
        <v>11244814.05</v>
      </c>
      <c r="AU25" s="15" t="n">
        <v>0</v>
      </c>
      <c r="AV25" s="15" t="n">
        <v>3033.9608</v>
      </c>
      <c r="AW25" s="15" t="n"/>
      <c r="AX25" s="16" t="n"/>
      <c r="AY25" s="13">
        <f>IF(OR(AX25="",AX25=0,AU25=""),"",AU25*365/(AX25*1000000))</f>
        <v/>
      </c>
      <c r="AZ25" s="15" t="n">
        <v>0</v>
      </c>
      <c r="BA25" s="17" t="n">
        <v>60487233</v>
      </c>
      <c r="BB25" s="18" t="n">
        <v>11244814.05</v>
      </c>
      <c r="BC25" s="17" t="n">
        <v>2971663</v>
      </c>
      <c r="BD25" s="17">
        <f>1000000000-999905140.9499+0.0000</f>
        <v/>
      </c>
      <c r="BE25" s="19">
        <f>1000000000-AZ25-BA25-BB25-BC25-BD25</f>
        <v/>
      </c>
      <c r="BF25" s="20" t="n">
        <v>238</v>
      </c>
      <c r="BG25" s="20">
        <f>BE25/1000000-BF25</f>
        <v/>
      </c>
      <c r="BH25" s="21">
        <f>BE25*29.74</f>
        <v/>
      </c>
    </row>
    <row r="26">
      <c r="A26" s="10" t="n">
        <v>45648</v>
      </c>
      <c r="B26" s="11" t="n">
        <v>4686731738</v>
      </c>
      <c r="C26" s="11" t="n"/>
      <c r="D26" s="12" t="n">
        <v>471634786</v>
      </c>
      <c r="E26" s="11" t="n"/>
      <c r="O26" s="11" t="n"/>
      <c r="P26" s="11" t="n"/>
      <c r="Q26" s="11" t="n"/>
      <c r="S26" s="13" t="n">
        <v>0.03</v>
      </c>
      <c r="X26" s="11" t="n"/>
      <c r="Y26" s="11" t="n"/>
      <c r="Z26" s="11" t="n"/>
      <c r="AB26" s="11" t="n"/>
      <c r="AH26" s="11" t="n"/>
      <c r="AJ26" s="14">
        <f>IF(OR(B26="",B26=0,N26=""),"",N26/B26*10000)</f>
        <v/>
      </c>
      <c r="AK26" s="14">
        <f>IF(OR(C26="",C26=0),"",O26/C26*10000)</f>
        <v/>
      </c>
      <c r="AL26" s="14">
        <f>IF(OR(D26="",D26=0),"",P26/D26*10000)</f>
        <v/>
      </c>
      <c r="AM26" s="14">
        <f>IF(OR(E26="",E26=0),"",Q26/E26*10000)</f>
        <v/>
      </c>
      <c r="AN26" s="11" t="n"/>
      <c r="AO26" s="11" t="n"/>
      <c r="AT26" s="15" t="n">
        <v>11290999.18</v>
      </c>
      <c r="AU26" s="15" t="n">
        <v>0</v>
      </c>
      <c r="AV26" s="15" t="n">
        <v>2044.5791</v>
      </c>
      <c r="AW26" s="15" t="n"/>
      <c r="AX26" s="16" t="n"/>
      <c r="AY26" s="13">
        <f>IF(OR(AX26="",AX26=0,AU26=""),"",AU26*365/(AX26*1000000))</f>
        <v/>
      </c>
      <c r="AZ26" s="15" t="n">
        <v>0</v>
      </c>
      <c r="BA26" s="17" t="n">
        <v>60487233</v>
      </c>
      <c r="BB26" s="18" t="n">
        <v>11290999.18</v>
      </c>
      <c r="BC26" s="17" t="n">
        <v>2971663</v>
      </c>
      <c r="BD26" s="17">
        <f>1000000000-999903096.3708+0.0000</f>
        <v/>
      </c>
      <c r="BE26" s="19">
        <f>1000000000-AZ26-BA26-BB26-BC26-BD26</f>
        <v/>
      </c>
      <c r="BF26" s="20" t="n">
        <v>238</v>
      </c>
      <c r="BG26" s="20">
        <f>BE26/1000000-BF26</f>
        <v/>
      </c>
      <c r="BH26" s="21">
        <f>BE26*32.02</f>
        <v/>
      </c>
    </row>
    <row r="27">
      <c r="A27" s="10" t="n">
        <v>45649</v>
      </c>
      <c r="B27" s="11" t="n">
        <v>6168463522</v>
      </c>
      <c r="C27" s="11" t="n"/>
      <c r="D27" s="12" t="n">
        <v>375034673</v>
      </c>
      <c r="E27" s="11" t="n"/>
      <c r="N27" s="12" t="n">
        <v>1372264</v>
      </c>
      <c r="O27" s="11" t="n"/>
      <c r="P27" s="12" t="n">
        <v>96254</v>
      </c>
      <c r="Q27" s="11" t="n"/>
      <c r="R27" s="21">
        <f>N27+O27+P27+N(Q27)</f>
        <v/>
      </c>
      <c r="S27" s="13" t="n">
        <v>0.03</v>
      </c>
      <c r="T27" s="21">
        <f>N(AC27)*S27</f>
        <v/>
      </c>
      <c r="U27" s="21">
        <f>N(AD27)*S27</f>
        <v/>
      </c>
      <c r="V27" s="21">
        <f>N(AE27)*S27</f>
        <v/>
      </c>
      <c r="W27" s="21">
        <f>IF(Q27="","",N(AF27)*S27)</f>
        <v/>
      </c>
      <c r="X27" s="12" t="n">
        <v>0</v>
      </c>
      <c r="Y27" s="11" t="n"/>
      <c r="Z27" s="11" t="n"/>
      <c r="AA27" s="21">
        <f>T27+U27+V27+N(W27)+X27+Y27+N(Z27)</f>
        <v/>
      </c>
      <c r="AB27" s="11" t="n"/>
      <c r="AC27" s="12" t="n">
        <v>1331096</v>
      </c>
      <c r="AD27" s="21">
        <f>O27-Y27</f>
        <v/>
      </c>
      <c r="AE27" s="21">
        <f>P27-X27</f>
        <v/>
      </c>
      <c r="AF27" s="21">
        <f>IF(Q27="","",Q27-Z27)</f>
        <v/>
      </c>
      <c r="AG27" s="22">
        <f>AC27+AD27+AE27+N(AF27)</f>
        <v/>
      </c>
      <c r="AH27" s="23" t="n">
        <v>1424462</v>
      </c>
      <c r="AI27" s="24">
        <f>AG27-AH27</f>
        <v/>
      </c>
      <c r="AJ27" s="14">
        <f>IF(OR(B27="",B27=0,N27=""),"",N27/B27*10000)</f>
        <v/>
      </c>
      <c r="AK27" s="14">
        <f>IF(OR(C27="",C27=0),"",O27/C27*10000)</f>
        <v/>
      </c>
      <c r="AL27" s="14">
        <f>IF(OR(D27="",D27=0),"",P27/D27*10000)</f>
        <v/>
      </c>
      <c r="AM27" s="14">
        <f>IF(OR(E27="",E27=0),"",Q27/E27*10000)</f>
        <v/>
      </c>
      <c r="AN27" s="11" t="n">
        <v>0</v>
      </c>
      <c r="AO27" s="11" t="n">
        <v>0</v>
      </c>
      <c r="AP27" s="21">
        <f>AH27+AN27+AO27</f>
        <v/>
      </c>
      <c r="AQ27" s="21">
        <f>AH27</f>
        <v/>
      </c>
      <c r="AR27" s="25" t="n">
        <v>55522.13000000082</v>
      </c>
      <c r="AS27" s="26" t="n">
        <v>28.47</v>
      </c>
      <c r="AT27" s="15" t="n">
        <v>11346521.31</v>
      </c>
      <c r="AU27" s="15" t="n">
        <v>0</v>
      </c>
      <c r="AV27" s="15" t="n">
        <v>2041.5641</v>
      </c>
      <c r="AW27" s="15" t="n"/>
      <c r="AX27" s="16" t="n"/>
      <c r="AY27" s="13">
        <f>IF(OR(AX27="",AX27=0,AU27=""),"",AU27*365/(AX27*1000000))</f>
        <v/>
      </c>
      <c r="AZ27" s="15" t="n">
        <v>0</v>
      </c>
      <c r="BA27" s="17" t="n">
        <v>60487233</v>
      </c>
      <c r="BB27" s="18" t="n">
        <v>11346521.31</v>
      </c>
      <c r="BC27" s="17" t="n">
        <v>2971663</v>
      </c>
      <c r="BD27" s="17">
        <f>1000000000-999901054.8066+0.0000</f>
        <v/>
      </c>
      <c r="BE27" s="19">
        <f>1000000000-AZ27-BA27-BB27-BC27-BD27</f>
        <v/>
      </c>
      <c r="BF27" s="20" t="n">
        <v>238</v>
      </c>
      <c r="BG27" s="20">
        <f>BE27/1000000-BF27</f>
        <v/>
      </c>
      <c r="BH27" s="21">
        <f>BE27*28.47</f>
        <v/>
      </c>
    </row>
    <row r="28">
      <c r="A28" s="10" t="n">
        <v>45650</v>
      </c>
      <c r="B28" s="11" t="n">
        <v>4401565233</v>
      </c>
      <c r="C28" s="11" t="n"/>
      <c r="D28" s="12" t="n">
        <v>319403848</v>
      </c>
      <c r="E28" s="11" t="n"/>
      <c r="N28" s="12" t="n">
        <v>1296670</v>
      </c>
      <c r="O28" s="11" t="n"/>
      <c r="P28" s="12" t="n">
        <v>47315</v>
      </c>
      <c r="Q28" s="11" t="n"/>
      <c r="R28" s="21">
        <f>N28+O28+P28+N(Q28)</f>
        <v/>
      </c>
      <c r="S28" s="13" t="n">
        <v>0.03</v>
      </c>
      <c r="T28" s="21">
        <f>N(AC28)*S28</f>
        <v/>
      </c>
      <c r="U28" s="21">
        <f>N(AD28)*S28</f>
        <v/>
      </c>
      <c r="V28" s="21">
        <f>N(AE28)*S28</f>
        <v/>
      </c>
      <c r="W28" s="21">
        <f>IF(Q28="","",N(AF28)*S28)</f>
        <v/>
      </c>
      <c r="X28" s="12" t="n">
        <v>0</v>
      </c>
      <c r="Y28" s="11" t="n"/>
      <c r="Z28" s="11" t="n"/>
      <c r="AA28" s="21">
        <f>T28+U28+V28+N(W28)+X28+Y28+N(Z28)</f>
        <v/>
      </c>
      <c r="AB28" s="11" t="n"/>
      <c r="AC28" s="12" t="n">
        <v>1257770</v>
      </c>
      <c r="AD28" s="21">
        <f>O28-Y28</f>
        <v/>
      </c>
      <c r="AE28" s="21">
        <f>P28-X28</f>
        <v/>
      </c>
      <c r="AF28" s="21">
        <f>IF(Q28="","",Q28-Z28)</f>
        <v/>
      </c>
      <c r="AG28" s="22">
        <f>AC28+AD28+AE28+N(AF28)</f>
        <v/>
      </c>
      <c r="AH28" s="23" t="n">
        <v>1303665</v>
      </c>
      <c r="AI28" s="24">
        <f>AG28-AH28</f>
        <v/>
      </c>
      <c r="AJ28" s="14">
        <f>IF(OR(B28="",B28=0,N28=""),"",N28/B28*10000)</f>
        <v/>
      </c>
      <c r="AK28" s="14">
        <f>IF(OR(C28="",C28=0),"",O28/C28*10000)</f>
        <v/>
      </c>
      <c r="AL28" s="14">
        <f>IF(OR(D28="",D28=0),"",P28/D28*10000)</f>
        <v/>
      </c>
      <c r="AM28" s="14">
        <f>IF(OR(E28="",E28=0),"",Q28/E28*10000)</f>
        <v/>
      </c>
      <c r="AN28" s="11" t="n">
        <v>0</v>
      </c>
      <c r="AO28" s="11" t="n">
        <v>0</v>
      </c>
      <c r="AP28" s="21">
        <f>AH28+AN28+AO28</f>
        <v/>
      </c>
      <c r="AQ28" s="21">
        <f>AH28</f>
        <v/>
      </c>
      <c r="AR28" s="25" t="n">
        <v>49941.63999999873</v>
      </c>
      <c r="AS28" s="26" t="n">
        <v>28.6</v>
      </c>
      <c r="AT28" s="15" t="n">
        <v>11396462.95</v>
      </c>
      <c r="AU28" s="15" t="n">
        <v>0</v>
      </c>
      <c r="AV28" s="15" t="n">
        <v>3190.5125</v>
      </c>
      <c r="AW28" s="15" t="n"/>
      <c r="AX28" s="16" t="n"/>
      <c r="AY28" s="13">
        <f>IF(OR(AX28="",AX28=0,AU28=""),"",AU28*365/(AX28*1000000))</f>
        <v/>
      </c>
      <c r="AZ28" s="15" t="n">
        <v>0</v>
      </c>
      <c r="BA28" s="17" t="n">
        <v>60487233</v>
      </c>
      <c r="BB28" s="18" t="n">
        <v>11396462.95</v>
      </c>
      <c r="BC28" s="17" t="n">
        <v>2971663</v>
      </c>
      <c r="BD28" s="17">
        <f>1000000000-999897864.2941+0.0000</f>
        <v/>
      </c>
      <c r="BE28" s="19">
        <f>1000000000-AZ28-BA28-BB28-BC28-BD28</f>
        <v/>
      </c>
      <c r="BF28" s="20" t="n">
        <v>238</v>
      </c>
      <c r="BG28" s="20">
        <f>BE28/1000000-BF28</f>
        <v/>
      </c>
      <c r="BH28" s="21">
        <f>BE28*28.6</f>
        <v/>
      </c>
    </row>
    <row r="29">
      <c r="A29" s="10" t="n">
        <v>45651</v>
      </c>
      <c r="B29" s="11" t="n">
        <v>3090026720</v>
      </c>
      <c r="C29" s="11" t="n"/>
      <c r="D29" s="12" t="n">
        <v>310480616</v>
      </c>
      <c r="E29" s="11" t="n"/>
      <c r="N29" s="12" t="n">
        <v>1002334</v>
      </c>
      <c r="O29" s="11" t="n"/>
      <c r="P29" s="12" t="n">
        <v>43561</v>
      </c>
      <c r="Q29" s="11" t="n"/>
      <c r="R29" s="21">
        <f>N29+O29+P29+N(Q29)</f>
        <v/>
      </c>
      <c r="S29" s="13" t="n">
        <v>0.03</v>
      </c>
      <c r="T29" s="21">
        <f>N(AC29)*S29</f>
        <v/>
      </c>
      <c r="U29" s="21">
        <f>N(AD29)*S29</f>
        <v/>
      </c>
      <c r="V29" s="21">
        <f>N(AE29)*S29</f>
        <v/>
      </c>
      <c r="W29" s="21">
        <f>IF(Q29="","",N(AF29)*S29)</f>
        <v/>
      </c>
      <c r="X29" s="12" t="n">
        <v>0</v>
      </c>
      <c r="Y29" s="11" t="n"/>
      <c r="Z29" s="11" t="n"/>
      <c r="AA29" s="21">
        <f>T29+U29+V29+N(W29)+X29+Y29+N(Z29)</f>
        <v/>
      </c>
      <c r="AB29" s="11" t="n"/>
      <c r="AC29" s="12" t="n">
        <v>972264</v>
      </c>
      <c r="AD29" s="21">
        <f>O29-Y29</f>
        <v/>
      </c>
      <c r="AE29" s="21">
        <f>P29-X29</f>
        <v/>
      </c>
      <c r="AF29" s="21">
        <f>IF(Q29="","",Q29-Z29)</f>
        <v/>
      </c>
      <c r="AG29" s="22">
        <f>AC29+AD29+AE29+N(AF29)</f>
        <v/>
      </c>
      <c r="AH29" s="23" t="n">
        <v>1014518</v>
      </c>
      <c r="AI29" s="24">
        <f>AG29-AH29</f>
        <v/>
      </c>
      <c r="AJ29" s="14">
        <f>IF(OR(B29="",B29=0,N29=""),"",N29/B29*10000)</f>
        <v/>
      </c>
      <c r="AK29" s="14">
        <f>IF(OR(C29="",C29=0),"",O29/C29*10000)</f>
        <v/>
      </c>
      <c r="AL29" s="14">
        <f>IF(OR(D29="",D29=0),"",P29/D29*10000)</f>
        <v/>
      </c>
      <c r="AM29" s="14">
        <f>IF(OR(E29="",E29=0),"",Q29/E29*10000)</f>
        <v/>
      </c>
      <c r="AN29" s="11" t="n">
        <v>0</v>
      </c>
      <c r="AO29" s="11" t="n">
        <v>0</v>
      </c>
      <c r="AP29" s="21">
        <f>AH29+AN29+AO29</f>
        <v/>
      </c>
      <c r="AQ29" s="21">
        <f>AH29</f>
        <v/>
      </c>
      <c r="AR29" s="25" t="n">
        <v>42906.81000000052</v>
      </c>
      <c r="AS29" s="26" t="n">
        <v>29.78</v>
      </c>
      <c r="AT29" s="15" t="n">
        <v>11439369.76</v>
      </c>
      <c r="AU29" s="15" t="n">
        <v>0</v>
      </c>
      <c r="AV29" s="15" t="n">
        <v>1832.8323</v>
      </c>
      <c r="AW29" s="15" t="n"/>
      <c r="AX29" s="16" t="n"/>
      <c r="AY29" s="13">
        <f>IF(OR(AX29="",AX29=0,AU29=""),"",AU29*365/(AX29*1000000))</f>
        <v/>
      </c>
      <c r="AZ29" s="15" t="n">
        <v>0</v>
      </c>
      <c r="BA29" s="17" t="n">
        <v>60487233</v>
      </c>
      <c r="BB29" s="18" t="n">
        <v>11439369.76</v>
      </c>
      <c r="BC29" s="17" t="n">
        <v>2971663</v>
      </c>
      <c r="BD29" s="17">
        <f>1000000000-999896031.4618+0.0000</f>
        <v/>
      </c>
      <c r="BE29" s="19">
        <f>1000000000-AZ29-BA29-BB29-BC29-BD29</f>
        <v/>
      </c>
      <c r="BF29" s="20" t="n">
        <v>238</v>
      </c>
      <c r="BG29" s="20">
        <f>BE29/1000000-BF29</f>
        <v/>
      </c>
      <c r="BH29" s="21">
        <f>BE29*29.78</f>
        <v/>
      </c>
    </row>
    <row r="30">
      <c r="A30" s="10" t="n">
        <v>45652</v>
      </c>
      <c r="B30" s="11" t="n">
        <v>3897465234</v>
      </c>
      <c r="C30" s="11" t="n"/>
      <c r="D30" s="12" t="n">
        <v>214091088</v>
      </c>
      <c r="E30" s="11" t="n"/>
      <c r="N30" s="12" t="n">
        <v>1269042</v>
      </c>
      <c r="O30" s="11" t="n"/>
      <c r="P30" s="12" t="n">
        <v>44254</v>
      </c>
      <c r="Q30" s="11" t="n"/>
      <c r="R30" s="21">
        <f>N30+O30+P30+N(Q30)</f>
        <v/>
      </c>
      <c r="S30" s="13" t="n">
        <v>0.03</v>
      </c>
      <c r="T30" s="21">
        <f>N(AC30)*S30</f>
        <v/>
      </c>
      <c r="U30" s="21">
        <f>N(AD30)*S30</f>
        <v/>
      </c>
      <c r="V30" s="21">
        <f>N(AE30)*S30</f>
        <v/>
      </c>
      <c r="W30" s="21">
        <f>IF(Q30="","",N(AF30)*S30)</f>
        <v/>
      </c>
      <c r="X30" s="12" t="n">
        <v>0</v>
      </c>
      <c r="Y30" s="11" t="n"/>
      <c r="Z30" s="11" t="n"/>
      <c r="AA30" s="21">
        <f>T30+U30+V30+N(W30)+X30+Y30+N(Z30)</f>
        <v/>
      </c>
      <c r="AB30" s="11" t="n"/>
      <c r="AC30" s="12" t="n">
        <v>1230971</v>
      </c>
      <c r="AD30" s="21">
        <f>O30-Y30</f>
        <v/>
      </c>
      <c r="AE30" s="21">
        <f>P30-X30</f>
        <v/>
      </c>
      <c r="AF30" s="21">
        <f>IF(Q30="","",Q30-Z30)</f>
        <v/>
      </c>
      <c r="AG30" s="22">
        <f>AC30+AD30+AE30+N(AF30)</f>
        <v/>
      </c>
      <c r="AH30" s="23" t="n">
        <v>1273897</v>
      </c>
      <c r="AI30" s="24">
        <f>AG30-AH30</f>
        <v/>
      </c>
      <c r="AJ30" s="14">
        <f>IF(OR(B30="",B30=0,N30=""),"",N30/B30*10000)</f>
        <v/>
      </c>
      <c r="AK30" s="14">
        <f>IF(OR(C30="",C30=0),"",O30/C30*10000)</f>
        <v/>
      </c>
      <c r="AL30" s="14">
        <f>IF(OR(D30="",D30=0),"",P30/D30*10000)</f>
        <v/>
      </c>
      <c r="AM30" s="14">
        <f>IF(OR(E30="",E30=0),"",Q30/E30*10000)</f>
        <v/>
      </c>
      <c r="AN30" s="11" t="n">
        <v>0</v>
      </c>
      <c r="AO30" s="11" t="n">
        <v>0</v>
      </c>
      <c r="AP30" s="21">
        <f>AH30+AN30+AO30</f>
        <v/>
      </c>
      <c r="AQ30" s="21">
        <f>AH30</f>
        <v/>
      </c>
      <c r="AR30" s="25" t="n">
        <v>28772.87000000104</v>
      </c>
      <c r="AS30" s="26" t="n">
        <v>26.55</v>
      </c>
      <c r="AT30" s="15" t="n">
        <v>11468142.63</v>
      </c>
      <c r="AU30" s="15" t="n">
        <v>0</v>
      </c>
      <c r="AV30" s="15" t="n">
        <v>1373.0965</v>
      </c>
      <c r="AW30" s="15" t="n"/>
      <c r="AX30" s="16" t="n"/>
      <c r="AY30" s="13">
        <f>IF(OR(AX30="",AX30=0,AU30=""),"",AU30*365/(AX30*1000000))</f>
        <v/>
      </c>
      <c r="AZ30" s="15" t="n">
        <v>0</v>
      </c>
      <c r="BA30" s="17" t="n">
        <v>60487233</v>
      </c>
      <c r="BB30" s="18" t="n">
        <v>11468142.63</v>
      </c>
      <c r="BC30" s="17" t="n">
        <v>2971663</v>
      </c>
      <c r="BD30" s="17">
        <f>1000000000-999894658.3653+0.0000</f>
        <v/>
      </c>
      <c r="BE30" s="19">
        <f>1000000000-AZ30-BA30-BB30-BC30-BD30</f>
        <v/>
      </c>
      <c r="BF30" s="20" t="n">
        <v>238</v>
      </c>
      <c r="BG30" s="20">
        <f>BE30/1000000-BF30</f>
        <v/>
      </c>
      <c r="BH30" s="21">
        <f>BE30*26.55</f>
        <v/>
      </c>
    </row>
    <row r="31">
      <c r="A31" s="10" t="n">
        <v>45653</v>
      </c>
      <c r="B31" s="11" t="n">
        <v>3889473141</v>
      </c>
      <c r="C31" s="11" t="n"/>
      <c r="D31" s="12" t="n">
        <v>216391282</v>
      </c>
      <c r="E31" s="11" t="n"/>
      <c r="N31" s="12" t="n">
        <v>1268921</v>
      </c>
      <c r="O31" s="11" t="n"/>
      <c r="P31" s="12" t="n">
        <v>28523</v>
      </c>
      <c r="Q31" s="11" t="n"/>
      <c r="R31" s="21">
        <f>N31+O31+P31+N(Q31)</f>
        <v/>
      </c>
      <c r="S31" s="13" t="n">
        <v>0.03</v>
      </c>
      <c r="T31" s="21">
        <f>N(AC31)*S31</f>
        <v/>
      </c>
      <c r="U31" s="21">
        <f>N(AD31)*S31</f>
        <v/>
      </c>
      <c r="V31" s="21">
        <f>N(AE31)*S31</f>
        <v/>
      </c>
      <c r="W31" s="21">
        <f>IF(Q31="","",N(AF31)*S31)</f>
        <v/>
      </c>
      <c r="X31" s="12" t="n">
        <v>0</v>
      </c>
      <c r="Y31" s="11" t="n"/>
      <c r="Z31" s="11" t="n"/>
      <c r="AA31" s="21">
        <f>T31+U31+V31+N(W31)+X31+Y31+N(Z31)</f>
        <v/>
      </c>
      <c r="AB31" s="11" t="n"/>
      <c r="AC31" s="12" t="n">
        <v>1230853</v>
      </c>
      <c r="AD31" s="21">
        <f>O31-Y31</f>
        <v/>
      </c>
      <c r="AE31" s="21">
        <f>P31-X31</f>
        <v/>
      </c>
      <c r="AF31" s="21">
        <f>IF(Q31="","",Q31-Z31)</f>
        <v/>
      </c>
      <c r="AG31" s="22">
        <f>AC31+AD31+AE31+N(AF31)</f>
        <v/>
      </c>
      <c r="AH31" s="23" t="n">
        <v>1258520</v>
      </c>
      <c r="AI31" s="24">
        <f>AG31-AH31</f>
        <v/>
      </c>
      <c r="AJ31" s="14">
        <f>IF(OR(B31="",B31=0,N31=""),"",N31/B31*10000)</f>
        <v/>
      </c>
      <c r="AK31" s="14">
        <f>IF(OR(C31="",C31=0),"",O31/C31*10000)</f>
        <v/>
      </c>
      <c r="AL31" s="14">
        <f>IF(OR(D31="",D31=0),"",P31/D31*10000)</f>
        <v/>
      </c>
      <c r="AM31" s="14">
        <f>IF(OR(E31="",E31=0),"",Q31/E31*10000)</f>
        <v/>
      </c>
      <c r="AN31" s="11" t="n">
        <v>0</v>
      </c>
      <c r="AO31" s="11" t="n">
        <v>0</v>
      </c>
      <c r="AP31" s="21">
        <f>AH31+AN31+AO31</f>
        <v/>
      </c>
      <c r="AQ31" s="21">
        <f>AH31</f>
        <v/>
      </c>
      <c r="AR31" s="25" t="n">
        <v>45393.94999999925</v>
      </c>
      <c r="AS31" s="26" t="n">
        <v>27.22</v>
      </c>
      <c r="AT31" s="15" t="n">
        <v>11513536.58</v>
      </c>
      <c r="AU31" s="15" t="n">
        <v>0</v>
      </c>
      <c r="AV31" s="15" t="n">
        <v>1476.4802</v>
      </c>
      <c r="AW31" s="15" t="n"/>
      <c r="AX31" s="16" t="n"/>
      <c r="AY31" s="13">
        <f>IF(OR(AX31="",AX31=0,AU31=""),"",AU31*365/(AX31*1000000))</f>
        <v/>
      </c>
      <c r="AZ31" s="15" t="n">
        <v>0</v>
      </c>
      <c r="BA31" s="17" t="n">
        <v>60487233</v>
      </c>
      <c r="BB31" s="18" t="n">
        <v>11513536.58</v>
      </c>
      <c r="BC31" s="17" t="n">
        <v>2971663</v>
      </c>
      <c r="BD31" s="17">
        <f>1000000000-999893181.8852+0.0000</f>
        <v/>
      </c>
      <c r="BE31" s="19">
        <f>1000000000-AZ31-BA31-BB31-BC31-BD31</f>
        <v/>
      </c>
      <c r="BF31" s="20" t="n">
        <v>238</v>
      </c>
      <c r="BG31" s="20">
        <f>BE31/1000000-BF31</f>
        <v/>
      </c>
      <c r="BH31" s="21">
        <f>BE31*27.22</f>
        <v/>
      </c>
    </row>
    <row r="32">
      <c r="A32" s="10" t="n">
        <v>45654</v>
      </c>
      <c r="B32" s="11" t="n">
        <v>2077191362</v>
      </c>
      <c r="C32" s="11" t="n"/>
      <c r="D32" s="12" t="n">
        <v>212391739</v>
      </c>
      <c r="E32" s="11" t="n"/>
      <c r="N32" s="12" t="n">
        <v>950246</v>
      </c>
      <c r="O32" s="11" t="n"/>
      <c r="P32" s="12" t="n">
        <v>28430</v>
      </c>
      <c r="Q32" s="11" t="n"/>
      <c r="R32" s="21">
        <f>N32+O32+P32+N(Q32)</f>
        <v/>
      </c>
      <c r="S32" s="13" t="n">
        <v>0.03</v>
      </c>
      <c r="T32" s="21">
        <f>N(AC32)*S32</f>
        <v/>
      </c>
      <c r="U32" s="21">
        <f>N(AD32)*S32</f>
        <v/>
      </c>
      <c r="V32" s="21">
        <f>N(AE32)*S32</f>
        <v/>
      </c>
      <c r="W32" s="21">
        <f>IF(Q32="","",N(AF32)*S32)</f>
        <v/>
      </c>
      <c r="X32" s="12" t="n">
        <v>0</v>
      </c>
      <c r="Y32" s="11" t="n"/>
      <c r="Z32" s="11" t="n"/>
      <c r="AA32" s="21">
        <f>T32+U32+V32+N(W32)+X32+Y32+N(Z32)</f>
        <v/>
      </c>
      <c r="AB32" s="11" t="n"/>
      <c r="AC32" s="12" t="n">
        <v>921738</v>
      </c>
      <c r="AD32" s="21">
        <f>O32-Y32</f>
        <v/>
      </c>
      <c r="AE32" s="21">
        <f>P32-X32</f>
        <v/>
      </c>
      <c r="AF32" s="21">
        <f>IF(Q32="","",Q32-Z32)</f>
        <v/>
      </c>
      <c r="AG32" s="22">
        <f>AC32+AD32+AE32+N(AF32)</f>
        <v/>
      </c>
      <c r="AH32" s="23" t="n">
        <v>949315</v>
      </c>
      <c r="AI32" s="24">
        <f>AG32-AH32</f>
        <v/>
      </c>
      <c r="AJ32" s="14">
        <f>IF(OR(B32="",B32=0,N32=""),"",N32/B32*10000)</f>
        <v/>
      </c>
      <c r="AK32" s="14">
        <f>IF(OR(C32="",C32=0),"",O32/C32*10000)</f>
        <v/>
      </c>
      <c r="AL32" s="14">
        <f>IF(OR(D32="",D32=0),"",P32/D32*10000)</f>
        <v/>
      </c>
      <c r="AM32" s="14">
        <f>IF(OR(E32="",E32=0),"",Q32/E32*10000)</f>
        <v/>
      </c>
      <c r="AN32" s="11" t="n">
        <v>0</v>
      </c>
      <c r="AO32" s="11" t="n">
        <v>0</v>
      </c>
      <c r="AP32" s="21">
        <f>AH32+AN32+AO32</f>
        <v/>
      </c>
      <c r="AQ32" s="21">
        <f>AH32</f>
        <v/>
      </c>
      <c r="AR32" s="25" t="n">
        <v>46697.63000000082</v>
      </c>
      <c r="AS32" s="26" t="n">
        <v>27.11</v>
      </c>
      <c r="AT32" s="15" t="n">
        <v>11560234.21</v>
      </c>
      <c r="AU32" s="15" t="n">
        <v>0</v>
      </c>
      <c r="AV32" s="15" t="n">
        <v>1019.7076</v>
      </c>
      <c r="AW32" s="15" t="n"/>
      <c r="AX32" s="16" t="n">
        <v>301.0012182534487</v>
      </c>
      <c r="AY32" s="13">
        <f>IF(OR(AX32="",AX32=0,AU32=""),"",AU32*365/(AX32*1000000))</f>
        <v/>
      </c>
      <c r="AZ32" s="15" t="n">
        <v>0</v>
      </c>
      <c r="BA32" s="17" t="n">
        <v>60487233</v>
      </c>
      <c r="BB32" s="18" t="n">
        <v>11560234.21</v>
      </c>
      <c r="BC32" s="17" t="n">
        <v>2971663</v>
      </c>
      <c r="BD32" s="17">
        <f>1000000000-999892162.1776+0.0000</f>
        <v/>
      </c>
      <c r="BE32" s="19">
        <f>1000000000-AZ32-BA32-BB32-BC32-BD32</f>
        <v/>
      </c>
      <c r="BF32" s="20" t="n">
        <v>238</v>
      </c>
      <c r="BG32" s="20">
        <f>BE32/1000000-BF32</f>
        <v/>
      </c>
      <c r="BH32" s="21">
        <f>BE32*27.11</f>
        <v/>
      </c>
    </row>
    <row r="33">
      <c r="A33" s="10" t="n">
        <v>45655</v>
      </c>
      <c r="B33" s="11" t="n">
        <v>1965931600</v>
      </c>
      <c r="C33" s="11" t="n"/>
      <c r="D33" s="12" t="n">
        <v>342862746</v>
      </c>
      <c r="E33" s="11" t="n"/>
      <c r="N33" s="12" t="n">
        <v>454244</v>
      </c>
      <c r="O33" s="11" t="n"/>
      <c r="P33" s="12" t="n">
        <v>31496</v>
      </c>
      <c r="Q33" s="11" t="n"/>
      <c r="R33" s="21">
        <f>N33+O33+P33+N(Q33)</f>
        <v/>
      </c>
      <c r="S33" s="13" t="n">
        <v>0.03</v>
      </c>
      <c r="T33" s="21">
        <f>N(AC33)*S33</f>
        <v/>
      </c>
      <c r="U33" s="21">
        <f>N(AD33)*S33</f>
        <v/>
      </c>
      <c r="V33" s="21">
        <f>N(AE33)*S33</f>
        <v/>
      </c>
      <c r="W33" s="21">
        <f>IF(Q33="","",N(AF33)*S33)</f>
        <v/>
      </c>
      <c r="X33" s="12" t="n">
        <v>0</v>
      </c>
      <c r="Y33" s="11" t="n"/>
      <c r="Z33" s="11" t="n"/>
      <c r="AA33" s="21">
        <f>T33+U33+V33+N(W33)+X33+Y33+N(Z33)</f>
        <v/>
      </c>
      <c r="AB33" s="11" t="n"/>
      <c r="AC33" s="12" t="n">
        <v>440616</v>
      </c>
      <c r="AD33" s="21">
        <f>O33-Y33</f>
        <v/>
      </c>
      <c r="AE33" s="21">
        <f>P33-X33</f>
        <v/>
      </c>
      <c r="AF33" s="21">
        <f>IF(Q33="","",Q33-Z33)</f>
        <v/>
      </c>
      <c r="AG33" s="22">
        <f>AC33+AD33+AE33+N(AF33)</f>
        <v/>
      </c>
      <c r="AH33" s="23" t="n">
        <v>471167</v>
      </c>
      <c r="AI33" s="24">
        <f>AG33-AH33</f>
        <v/>
      </c>
      <c r="AJ33" s="14">
        <f>IF(OR(B33="",B33=0,N33=""),"",N33/B33*10000)</f>
        <v/>
      </c>
      <c r="AK33" s="14">
        <f>IF(OR(C33="",C33=0),"",O33/C33*10000)</f>
        <v/>
      </c>
      <c r="AL33" s="14">
        <f>IF(OR(D33="",D33=0),"",P33/D33*10000)</f>
        <v/>
      </c>
      <c r="AM33" s="14">
        <f>IF(OR(E33="",E33=0),"",Q33/E33*10000)</f>
        <v/>
      </c>
      <c r="AN33" s="11" t="n">
        <v>0</v>
      </c>
      <c r="AO33" s="11" t="n">
        <v>0</v>
      </c>
      <c r="AP33" s="21">
        <f>AH33+AN33+AO33</f>
        <v/>
      </c>
      <c r="AQ33" s="21">
        <f>AH33</f>
        <v/>
      </c>
      <c r="AR33" s="25" t="n">
        <v>33952.53999999911</v>
      </c>
      <c r="AS33" s="26" t="n">
        <v>29.26</v>
      </c>
      <c r="AT33" s="15" t="n">
        <v>11594186.75</v>
      </c>
      <c r="AU33" s="15" t="n">
        <v>0</v>
      </c>
      <c r="AV33" s="15" t="n">
        <v>774.4857</v>
      </c>
      <c r="AW33" s="15" t="n"/>
      <c r="AX33" s="16" t="n">
        <v>301.0243938010069</v>
      </c>
      <c r="AY33" s="13">
        <f>IF(OR(AX33="",AX33=0,AU33=""),"",AU33*365/(AX33*1000000))</f>
        <v/>
      </c>
      <c r="AZ33" s="15" t="n">
        <v>428050035.7424</v>
      </c>
      <c r="BA33" s="17" t="n">
        <v>60487233</v>
      </c>
      <c r="BB33" s="18" t="n">
        <v>11594186.75</v>
      </c>
      <c r="BC33" s="17" t="n">
        <v>2971663</v>
      </c>
      <c r="BD33" s="17">
        <f>1000000000-999891387.692+0.0000</f>
        <v/>
      </c>
      <c r="BE33" s="19">
        <f>1000000000-AZ33-BA33-BB33-BC33-BD33</f>
        <v/>
      </c>
      <c r="BF33" s="20" t="n">
        <v>238</v>
      </c>
      <c r="BG33" s="20">
        <f>BE33/1000000-BF33</f>
        <v/>
      </c>
      <c r="BH33" s="21">
        <f>BE33*29.26</f>
        <v/>
      </c>
    </row>
    <row r="34">
      <c r="A34" s="10" t="n">
        <v>45656</v>
      </c>
      <c r="B34" s="11" t="n">
        <v>4697171102</v>
      </c>
      <c r="C34" s="11" t="n"/>
      <c r="D34" s="12" t="n">
        <v>267028183</v>
      </c>
      <c r="E34" s="11" t="n"/>
      <c r="N34" s="12" t="n">
        <v>1483664</v>
      </c>
      <c r="O34" s="11" t="n"/>
      <c r="P34" s="12" t="n">
        <v>49113</v>
      </c>
      <c r="Q34" s="11" t="n"/>
      <c r="R34" s="21">
        <f>N34+O34+P34+N(Q34)</f>
        <v/>
      </c>
      <c r="S34" s="13" t="n">
        <v>0.03</v>
      </c>
      <c r="T34" s="21">
        <f>N(AC34)*S34</f>
        <v/>
      </c>
      <c r="U34" s="21">
        <f>N(AD34)*S34</f>
        <v/>
      </c>
      <c r="V34" s="21">
        <f>N(AE34)*S34</f>
        <v/>
      </c>
      <c r="W34" s="21">
        <f>IF(Q34="","",N(AF34)*S34)</f>
        <v/>
      </c>
      <c r="X34" s="12" t="n">
        <v>0</v>
      </c>
      <c r="Y34" s="11" t="n"/>
      <c r="Z34" s="11" t="n"/>
      <c r="AA34" s="21">
        <f>T34+U34+V34+N(W34)+X34+Y34+N(Z34)</f>
        <v/>
      </c>
      <c r="AB34" s="11" t="n"/>
      <c r="AC34" s="12" t="n">
        <v>1439154</v>
      </c>
      <c r="AD34" s="21">
        <f>O34-Y34</f>
        <v/>
      </c>
      <c r="AE34" s="21">
        <f>P34-X34</f>
        <v/>
      </c>
      <c r="AF34" s="21">
        <f>IF(Q34="","",Q34-Z34)</f>
        <v/>
      </c>
      <c r="AG34" s="22">
        <f>AC34+AD34+AE34+N(AF34)</f>
        <v/>
      </c>
      <c r="AH34" s="23" t="n">
        <v>1486794</v>
      </c>
      <c r="AI34" s="24">
        <f>AG34-AH34</f>
        <v/>
      </c>
      <c r="AJ34" s="14">
        <f>IF(OR(B34="",B34=0,N34=""),"",N34/B34*10000)</f>
        <v/>
      </c>
      <c r="AK34" s="14">
        <f>IF(OR(C34="",C34=0),"",O34/C34*10000)</f>
        <v/>
      </c>
      <c r="AL34" s="14">
        <f>IF(OR(D34="",D34=0),"",P34/D34*10000)</f>
        <v/>
      </c>
      <c r="AM34" s="14">
        <f>IF(OR(E34="",E34=0),"",Q34/E34*10000)</f>
        <v/>
      </c>
      <c r="AN34" s="11" t="n">
        <v>0</v>
      </c>
      <c r="AO34" s="11" t="n">
        <v>0</v>
      </c>
      <c r="AP34" s="21">
        <f>AH34+AN34+AO34</f>
        <v/>
      </c>
      <c r="AQ34" s="21">
        <f>AH34</f>
        <v/>
      </c>
      <c r="AR34" s="25" t="n">
        <v>32031.98000000045</v>
      </c>
      <c r="AS34" s="26" t="n">
        <v>27.44</v>
      </c>
      <c r="AT34" s="15" t="n">
        <v>11626218.73</v>
      </c>
      <c r="AU34" s="15" t="n">
        <v>22225.3623</v>
      </c>
      <c r="AV34" s="15" t="n">
        <v>611.8805</v>
      </c>
      <c r="AW34" s="15" t="n"/>
      <c r="AX34" s="16" t="n">
        <v>301.1072786232656</v>
      </c>
      <c r="AY34" s="13">
        <f>IF(OR(AX34="",AX34=0,AU34=""),"",AU34*365/(AX34*1000000))</f>
        <v/>
      </c>
      <c r="AZ34" s="15" t="n">
        <v>428027810.3801</v>
      </c>
      <c r="BA34" s="17" t="n">
        <v>60487233</v>
      </c>
      <c r="BB34" s="18" t="n">
        <v>11626218.73</v>
      </c>
      <c r="BC34" s="17" t="n">
        <v>2971663</v>
      </c>
      <c r="BD34" s="17">
        <f>1000000000-999890775.8115+0.0000</f>
        <v/>
      </c>
      <c r="BE34" s="19">
        <f>1000000000-AZ34-BA34-BB34-BC34-BD34</f>
        <v/>
      </c>
      <c r="BF34" s="20" t="n">
        <v>238</v>
      </c>
      <c r="BG34" s="20">
        <f>BE34/1000000-BF34</f>
        <v/>
      </c>
      <c r="BH34" s="21">
        <f>BE34*27.44</f>
        <v/>
      </c>
    </row>
    <row r="35">
      <c r="A35" s="10" t="n">
        <v>45657</v>
      </c>
      <c r="B35" s="11" t="n">
        <v>3450514508</v>
      </c>
      <c r="C35" s="11" t="n"/>
      <c r="D35" s="12" t="n">
        <v>225503235</v>
      </c>
      <c r="E35" s="11" t="n"/>
      <c r="N35" s="12" t="n">
        <v>1326087</v>
      </c>
      <c r="O35" s="11" t="n"/>
      <c r="P35" s="12" t="n">
        <v>42962</v>
      </c>
      <c r="Q35" s="11" t="n"/>
      <c r="R35" s="21">
        <f>N35+O35+P35+N(Q35)</f>
        <v/>
      </c>
      <c r="S35" s="13" t="n">
        <v>0.03</v>
      </c>
      <c r="T35" s="21">
        <f>N(AC35)*S35</f>
        <v/>
      </c>
      <c r="U35" s="21">
        <f>N(AD35)*S35</f>
        <v/>
      </c>
      <c r="V35" s="21">
        <f>N(AE35)*S35</f>
        <v/>
      </c>
      <c r="W35" s="21">
        <f>IF(Q35="","",N(AF35)*S35)</f>
        <v/>
      </c>
      <c r="X35" s="12" t="n">
        <v>0</v>
      </c>
      <c r="Y35" s="11" t="n"/>
      <c r="Z35" s="11" t="n"/>
      <c r="AA35" s="21">
        <f>T35+U35+V35+N(W35)+X35+Y35+N(Z35)</f>
        <v/>
      </c>
      <c r="AB35" s="11" t="n"/>
      <c r="AC35" s="12" t="n">
        <v>1286304</v>
      </c>
      <c r="AD35" s="21">
        <f>O35-Y35</f>
        <v/>
      </c>
      <c r="AE35" s="21">
        <f>P35-X35</f>
        <v/>
      </c>
      <c r="AF35" s="21">
        <f>IF(Q35="","",Q35-Z35)</f>
        <v/>
      </c>
      <c r="AG35" s="22">
        <f>AC35+AD35+AE35+N(AF35)</f>
        <v/>
      </c>
      <c r="AH35" s="23" t="n">
        <v>1327977</v>
      </c>
      <c r="AI35" s="24">
        <f>AG35-AH35</f>
        <v/>
      </c>
      <c r="AJ35" s="14">
        <f>IF(OR(B35="",B35=0,N35=""),"",N35/B35*10000)</f>
        <v/>
      </c>
      <c r="AK35" s="14">
        <f>IF(OR(C35="",C35=0),"",O35/C35*10000)</f>
        <v/>
      </c>
      <c r="AL35" s="14">
        <f>IF(OR(D35="",D35=0),"",P35/D35*10000)</f>
        <v/>
      </c>
      <c r="AM35" s="14">
        <f>IF(OR(E35="",E35=0),"",Q35/E35*10000)</f>
        <v/>
      </c>
      <c r="AN35" s="11" t="n">
        <v>0</v>
      </c>
      <c r="AO35" s="11" t="n">
        <v>0</v>
      </c>
      <c r="AP35" s="21">
        <f>AH35+AN35+AO35</f>
        <v/>
      </c>
      <c r="AQ35" s="21">
        <f>AH35</f>
        <v/>
      </c>
      <c r="AR35" s="25" t="n">
        <v>44578.73000000045</v>
      </c>
      <c r="AS35" s="26" t="n">
        <v>26.95</v>
      </c>
      <c r="AT35" s="15" t="n">
        <v>11670797.46</v>
      </c>
      <c r="AU35" s="15" t="n">
        <v>23028.5883</v>
      </c>
      <c r="AV35" s="15" t="n">
        <v>870.4787</v>
      </c>
      <c r="AW35" s="15" t="n"/>
      <c r="AX35" s="16" t="n">
        <v>352.7985608376088</v>
      </c>
      <c r="AY35" s="13">
        <f>IF(OR(AX35="",AX35=0,AU35=""),"",AU35*365/(AX35*1000000))</f>
        <v/>
      </c>
      <c r="AZ35" s="15" t="n">
        <v>428004781.7919</v>
      </c>
      <c r="BA35" s="17" t="n">
        <v>60487233</v>
      </c>
      <c r="BB35" s="18" t="n">
        <v>11670797.46</v>
      </c>
      <c r="BC35" s="17" t="n">
        <v>2971663</v>
      </c>
      <c r="BD35" s="17">
        <f>1000000000-999889905.3328+0.0000</f>
        <v/>
      </c>
      <c r="BE35" s="19">
        <f>1000000000-AZ35-BA35-BB35-BC35-BD35</f>
        <v/>
      </c>
      <c r="BF35" s="20" t="n">
        <v>238</v>
      </c>
      <c r="BG35" s="20">
        <f>BE35/1000000-BF35</f>
        <v/>
      </c>
      <c r="BH35" s="21">
        <f>BE35*26.95</f>
        <v/>
      </c>
    </row>
    <row r="36">
      <c r="A36" s="10" t="n">
        <v>45658</v>
      </c>
      <c r="B36" s="11" t="n">
        <v>2157256818</v>
      </c>
      <c r="C36" s="11" t="n"/>
      <c r="D36" s="12" t="n">
        <v>256438336</v>
      </c>
      <c r="E36" s="11" t="n"/>
      <c r="N36" s="12" t="n">
        <v>483299</v>
      </c>
      <c r="O36" s="11" t="n"/>
      <c r="P36" s="12" t="n">
        <v>30141</v>
      </c>
      <c r="Q36" s="11" t="n"/>
      <c r="R36" s="21">
        <f>N36+O36+P36+N(Q36)</f>
        <v/>
      </c>
      <c r="S36" s="13" t="n">
        <v>0.03</v>
      </c>
      <c r="T36" s="21">
        <f>N(AC36)*S36</f>
        <v/>
      </c>
      <c r="U36" s="21">
        <f>N(AD36)*S36</f>
        <v/>
      </c>
      <c r="V36" s="21">
        <f>N(AE36)*S36</f>
        <v/>
      </c>
      <c r="W36" s="21">
        <f>IF(Q36="","",N(AF36)*S36)</f>
        <v/>
      </c>
      <c r="X36" s="12" t="n">
        <v>0</v>
      </c>
      <c r="Y36" s="11" t="n"/>
      <c r="Z36" s="11" t="n"/>
      <c r="AA36" s="21">
        <f>T36+U36+V36+N(W36)+X36+Y36+N(Z36)</f>
        <v/>
      </c>
      <c r="AB36" s="11" t="n"/>
      <c r="AC36" s="12" t="n">
        <v>468800</v>
      </c>
      <c r="AD36" s="21">
        <f>O36-Y36</f>
        <v/>
      </c>
      <c r="AE36" s="21">
        <f>P36-X36</f>
        <v/>
      </c>
      <c r="AF36" s="21">
        <f>IF(Q36="","",Q36-Z36)</f>
        <v/>
      </c>
      <c r="AG36" s="22">
        <f>AC36+AD36+AE36+N(AF36)</f>
        <v/>
      </c>
      <c r="AH36" s="23" t="n">
        <v>498037</v>
      </c>
      <c r="AI36" s="24">
        <f>AG36-AH36</f>
        <v/>
      </c>
      <c r="AJ36" s="14">
        <f>IF(OR(B36="",B36=0,N36=""),"",N36/B36*10000)</f>
        <v/>
      </c>
      <c r="AK36" s="14">
        <f>IF(OR(C36="",C36=0),"",O36/C36*10000)</f>
        <v/>
      </c>
      <c r="AL36" s="14">
        <f>IF(OR(D36="",D36=0),"",P36/D36*10000)</f>
        <v/>
      </c>
      <c r="AM36" s="14">
        <f>IF(OR(E36="",E36=0),"",Q36/E36*10000)</f>
        <v/>
      </c>
      <c r="AN36" s="11" t="n">
        <v>0</v>
      </c>
      <c r="AO36" s="11" t="n">
        <v>0</v>
      </c>
      <c r="AP36" s="21">
        <f>AH36+AN36+AO36</f>
        <v/>
      </c>
      <c r="AQ36" s="21">
        <f>AH36</f>
        <v/>
      </c>
      <c r="AR36" s="25" t="n">
        <v>48753.46999999881</v>
      </c>
      <c r="AS36" s="26" t="n">
        <v>24</v>
      </c>
      <c r="AT36" s="15" t="n">
        <v>11719550.93</v>
      </c>
      <c r="AU36" s="15" t="n">
        <v>24499.3537</v>
      </c>
      <c r="AV36" s="15" t="n">
        <v>941.1022</v>
      </c>
      <c r="AW36" s="15" t="n"/>
      <c r="AX36" s="16" t="n">
        <v>372.9855327802365</v>
      </c>
      <c r="AY36" s="13">
        <f>IF(OR(AX36="",AX36=0,AU36=""),"",AU36*365/(AX36*1000000))</f>
        <v/>
      </c>
      <c r="AZ36" s="15" t="n">
        <v>427980282.4381</v>
      </c>
      <c r="BA36" s="17" t="n">
        <v>60487233</v>
      </c>
      <c r="BB36" s="18" t="n">
        <v>11719550.93</v>
      </c>
      <c r="BC36" s="17" t="n">
        <v>2971663</v>
      </c>
      <c r="BD36" s="17">
        <f>1000000000-999888964.2307+0.0000</f>
        <v/>
      </c>
      <c r="BE36" s="19">
        <f>1000000000-AZ36-BA36-BB36-BC36-BD36</f>
        <v/>
      </c>
      <c r="BF36" s="20" t="n">
        <v>238</v>
      </c>
      <c r="BG36" s="20">
        <f>BE36/1000000-BF36</f>
        <v/>
      </c>
      <c r="BH36" s="21">
        <f>BE36*24</f>
        <v/>
      </c>
    </row>
    <row r="37">
      <c r="A37" s="10" t="n">
        <v>45659</v>
      </c>
      <c r="B37" s="11" t="n">
        <v>3645816159</v>
      </c>
      <c r="C37" s="11" t="n"/>
      <c r="D37" s="12" t="n">
        <v>267239456</v>
      </c>
      <c r="E37" s="11" t="n"/>
      <c r="N37" s="12" t="n">
        <v>1267839</v>
      </c>
      <c r="O37" s="11" t="n"/>
      <c r="P37" s="12" t="n">
        <v>41666</v>
      </c>
      <c r="Q37" s="11" t="n"/>
      <c r="R37" s="21">
        <f>N37+O37+P37+N(Q37)</f>
        <v/>
      </c>
      <c r="S37" s="13" t="n">
        <v>0.03</v>
      </c>
      <c r="T37" s="21">
        <f>N(AC37)*S37</f>
        <v/>
      </c>
      <c r="U37" s="21">
        <f>N(AD37)*S37</f>
        <v/>
      </c>
      <c r="V37" s="21">
        <f>N(AE37)*S37</f>
        <v/>
      </c>
      <c r="W37" s="21">
        <f>IF(Q37="","",N(AF37)*S37)</f>
        <v/>
      </c>
      <c r="X37" s="12" t="n">
        <v>0</v>
      </c>
      <c r="Y37" s="11" t="n"/>
      <c r="Z37" s="11" t="n"/>
      <c r="AA37" s="21">
        <f>T37+U37+V37+N(W37)+X37+Y37+N(Z37)</f>
        <v/>
      </c>
      <c r="AB37" s="11" t="n"/>
      <c r="AC37" s="12" t="n">
        <v>1229804</v>
      </c>
      <c r="AD37" s="21">
        <f>O37-Y37</f>
        <v/>
      </c>
      <c r="AE37" s="21">
        <f>P37-X37</f>
        <v/>
      </c>
      <c r="AF37" s="21">
        <f>IF(Q37="","",Q37-Z37)</f>
        <v/>
      </c>
      <c r="AG37" s="22">
        <f>AC37+AD37+AE37+N(AF37)</f>
        <v/>
      </c>
      <c r="AH37" s="23" t="n">
        <v>1270220</v>
      </c>
      <c r="AI37" s="24">
        <f>AG37-AH37</f>
        <v/>
      </c>
      <c r="AJ37" s="14">
        <f>IF(OR(B37="",B37=0,N37=""),"",N37/B37*10000)</f>
        <v/>
      </c>
      <c r="AK37" s="14">
        <f>IF(OR(C37="",C37=0),"",O37/C37*10000)</f>
        <v/>
      </c>
      <c r="AL37" s="14">
        <f>IF(OR(D37="",D37=0),"",P37/D37*10000)</f>
        <v/>
      </c>
      <c r="AM37" s="14">
        <f>IF(OR(E37="",E37=0),"",Q37/E37*10000)</f>
        <v/>
      </c>
      <c r="AN37" s="11" t="n">
        <v>0</v>
      </c>
      <c r="AO37" s="11" t="n">
        <v>0</v>
      </c>
      <c r="AP37" s="21">
        <f>AH37+AN37+AO37</f>
        <v/>
      </c>
      <c r="AQ37" s="21">
        <f>AH37</f>
        <v/>
      </c>
      <c r="AR37" s="25" t="n">
        <v>37230.03000000119</v>
      </c>
      <c r="AS37" s="26" t="n">
        <v>26.31</v>
      </c>
      <c r="AT37" s="15" t="n">
        <v>11756780.96</v>
      </c>
      <c r="AU37" s="15" t="n">
        <v>24851.902</v>
      </c>
      <c r="AV37" s="15" t="n">
        <v>920.9016</v>
      </c>
      <c r="AW37" s="15" t="n"/>
      <c r="AX37" s="16" t="n">
        <v>380.752784809323</v>
      </c>
      <c r="AY37" s="13">
        <f>IF(OR(AX37="",AX37=0,AU37=""),"",AU37*365/(AX37*1000000))</f>
        <v/>
      </c>
      <c r="AZ37" s="15" t="n">
        <v>427955430.5361</v>
      </c>
      <c r="BA37" s="17" t="n">
        <v>60487233</v>
      </c>
      <c r="BB37" s="18" t="n">
        <v>11756780.96</v>
      </c>
      <c r="BC37" s="17" t="n">
        <v>2971663</v>
      </c>
      <c r="BD37" s="17">
        <f>1000000000-999888043.3291+0.0000</f>
        <v/>
      </c>
      <c r="BE37" s="19">
        <f>1000000000-AZ37-BA37-BB37-BC37-BD37</f>
        <v/>
      </c>
      <c r="BF37" s="20" t="n">
        <v>238</v>
      </c>
      <c r="BG37" s="20">
        <f>BE37/1000000-BF37</f>
        <v/>
      </c>
      <c r="BH37" s="21">
        <f>BE37*26.31</f>
        <v/>
      </c>
    </row>
    <row r="38">
      <c r="A38" s="10" t="n">
        <v>45660</v>
      </c>
      <c r="B38" s="11" t="n">
        <v>3573160271</v>
      </c>
      <c r="C38" s="11" t="n"/>
      <c r="D38" s="12" t="n">
        <v>176550030</v>
      </c>
      <c r="E38" s="11" t="n"/>
      <c r="N38" s="12" t="n">
        <v>1374850</v>
      </c>
      <c r="O38" s="11" t="n"/>
      <c r="P38" s="12" t="n">
        <v>37005</v>
      </c>
      <c r="Q38" s="11" t="n"/>
      <c r="R38" s="21">
        <f>N38+O38+P38+N(Q38)</f>
        <v/>
      </c>
      <c r="S38" s="13" t="n">
        <v>0.03</v>
      </c>
      <c r="T38" s="21">
        <f>N(AC38)*S38</f>
        <v/>
      </c>
      <c r="U38" s="21">
        <f>N(AD38)*S38</f>
        <v/>
      </c>
      <c r="V38" s="21">
        <f>N(AE38)*S38</f>
        <v/>
      </c>
      <c r="W38" s="21">
        <f>IF(Q38="","",N(AF38)*S38)</f>
        <v/>
      </c>
      <c r="X38" s="12" t="n">
        <v>0</v>
      </c>
      <c r="Y38" s="11" t="n"/>
      <c r="Z38" s="11" t="n"/>
      <c r="AA38" s="21">
        <f>T38+U38+V38+N(W38)+X38+Y38+N(Z38)</f>
        <v/>
      </c>
      <c r="AB38" s="11" t="n"/>
      <c r="AC38" s="12" t="n">
        <v>1333605</v>
      </c>
      <c r="AD38" s="21">
        <f>O38-Y38</f>
        <v/>
      </c>
      <c r="AE38" s="21">
        <f>P38-X38</f>
        <v/>
      </c>
      <c r="AF38" s="21">
        <f>IF(Q38="","",Q38-Z38)</f>
        <v/>
      </c>
      <c r="AG38" s="22">
        <f>AC38+AD38+AE38+N(AF38)</f>
        <v/>
      </c>
      <c r="AH38" s="23" t="n">
        <v>1369500</v>
      </c>
      <c r="AI38" s="24">
        <f>AG38-AH38</f>
        <v/>
      </c>
      <c r="AJ38" s="14">
        <f>IF(OR(B38="",B38=0,N38=""),"",N38/B38*10000)</f>
        <v/>
      </c>
      <c r="AK38" s="14">
        <f>IF(OR(C38="",C38=0),"",O38/C38*10000)</f>
        <v/>
      </c>
      <c r="AL38" s="14">
        <f>IF(OR(D38="",D38=0),"",P38/D38*10000)</f>
        <v/>
      </c>
      <c r="AM38" s="14">
        <f>IF(OR(E38="",E38=0),"",Q38/E38*10000)</f>
        <v/>
      </c>
      <c r="AN38" s="11" t="n">
        <v>0</v>
      </c>
      <c r="AO38" s="11" t="n">
        <v>0</v>
      </c>
      <c r="AP38" s="21">
        <f>AH38+AN38+AO38</f>
        <v/>
      </c>
      <c r="AQ38" s="21">
        <f>AH38</f>
        <v/>
      </c>
      <c r="AR38" s="25" t="n">
        <v>55732.00999999978</v>
      </c>
      <c r="AS38" s="26" t="n">
        <v>23.15</v>
      </c>
      <c r="AT38" s="15" t="n">
        <v>11812512.97</v>
      </c>
      <c r="AU38" s="15" t="n">
        <v>25219.868</v>
      </c>
      <c r="AV38" s="15" t="n">
        <v>905.5316</v>
      </c>
      <c r="AW38" s="15" t="n"/>
      <c r="AX38" s="16" t="n">
        <v>390.3893636559309</v>
      </c>
      <c r="AY38" s="13">
        <f>IF(OR(AX38="",AX38=0,AU38=""),"",AU38*365/(AX38*1000000))</f>
        <v/>
      </c>
      <c r="AZ38" s="15" t="n">
        <v>427930210.6681</v>
      </c>
      <c r="BA38" s="17" t="n">
        <v>60487233</v>
      </c>
      <c r="BB38" s="18" t="n">
        <v>11812512.97</v>
      </c>
      <c r="BC38" s="17" t="n">
        <v>2971663</v>
      </c>
      <c r="BD38" s="17">
        <f>1000000000-999887137.7975+0.0000</f>
        <v/>
      </c>
      <c r="BE38" s="19">
        <f>1000000000-AZ38-BA38-BB38-BC38-BD38</f>
        <v/>
      </c>
      <c r="BF38" s="20" t="n">
        <v>238</v>
      </c>
      <c r="BG38" s="20">
        <f>BE38/1000000-BF38</f>
        <v/>
      </c>
      <c r="BH38" s="21">
        <f>BE38*23.15</f>
        <v/>
      </c>
    </row>
    <row r="39">
      <c r="A39" s="10" t="n">
        <v>45661</v>
      </c>
      <c r="B39" s="11" t="n">
        <v>2506267603</v>
      </c>
      <c r="C39" s="11" t="n"/>
      <c r="D39" s="12" t="n">
        <v>119410641</v>
      </c>
      <c r="E39" s="11" t="n"/>
      <c r="N39" s="12" t="n">
        <v>1049852</v>
      </c>
      <c r="O39" s="11" t="n"/>
      <c r="P39" s="12" t="n">
        <v>25377</v>
      </c>
      <c r="Q39" s="11" t="n"/>
      <c r="R39" s="21">
        <f>N39+O39+P39+N(Q39)</f>
        <v/>
      </c>
      <c r="S39" s="13" t="n">
        <v>0.03</v>
      </c>
      <c r="T39" s="21">
        <f>N(AC39)*S39</f>
        <v/>
      </c>
      <c r="U39" s="21">
        <f>N(AD39)*S39</f>
        <v/>
      </c>
      <c r="V39" s="21">
        <f>N(AE39)*S39</f>
        <v/>
      </c>
      <c r="W39" s="21">
        <f>IF(Q39="","",N(AF39)*S39)</f>
        <v/>
      </c>
      <c r="X39" s="12" t="n">
        <v>0</v>
      </c>
      <c r="Y39" s="11" t="n"/>
      <c r="Z39" s="11" t="n"/>
      <c r="AA39" s="21">
        <f>T39+U39+V39+N(W39)+X39+Y39+N(Z39)</f>
        <v/>
      </c>
      <c r="AB39" s="11" t="n"/>
      <c r="AC39" s="12" t="n">
        <v>1018356</v>
      </c>
      <c r="AD39" s="21">
        <f>O39-Y39</f>
        <v/>
      </c>
      <c r="AE39" s="21">
        <f>P39-X39</f>
        <v/>
      </c>
      <c r="AF39" s="21">
        <f>IF(Q39="","",Q39-Z39)</f>
        <v/>
      </c>
      <c r="AG39" s="22">
        <f>AC39+AD39+AE39+N(AF39)</f>
        <v/>
      </c>
      <c r="AH39" s="23" t="n">
        <v>1042972</v>
      </c>
      <c r="AI39" s="24">
        <f>AG39-AH39</f>
        <v/>
      </c>
      <c r="AJ39" s="14">
        <f>IF(OR(B39="",B39=0,N39=""),"",N39/B39*10000)</f>
        <v/>
      </c>
      <c r="AK39" s="14">
        <f>IF(OR(C39="",C39=0),"",O39/C39*10000)</f>
        <v/>
      </c>
      <c r="AL39" s="14">
        <f>IF(OR(D39="",D39=0),"",P39/D39*10000)</f>
        <v/>
      </c>
      <c r="AM39" s="14">
        <f>IF(OR(E39="",E39=0),"",Q39/E39*10000)</f>
        <v/>
      </c>
      <c r="AN39" s="11" t="n">
        <v>0</v>
      </c>
      <c r="AO39" s="11" t="n">
        <v>0</v>
      </c>
      <c r="AP39" s="21">
        <f>AH39+AN39+AO39</f>
        <v/>
      </c>
      <c r="AQ39" s="21">
        <f>AH39</f>
        <v/>
      </c>
      <c r="AR39" s="25" t="n">
        <v>34281.41000000015</v>
      </c>
      <c r="AS39" s="26" t="n">
        <v>24.43</v>
      </c>
      <c r="AT39" s="15" t="n">
        <v>11846794.38</v>
      </c>
      <c r="AU39" s="15" t="n">
        <v>25452.7777</v>
      </c>
      <c r="AV39" s="15" t="n">
        <v>1232.8801</v>
      </c>
      <c r="AW39" s="15" t="n"/>
      <c r="AX39" s="16" t="n">
        <v>395.4041557137575</v>
      </c>
      <c r="AY39" s="13">
        <f>IF(OR(AX39="",AX39=0,AU39=""),"",AU39*365/(AX39*1000000))</f>
        <v/>
      </c>
      <c r="AZ39" s="15" t="n">
        <v>427904757.8904</v>
      </c>
      <c r="BA39" s="17" t="n">
        <v>60487233</v>
      </c>
      <c r="BB39" s="18" t="n">
        <v>11846794.38</v>
      </c>
      <c r="BC39" s="17" t="n">
        <v>2971663</v>
      </c>
      <c r="BD39" s="17">
        <f>1000000000-999885904.9174+0.0000</f>
        <v/>
      </c>
      <c r="BE39" s="19">
        <f>1000000000-AZ39-BA39-BB39-BC39-BD39</f>
        <v/>
      </c>
      <c r="BF39" s="20" t="n">
        <v>238</v>
      </c>
      <c r="BG39" s="20">
        <f>BE39/1000000-BF39</f>
        <v/>
      </c>
      <c r="BH39" s="21">
        <f>BE39*24.43</f>
        <v/>
      </c>
    </row>
    <row r="40">
      <c r="A40" s="10" t="n">
        <v>45662</v>
      </c>
      <c r="B40" s="11" t="n">
        <v>2149149006</v>
      </c>
      <c r="C40" s="11" t="n"/>
      <c r="D40" s="12" t="n">
        <v>174388254</v>
      </c>
      <c r="E40" s="11" t="n"/>
      <c r="N40" s="12" t="n">
        <v>996395</v>
      </c>
      <c r="O40" s="11" t="n"/>
      <c r="P40" s="12" t="n">
        <v>19262</v>
      </c>
      <c r="Q40" s="11" t="n"/>
      <c r="R40" s="21">
        <f>N40+O40+P40+N(Q40)</f>
        <v/>
      </c>
      <c r="S40" s="13" t="n">
        <v>0.03</v>
      </c>
      <c r="T40" s="21">
        <f>N(AC40)*S40</f>
        <v/>
      </c>
      <c r="U40" s="21">
        <f>N(AD40)*S40</f>
        <v/>
      </c>
      <c r="V40" s="21">
        <f>N(AE40)*S40</f>
        <v/>
      </c>
      <c r="W40" s="21">
        <f>IF(Q40="","",N(AF40)*S40)</f>
        <v/>
      </c>
      <c r="X40" s="12" t="n">
        <v>0</v>
      </c>
      <c r="Y40" s="11" t="n"/>
      <c r="Z40" s="11" t="n"/>
      <c r="AA40" s="21">
        <f>T40+U40+V40+N(W40)+X40+Y40+N(Z40)</f>
        <v/>
      </c>
      <c r="AB40" s="11" t="n"/>
      <c r="AC40" s="12" t="n">
        <v>966503</v>
      </c>
      <c r="AD40" s="21">
        <f>O40-Y40</f>
        <v/>
      </c>
      <c r="AE40" s="21">
        <f>P40-X40</f>
        <v/>
      </c>
      <c r="AF40" s="21">
        <f>IF(Q40="","",Q40-Z40)</f>
        <v/>
      </c>
      <c r="AG40" s="22">
        <f>AC40+AD40+AE40+N(AF40)</f>
        <v/>
      </c>
      <c r="AH40" s="23" t="n">
        <v>985187</v>
      </c>
      <c r="AI40" s="24">
        <f>AG40-AH40</f>
        <v/>
      </c>
      <c r="AJ40" s="14">
        <f>IF(OR(B40="",B40=0,N40=""),"",N40/B40*10000)</f>
        <v/>
      </c>
      <c r="AK40" s="14">
        <f>IF(OR(C40="",C40=0),"",O40/C40*10000)</f>
        <v/>
      </c>
      <c r="AL40" s="14">
        <f>IF(OR(D40="",D40=0),"",P40/D40*10000)</f>
        <v/>
      </c>
      <c r="AM40" s="14">
        <f>IF(OR(E40="",E40=0),"",Q40/E40*10000)</f>
        <v/>
      </c>
      <c r="AN40" s="11" t="n">
        <v>0</v>
      </c>
      <c r="AO40" s="11" t="n">
        <v>0</v>
      </c>
      <c r="AP40" s="21">
        <f>AH40+AN40+AO40</f>
        <v/>
      </c>
      <c r="AQ40" s="21">
        <f>AH40</f>
        <v/>
      </c>
      <c r="AR40" s="25" t="n">
        <v>42553.46999999881</v>
      </c>
      <c r="AS40" s="26" t="n">
        <v>25.02</v>
      </c>
      <c r="AT40" s="15" t="n">
        <v>11889347.85</v>
      </c>
      <c r="AU40" s="15" t="n">
        <v>25665.1115</v>
      </c>
      <c r="AV40" s="15" t="n">
        <v>617.3145</v>
      </c>
      <c r="AW40" s="15" t="n"/>
      <c r="AX40" s="16" t="n">
        <v>401.892512385937</v>
      </c>
      <c r="AY40" s="13">
        <f>IF(OR(AX40="",AX40=0,AU40=""),"",AU40*365/(AX40*1000000))</f>
        <v/>
      </c>
      <c r="AZ40" s="15" t="n">
        <v>427879092.7789</v>
      </c>
      <c r="BA40" s="17" t="n">
        <v>60487233</v>
      </c>
      <c r="BB40" s="18" t="n">
        <v>11889347.85</v>
      </c>
      <c r="BC40" s="17" t="n">
        <v>2971663</v>
      </c>
      <c r="BD40" s="17">
        <f>1000000000-999885287.603+0.0000</f>
        <v/>
      </c>
      <c r="BE40" s="19">
        <f>1000000000-AZ40-BA40-BB40-BC40-BD40</f>
        <v/>
      </c>
      <c r="BF40" s="20" t="n">
        <v>238</v>
      </c>
      <c r="BG40" s="20">
        <f>BE40/1000000-BF40</f>
        <v/>
      </c>
      <c r="BH40" s="21">
        <f>BE40*25.02</f>
        <v/>
      </c>
    </row>
    <row r="41">
      <c r="A41" s="10" t="n">
        <v>45663</v>
      </c>
      <c r="B41" s="11" t="n">
        <v>4404918704</v>
      </c>
      <c r="C41" s="11" t="n"/>
      <c r="D41" s="12" t="n">
        <v>194364069</v>
      </c>
      <c r="E41" s="11" t="n"/>
      <c r="N41" s="12" t="n">
        <v>1045371</v>
      </c>
      <c r="O41" s="11" t="n"/>
      <c r="P41" s="12" t="n">
        <v>23453</v>
      </c>
      <c r="Q41" s="11" t="n"/>
      <c r="R41" s="21">
        <f>N41+O41+P41+N(Q41)</f>
        <v/>
      </c>
      <c r="S41" s="13" t="n">
        <v>0.03</v>
      </c>
      <c r="T41" s="21">
        <f>N(AC41)*S41</f>
        <v/>
      </c>
      <c r="U41" s="21">
        <f>N(AD41)*S41</f>
        <v/>
      </c>
      <c r="V41" s="21">
        <f>N(AE41)*S41</f>
        <v/>
      </c>
      <c r="W41" s="21">
        <f>IF(Q41="","",N(AF41)*S41)</f>
        <v/>
      </c>
      <c r="X41" s="12" t="n">
        <v>0</v>
      </c>
      <c r="Y41" s="11" t="n"/>
      <c r="Z41" s="11" t="n"/>
      <c r="AA41" s="21">
        <f>T41+U41+V41+N(W41)+X41+Y41+N(Z41)</f>
        <v/>
      </c>
      <c r="AB41" s="11" t="n"/>
      <c r="AC41" s="12" t="n">
        <v>1014010</v>
      </c>
      <c r="AD41" s="21">
        <f>O41-Y41</f>
        <v/>
      </c>
      <c r="AE41" s="21">
        <f>P41-X41</f>
        <v/>
      </c>
      <c r="AF41" s="21">
        <f>IF(Q41="","",Q41-Z41)</f>
        <v/>
      </c>
      <c r="AG41" s="22">
        <f>AC41+AD41+AE41+N(AF41)</f>
        <v/>
      </c>
      <c r="AH41" s="23" t="n">
        <v>1036760</v>
      </c>
      <c r="AI41" s="24">
        <f>AG41-AH41</f>
        <v/>
      </c>
      <c r="AJ41" s="14">
        <f>IF(OR(B41="",B41=0,N41=""),"",N41/B41*10000)</f>
        <v/>
      </c>
      <c r="AK41" s="14">
        <f>IF(OR(C41="",C41=0),"",O41/C41*10000)</f>
        <v/>
      </c>
      <c r="AL41" s="14">
        <f>IF(OR(D41="",D41=0),"",P41/D41*10000)</f>
        <v/>
      </c>
      <c r="AM41" s="14">
        <f>IF(OR(E41="",E41=0),"",Q41/E41*10000)</f>
        <v/>
      </c>
      <c r="AN41" s="11" t="n">
        <v>0</v>
      </c>
      <c r="AO41" s="11" t="n">
        <v>0</v>
      </c>
      <c r="AP41" s="21">
        <f>AH41+AN41+AO41</f>
        <v/>
      </c>
      <c r="AQ41" s="21">
        <f>AH41</f>
        <v/>
      </c>
      <c r="AR41" s="25" t="n">
        <v>43787.33999999985</v>
      </c>
      <c r="AS41" s="26" t="n">
        <v>24.4</v>
      </c>
      <c r="AT41" s="15" t="n">
        <v>11933135.19</v>
      </c>
      <c r="AU41" s="15" t="n">
        <v>25789.8854</v>
      </c>
      <c r="AV41" s="15" t="n">
        <v>447.5855</v>
      </c>
      <c r="AW41" s="15" t="n"/>
      <c r="AX41" s="16" t="n">
        <v>404.4952507568109</v>
      </c>
      <c r="AY41" s="13">
        <f>IF(OR(AX41="",AX41=0,AU41=""),"",AU41*365/(AX41*1000000))</f>
        <v/>
      </c>
      <c r="AZ41" s="15" t="n">
        <v>427853302.8935</v>
      </c>
      <c r="BA41" s="17" t="n">
        <v>60487233</v>
      </c>
      <c r="BB41" s="18" t="n">
        <v>11933135.19</v>
      </c>
      <c r="BC41" s="17" t="n">
        <v>2971663</v>
      </c>
      <c r="BD41" s="17">
        <f>1000000000-999884840.0175+0.0000</f>
        <v/>
      </c>
      <c r="BE41" s="19">
        <f>1000000000-AZ41-BA41-BB41-BC41-BD41</f>
        <v/>
      </c>
      <c r="BF41" s="20" t="n">
        <v>238</v>
      </c>
      <c r="BG41" s="20">
        <f>BE41/1000000-BF41</f>
        <v/>
      </c>
      <c r="BH41" s="21">
        <f>BE41*24.4</f>
        <v/>
      </c>
    </row>
    <row r="42">
      <c r="A42" s="10" t="n">
        <v>45664</v>
      </c>
      <c r="B42" s="11" t="n">
        <v>7004545547</v>
      </c>
      <c r="C42" s="11" t="n"/>
      <c r="D42" s="12" t="n">
        <v>298520602</v>
      </c>
      <c r="E42" s="11" t="n"/>
      <c r="N42" s="12" t="n">
        <v>2149311</v>
      </c>
      <c r="O42" s="11" t="n"/>
      <c r="P42" s="12" t="n">
        <v>30214</v>
      </c>
      <c r="Q42" s="11" t="n"/>
      <c r="R42" s="21">
        <f>N42+O42+P42+N(Q42)</f>
        <v/>
      </c>
      <c r="S42" s="13" t="n">
        <v>0.03</v>
      </c>
      <c r="T42" s="21">
        <f>N(AC42)*S42</f>
        <v/>
      </c>
      <c r="U42" s="21">
        <f>N(AD42)*S42</f>
        <v/>
      </c>
      <c r="V42" s="21">
        <f>N(AE42)*S42</f>
        <v/>
      </c>
      <c r="W42" s="21">
        <f>IF(Q42="","",N(AF42)*S42)</f>
        <v/>
      </c>
      <c r="X42" s="12" t="n">
        <v>0</v>
      </c>
      <c r="Y42" s="11" t="n"/>
      <c r="Z42" s="11" t="n"/>
      <c r="AA42" s="21">
        <f>T42+U42+V42+N(W42)+X42+Y42+N(Z42)</f>
        <v/>
      </c>
      <c r="AB42" s="11" t="n"/>
      <c r="AC42" s="12" t="n">
        <v>2084832</v>
      </c>
      <c r="AD42" s="21">
        <f>O42-Y42</f>
        <v/>
      </c>
      <c r="AE42" s="21">
        <f>P42-X42</f>
        <v/>
      </c>
      <c r="AF42" s="21">
        <f>IF(Q42="","",Q42-Z42)</f>
        <v/>
      </c>
      <c r="AG42" s="22">
        <f>AC42+AD42+AE42+N(AF42)</f>
        <v/>
      </c>
      <c r="AH42" s="23" t="n">
        <v>2114140</v>
      </c>
      <c r="AI42" s="24">
        <f>AG42-AH42</f>
        <v/>
      </c>
      <c r="AJ42" s="14">
        <f>IF(OR(B42="",B42=0,N42=""),"",N42/B42*10000)</f>
        <v/>
      </c>
      <c r="AK42" s="14">
        <f>IF(OR(C42="",C42=0),"",O42/C42*10000)</f>
        <v/>
      </c>
      <c r="AL42" s="14">
        <f>IF(OR(D42="",D42=0),"",P42/D42*10000)</f>
        <v/>
      </c>
      <c r="AM42" s="14">
        <f>IF(OR(E42="",E42=0),"",Q42/E42*10000)</f>
        <v/>
      </c>
      <c r="AN42" s="11" t="n">
        <v>0</v>
      </c>
      <c r="AO42" s="11" t="n">
        <v>0</v>
      </c>
      <c r="AP42" s="21">
        <f>AH42+AN42+AO42</f>
        <v/>
      </c>
      <c r="AQ42" s="21">
        <f>AH42</f>
        <v/>
      </c>
      <c r="AR42" s="25" t="n">
        <v>58651.70000000112</v>
      </c>
      <c r="AS42" s="26" t="n">
        <v>25.23</v>
      </c>
      <c r="AT42" s="15" t="n">
        <v>11991786.89</v>
      </c>
      <c r="AU42" s="15" t="n">
        <v>25854.6111</v>
      </c>
      <c r="AV42" s="15" t="n">
        <v>718.7295</v>
      </c>
      <c r="AW42" s="15" t="n"/>
      <c r="AX42" s="16" t="n">
        <v>407.4001487176104</v>
      </c>
      <c r="AY42" s="13">
        <f>IF(OR(AX42="",AX42=0,AU42=""),"",AU42*365/(AX42*1000000))</f>
        <v/>
      </c>
      <c r="AZ42" s="15" t="n">
        <v>427827448.2823</v>
      </c>
      <c r="BA42" s="17" t="n">
        <v>60487233</v>
      </c>
      <c r="BB42" s="18" t="n">
        <v>11991786.89</v>
      </c>
      <c r="BC42" s="17" t="n">
        <v>2971663</v>
      </c>
      <c r="BD42" s="17">
        <f>1000000000-999884121.288+0.0000</f>
        <v/>
      </c>
      <c r="BE42" s="19">
        <f>1000000000-AZ42-BA42-BB42-BC42-BD42</f>
        <v/>
      </c>
      <c r="BF42" s="20" t="n">
        <v>238</v>
      </c>
      <c r="BG42" s="20">
        <f>BE42/1000000-BF42</f>
        <v/>
      </c>
      <c r="BH42" s="21">
        <f>BE42*25.23</f>
        <v/>
      </c>
    </row>
    <row r="43">
      <c r="A43" s="10" t="n">
        <v>45665</v>
      </c>
      <c r="B43" s="11" t="n">
        <v>6019784667</v>
      </c>
      <c r="C43" s="11" t="n"/>
      <c r="D43" s="12" t="n">
        <v>325463853</v>
      </c>
      <c r="E43" s="11" t="n"/>
      <c r="N43" s="12" t="n">
        <v>1767943</v>
      </c>
      <c r="O43" s="11" t="n"/>
      <c r="P43" s="12" t="n">
        <v>45273</v>
      </c>
      <c r="Q43" s="11" t="n"/>
      <c r="R43" s="21">
        <f>N43+O43+P43+N(Q43)</f>
        <v/>
      </c>
      <c r="S43" s="13" t="n">
        <v>0.03</v>
      </c>
      <c r="T43" s="21">
        <f>N(AC43)*S43</f>
        <v/>
      </c>
      <c r="U43" s="21">
        <f>N(AD43)*S43</f>
        <v/>
      </c>
      <c r="V43" s="21">
        <f>N(AE43)*S43</f>
        <v/>
      </c>
      <c r="W43" s="21">
        <f>IF(Q43="","",N(AF43)*S43)</f>
        <v/>
      </c>
      <c r="X43" s="12" t="n">
        <v>0</v>
      </c>
      <c r="Y43" s="11" t="n"/>
      <c r="Z43" s="11" t="n"/>
      <c r="AA43" s="21">
        <f>T43+U43+V43+N(W43)+X43+Y43+N(Z43)</f>
        <v/>
      </c>
      <c r="AB43" s="11" t="n"/>
      <c r="AC43" s="12" t="n">
        <v>1714904</v>
      </c>
      <c r="AD43" s="21">
        <f>O43-Y43</f>
        <v/>
      </c>
      <c r="AE43" s="21">
        <f>P43-X43</f>
        <v/>
      </c>
      <c r="AF43" s="21">
        <f>IF(Q43="","",Q43-Z43)</f>
        <v/>
      </c>
      <c r="AG43" s="22">
        <f>AC43+AD43+AE43+N(AF43)</f>
        <v/>
      </c>
      <c r="AH43" s="23" t="n">
        <v>1758819</v>
      </c>
      <c r="AI43" s="24">
        <f>AG43-AH43</f>
        <v/>
      </c>
      <c r="AJ43" s="14">
        <f>IF(OR(B43="",B43=0,N43=""),"",N43/B43*10000)</f>
        <v/>
      </c>
      <c r="AK43" s="14">
        <f>IF(OR(C43="",C43=0),"",O43/C43*10000)</f>
        <v/>
      </c>
      <c r="AL43" s="14">
        <f>IF(OR(D43="",D43=0),"",P43/D43*10000)</f>
        <v/>
      </c>
      <c r="AM43" s="14">
        <f>IF(OR(E43="",E43=0),"",Q43/E43*10000)</f>
        <v/>
      </c>
      <c r="AN43" s="11" t="n">
        <v>0</v>
      </c>
      <c r="AO43" s="11" t="n">
        <v>0</v>
      </c>
      <c r="AP43" s="21">
        <f>AH43+AN43+AO43</f>
        <v/>
      </c>
      <c r="AQ43" s="21">
        <f>AH43</f>
        <v/>
      </c>
      <c r="AR43" s="25" t="n">
        <v>84543.46999999881</v>
      </c>
      <c r="AS43" s="26" t="n">
        <v>23.5</v>
      </c>
      <c r="AT43" s="15" t="n">
        <v>12076330.36</v>
      </c>
      <c r="AU43" s="15" t="n">
        <v>25924.4198</v>
      </c>
      <c r="AV43" s="15" t="n">
        <v>744.9065000000001</v>
      </c>
      <c r="AW43" s="15" t="n"/>
      <c r="AX43" s="16" t="n">
        <v>409.0659266344634</v>
      </c>
      <c r="AY43" s="13">
        <f>IF(OR(AX43="",AX43=0,AU43=""),"",AU43*365/(AX43*1000000))</f>
        <v/>
      </c>
      <c r="AZ43" s="15" t="n">
        <v>427801523.8626</v>
      </c>
      <c r="BA43" s="17" t="n">
        <v>60487233</v>
      </c>
      <c r="BB43" s="18" t="n">
        <v>12076330.36</v>
      </c>
      <c r="BC43" s="17" t="n">
        <v>2971663</v>
      </c>
      <c r="BD43" s="17">
        <f>1000000000-999883376.3815+0.0000</f>
        <v/>
      </c>
      <c r="BE43" s="19">
        <f>1000000000-AZ43-BA43-BB43-BC43-BD43</f>
        <v/>
      </c>
      <c r="BF43" s="20" t="n">
        <v>238</v>
      </c>
      <c r="BG43" s="20">
        <f>BE43/1000000-BF43</f>
        <v/>
      </c>
      <c r="BH43" s="21">
        <f>BE43*23.5</f>
        <v/>
      </c>
    </row>
    <row r="44">
      <c r="A44" s="10" t="n">
        <v>45666</v>
      </c>
      <c r="B44" s="11" t="n">
        <v>7123327274</v>
      </c>
      <c r="C44" s="11" t="n"/>
      <c r="D44" s="12" t="n">
        <v>194078337</v>
      </c>
      <c r="E44" s="11" t="n"/>
      <c r="N44" s="12" t="n">
        <v>1933268</v>
      </c>
      <c r="O44" s="11" t="n"/>
      <c r="P44" s="12" t="n">
        <v>47391</v>
      </c>
      <c r="Q44" s="11" t="n"/>
      <c r="R44" s="21">
        <f>N44+O44+P44+N(Q44)</f>
        <v/>
      </c>
      <c r="S44" s="13" t="n">
        <v>0.03</v>
      </c>
      <c r="T44" s="21">
        <f>N(AC44)*S44</f>
        <v/>
      </c>
      <c r="U44" s="21">
        <f>N(AD44)*S44</f>
        <v/>
      </c>
      <c r="V44" s="21">
        <f>N(AE44)*S44</f>
        <v/>
      </c>
      <c r="W44" s="21">
        <f>IF(Q44="","",N(AF44)*S44)</f>
        <v/>
      </c>
      <c r="X44" s="12" t="n">
        <v>0</v>
      </c>
      <c r="Y44" s="11" t="n"/>
      <c r="Z44" s="11" t="n"/>
      <c r="AA44" s="21">
        <f>T44+U44+V44+N(W44)+X44+Y44+N(Z44)</f>
        <v/>
      </c>
      <c r="AB44" s="11" t="n"/>
      <c r="AC44" s="12" t="n">
        <v>1875270</v>
      </c>
      <c r="AD44" s="21">
        <f>O44-Y44</f>
        <v/>
      </c>
      <c r="AE44" s="21">
        <f>P44-X44</f>
        <v/>
      </c>
      <c r="AF44" s="21">
        <f>IF(Q44="","",Q44-Z44)</f>
        <v/>
      </c>
      <c r="AG44" s="22">
        <f>AC44+AD44+AE44+N(AF44)</f>
        <v/>
      </c>
      <c r="AH44" s="23" t="n">
        <v>1921239</v>
      </c>
      <c r="AI44" s="24">
        <f>AG44-AH44</f>
        <v/>
      </c>
      <c r="AJ44" s="14">
        <f>IF(OR(B44="",B44=0,N44=""),"",N44/B44*10000)</f>
        <v/>
      </c>
      <c r="AK44" s="14">
        <f>IF(OR(C44="",C44=0),"",O44/C44*10000)</f>
        <v/>
      </c>
      <c r="AL44" s="14">
        <f>IF(OR(D44="",D44=0),"",P44/D44*10000)</f>
        <v/>
      </c>
      <c r="AM44" s="14">
        <f>IF(OR(E44="",E44=0),"",Q44/E44*10000)</f>
        <v/>
      </c>
      <c r="AN44" s="11" t="n">
        <v>0</v>
      </c>
      <c r="AO44" s="11" t="n">
        <v>0</v>
      </c>
      <c r="AP44" s="21">
        <f>AH44+AN44+AO44</f>
        <v/>
      </c>
      <c r="AQ44" s="21">
        <f>AH44</f>
        <v/>
      </c>
      <c r="AR44" s="25" t="n">
        <v>80644.52000000142</v>
      </c>
      <c r="AS44" s="26" t="n">
        <v>22.51</v>
      </c>
      <c r="AT44" s="15" t="n">
        <v>12156974.88</v>
      </c>
      <c r="AU44" s="15" t="n">
        <v>25984.3451</v>
      </c>
      <c r="AV44" s="15" t="n">
        <v>1579.5356</v>
      </c>
      <c r="AW44" s="15" t="n"/>
      <c r="AX44" s="16" t="n">
        <v>410.2462988477998</v>
      </c>
      <c r="AY44" s="13">
        <f>IF(OR(AX44="",AX44=0,AU44=""),"",AU44*365/(AX44*1000000))</f>
        <v/>
      </c>
      <c r="AZ44" s="15" t="n">
        <v>427775539.5175</v>
      </c>
      <c r="BA44" s="17" t="n">
        <v>60487233</v>
      </c>
      <c r="BB44" s="18" t="n">
        <v>12156974.88</v>
      </c>
      <c r="BC44" s="17" t="n">
        <v>2971663</v>
      </c>
      <c r="BD44" s="17">
        <f>1000000000-999881796.8459+0.0000</f>
        <v/>
      </c>
      <c r="BE44" s="19">
        <f>1000000000-AZ44-BA44-BB44-BC44-BD44</f>
        <v/>
      </c>
      <c r="BF44" s="20" t="n">
        <v>238</v>
      </c>
      <c r="BG44" s="20">
        <f>BE44/1000000-BF44</f>
        <v/>
      </c>
      <c r="BH44" s="21">
        <f>BE44*22.51</f>
        <v/>
      </c>
    </row>
    <row r="45">
      <c r="A45" s="10" t="n">
        <v>45667</v>
      </c>
      <c r="B45" s="11" t="n">
        <v>5110006120</v>
      </c>
      <c r="C45" s="11" t="n"/>
      <c r="D45" s="12" t="n">
        <v>104484914</v>
      </c>
      <c r="E45" s="11" t="n"/>
      <c r="N45" s="12" t="n">
        <v>1492881</v>
      </c>
      <c r="O45" s="11" t="n"/>
      <c r="P45" s="12" t="n">
        <v>27771</v>
      </c>
      <c r="Q45" s="11" t="n"/>
      <c r="R45" s="21">
        <f>N45+O45+P45+N(Q45)</f>
        <v/>
      </c>
      <c r="S45" s="13" t="n">
        <v>0.03</v>
      </c>
      <c r="T45" s="21">
        <f>N(AC45)*S45</f>
        <v/>
      </c>
      <c r="U45" s="21">
        <f>N(AD45)*S45</f>
        <v/>
      </c>
      <c r="V45" s="21">
        <f>N(AE45)*S45</f>
        <v/>
      </c>
      <c r="W45" s="21">
        <f>IF(Q45="","",N(AF45)*S45)</f>
        <v/>
      </c>
      <c r="X45" s="12" t="n">
        <v>0</v>
      </c>
      <c r="Y45" s="11" t="n"/>
      <c r="Z45" s="11" t="n"/>
      <c r="AA45" s="21">
        <f>T45+U45+V45+N(W45)+X45+Y45+N(Z45)</f>
        <v/>
      </c>
      <c r="AB45" s="11" t="n"/>
      <c r="AC45" s="12" t="n">
        <v>1448094</v>
      </c>
      <c r="AD45" s="21">
        <f>O45-Y45</f>
        <v/>
      </c>
      <c r="AE45" s="21">
        <f>P45-X45</f>
        <v/>
      </c>
      <c r="AF45" s="21">
        <f>IF(Q45="","",Q45-Z45)</f>
        <v/>
      </c>
      <c r="AG45" s="22">
        <f>AC45+AD45+AE45+N(AF45)</f>
        <v/>
      </c>
      <c r="AH45" s="23" t="n">
        <v>1475032</v>
      </c>
      <c r="AI45" s="24">
        <f>AG45-AH45</f>
        <v/>
      </c>
      <c r="AJ45" s="14">
        <f>IF(OR(B45="",B45=0,N45=""),"",N45/B45*10000)</f>
        <v/>
      </c>
      <c r="AK45" s="14">
        <f>IF(OR(C45="",C45=0),"",O45/C45*10000)</f>
        <v/>
      </c>
      <c r="AL45" s="14">
        <f>IF(OR(D45="",D45=0),"",P45/D45*10000)</f>
        <v/>
      </c>
      <c r="AM45" s="14">
        <f>IF(OR(E45="",E45=0),"",Q45/E45*10000)</f>
        <v/>
      </c>
      <c r="AN45" s="11" t="n">
        <v>0</v>
      </c>
      <c r="AO45" s="11" t="n">
        <v>0</v>
      </c>
      <c r="AP45" s="21">
        <f>AH45+AN45+AO45</f>
        <v/>
      </c>
      <c r="AQ45" s="21">
        <f>AH45</f>
        <v/>
      </c>
      <c r="AR45" s="25" t="n">
        <v>84058.3599999994</v>
      </c>
      <c r="AS45" s="26" t="n">
        <v>20.28</v>
      </c>
      <c r="AT45" s="15" t="n">
        <v>12241033.24</v>
      </c>
      <c r="AU45" s="15" t="n">
        <v>26008.9029</v>
      </c>
      <c r="AV45" s="15" t="n">
        <v>1664.9046</v>
      </c>
      <c r="AW45" s="15" t="n"/>
      <c r="AX45" s="16" t="n">
        <v>410.5551738649137</v>
      </c>
      <c r="AY45" s="13">
        <f>IF(OR(AX45="",AX45=0,AU45=""),"",AU45*365/(AX45*1000000))</f>
        <v/>
      </c>
      <c r="AZ45" s="15" t="n">
        <v>427749530.6146</v>
      </c>
      <c r="BA45" s="17" t="n">
        <v>60487233</v>
      </c>
      <c r="BB45" s="18" t="n">
        <v>12241033.24</v>
      </c>
      <c r="BC45" s="17" t="n">
        <v>2971663</v>
      </c>
      <c r="BD45" s="17">
        <f>1000000000-999880131.9413+0.0000</f>
        <v/>
      </c>
      <c r="BE45" s="19">
        <f>1000000000-AZ45-BA45-BB45-BC45-BD45</f>
        <v/>
      </c>
      <c r="BF45" s="20" t="n">
        <v>238</v>
      </c>
      <c r="BG45" s="20">
        <f>BE45/1000000-BF45</f>
        <v/>
      </c>
      <c r="BH45" s="21">
        <f>BE45*20.28</f>
        <v/>
      </c>
    </row>
    <row r="46">
      <c r="A46" s="10" t="n">
        <v>45668</v>
      </c>
      <c r="B46" s="11" t="n">
        <v>1975220111</v>
      </c>
      <c r="C46" s="11" t="n"/>
      <c r="D46" s="12" t="n">
        <v>104729289</v>
      </c>
      <c r="E46" s="11" t="n"/>
      <c r="N46" s="12" t="n">
        <v>457618</v>
      </c>
      <c r="O46" s="11" t="n"/>
      <c r="P46" s="12" t="n">
        <v>14961</v>
      </c>
      <c r="Q46" s="11" t="n"/>
      <c r="R46" s="21">
        <f>N46+O46+P46+N(Q46)</f>
        <v/>
      </c>
      <c r="S46" s="13" t="n">
        <v>0.03</v>
      </c>
      <c r="T46" s="21">
        <f>N(AC46)*S46</f>
        <v/>
      </c>
      <c r="U46" s="21">
        <f>N(AD46)*S46</f>
        <v/>
      </c>
      <c r="V46" s="21">
        <f>N(AE46)*S46</f>
        <v/>
      </c>
      <c r="W46" s="21">
        <f>IF(Q46="","",N(AF46)*S46)</f>
        <v/>
      </c>
      <c r="X46" s="12" t="n">
        <v>0</v>
      </c>
      <c r="Y46" s="11" t="n"/>
      <c r="Z46" s="11" t="n"/>
      <c r="AA46" s="21">
        <f>T46+U46+V46+N(W46)+X46+Y46+N(Z46)</f>
        <v/>
      </c>
      <c r="AB46" s="11" t="n"/>
      <c r="AC46" s="12" t="n">
        <v>443890</v>
      </c>
      <c r="AD46" s="21">
        <f>O46-Y46</f>
        <v/>
      </c>
      <c r="AE46" s="21">
        <f>P46-X46</f>
        <v/>
      </c>
      <c r="AF46" s="21">
        <f>IF(Q46="","",Q46-Z46)</f>
        <v/>
      </c>
      <c r="AG46" s="22">
        <f>AC46+AD46+AE46+N(AF46)</f>
        <v/>
      </c>
      <c r="AH46" s="23" t="n">
        <v>458402</v>
      </c>
      <c r="AI46" s="24">
        <f>AG46-AH46</f>
        <v/>
      </c>
      <c r="AJ46" s="14">
        <f>IF(OR(B46="",B46=0,N46=""),"",N46/B46*10000)</f>
        <v/>
      </c>
      <c r="AK46" s="14">
        <f>IF(OR(C46="",C46=0),"",O46/C46*10000)</f>
        <v/>
      </c>
      <c r="AL46" s="14">
        <f>IF(OR(D46="",D46=0),"",P46/D46*10000)</f>
        <v/>
      </c>
      <c r="AM46" s="14">
        <f>IF(OR(E46="",E46=0),"",Q46/E46*10000)</f>
        <v/>
      </c>
      <c r="AN46" s="11" t="n">
        <v>0</v>
      </c>
      <c r="AO46" s="11" t="n">
        <v>0</v>
      </c>
      <c r="AP46" s="21">
        <f>AH46+AN46+AO46</f>
        <v/>
      </c>
      <c r="AQ46" s="21">
        <f>AH46</f>
        <v/>
      </c>
      <c r="AR46" s="25" t="n">
        <v>64375.69999999925</v>
      </c>
      <c r="AS46" s="26" t="n">
        <v>20.65</v>
      </c>
      <c r="AT46" s="15" t="n">
        <v>12305408.94</v>
      </c>
      <c r="AU46" s="15" t="n">
        <v>26032.7188</v>
      </c>
      <c r="AV46" s="15" t="n">
        <v>984.8383</v>
      </c>
      <c r="AW46" s="15" t="n"/>
      <c r="AX46" s="16" t="n">
        <v>411.8932673291108</v>
      </c>
      <c r="AY46" s="13">
        <f>IF(OR(AX46="",AX46=0,AU46=""),"",AU46*365/(AX46*1000000))</f>
        <v/>
      </c>
      <c r="AZ46" s="15" t="n">
        <v>427723497.8958</v>
      </c>
      <c r="BA46" s="17" t="n">
        <v>60487233</v>
      </c>
      <c r="BB46" s="18" t="n">
        <v>12305408.94</v>
      </c>
      <c r="BC46" s="17" t="n">
        <v>2971663</v>
      </c>
      <c r="BD46" s="17">
        <f>1000000000-999879147.103+0.0000</f>
        <v/>
      </c>
      <c r="BE46" s="19">
        <f>1000000000-AZ46-BA46-BB46-BC46-BD46</f>
        <v/>
      </c>
      <c r="BF46" s="20" t="n">
        <v>238</v>
      </c>
      <c r="BG46" s="20">
        <f>BE46/1000000-BF46</f>
        <v/>
      </c>
      <c r="BH46" s="21">
        <f>BE46*20.65</f>
        <v/>
      </c>
    </row>
    <row r="47">
      <c r="A47" s="10" t="n">
        <v>45669</v>
      </c>
      <c r="B47" s="11" t="n">
        <v>1868823314</v>
      </c>
      <c r="C47" s="11" t="n"/>
      <c r="D47" s="12" t="n">
        <v>230154418</v>
      </c>
      <c r="E47" s="11" t="n"/>
      <c r="O47" s="11" t="n"/>
      <c r="P47" s="11" t="n"/>
      <c r="Q47" s="11" t="n"/>
      <c r="S47" s="13" t="n">
        <v>0.03</v>
      </c>
      <c r="X47" s="11" t="n"/>
      <c r="Y47" s="11" t="n"/>
      <c r="Z47" s="11" t="n"/>
      <c r="AB47" s="11" t="n"/>
      <c r="AH47" s="11" t="n"/>
      <c r="AJ47" s="14">
        <f>IF(OR(B47="",B47=0,N47=""),"",N47/B47*10000)</f>
        <v/>
      </c>
      <c r="AK47" s="14">
        <f>IF(OR(C47="",C47=0),"",O47/C47*10000)</f>
        <v/>
      </c>
      <c r="AL47" s="14">
        <f>IF(OR(D47="",D47=0),"",P47/D47*10000)</f>
        <v/>
      </c>
      <c r="AM47" s="14">
        <f>IF(OR(E47="",E47=0),"",Q47/E47*10000)</f>
        <v/>
      </c>
      <c r="AN47" s="11" t="n"/>
      <c r="AO47" s="11" t="n"/>
      <c r="AT47" s="15" t="n">
        <v>12323093.09</v>
      </c>
      <c r="AU47" s="15" t="n">
        <v>26062.989</v>
      </c>
      <c r="AV47" s="15" t="n">
        <v>555.3528</v>
      </c>
      <c r="AW47" s="15" t="n"/>
      <c r="AX47" s="16" t="n">
        <v>412.6303567007362</v>
      </c>
      <c r="AY47" s="13">
        <f>IF(OR(AX47="",AX47=0,AU47=""),"",AU47*365/(AX47*1000000))</f>
        <v/>
      </c>
      <c r="AZ47" s="15" t="n">
        <v>427697434.9067</v>
      </c>
      <c r="BA47" s="17" t="n">
        <v>60487233</v>
      </c>
      <c r="BB47" s="18" t="n">
        <v>12323093.09</v>
      </c>
      <c r="BC47" s="17" t="n">
        <v>2971663</v>
      </c>
      <c r="BD47" s="17">
        <f>1000000000-999878591.7502+0.0000</f>
        <v/>
      </c>
      <c r="BE47" s="19">
        <f>1000000000-AZ47-BA47-BB47-BC47-BD47</f>
        <v/>
      </c>
      <c r="BF47" s="20" t="n">
        <v>238</v>
      </c>
      <c r="BG47" s="20">
        <f>BE47/1000000-BF47</f>
        <v/>
      </c>
      <c r="BH47" s="21">
        <f>BE47*20.88</f>
        <v/>
      </c>
    </row>
    <row r="48">
      <c r="A48" s="10" t="n">
        <v>45670</v>
      </c>
      <c r="B48" s="11" t="n">
        <v>7614889368</v>
      </c>
      <c r="C48" s="11" t="n"/>
      <c r="D48" s="12" t="n">
        <v>195123318</v>
      </c>
      <c r="E48" s="11" t="n"/>
      <c r="O48" s="11" t="n"/>
      <c r="P48" s="11" t="n"/>
      <c r="Q48" s="11" t="n"/>
      <c r="S48" s="13" t="n">
        <v>0.03</v>
      </c>
      <c r="X48" s="11" t="n"/>
      <c r="Y48" s="11" t="n"/>
      <c r="Z48" s="11" t="n"/>
      <c r="AB48" s="11" t="n"/>
      <c r="AH48" s="11" t="n"/>
      <c r="AJ48" s="14">
        <f>IF(OR(B48="",B48=0,N48=""),"",N48/B48*10000)</f>
        <v/>
      </c>
      <c r="AK48" s="14">
        <f>IF(OR(C48="",C48=0),"",O48/C48*10000)</f>
        <v/>
      </c>
      <c r="AL48" s="14">
        <f>IF(OR(D48="",D48=0),"",P48/D48*10000)</f>
        <v/>
      </c>
      <c r="AM48" s="14">
        <f>IF(OR(E48="",E48=0),"",Q48/E48*10000)</f>
        <v/>
      </c>
      <c r="AN48" s="11" t="n"/>
      <c r="AO48" s="11" t="n"/>
      <c r="AT48" s="15" t="n">
        <v>12366458.05</v>
      </c>
      <c r="AU48" s="15" t="n">
        <v>26085.5853</v>
      </c>
      <c r="AV48" s="15" t="n">
        <v>490.8274</v>
      </c>
      <c r="AW48" s="15" t="n"/>
      <c r="AX48" s="16" t="n">
        <v>414.403528356777</v>
      </c>
      <c r="AY48" s="13">
        <f>IF(OR(AX48="",AX48=0,AU48=""),"",AU48*365/(AX48*1000000))</f>
        <v/>
      </c>
      <c r="AZ48" s="15" t="n">
        <v>427671349.3214</v>
      </c>
      <c r="BA48" s="17" t="n">
        <v>60487233</v>
      </c>
      <c r="BB48" s="18" t="n">
        <v>12366458.05</v>
      </c>
      <c r="BC48" s="17" t="n">
        <v>2971663</v>
      </c>
      <c r="BD48" s="17">
        <f>1000000000-999878100.9228+0.0000</f>
        <v/>
      </c>
      <c r="BE48" s="19">
        <f>1000000000-AZ48-BA48-BB48-BC48-BD48</f>
        <v/>
      </c>
      <c r="BF48" s="20" t="n">
        <v>238</v>
      </c>
      <c r="BG48" s="20">
        <f>BE48/1000000-BF48</f>
        <v/>
      </c>
      <c r="BH48" s="21">
        <f>BE48*21.12</f>
        <v/>
      </c>
    </row>
    <row r="49">
      <c r="A49" s="10" t="n">
        <v>45671</v>
      </c>
      <c r="B49" s="11" t="n">
        <v>4164534612</v>
      </c>
      <c r="C49" s="11" t="n"/>
      <c r="D49" s="12" t="n">
        <v>186174573</v>
      </c>
      <c r="E49" s="11" t="n"/>
      <c r="N49" s="12" t="n">
        <v>1243879</v>
      </c>
      <c r="O49" s="11" t="n"/>
      <c r="P49" s="12" t="n">
        <v>24324</v>
      </c>
      <c r="Q49" s="11" t="n"/>
      <c r="R49" s="21">
        <f>N49+O49+P49+N(Q49)</f>
        <v/>
      </c>
      <c r="S49" s="13" t="n">
        <v>0.03</v>
      </c>
      <c r="T49" s="21">
        <f>N(AC49)*S49</f>
        <v/>
      </c>
      <c r="U49" s="21">
        <f>N(AD49)*S49</f>
        <v/>
      </c>
      <c r="V49" s="21">
        <f>N(AE49)*S49</f>
        <v/>
      </c>
      <c r="W49" s="21">
        <f>IF(Q49="","",N(AF49)*S49)</f>
        <v/>
      </c>
      <c r="X49" s="12" t="n">
        <v>0</v>
      </c>
      <c r="Y49" s="11" t="n"/>
      <c r="Z49" s="11" t="n"/>
      <c r="AA49" s="21">
        <f>T49+U49+V49+N(W49)+X49+Y49+N(Z49)</f>
        <v/>
      </c>
      <c r="AB49" s="11" t="n"/>
      <c r="AC49" s="12" t="n">
        <v>1206563</v>
      </c>
      <c r="AD49" s="21">
        <f>O49-Y49</f>
        <v/>
      </c>
      <c r="AE49" s="21">
        <f>P49-X49</f>
        <v/>
      </c>
      <c r="AF49" s="21">
        <f>IF(Q49="","",Q49-Z49)</f>
        <v/>
      </c>
      <c r="AG49" s="22">
        <f>AC49+AD49+AE49+N(AF49)</f>
        <v/>
      </c>
      <c r="AH49" s="23" t="n">
        <v>1230157</v>
      </c>
      <c r="AI49" s="24">
        <f>AG49-AH49</f>
        <v/>
      </c>
      <c r="AJ49" s="14">
        <f>IF(OR(B49="",B49=0,N49=""),"",N49/B49*10000)</f>
        <v/>
      </c>
      <c r="AK49" s="14">
        <f>IF(OR(C49="",C49=0),"",O49/C49*10000)</f>
        <v/>
      </c>
      <c r="AL49" s="14">
        <f>IF(OR(D49="",D49=0),"",P49/D49*10000)</f>
        <v/>
      </c>
      <c r="AM49" s="14">
        <f>IF(OR(E49="",E49=0),"",Q49/E49*10000)</f>
        <v/>
      </c>
      <c r="AN49" s="11" t="n">
        <v>0</v>
      </c>
      <c r="AO49" s="11" t="n">
        <v>0</v>
      </c>
      <c r="AP49" s="21">
        <f>AH49+AN49+AO49</f>
        <v/>
      </c>
      <c r="AQ49" s="21">
        <f>AH49</f>
        <v/>
      </c>
      <c r="AR49" s="25" t="n">
        <v>101362.9100000001</v>
      </c>
      <c r="AS49" s="26" t="n">
        <v>21.63</v>
      </c>
      <c r="AT49" s="15" t="n">
        <v>12467820.96</v>
      </c>
      <c r="AU49" s="15" t="n">
        <v>26275.62</v>
      </c>
      <c r="AV49" s="15" t="n">
        <v>1292.8946</v>
      </c>
      <c r="AW49" s="15" t="n"/>
      <c r="AX49" s="16" t="n">
        <v>422.3981909318112</v>
      </c>
      <c r="AY49" s="13">
        <f>IF(OR(AX49="",AX49=0,AU49=""),"",AU49*365/(AX49*1000000))</f>
        <v/>
      </c>
      <c r="AZ49" s="15" t="n">
        <v>427645073.7014</v>
      </c>
      <c r="BA49" s="17" t="n">
        <v>60487233</v>
      </c>
      <c r="BB49" s="18" t="n">
        <v>12467820.96</v>
      </c>
      <c r="BC49" s="17" t="n">
        <v>2971663</v>
      </c>
      <c r="BD49" s="17">
        <f>1000000000-999876808.0282+0.0000</f>
        <v/>
      </c>
      <c r="BE49" s="19">
        <f>1000000000-AZ49-BA49-BB49-BC49-BD49</f>
        <v/>
      </c>
      <c r="BF49" s="20" t="n">
        <v>238</v>
      </c>
      <c r="BG49" s="20">
        <f>BE49/1000000-BF49</f>
        <v/>
      </c>
      <c r="BH49" s="21">
        <f>BE49*21.63</f>
        <v/>
      </c>
    </row>
    <row r="50">
      <c r="A50" s="10" t="n">
        <v>45672</v>
      </c>
      <c r="B50" s="11" t="n">
        <v>5315407561</v>
      </c>
      <c r="C50" s="11" t="n"/>
      <c r="D50" s="12" t="n">
        <v>125668891</v>
      </c>
      <c r="E50" s="11" t="n"/>
      <c r="N50" s="12" t="n">
        <v>1245669</v>
      </c>
      <c r="O50" s="11" t="n"/>
      <c r="P50" s="12" t="n">
        <v>23915</v>
      </c>
      <c r="Q50" s="11" t="n"/>
      <c r="R50" s="21">
        <f>N50+O50+P50+N(Q50)</f>
        <v/>
      </c>
      <c r="S50" s="13" t="n">
        <v>0.03</v>
      </c>
      <c r="T50" s="21">
        <f>N(AC50)*S50</f>
        <v/>
      </c>
      <c r="U50" s="21">
        <f>N(AD50)*S50</f>
        <v/>
      </c>
      <c r="V50" s="21">
        <f>N(AE50)*S50</f>
        <v/>
      </c>
      <c r="W50" s="21">
        <f>IF(Q50="","",N(AF50)*S50)</f>
        <v/>
      </c>
      <c r="X50" s="12" t="n">
        <v>0</v>
      </c>
      <c r="Y50" s="11" t="n"/>
      <c r="Z50" s="11" t="n"/>
      <c r="AA50" s="21">
        <f>T50+U50+V50+N(W50)+X50+Y50+N(Z50)</f>
        <v/>
      </c>
      <c r="AB50" s="11" t="n"/>
      <c r="AC50" s="12" t="n">
        <v>1208299</v>
      </c>
      <c r="AD50" s="21">
        <f>O50-Y50</f>
        <v/>
      </c>
      <c r="AE50" s="21">
        <f>P50-X50</f>
        <v/>
      </c>
      <c r="AF50" s="21">
        <f>IF(Q50="","",Q50-Z50)</f>
        <v/>
      </c>
      <c r="AG50" s="22">
        <f>AC50+AD50+AE50+N(AF50)</f>
        <v/>
      </c>
      <c r="AH50" s="23" t="n">
        <v>1231497</v>
      </c>
      <c r="AI50" s="24">
        <f>AG50-AH50</f>
        <v/>
      </c>
      <c r="AJ50" s="14">
        <f>IF(OR(B50="",B50=0,N50=""),"",N50/B50*10000)</f>
        <v/>
      </c>
      <c r="AK50" s="14">
        <f>IF(OR(C50="",C50=0),"",O50/C50*10000)</f>
        <v/>
      </c>
      <c r="AL50" s="14">
        <f>IF(OR(D50="",D50=0),"",P50/D50*10000)</f>
        <v/>
      </c>
      <c r="AM50" s="14">
        <f>IF(OR(E50="",E50=0),"",Q50/E50*10000)</f>
        <v/>
      </c>
      <c r="AN50" s="11" t="n">
        <v>0</v>
      </c>
      <c r="AO50" s="11" t="n">
        <v>0</v>
      </c>
      <c r="AP50" s="21">
        <f>AH50+AN50+AO50</f>
        <v/>
      </c>
      <c r="AQ50" s="21">
        <f>AH50</f>
        <v/>
      </c>
      <c r="AR50" s="25" t="n">
        <v>54953.15999999829</v>
      </c>
      <c r="AS50" s="26" t="n">
        <v>23</v>
      </c>
      <c r="AT50" s="15" t="n">
        <v>12522774.12</v>
      </c>
      <c r="AU50" s="15" t="n">
        <v>26404.1858</v>
      </c>
      <c r="AV50" s="15" t="n">
        <v>1035.8599</v>
      </c>
      <c r="AW50" s="15" t="n"/>
      <c r="AX50" s="16" t="n">
        <v>425.1178651578688</v>
      </c>
      <c r="AY50" s="13">
        <f>IF(OR(AX50="",AX50=0,AU50=""),"",AU50*365/(AX50*1000000))</f>
        <v/>
      </c>
      <c r="AZ50" s="15" t="n">
        <v>427618669.5156</v>
      </c>
      <c r="BA50" s="17" t="n">
        <v>60487233</v>
      </c>
      <c r="BB50" s="18" t="n">
        <v>12522774.12</v>
      </c>
      <c r="BC50" s="17" t="n">
        <v>2971663</v>
      </c>
      <c r="BD50" s="17">
        <f>1000000000-999875772.1684+0.0000</f>
        <v/>
      </c>
      <c r="BE50" s="19">
        <f>1000000000-AZ50-BA50-BB50-BC50-BD50</f>
        <v/>
      </c>
      <c r="BF50" s="20" t="n">
        <v>238</v>
      </c>
      <c r="BG50" s="20">
        <f>BE50/1000000-BF50</f>
        <v/>
      </c>
      <c r="BH50" s="21">
        <f>BE50*23</f>
        <v/>
      </c>
    </row>
    <row r="51">
      <c r="A51" s="10" t="n">
        <v>45673</v>
      </c>
      <c r="B51" s="11" t="n">
        <v>5713611240</v>
      </c>
      <c r="C51" s="11" t="n"/>
      <c r="D51" s="12" t="n">
        <v>148144621</v>
      </c>
      <c r="E51" s="11" t="n"/>
      <c r="N51" s="12" t="n">
        <v>1677266</v>
      </c>
      <c r="O51" s="11" t="n"/>
      <c r="P51" s="12" t="n">
        <v>18602</v>
      </c>
      <c r="Q51" s="11" t="n"/>
      <c r="R51" s="21">
        <f>N51+O51+P51+N(Q51)</f>
        <v/>
      </c>
      <c r="S51" s="13" t="n">
        <v>0.03</v>
      </c>
      <c r="T51" s="21">
        <f>N(AC51)*S51</f>
        <v/>
      </c>
      <c r="U51" s="21">
        <f>N(AD51)*S51</f>
        <v/>
      </c>
      <c r="V51" s="21">
        <f>N(AE51)*S51</f>
        <v/>
      </c>
      <c r="W51" s="21">
        <f>IF(Q51="","",N(AF51)*S51)</f>
        <v/>
      </c>
      <c r="X51" s="12" t="n">
        <v>0</v>
      </c>
      <c r="Y51" s="11" t="n"/>
      <c r="Z51" s="11" t="n"/>
      <c r="AA51" s="21">
        <f>T51+U51+V51+N(W51)+X51+Y51+N(Z51)</f>
        <v/>
      </c>
      <c r="AB51" s="11" t="n"/>
      <c r="AC51" s="12" t="n">
        <v>1626948</v>
      </c>
      <c r="AD51" s="21">
        <f>O51-Y51</f>
        <v/>
      </c>
      <c r="AE51" s="21">
        <f>P51-X51</f>
        <v/>
      </c>
      <c r="AF51" s="21">
        <f>IF(Q51="","",Q51-Z51)</f>
        <v/>
      </c>
      <c r="AG51" s="22">
        <f>AC51+AD51+AE51+N(AF51)</f>
        <v/>
      </c>
      <c r="AH51" s="23" t="n">
        <v>1644992</v>
      </c>
      <c r="AI51" s="24">
        <f>AG51-AH51</f>
        <v/>
      </c>
      <c r="AJ51" s="14">
        <f>IF(OR(B51="",B51=0,N51=""),"",N51/B51*10000)</f>
        <v/>
      </c>
      <c r="AK51" s="14">
        <f>IF(OR(C51="",C51=0),"",O51/C51*10000)</f>
        <v/>
      </c>
      <c r="AL51" s="14">
        <f>IF(OR(D51="",D51=0),"",P51/D51*10000)</f>
        <v/>
      </c>
      <c r="AM51" s="14">
        <f>IF(OR(E51="",E51=0),"",Q51/E51*10000)</f>
        <v/>
      </c>
      <c r="AN51" s="11" t="n">
        <v>0</v>
      </c>
      <c r="AO51" s="11" t="n">
        <v>0</v>
      </c>
      <c r="AP51" s="21">
        <f>AH51+AN51+AO51</f>
        <v/>
      </c>
      <c r="AQ51" s="21">
        <f>AH51</f>
        <v/>
      </c>
      <c r="AR51" s="25" t="n">
        <v>69142.86000000127</v>
      </c>
      <c r="AS51" s="26" t="n">
        <v>24.38</v>
      </c>
      <c r="AT51" s="15" t="n">
        <v>12591916.98</v>
      </c>
      <c r="AU51" s="15" t="n">
        <v>26508.232</v>
      </c>
      <c r="AV51" s="15" t="n">
        <v>883.4029</v>
      </c>
      <c r="AW51" s="15" t="n"/>
      <c r="AX51" s="16" t="n">
        <v>427.001468740961</v>
      </c>
      <c r="AY51" s="13">
        <f>IF(OR(AX51="",AX51=0,AU51=""),"",AU51*365/(AX51*1000000))</f>
        <v/>
      </c>
      <c r="AZ51" s="15" t="n">
        <v>427592161.2836</v>
      </c>
      <c r="BA51" s="17" t="n">
        <v>60487233</v>
      </c>
      <c r="BB51" s="18" t="n">
        <v>12591916.98</v>
      </c>
      <c r="BC51" s="17" t="n">
        <v>2971663</v>
      </c>
      <c r="BD51" s="17">
        <f>1000000000-999874888.7655+0.0000</f>
        <v/>
      </c>
      <c r="BE51" s="19">
        <f>1000000000-AZ51-BA51-BB51-BC51-BD51</f>
        <v/>
      </c>
      <c r="BF51" s="20" t="n">
        <v>238</v>
      </c>
      <c r="BG51" s="20">
        <f>BE51/1000000-BF51</f>
        <v/>
      </c>
      <c r="BH51" s="21">
        <f>BE51*24.38</f>
        <v/>
      </c>
    </row>
    <row r="52">
      <c r="A52" s="10" t="n">
        <v>45674</v>
      </c>
      <c r="B52" s="11" t="n">
        <v>5461277249</v>
      </c>
      <c r="C52" s="11" t="n"/>
      <c r="D52" s="12" t="n">
        <v>342126938</v>
      </c>
      <c r="E52" s="11" t="n"/>
      <c r="N52" s="12" t="n">
        <v>1677802</v>
      </c>
      <c r="O52" s="11" t="n"/>
      <c r="P52" s="12" t="n">
        <v>20485</v>
      </c>
      <c r="Q52" s="11" t="n"/>
      <c r="R52" s="21">
        <f>N52+O52+P52+N(Q52)</f>
        <v/>
      </c>
      <c r="S52" s="13" t="n">
        <v>0.03</v>
      </c>
      <c r="T52" s="21">
        <f>N(AC52)*S52</f>
        <v/>
      </c>
      <c r="U52" s="21">
        <f>N(AD52)*S52</f>
        <v/>
      </c>
      <c r="V52" s="21">
        <f>N(AE52)*S52</f>
        <v/>
      </c>
      <c r="W52" s="21">
        <f>IF(Q52="","",N(AF52)*S52)</f>
        <v/>
      </c>
      <c r="X52" s="12" t="n">
        <v>0</v>
      </c>
      <c r="Y52" s="11" t="n"/>
      <c r="Z52" s="11" t="n"/>
      <c r="AA52" s="21">
        <f>T52+U52+V52+N(W52)+X52+Y52+N(Z52)</f>
        <v/>
      </c>
      <c r="AB52" s="11" t="n"/>
      <c r="AC52" s="12" t="n">
        <v>1627468</v>
      </c>
      <c r="AD52" s="21">
        <f>O52-Y52</f>
        <v/>
      </c>
      <c r="AE52" s="21">
        <f>P52-X52</f>
        <v/>
      </c>
      <c r="AF52" s="21">
        <f>IF(Q52="","",Q52-Z52)</f>
        <v/>
      </c>
      <c r="AG52" s="22">
        <f>AC52+AD52+AE52+N(AF52)</f>
        <v/>
      </c>
      <c r="AH52" s="23" t="n">
        <v>1647338</v>
      </c>
      <c r="AI52" s="24">
        <f>AG52-AH52</f>
        <v/>
      </c>
      <c r="AJ52" s="14">
        <f>IF(OR(B52="",B52=0,N52=""),"",N52/B52*10000)</f>
        <v/>
      </c>
      <c r="AK52" s="14">
        <f>IF(OR(C52="",C52=0),"",O52/C52*10000)</f>
        <v/>
      </c>
      <c r="AL52" s="14">
        <f>IF(OR(D52="",D52=0),"",P52/D52*10000)</f>
        <v/>
      </c>
      <c r="AM52" s="14">
        <f>IF(OR(E52="",E52=0),"",Q52/E52*10000)</f>
        <v/>
      </c>
      <c r="AN52" s="11" t="n">
        <v>0</v>
      </c>
      <c r="AO52" s="11" t="n">
        <v>0</v>
      </c>
      <c r="AP52" s="21">
        <f>AH52+AN52+AO52</f>
        <v/>
      </c>
      <c r="AQ52" s="21">
        <f>AH52</f>
        <v/>
      </c>
      <c r="AR52" s="25" t="n">
        <v>65564.5700000003</v>
      </c>
      <c r="AS52" s="26" t="n">
        <v>23.47</v>
      </c>
      <c r="AT52" s="15" t="n">
        <v>12657481.55</v>
      </c>
      <c r="AU52" s="15" t="n">
        <v>26562.754</v>
      </c>
      <c r="AV52" s="15" t="n">
        <v>560.1256</v>
      </c>
      <c r="AW52" s="15" t="n"/>
      <c r="AX52" s="16" t="n">
        <v>429.3350711777932</v>
      </c>
      <c r="AY52" s="13">
        <f>IF(OR(AX52="",AX52=0,AU52=""),"",AU52*365/(AX52*1000000))</f>
        <v/>
      </c>
      <c r="AZ52" s="15" t="n">
        <v>427565598.5296</v>
      </c>
      <c r="BA52" s="17" t="n">
        <v>60487233</v>
      </c>
      <c r="BB52" s="18" t="n">
        <v>12657481.55</v>
      </c>
      <c r="BC52" s="17" t="n">
        <v>2971663</v>
      </c>
      <c r="BD52" s="17">
        <f>1000000000-999874328.6399+0.0000</f>
        <v/>
      </c>
      <c r="BE52" s="19">
        <f>1000000000-AZ52-BA52-BB52-BC52-BD52</f>
        <v/>
      </c>
      <c r="BF52" s="20" t="n">
        <v>238</v>
      </c>
      <c r="BG52" s="20">
        <f>BE52/1000000-BF52</f>
        <v/>
      </c>
      <c r="BH52" s="21">
        <f>BE52*23.47</f>
        <v/>
      </c>
    </row>
    <row r="53">
      <c r="A53" s="10" t="n">
        <v>45675</v>
      </c>
      <c r="B53" s="11" t="n">
        <v>9678960135</v>
      </c>
      <c r="C53" s="11" t="n"/>
      <c r="D53" s="12" t="n">
        <v>452915269</v>
      </c>
      <c r="E53" s="11" t="n"/>
      <c r="N53" s="12" t="n">
        <v>2787442</v>
      </c>
      <c r="O53" s="11" t="n"/>
      <c r="P53" s="12" t="n">
        <v>52413</v>
      </c>
      <c r="Q53" s="11" t="n"/>
      <c r="R53" s="21">
        <f>N53+O53+P53+N(Q53)</f>
        <v/>
      </c>
      <c r="S53" s="13" t="n">
        <v>0.03</v>
      </c>
      <c r="T53" s="21">
        <f>N(AC53)*S53</f>
        <v/>
      </c>
      <c r="U53" s="21">
        <f>N(AD53)*S53</f>
        <v/>
      </c>
      <c r="V53" s="21">
        <f>N(AE53)*S53</f>
        <v/>
      </c>
      <c r="W53" s="21">
        <f>IF(Q53="","",N(AF53)*S53)</f>
        <v/>
      </c>
      <c r="X53" s="12" t="n">
        <v>0</v>
      </c>
      <c r="Y53" s="11" t="n"/>
      <c r="Z53" s="11" t="n"/>
      <c r="AA53" s="21">
        <f>T53+U53+V53+N(W53)+X53+Y53+N(Z53)</f>
        <v/>
      </c>
      <c r="AB53" s="11" t="n"/>
      <c r="AC53" s="12" t="n">
        <v>2703819</v>
      </c>
      <c r="AD53" s="21">
        <f>O53-Y53</f>
        <v/>
      </c>
      <c r="AE53" s="21">
        <f>P53-X53</f>
        <v/>
      </c>
      <c r="AF53" s="21">
        <f>IF(Q53="","",Q53-Z53)</f>
        <v/>
      </c>
      <c r="AG53" s="22">
        <f>AC53+AD53+AE53+N(AF53)</f>
        <v/>
      </c>
      <c r="AH53" s="23" t="n">
        <v>2754660</v>
      </c>
      <c r="AI53" s="24">
        <f>AG53-AH53</f>
        <v/>
      </c>
      <c r="AJ53" s="14">
        <f>IF(OR(B53="",B53=0,N53=""),"",N53/B53*10000)</f>
        <v/>
      </c>
      <c r="AK53" s="14">
        <f>IF(OR(C53="",C53=0),"",O53/C53*10000)</f>
        <v/>
      </c>
      <c r="AL53" s="14">
        <f>IF(OR(D53="",D53=0),"",P53/D53*10000)</f>
        <v/>
      </c>
      <c r="AM53" s="14">
        <f>IF(OR(E53="",E53=0),"",Q53/E53*10000)</f>
        <v/>
      </c>
      <c r="AN53" s="11" t="n">
        <v>0</v>
      </c>
      <c r="AO53" s="11" t="n">
        <v>0</v>
      </c>
      <c r="AP53" s="21">
        <f>AH53+AN53+AO53</f>
        <v/>
      </c>
      <c r="AQ53" s="21">
        <f>AH53</f>
        <v/>
      </c>
      <c r="AR53" s="25" t="n">
        <v>88780.81999999844</v>
      </c>
      <c r="AS53" s="26" t="n">
        <v>23.09</v>
      </c>
      <c r="AT53" s="15" t="n">
        <v>12746262.37</v>
      </c>
      <c r="AU53" s="15" t="n">
        <v>26584.0125</v>
      </c>
      <c r="AV53" s="15" t="n">
        <v>614.0791</v>
      </c>
      <c r="AW53" s="15" t="n"/>
      <c r="AX53" s="16" t="n">
        <v>430.0193661124255</v>
      </c>
      <c r="AY53" s="13">
        <f>IF(OR(AX53="",AX53=0,AU53=""),"",AU53*365/(AX53*1000000))</f>
        <v/>
      </c>
      <c r="AZ53" s="15" t="n">
        <v>427539014.5171</v>
      </c>
      <c r="BA53" s="17" t="n">
        <v>60487233</v>
      </c>
      <c r="BB53" s="18" t="n">
        <v>12746262.37</v>
      </c>
      <c r="BC53" s="17" t="n">
        <v>2971663</v>
      </c>
      <c r="BD53" s="17">
        <f>1000000000-999873714.5608+0.0000</f>
        <v/>
      </c>
      <c r="BE53" s="19">
        <f>1000000000-AZ53-BA53-BB53-BC53-BD53</f>
        <v/>
      </c>
      <c r="BF53" s="20" t="n">
        <v>238</v>
      </c>
      <c r="BG53" s="20">
        <f>BE53/1000000-BF53</f>
        <v/>
      </c>
      <c r="BH53" s="21">
        <f>BE53*23.09</f>
        <v/>
      </c>
    </row>
    <row r="54">
      <c r="A54" s="10" t="n">
        <v>45676</v>
      </c>
      <c r="B54" s="11" t="n">
        <v>17750219553</v>
      </c>
      <c r="C54" s="11" t="n"/>
      <c r="D54" s="12" t="n">
        <v>234451715</v>
      </c>
      <c r="E54" s="11" t="n"/>
      <c r="N54" s="12" t="n">
        <v>4250373</v>
      </c>
      <c r="O54" s="11" t="n"/>
      <c r="P54" s="12" t="n">
        <v>61521</v>
      </c>
      <c r="Q54" s="11" t="n"/>
      <c r="R54" s="21">
        <f>N54+O54+P54+N(Q54)</f>
        <v/>
      </c>
      <c r="S54" s="13" t="n">
        <v>0.03</v>
      </c>
      <c r="T54" s="21">
        <f>N(AC54)*S54</f>
        <v/>
      </c>
      <c r="U54" s="21">
        <f>N(AD54)*S54</f>
        <v/>
      </c>
      <c r="V54" s="21">
        <f>N(AE54)*S54</f>
        <v/>
      </c>
      <c r="W54" s="21">
        <f>IF(Q54="","",N(AF54)*S54)</f>
        <v/>
      </c>
      <c r="X54" s="12" t="n">
        <v>0</v>
      </c>
      <c r="Y54" s="11" t="n"/>
      <c r="Z54" s="11" t="n"/>
      <c r="AA54" s="21">
        <f>T54+U54+V54+N(W54)+X54+Y54+N(Z54)</f>
        <v/>
      </c>
      <c r="AB54" s="11" t="n"/>
      <c r="AC54" s="12" t="n">
        <v>4122862</v>
      </c>
      <c r="AD54" s="21">
        <f>O54-Y54</f>
        <v/>
      </c>
      <c r="AE54" s="21">
        <f>P54-X54</f>
        <v/>
      </c>
      <c r="AF54" s="21">
        <f>IF(Q54="","",Q54-Z54)</f>
        <v/>
      </c>
      <c r="AG54" s="22">
        <f>AC54+AD54+AE54+N(AF54)</f>
        <v/>
      </c>
      <c r="AH54" s="23" t="n">
        <v>4182537</v>
      </c>
      <c r="AI54" s="24">
        <f>AG54-AH54</f>
        <v/>
      </c>
      <c r="AJ54" s="14">
        <f>IF(OR(B54="",B54=0,N54=""),"",N54/B54*10000)</f>
        <v/>
      </c>
      <c r="AK54" s="14">
        <f>IF(OR(C54="",C54=0),"",O54/C54*10000)</f>
        <v/>
      </c>
      <c r="AL54" s="14">
        <f>IF(OR(D54="",D54=0),"",P54/D54*10000)</f>
        <v/>
      </c>
      <c r="AM54" s="14">
        <f>IF(OR(E54="",E54=0),"",Q54/E54*10000)</f>
        <v/>
      </c>
      <c r="AN54" s="11" t="n">
        <v>0</v>
      </c>
      <c r="AO54" s="11" t="n">
        <v>0</v>
      </c>
      <c r="AP54" s="21">
        <f>AH54+AN54+AO54</f>
        <v/>
      </c>
      <c r="AQ54" s="21">
        <f>AH54</f>
        <v/>
      </c>
      <c r="AR54" s="25" t="n">
        <v>143340.2700000014</v>
      </c>
      <c r="AS54" s="26" t="n">
        <v>21.94</v>
      </c>
      <c r="AT54" s="15" t="n">
        <v>12889602.64</v>
      </c>
      <c r="AU54" s="15" t="n">
        <v>26576.453</v>
      </c>
      <c r="AV54" s="15" t="n">
        <v>1549.2138</v>
      </c>
      <c r="AW54" s="15" t="n"/>
      <c r="AX54" s="16" t="n">
        <v>428.2557134000312</v>
      </c>
      <c r="AY54" s="13">
        <f>IF(OR(AX54="",AX54=0,AU54=""),"",AU54*365/(AX54*1000000))</f>
        <v/>
      </c>
      <c r="AZ54" s="15" t="n">
        <v>427512438.0641</v>
      </c>
      <c r="BA54" s="17" t="n">
        <v>60487233</v>
      </c>
      <c r="BB54" s="18" t="n">
        <v>12889602.64</v>
      </c>
      <c r="BC54" s="17" t="n">
        <v>2971663</v>
      </c>
      <c r="BD54" s="17">
        <f>1000000000-999872165.347+0.0000</f>
        <v/>
      </c>
      <c r="BE54" s="19">
        <f>1000000000-AZ54-BA54-BB54-BC54-BD54</f>
        <v/>
      </c>
      <c r="BF54" s="20" t="n">
        <v>238</v>
      </c>
      <c r="BG54" s="20">
        <f>BE54/1000000-BF54</f>
        <v/>
      </c>
      <c r="BH54" s="21">
        <f>BE54*21.94</f>
        <v/>
      </c>
    </row>
    <row r="55">
      <c r="A55" s="10" t="n">
        <v>45677</v>
      </c>
      <c r="B55" s="11" t="n">
        <v>16339004972</v>
      </c>
      <c r="C55" s="11" t="n"/>
      <c r="D55" s="12" t="n">
        <v>255573062</v>
      </c>
      <c r="E55" s="11" t="n"/>
      <c r="N55" s="12" t="n">
        <v>4044525</v>
      </c>
      <c r="O55" s="11" t="n"/>
      <c r="P55" s="12" t="n">
        <v>34279</v>
      </c>
      <c r="Q55" s="11" t="n"/>
      <c r="R55" s="21">
        <f>N55+O55+P55+N(Q55)</f>
        <v/>
      </c>
      <c r="S55" s="13" t="n">
        <v>0.03</v>
      </c>
      <c r="T55" s="21">
        <f>N(AC55)*S55</f>
        <v/>
      </c>
      <c r="U55" s="21">
        <f>N(AD55)*S55</f>
        <v/>
      </c>
      <c r="V55" s="21">
        <f>N(AE55)*S55</f>
        <v/>
      </c>
      <c r="W55" s="21">
        <f>IF(Q55="","",N(AF55)*S55)</f>
        <v/>
      </c>
      <c r="X55" s="12" t="n">
        <v>0</v>
      </c>
      <c r="Y55" s="11" t="n"/>
      <c r="Z55" s="11" t="n"/>
      <c r="AA55" s="21">
        <f>T55+U55+V55+N(W55)+X55+Y55+N(Z55)</f>
        <v/>
      </c>
      <c r="AB55" s="11" t="n"/>
      <c r="AC55" s="12" t="n">
        <v>3923189</v>
      </c>
      <c r="AD55" s="21">
        <f>O55-Y55</f>
        <v/>
      </c>
      <c r="AE55" s="21">
        <f>P55-X55</f>
        <v/>
      </c>
      <c r="AF55" s="21">
        <f>IF(Q55="","",Q55-Z55)</f>
        <v/>
      </c>
      <c r="AG55" s="22">
        <f>AC55+AD55+AE55+N(AF55)</f>
        <v/>
      </c>
      <c r="AH55" s="23" t="n">
        <v>3956440</v>
      </c>
      <c r="AI55" s="24">
        <f>AG55-AH55</f>
        <v/>
      </c>
      <c r="AJ55" s="14">
        <f>IF(OR(B55="",B55=0,N55=""),"",N55/B55*10000)</f>
        <v/>
      </c>
      <c r="AK55" s="14">
        <f>IF(OR(C55="",C55=0),"",O55/C55*10000)</f>
        <v/>
      </c>
      <c r="AL55" s="14">
        <f>IF(OR(D55="",D55=0),"",P55/D55*10000)</f>
        <v/>
      </c>
      <c r="AM55" s="14">
        <f>IF(OR(E55="",E55=0),"",Q55/E55*10000)</f>
        <v/>
      </c>
      <c r="AN55" s="11" t="n">
        <v>0</v>
      </c>
      <c r="AO55" s="11" t="n">
        <v>0</v>
      </c>
      <c r="AP55" s="21">
        <f>AH55+AN55+AO55</f>
        <v/>
      </c>
      <c r="AQ55" s="21">
        <f>AH55</f>
        <v/>
      </c>
      <c r="AR55" s="25" t="n">
        <v>228527.25</v>
      </c>
      <c r="AS55" s="26" t="n">
        <v>20.19</v>
      </c>
      <c r="AT55" s="15" t="n">
        <v>13118129.89</v>
      </c>
      <c r="AU55" s="15" t="n">
        <v>26541.2726</v>
      </c>
      <c r="AV55" s="15" t="n">
        <v>2127.3129</v>
      </c>
      <c r="AW55" s="15" t="n"/>
      <c r="AX55" s="16" t="n">
        <v>426.4903360474353</v>
      </c>
      <c r="AY55" s="13">
        <f>IF(OR(AX55="",AX55=0,AU55=""),"",AU55*365/(AX55*1000000))</f>
        <v/>
      </c>
      <c r="AZ55" s="15" t="n">
        <v>427485896.7915</v>
      </c>
      <c r="BA55" s="17" t="n">
        <v>60487233</v>
      </c>
      <c r="BB55" s="18" t="n">
        <v>13118129.89</v>
      </c>
      <c r="BC55" s="17" t="n">
        <v>2971663</v>
      </c>
      <c r="BD55" s="17">
        <f>1000000000-999870038.0341+0.0000</f>
        <v/>
      </c>
      <c r="BE55" s="19">
        <f>1000000000-AZ55-BA55-BB55-BC55-BD55</f>
        <v/>
      </c>
      <c r="BF55" s="20" t="n">
        <v>238</v>
      </c>
      <c r="BG55" s="20">
        <f>BE55/1000000-BF55</f>
        <v/>
      </c>
      <c r="BH55" s="21">
        <f>BE55*20.19</f>
        <v/>
      </c>
    </row>
    <row r="56">
      <c r="A56" s="10" t="n">
        <v>45678</v>
      </c>
      <c r="B56" s="11" t="n">
        <v>8341944948</v>
      </c>
      <c r="C56" s="11" t="n"/>
      <c r="D56" s="12" t="n">
        <v>217426990</v>
      </c>
      <c r="E56" s="11" t="n"/>
      <c r="N56" s="12" t="n">
        <v>2031876</v>
      </c>
      <c r="O56" s="11" t="n"/>
      <c r="P56" s="12" t="n">
        <v>34069</v>
      </c>
      <c r="Q56" s="11" t="n"/>
      <c r="R56" s="21">
        <f>N56+O56+P56+N(Q56)</f>
        <v/>
      </c>
      <c r="S56" s="13" t="n">
        <v>0.03</v>
      </c>
      <c r="T56" s="21">
        <f>N(AC56)*S56</f>
        <v/>
      </c>
      <c r="U56" s="21">
        <f>N(AD56)*S56</f>
        <v/>
      </c>
      <c r="V56" s="21">
        <f>N(AE56)*S56</f>
        <v/>
      </c>
      <c r="W56" s="21">
        <f>IF(Q56="","",N(AF56)*S56)</f>
        <v/>
      </c>
      <c r="X56" s="12" t="n">
        <v>0</v>
      </c>
      <c r="Y56" s="11" t="n"/>
      <c r="Z56" s="11" t="n"/>
      <c r="AA56" s="21">
        <f>T56+U56+V56+N(W56)+X56+Y56+N(Z56)</f>
        <v/>
      </c>
      <c r="AB56" s="11" t="n"/>
      <c r="AC56" s="12" t="n">
        <v>1970920</v>
      </c>
      <c r="AD56" s="21">
        <f>O56-Y56</f>
        <v/>
      </c>
      <c r="AE56" s="21">
        <f>P56-X56</f>
        <v/>
      </c>
      <c r="AF56" s="21">
        <f>IF(Q56="","",Q56-Z56)</f>
        <v/>
      </c>
      <c r="AG56" s="22">
        <f>AC56+AD56+AE56+N(AF56)</f>
        <v/>
      </c>
      <c r="AH56" s="23" t="n">
        <v>2003967</v>
      </c>
      <c r="AI56" s="24">
        <f>AG56-AH56</f>
        <v/>
      </c>
      <c r="AJ56" s="14">
        <f>IF(OR(B56="",B56=0,N56=""),"",N56/B56*10000)</f>
        <v/>
      </c>
      <c r="AK56" s="14">
        <f>IF(OR(C56="",C56=0),"",O56/C56*10000)</f>
        <v/>
      </c>
      <c r="AL56" s="14">
        <f>IF(OR(D56="",D56=0),"",P56/D56*10000)</f>
        <v/>
      </c>
      <c r="AM56" s="14">
        <f>IF(OR(E56="",E56=0),"",Q56/E56*10000)</f>
        <v/>
      </c>
      <c r="AN56" s="11" t="n">
        <v>0</v>
      </c>
      <c r="AO56" s="11" t="n">
        <v>0</v>
      </c>
      <c r="AP56" s="21">
        <f>AH56+AN56+AO56</f>
        <v/>
      </c>
      <c r="AQ56" s="21">
        <f>AH56</f>
        <v/>
      </c>
      <c r="AR56" s="25" t="n">
        <v>133128.8899999987</v>
      </c>
      <c r="AS56" s="26" t="n">
        <v>20.55</v>
      </c>
      <c r="AT56" s="15" t="n">
        <v>13251258.78</v>
      </c>
      <c r="AU56" s="15" t="n">
        <v>26530.7477</v>
      </c>
      <c r="AV56" s="15" t="n">
        <v>1392.5278</v>
      </c>
      <c r="AW56" s="15" t="n"/>
      <c r="AX56" s="16" t="n">
        <v>428.3282005614788</v>
      </c>
      <c r="AY56" s="13">
        <f>IF(OR(AX56="",AX56=0,AU56=""),"",AU56*365/(AX56*1000000))</f>
        <v/>
      </c>
      <c r="AZ56" s="15" t="n">
        <v>427459366.0438</v>
      </c>
      <c r="BA56" s="17" t="n">
        <v>60487233</v>
      </c>
      <c r="BB56" s="18" t="n">
        <v>13251258.78</v>
      </c>
      <c r="BC56" s="17" t="n">
        <v>2971663</v>
      </c>
      <c r="BD56" s="17">
        <f>1000000000-999868645.5063+0.0000</f>
        <v/>
      </c>
      <c r="BE56" s="19">
        <f>1000000000-AZ56-BA56-BB56-BC56-BD56</f>
        <v/>
      </c>
      <c r="BF56" s="20" t="n">
        <v>238</v>
      </c>
      <c r="BG56" s="20">
        <f>BE56/1000000-BF56</f>
        <v/>
      </c>
      <c r="BH56" s="21">
        <f>BE56*20.55</f>
        <v/>
      </c>
    </row>
    <row r="57">
      <c r="A57" s="10" t="n">
        <v>45679</v>
      </c>
      <c r="B57" s="11" t="n">
        <v>5281551151</v>
      </c>
      <c r="C57" s="11" t="n"/>
      <c r="D57" s="12" t="n">
        <v>268190024</v>
      </c>
      <c r="E57" s="11" t="n"/>
      <c r="N57" s="12" t="n">
        <v>1405006</v>
      </c>
      <c r="O57" s="11" t="n"/>
      <c r="P57" s="12" t="n">
        <v>30418</v>
      </c>
      <c r="Q57" s="11" t="n"/>
      <c r="R57" s="21">
        <f>N57+O57+P57+N(Q57)</f>
        <v/>
      </c>
      <c r="S57" s="13" t="n">
        <v>0.03</v>
      </c>
      <c r="T57" s="21">
        <f>N(AC57)*S57</f>
        <v/>
      </c>
      <c r="U57" s="21">
        <f>N(AD57)*S57</f>
        <v/>
      </c>
      <c r="V57" s="21">
        <f>N(AE57)*S57</f>
        <v/>
      </c>
      <c r="W57" s="21">
        <f>IF(Q57="","",N(AF57)*S57)</f>
        <v/>
      </c>
      <c r="X57" s="12" t="n">
        <v>0</v>
      </c>
      <c r="Y57" s="11" t="n"/>
      <c r="Z57" s="11" t="n"/>
      <c r="AA57" s="21">
        <f>T57+U57+V57+N(W57)+X57+Y57+N(Z57)</f>
        <v/>
      </c>
      <c r="AB57" s="11" t="n"/>
      <c r="AC57" s="12" t="n">
        <v>1362855</v>
      </c>
      <c r="AD57" s="21">
        <f>O57-Y57</f>
        <v/>
      </c>
      <c r="AE57" s="21">
        <f>P57-X57</f>
        <v/>
      </c>
      <c r="AF57" s="21">
        <f>IF(Q57="","",Q57-Z57)</f>
        <v/>
      </c>
      <c r="AG57" s="22">
        <f>AC57+AD57+AE57+N(AF57)</f>
        <v/>
      </c>
      <c r="AH57" s="23" t="n">
        <v>1392360</v>
      </c>
      <c r="AI57" s="24">
        <f>AG57-AH57</f>
        <v/>
      </c>
      <c r="AJ57" s="14">
        <f>IF(OR(B57="",B57=0,N57=""),"",N57/B57*10000)</f>
        <v/>
      </c>
      <c r="AK57" s="14">
        <f>IF(OR(C57="",C57=0),"",O57/C57*10000)</f>
        <v/>
      </c>
      <c r="AL57" s="14">
        <f>IF(OR(D57="",D57=0),"",P57/D57*10000)</f>
        <v/>
      </c>
      <c r="AM57" s="14">
        <f>IF(OR(E57="",E57=0),"",Q57/E57*10000)</f>
        <v/>
      </c>
      <c r="AN57" s="11" t="n">
        <v>0</v>
      </c>
      <c r="AO57" s="11" t="n">
        <v>0</v>
      </c>
      <c r="AP57" s="21">
        <f>AH57+AN57+AO57</f>
        <v/>
      </c>
      <c r="AQ57" s="21">
        <f>AH57</f>
        <v/>
      </c>
      <c r="AR57" s="25" t="n">
        <v>71129.96000000089</v>
      </c>
      <c r="AS57" s="26" t="n">
        <v>23.18</v>
      </c>
      <c r="AT57" s="15" t="n">
        <v>13322388.74</v>
      </c>
      <c r="AU57" s="15" t="n">
        <v>26567.3464</v>
      </c>
      <c r="AV57" s="15" t="n">
        <v>1404.8497</v>
      </c>
      <c r="AW57" s="15" t="n"/>
      <c r="AX57" s="16" t="n">
        <v>428.4815455730789</v>
      </c>
      <c r="AY57" s="13">
        <f>IF(OR(AX57="",AX57=0,AU57=""),"",AU57*365/(AX57*1000000))</f>
        <v/>
      </c>
      <c r="AZ57" s="15" t="n">
        <v>427432798.6974</v>
      </c>
      <c r="BA57" s="17" t="n">
        <v>60487233</v>
      </c>
      <c r="BB57" s="18" t="n">
        <v>13322388.74</v>
      </c>
      <c r="BC57" s="17" t="n">
        <v>2971663</v>
      </c>
      <c r="BD57" s="17">
        <f>1000000000-999867240.6567+0.0000</f>
        <v/>
      </c>
      <c r="BE57" s="19">
        <f>1000000000-AZ57-BA57-BB57-BC57-BD57</f>
        <v/>
      </c>
      <c r="BF57" s="20" t="n">
        <v>238</v>
      </c>
      <c r="BG57" s="20">
        <f>BE57/1000000-BF57</f>
        <v/>
      </c>
      <c r="BH57" s="21">
        <f>BE57*23.18</f>
        <v/>
      </c>
    </row>
    <row r="58">
      <c r="A58" s="10" t="n">
        <v>45680</v>
      </c>
      <c r="B58" s="11" t="n">
        <v>11321580803</v>
      </c>
      <c r="C58" s="11" t="n"/>
      <c r="D58" s="12" t="n">
        <v>178140305</v>
      </c>
      <c r="E58" s="11" t="n"/>
      <c r="N58" s="12" t="n">
        <v>2783278</v>
      </c>
      <c r="O58" s="11" t="n"/>
      <c r="P58" s="12" t="n">
        <v>38159</v>
      </c>
      <c r="Q58" s="11" t="n"/>
      <c r="R58" s="21">
        <f>N58+O58+P58+N(Q58)</f>
        <v/>
      </c>
      <c r="S58" s="13" t="n">
        <v>0.03</v>
      </c>
      <c r="T58" s="21">
        <f>N(AC58)*S58</f>
        <v/>
      </c>
      <c r="U58" s="21">
        <f>N(AD58)*S58</f>
        <v/>
      </c>
      <c r="V58" s="21">
        <f>N(AE58)*S58</f>
        <v/>
      </c>
      <c r="W58" s="21">
        <f>IF(Q58="","",N(AF58)*S58)</f>
        <v/>
      </c>
      <c r="X58" s="12" t="n">
        <v>0</v>
      </c>
      <c r="Y58" s="11" t="n"/>
      <c r="Z58" s="11" t="n"/>
      <c r="AA58" s="21">
        <f>T58+U58+V58+N(W58)+X58+Y58+N(Z58)</f>
        <v/>
      </c>
      <c r="AB58" s="11" t="n"/>
      <c r="AC58" s="12" t="n">
        <v>2699780</v>
      </c>
      <c r="AD58" s="21">
        <f>O58-Y58</f>
        <v/>
      </c>
      <c r="AE58" s="21">
        <f>P58-X58</f>
        <v/>
      </c>
      <c r="AF58" s="21">
        <f>IF(Q58="","",Q58-Z58)</f>
        <v/>
      </c>
      <c r="AG58" s="22">
        <f>AC58+AD58+AE58+N(AF58)</f>
        <v/>
      </c>
      <c r="AH58" s="23" t="n">
        <v>2736794</v>
      </c>
      <c r="AI58" s="24">
        <f>AG58-AH58</f>
        <v/>
      </c>
      <c r="AJ58" s="14">
        <f>IF(OR(B58="",B58=0,N58=""),"",N58/B58*10000)</f>
        <v/>
      </c>
      <c r="AK58" s="14">
        <f>IF(OR(C58="",C58=0),"",O58/C58*10000)</f>
        <v/>
      </c>
      <c r="AL58" s="14">
        <f>IF(OR(D58="",D58=0),"",P58/D58*10000)</f>
        <v/>
      </c>
      <c r="AM58" s="14">
        <f>IF(OR(E58="",E58=0),"",Q58/E58*10000)</f>
        <v/>
      </c>
      <c r="AN58" s="11" t="n">
        <v>0</v>
      </c>
      <c r="AO58" s="11" t="n">
        <v>0</v>
      </c>
      <c r="AP58" s="21">
        <f>AH58+AN58+AO58</f>
        <v/>
      </c>
      <c r="AQ58" s="21">
        <f>AH58</f>
        <v/>
      </c>
      <c r="AR58" s="25" t="n">
        <v>62060.41999999993</v>
      </c>
      <c r="AS58" s="26" t="n">
        <v>24.31</v>
      </c>
      <c r="AT58" s="15" t="n">
        <v>13384449.16</v>
      </c>
      <c r="AU58" s="15" t="n">
        <v>26581.533</v>
      </c>
      <c r="AV58" s="15" t="n">
        <v>923.5959</v>
      </c>
      <c r="AW58" s="15" t="n"/>
      <c r="AX58" s="16" t="n">
        <v>428.6257171087203</v>
      </c>
      <c r="AY58" s="13">
        <f>IF(OR(AX58="",AX58=0,AU58=""),"",AU58*365/(AX58*1000000))</f>
        <v/>
      </c>
      <c r="AZ58" s="15" t="n">
        <v>427406217.1644</v>
      </c>
      <c r="BA58" s="17" t="n">
        <v>60487233</v>
      </c>
      <c r="BB58" s="18" t="n">
        <v>13384449.16</v>
      </c>
      <c r="BC58" s="17" t="n">
        <v>2971663</v>
      </c>
      <c r="BD58" s="17">
        <f>1000000000-999866317.0608+0.0000</f>
        <v/>
      </c>
      <c r="BE58" s="19">
        <f>1000000000-AZ58-BA58-BB58-BC58-BD58</f>
        <v/>
      </c>
      <c r="BF58" s="20" t="n">
        <v>238</v>
      </c>
      <c r="BG58" s="20">
        <f>BE58/1000000-BF58</f>
        <v/>
      </c>
      <c r="BH58" s="21">
        <f>BE58*24.31</f>
        <v/>
      </c>
    </row>
    <row r="59">
      <c r="A59" s="10" t="n">
        <v>45681</v>
      </c>
      <c r="B59" s="11" t="n">
        <v>5784731819</v>
      </c>
      <c r="C59" s="11" t="n"/>
      <c r="D59" s="12" t="n">
        <v>93192677</v>
      </c>
      <c r="E59" s="11" t="n"/>
      <c r="N59" s="12" t="n">
        <v>1284164</v>
      </c>
      <c r="O59" s="11" t="n"/>
      <c r="P59" s="12" t="n">
        <v>23999</v>
      </c>
      <c r="Q59" s="11" t="n"/>
      <c r="R59" s="21">
        <f>N59+O59+P59+N(Q59)</f>
        <v/>
      </c>
      <c r="S59" s="13" t="n">
        <v>0.03</v>
      </c>
      <c r="T59" s="21">
        <f>N(AC59)*S59</f>
        <v/>
      </c>
      <c r="U59" s="21">
        <f>N(AD59)*S59</f>
        <v/>
      </c>
      <c r="V59" s="21">
        <f>N(AE59)*S59</f>
        <v/>
      </c>
      <c r="W59" s="21">
        <f>IF(Q59="","",N(AF59)*S59)</f>
        <v/>
      </c>
      <c r="X59" s="12" t="n">
        <v>0</v>
      </c>
      <c r="Y59" s="11" t="n"/>
      <c r="Z59" s="11" t="n"/>
      <c r="AA59" s="21">
        <f>T59+U59+V59+N(W59)+X59+Y59+N(Z59)</f>
        <v/>
      </c>
      <c r="AB59" s="11" t="n"/>
      <c r="AC59" s="12" t="n">
        <v>1245639</v>
      </c>
      <c r="AD59" s="21">
        <f>O59-Y59</f>
        <v/>
      </c>
      <c r="AE59" s="21">
        <f>P59-X59</f>
        <v/>
      </c>
      <c r="AF59" s="21">
        <f>IF(Q59="","",Q59-Z59)</f>
        <v/>
      </c>
      <c r="AG59" s="22">
        <f>AC59+AD59+AE59+N(AF59)</f>
        <v/>
      </c>
      <c r="AH59" s="23" t="n">
        <v>1268918</v>
      </c>
      <c r="AI59" s="24">
        <f>AG59-AH59</f>
        <v/>
      </c>
      <c r="AJ59" s="14">
        <f>IF(OR(B59="",B59=0,N59=""),"",N59/B59*10000)</f>
        <v/>
      </c>
      <c r="AK59" s="14">
        <f>IF(OR(C59="",C59=0),"",O59/C59*10000)</f>
        <v/>
      </c>
      <c r="AL59" s="14">
        <f>IF(OR(D59="",D59=0),"",P59/D59*10000)</f>
        <v/>
      </c>
      <c r="AM59" s="14">
        <f>IF(OR(E59="",E59=0),"",Q59/E59*10000)</f>
        <v/>
      </c>
      <c r="AN59" s="11" t="n">
        <v>0</v>
      </c>
      <c r="AO59" s="11" t="n">
        <v>0</v>
      </c>
      <c r="AP59" s="21">
        <f>AH59+AN59+AO59</f>
        <v/>
      </c>
      <c r="AQ59" s="21">
        <f>AH59</f>
        <v/>
      </c>
      <c r="AR59" s="25" t="n">
        <v>115997.0700000003</v>
      </c>
      <c r="AS59" s="26" t="n">
        <v>21.97</v>
      </c>
      <c r="AT59" s="15" t="n">
        <v>13500446.23</v>
      </c>
      <c r="AU59" s="15" t="n">
        <v>26552.4017</v>
      </c>
      <c r="AV59" s="15" t="n">
        <v>1425.0715</v>
      </c>
      <c r="AW59" s="15" t="n"/>
      <c r="AX59" s="16" t="n">
        <v>427.5093051534757</v>
      </c>
      <c r="AY59" s="13">
        <f>IF(OR(AX59="",AX59=0,AU59=""),"",AU59*365/(AX59*1000000))</f>
        <v/>
      </c>
      <c r="AZ59" s="15" t="n">
        <v>427379664.7627</v>
      </c>
      <c r="BA59" s="17" t="n">
        <v>60487233</v>
      </c>
      <c r="BB59" s="18" t="n">
        <v>13500446.23</v>
      </c>
      <c r="BC59" s="17" t="n">
        <v>2971663</v>
      </c>
      <c r="BD59" s="17">
        <f>1000000000-999864891.9893+0.0000</f>
        <v/>
      </c>
      <c r="BE59" s="19">
        <f>1000000000-AZ59-BA59-BB59-BC59-BD59</f>
        <v/>
      </c>
      <c r="BF59" s="20" t="n">
        <v>238</v>
      </c>
      <c r="BG59" s="20">
        <f>BE59/1000000-BF59</f>
        <v/>
      </c>
      <c r="BH59" s="21">
        <f>BE59*21.97</f>
        <v/>
      </c>
    </row>
    <row r="60">
      <c r="A60" s="10" t="n">
        <v>45682</v>
      </c>
      <c r="B60" s="11" t="n">
        <v>3516728432</v>
      </c>
      <c r="C60" s="11" t="n"/>
      <c r="D60" s="12" t="n">
        <v>138875526</v>
      </c>
      <c r="E60" s="11" t="n"/>
      <c r="N60" s="12" t="n">
        <v>1061042</v>
      </c>
      <c r="O60" s="11" t="n"/>
      <c r="P60" s="12" t="n">
        <v>14317</v>
      </c>
      <c r="Q60" s="11" t="n"/>
      <c r="R60" s="21">
        <f>N60+O60+P60+N(Q60)</f>
        <v/>
      </c>
      <c r="S60" s="13" t="n">
        <v>0.03</v>
      </c>
      <c r="T60" s="21">
        <f>N(AC60)*S60</f>
        <v/>
      </c>
      <c r="U60" s="21">
        <f>N(AD60)*S60</f>
        <v/>
      </c>
      <c r="V60" s="21">
        <f>N(AE60)*S60</f>
        <v/>
      </c>
      <c r="W60" s="21">
        <f>IF(Q60="","",N(AF60)*S60)</f>
        <v/>
      </c>
      <c r="X60" s="12" t="n">
        <v>0</v>
      </c>
      <c r="Y60" s="11" t="n"/>
      <c r="Z60" s="11" t="n"/>
      <c r="AA60" s="21">
        <f>T60+U60+V60+N(W60)+X60+Y60+N(Z60)</f>
        <v/>
      </c>
      <c r="AB60" s="11" t="n"/>
      <c r="AC60" s="12" t="n">
        <v>1029211</v>
      </c>
      <c r="AD60" s="21">
        <f>O60-Y60</f>
        <v/>
      </c>
      <c r="AE60" s="21">
        <f>P60-X60</f>
        <v/>
      </c>
      <c r="AF60" s="21">
        <f>IF(Q60="","",Q60-Z60)</f>
        <v/>
      </c>
      <c r="AG60" s="22">
        <f>AC60+AD60+AE60+N(AF60)</f>
        <v/>
      </c>
      <c r="AH60" s="23" t="n">
        <v>1043099</v>
      </c>
      <c r="AI60" s="24">
        <f>AG60-AH60</f>
        <v/>
      </c>
      <c r="AJ60" s="14">
        <f>IF(OR(B60="",B60=0,N60=""),"",N60/B60*10000)</f>
        <v/>
      </c>
      <c r="AK60" s="14">
        <f>IF(OR(C60="",C60=0),"",O60/C60*10000)</f>
        <v/>
      </c>
      <c r="AL60" s="14">
        <f>IF(OR(D60="",D60=0),"",P60/D60*10000)</f>
        <v/>
      </c>
      <c r="AM60" s="14">
        <f>IF(OR(E60="",E60=0),"",Q60/E60*10000)</f>
        <v/>
      </c>
      <c r="AN60" s="11" t="n">
        <v>0</v>
      </c>
      <c r="AO60" s="11" t="n">
        <v>0</v>
      </c>
      <c r="AP60" s="21">
        <f>AH60+AN60+AO60</f>
        <v/>
      </c>
      <c r="AQ60" s="21">
        <f>AH60</f>
        <v/>
      </c>
      <c r="AR60" s="25" t="n">
        <v>59234.4299999997</v>
      </c>
      <c r="AS60" s="26" t="n">
        <v>23.06</v>
      </c>
      <c r="AT60" s="15" t="n">
        <v>13559680.66</v>
      </c>
      <c r="AU60" s="15" t="n">
        <v>26530.8113</v>
      </c>
      <c r="AV60" s="15" t="n">
        <v>909.6107</v>
      </c>
      <c r="AW60" s="15" t="n"/>
      <c r="AX60" s="16" t="n">
        <v>427.3262184329375</v>
      </c>
      <c r="AY60" s="13">
        <f>IF(OR(AX60="",AX60=0,AU60=""),"",AU60*365/(AX60*1000000))</f>
        <v/>
      </c>
      <c r="AZ60" s="15" t="n">
        <v>427353133.9514</v>
      </c>
      <c r="BA60" s="17" t="n">
        <v>60487233</v>
      </c>
      <c r="BB60" s="18" t="n">
        <v>13559680.66</v>
      </c>
      <c r="BC60" s="17" t="n">
        <v>2971663</v>
      </c>
      <c r="BD60" s="17">
        <f>1000000000-999863982.3786+0.0000</f>
        <v/>
      </c>
      <c r="BE60" s="19">
        <f>1000000000-AZ60-BA60-BB60-BC60-BD60</f>
        <v/>
      </c>
      <c r="BF60" s="20" t="n">
        <v>238</v>
      </c>
      <c r="BG60" s="20">
        <f>BE60/1000000-BF60</f>
        <v/>
      </c>
      <c r="BH60" s="21">
        <f>BE60*23.06</f>
        <v/>
      </c>
    </row>
    <row r="61">
      <c r="A61" s="10" t="n">
        <v>45683</v>
      </c>
      <c r="B61" s="11" t="n">
        <v>3597386933</v>
      </c>
      <c r="C61" s="11" t="n"/>
      <c r="D61" s="12" t="n">
        <v>229716868</v>
      </c>
      <c r="E61" s="11" t="n"/>
      <c r="N61" s="12" t="n">
        <v>1066098</v>
      </c>
      <c r="O61" s="11" t="n"/>
      <c r="P61" s="12" t="n">
        <v>16865</v>
      </c>
      <c r="Q61" s="11" t="n"/>
      <c r="R61" s="21">
        <f>N61+O61+P61+N(Q61)</f>
        <v/>
      </c>
      <c r="S61" s="13" t="n">
        <v>0.03</v>
      </c>
      <c r="T61" s="21">
        <f>N(AC61)*S61</f>
        <v/>
      </c>
      <c r="U61" s="21">
        <f>N(AD61)*S61</f>
        <v/>
      </c>
      <c r="V61" s="21">
        <f>N(AE61)*S61</f>
        <v/>
      </c>
      <c r="W61" s="21">
        <f>IF(Q61="","",N(AF61)*S61)</f>
        <v/>
      </c>
      <c r="X61" s="12" t="n">
        <v>0</v>
      </c>
      <c r="Y61" s="11" t="n"/>
      <c r="Z61" s="11" t="n"/>
      <c r="AA61" s="21">
        <f>T61+U61+V61+N(W61)+X61+Y61+N(Z61)</f>
        <v/>
      </c>
      <c r="AB61" s="11" t="n"/>
      <c r="AC61" s="12" t="n">
        <v>1034115</v>
      </c>
      <c r="AD61" s="21">
        <f>O61-Y61</f>
        <v/>
      </c>
      <c r="AE61" s="21">
        <f>P61-X61</f>
        <v/>
      </c>
      <c r="AF61" s="21">
        <f>IF(Q61="","",Q61-Z61)</f>
        <v/>
      </c>
      <c r="AG61" s="22">
        <f>AC61+AD61+AE61+N(AF61)</f>
        <v/>
      </c>
      <c r="AH61" s="23" t="n">
        <v>1050474</v>
      </c>
      <c r="AI61" s="24">
        <f>AG61-AH61</f>
        <v/>
      </c>
      <c r="AJ61" s="14">
        <f>IF(OR(B61="",B61=0,N61=""),"",N61/B61*10000)</f>
        <v/>
      </c>
      <c r="AK61" s="14">
        <f>IF(OR(C61="",C61=0),"",O61/C61*10000)</f>
        <v/>
      </c>
      <c r="AL61" s="14">
        <f>IF(OR(D61="",D61=0),"",P61/D61*10000)</f>
        <v/>
      </c>
      <c r="AM61" s="14">
        <f>IF(OR(E61="",E61=0),"",Q61/E61*10000)</f>
        <v/>
      </c>
      <c r="AN61" s="11" t="n">
        <v>0</v>
      </c>
      <c r="AO61" s="11" t="n">
        <v>0</v>
      </c>
      <c r="AP61" s="21">
        <f>AH61+AN61+AO61</f>
        <v/>
      </c>
      <c r="AQ61" s="21">
        <f>AH61</f>
        <v/>
      </c>
      <c r="AR61" s="25" t="n">
        <v>29767.31000000052</v>
      </c>
      <c r="AS61" s="26" t="n">
        <v>23.15</v>
      </c>
      <c r="AT61" s="15" t="n">
        <v>13589447.97</v>
      </c>
      <c r="AU61" s="15" t="n">
        <v>26541.0291</v>
      </c>
      <c r="AV61" s="15" t="n">
        <v>462.2589</v>
      </c>
      <c r="AW61" s="15" t="n"/>
      <c r="AX61" s="16" t="n">
        <v>427.627261770367</v>
      </c>
      <c r="AY61" s="13">
        <f>IF(OR(AX61="",AX61=0,AU61=""),"",AU61*365/(AX61*1000000))</f>
        <v/>
      </c>
      <c r="AZ61" s="15" t="n">
        <v>427326592.9222</v>
      </c>
      <c r="BA61" s="17" t="n">
        <v>60487233</v>
      </c>
      <c r="BB61" s="18" t="n">
        <v>13589447.97</v>
      </c>
      <c r="BC61" s="17" t="n">
        <v>2971663</v>
      </c>
      <c r="BD61" s="17">
        <f>1000000000-999863520.1197+0.0000</f>
        <v/>
      </c>
      <c r="BE61" s="19">
        <f>1000000000-AZ61-BA61-BB61-BC61-BD61</f>
        <v/>
      </c>
      <c r="BF61" s="20" t="n">
        <v>238</v>
      </c>
      <c r="BG61" s="20">
        <f>BE61/1000000-BF61</f>
        <v/>
      </c>
      <c r="BH61" s="21">
        <f>BE61*23.15</f>
        <v/>
      </c>
    </row>
    <row r="62">
      <c r="A62" s="10" t="n">
        <v>45684</v>
      </c>
      <c r="B62" s="11" t="n">
        <v>10972896197</v>
      </c>
      <c r="C62" s="11" t="n"/>
      <c r="D62" s="12" t="n">
        <v>185620600</v>
      </c>
      <c r="E62" s="11" t="n"/>
      <c r="N62" s="12" t="n">
        <v>2661614</v>
      </c>
      <c r="O62" s="11" t="n"/>
      <c r="P62" s="12" t="n">
        <v>37573</v>
      </c>
      <c r="Q62" s="11" t="n"/>
      <c r="R62" s="21">
        <f>N62+O62+P62+N(Q62)</f>
        <v/>
      </c>
      <c r="S62" s="13" t="n">
        <v>0.03</v>
      </c>
      <c r="T62" s="21">
        <f>N(AC62)*S62</f>
        <v/>
      </c>
      <c r="U62" s="21">
        <f>N(AD62)*S62</f>
        <v/>
      </c>
      <c r="V62" s="21">
        <f>N(AE62)*S62</f>
        <v/>
      </c>
      <c r="W62" s="21">
        <f>IF(Q62="","",N(AF62)*S62)</f>
        <v/>
      </c>
      <c r="X62" s="12" t="n">
        <v>0</v>
      </c>
      <c r="Y62" s="11" t="n"/>
      <c r="Z62" s="11" t="n"/>
      <c r="AA62" s="21">
        <f>T62+U62+V62+N(W62)+X62+Y62+N(Z62)</f>
        <v/>
      </c>
      <c r="AB62" s="11" t="n"/>
      <c r="AC62" s="12" t="n">
        <v>2581765</v>
      </c>
      <c r="AD62" s="21">
        <f>O62-Y62</f>
        <v/>
      </c>
      <c r="AE62" s="21">
        <f>P62-X62</f>
        <v/>
      </c>
      <c r="AF62" s="21">
        <f>IF(Q62="","",Q62-Z62)</f>
        <v/>
      </c>
      <c r="AG62" s="22">
        <f>AC62+AD62+AE62+N(AF62)</f>
        <v/>
      </c>
      <c r="AH62" s="23" t="n">
        <v>2618211</v>
      </c>
      <c r="AI62" s="24">
        <f>AG62-AH62</f>
        <v/>
      </c>
      <c r="AJ62" s="14">
        <f>IF(OR(B62="",B62=0,N62=""),"",N62/B62*10000)</f>
        <v/>
      </c>
      <c r="AK62" s="14">
        <f>IF(OR(C62="",C62=0),"",O62/C62*10000)</f>
        <v/>
      </c>
      <c r="AL62" s="14">
        <f>IF(OR(D62="",D62=0),"",P62/D62*10000)</f>
        <v/>
      </c>
      <c r="AM62" s="14">
        <f>IF(OR(E62="",E62=0),"",Q62/E62*10000)</f>
        <v/>
      </c>
      <c r="AN62" s="11" t="n">
        <v>0</v>
      </c>
      <c r="AO62" s="11" t="n">
        <v>0</v>
      </c>
      <c r="AP62" s="21">
        <f>AH62+AN62+AO62</f>
        <v/>
      </c>
      <c r="AQ62" s="21">
        <f>AH62</f>
        <v/>
      </c>
      <c r="AR62" s="25" t="n">
        <v>76325.70999999903</v>
      </c>
      <c r="AS62" s="26" t="n">
        <v>22.08</v>
      </c>
      <c r="AT62" s="15" t="n">
        <v>13665773.68</v>
      </c>
      <c r="AU62" s="15" t="n">
        <v>26557.3341</v>
      </c>
      <c r="AV62" s="15" t="n">
        <v>515.1838</v>
      </c>
      <c r="AW62" s="15" t="n"/>
      <c r="AX62" s="16" t="n">
        <v>428.2422781384994</v>
      </c>
      <c r="AY62" s="13">
        <f>IF(OR(AX62="",AX62=0,AU62=""),"",AU62*365/(AX62*1000000))</f>
        <v/>
      </c>
      <c r="AZ62" s="15" t="n">
        <v>427300035.5882</v>
      </c>
      <c r="BA62" s="17" t="n">
        <v>60487233</v>
      </c>
      <c r="BB62" s="18" t="n">
        <v>13665773.68</v>
      </c>
      <c r="BC62" s="17" t="n">
        <v>2971663</v>
      </c>
      <c r="BD62" s="17">
        <f>1000000000-999863004.9359+0.0000</f>
        <v/>
      </c>
      <c r="BE62" s="19">
        <f>1000000000-AZ62-BA62-BB62-BC62-BD62</f>
        <v/>
      </c>
      <c r="BF62" s="20" t="n">
        <v>238</v>
      </c>
      <c r="BG62" s="20">
        <f>BE62/1000000-BF62</f>
        <v/>
      </c>
      <c r="BH62" s="21">
        <f>BE62*22.08</f>
        <v/>
      </c>
    </row>
    <row r="63">
      <c r="A63" s="10" t="n">
        <v>45685</v>
      </c>
      <c r="B63" s="11" t="n">
        <v>6689142363</v>
      </c>
      <c r="C63" s="11" t="n"/>
      <c r="D63" s="12" t="n">
        <v>170638730</v>
      </c>
      <c r="E63" s="11" t="n"/>
      <c r="N63" s="12" t="n">
        <v>1502080</v>
      </c>
      <c r="O63" s="11" t="n"/>
      <c r="P63" s="12" t="n">
        <v>26779</v>
      </c>
      <c r="Q63" s="11" t="n"/>
      <c r="R63" s="21">
        <f>N63+O63+P63+N(Q63)</f>
        <v/>
      </c>
      <c r="S63" s="13" t="n">
        <v>0.03</v>
      </c>
      <c r="T63" s="21">
        <f>N(AC63)*S63</f>
        <v/>
      </c>
      <c r="U63" s="21">
        <f>N(AD63)*S63</f>
        <v/>
      </c>
      <c r="V63" s="21">
        <f>N(AE63)*S63</f>
        <v/>
      </c>
      <c r="W63" s="21">
        <f>IF(Q63="","",N(AF63)*S63)</f>
        <v/>
      </c>
      <c r="X63" s="12" t="n">
        <v>0</v>
      </c>
      <c r="Y63" s="11" t="n"/>
      <c r="Z63" s="11" t="n"/>
      <c r="AA63" s="21">
        <f>T63+U63+V63+N(W63)+X63+Y63+N(Z63)</f>
        <v/>
      </c>
      <c r="AB63" s="11" t="n"/>
      <c r="AC63" s="12" t="n">
        <v>1457018</v>
      </c>
      <c r="AD63" s="21">
        <f>O63-Y63</f>
        <v/>
      </c>
      <c r="AE63" s="21">
        <f>P63-X63</f>
        <v/>
      </c>
      <c r="AF63" s="21">
        <f>IF(Q63="","",Q63-Z63)</f>
        <v/>
      </c>
      <c r="AG63" s="22">
        <f>AC63+AD63+AE63+N(AF63)</f>
        <v/>
      </c>
      <c r="AH63" s="23" t="n">
        <v>1482994</v>
      </c>
      <c r="AI63" s="24">
        <f>AG63-AH63</f>
        <v/>
      </c>
      <c r="AJ63" s="14">
        <f>IF(OR(B63="",B63=0,N63=""),"",N63/B63*10000)</f>
        <v/>
      </c>
      <c r="AK63" s="14">
        <f>IF(OR(C63="",C63=0),"",O63/C63*10000)</f>
        <v/>
      </c>
      <c r="AL63" s="14">
        <f>IF(OR(D63="",D63=0),"",P63/D63*10000)</f>
        <v/>
      </c>
      <c r="AM63" s="14">
        <f>IF(OR(E63="",E63=0),"",Q63/E63*10000)</f>
        <v/>
      </c>
      <c r="AN63" s="11" t="n">
        <v>0</v>
      </c>
      <c r="AO63" s="11" t="n">
        <v>0</v>
      </c>
      <c r="AP63" s="21">
        <f>AH63+AN63+AO63</f>
        <v/>
      </c>
      <c r="AQ63" s="21">
        <f>AH63</f>
        <v/>
      </c>
      <c r="AR63" s="25" t="n">
        <v>98548.05000000075</v>
      </c>
      <c r="AS63" s="26" t="n">
        <v>23.38</v>
      </c>
      <c r="AT63" s="15" t="n">
        <v>13764321.73</v>
      </c>
      <c r="AU63" s="15" t="n">
        <v>26537.8436</v>
      </c>
      <c r="AV63" s="15" t="n">
        <v>1494.8576</v>
      </c>
      <c r="AW63" s="15" t="n"/>
      <c r="AX63" s="16" t="n">
        <v>427.0843830601609</v>
      </c>
      <c r="AY63" s="13">
        <f>IF(OR(AX63="",AX63=0,AU63=""),"",AU63*365/(AX63*1000000))</f>
        <v/>
      </c>
      <c r="AZ63" s="15" t="n">
        <v>427273497.7445</v>
      </c>
      <c r="BA63" s="17" t="n">
        <v>60487233</v>
      </c>
      <c r="BB63" s="18" t="n">
        <v>13764321.73</v>
      </c>
      <c r="BC63" s="17" t="n">
        <v>2971663</v>
      </c>
      <c r="BD63" s="17">
        <f>1000000000-999861510.0783+0.0000</f>
        <v/>
      </c>
      <c r="BE63" s="19">
        <f>1000000000-AZ63-BA63-BB63-BC63-BD63</f>
        <v/>
      </c>
      <c r="BF63" s="20" t="n">
        <v>238</v>
      </c>
      <c r="BG63" s="20">
        <f>BE63/1000000-BF63</f>
        <v/>
      </c>
      <c r="BH63" s="21">
        <f>BE63*23.38</f>
        <v/>
      </c>
    </row>
    <row r="64">
      <c r="A64" s="10" t="n">
        <v>45686</v>
      </c>
      <c r="B64" s="11" t="n">
        <v>7487288905</v>
      </c>
      <c r="C64" s="11" t="n"/>
      <c r="D64" s="12" t="n">
        <v>283645800</v>
      </c>
      <c r="E64" s="11" t="n"/>
      <c r="N64" s="12" t="n">
        <v>1858964</v>
      </c>
      <c r="O64" s="11" t="n"/>
      <c r="P64" s="12" t="n">
        <v>20016</v>
      </c>
      <c r="Q64" s="11" t="n"/>
      <c r="R64" s="21">
        <f>N64+O64+P64+N(Q64)</f>
        <v/>
      </c>
      <c r="S64" s="13" t="n">
        <v>0.03</v>
      </c>
      <c r="T64" s="21">
        <f>N(AC64)*S64</f>
        <v/>
      </c>
      <c r="U64" s="21">
        <f>N(AD64)*S64</f>
        <v/>
      </c>
      <c r="V64" s="21">
        <f>N(AE64)*S64</f>
        <v/>
      </c>
      <c r="W64" s="21">
        <f>IF(Q64="","",N(AF64)*S64)</f>
        <v/>
      </c>
      <c r="X64" s="12" t="n">
        <v>0</v>
      </c>
      <c r="Y64" s="11" t="n"/>
      <c r="Z64" s="11" t="n"/>
      <c r="AA64" s="21">
        <f>T64+U64+V64+N(W64)+X64+Y64+N(Z64)</f>
        <v/>
      </c>
      <c r="AB64" s="11" t="n"/>
      <c r="AC64" s="12" t="n">
        <v>1803195</v>
      </c>
      <c r="AD64" s="21">
        <f>O64-Y64</f>
        <v/>
      </c>
      <c r="AE64" s="21">
        <f>P64-X64</f>
        <v/>
      </c>
      <c r="AF64" s="21">
        <f>IF(Q64="","",Q64-Z64)</f>
        <v/>
      </c>
      <c r="AG64" s="22">
        <f>AC64+AD64+AE64+N(AF64)</f>
        <v/>
      </c>
      <c r="AH64" s="23" t="n">
        <v>1822611</v>
      </c>
      <c r="AI64" s="24">
        <f>AG64-AH64</f>
        <v/>
      </c>
      <c r="AJ64" s="14">
        <f>IF(OR(B64="",B64=0,N64=""),"",N64/B64*10000)</f>
        <v/>
      </c>
      <c r="AK64" s="14">
        <f>IF(OR(C64="",C64=0),"",O64/C64*10000)</f>
        <v/>
      </c>
      <c r="AL64" s="14">
        <f>IF(OR(D64="",D64=0),"",P64/D64*10000)</f>
        <v/>
      </c>
      <c r="AM64" s="14">
        <f>IF(OR(E64="",E64=0),"",Q64/E64*10000)</f>
        <v/>
      </c>
      <c r="AN64" s="11" t="n">
        <v>0</v>
      </c>
      <c r="AO64" s="11" t="n">
        <v>0</v>
      </c>
      <c r="AP64" s="21">
        <f>AH64+AN64+AO64</f>
        <v/>
      </c>
      <c r="AQ64" s="21">
        <f>AH64</f>
        <v/>
      </c>
      <c r="AR64" s="25" t="n">
        <v>65908.87999999896</v>
      </c>
      <c r="AS64" s="26" t="n">
        <v>22.28</v>
      </c>
      <c r="AT64" s="15" t="n">
        <v>13830230.61</v>
      </c>
      <c r="AU64" s="15" t="n">
        <v>26534.2908</v>
      </c>
      <c r="AV64" s="15" t="n">
        <v>925.2888</v>
      </c>
      <c r="AW64" s="15" t="n"/>
      <c r="AX64" s="16" t="n">
        <v>427.4932053012698</v>
      </c>
      <c r="AY64" s="13">
        <f>IF(OR(AX64="",AX64=0,AU64=""),"",AU64*365/(AX64*1000000))</f>
        <v/>
      </c>
      <c r="AZ64" s="15" t="n">
        <v>427246963.4537</v>
      </c>
      <c r="BA64" s="17" t="n">
        <v>60487233</v>
      </c>
      <c r="BB64" s="18" t="n">
        <v>13830230.61</v>
      </c>
      <c r="BC64" s="17" t="n">
        <v>2971663</v>
      </c>
      <c r="BD64" s="17">
        <f>1000000000-999860584.7895+0.0000</f>
        <v/>
      </c>
      <c r="BE64" s="19">
        <f>1000000000-AZ64-BA64-BB64-BC64-BD64</f>
        <v/>
      </c>
      <c r="BF64" s="20" t="n">
        <v>238</v>
      </c>
      <c r="BG64" s="20">
        <f>BE64/1000000-BF64</f>
        <v/>
      </c>
      <c r="BH64" s="21">
        <f>BE64*22.28</f>
        <v/>
      </c>
    </row>
    <row r="65">
      <c r="A65" s="10" t="n">
        <v>45687</v>
      </c>
      <c r="B65" s="11" t="n">
        <v>5319626691</v>
      </c>
      <c r="C65" s="11" t="n"/>
      <c r="D65" s="12" t="n">
        <v>212136745</v>
      </c>
      <c r="E65" s="11" t="n"/>
      <c r="N65" s="12" t="n">
        <v>1410913</v>
      </c>
      <c r="O65" s="11" t="n"/>
      <c r="P65" s="12" t="n">
        <v>38508</v>
      </c>
      <c r="Q65" s="11" t="n"/>
      <c r="R65" s="21">
        <f>N65+O65+P65+N(Q65)</f>
        <v/>
      </c>
      <c r="S65" s="13" t="n">
        <v>0.03</v>
      </c>
      <c r="T65" s="21">
        <f>N(AC65)*S65</f>
        <v/>
      </c>
      <c r="U65" s="21">
        <f>N(AD65)*S65</f>
        <v/>
      </c>
      <c r="V65" s="21">
        <f>N(AE65)*S65</f>
        <v/>
      </c>
      <c r="W65" s="21">
        <f>IF(Q65="","",N(AF65)*S65)</f>
        <v/>
      </c>
      <c r="X65" s="12" t="n">
        <v>0</v>
      </c>
      <c r="Y65" s="11" t="n"/>
      <c r="Z65" s="11" t="n"/>
      <c r="AA65" s="21">
        <f>T65+U65+V65+N(W65)+X65+Y65+N(Z65)</f>
        <v/>
      </c>
      <c r="AB65" s="11" t="n"/>
      <c r="AC65" s="12" t="n">
        <v>1368586</v>
      </c>
      <c r="AD65" s="21">
        <f>O65-Y65</f>
        <v/>
      </c>
      <c r="AE65" s="21">
        <f>P65-X65</f>
        <v/>
      </c>
      <c r="AF65" s="21">
        <f>IF(Q65="","",Q65-Z65)</f>
        <v/>
      </c>
      <c r="AG65" s="22">
        <f>AC65+AD65+AE65+N(AF65)</f>
        <v/>
      </c>
      <c r="AH65" s="23" t="n">
        <v>1405939</v>
      </c>
      <c r="AI65" s="24">
        <f>AG65-AH65</f>
        <v/>
      </c>
      <c r="AJ65" s="14">
        <f>IF(OR(B65="",B65=0,N65=""),"",N65/B65*10000)</f>
        <v/>
      </c>
      <c r="AK65" s="14">
        <f>IF(OR(C65="",C65=0),"",O65/C65*10000)</f>
        <v/>
      </c>
      <c r="AL65" s="14">
        <f>IF(OR(D65="",D65=0),"",P65/D65*10000)</f>
        <v/>
      </c>
      <c r="AM65" s="14">
        <f>IF(OR(E65="",E65=0),"",Q65/E65*10000)</f>
        <v/>
      </c>
      <c r="AN65" s="11" t="n">
        <v>0</v>
      </c>
      <c r="AO65" s="11" t="n">
        <v>0</v>
      </c>
      <c r="AP65" s="21">
        <f>AH65+AN65+AO65</f>
        <v/>
      </c>
      <c r="AQ65" s="21">
        <f>AH65</f>
        <v/>
      </c>
      <c r="AR65" s="25" t="n">
        <v>86710.35000000149</v>
      </c>
      <c r="AS65" s="26" t="n">
        <v>23.75</v>
      </c>
      <c r="AT65" s="15" t="n">
        <v>13916940.96</v>
      </c>
      <c r="AU65" s="15" t="n">
        <v>26544.8787</v>
      </c>
      <c r="AV65" s="15" t="n">
        <v>730.3546</v>
      </c>
      <c r="AW65" s="15" t="n"/>
      <c r="AX65" s="16" t="n">
        <v>427.6858064720014</v>
      </c>
      <c r="AY65" s="13">
        <f>IF(OR(AX65="",AX65=0,AU65=""),"",AU65*365/(AX65*1000000))</f>
        <v/>
      </c>
      <c r="AZ65" s="15" t="n">
        <v>427220418.5751</v>
      </c>
      <c r="BA65" s="17" t="n">
        <v>60487233</v>
      </c>
      <c r="BB65" s="18" t="n">
        <v>13916940.96</v>
      </c>
      <c r="BC65" s="17" t="n">
        <v>2971663</v>
      </c>
      <c r="BD65" s="17">
        <f>1000000000-999859854.4349+0.0000</f>
        <v/>
      </c>
      <c r="BE65" s="19">
        <f>1000000000-AZ65-BA65-BB65-BC65-BD65</f>
        <v/>
      </c>
      <c r="BF65" s="20" t="n">
        <v>238</v>
      </c>
      <c r="BG65" s="20">
        <f>BE65/1000000-BF65</f>
        <v/>
      </c>
      <c r="BH65" s="21">
        <f>BE65*23.75</f>
        <v/>
      </c>
    </row>
    <row r="66">
      <c r="A66" s="10" t="n">
        <v>45688</v>
      </c>
      <c r="B66" s="11" t="n">
        <v>7089116487</v>
      </c>
      <c r="C66" s="11" t="n"/>
      <c r="D66" s="12" t="n">
        <v>263781612</v>
      </c>
      <c r="E66" s="11" t="n"/>
      <c r="N66" s="12" t="n">
        <v>1745764</v>
      </c>
      <c r="O66" s="11" t="n"/>
      <c r="P66" s="12" t="n">
        <v>30778</v>
      </c>
      <c r="Q66" s="11" t="n"/>
      <c r="R66" s="21">
        <f>N66+O66+P66+N(Q66)</f>
        <v/>
      </c>
      <c r="S66" s="13" t="n">
        <v>0.03</v>
      </c>
      <c r="T66" s="21">
        <f>N(AC66)*S66</f>
        <v/>
      </c>
      <c r="U66" s="21">
        <f>N(AD66)*S66</f>
        <v/>
      </c>
      <c r="V66" s="21">
        <f>N(AE66)*S66</f>
        <v/>
      </c>
      <c r="W66" s="21">
        <f>IF(Q66="","",N(AF66)*S66)</f>
        <v/>
      </c>
      <c r="X66" s="12" t="n">
        <v>0</v>
      </c>
      <c r="Y66" s="11" t="n"/>
      <c r="Z66" s="11" t="n"/>
      <c r="AA66" s="21">
        <f>T66+U66+V66+N(W66)+X66+Y66+N(Z66)</f>
        <v/>
      </c>
      <c r="AB66" s="11" t="n"/>
      <c r="AC66" s="12" t="n">
        <v>1693391</v>
      </c>
      <c r="AD66" s="21">
        <f>O66-Y66</f>
        <v/>
      </c>
      <c r="AE66" s="21">
        <f>P66-X66</f>
        <v/>
      </c>
      <c r="AF66" s="21">
        <f>IF(Q66="","",Q66-Z66)</f>
        <v/>
      </c>
      <c r="AG66" s="22">
        <f>AC66+AD66+AE66+N(AF66)</f>
        <v/>
      </c>
      <c r="AH66" s="23" t="n">
        <v>1723246</v>
      </c>
      <c r="AI66" s="24">
        <f>AG66-AH66</f>
        <v/>
      </c>
      <c r="AJ66" s="14">
        <f>IF(OR(B66="",B66=0,N66=""),"",N66/B66*10000)</f>
        <v/>
      </c>
      <c r="AK66" s="14">
        <f>IF(OR(C66="",C66=0),"",O66/C66*10000)</f>
        <v/>
      </c>
      <c r="AL66" s="14">
        <f>IF(OR(D66="",D66=0),"",P66/D66*10000)</f>
        <v/>
      </c>
      <c r="AM66" s="14">
        <f>IF(OR(E66="",E66=0),"",Q66/E66*10000)</f>
        <v/>
      </c>
      <c r="AN66" s="11" t="n">
        <v>0</v>
      </c>
      <c r="AO66" s="11" t="n">
        <v>0</v>
      </c>
      <c r="AP66" s="21">
        <f>AH66+AN66+AO66</f>
        <v/>
      </c>
      <c r="AQ66" s="21">
        <f>AH66</f>
        <v/>
      </c>
      <c r="AR66" s="25" t="n">
        <v>39113.89999999851</v>
      </c>
      <c r="AS66" s="26" t="n">
        <v>26.19</v>
      </c>
      <c r="AT66" s="15" t="n">
        <v>13956054.86</v>
      </c>
      <c r="AU66" s="15" t="n">
        <v>32252.7151</v>
      </c>
      <c r="AV66" s="15" t="n">
        <v>1669.5925</v>
      </c>
      <c r="AW66" s="15" t="n"/>
      <c r="AX66" s="16" t="n">
        <v>427.8202923439254</v>
      </c>
      <c r="AY66" s="13">
        <f>IF(OR(AX66="",AX66=0,AU66=""),"",AU66*365/(AX66*1000000))</f>
        <v/>
      </c>
      <c r="AZ66" s="15" t="n">
        <v>427188165.86</v>
      </c>
      <c r="BA66" s="17" t="n">
        <v>60487233</v>
      </c>
      <c r="BB66" s="18" t="n">
        <v>13956054.86</v>
      </c>
      <c r="BC66" s="17" t="n">
        <v>2971663</v>
      </c>
      <c r="BD66" s="17">
        <f>1000000000-999858184.8425+0.0000</f>
        <v/>
      </c>
      <c r="BE66" s="19">
        <f>1000000000-AZ66-BA66-BB66-BC66-BD66</f>
        <v/>
      </c>
      <c r="BF66" s="20" t="n">
        <v>238</v>
      </c>
      <c r="BG66" s="20">
        <f>BE66/1000000-BF66</f>
        <v/>
      </c>
      <c r="BH66" s="21">
        <f>BE66*26.19</f>
        <v/>
      </c>
    </row>
    <row r="67">
      <c r="A67" s="10" t="n">
        <v>45689</v>
      </c>
      <c r="B67" s="11" t="n">
        <v>5335486363</v>
      </c>
      <c r="C67" s="11" t="n"/>
      <c r="D67" s="12" t="n">
        <v>305083845</v>
      </c>
      <c r="E67" s="11" t="n"/>
      <c r="N67" s="12" t="n">
        <v>1393440</v>
      </c>
      <c r="O67" s="11" t="n"/>
      <c r="P67" s="12" t="n">
        <v>40422</v>
      </c>
      <c r="Q67" s="11" t="n"/>
      <c r="R67" s="21">
        <f>N67+O67+P67+N(Q67)</f>
        <v/>
      </c>
      <c r="S67" s="13" t="n">
        <v>0.03</v>
      </c>
      <c r="T67" s="21">
        <f>N(AC67)*S67</f>
        <v/>
      </c>
      <c r="U67" s="21">
        <f>N(AD67)*S67</f>
        <v/>
      </c>
      <c r="V67" s="21">
        <f>N(AE67)*S67</f>
        <v/>
      </c>
      <c r="W67" s="21">
        <f>IF(Q67="","",N(AF67)*S67)</f>
        <v/>
      </c>
      <c r="X67" s="12" t="n">
        <v>0</v>
      </c>
      <c r="Y67" s="11" t="n"/>
      <c r="Z67" s="11" t="n"/>
      <c r="AA67" s="21">
        <f>T67+U67+V67+N(W67)+X67+Y67+N(Z67)</f>
        <v/>
      </c>
      <c r="AB67" s="11" t="n"/>
      <c r="AC67" s="12" t="n">
        <v>1351636</v>
      </c>
      <c r="AD67" s="21">
        <f>O67-Y67</f>
        <v/>
      </c>
      <c r="AE67" s="21">
        <f>P67-X67</f>
        <v/>
      </c>
      <c r="AF67" s="21">
        <f>IF(Q67="","",Q67-Z67)</f>
        <v/>
      </c>
      <c r="AG67" s="22">
        <f>AC67+AD67+AE67+N(AF67)</f>
        <v/>
      </c>
      <c r="AH67" s="23" t="n">
        <v>1390845</v>
      </c>
      <c r="AI67" s="24">
        <f>AG67-AH67</f>
        <v/>
      </c>
      <c r="AJ67" s="14">
        <f>IF(OR(B67="",B67=0,N67=""),"",N67/B67*10000)</f>
        <v/>
      </c>
      <c r="AK67" s="14">
        <f>IF(OR(C67="",C67=0),"",O67/C67*10000)</f>
        <v/>
      </c>
      <c r="AL67" s="14">
        <f>IF(OR(D67="",D67=0),"",P67/D67*10000)</f>
        <v/>
      </c>
      <c r="AM67" s="14">
        <f>IF(OR(E67="",E67=0),"",Q67/E67*10000)</f>
        <v/>
      </c>
      <c r="AN67" s="11" t="n">
        <v>0</v>
      </c>
      <c r="AO67" s="11" t="n">
        <v>0</v>
      </c>
      <c r="AP67" s="21">
        <f>AH67+AN67+AO67</f>
        <v/>
      </c>
      <c r="AQ67" s="21">
        <f>AH67</f>
        <v/>
      </c>
      <c r="AR67" s="25" t="n">
        <v>68264.31000000052</v>
      </c>
      <c r="AS67" s="26" t="n">
        <v>26.92</v>
      </c>
      <c r="AT67" s="15" t="n">
        <v>14024319.17</v>
      </c>
      <c r="AU67" s="15" t="n">
        <v>20850.6254</v>
      </c>
      <c r="AV67" s="15" t="n">
        <v>797.4358</v>
      </c>
      <c r="AW67" s="15" t="n"/>
      <c r="AX67" s="16" t="n">
        <v>427.5555629894743</v>
      </c>
      <c r="AY67" s="13">
        <f>IF(OR(AX67="",AX67=0,AU67=""),"",AU67*365/(AX67*1000000))</f>
        <v/>
      </c>
      <c r="AZ67" s="15" t="n">
        <v>427167315.2346</v>
      </c>
      <c r="BA67" s="17" t="n">
        <v>60487233</v>
      </c>
      <c r="BB67" s="18" t="n">
        <v>14024319.17</v>
      </c>
      <c r="BC67" s="17" t="n">
        <v>2971663</v>
      </c>
      <c r="BD67" s="17">
        <f>1000000000-999857387.4067+0.0000</f>
        <v/>
      </c>
      <c r="BE67" s="19">
        <f>1000000000-AZ67-BA67-BB67-BC67-BD67</f>
        <v/>
      </c>
      <c r="BF67" s="20" t="n">
        <v>238</v>
      </c>
      <c r="BG67" s="20">
        <f>BE67/1000000-BF67</f>
        <v/>
      </c>
      <c r="BH67" s="21">
        <f>BE67*26.92</f>
        <v/>
      </c>
    </row>
    <row r="68">
      <c r="A68" s="10" t="n">
        <v>45690</v>
      </c>
      <c r="B68" s="11" t="n">
        <v>9044821754</v>
      </c>
      <c r="C68" s="11" t="n"/>
      <c r="D68" s="12" t="n">
        <v>443687078</v>
      </c>
      <c r="E68" s="11" t="n"/>
      <c r="N68" s="12" t="n">
        <v>2019665</v>
      </c>
      <c r="O68" s="11" t="n"/>
      <c r="P68" s="12" t="n">
        <v>44496</v>
      </c>
      <c r="Q68" s="11" t="n"/>
      <c r="R68" s="21">
        <f>N68+O68+P68+N(Q68)</f>
        <v/>
      </c>
      <c r="S68" s="13" t="n">
        <v>0.03</v>
      </c>
      <c r="T68" s="21">
        <f>N(AC68)*S68</f>
        <v/>
      </c>
      <c r="U68" s="21">
        <f>N(AD68)*S68</f>
        <v/>
      </c>
      <c r="V68" s="21">
        <f>N(AE68)*S68</f>
        <v/>
      </c>
      <c r="W68" s="21">
        <f>IF(Q68="","",N(AF68)*S68)</f>
        <v/>
      </c>
      <c r="X68" s="12" t="n">
        <v>0</v>
      </c>
      <c r="Y68" s="11" t="n"/>
      <c r="Z68" s="11" t="n"/>
      <c r="AA68" s="21">
        <f>T68+U68+V68+N(W68)+X68+Y68+N(Z68)</f>
        <v/>
      </c>
      <c r="AB68" s="11" t="n"/>
      <c r="AC68" s="12" t="n">
        <v>1959076</v>
      </c>
      <c r="AD68" s="21">
        <f>O68-Y68</f>
        <v/>
      </c>
      <c r="AE68" s="21">
        <f>P68-X68</f>
        <v/>
      </c>
      <c r="AF68" s="21">
        <f>IF(Q68="","",Q68-Z68)</f>
        <v/>
      </c>
      <c r="AG68" s="22">
        <f>AC68+AD68+AE68+N(AF68)</f>
        <v/>
      </c>
      <c r="AH68" s="23" t="n">
        <v>2002237</v>
      </c>
      <c r="AI68" s="24">
        <f>AG68-AH68</f>
        <v/>
      </c>
      <c r="AJ68" s="14">
        <f>IF(OR(B68="",B68=0,N68=""),"",N68/B68*10000)</f>
        <v/>
      </c>
      <c r="AK68" s="14">
        <f>IF(OR(C68="",C68=0),"",O68/C68*10000)</f>
        <v/>
      </c>
      <c r="AL68" s="14">
        <f>IF(OR(D68="",D68=0),"",P68/D68*10000)</f>
        <v/>
      </c>
      <c r="AM68" s="14">
        <f>IF(OR(E68="",E68=0),"",Q68/E68*10000)</f>
        <v/>
      </c>
      <c r="AN68" s="11" t="n">
        <v>0</v>
      </c>
      <c r="AO68" s="11" t="n">
        <v>0</v>
      </c>
      <c r="AP68" s="21">
        <f>AH68+AN68+AO68</f>
        <v/>
      </c>
      <c r="AQ68" s="21">
        <f>AH68</f>
        <v/>
      </c>
      <c r="AR68" s="25" t="n">
        <v>65528.55000000075</v>
      </c>
      <c r="AS68" s="26" t="n">
        <v>23.17</v>
      </c>
      <c r="AT68" s="15" t="n">
        <v>14089847.72</v>
      </c>
      <c r="AU68" s="15" t="n">
        <v>26556.9092</v>
      </c>
      <c r="AV68" s="15" t="n">
        <v>1144.1562</v>
      </c>
      <c r="AW68" s="15" t="n"/>
      <c r="AX68" s="16" t="n">
        <v>428.0266902302996</v>
      </c>
      <c r="AY68" s="13">
        <f>IF(OR(AX68="",AX68=0,AU68=""),"",AU68*365/(AX68*1000000))</f>
        <v/>
      </c>
      <c r="AZ68" s="15" t="n">
        <v>427140758.3254</v>
      </c>
      <c r="BA68" s="17" t="n">
        <v>60487233</v>
      </c>
      <c r="BB68" s="18" t="n">
        <v>14089847.72</v>
      </c>
      <c r="BC68" s="17" t="n">
        <v>2971663</v>
      </c>
      <c r="BD68" s="17">
        <f>1000000000-999856243.2505+0.0000</f>
        <v/>
      </c>
      <c r="BE68" s="19">
        <f>1000000000-AZ68-BA68-BB68-BC68-BD68</f>
        <v/>
      </c>
      <c r="BF68" s="20" t="n">
        <v>238</v>
      </c>
      <c r="BG68" s="20">
        <f>BE68/1000000-BF68</f>
        <v/>
      </c>
      <c r="BH68" s="21">
        <f>BE68*23.17</f>
        <v/>
      </c>
    </row>
    <row r="69">
      <c r="A69" s="10" t="n">
        <v>45691</v>
      </c>
      <c r="B69" s="11" t="n">
        <v>18072547242</v>
      </c>
      <c r="C69" s="11" t="n"/>
      <c r="D69" s="12" t="n">
        <v>263016289</v>
      </c>
      <c r="E69" s="11" t="n"/>
      <c r="N69" s="12" t="n">
        <v>4197988</v>
      </c>
      <c r="O69" s="11" t="n"/>
      <c r="P69" s="12" t="n">
        <v>63480</v>
      </c>
      <c r="Q69" s="11" t="n"/>
      <c r="R69" s="21">
        <f>N69+O69+P69+N(Q69)</f>
        <v/>
      </c>
      <c r="S69" s="13" t="n">
        <v>0.03</v>
      </c>
      <c r="T69" s="21">
        <f>N(AC69)*S69</f>
        <v/>
      </c>
      <c r="U69" s="21">
        <f>N(AD69)*S69</f>
        <v/>
      </c>
      <c r="V69" s="21">
        <f>N(AE69)*S69</f>
        <v/>
      </c>
      <c r="W69" s="21">
        <f>IF(Q69="","",N(AF69)*S69)</f>
        <v/>
      </c>
      <c r="X69" s="12" t="n">
        <v>0</v>
      </c>
      <c r="Y69" s="11" t="n"/>
      <c r="Z69" s="11" t="n"/>
      <c r="AA69" s="21">
        <f>T69+U69+V69+N(W69)+X69+Y69+N(Z69)</f>
        <v/>
      </c>
      <c r="AB69" s="11" t="n"/>
      <c r="AC69" s="12" t="n">
        <v>4072048</v>
      </c>
      <c r="AD69" s="21">
        <f>O69-Y69</f>
        <v/>
      </c>
      <c r="AE69" s="21">
        <f>P69-X69</f>
        <v/>
      </c>
      <c r="AF69" s="21">
        <f>IF(Q69="","",Q69-Z69)</f>
        <v/>
      </c>
      <c r="AG69" s="22">
        <f>AC69+AD69+AE69+N(AF69)</f>
        <v/>
      </c>
      <c r="AH69" s="23" t="n">
        <v>4133623</v>
      </c>
      <c r="AI69" s="24">
        <f>AG69-AH69</f>
        <v/>
      </c>
      <c r="AJ69" s="14">
        <f>IF(OR(B69="",B69=0,N69=""),"",N69/B69*10000)</f>
        <v/>
      </c>
      <c r="AK69" s="14">
        <f>IF(OR(C69="",C69=0),"",O69/C69*10000)</f>
        <v/>
      </c>
      <c r="AL69" s="14">
        <f>IF(OR(D69="",D69=0),"",P69/D69*10000)</f>
        <v/>
      </c>
      <c r="AM69" s="14">
        <f>IF(OR(E69="",E69=0),"",Q69/E69*10000)</f>
        <v/>
      </c>
      <c r="AN69" s="11" t="n">
        <v>0</v>
      </c>
      <c r="AO69" s="11" t="n">
        <v>0</v>
      </c>
      <c r="AP69" s="21">
        <f>AH69+AN69+AO69</f>
        <v/>
      </c>
      <c r="AQ69" s="21">
        <f>AH69</f>
        <v/>
      </c>
      <c r="AR69" s="25" t="n">
        <v>170472.459999999</v>
      </c>
      <c r="AS69" s="26" t="n">
        <v>22.32</v>
      </c>
      <c r="AT69" s="15" t="n">
        <v>14260320.18</v>
      </c>
      <c r="AU69" s="15" t="n">
        <v>26546.4187</v>
      </c>
      <c r="AV69" s="15" t="n">
        <v>1529.404</v>
      </c>
      <c r="AW69" s="15" t="n"/>
      <c r="AX69" s="16" t="n">
        <v>427.3882198126993</v>
      </c>
      <c r="AY69" s="13">
        <f>IF(OR(AX69="",AX69=0,AU69=""),"",AU69*365/(AX69*1000000))</f>
        <v/>
      </c>
      <c r="AZ69" s="15" t="n">
        <v>427114211.9067</v>
      </c>
      <c r="BA69" s="17" t="n">
        <v>60487233</v>
      </c>
      <c r="BB69" s="18" t="n">
        <v>14260320.18</v>
      </c>
      <c r="BC69" s="17" t="n">
        <v>2971663</v>
      </c>
      <c r="BD69" s="17">
        <f>1000000000-999854713.8465+0.0000</f>
        <v/>
      </c>
      <c r="BE69" s="19">
        <f>1000000000-AZ69-BA69-BB69-BC69-BD69</f>
        <v/>
      </c>
      <c r="BF69" s="20" t="n">
        <v>238</v>
      </c>
      <c r="BG69" s="20">
        <f>BE69/1000000-BF69</f>
        <v/>
      </c>
      <c r="BH69" s="21">
        <f>BE69*22.32</f>
        <v/>
      </c>
    </row>
    <row r="70">
      <c r="A70" s="10" t="n">
        <v>45692</v>
      </c>
      <c r="B70" s="11" t="n">
        <v>10231406266</v>
      </c>
      <c r="C70" s="11" t="n"/>
      <c r="D70" s="12" t="n">
        <v>208560749</v>
      </c>
      <c r="E70" s="11" t="n"/>
      <c r="N70" s="12" t="n">
        <v>2474308</v>
      </c>
      <c r="O70" s="11" t="n"/>
      <c r="P70" s="12" t="n">
        <v>37612</v>
      </c>
      <c r="Q70" s="11" t="n"/>
      <c r="R70" s="21">
        <f>N70+O70+P70+N(Q70)</f>
        <v/>
      </c>
      <c r="S70" s="13" t="n">
        <v>0.03</v>
      </c>
      <c r="T70" s="21">
        <f>N(AC70)*S70</f>
        <v/>
      </c>
      <c r="U70" s="21">
        <f>N(AD70)*S70</f>
        <v/>
      </c>
      <c r="V70" s="21">
        <f>N(AE70)*S70</f>
        <v/>
      </c>
      <c r="W70" s="21">
        <f>IF(Q70="","",N(AF70)*S70)</f>
        <v/>
      </c>
      <c r="X70" s="12" t="n">
        <v>0</v>
      </c>
      <c r="Y70" s="11" t="n"/>
      <c r="Z70" s="11" t="n"/>
      <c r="AA70" s="21">
        <f>T70+U70+V70+N(W70)+X70+Y70+N(Z70)</f>
        <v/>
      </c>
      <c r="AB70" s="11" t="n"/>
      <c r="AC70" s="12" t="n">
        <v>2400078</v>
      </c>
      <c r="AD70" s="21">
        <f>O70-Y70</f>
        <v/>
      </c>
      <c r="AE70" s="21">
        <f>P70-X70</f>
        <v/>
      </c>
      <c r="AF70" s="21">
        <f>IF(Q70="","",Q70-Z70)</f>
        <v/>
      </c>
      <c r="AG70" s="22">
        <f>AC70+AD70+AE70+N(AF70)</f>
        <v/>
      </c>
      <c r="AH70" s="23" t="n">
        <v>2436561</v>
      </c>
      <c r="AI70" s="24">
        <f>AG70-AH70</f>
        <v/>
      </c>
      <c r="AJ70" s="14">
        <f>IF(OR(B70="",B70=0,N70=""),"",N70/B70*10000)</f>
        <v/>
      </c>
      <c r="AK70" s="14">
        <f>IF(OR(C70="",C70=0),"",O70/C70*10000)</f>
        <v/>
      </c>
      <c r="AL70" s="14">
        <f>IF(OR(D70="",D70=0),"",P70/D70*10000)</f>
        <v/>
      </c>
      <c r="AM70" s="14">
        <f>IF(OR(E70="",E70=0),"",Q70/E70*10000)</f>
        <v/>
      </c>
      <c r="AN70" s="11" t="n">
        <v>0</v>
      </c>
      <c r="AO70" s="11" t="n">
        <v>0</v>
      </c>
      <c r="AP70" s="21">
        <f>AH70+AN70+AO70</f>
        <v/>
      </c>
      <c r="AQ70" s="21">
        <f>AH70</f>
        <v/>
      </c>
      <c r="AR70" s="25" t="n">
        <v>107026.5600000005</v>
      </c>
      <c r="AS70" s="26" t="n">
        <v>25.19</v>
      </c>
      <c r="AT70" s="15" t="n">
        <v>14367346.74</v>
      </c>
      <c r="AU70" s="15" t="n">
        <v>26535.1684</v>
      </c>
      <c r="AV70" s="15" t="n">
        <v>2737.9562</v>
      </c>
      <c r="AW70" s="15" t="n"/>
      <c r="AX70" s="16" t="n">
        <v>427.1777355764474</v>
      </c>
      <c r="AY70" s="13">
        <f>IF(OR(AX70="",AX70=0,AU70=""),"",AU70*365/(AX70*1000000))</f>
        <v/>
      </c>
      <c r="AZ70" s="15" t="n">
        <v>427087676.7383</v>
      </c>
      <c r="BA70" s="17" t="n">
        <v>60487233</v>
      </c>
      <c r="BB70" s="18" t="n">
        <v>14367346.74</v>
      </c>
      <c r="BC70" s="17" t="n">
        <v>2971663</v>
      </c>
      <c r="BD70" s="17">
        <f>1000000000-999851975.8903+0.0000</f>
        <v/>
      </c>
      <c r="BE70" s="19">
        <f>1000000000-AZ70-BA70-BB70-BC70-BD70</f>
        <v/>
      </c>
      <c r="BF70" s="20" t="n">
        <v>238</v>
      </c>
      <c r="BG70" s="20">
        <f>BE70/1000000-BF70</f>
        <v/>
      </c>
      <c r="BH70" s="21">
        <f>BE70*25.19</f>
        <v/>
      </c>
    </row>
    <row r="71">
      <c r="A71" s="10" t="n">
        <v>45693</v>
      </c>
      <c r="B71" s="11" t="n">
        <v>5694608356</v>
      </c>
      <c r="C71" s="11" t="n"/>
      <c r="D71" s="12" t="n">
        <v>168626713</v>
      </c>
      <c r="E71" s="11" t="n"/>
      <c r="N71" s="12" t="n">
        <v>1415160</v>
      </c>
      <c r="O71" s="11" t="n"/>
      <c r="P71" s="12" t="n">
        <v>28216</v>
      </c>
      <c r="Q71" s="11" t="n"/>
      <c r="R71" s="21">
        <f>N71+O71+P71+N(Q71)</f>
        <v/>
      </c>
      <c r="S71" s="13" t="n">
        <v>0.03</v>
      </c>
      <c r="T71" s="21">
        <f>N(AC71)*S71</f>
        <v/>
      </c>
      <c r="U71" s="21">
        <f>N(AD71)*S71</f>
        <v/>
      </c>
      <c r="V71" s="21">
        <f>N(AE71)*S71</f>
        <v/>
      </c>
      <c r="W71" s="21">
        <f>IF(Q71="","",N(AF71)*S71)</f>
        <v/>
      </c>
      <c r="X71" s="12" t="n">
        <v>0</v>
      </c>
      <c r="Y71" s="11" t="n"/>
      <c r="Z71" s="11" t="n"/>
      <c r="AA71" s="21">
        <f>T71+U71+V71+N(W71)+X71+Y71+N(Z71)</f>
        <v/>
      </c>
      <c r="AB71" s="11" t="n"/>
      <c r="AC71" s="12" t="n">
        <v>1372705</v>
      </c>
      <c r="AD71" s="21">
        <f>O71-Y71</f>
        <v/>
      </c>
      <c r="AE71" s="21">
        <f>P71-X71</f>
        <v/>
      </c>
      <c r="AF71" s="21">
        <f>IF(Q71="","",Q71-Z71)</f>
        <v/>
      </c>
      <c r="AG71" s="22">
        <f>AC71+AD71+AE71+N(AF71)</f>
        <v/>
      </c>
      <c r="AH71" s="23" t="n">
        <v>1400074</v>
      </c>
      <c r="AI71" s="24">
        <f>AG71-AH71</f>
        <v/>
      </c>
      <c r="AJ71" s="14">
        <f>IF(OR(B71="",B71=0,N71=""),"",N71/B71*10000)</f>
        <v/>
      </c>
      <c r="AK71" s="14">
        <f>IF(OR(C71="",C71=0),"",O71/C71*10000)</f>
        <v/>
      </c>
      <c r="AL71" s="14">
        <f>IF(OR(D71="",D71=0),"",P71/D71*10000)</f>
        <v/>
      </c>
      <c r="AM71" s="14">
        <f>IF(OR(E71="",E71=0),"",Q71/E71*10000)</f>
        <v/>
      </c>
      <c r="AN71" s="11" t="n">
        <v>0</v>
      </c>
      <c r="AO71" s="11" t="n">
        <v>0</v>
      </c>
      <c r="AP71" s="21">
        <f>AH71+AN71+AO71</f>
        <v/>
      </c>
      <c r="AQ71" s="21">
        <f>AH71</f>
        <v/>
      </c>
      <c r="AR71" s="25" t="n">
        <v>79638.15000000037</v>
      </c>
      <c r="AS71" s="26" t="n">
        <v>25.14</v>
      </c>
      <c r="AT71" s="15" t="n">
        <v>14446984.89</v>
      </c>
      <c r="AU71" s="15" t="n">
        <v>26543.4731</v>
      </c>
      <c r="AV71" s="15" t="n">
        <v>1264.3163</v>
      </c>
      <c r="AW71" s="15" t="n"/>
      <c r="AX71" s="16" t="n">
        <v>427.627674434131</v>
      </c>
      <c r="AY71" s="13">
        <f>IF(OR(AX71="",AX71=0,AU71=""),"",AU71*365/(AX71*1000000))</f>
        <v/>
      </c>
      <c r="AZ71" s="15" t="n">
        <v>427061133.2652</v>
      </c>
      <c r="BA71" s="17" t="n">
        <v>60487233</v>
      </c>
      <c r="BB71" s="18" t="n">
        <v>14446984.89</v>
      </c>
      <c r="BC71" s="17" t="n">
        <v>2971663</v>
      </c>
      <c r="BD71" s="17">
        <f>1000000000-999850711.5739+0.0000</f>
        <v/>
      </c>
      <c r="BE71" s="19">
        <f>1000000000-AZ71-BA71-BB71-BC71-BD71</f>
        <v/>
      </c>
      <c r="BF71" s="20" t="n">
        <v>238</v>
      </c>
      <c r="BG71" s="20">
        <f>BE71/1000000-BF71</f>
        <v/>
      </c>
      <c r="BH71" s="21">
        <f>BE71*25.14</f>
        <v/>
      </c>
    </row>
    <row r="72">
      <c r="A72" s="10" t="n">
        <v>45694</v>
      </c>
      <c r="B72" s="11" t="n">
        <v>5904659695</v>
      </c>
      <c r="C72" s="11" t="n"/>
      <c r="D72" s="12" t="n">
        <v>178176120</v>
      </c>
      <c r="E72" s="11" t="n"/>
      <c r="N72" s="12" t="n">
        <v>1316367</v>
      </c>
      <c r="O72" s="11" t="n"/>
      <c r="P72" s="12" t="n">
        <v>24592</v>
      </c>
      <c r="Q72" s="11" t="n"/>
      <c r="R72" s="21">
        <f>N72+O72+P72+N(Q72)</f>
        <v/>
      </c>
      <c r="S72" s="13" t="n">
        <v>0.03</v>
      </c>
      <c r="T72" s="21">
        <f>N(AC72)*S72</f>
        <v/>
      </c>
      <c r="U72" s="21">
        <f>N(AD72)*S72</f>
        <v/>
      </c>
      <c r="V72" s="21">
        <f>N(AE72)*S72</f>
        <v/>
      </c>
      <c r="W72" s="21">
        <f>IF(Q72="","",N(AF72)*S72)</f>
        <v/>
      </c>
      <c r="X72" s="12" t="n">
        <v>0</v>
      </c>
      <c r="Y72" s="11" t="n"/>
      <c r="Z72" s="11" t="n"/>
      <c r="AA72" s="21">
        <f>T72+U72+V72+N(W72)+X72+Y72+N(Z72)</f>
        <v/>
      </c>
      <c r="AB72" s="11" t="n"/>
      <c r="AC72" s="12" t="n">
        <v>1276876</v>
      </c>
      <c r="AD72" s="21">
        <f>O72-Y72</f>
        <v/>
      </c>
      <c r="AE72" s="21">
        <f>P72-X72</f>
        <v/>
      </c>
      <c r="AF72" s="21">
        <f>IF(Q72="","",Q72-Z72)</f>
        <v/>
      </c>
      <c r="AG72" s="22">
        <f>AC72+AD72+AE72+N(AF72)</f>
        <v/>
      </c>
      <c r="AH72" s="23" t="n">
        <v>1300731</v>
      </c>
      <c r="AI72" s="24">
        <f>AG72-AH72</f>
        <v/>
      </c>
      <c r="AJ72" s="14">
        <f>IF(OR(B72="",B72=0,N72=""),"",N72/B72*10000)</f>
        <v/>
      </c>
      <c r="AK72" s="14">
        <f>IF(OR(C72="",C72=0),"",O72/C72*10000)</f>
        <v/>
      </c>
      <c r="AL72" s="14">
        <f>IF(OR(D72="",D72=0),"",P72/D72*10000)</f>
        <v/>
      </c>
      <c r="AM72" s="14">
        <f>IF(OR(E72="",E72=0),"",Q72/E72*10000)</f>
        <v/>
      </c>
      <c r="AN72" s="11" t="n">
        <v>0</v>
      </c>
      <c r="AO72" s="11" t="n">
        <v>0</v>
      </c>
      <c r="AP72" s="21">
        <f>AH72+AN72+AO72</f>
        <v/>
      </c>
      <c r="AQ72" s="21">
        <f>AH72</f>
        <v/>
      </c>
      <c r="AR72" s="25" t="n">
        <v>49755.99000000022</v>
      </c>
      <c r="AS72" s="26" t="n">
        <v>24.75</v>
      </c>
      <c r="AT72" s="15" t="n">
        <v>14496740.88</v>
      </c>
      <c r="AU72" s="15" t="n">
        <v>26548.785</v>
      </c>
      <c r="AV72" s="15" t="n">
        <v>989.8233</v>
      </c>
      <c r="AW72" s="15" t="n"/>
      <c r="AX72" s="16" t="n">
        <v>427.5718533495597</v>
      </c>
      <c r="AY72" s="13">
        <f>IF(OR(AX72="",AX72=0,AU72=""),"",AU72*365/(AX72*1000000))</f>
        <v/>
      </c>
      <c r="AZ72" s="15" t="n">
        <v>427034584.4801</v>
      </c>
      <c r="BA72" s="17" t="n">
        <v>60487233</v>
      </c>
      <c r="BB72" s="18" t="n">
        <v>14496740.88</v>
      </c>
      <c r="BC72" s="17" t="n">
        <v>2971663</v>
      </c>
      <c r="BD72" s="17">
        <f>1000000000-999849721.7506+0.0000</f>
        <v/>
      </c>
      <c r="BE72" s="19">
        <f>1000000000-AZ72-BA72-BB72-BC72-BD72</f>
        <v/>
      </c>
      <c r="BF72" s="20" t="n">
        <v>238</v>
      </c>
      <c r="BG72" s="20">
        <f>BE72/1000000-BF72</f>
        <v/>
      </c>
      <c r="BH72" s="21">
        <f>BE72*24.75</f>
        <v/>
      </c>
    </row>
    <row r="73">
      <c r="A73" s="10" t="n">
        <v>45695</v>
      </c>
      <c r="B73" s="11" t="n">
        <v>6189394337</v>
      </c>
      <c r="C73" s="11" t="n"/>
      <c r="D73" s="12" t="n">
        <v>86858735</v>
      </c>
      <c r="E73" s="11" t="n"/>
      <c r="N73" s="12" t="n">
        <v>1531085</v>
      </c>
      <c r="O73" s="11" t="n"/>
      <c r="P73" s="12" t="n">
        <v>26352</v>
      </c>
      <c r="Q73" s="11" t="n"/>
      <c r="R73" s="21">
        <f>N73+O73+P73+N(Q73)</f>
        <v/>
      </c>
      <c r="S73" s="13" t="n">
        <v>0.03</v>
      </c>
      <c r="T73" s="21">
        <f>N(AC73)*S73</f>
        <v/>
      </c>
      <c r="U73" s="21">
        <f>N(AD73)*S73</f>
        <v/>
      </c>
      <c r="V73" s="21">
        <f>N(AE73)*S73</f>
        <v/>
      </c>
      <c r="W73" s="21">
        <f>IF(Q73="","",N(AF73)*S73)</f>
        <v/>
      </c>
      <c r="X73" s="12" t="n">
        <v>0</v>
      </c>
      <c r="Y73" s="11" t="n"/>
      <c r="Z73" s="11" t="n"/>
      <c r="AA73" s="21">
        <f>T73+U73+V73+N(W73)+X73+Y73+N(Z73)</f>
        <v/>
      </c>
      <c r="AB73" s="11" t="n"/>
      <c r="AC73" s="12" t="n">
        <v>1485152</v>
      </c>
      <c r="AD73" s="21">
        <f>O73-Y73</f>
        <v/>
      </c>
      <c r="AE73" s="21">
        <f>P73-X73</f>
        <v/>
      </c>
      <c r="AF73" s="21">
        <f>IF(Q73="","",Q73-Z73)</f>
        <v/>
      </c>
      <c r="AG73" s="22">
        <f>AC73+AD73+AE73+N(AF73)</f>
        <v/>
      </c>
      <c r="AH73" s="23" t="n">
        <v>1510714</v>
      </c>
      <c r="AI73" s="24">
        <f>AG73-AH73</f>
        <v/>
      </c>
      <c r="AJ73" s="14">
        <f>IF(OR(B73="",B73=0,N73=""),"",N73/B73*10000)</f>
        <v/>
      </c>
      <c r="AK73" s="14">
        <f>IF(OR(C73="",C73=0),"",O73/C73*10000)</f>
        <v/>
      </c>
      <c r="AL73" s="14">
        <f>IF(OR(D73="",D73=0),"",P73/D73*10000)</f>
        <v/>
      </c>
      <c r="AM73" s="14">
        <f>IF(OR(E73="",E73=0),"",Q73/E73*10000)</f>
        <v/>
      </c>
      <c r="AN73" s="11" t="n">
        <v>0</v>
      </c>
      <c r="AO73" s="11" t="n">
        <v>0</v>
      </c>
      <c r="AP73" s="21">
        <f>AH73+AN73+AO73</f>
        <v/>
      </c>
      <c r="AQ73" s="21">
        <f>AH73</f>
        <v/>
      </c>
      <c r="AR73" s="25" t="n">
        <v>60283.50999999978</v>
      </c>
      <c r="AS73" s="26" t="n">
        <v>23.83</v>
      </c>
      <c r="AT73" s="15" t="n">
        <v>14557024.39</v>
      </c>
      <c r="AU73" s="15" t="n">
        <v>26612.2715</v>
      </c>
      <c r="AV73" s="15" t="n">
        <v>827.2076</v>
      </c>
      <c r="AW73" s="15" t="n"/>
      <c r="AX73" s="16" t="n">
        <v>429.4603440705282</v>
      </c>
      <c r="AY73" s="13">
        <f>IF(OR(AX73="",AX73=0,AU73=""),"",AU73*365/(AX73*1000000))</f>
        <v/>
      </c>
      <c r="AZ73" s="15" t="n">
        <v>427007972.2087</v>
      </c>
      <c r="BA73" s="17" t="n">
        <v>60487233</v>
      </c>
      <c r="BB73" s="18" t="n">
        <v>14557024.39</v>
      </c>
      <c r="BC73" s="17" t="n">
        <v>2971663</v>
      </c>
      <c r="BD73" s="17">
        <f>1000000000-999848894.5431+0.0000</f>
        <v/>
      </c>
      <c r="BE73" s="19">
        <f>1000000000-AZ73-BA73-BB73-BC73-BD73</f>
        <v/>
      </c>
      <c r="BF73" s="20" t="n">
        <v>238</v>
      </c>
      <c r="BG73" s="20">
        <f>BE73/1000000-BF73</f>
        <v/>
      </c>
      <c r="BH73" s="21">
        <f>BE73*23.83</f>
        <v/>
      </c>
    </row>
    <row r="74">
      <c r="A74" s="10" t="n">
        <v>45696</v>
      </c>
      <c r="B74" s="11" t="n">
        <v>3006719559</v>
      </c>
      <c r="C74" s="11" t="n"/>
      <c r="D74" s="12" t="n">
        <v>75118825</v>
      </c>
      <c r="E74" s="11" t="n"/>
      <c r="N74" s="12" t="n">
        <v>782416</v>
      </c>
      <c r="O74" s="11" t="n"/>
      <c r="P74" s="12" t="n">
        <v>12064</v>
      </c>
      <c r="Q74" s="11" t="n"/>
      <c r="R74" s="21">
        <f>N74+O74+P74+N(Q74)</f>
        <v/>
      </c>
      <c r="S74" s="13" t="n">
        <v>0.03</v>
      </c>
      <c r="T74" s="21">
        <f>N(AC74)*S74</f>
        <v/>
      </c>
      <c r="U74" s="21">
        <f>N(AD74)*S74</f>
        <v/>
      </c>
      <c r="V74" s="21">
        <f>N(AE74)*S74</f>
        <v/>
      </c>
      <c r="W74" s="21">
        <f>IF(Q74="","",N(AF74)*S74)</f>
        <v/>
      </c>
      <c r="X74" s="12" t="n">
        <v>0</v>
      </c>
      <c r="Y74" s="11" t="n"/>
      <c r="Z74" s="11" t="n"/>
      <c r="AA74" s="21">
        <f>T74+U74+V74+N(W74)+X74+Y74+N(Z74)</f>
        <v/>
      </c>
      <c r="AB74" s="11" t="n"/>
      <c r="AC74" s="12" t="n">
        <v>758944</v>
      </c>
      <c r="AD74" s="21">
        <f>O74-Y74</f>
        <v/>
      </c>
      <c r="AE74" s="21">
        <f>P74-X74</f>
        <v/>
      </c>
      <c r="AF74" s="21">
        <f>IF(Q74="","",Q74-Z74)</f>
        <v/>
      </c>
      <c r="AG74" s="22">
        <f>AC74+AD74+AE74+N(AF74)</f>
        <v/>
      </c>
      <c r="AH74" s="23" t="n">
        <v>770646</v>
      </c>
      <c r="AI74" s="24">
        <f>AG74-AH74</f>
        <v/>
      </c>
      <c r="AJ74" s="14">
        <f>IF(OR(B74="",B74=0,N74=""),"",N74/B74*10000)</f>
        <v/>
      </c>
      <c r="AK74" s="14">
        <f>IF(OR(C74="",C74=0),"",O74/C74*10000)</f>
        <v/>
      </c>
      <c r="AL74" s="14">
        <f>IF(OR(D74="",D74=0),"",P74/D74*10000)</f>
        <v/>
      </c>
      <c r="AM74" s="14">
        <f>IF(OR(E74="",E74=0),"",Q74/E74*10000)</f>
        <v/>
      </c>
      <c r="AN74" s="11" t="n">
        <v>0</v>
      </c>
      <c r="AO74" s="11" t="n">
        <v>0</v>
      </c>
      <c r="AP74" s="21">
        <f>AH74+AN74+AO74</f>
        <v/>
      </c>
      <c r="AQ74" s="21">
        <f>AH74</f>
        <v/>
      </c>
      <c r="AR74" s="25" t="n">
        <v>56388.99000000022</v>
      </c>
      <c r="AS74" s="26" t="n">
        <v>22.83</v>
      </c>
      <c r="AT74" s="15" t="n">
        <v>14613413.38</v>
      </c>
      <c r="AU74" s="15" t="n">
        <v>26577.9217</v>
      </c>
      <c r="AV74" s="15" t="n">
        <v>996.1893</v>
      </c>
      <c r="AW74" s="15" t="n"/>
      <c r="AX74" s="16" t="n">
        <v>428.2843608677948</v>
      </c>
      <c r="AY74" s="13">
        <f>IF(OR(AX74="",AX74=0,AU74=""),"",AU74*365/(AX74*1000000))</f>
        <v/>
      </c>
      <c r="AZ74" s="15" t="n">
        <v>426981394.2869</v>
      </c>
      <c r="BA74" s="17" t="n">
        <v>60487233</v>
      </c>
      <c r="BB74" s="18" t="n">
        <v>14613413.38</v>
      </c>
      <c r="BC74" s="17" t="n">
        <v>2971663</v>
      </c>
      <c r="BD74" s="17">
        <f>1000000000-999847898.3538+0.0000</f>
        <v/>
      </c>
      <c r="BE74" s="19">
        <f>1000000000-AZ74-BA74-BB74-BC74-BD74</f>
        <v/>
      </c>
      <c r="BF74" s="20" t="n">
        <v>238</v>
      </c>
      <c r="BG74" s="20">
        <f>BE74/1000000-BF74</f>
        <v/>
      </c>
      <c r="BH74" s="21">
        <f>BE74*22.83</f>
        <v/>
      </c>
    </row>
    <row r="75">
      <c r="A75" s="10" t="n">
        <v>45697</v>
      </c>
      <c r="B75" s="11" t="n">
        <v>3754601891</v>
      </c>
      <c r="C75" s="11" t="n"/>
      <c r="D75" s="12" t="n">
        <v>91079022</v>
      </c>
      <c r="E75" s="11" t="n"/>
      <c r="N75" s="12" t="n">
        <v>983799</v>
      </c>
      <c r="O75" s="11" t="n"/>
      <c r="P75" s="12" t="n">
        <v>10683</v>
      </c>
      <c r="Q75" s="11" t="n"/>
      <c r="R75" s="21">
        <f>N75+O75+P75+N(Q75)</f>
        <v/>
      </c>
      <c r="S75" s="13" t="n">
        <v>0.03</v>
      </c>
      <c r="T75" s="21">
        <f>N(AC75)*S75</f>
        <v/>
      </c>
      <c r="U75" s="21">
        <f>N(AD75)*S75</f>
        <v/>
      </c>
      <c r="V75" s="21">
        <f>N(AE75)*S75</f>
        <v/>
      </c>
      <c r="W75" s="21">
        <f>IF(Q75="","",N(AF75)*S75)</f>
        <v/>
      </c>
      <c r="X75" s="12" t="n">
        <v>0</v>
      </c>
      <c r="Y75" s="11" t="n"/>
      <c r="Z75" s="11" t="n"/>
      <c r="AA75" s="21">
        <f>T75+U75+V75+N(W75)+X75+Y75+N(Z75)</f>
        <v/>
      </c>
      <c r="AB75" s="11" t="n"/>
      <c r="AC75" s="12" t="n">
        <v>954285</v>
      </c>
      <c r="AD75" s="21">
        <f>O75-Y75</f>
        <v/>
      </c>
      <c r="AE75" s="21">
        <f>P75-X75</f>
        <v/>
      </c>
      <c r="AF75" s="21">
        <f>IF(Q75="","",Q75-Z75)</f>
        <v/>
      </c>
      <c r="AG75" s="22">
        <f>AC75+AD75+AE75+N(AF75)</f>
        <v/>
      </c>
      <c r="AH75" s="23" t="n">
        <v>964647</v>
      </c>
      <c r="AI75" s="24">
        <f>AG75-AH75</f>
        <v/>
      </c>
      <c r="AJ75" s="14">
        <f>IF(OR(B75="",B75=0,N75=""),"",N75/B75*10000)</f>
        <v/>
      </c>
      <c r="AK75" s="14">
        <f>IF(OR(C75="",C75=0),"",O75/C75*10000)</f>
        <v/>
      </c>
      <c r="AL75" s="14">
        <f>IF(OR(D75="",D75=0),"",P75/D75*10000)</f>
        <v/>
      </c>
      <c r="AM75" s="14">
        <f>IF(OR(E75="",E75=0),"",Q75/E75*10000)</f>
        <v/>
      </c>
      <c r="AN75" s="11" t="n">
        <v>0</v>
      </c>
      <c r="AO75" s="11" t="n">
        <v>0</v>
      </c>
      <c r="AP75" s="21">
        <f>AH75+AN75+AO75</f>
        <v/>
      </c>
      <c r="AQ75" s="21">
        <f>AH75</f>
        <v/>
      </c>
      <c r="AR75" s="25" t="n">
        <v>30535.9299999997</v>
      </c>
      <c r="AS75" s="26" t="n">
        <v>23.4</v>
      </c>
      <c r="AT75" s="15" t="n">
        <v>14643949.31</v>
      </c>
      <c r="AU75" s="15" t="n">
        <v>26528.1534</v>
      </c>
      <c r="AV75" s="15" t="n">
        <v>470.7789</v>
      </c>
      <c r="AW75" s="15" t="n"/>
      <c r="AX75" s="16" t="n">
        <v>426.8549829063564</v>
      </c>
      <c r="AY75" s="13">
        <f>IF(OR(AX75="",AX75=0,AU75=""),"",AU75*365/(AX75*1000000))</f>
        <v/>
      </c>
      <c r="AZ75" s="15" t="n">
        <v>426954866.1336</v>
      </c>
      <c r="BA75" s="17" t="n">
        <v>60487233</v>
      </c>
      <c r="BB75" s="18" t="n">
        <v>14643949.31</v>
      </c>
      <c r="BC75" s="17" t="n">
        <v>2971663</v>
      </c>
      <c r="BD75" s="17">
        <f>1000000000-999847427.5749+0.0000</f>
        <v/>
      </c>
      <c r="BE75" s="19">
        <f>1000000000-AZ75-BA75-BB75-BC75-BD75</f>
        <v/>
      </c>
      <c r="BF75" s="20" t="n">
        <v>238</v>
      </c>
      <c r="BG75" s="20">
        <f>BE75/1000000-BF75</f>
        <v/>
      </c>
      <c r="BH75" s="21">
        <f>BE75*23.4</f>
        <v/>
      </c>
    </row>
    <row r="76">
      <c r="A76" s="10" t="n">
        <v>45698</v>
      </c>
      <c r="B76" s="11" t="n">
        <v>5178632081</v>
      </c>
      <c r="C76" s="11" t="n"/>
      <c r="D76" s="12" t="n">
        <v>107918816</v>
      </c>
      <c r="E76" s="11" t="n"/>
      <c r="N76" s="12" t="n">
        <v>1123138</v>
      </c>
      <c r="O76" s="11" t="n"/>
      <c r="P76" s="12" t="n">
        <v>11999</v>
      </c>
      <c r="Q76" s="11" t="n"/>
      <c r="R76" s="21">
        <f>N76+O76+P76+N(Q76)</f>
        <v/>
      </c>
      <c r="S76" s="13" t="n">
        <v>0.03</v>
      </c>
      <c r="T76" s="21">
        <f>N(AC76)*S76</f>
        <v/>
      </c>
      <c r="U76" s="21">
        <f>N(AD76)*S76</f>
        <v/>
      </c>
      <c r="V76" s="21">
        <f>N(AE76)*S76</f>
        <v/>
      </c>
      <c r="W76" s="21">
        <f>IF(Q76="","",N(AF76)*S76)</f>
        <v/>
      </c>
      <c r="X76" s="12" t="n">
        <v>0</v>
      </c>
      <c r="Y76" s="11" t="n"/>
      <c r="Z76" s="11" t="n"/>
      <c r="AA76" s="21">
        <f>T76+U76+V76+N(W76)+X76+Y76+N(Z76)</f>
        <v/>
      </c>
      <c r="AB76" s="11" t="n"/>
      <c r="AC76" s="12" t="n">
        <v>1089443</v>
      </c>
      <c r="AD76" s="21">
        <f>O76-Y76</f>
        <v/>
      </c>
      <c r="AE76" s="21">
        <f>P76-X76</f>
        <v/>
      </c>
      <c r="AF76" s="21">
        <f>IF(Q76="","",Q76-Z76)</f>
        <v/>
      </c>
      <c r="AG76" s="22">
        <f>AC76+AD76+AE76+N(AF76)</f>
        <v/>
      </c>
      <c r="AH76" s="23" t="n">
        <v>1101082</v>
      </c>
      <c r="AI76" s="24">
        <f>AG76-AH76</f>
        <v/>
      </c>
      <c r="AJ76" s="14">
        <f>IF(OR(B76="",B76=0,N76=""),"",N76/B76*10000)</f>
        <v/>
      </c>
      <c r="AK76" s="14">
        <f>IF(OR(C76="",C76=0),"",O76/C76*10000)</f>
        <v/>
      </c>
      <c r="AL76" s="14">
        <f>IF(OR(D76="",D76=0),"",P76/D76*10000)</f>
        <v/>
      </c>
      <c r="AM76" s="14">
        <f>IF(OR(E76="",E76=0),"",Q76/E76*10000)</f>
        <v/>
      </c>
      <c r="AN76" s="11" t="n">
        <v>0</v>
      </c>
      <c r="AO76" s="11" t="n">
        <v>0</v>
      </c>
      <c r="AP76" s="21">
        <f>AH76+AN76+AO76</f>
        <v/>
      </c>
      <c r="AQ76" s="21">
        <f>AH76</f>
        <v/>
      </c>
      <c r="AR76" s="25" t="n">
        <v>55150.02999999933</v>
      </c>
      <c r="AS76" s="26" t="n">
        <v>22.98</v>
      </c>
      <c r="AT76" s="15" t="n">
        <v>14699099.34</v>
      </c>
      <c r="AU76" s="15" t="n">
        <v>26525.1988</v>
      </c>
      <c r="AV76" s="15" t="n">
        <v>358.1593</v>
      </c>
      <c r="AW76" s="15" t="n"/>
      <c r="AX76" s="16" t="n">
        <v>426.9115050826884</v>
      </c>
      <c r="AY76" s="13">
        <f>IF(OR(AX76="",AX76=0,AU76=""),"",AU76*365/(AX76*1000000))</f>
        <v/>
      </c>
      <c r="AZ76" s="15" t="n">
        <v>426928340.9347</v>
      </c>
      <c r="BA76" s="17" t="n">
        <v>60487233</v>
      </c>
      <c r="BB76" s="18" t="n">
        <v>14699099.34</v>
      </c>
      <c r="BC76" s="17" t="n">
        <v>2971663</v>
      </c>
      <c r="BD76" s="17">
        <f>1000000000-999847069.4156+0.0000</f>
        <v/>
      </c>
      <c r="BE76" s="19">
        <f>1000000000-AZ76-BA76-BB76-BC76-BD76</f>
        <v/>
      </c>
      <c r="BF76" s="20" t="n">
        <v>238</v>
      </c>
      <c r="BG76" s="20">
        <f>BE76/1000000-BF76</f>
        <v/>
      </c>
      <c r="BH76" s="21">
        <f>BE76*22.98</f>
        <v/>
      </c>
    </row>
    <row r="77">
      <c r="A77" s="10" t="n">
        <v>45699</v>
      </c>
      <c r="B77" s="11" t="n">
        <v>6593863803</v>
      </c>
      <c r="C77" s="11" t="n"/>
      <c r="D77" s="12" t="n">
        <v>142810624</v>
      </c>
      <c r="E77" s="11" t="n"/>
      <c r="N77" s="12" t="n">
        <v>1538904</v>
      </c>
      <c r="O77" s="11" t="n"/>
      <c r="P77" s="12" t="n">
        <v>15656</v>
      </c>
      <c r="Q77" s="11" t="n"/>
      <c r="R77" s="21">
        <f>N77+O77+P77+N(Q77)</f>
        <v/>
      </c>
      <c r="S77" s="13" t="n">
        <v>0.03</v>
      </c>
      <c r="T77" s="21">
        <f>N(AC77)*S77</f>
        <v/>
      </c>
      <c r="U77" s="21">
        <f>N(AD77)*S77</f>
        <v/>
      </c>
      <c r="V77" s="21">
        <f>N(AE77)*S77</f>
        <v/>
      </c>
      <c r="W77" s="21">
        <f>IF(Q77="","",N(AF77)*S77)</f>
        <v/>
      </c>
      <c r="X77" s="12" t="n">
        <v>0</v>
      </c>
      <c r="Y77" s="11" t="n"/>
      <c r="Z77" s="11" t="n"/>
      <c r="AA77" s="21">
        <f>T77+U77+V77+N(W77)+X77+Y77+N(Z77)</f>
        <v/>
      </c>
      <c r="AB77" s="11" t="n"/>
      <c r="AC77" s="12" t="n">
        <v>1492737</v>
      </c>
      <c r="AD77" s="21">
        <f>O77-Y77</f>
        <v/>
      </c>
      <c r="AE77" s="21">
        <f>P77-X77</f>
        <v/>
      </c>
      <c r="AF77" s="21">
        <f>IF(Q77="","",Q77-Z77)</f>
        <v/>
      </c>
      <c r="AG77" s="22">
        <f>AC77+AD77+AE77+N(AF77)</f>
        <v/>
      </c>
      <c r="AH77" s="23" t="n">
        <v>1507923</v>
      </c>
      <c r="AI77" s="24">
        <f>AG77-AH77</f>
        <v/>
      </c>
      <c r="AJ77" s="14">
        <f>IF(OR(B77="",B77=0,N77=""),"",N77/B77*10000)</f>
        <v/>
      </c>
      <c r="AK77" s="14">
        <f>IF(OR(C77="",C77=0),"",O77/C77*10000)</f>
        <v/>
      </c>
      <c r="AL77" s="14">
        <f>IF(OR(D77="",D77=0),"",P77/D77*10000)</f>
        <v/>
      </c>
      <c r="AM77" s="14">
        <f>IF(OR(E77="",E77=0),"",Q77/E77*10000)</f>
        <v/>
      </c>
      <c r="AN77" s="11" t="n">
        <v>0</v>
      </c>
      <c r="AO77" s="11" t="n">
        <v>0</v>
      </c>
      <c r="AP77" s="21">
        <f>AH77+AN77+AO77</f>
        <v/>
      </c>
      <c r="AQ77" s="21">
        <f>AH77</f>
        <v/>
      </c>
      <c r="AR77" s="25" t="n">
        <v>43822.30000000075</v>
      </c>
      <c r="AS77" s="26" t="n">
        <v>23.32</v>
      </c>
      <c r="AT77" s="15" t="n">
        <v>14742921.64</v>
      </c>
      <c r="AU77" s="15" t="n">
        <v>26523.3197</v>
      </c>
      <c r="AV77" s="15" t="n">
        <v>521.8924</v>
      </c>
      <c r="AW77" s="15" t="n"/>
      <c r="AX77" s="16" t="n">
        <v>426.8089185667563</v>
      </c>
      <c r="AY77" s="13">
        <f>IF(OR(AX77="",AX77=0,AU77=""),"",AU77*365/(AX77*1000000))</f>
        <v/>
      </c>
      <c r="AZ77" s="15" t="n">
        <v>426901817.6151</v>
      </c>
      <c r="BA77" s="17" t="n">
        <v>60487233</v>
      </c>
      <c r="BB77" s="18" t="n">
        <v>14742921.64</v>
      </c>
      <c r="BC77" s="17" t="n">
        <v>2971663</v>
      </c>
      <c r="BD77" s="17">
        <f>1000000000-999846547.5232+0.0000</f>
        <v/>
      </c>
      <c r="BE77" s="19">
        <f>1000000000-AZ77-BA77-BB77-BC77-BD77</f>
        <v/>
      </c>
      <c r="BF77" s="20" t="n">
        <v>238</v>
      </c>
      <c r="BG77" s="20">
        <f>BE77/1000000-BF77</f>
        <v/>
      </c>
      <c r="BH77" s="21">
        <f>BE77*23.32</f>
        <v/>
      </c>
    </row>
    <row r="78">
      <c r="A78" s="10" t="n">
        <v>45700</v>
      </c>
      <c r="B78" s="11" t="n">
        <v>7575580366</v>
      </c>
      <c r="C78" s="11" t="n"/>
      <c r="D78" s="12" t="n">
        <v>122695803</v>
      </c>
      <c r="E78" s="11" t="n"/>
      <c r="N78" s="12" t="n">
        <v>1791221</v>
      </c>
      <c r="O78" s="11" t="n"/>
      <c r="P78" s="12" t="n">
        <v>18209</v>
      </c>
      <c r="Q78" s="11" t="n"/>
      <c r="R78" s="21">
        <f>N78+O78+P78+N(Q78)</f>
        <v/>
      </c>
      <c r="S78" s="13" t="n">
        <v>0.03</v>
      </c>
      <c r="T78" s="21">
        <f>N(AC78)*S78</f>
        <v/>
      </c>
      <c r="U78" s="21">
        <f>N(AD78)*S78</f>
        <v/>
      </c>
      <c r="V78" s="21">
        <f>N(AE78)*S78</f>
        <v/>
      </c>
      <c r="W78" s="21">
        <f>IF(Q78="","",N(AF78)*S78)</f>
        <v/>
      </c>
      <c r="X78" s="12" t="n">
        <v>0</v>
      </c>
      <c r="Y78" s="11" t="n"/>
      <c r="Z78" s="11" t="n"/>
      <c r="AA78" s="21">
        <f>T78+U78+V78+N(W78)+X78+Y78+N(Z78)</f>
        <v/>
      </c>
      <c r="AB78" s="11" t="n"/>
      <c r="AC78" s="12" t="n">
        <v>1737484</v>
      </c>
      <c r="AD78" s="21">
        <f>O78-Y78</f>
        <v/>
      </c>
      <c r="AE78" s="21">
        <f>P78-X78</f>
        <v/>
      </c>
      <c r="AF78" s="21">
        <f>IF(Q78="","",Q78-Z78)</f>
        <v/>
      </c>
      <c r="AG78" s="22">
        <f>AC78+AD78+AE78+N(AF78)</f>
        <v/>
      </c>
      <c r="AH78" s="23" t="n">
        <v>1755146</v>
      </c>
      <c r="AI78" s="24">
        <f>AG78-AH78</f>
        <v/>
      </c>
      <c r="AJ78" s="14">
        <f>IF(OR(B78="",B78=0,N78=""),"",N78/B78*10000)</f>
        <v/>
      </c>
      <c r="AK78" s="14">
        <f>IF(OR(C78="",C78=0),"",O78/C78*10000)</f>
        <v/>
      </c>
      <c r="AL78" s="14">
        <f>IF(OR(D78="",D78=0),"",P78/D78*10000)</f>
        <v/>
      </c>
      <c r="AM78" s="14">
        <f>IF(OR(E78="",E78=0),"",Q78/E78*10000)</f>
        <v/>
      </c>
      <c r="AN78" s="11" t="n">
        <v>0</v>
      </c>
      <c r="AO78" s="11" t="n">
        <v>0</v>
      </c>
      <c r="AP78" s="21">
        <f>AH78+AN78+AO78</f>
        <v/>
      </c>
      <c r="AQ78" s="21">
        <f>AH78</f>
        <v/>
      </c>
      <c r="AR78" s="25" t="n">
        <v>63989.91000000015</v>
      </c>
      <c r="AS78" s="26" t="n">
        <v>23.49</v>
      </c>
      <c r="AT78" s="15" t="n">
        <v>14806911.55</v>
      </c>
      <c r="AU78" s="15" t="n">
        <v>26541.3395</v>
      </c>
      <c r="AV78" s="15" t="n">
        <v>579.0042</v>
      </c>
      <c r="AW78" s="15" t="n"/>
      <c r="AX78" s="16" t="n">
        <v>427.8942356948854</v>
      </c>
      <c r="AY78" s="13">
        <f>IF(OR(AX78="",AX78=0,AU78=""),"",AU78*365/(AX78*1000000))</f>
        <v/>
      </c>
      <c r="AZ78" s="15" t="n">
        <v>426875276.2756</v>
      </c>
      <c r="BA78" s="17" t="n">
        <v>60487233</v>
      </c>
      <c r="BB78" s="18" t="n">
        <v>14806911.55</v>
      </c>
      <c r="BC78" s="17" t="n">
        <v>2971663</v>
      </c>
      <c r="BD78" s="17">
        <f>1000000000-999845968.519+0.0000</f>
        <v/>
      </c>
      <c r="BE78" s="19">
        <f>1000000000-AZ78-BA78-BB78-BC78-BD78</f>
        <v/>
      </c>
      <c r="BF78" s="20" t="n">
        <v>238</v>
      </c>
      <c r="BG78" s="20">
        <f>BE78/1000000-BF78</f>
        <v/>
      </c>
      <c r="BH78" s="21">
        <f>BE78*23.49</f>
        <v/>
      </c>
    </row>
    <row r="79">
      <c r="A79" s="10" t="n">
        <v>45701</v>
      </c>
      <c r="B79" s="11" t="n">
        <v>5121162004</v>
      </c>
      <c r="C79" s="11" t="n"/>
      <c r="D79" s="12" t="n">
        <v>199613305</v>
      </c>
      <c r="E79" s="11" t="n"/>
      <c r="N79" s="12" t="n">
        <v>1388068</v>
      </c>
      <c r="O79" s="11" t="n"/>
      <c r="P79" s="12" t="n">
        <v>18585</v>
      </c>
      <c r="Q79" s="11" t="n"/>
      <c r="R79" s="21">
        <f>N79+O79+P79+N(Q79)</f>
        <v/>
      </c>
      <c r="S79" s="13" t="n">
        <v>0.03</v>
      </c>
      <c r="T79" s="21">
        <f>N(AC79)*S79</f>
        <v/>
      </c>
      <c r="U79" s="21">
        <f>N(AD79)*S79</f>
        <v/>
      </c>
      <c r="V79" s="21">
        <f>N(AE79)*S79</f>
        <v/>
      </c>
      <c r="W79" s="21">
        <f>IF(Q79="","",N(AF79)*S79)</f>
        <v/>
      </c>
      <c r="X79" s="12" t="n">
        <v>0</v>
      </c>
      <c r="Y79" s="11" t="n"/>
      <c r="Z79" s="11" t="n"/>
      <c r="AA79" s="21">
        <f>T79+U79+V79+N(W79)+X79+Y79+N(Z79)</f>
        <v/>
      </c>
      <c r="AB79" s="11" t="n"/>
      <c r="AC79" s="12" t="n">
        <v>1346426</v>
      </c>
      <c r="AD79" s="21">
        <f>O79-Y79</f>
        <v/>
      </c>
      <c r="AE79" s="21">
        <f>P79-X79</f>
        <v/>
      </c>
      <c r="AF79" s="21">
        <f>IF(Q79="","",Q79-Z79)</f>
        <v/>
      </c>
      <c r="AG79" s="22">
        <f>AC79+AD79+AE79+N(AF79)</f>
        <v/>
      </c>
      <c r="AH79" s="23" t="n">
        <v>1364454</v>
      </c>
      <c r="AI79" s="24">
        <f>AG79-AH79</f>
        <v/>
      </c>
      <c r="AJ79" s="14">
        <f>IF(OR(B79="",B79=0,N79=""),"",N79/B79*10000)</f>
        <v/>
      </c>
      <c r="AK79" s="14">
        <f>IF(OR(C79="",C79=0),"",O79/C79*10000)</f>
        <v/>
      </c>
      <c r="AL79" s="14">
        <f>IF(OR(D79="",D79=0),"",P79/D79*10000)</f>
        <v/>
      </c>
      <c r="AM79" s="14">
        <f>IF(OR(E79="",E79=0),"",Q79/E79*10000)</f>
        <v/>
      </c>
      <c r="AN79" s="11" t="n">
        <v>0</v>
      </c>
      <c r="AO79" s="11" t="n">
        <v>0</v>
      </c>
      <c r="AP79" s="21">
        <f>AH79+AN79+AO79</f>
        <v/>
      </c>
      <c r="AQ79" s="21">
        <f>AH79</f>
        <v/>
      </c>
      <c r="AR79" s="25" t="n">
        <v>61012.64999999851</v>
      </c>
      <c r="AS79" s="26" t="n">
        <v>25.84</v>
      </c>
      <c r="AT79" s="15" t="n">
        <v>14867924.2</v>
      </c>
      <c r="AU79" s="15" t="n">
        <v>26562.25</v>
      </c>
      <c r="AV79" s="15" t="n">
        <v>792.7335</v>
      </c>
      <c r="AW79" s="15" t="n"/>
      <c r="AX79" s="16" t="n">
        <v>428.7753305946546</v>
      </c>
      <c r="AY79" s="13">
        <f>IF(OR(AX79="",AX79=0,AU79=""),"",AU79*365/(AX79*1000000))</f>
        <v/>
      </c>
      <c r="AZ79" s="15" t="n">
        <v>426848714.0256</v>
      </c>
      <c r="BA79" s="17" t="n">
        <v>60487233</v>
      </c>
      <c r="BB79" s="18" t="n">
        <v>14867924.2</v>
      </c>
      <c r="BC79" s="17" t="n">
        <v>2971663</v>
      </c>
      <c r="BD79" s="17">
        <f>1000000000-999845175.7854+0.0000</f>
        <v/>
      </c>
      <c r="BE79" s="19">
        <f>1000000000-AZ79-BA79-BB79-BC79-BD79</f>
        <v/>
      </c>
      <c r="BF79" s="20" t="n">
        <v>238</v>
      </c>
      <c r="BG79" s="20">
        <f>BE79/1000000-BF79</f>
        <v/>
      </c>
      <c r="BH79" s="21">
        <f>BE79*25.84</f>
        <v/>
      </c>
    </row>
    <row r="80">
      <c r="A80" s="10" t="n">
        <v>45702</v>
      </c>
      <c r="B80" s="11" t="n">
        <v>5071294404</v>
      </c>
      <c r="C80" s="11" t="n"/>
      <c r="D80" s="12" t="n">
        <v>103410352</v>
      </c>
      <c r="E80" s="11" t="n"/>
      <c r="N80" s="12" t="n">
        <v>1000308</v>
      </c>
      <c r="O80" s="11" t="n"/>
      <c r="P80" s="12" t="n">
        <v>25753</v>
      </c>
      <c r="Q80" s="11" t="n"/>
      <c r="R80" s="21">
        <f>N80+O80+P80+N(Q80)</f>
        <v/>
      </c>
      <c r="S80" s="13" t="n">
        <v>0.03</v>
      </c>
      <c r="T80" s="21">
        <f>N(AC80)*S80</f>
        <v/>
      </c>
      <c r="U80" s="21">
        <f>N(AD80)*S80</f>
        <v/>
      </c>
      <c r="V80" s="21">
        <f>N(AE80)*S80</f>
        <v/>
      </c>
      <c r="W80" s="21">
        <f>IF(Q80="","",N(AF80)*S80)</f>
        <v/>
      </c>
      <c r="X80" s="12" t="n">
        <v>0</v>
      </c>
      <c r="Y80" s="11" t="n"/>
      <c r="Z80" s="11" t="n"/>
      <c r="AA80" s="21">
        <f>T80+U80+V80+N(W80)+X80+Y80+N(Z80)</f>
        <v/>
      </c>
      <c r="AB80" s="11" t="n"/>
      <c r="AC80" s="12" t="n">
        <v>970299</v>
      </c>
      <c r="AD80" s="21">
        <f>O80-Y80</f>
        <v/>
      </c>
      <c r="AE80" s="21">
        <f>P80-X80</f>
        <v/>
      </c>
      <c r="AF80" s="21">
        <f>IF(Q80="","",Q80-Z80)</f>
        <v/>
      </c>
      <c r="AG80" s="22">
        <f>AC80+AD80+AE80+N(AF80)</f>
        <v/>
      </c>
      <c r="AH80" s="23" t="n">
        <v>995279</v>
      </c>
      <c r="AI80" s="24">
        <f>AG80-AH80</f>
        <v/>
      </c>
      <c r="AJ80" s="14">
        <f>IF(OR(B80="",B80=0,N80=""),"",N80/B80*10000)</f>
        <v/>
      </c>
      <c r="AK80" s="14">
        <f>IF(OR(C80="",C80=0),"",O80/C80*10000)</f>
        <v/>
      </c>
      <c r="AL80" s="14">
        <f>IF(OR(D80="",D80=0),"",P80/D80*10000)</f>
        <v/>
      </c>
      <c r="AM80" s="14">
        <f>IF(OR(E80="",E80=0),"",Q80/E80*10000)</f>
        <v/>
      </c>
      <c r="AN80" s="11" t="n">
        <v>0</v>
      </c>
      <c r="AO80" s="11" t="n">
        <v>0</v>
      </c>
      <c r="AP80" s="21">
        <f>AH80+AN80+AO80</f>
        <v/>
      </c>
      <c r="AQ80" s="21">
        <f>AH80</f>
        <v/>
      </c>
      <c r="AR80" s="25" t="n">
        <v>46816.71000000089</v>
      </c>
      <c r="AS80" s="26" t="n">
        <v>26.26</v>
      </c>
      <c r="AT80" s="15" t="n">
        <v>14914740.91</v>
      </c>
      <c r="AU80" s="15" t="n">
        <v>26581.3289</v>
      </c>
      <c r="AV80" s="15" t="n">
        <v>591.6068</v>
      </c>
      <c r="AW80" s="15" t="n"/>
      <c r="AX80" s="16" t="n">
        <v>428.7710557034599</v>
      </c>
      <c r="AY80" s="13">
        <f>IF(OR(AX80="",AX80=0,AU80=""),"",AU80*365/(AX80*1000000))</f>
        <v/>
      </c>
      <c r="AZ80" s="15" t="n">
        <v>426822132.6967</v>
      </c>
      <c r="BA80" s="17" t="n">
        <v>60487233</v>
      </c>
      <c r="BB80" s="18" t="n">
        <v>14914740.91</v>
      </c>
      <c r="BC80" s="17" t="n">
        <v>2971663</v>
      </c>
      <c r="BD80" s="17">
        <f>1000000000-999844584.1786+0.0000</f>
        <v/>
      </c>
      <c r="BE80" s="19">
        <f>1000000000-AZ80-BA80-BB80-BC80-BD80</f>
        <v/>
      </c>
      <c r="BF80" s="20" t="n">
        <v>238</v>
      </c>
      <c r="BG80" s="20">
        <f>BE80/1000000-BF80</f>
        <v/>
      </c>
      <c r="BH80" s="21">
        <f>BE80*26.26</f>
        <v/>
      </c>
    </row>
    <row r="81">
      <c r="A81" s="10" t="n">
        <v>45703</v>
      </c>
      <c r="B81" s="11" t="n">
        <v>2569566271</v>
      </c>
      <c r="C81" s="11" t="n"/>
      <c r="D81" s="12" t="n">
        <v>78021652</v>
      </c>
      <c r="E81" s="11" t="n"/>
      <c r="N81" s="12" t="n">
        <v>724327</v>
      </c>
      <c r="O81" s="11" t="n"/>
      <c r="P81" s="12" t="n">
        <v>17622</v>
      </c>
      <c r="Q81" s="11" t="n"/>
      <c r="R81" s="21">
        <f>N81+O81+P81+N(Q81)</f>
        <v/>
      </c>
      <c r="S81" s="13" t="n">
        <v>0.03</v>
      </c>
      <c r="T81" s="21">
        <f>N(AC81)*S81</f>
        <v/>
      </c>
      <c r="U81" s="21">
        <f>N(AD81)*S81</f>
        <v/>
      </c>
      <c r="V81" s="21">
        <f>N(AE81)*S81</f>
        <v/>
      </c>
      <c r="W81" s="21">
        <f>IF(Q81="","",N(AF81)*S81)</f>
        <v/>
      </c>
      <c r="X81" s="12" t="n">
        <v>0</v>
      </c>
      <c r="Y81" s="11" t="n"/>
      <c r="Z81" s="11" t="n"/>
      <c r="AA81" s="21">
        <f>T81+U81+V81+N(W81)+X81+Y81+N(Z81)</f>
        <v/>
      </c>
      <c r="AB81" s="11" t="n"/>
      <c r="AC81" s="12" t="n">
        <v>702597</v>
      </c>
      <c r="AD81" s="21">
        <f>O81-Y81</f>
        <v/>
      </c>
      <c r="AE81" s="21">
        <f>P81-X81</f>
        <v/>
      </c>
      <c r="AF81" s="21">
        <f>IF(Q81="","",Q81-Z81)</f>
        <v/>
      </c>
      <c r="AG81" s="22">
        <f>AC81+AD81+AE81+N(AF81)</f>
        <v/>
      </c>
      <c r="AH81" s="23" t="n">
        <v>719690</v>
      </c>
      <c r="AI81" s="24">
        <f>AG81-AH81</f>
        <v/>
      </c>
      <c r="AJ81" s="14">
        <f>IF(OR(B81="",B81=0,N81=""),"",N81/B81*10000)</f>
        <v/>
      </c>
      <c r="AK81" s="14">
        <f>IF(OR(C81="",C81=0),"",O81/C81*10000)</f>
        <v/>
      </c>
      <c r="AL81" s="14">
        <f>IF(OR(D81="",D81=0),"",P81/D81*10000)</f>
        <v/>
      </c>
      <c r="AM81" s="14">
        <f>IF(OR(E81="",E81=0),"",Q81/E81*10000)</f>
        <v/>
      </c>
      <c r="AN81" s="11" t="n">
        <v>0</v>
      </c>
      <c r="AO81" s="11" t="n">
        <v>0</v>
      </c>
      <c r="AP81" s="21">
        <f>AH81+AN81+AO81</f>
        <v/>
      </c>
      <c r="AQ81" s="21">
        <f>AH81</f>
        <v/>
      </c>
      <c r="AR81" s="25" t="n">
        <v>50322.1400000006</v>
      </c>
      <c r="AS81" s="26" t="n">
        <v>26.2</v>
      </c>
      <c r="AT81" s="15" t="n">
        <v>14965063.05</v>
      </c>
      <c r="AU81" s="15" t="n">
        <v>26587.2677</v>
      </c>
      <c r="AV81" s="15" t="n">
        <v>978.1297</v>
      </c>
      <c r="AW81" s="15" t="n"/>
      <c r="AX81" s="16" t="n">
        <v>429.0167837648754</v>
      </c>
      <c r="AY81" s="13">
        <f>IF(OR(AX81="",AX81=0,AU81=""),"",AU81*365/(AX81*1000000))</f>
        <v/>
      </c>
      <c r="AZ81" s="15" t="n">
        <v>426795545.429</v>
      </c>
      <c r="BA81" s="17" t="n">
        <v>60487233</v>
      </c>
      <c r="BB81" s="18" t="n">
        <v>14965063.05</v>
      </c>
      <c r="BC81" s="17" t="n">
        <v>2971663</v>
      </c>
      <c r="BD81" s="17">
        <f>1000000000-999843606.0489+0.0000</f>
        <v/>
      </c>
      <c r="BE81" s="19">
        <f>1000000000-AZ81-BA81-BB81-BC81-BD81</f>
        <v/>
      </c>
      <c r="BF81" s="20" t="n">
        <v>238</v>
      </c>
      <c r="BG81" s="20">
        <f>BE81/1000000-BF81</f>
        <v/>
      </c>
      <c r="BH81" s="21">
        <f>BE81*26.2</f>
        <v/>
      </c>
    </row>
    <row r="82">
      <c r="A82" s="10" t="n">
        <v>45704</v>
      </c>
      <c r="B82" s="11" t="n">
        <v>2576463335</v>
      </c>
      <c r="C82" s="11" t="n"/>
      <c r="D82" s="12" t="n">
        <v>120737014</v>
      </c>
      <c r="E82" s="11" t="n"/>
      <c r="N82" s="12" t="n">
        <v>599409</v>
      </c>
      <c r="O82" s="11" t="n"/>
      <c r="P82" s="12" t="n">
        <v>8856</v>
      </c>
      <c r="Q82" s="11" t="n"/>
      <c r="R82" s="21">
        <f>N82+O82+P82+N(Q82)</f>
        <v/>
      </c>
      <c r="S82" s="13" t="n">
        <v>0.03</v>
      </c>
      <c r="T82" s="21">
        <f>N(AC82)*S82</f>
        <v/>
      </c>
      <c r="U82" s="21">
        <f>N(AD82)*S82</f>
        <v/>
      </c>
      <c r="V82" s="21">
        <f>N(AE82)*S82</f>
        <v/>
      </c>
      <c r="W82" s="21">
        <f>IF(Q82="","",N(AF82)*S82)</f>
        <v/>
      </c>
      <c r="X82" s="12" t="n">
        <v>0</v>
      </c>
      <c r="Y82" s="11" t="n"/>
      <c r="Z82" s="11" t="n"/>
      <c r="AA82" s="21">
        <f>T82+U82+V82+N(W82)+X82+Y82+N(Z82)</f>
        <v/>
      </c>
      <c r="AB82" s="11" t="n"/>
      <c r="AC82" s="12" t="n">
        <v>581427</v>
      </c>
      <c r="AD82" s="21">
        <f>O82-Y82</f>
        <v/>
      </c>
      <c r="AE82" s="21">
        <f>P82-X82</f>
        <v/>
      </c>
      <c r="AF82" s="21">
        <f>IF(Q82="","",Q82-Z82)</f>
        <v/>
      </c>
      <c r="AG82" s="22">
        <f>AC82+AD82+AE82+N(AF82)</f>
        <v/>
      </c>
      <c r="AH82" s="23" t="n">
        <v>590017</v>
      </c>
      <c r="AI82" s="24">
        <f>AG82-AH82</f>
        <v/>
      </c>
      <c r="AJ82" s="14">
        <f>IF(OR(B82="",B82=0,N82=""),"",N82/B82*10000)</f>
        <v/>
      </c>
      <c r="AK82" s="14">
        <f>IF(OR(C82="",C82=0),"",O82/C82*10000)</f>
        <v/>
      </c>
      <c r="AL82" s="14">
        <f>IF(OR(D82="",D82=0),"",P82/D82*10000)</f>
        <v/>
      </c>
      <c r="AM82" s="14">
        <f>IF(OR(E82="",E82=0),"",Q82/E82*10000)</f>
        <v/>
      </c>
      <c r="AN82" s="11" t="n">
        <v>0</v>
      </c>
      <c r="AO82" s="11" t="n">
        <v>0</v>
      </c>
      <c r="AP82" s="21">
        <f>AH82+AN82+AO82</f>
        <v/>
      </c>
      <c r="AQ82" s="21">
        <f>AH82</f>
        <v/>
      </c>
      <c r="AR82" s="25" t="n">
        <v>22361.34999999963</v>
      </c>
      <c r="AS82" s="26" t="n">
        <v>25.72</v>
      </c>
      <c r="AT82" s="15" t="n">
        <v>14987424.4</v>
      </c>
      <c r="AU82" s="15" t="n">
        <v>26607.0205</v>
      </c>
      <c r="AV82" s="15" t="n">
        <v>420.737</v>
      </c>
      <c r="AW82" s="15" t="n"/>
      <c r="AX82" s="16" t="n">
        <v>430.1106761568191</v>
      </c>
      <c r="AY82" s="13">
        <f>IF(OR(AX82="",AX82=0,AU82=""),"",AU82*365/(AX82*1000000))</f>
        <v/>
      </c>
      <c r="AZ82" s="15" t="n">
        <v>426768938.4085</v>
      </c>
      <c r="BA82" s="17" t="n">
        <v>60487233</v>
      </c>
      <c r="BB82" s="18" t="n">
        <v>14987424.4</v>
      </c>
      <c r="BC82" s="17" t="n">
        <v>2971663</v>
      </c>
      <c r="BD82" s="17">
        <f>1000000000-999843185.3119+0.0000</f>
        <v/>
      </c>
      <c r="BE82" s="19">
        <f>1000000000-AZ82-BA82-BB82-BC82-BD82</f>
        <v/>
      </c>
      <c r="BF82" s="20" t="n">
        <v>238</v>
      </c>
      <c r="BG82" s="20">
        <f>BE82/1000000-BF82</f>
        <v/>
      </c>
      <c r="BH82" s="21">
        <f>BE82*25.72</f>
        <v/>
      </c>
    </row>
    <row r="83">
      <c r="A83" s="10" t="n">
        <v>45705</v>
      </c>
      <c r="B83" s="11" t="n">
        <v>5049366131</v>
      </c>
      <c r="C83" s="11" t="n"/>
      <c r="D83" s="12" t="n">
        <v>360271474</v>
      </c>
      <c r="E83" s="11" t="n"/>
      <c r="N83" s="12" t="n">
        <v>1305683</v>
      </c>
      <c r="O83" s="11" t="n"/>
      <c r="P83" s="12" t="n">
        <v>18954</v>
      </c>
      <c r="Q83" s="11" t="n"/>
      <c r="R83" s="21">
        <f>N83+O83+P83+N(Q83)</f>
        <v/>
      </c>
      <c r="S83" s="13" t="n">
        <v>0.03</v>
      </c>
      <c r="T83" s="21">
        <f>N(AC83)*S83</f>
        <v/>
      </c>
      <c r="U83" s="21">
        <f>N(AD83)*S83</f>
        <v/>
      </c>
      <c r="V83" s="21">
        <f>N(AE83)*S83</f>
        <v/>
      </c>
      <c r="W83" s="21">
        <f>IF(Q83="","",N(AF83)*S83)</f>
        <v/>
      </c>
      <c r="X83" s="12" t="n">
        <v>0</v>
      </c>
      <c r="Y83" s="11" t="n"/>
      <c r="Z83" s="11" t="n"/>
      <c r="AA83" s="21">
        <f>T83+U83+V83+N(W83)+X83+Y83+N(Z83)</f>
        <v/>
      </c>
      <c r="AB83" s="11" t="n"/>
      <c r="AC83" s="12" t="n">
        <v>1266513</v>
      </c>
      <c r="AD83" s="21">
        <f>O83-Y83</f>
        <v/>
      </c>
      <c r="AE83" s="21">
        <f>P83-X83</f>
        <v/>
      </c>
      <c r="AF83" s="21">
        <f>IF(Q83="","",Q83-Z83)</f>
        <v/>
      </c>
      <c r="AG83" s="22">
        <f>AC83+AD83+AE83+N(AF83)</f>
        <v/>
      </c>
      <c r="AH83" s="23" t="n">
        <v>1284898</v>
      </c>
      <c r="AI83" s="24">
        <f>AG83-AH83</f>
        <v/>
      </c>
      <c r="AJ83" s="14">
        <f>IF(OR(B83="",B83=0,N83=""),"",N83/B83*10000)</f>
        <v/>
      </c>
      <c r="AK83" s="14">
        <f>IF(OR(C83="",C83=0),"",O83/C83*10000)</f>
        <v/>
      </c>
      <c r="AL83" s="14">
        <f>IF(OR(D83="",D83=0),"",P83/D83*10000)</f>
        <v/>
      </c>
      <c r="AM83" s="14">
        <f>IF(OR(E83="",E83=0),"",Q83/E83*10000)</f>
        <v/>
      </c>
      <c r="AN83" s="11" t="n">
        <v>0</v>
      </c>
      <c r="AO83" s="11" t="n">
        <v>0</v>
      </c>
      <c r="AP83" s="21">
        <f>AH83+AN83+AO83</f>
        <v/>
      </c>
      <c r="AQ83" s="21">
        <f>AH83</f>
        <v/>
      </c>
      <c r="AR83" s="25" t="n">
        <v>30930.40000000037</v>
      </c>
      <c r="AS83" s="26" t="n">
        <v>26.8</v>
      </c>
      <c r="AT83" s="15" t="n">
        <v>15018354.8</v>
      </c>
      <c r="AU83" s="15" t="n">
        <v>26613.6988</v>
      </c>
      <c r="AV83" s="15" t="n">
        <v>311.4459</v>
      </c>
      <c r="AW83" s="15" t="n"/>
      <c r="AX83" s="16" t="n">
        <v>429.3803087360232</v>
      </c>
      <c r="AY83" s="13">
        <f>IF(OR(AX83="",AX83=0,AU83=""),"",AU83*365/(AX83*1000000))</f>
        <v/>
      </c>
      <c r="AZ83" s="15" t="n">
        <v>426742324.7097</v>
      </c>
      <c r="BA83" s="17" t="n">
        <v>60487233</v>
      </c>
      <c r="BB83" s="18" t="n">
        <v>15018354.8</v>
      </c>
      <c r="BC83" s="17" t="n">
        <v>2971663</v>
      </c>
      <c r="BD83" s="17">
        <f>1000000000-999842873.8661+0.0000</f>
        <v/>
      </c>
      <c r="BE83" s="19">
        <f>1000000000-AZ83-BA83-BB83-BC83-BD83</f>
        <v/>
      </c>
      <c r="BF83" s="20" t="n">
        <v>238</v>
      </c>
      <c r="BG83" s="20">
        <f>BE83/1000000-BF83</f>
        <v/>
      </c>
      <c r="BH83" s="21">
        <f>BE83*26.8</f>
        <v/>
      </c>
    </row>
    <row r="84">
      <c r="A84" s="10" t="n">
        <v>45706</v>
      </c>
      <c r="B84" s="11" t="n">
        <v>6787245918</v>
      </c>
      <c r="C84" s="11" t="n"/>
      <c r="D84" s="12" t="n">
        <v>146705782</v>
      </c>
      <c r="E84" s="11" t="n"/>
      <c r="N84" s="12" t="n">
        <v>1594393</v>
      </c>
      <c r="O84" s="11" t="n"/>
      <c r="P84" s="12" t="n">
        <v>55805</v>
      </c>
      <c r="Q84" s="11" t="n"/>
      <c r="R84" s="21">
        <f>N84+O84+P84+N(Q84)</f>
        <v/>
      </c>
      <c r="S84" s="13" t="n">
        <v>0.03</v>
      </c>
      <c r="T84" s="21">
        <f>N(AC84)*S84</f>
        <v/>
      </c>
      <c r="U84" s="21">
        <f>N(AD84)*S84</f>
        <v/>
      </c>
      <c r="V84" s="21">
        <f>N(AE84)*S84</f>
        <v/>
      </c>
      <c r="W84" s="21">
        <f>IF(Q84="","",N(AF84)*S84)</f>
        <v/>
      </c>
      <c r="X84" s="12" t="n">
        <v>0</v>
      </c>
      <c r="Y84" s="11" t="n"/>
      <c r="Z84" s="11" t="n"/>
      <c r="AA84" s="21">
        <f>T84+U84+V84+N(W84)+X84+Y84+N(Z84)</f>
        <v/>
      </c>
      <c r="AB84" s="11" t="n"/>
      <c r="AC84" s="12" t="n">
        <v>1546561</v>
      </c>
      <c r="AD84" s="21">
        <f>O84-Y84</f>
        <v/>
      </c>
      <c r="AE84" s="21">
        <f>P84-X84</f>
        <v/>
      </c>
      <c r="AF84" s="21">
        <f>IF(Q84="","",Q84-Z84)</f>
        <v/>
      </c>
      <c r="AG84" s="22">
        <f>AC84+AD84+AE84+N(AF84)</f>
        <v/>
      </c>
      <c r="AH84" s="23" t="n">
        <v>1600692</v>
      </c>
      <c r="AI84" s="24">
        <f>AG84-AH84</f>
        <v/>
      </c>
      <c r="AJ84" s="14">
        <f>IF(OR(B84="",B84=0,N84=""),"",N84/B84*10000)</f>
        <v/>
      </c>
      <c r="AK84" s="14">
        <f>IF(OR(C84="",C84=0),"",O84/C84*10000)</f>
        <v/>
      </c>
      <c r="AL84" s="14">
        <f>IF(OR(D84="",D84=0),"",P84/D84*10000)</f>
        <v/>
      </c>
      <c r="AM84" s="14">
        <f>IF(OR(E84="",E84=0),"",Q84/E84*10000)</f>
        <v/>
      </c>
      <c r="AN84" s="11" t="n">
        <v>0</v>
      </c>
      <c r="AO84" s="11" t="n">
        <v>0</v>
      </c>
      <c r="AP84" s="21">
        <f>AH84+AN84+AO84</f>
        <v/>
      </c>
      <c r="AQ84" s="21">
        <f>AH84</f>
        <v/>
      </c>
      <c r="AR84" s="25" t="n">
        <v>56574.91000000015</v>
      </c>
      <c r="AS84" s="26" t="n">
        <v>25.38</v>
      </c>
      <c r="AT84" s="15" t="n">
        <v>15074929.71</v>
      </c>
      <c r="AU84" s="15" t="n">
        <v>26591.793</v>
      </c>
      <c r="AV84" s="15" t="n">
        <v>491.1939</v>
      </c>
      <c r="AW84" s="15" t="n"/>
      <c r="AX84" s="16" t="n">
        <v>429.5534245582028</v>
      </c>
      <c r="AY84" s="13">
        <f>IF(OR(AX84="",AX84=0,AU84=""),"",AU84*365/(AX84*1000000))</f>
        <v/>
      </c>
      <c r="AZ84" s="15" t="n">
        <v>426715732.9167</v>
      </c>
      <c r="BA84" s="17" t="n">
        <v>60487233</v>
      </c>
      <c r="BB84" s="18" t="n">
        <v>15074929.71</v>
      </c>
      <c r="BC84" s="17" t="n">
        <v>2971663</v>
      </c>
      <c r="BD84" s="17">
        <f>1000000000-999842382.6722+0.0000</f>
        <v/>
      </c>
      <c r="BE84" s="19">
        <f>1000000000-AZ84-BA84-BB84-BC84-BD84</f>
        <v/>
      </c>
      <c r="BF84" s="20" t="n">
        <v>238</v>
      </c>
      <c r="BG84" s="20">
        <f>BE84/1000000-BF84</f>
        <v/>
      </c>
      <c r="BH84" s="21">
        <f>BE84*25.38</f>
        <v/>
      </c>
    </row>
    <row r="85">
      <c r="A85" s="10" t="n">
        <v>45707</v>
      </c>
      <c r="B85" s="11" t="n">
        <v>3901859791</v>
      </c>
      <c r="C85" s="11" t="n"/>
      <c r="D85" s="12" t="n">
        <v>136622361</v>
      </c>
      <c r="E85" s="11" t="n"/>
      <c r="N85" s="12" t="n">
        <v>987639</v>
      </c>
      <c r="O85" s="11" t="n"/>
      <c r="P85" s="12" t="n">
        <v>22056</v>
      </c>
      <c r="Q85" s="11" t="n"/>
      <c r="R85" s="21">
        <f>N85+O85+P85+N(Q85)</f>
        <v/>
      </c>
      <c r="S85" s="13" t="n">
        <v>0.03</v>
      </c>
      <c r="T85" s="21">
        <f>N(AC85)*S85</f>
        <v/>
      </c>
      <c r="U85" s="21">
        <f>N(AD85)*S85</f>
        <v/>
      </c>
      <c r="V85" s="21">
        <f>N(AE85)*S85</f>
        <v/>
      </c>
      <c r="W85" s="21">
        <f>IF(Q85="","",N(AF85)*S85)</f>
        <v/>
      </c>
      <c r="X85" s="12" t="n">
        <v>0</v>
      </c>
      <c r="Y85" s="11" t="n"/>
      <c r="Z85" s="11" t="n"/>
      <c r="AA85" s="21">
        <f>T85+U85+V85+N(W85)+X85+Y85+N(Z85)</f>
        <v/>
      </c>
      <c r="AB85" s="11" t="n"/>
      <c r="AC85" s="12" t="n">
        <v>958010</v>
      </c>
      <c r="AD85" s="21">
        <f>O85-Y85</f>
        <v/>
      </c>
      <c r="AE85" s="21">
        <f>P85-X85</f>
        <v/>
      </c>
      <c r="AF85" s="21">
        <f>IF(Q85="","",Q85-Z85)</f>
        <v/>
      </c>
      <c r="AG85" s="22">
        <f>AC85+AD85+AE85+N(AF85)</f>
        <v/>
      </c>
      <c r="AH85" s="23" t="n">
        <v>979405</v>
      </c>
      <c r="AI85" s="24">
        <f>AG85-AH85</f>
        <v/>
      </c>
      <c r="AJ85" s="14">
        <f>IF(OR(B85="",B85=0,N85=""),"",N85/B85*10000)</f>
        <v/>
      </c>
      <c r="AK85" s="14">
        <f>IF(OR(C85="",C85=0),"",O85/C85*10000)</f>
        <v/>
      </c>
      <c r="AL85" s="14">
        <f>IF(OR(D85="",D85=0),"",P85/D85*10000)</f>
        <v/>
      </c>
      <c r="AM85" s="14">
        <f>IF(OR(E85="",E85=0),"",Q85/E85*10000)</f>
        <v/>
      </c>
      <c r="AN85" s="11" t="n">
        <v>0</v>
      </c>
      <c r="AO85" s="11" t="n">
        <v>0</v>
      </c>
      <c r="AP85" s="21">
        <f>AH85+AN85+AO85</f>
        <v/>
      </c>
      <c r="AQ85" s="21">
        <f>AH85</f>
        <v/>
      </c>
      <c r="AR85" s="25" t="n">
        <v>55665.70999999903</v>
      </c>
      <c r="AS85" s="26" t="n">
        <v>24.08</v>
      </c>
      <c r="AT85" s="15" t="n">
        <v>15130595.42</v>
      </c>
      <c r="AU85" s="15" t="n">
        <v>26568.7312</v>
      </c>
      <c r="AV85" s="15" t="n">
        <v>1766.3576</v>
      </c>
      <c r="AW85" s="15" t="n"/>
      <c r="AX85" s="16" t="n">
        <v>428.4481748632515</v>
      </c>
      <c r="AY85" s="13">
        <f>IF(OR(AX85="",AX85=0,AU85=""),"",AU85*365/(AX85*1000000))</f>
        <v/>
      </c>
      <c r="AZ85" s="15" t="n">
        <v>426689164.1855</v>
      </c>
      <c r="BA85" s="17" t="n">
        <v>60487233</v>
      </c>
      <c r="BB85" s="18" t="n">
        <v>15130595.42</v>
      </c>
      <c r="BC85" s="17" t="n">
        <v>2971663</v>
      </c>
      <c r="BD85" s="17">
        <f>1000000000-999840616.3146+0.0000</f>
        <v/>
      </c>
      <c r="BE85" s="19">
        <f>1000000000-AZ85-BA85-BB85-BC85-BD85</f>
        <v/>
      </c>
      <c r="BF85" s="20" t="n">
        <v>238</v>
      </c>
      <c r="BG85" s="20">
        <f>BE85/1000000-BF85</f>
        <v/>
      </c>
      <c r="BH85" s="21">
        <f>BE85*24.08</f>
        <v/>
      </c>
    </row>
    <row r="86">
      <c r="A86" s="10" t="n">
        <v>45708</v>
      </c>
      <c r="B86" s="11" t="n">
        <v>5037378691</v>
      </c>
      <c r="C86" s="11" t="n"/>
      <c r="D86" s="12" t="n">
        <v>206747279</v>
      </c>
      <c r="E86" s="11" t="n"/>
      <c r="N86" s="12" t="n">
        <v>1174903</v>
      </c>
      <c r="O86" s="11" t="n"/>
      <c r="P86" s="12" t="n">
        <v>20113</v>
      </c>
      <c r="Q86" s="11" t="n"/>
      <c r="R86" s="21">
        <f>N86+O86+P86+N(Q86)</f>
        <v/>
      </c>
      <c r="S86" s="13" t="n">
        <v>0.03</v>
      </c>
      <c r="T86" s="21">
        <f>N(AC86)*S86</f>
        <v/>
      </c>
      <c r="U86" s="21">
        <f>N(AD86)*S86</f>
        <v/>
      </c>
      <c r="V86" s="21">
        <f>N(AE86)*S86</f>
        <v/>
      </c>
      <c r="W86" s="21">
        <f>IF(Q86="","",N(AF86)*S86)</f>
        <v/>
      </c>
      <c r="X86" s="12" t="n">
        <v>0</v>
      </c>
      <c r="Y86" s="11" t="n"/>
      <c r="Z86" s="11" t="n"/>
      <c r="AA86" s="21">
        <f>T86+U86+V86+N(W86)+X86+Y86+N(Z86)</f>
        <v/>
      </c>
      <c r="AB86" s="11" t="n"/>
      <c r="AC86" s="12" t="n">
        <v>1139656</v>
      </c>
      <c r="AD86" s="21">
        <f>O86-Y86</f>
        <v/>
      </c>
      <c r="AE86" s="21">
        <f>P86-X86</f>
        <v/>
      </c>
      <c r="AF86" s="21">
        <f>IF(Q86="","",Q86-Z86)</f>
        <v/>
      </c>
      <c r="AG86" s="22">
        <f>AC86+AD86+AE86+N(AF86)</f>
        <v/>
      </c>
      <c r="AH86" s="23" t="n">
        <v>1159166</v>
      </c>
      <c r="AI86" s="24">
        <f>AG86-AH86</f>
        <v/>
      </c>
      <c r="AJ86" s="14">
        <f>IF(OR(B86="",B86=0,N86=""),"",N86/B86*10000)</f>
        <v/>
      </c>
      <c r="AK86" s="14">
        <f>IF(OR(C86="",C86=0),"",O86/C86*10000)</f>
        <v/>
      </c>
      <c r="AL86" s="14">
        <f>IF(OR(D86="",D86=0),"",P86/D86*10000)</f>
        <v/>
      </c>
      <c r="AM86" s="14">
        <f>IF(OR(E86="",E86=0),"",Q86/E86*10000)</f>
        <v/>
      </c>
      <c r="AN86" s="11" t="n">
        <v>0</v>
      </c>
      <c r="AO86" s="11" t="n">
        <v>0</v>
      </c>
      <c r="AP86" s="21">
        <f>AH86+AN86+AO86</f>
        <v/>
      </c>
      <c r="AQ86" s="21">
        <f>AH86</f>
        <v/>
      </c>
      <c r="AR86" s="25" t="n">
        <v>42610.0700000003</v>
      </c>
      <c r="AS86" s="26" t="n">
        <v>24.06</v>
      </c>
      <c r="AT86" s="15" t="n">
        <v>15173205.49</v>
      </c>
      <c r="AU86" s="15" t="n">
        <v>26580.8603</v>
      </c>
      <c r="AV86" s="15" t="n">
        <v>672.5468</v>
      </c>
      <c r="AW86" s="15" t="n"/>
      <c r="AX86" s="16" t="n">
        <v>427.9005930465469</v>
      </c>
      <c r="AY86" s="13">
        <f>IF(OR(AX86="",AX86=0,AU86=""),"",AU86*365/(AX86*1000000))</f>
        <v/>
      </c>
      <c r="AZ86" s="15" t="n">
        <v>426662583.3252</v>
      </c>
      <c r="BA86" s="17" t="n">
        <v>60487233</v>
      </c>
      <c r="BB86" s="18" t="n">
        <v>15173205.49</v>
      </c>
      <c r="BC86" s="17" t="n">
        <v>2971663</v>
      </c>
      <c r="BD86" s="17">
        <f>1000000000-999839943.7678+0.0000</f>
        <v/>
      </c>
      <c r="BE86" s="19">
        <f>1000000000-AZ86-BA86-BB86-BC86-BD86</f>
        <v/>
      </c>
      <c r="BF86" s="20" t="n">
        <v>238</v>
      </c>
      <c r="BG86" s="20">
        <f>BE86/1000000-BF86</f>
        <v/>
      </c>
      <c r="BH86" s="21">
        <f>BE86*24.06</f>
        <v/>
      </c>
    </row>
    <row r="87">
      <c r="A87" s="10" t="n">
        <v>45709</v>
      </c>
      <c r="B87" s="11" t="n">
        <v>10385529202</v>
      </c>
      <c r="C87" s="11" t="n"/>
      <c r="D87" s="12" t="n">
        <v>71766053</v>
      </c>
      <c r="E87" s="11" t="n"/>
      <c r="N87" s="12" t="n">
        <v>2360338</v>
      </c>
      <c r="O87" s="11" t="n"/>
      <c r="P87" s="12" t="n">
        <v>27835</v>
      </c>
      <c r="Q87" s="11" t="n"/>
      <c r="R87" s="21">
        <f>N87+O87+P87+N(Q87)</f>
        <v/>
      </c>
      <c r="S87" s="13" t="n">
        <v>0.03</v>
      </c>
      <c r="T87" s="21">
        <f>N(AC87)*S87</f>
        <v/>
      </c>
      <c r="U87" s="21">
        <f>N(AD87)*S87</f>
        <v/>
      </c>
      <c r="V87" s="21">
        <f>N(AE87)*S87</f>
        <v/>
      </c>
      <c r="W87" s="21">
        <f>IF(Q87="","",N(AF87)*S87)</f>
        <v/>
      </c>
      <c r="X87" s="12" t="n">
        <v>0</v>
      </c>
      <c r="Y87" s="11" t="n"/>
      <c r="Z87" s="11" t="n"/>
      <c r="AA87" s="21">
        <f>T87+U87+V87+N(W87)+X87+Y87+N(Z87)</f>
        <v/>
      </c>
      <c r="AB87" s="11" t="n"/>
      <c r="AC87" s="12" t="n">
        <v>2289528</v>
      </c>
      <c r="AD87" s="21">
        <f>O87-Y87</f>
        <v/>
      </c>
      <c r="AE87" s="21">
        <f>P87-X87</f>
        <v/>
      </c>
      <c r="AF87" s="21">
        <f>IF(Q87="","",Q87-Z87)</f>
        <v/>
      </c>
      <c r="AG87" s="22">
        <f>AC87+AD87+AE87+N(AF87)</f>
        <v/>
      </c>
      <c r="AH87" s="23" t="n">
        <v>2316528</v>
      </c>
      <c r="AI87" s="24">
        <f>AG87-AH87</f>
        <v/>
      </c>
      <c r="AJ87" s="14">
        <f>IF(OR(B87="",B87=0,N87=""),"",N87/B87*10000)</f>
        <v/>
      </c>
      <c r="AK87" s="14">
        <f>IF(OR(C87="",C87=0),"",O87/C87*10000)</f>
        <v/>
      </c>
      <c r="AL87" s="14">
        <f>IF(OR(D87="",D87=0),"",P87/D87*10000)</f>
        <v/>
      </c>
      <c r="AM87" s="14">
        <f>IF(OR(E87="",E87=0),"",Q87/E87*10000)</f>
        <v/>
      </c>
      <c r="AN87" s="11" t="n">
        <v>0</v>
      </c>
      <c r="AO87" s="11" t="n">
        <v>0</v>
      </c>
      <c r="AP87" s="21">
        <f>AH87+AN87+AO87</f>
        <v/>
      </c>
      <c r="AQ87" s="21">
        <f>AH87</f>
        <v/>
      </c>
      <c r="AR87" s="25" t="n">
        <v>53987.01999999955</v>
      </c>
      <c r="AS87" s="26" t="n">
        <v>24.45</v>
      </c>
      <c r="AT87" s="15" t="n">
        <v>15227192.51</v>
      </c>
      <c r="AU87" s="15" t="n">
        <v>26551.3041</v>
      </c>
      <c r="AV87" s="15" t="n">
        <v>563.1262</v>
      </c>
      <c r="AW87" s="15" t="n"/>
      <c r="AX87" s="16" t="n">
        <v>427.6121269392473</v>
      </c>
      <c r="AY87" s="13">
        <f>IF(OR(AX87="",AX87=0,AU87=""),"",AU87*365/(AX87*1000000))</f>
        <v/>
      </c>
      <c r="AZ87" s="15" t="n">
        <v>426636032.0211</v>
      </c>
      <c r="BA87" s="17" t="n">
        <v>60487233</v>
      </c>
      <c r="BB87" s="18" t="n">
        <v>15227192.51</v>
      </c>
      <c r="BC87" s="17" t="n">
        <v>2971663</v>
      </c>
      <c r="BD87" s="17">
        <f>1000000000-999839380.6415+0.0000</f>
        <v/>
      </c>
      <c r="BE87" s="19">
        <f>1000000000-AZ87-BA87-BB87-BC87-BD87</f>
        <v/>
      </c>
      <c r="BF87" s="20" t="n">
        <v>238</v>
      </c>
      <c r="BG87" s="20">
        <f>BE87/1000000-BF87</f>
        <v/>
      </c>
      <c r="BH87" s="21">
        <f>BE87*24.45</f>
        <v/>
      </c>
    </row>
    <row r="88">
      <c r="A88" s="10" t="n">
        <v>45710</v>
      </c>
      <c r="B88" s="11" t="n">
        <v>3022212830</v>
      </c>
      <c r="C88" s="11" t="n"/>
      <c r="D88" s="12" t="n">
        <v>87664629</v>
      </c>
      <c r="E88" s="11" t="n"/>
      <c r="N88" s="12" t="n">
        <v>886199</v>
      </c>
      <c r="O88" s="11" t="n"/>
      <c r="P88" s="12" t="n">
        <v>12423</v>
      </c>
      <c r="Q88" s="11" t="n"/>
      <c r="R88" s="21">
        <f>N88+O88+P88+N(Q88)</f>
        <v/>
      </c>
      <c r="S88" s="13" t="n">
        <v>0.03</v>
      </c>
      <c r="T88" s="21">
        <f>N(AC88)*S88</f>
        <v/>
      </c>
      <c r="U88" s="21">
        <f>N(AD88)*S88</f>
        <v/>
      </c>
      <c r="V88" s="21">
        <f>N(AE88)*S88</f>
        <v/>
      </c>
      <c r="W88" s="21">
        <f>IF(Q88="","",N(AF88)*S88)</f>
        <v/>
      </c>
      <c r="X88" s="12" t="n">
        <v>0</v>
      </c>
      <c r="Y88" s="11" t="n"/>
      <c r="Z88" s="11" t="n"/>
      <c r="AA88" s="21">
        <f>T88+U88+V88+N(W88)+X88+Y88+N(Z88)</f>
        <v/>
      </c>
      <c r="AB88" s="11" t="n"/>
      <c r="AC88" s="12" t="n">
        <v>859613</v>
      </c>
      <c r="AD88" s="21">
        <f>O88-Y88</f>
        <v/>
      </c>
      <c r="AE88" s="21">
        <f>P88-X88</f>
        <v/>
      </c>
      <c r="AF88" s="21">
        <f>IF(Q88="","",Q88-Z88)</f>
        <v/>
      </c>
      <c r="AG88" s="22">
        <f>AC88+AD88+AE88+N(AF88)</f>
        <v/>
      </c>
      <c r="AH88" s="23" t="n">
        <v>871664</v>
      </c>
      <c r="AI88" s="24">
        <f>AG88-AH88</f>
        <v/>
      </c>
      <c r="AJ88" s="14">
        <f>IF(OR(B88="",B88=0,N88=""),"",N88/B88*10000)</f>
        <v/>
      </c>
      <c r="AK88" s="14">
        <f>IF(OR(C88="",C88=0),"",O88/C88*10000)</f>
        <v/>
      </c>
      <c r="AL88" s="14">
        <f>IF(OR(D88="",D88=0),"",P88/D88*10000)</f>
        <v/>
      </c>
      <c r="AM88" s="14">
        <f>IF(OR(E88="",E88=0),"",Q88/E88*10000)</f>
        <v/>
      </c>
      <c r="AN88" s="11" t="n">
        <v>0</v>
      </c>
      <c r="AO88" s="11" t="n">
        <v>0</v>
      </c>
      <c r="AP88" s="21">
        <f>AH88+AN88+AO88</f>
        <v/>
      </c>
      <c r="AQ88" s="21">
        <f>AH88</f>
        <v/>
      </c>
      <c r="AR88" s="25" t="n">
        <v>87874.72000000067</v>
      </c>
      <c r="AS88" s="26" t="n">
        <v>24.99</v>
      </c>
      <c r="AT88" s="15" t="n">
        <v>15315067.23</v>
      </c>
      <c r="AU88" s="15" t="n">
        <v>26531.5366</v>
      </c>
      <c r="AV88" s="15" t="n">
        <v>957.8834000000001</v>
      </c>
      <c r="AW88" s="15" t="n"/>
      <c r="AX88" s="16" t="n">
        <v>426.774544380433</v>
      </c>
      <c r="AY88" s="13">
        <f>IF(OR(AX88="",AX88=0,AU88=""),"",AU88*365/(AX88*1000000))</f>
        <v/>
      </c>
      <c r="AZ88" s="15" t="n">
        <v>426609500.4845</v>
      </c>
      <c r="BA88" s="17" t="n">
        <v>60487233</v>
      </c>
      <c r="BB88" s="18" t="n">
        <v>15315067.23</v>
      </c>
      <c r="BC88" s="17" t="n">
        <v>2971663</v>
      </c>
      <c r="BD88" s="17">
        <f>1000000000-999838422.7581+0.0000</f>
        <v/>
      </c>
      <c r="BE88" s="19">
        <f>1000000000-AZ88-BA88-BB88-BC88-BD88</f>
        <v/>
      </c>
      <c r="BF88" s="20" t="n">
        <v>238</v>
      </c>
      <c r="BG88" s="20">
        <f>BE88/1000000-BF88</f>
        <v/>
      </c>
      <c r="BH88" s="21">
        <f>BE88*24.99</f>
        <v/>
      </c>
    </row>
    <row r="89">
      <c r="A89" s="10" t="n">
        <v>45711</v>
      </c>
      <c r="B89" s="11" t="n">
        <v>3357930485</v>
      </c>
      <c r="C89" s="11" t="n"/>
      <c r="D89" s="12" t="n">
        <v>313527932</v>
      </c>
      <c r="E89" s="11" t="n"/>
      <c r="N89" s="12" t="n">
        <v>739684</v>
      </c>
      <c r="O89" s="11" t="n"/>
      <c r="P89" s="12" t="n">
        <v>13884</v>
      </c>
      <c r="Q89" s="11" t="n"/>
      <c r="R89" s="21">
        <f>N89+O89+P89+N(Q89)</f>
        <v/>
      </c>
      <c r="S89" s="13" t="n">
        <v>0.03</v>
      </c>
      <c r="T89" s="21">
        <f>N(AC89)*S89</f>
        <v/>
      </c>
      <c r="U89" s="21">
        <f>N(AD89)*S89</f>
        <v/>
      </c>
      <c r="V89" s="21">
        <f>N(AE89)*S89</f>
        <v/>
      </c>
      <c r="W89" s="21">
        <f>IF(Q89="","",N(AF89)*S89)</f>
        <v/>
      </c>
      <c r="X89" s="12" t="n">
        <v>0</v>
      </c>
      <c r="Y89" s="11" t="n"/>
      <c r="Z89" s="11" t="n"/>
      <c r="AA89" s="21">
        <f>T89+U89+V89+N(W89)+X89+Y89+N(Z89)</f>
        <v/>
      </c>
      <c r="AB89" s="11" t="n"/>
      <c r="AC89" s="12" t="n">
        <v>717494</v>
      </c>
      <c r="AD89" s="21">
        <f>O89-Y89</f>
        <v/>
      </c>
      <c r="AE89" s="21">
        <f>P89-X89</f>
        <v/>
      </c>
      <c r="AF89" s="21">
        <f>IF(Q89="","",Q89-Z89)</f>
        <v/>
      </c>
      <c r="AG89" s="22">
        <f>AC89+AD89+AE89+N(AF89)</f>
        <v/>
      </c>
      <c r="AH89" s="23" t="n">
        <v>730962</v>
      </c>
      <c r="AI89" s="24">
        <f>AG89-AH89</f>
        <v/>
      </c>
      <c r="AJ89" s="14">
        <f>IF(OR(B89="",B89=0,N89=""),"",N89/B89*10000)</f>
        <v/>
      </c>
      <c r="AK89" s="14">
        <f>IF(OR(C89="",C89=0),"",O89/C89*10000)</f>
        <v/>
      </c>
      <c r="AL89" s="14">
        <f>IF(OR(D89="",D89=0),"",P89/D89*10000)</f>
        <v/>
      </c>
      <c r="AM89" s="14">
        <f>IF(OR(E89="",E89=0),"",Q89/E89*10000)</f>
        <v/>
      </c>
      <c r="AN89" s="11" t="n">
        <v>0</v>
      </c>
      <c r="AO89" s="11" t="n">
        <v>0</v>
      </c>
      <c r="AP89" s="21">
        <f>AH89+AN89+AO89</f>
        <v/>
      </c>
      <c r="AQ89" s="21">
        <f>AH89</f>
        <v/>
      </c>
      <c r="AR89" s="25" t="n">
        <v>30681.21999999881</v>
      </c>
      <c r="AS89" s="26" t="n">
        <v>24.79</v>
      </c>
      <c r="AT89" s="15" t="n">
        <v>15345748.45</v>
      </c>
      <c r="AU89" s="15" t="n">
        <v>26510.0073</v>
      </c>
      <c r="AV89" s="15" t="n">
        <v>272.4934</v>
      </c>
      <c r="AW89" s="15" t="n"/>
      <c r="AX89" s="16" t="n">
        <v>426.1677775681738</v>
      </c>
      <c r="AY89" s="13">
        <f>IF(OR(AX89="",AX89=0,AU89=""),"",AU89*365/(AX89*1000000))</f>
        <v/>
      </c>
      <c r="AZ89" s="15" t="n">
        <v>426582990.4772</v>
      </c>
      <c r="BA89" s="17" t="n">
        <v>60487233</v>
      </c>
      <c r="BB89" s="18" t="n">
        <v>15345748.45</v>
      </c>
      <c r="BC89" s="17" t="n">
        <v>2971663</v>
      </c>
      <c r="BD89" s="17">
        <f>1000000000-999838150.2647+0.0000</f>
        <v/>
      </c>
      <c r="BE89" s="19">
        <f>1000000000-AZ89-BA89-BB89-BC89-BD89</f>
        <v/>
      </c>
      <c r="BF89" s="20" t="n">
        <v>238</v>
      </c>
      <c r="BG89" s="20">
        <f>BE89/1000000-BF89</f>
        <v/>
      </c>
      <c r="BH89" s="21">
        <f>BE89*24.79</f>
        <v/>
      </c>
    </row>
    <row r="90">
      <c r="A90" s="10" t="n">
        <v>45712</v>
      </c>
      <c r="B90" s="11" t="n">
        <v>9442757917</v>
      </c>
      <c r="C90" s="11" t="n"/>
      <c r="D90" s="12" t="n">
        <v>403523120</v>
      </c>
      <c r="E90" s="11" t="n"/>
      <c r="N90" s="12" t="n">
        <v>1495241</v>
      </c>
      <c r="O90" s="11" t="n"/>
      <c r="P90" s="12" t="n">
        <v>36499</v>
      </c>
      <c r="Q90" s="11" t="n"/>
      <c r="R90" s="21">
        <f>N90+O90+P90+N(Q90)</f>
        <v/>
      </c>
      <c r="S90" s="13" t="n">
        <v>0.03</v>
      </c>
      <c r="T90" s="21">
        <f>N(AC90)*S90</f>
        <v/>
      </c>
      <c r="U90" s="21">
        <f>N(AD90)*S90</f>
        <v/>
      </c>
      <c r="V90" s="21">
        <f>N(AE90)*S90</f>
        <v/>
      </c>
      <c r="W90" s="21">
        <f>IF(Q90="","",N(AF90)*S90)</f>
        <v/>
      </c>
      <c r="X90" s="12" t="n">
        <v>0</v>
      </c>
      <c r="Y90" s="11" t="n"/>
      <c r="Z90" s="11" t="n"/>
      <c r="AA90" s="21">
        <f>T90+U90+V90+N(W90)+X90+Y90+N(Z90)</f>
        <v/>
      </c>
      <c r="AB90" s="11" t="n"/>
      <c r="AC90" s="12" t="n">
        <v>1450384</v>
      </c>
      <c r="AD90" s="21">
        <f>O90-Y90</f>
        <v/>
      </c>
      <c r="AE90" s="21">
        <f>P90-X90</f>
        <v/>
      </c>
      <c r="AF90" s="21">
        <f>IF(Q90="","",Q90-Z90)</f>
        <v/>
      </c>
      <c r="AG90" s="22">
        <f>AC90+AD90+AE90+N(AF90)</f>
        <v/>
      </c>
      <c r="AH90" s="23" t="n">
        <v>1485788</v>
      </c>
      <c r="AI90" s="24">
        <f>AG90-AH90</f>
        <v/>
      </c>
      <c r="AJ90" s="14">
        <f>IF(OR(B90="",B90=0,N90=""),"",N90/B90*10000)</f>
        <v/>
      </c>
      <c r="AK90" s="14">
        <f>IF(OR(C90="",C90=0),"",O90/C90*10000)</f>
        <v/>
      </c>
      <c r="AL90" s="14">
        <f>IF(OR(D90="",D90=0),"",P90/D90*10000)</f>
        <v/>
      </c>
      <c r="AM90" s="14">
        <f>IF(OR(E90="",E90=0),"",Q90/E90*10000)</f>
        <v/>
      </c>
      <c r="AN90" s="11" t="n">
        <v>0</v>
      </c>
      <c r="AO90" s="11" t="n">
        <v>0</v>
      </c>
      <c r="AP90" s="21">
        <f>AH90+AN90+AO90</f>
        <v/>
      </c>
      <c r="AQ90" s="21">
        <f>AH90</f>
        <v/>
      </c>
      <c r="AR90" s="25" t="n">
        <v>49548.46000000089</v>
      </c>
      <c r="AS90" s="26" t="n">
        <v>23.15</v>
      </c>
      <c r="AT90" s="15" t="n">
        <v>15395296.91</v>
      </c>
      <c r="AU90" s="15" t="n">
        <v>26495.5925</v>
      </c>
      <c r="AV90" s="15" t="n">
        <v>359.0801</v>
      </c>
      <c r="AW90" s="15" t="n"/>
      <c r="AX90" s="16" t="n">
        <v>425.7583784936231</v>
      </c>
      <c r="AY90" s="13">
        <f>IF(OR(AX90="",AX90=0,AU90=""),"",AU90*365/(AX90*1000000))</f>
        <v/>
      </c>
      <c r="AZ90" s="15" t="n">
        <v>426556494.8846</v>
      </c>
      <c r="BA90" s="17" t="n">
        <v>60487233</v>
      </c>
      <c r="BB90" s="18" t="n">
        <v>15395296.91</v>
      </c>
      <c r="BC90" s="17" t="n">
        <v>2971663</v>
      </c>
      <c r="BD90" s="17">
        <f>1000000000-999837791.1845+0.0000</f>
        <v/>
      </c>
      <c r="BE90" s="19">
        <f>1000000000-AZ90-BA90-BB90-BC90-BD90</f>
        <v/>
      </c>
      <c r="BF90" s="20" t="n">
        <v>238</v>
      </c>
      <c r="BG90" s="20">
        <f>BE90/1000000-BF90</f>
        <v/>
      </c>
      <c r="BH90" s="21">
        <f>BE90*23.15</f>
        <v/>
      </c>
    </row>
    <row r="91">
      <c r="A91" s="10" t="n">
        <v>45713</v>
      </c>
      <c r="B91" s="11" t="n">
        <v>13212926718</v>
      </c>
      <c r="C91" s="11" t="n"/>
      <c r="D91" s="12" t="n">
        <v>252882738</v>
      </c>
      <c r="E91" s="11" t="n"/>
      <c r="N91" s="12" t="n">
        <v>3778850</v>
      </c>
      <c r="O91" s="11" t="n"/>
      <c r="P91" s="12" t="n">
        <v>76421</v>
      </c>
      <c r="Q91" s="11" t="n"/>
      <c r="R91" s="21">
        <f>N91+O91+P91+N(Q91)</f>
        <v/>
      </c>
      <c r="S91" s="13" t="n">
        <v>0.03</v>
      </c>
      <c r="T91" s="21">
        <f>N(AC91)*S91</f>
        <v/>
      </c>
      <c r="U91" s="21">
        <f>N(AD91)*S91</f>
        <v/>
      </c>
      <c r="V91" s="21">
        <f>N(AE91)*S91</f>
        <v/>
      </c>
      <c r="W91" s="21">
        <f>IF(Q91="","",N(AF91)*S91)</f>
        <v/>
      </c>
      <c r="X91" s="12" t="n">
        <v>0</v>
      </c>
      <c r="Y91" s="11" t="n"/>
      <c r="Z91" s="11" t="n"/>
      <c r="AA91" s="21">
        <f>T91+U91+V91+N(W91)+X91+Y91+N(Z91)</f>
        <v/>
      </c>
      <c r="AB91" s="11" t="n"/>
      <c r="AC91" s="12" t="n">
        <v>3665484</v>
      </c>
      <c r="AD91" s="21">
        <f>O91-Y91</f>
        <v/>
      </c>
      <c r="AE91" s="21">
        <f>P91-X91</f>
        <v/>
      </c>
      <c r="AF91" s="21">
        <f>IF(Q91="","",Q91-Z91)</f>
        <v/>
      </c>
      <c r="AG91" s="22">
        <f>AC91+AD91+AE91+N(AF91)</f>
        <v/>
      </c>
      <c r="AH91" s="23" t="n">
        <v>3739612</v>
      </c>
      <c r="AI91" s="24">
        <f>AG91-AH91</f>
        <v/>
      </c>
      <c r="AJ91" s="14">
        <f>IF(OR(B91="",B91=0,N91=""),"",N91/B91*10000)</f>
        <v/>
      </c>
      <c r="AK91" s="14">
        <f>IF(OR(C91="",C91=0),"",O91/C91*10000)</f>
        <v/>
      </c>
      <c r="AL91" s="14">
        <f>IF(OR(D91="",D91=0),"",P91/D91*10000)</f>
        <v/>
      </c>
      <c r="AM91" s="14">
        <f>IF(OR(E91="",E91=0),"",Q91/E91*10000)</f>
        <v/>
      </c>
      <c r="AN91" s="11" t="n">
        <v>0</v>
      </c>
      <c r="AO91" s="11" t="n">
        <v>0</v>
      </c>
      <c r="AP91" s="21">
        <f>AH91+AN91+AO91</f>
        <v/>
      </c>
      <c r="AQ91" s="21">
        <f>AH91</f>
        <v/>
      </c>
      <c r="AR91" s="25" t="n">
        <v>39290.51999999955</v>
      </c>
      <c r="AS91" s="26" t="n">
        <v>19.88</v>
      </c>
      <c r="AT91" s="15" t="n">
        <v>15434587.43</v>
      </c>
      <c r="AU91" s="15" t="n">
        <v>26462.3619</v>
      </c>
      <c r="AV91" s="15" t="n">
        <v>1448.4853</v>
      </c>
      <c r="AW91" s="15" t="n"/>
      <c r="AX91" s="16" t="n">
        <v>424.0080656300895</v>
      </c>
      <c r="AY91" s="13">
        <f>IF(OR(AX91="",AX91=0,AU91=""),"",AU91*365/(AX91*1000000))</f>
        <v/>
      </c>
      <c r="AZ91" s="15" t="n">
        <v>426530032.5227</v>
      </c>
      <c r="BA91" s="17" t="n">
        <v>60487233</v>
      </c>
      <c r="BB91" s="18" t="n">
        <v>15434587.43</v>
      </c>
      <c r="BC91" s="17" t="n">
        <v>2971663</v>
      </c>
      <c r="BD91" s="17">
        <f>1000000000-999836342.6993+0.0000</f>
        <v/>
      </c>
      <c r="BE91" s="19">
        <f>1000000000-AZ91-BA91-BB91-BC91-BD91</f>
        <v/>
      </c>
      <c r="BF91" s="20" t="n">
        <v>238</v>
      </c>
      <c r="BG91" s="20">
        <f>BE91/1000000-BF91</f>
        <v/>
      </c>
      <c r="BH91" s="21">
        <f>BE91*19.88</f>
        <v/>
      </c>
    </row>
    <row r="92">
      <c r="A92" s="10" t="n">
        <v>45714</v>
      </c>
      <c r="B92" s="11" t="n">
        <v>9361694444</v>
      </c>
      <c r="C92" s="11" t="n"/>
      <c r="D92" s="12" t="n">
        <v>163029559</v>
      </c>
      <c r="E92" s="11" t="n"/>
      <c r="N92" s="12" t="n">
        <v>2179082</v>
      </c>
      <c r="O92" s="11" t="n"/>
      <c r="P92" s="12" t="n">
        <v>36925</v>
      </c>
      <c r="Q92" s="11" t="n"/>
      <c r="R92" s="21">
        <f>N92+O92+P92+N(Q92)</f>
        <v/>
      </c>
      <c r="S92" s="13" t="n">
        <v>0.03</v>
      </c>
      <c r="T92" s="21">
        <f>N(AC92)*S92</f>
        <v/>
      </c>
      <c r="U92" s="21">
        <f>N(AD92)*S92</f>
        <v/>
      </c>
      <c r="V92" s="21">
        <f>N(AE92)*S92</f>
        <v/>
      </c>
      <c r="W92" s="21">
        <f>IF(Q92="","",N(AF92)*S92)</f>
        <v/>
      </c>
      <c r="X92" s="12" t="n">
        <v>0</v>
      </c>
      <c r="Y92" s="11" t="n"/>
      <c r="Z92" s="11" t="n"/>
      <c r="AA92" s="21">
        <f>T92+U92+V92+N(W92)+X92+Y92+N(Z92)</f>
        <v/>
      </c>
      <c r="AB92" s="11" t="n"/>
      <c r="AC92" s="12" t="n">
        <v>2113710</v>
      </c>
      <c r="AD92" s="21">
        <f>O92-Y92</f>
        <v/>
      </c>
      <c r="AE92" s="21">
        <f>P92-X92</f>
        <v/>
      </c>
      <c r="AF92" s="21">
        <f>IF(Q92="","",Q92-Z92)</f>
        <v/>
      </c>
      <c r="AG92" s="22">
        <f>AC92+AD92+AE92+N(AF92)</f>
        <v/>
      </c>
      <c r="AH92" s="23" t="n">
        <v>2149527</v>
      </c>
      <c r="AI92" s="24">
        <f>AG92-AH92</f>
        <v/>
      </c>
      <c r="AJ92" s="14">
        <f>IF(OR(B92="",B92=0,N92=""),"",N92/B92*10000)</f>
        <v/>
      </c>
      <c r="AK92" s="14">
        <f>IF(OR(C92="",C92=0),"",O92/C92*10000)</f>
        <v/>
      </c>
      <c r="AL92" s="14">
        <f>IF(OR(D92="",D92=0),"",P92/D92*10000)</f>
        <v/>
      </c>
      <c r="AM92" s="14">
        <f>IF(OR(E92="",E92=0),"",Q92/E92*10000)</f>
        <v/>
      </c>
      <c r="AN92" s="11" t="n">
        <v>0</v>
      </c>
      <c r="AO92" s="11" t="n">
        <v>0</v>
      </c>
      <c r="AP92" s="21">
        <f>AH92+AN92+AO92</f>
        <v/>
      </c>
      <c r="AQ92" s="21">
        <f>AH92</f>
        <v/>
      </c>
      <c r="AR92" s="25" t="n">
        <v>206273.870000001</v>
      </c>
      <c r="AS92" s="26" t="n">
        <v>20.19</v>
      </c>
      <c r="AT92" s="15" t="n">
        <v>15640861.3</v>
      </c>
      <c r="AU92" s="15" t="n">
        <v>26402.5399</v>
      </c>
      <c r="AV92" s="15" t="n">
        <v>2533.9117</v>
      </c>
      <c r="AW92" s="15" t="n"/>
      <c r="AX92" s="16" t="n">
        <v>422.613338073178</v>
      </c>
      <c r="AY92" s="13">
        <f>IF(OR(AX92="",AX92=0,AU92=""),"",AU92*365/(AX92*1000000))</f>
        <v/>
      </c>
      <c r="AZ92" s="15" t="n">
        <v>426503629.9828</v>
      </c>
      <c r="BA92" s="17" t="n">
        <v>60487233</v>
      </c>
      <c r="BB92" s="18" t="n">
        <v>15640861.3</v>
      </c>
      <c r="BC92" s="17" t="n">
        <v>2971663</v>
      </c>
      <c r="BD92" s="17">
        <f>1000000000-999833808.7876+0.0000</f>
        <v/>
      </c>
      <c r="BE92" s="19">
        <f>1000000000-AZ92-BA92-BB92-BC92-BD92</f>
        <v/>
      </c>
      <c r="BF92" s="20" t="n">
        <v>238</v>
      </c>
      <c r="BG92" s="20">
        <f>BE92/1000000-BF92</f>
        <v/>
      </c>
      <c r="BH92" s="21">
        <f>BE92*20.19</f>
        <v/>
      </c>
    </row>
    <row r="93">
      <c r="A93" s="10" t="n">
        <v>45715</v>
      </c>
      <c r="B93" s="11" t="n">
        <v>6796939579</v>
      </c>
      <c r="C93" s="11" t="n"/>
      <c r="D93" s="12" t="n">
        <v>214669060</v>
      </c>
      <c r="E93" s="11" t="n"/>
      <c r="N93" s="12" t="n">
        <v>1537557</v>
      </c>
      <c r="O93" s="11" t="n"/>
      <c r="P93" s="12" t="n">
        <v>21492</v>
      </c>
      <c r="Q93" s="11" t="n"/>
      <c r="R93" s="21">
        <f>N93+O93+P93+N(Q93)</f>
        <v/>
      </c>
      <c r="S93" s="13" t="n">
        <v>0.03</v>
      </c>
      <c r="T93" s="21">
        <f>N(AC93)*S93</f>
        <v/>
      </c>
      <c r="U93" s="21">
        <f>N(AD93)*S93</f>
        <v/>
      </c>
      <c r="V93" s="21">
        <f>N(AE93)*S93</f>
        <v/>
      </c>
      <c r="W93" s="21">
        <f>IF(Q93="","",N(AF93)*S93)</f>
        <v/>
      </c>
      <c r="X93" s="12" t="n">
        <v>0</v>
      </c>
      <c r="Y93" s="11" t="n"/>
      <c r="Z93" s="11" t="n"/>
      <c r="AA93" s="21">
        <f>T93+U93+V93+N(W93)+X93+Y93+N(Z93)</f>
        <v/>
      </c>
      <c r="AB93" s="11" t="n"/>
      <c r="AC93" s="12" t="n">
        <v>1491430</v>
      </c>
      <c r="AD93" s="21">
        <f>O93-Y93</f>
        <v/>
      </c>
      <c r="AE93" s="21">
        <f>P93-X93</f>
        <v/>
      </c>
      <c r="AF93" s="21">
        <f>IF(Q93="","",Q93-Z93)</f>
        <v/>
      </c>
      <c r="AG93" s="22">
        <f>AC93+AD93+AE93+N(AF93)</f>
        <v/>
      </c>
      <c r="AH93" s="23" t="n">
        <v>1512278</v>
      </c>
      <c r="AI93" s="24">
        <f>AG93-AH93</f>
        <v/>
      </c>
      <c r="AJ93" s="14">
        <f>IF(OR(B93="",B93=0,N93=""),"",N93/B93*10000)</f>
        <v/>
      </c>
      <c r="AK93" s="14">
        <f>IF(OR(C93="",C93=0),"",O93/C93*10000)</f>
        <v/>
      </c>
      <c r="AL93" s="14">
        <f>IF(OR(D93="",D93=0),"",P93/D93*10000)</f>
        <v/>
      </c>
      <c r="AM93" s="14">
        <f>IF(OR(E93="",E93=0),"",Q93/E93*10000)</f>
        <v/>
      </c>
      <c r="AN93" s="11" t="n">
        <v>0</v>
      </c>
      <c r="AO93" s="11" t="n">
        <v>0</v>
      </c>
      <c r="AP93" s="21">
        <f>AH93+AN93+AO93</f>
        <v/>
      </c>
      <c r="AQ93" s="21">
        <f>AH93</f>
        <v/>
      </c>
      <c r="AR93" s="25" t="n">
        <v>113214.7899999991</v>
      </c>
      <c r="AS93" s="26" t="n">
        <v>19.56</v>
      </c>
      <c r="AT93" s="15" t="n">
        <v>15754076.09</v>
      </c>
      <c r="AU93" s="15" t="n">
        <v>26370.7823</v>
      </c>
      <c r="AV93" s="15" t="n">
        <v>1291.9301</v>
      </c>
      <c r="AW93" s="15" t="n"/>
      <c r="AX93" s="16" t="n">
        <v>422.1010256210276</v>
      </c>
      <c r="AY93" s="13">
        <f>IF(OR(AX93="",AX93=0,AU93=""),"",AU93*365/(AX93*1000000))</f>
        <v/>
      </c>
      <c r="AZ93" s="15" t="n">
        <v>426477259.2005</v>
      </c>
      <c r="BA93" s="17" t="n">
        <v>60487233</v>
      </c>
      <c r="BB93" s="18" t="n">
        <v>15754076.09</v>
      </c>
      <c r="BC93" s="17" t="n">
        <v>2971663</v>
      </c>
      <c r="BD93" s="17">
        <f>1000000000-999832516.8574+0.0000</f>
        <v/>
      </c>
      <c r="BE93" s="19">
        <f>1000000000-AZ93-BA93-BB93-BC93-BD93</f>
        <v/>
      </c>
      <c r="BF93" s="20" t="n">
        <v>238</v>
      </c>
      <c r="BG93" s="20">
        <f>BE93/1000000-BF93</f>
        <v/>
      </c>
      <c r="BH93" s="21">
        <f>BE93*19.56</f>
        <v/>
      </c>
    </row>
    <row r="94">
      <c r="A94" s="10" t="n">
        <v>45716</v>
      </c>
      <c r="B94" s="11" t="n">
        <v>11157922813</v>
      </c>
      <c r="C94" s="11" t="n"/>
      <c r="D94" s="12" t="n">
        <v>87391052</v>
      </c>
      <c r="E94" s="11" t="n"/>
      <c r="N94" s="12" t="n">
        <v>2474574</v>
      </c>
      <c r="O94" s="11" t="n"/>
      <c r="P94" s="12" t="n">
        <v>33048</v>
      </c>
      <c r="Q94" s="11" t="n"/>
      <c r="R94" s="21">
        <f>N94+O94+P94+N(Q94)</f>
        <v/>
      </c>
      <c r="S94" s="13" t="n">
        <v>0.03</v>
      </c>
      <c r="T94" s="21">
        <f>N(AC94)*S94</f>
        <v/>
      </c>
      <c r="U94" s="21">
        <f>N(AD94)*S94</f>
        <v/>
      </c>
      <c r="V94" s="21">
        <f>N(AE94)*S94</f>
        <v/>
      </c>
      <c r="W94" s="21">
        <f>IF(Q94="","",N(AF94)*S94)</f>
        <v/>
      </c>
      <c r="X94" s="12" t="n">
        <v>0</v>
      </c>
      <c r="Y94" s="11" t="n"/>
      <c r="Z94" s="11" t="n"/>
      <c r="AA94" s="21">
        <f>T94+U94+V94+N(W94)+X94+Y94+N(Z94)</f>
        <v/>
      </c>
      <c r="AB94" s="11" t="n"/>
      <c r="AC94" s="12" t="n">
        <v>2400337</v>
      </c>
      <c r="AD94" s="21">
        <f>O94-Y94</f>
        <v/>
      </c>
      <c r="AE94" s="21">
        <f>P94-X94</f>
        <v/>
      </c>
      <c r="AF94" s="21">
        <f>IF(Q94="","",Q94-Z94)</f>
        <v/>
      </c>
      <c r="AG94" s="22">
        <f>AC94+AD94+AE94+N(AF94)</f>
        <v/>
      </c>
      <c r="AH94" s="23" t="n">
        <v>2432393</v>
      </c>
      <c r="AI94" s="24">
        <f>AG94-AH94</f>
        <v/>
      </c>
      <c r="AJ94" s="14">
        <f>IF(OR(B94="",B94=0,N94=""),"",N94/B94*10000)</f>
        <v/>
      </c>
      <c r="AK94" s="14">
        <f>IF(OR(C94="",C94=0),"",O94/C94*10000)</f>
        <v/>
      </c>
      <c r="AL94" s="14">
        <f>IF(OR(D94="",D94=0),"",P94/D94*10000)</f>
        <v/>
      </c>
      <c r="AM94" s="14">
        <f>IF(OR(E94="",E94=0),"",Q94/E94*10000)</f>
        <v/>
      </c>
      <c r="AN94" s="11" t="n">
        <v>0</v>
      </c>
      <c r="AO94" s="11" t="n">
        <v>0</v>
      </c>
      <c r="AP94" s="21">
        <f>AH94+AN94+AO94</f>
        <v/>
      </c>
      <c r="AQ94" s="21">
        <f>AH94</f>
        <v/>
      </c>
      <c r="AR94" s="25" t="n">
        <v>109659.9700000007</v>
      </c>
      <c r="AS94" s="26" t="n">
        <v>20.87</v>
      </c>
      <c r="AT94" s="15" t="n">
        <v>15863736.06</v>
      </c>
      <c r="AU94" s="15" t="n">
        <v>26389.8779</v>
      </c>
      <c r="AV94" s="15" t="n">
        <v>800.0368999999999</v>
      </c>
      <c r="AW94" s="15" t="n"/>
      <c r="AX94" s="16" t="n">
        <v>421.8219040693746</v>
      </c>
      <c r="AY94" s="13">
        <f>IF(OR(AX94="",AX94=0,AU94=""),"",AU94*365/(AX94*1000000))</f>
        <v/>
      </c>
      <c r="AZ94" s="15" t="n">
        <v>426450869.3226</v>
      </c>
      <c r="BA94" s="17" t="n">
        <v>60487233</v>
      </c>
      <c r="BB94" s="18" t="n">
        <v>15863736.06</v>
      </c>
      <c r="BC94" s="17" t="n">
        <v>2971663</v>
      </c>
      <c r="BD94" s="17">
        <f>1000000000-999831716.8206+0.0000</f>
        <v/>
      </c>
      <c r="BE94" s="19">
        <f>1000000000-AZ94-BA94-BB94-BC94-BD94</f>
        <v/>
      </c>
      <c r="BF94" s="20" t="n">
        <v>238</v>
      </c>
      <c r="BG94" s="20">
        <f>BE94/1000000-BF94</f>
        <v/>
      </c>
      <c r="BH94" s="21">
        <f>BE94*20.87</f>
        <v/>
      </c>
    </row>
    <row r="95">
      <c r="A95" s="10" t="n">
        <v>45717</v>
      </c>
      <c r="B95" s="11" t="n">
        <v>4300489523</v>
      </c>
      <c r="C95" s="11" t="n"/>
      <c r="D95" s="12" t="n">
        <v>230865213</v>
      </c>
      <c r="E95" s="11" t="n"/>
      <c r="N95" s="12" t="n">
        <v>1004215</v>
      </c>
      <c r="O95" s="11" t="n"/>
      <c r="P95" s="12" t="n">
        <v>12337</v>
      </c>
      <c r="Q95" s="11" t="n"/>
      <c r="R95" s="21">
        <f>N95+O95+P95+N(Q95)</f>
        <v/>
      </c>
      <c r="S95" s="13" t="n">
        <v>0.03</v>
      </c>
      <c r="T95" s="21">
        <f>N(AC95)*S95</f>
        <v/>
      </c>
      <c r="U95" s="21">
        <f>N(AD95)*S95</f>
        <v/>
      </c>
      <c r="V95" s="21">
        <f>N(AE95)*S95</f>
        <v/>
      </c>
      <c r="W95" s="21">
        <f>IF(Q95="","",N(AF95)*S95)</f>
        <v/>
      </c>
      <c r="X95" s="12" t="n">
        <v>0</v>
      </c>
      <c r="Y95" s="11" t="n"/>
      <c r="Z95" s="11" t="n"/>
      <c r="AA95" s="21">
        <f>T95+U95+V95+N(W95)+X95+Y95+N(Z95)</f>
        <v/>
      </c>
      <c r="AB95" s="11" t="n"/>
      <c r="AC95" s="12" t="n">
        <v>974089</v>
      </c>
      <c r="AD95" s="21">
        <f>O95-Y95</f>
        <v/>
      </c>
      <c r="AE95" s="21">
        <f>P95-X95</f>
        <v/>
      </c>
      <c r="AF95" s="21">
        <f>IF(Q95="","",Q95-Z95)</f>
        <v/>
      </c>
      <c r="AG95" s="22">
        <f>AC95+AD95+AE95+N(AF95)</f>
        <v/>
      </c>
      <c r="AH95" s="23" t="n">
        <v>986055</v>
      </c>
      <c r="AI95" s="24">
        <f>AG95-AH95</f>
        <v/>
      </c>
      <c r="AJ95" s="14">
        <f>IF(OR(B95="",B95=0,N95=""),"",N95/B95*10000)</f>
        <v/>
      </c>
      <c r="AK95" s="14">
        <f>IF(OR(C95="",C95=0),"",O95/C95*10000)</f>
        <v/>
      </c>
      <c r="AL95" s="14">
        <f>IF(OR(D95="",D95=0),"",P95/D95*10000)</f>
        <v/>
      </c>
      <c r="AM95" s="14">
        <f>IF(OR(E95="",E95=0),"",Q95/E95*10000)</f>
        <v/>
      </c>
      <c r="AN95" s="11" t="n">
        <v>0</v>
      </c>
      <c r="AO95" s="11" t="n">
        <v>0</v>
      </c>
      <c r="AP95" s="21">
        <f>AH95+AN95+AO95</f>
        <v/>
      </c>
      <c r="AQ95" s="21">
        <f>AH95</f>
        <v/>
      </c>
      <c r="AR95" s="25" t="n">
        <v>92064.69999999925</v>
      </c>
      <c r="AS95" s="26" t="n">
        <v>19.95</v>
      </c>
      <c r="AT95" s="15" t="n">
        <v>15955800.76</v>
      </c>
      <c r="AU95" s="15" t="n">
        <v>26354.4325</v>
      </c>
      <c r="AV95" s="15" t="n">
        <v>1113.9076</v>
      </c>
      <c r="AW95" s="15" t="n"/>
      <c r="AX95" s="16" t="n">
        <v>421.2724189243295</v>
      </c>
      <c r="AY95" s="13">
        <f>IF(OR(AX95="",AX95=0,AU95=""),"",AU95*365/(AX95*1000000))</f>
        <v/>
      </c>
      <c r="AZ95" s="15" t="n">
        <v>426424514.8901</v>
      </c>
      <c r="BA95" s="17" t="n">
        <v>60487233</v>
      </c>
      <c r="BB95" s="18" t="n">
        <v>15955800.76</v>
      </c>
      <c r="BC95" s="17" t="n">
        <v>2971663</v>
      </c>
      <c r="BD95" s="17">
        <f>1000000000-999830602.913+0.0000</f>
        <v/>
      </c>
      <c r="BE95" s="19">
        <f>1000000000-AZ95-BA95-BB95-BC95-BD95</f>
        <v/>
      </c>
      <c r="BF95" s="20" t="n">
        <v>238</v>
      </c>
      <c r="BG95" s="20">
        <f>BE95/1000000-BF95</f>
        <v/>
      </c>
      <c r="BH95" s="21">
        <f>BE95*19.95</f>
        <v/>
      </c>
    </row>
    <row r="96">
      <c r="A96" s="10" t="n">
        <v>45718</v>
      </c>
      <c r="B96" s="11" t="n">
        <v>11125716133</v>
      </c>
      <c r="C96" s="11" t="n"/>
      <c r="D96" s="12" t="n">
        <v>260215664</v>
      </c>
      <c r="E96" s="11" t="n"/>
      <c r="N96" s="12" t="n">
        <v>2590972</v>
      </c>
      <c r="O96" s="11" t="n"/>
      <c r="P96" s="12" t="n">
        <v>31229</v>
      </c>
      <c r="Q96" s="11" t="n"/>
      <c r="R96" s="21">
        <f>N96+O96+P96+N(Q96)</f>
        <v/>
      </c>
      <c r="S96" s="13" t="n">
        <v>0.03</v>
      </c>
      <c r="T96" s="21">
        <f>N(AC96)*S96</f>
        <v/>
      </c>
      <c r="U96" s="21">
        <f>N(AD96)*S96</f>
        <v/>
      </c>
      <c r="V96" s="21">
        <f>N(AE96)*S96</f>
        <v/>
      </c>
      <c r="W96" s="21">
        <f>IF(Q96="","",N(AF96)*S96)</f>
        <v/>
      </c>
      <c r="X96" s="12" t="n">
        <v>0</v>
      </c>
      <c r="Y96" s="11" t="n"/>
      <c r="Z96" s="11" t="n"/>
      <c r="AA96" s="21">
        <f>T96+U96+V96+N(W96)+X96+Y96+N(Z96)</f>
        <v/>
      </c>
      <c r="AB96" s="11" t="n"/>
      <c r="AC96" s="12" t="n">
        <v>2513243</v>
      </c>
      <c r="AD96" s="21">
        <f>O96-Y96</f>
        <v/>
      </c>
      <c r="AE96" s="21">
        <f>P96-X96</f>
        <v/>
      </c>
      <c r="AF96" s="21">
        <f>IF(Q96="","",Q96-Z96)</f>
        <v/>
      </c>
      <c r="AG96" s="22">
        <f>AC96+AD96+AE96+N(AF96)</f>
        <v/>
      </c>
      <c r="AH96" s="23" t="n">
        <v>2543535</v>
      </c>
      <c r="AI96" s="24">
        <f>AG96-AH96</f>
        <v/>
      </c>
      <c r="AJ96" s="14">
        <f>IF(OR(B96="",B96=0,N96=""),"",N96/B96*10000)</f>
        <v/>
      </c>
      <c r="AK96" s="14">
        <f>IF(OR(C96="",C96=0),"",O96/C96*10000)</f>
        <v/>
      </c>
      <c r="AL96" s="14">
        <f>IF(OR(D96="",D96=0),"",P96/D96*10000)</f>
        <v/>
      </c>
      <c r="AM96" s="14">
        <f>IF(OR(E96="",E96=0),"",Q96/E96*10000)</f>
        <v/>
      </c>
      <c r="AN96" s="11" t="n">
        <v>0</v>
      </c>
      <c r="AO96" s="11" t="n">
        <v>0</v>
      </c>
      <c r="AP96" s="21">
        <f>AH96+AN96+AO96</f>
        <v/>
      </c>
      <c r="AQ96" s="21">
        <f>AH96</f>
        <v/>
      </c>
      <c r="AR96" s="25" t="n">
        <v>42507.70000000112</v>
      </c>
      <c r="AS96" s="26" t="n">
        <v>19.6</v>
      </c>
      <c r="AT96" s="15" t="n">
        <v>15998308.46</v>
      </c>
      <c r="AU96" s="15" t="n">
        <v>26347.5556</v>
      </c>
      <c r="AV96" s="15" t="n">
        <v>456.8228</v>
      </c>
      <c r="AW96" s="15" t="n"/>
      <c r="AX96" s="16" t="n">
        <v>421.3277738048099</v>
      </c>
      <c r="AY96" s="13">
        <f>IF(OR(AX96="",AX96=0,AU96=""),"",AU96*365/(AX96*1000000))</f>
        <v/>
      </c>
      <c r="AZ96" s="15" t="n">
        <v>426398167.3346</v>
      </c>
      <c r="BA96" s="17" t="n">
        <v>60487233</v>
      </c>
      <c r="BB96" s="18" t="n">
        <v>15998308.46</v>
      </c>
      <c r="BC96" s="17" t="n">
        <v>2971663</v>
      </c>
      <c r="BD96" s="17">
        <f>1000000000-999830146.0902+0.0000</f>
        <v/>
      </c>
      <c r="BE96" s="19">
        <f>1000000000-AZ96-BA96-BB96-BC96-BD96</f>
        <v/>
      </c>
      <c r="BF96" s="20" t="n">
        <v>238</v>
      </c>
      <c r="BG96" s="20">
        <f>BE96/1000000-BF96</f>
        <v/>
      </c>
      <c r="BH96" s="21">
        <f>BE96*19.6</f>
        <v/>
      </c>
    </row>
    <row r="97">
      <c r="A97" s="10" t="n">
        <v>45719</v>
      </c>
      <c r="B97" s="11" t="n">
        <v>11687296549</v>
      </c>
      <c r="C97" s="11" t="n"/>
      <c r="D97" s="12" t="n">
        <v>277747349</v>
      </c>
      <c r="E97" s="11" t="n"/>
      <c r="N97" s="12" t="n">
        <v>2348731</v>
      </c>
      <c r="O97" s="11" t="n"/>
      <c r="P97" s="12" t="n">
        <v>31999</v>
      </c>
      <c r="Q97" s="11" t="n"/>
      <c r="R97" s="21">
        <f>N97+O97+P97+N(Q97)</f>
        <v/>
      </c>
      <c r="S97" s="13" t="n">
        <v>0.03</v>
      </c>
      <c r="T97" s="21">
        <f>N(AC97)*S97</f>
        <v/>
      </c>
      <c r="U97" s="21">
        <f>N(AD97)*S97</f>
        <v/>
      </c>
      <c r="V97" s="21">
        <f>N(AE97)*S97</f>
        <v/>
      </c>
      <c r="W97" s="21">
        <f>IF(Q97="","",N(AF97)*S97)</f>
        <v/>
      </c>
      <c r="X97" s="12" t="n">
        <v>0</v>
      </c>
      <c r="Y97" s="11" t="n"/>
      <c r="Z97" s="11" t="n"/>
      <c r="AA97" s="21">
        <f>T97+U97+V97+N(W97)+X97+Y97+N(Z97)</f>
        <v/>
      </c>
      <c r="AB97" s="11" t="n"/>
      <c r="AC97" s="12" t="n">
        <v>2278269</v>
      </c>
      <c r="AD97" s="21">
        <f>O97-Y97</f>
        <v/>
      </c>
      <c r="AE97" s="21">
        <f>P97-X97</f>
        <v/>
      </c>
      <c r="AF97" s="21">
        <f>IF(Q97="","",Q97-Z97)</f>
        <v/>
      </c>
      <c r="AG97" s="22">
        <f>AC97+AD97+AE97+N(AF97)</f>
        <v/>
      </c>
      <c r="AH97" s="23" t="n">
        <v>2309308</v>
      </c>
      <c r="AI97" s="24">
        <f>AG97-AH97</f>
        <v/>
      </c>
      <c r="AJ97" s="14">
        <f>IF(OR(B97="",B97=0,N97=""),"",N97/B97*10000)</f>
        <v/>
      </c>
      <c r="AK97" s="14">
        <f>IF(OR(C97="",C97=0),"",O97/C97*10000)</f>
        <v/>
      </c>
      <c r="AL97" s="14">
        <f>IF(OR(D97="",D97=0),"",P97/D97*10000)</f>
        <v/>
      </c>
      <c r="AM97" s="14">
        <f>IF(OR(E97="",E97=0),"",Q97/E97*10000)</f>
        <v/>
      </c>
      <c r="AN97" s="11" t="n">
        <v>0</v>
      </c>
      <c r="AO97" s="11" t="n">
        <v>0</v>
      </c>
      <c r="AP97" s="21">
        <f>AH97+AN97+AO97</f>
        <v/>
      </c>
      <c r="AQ97" s="21">
        <f>AH97</f>
        <v/>
      </c>
      <c r="AR97" s="25" t="n">
        <v>156706.3299999982</v>
      </c>
      <c r="AS97" s="26" t="n">
        <v>20.53</v>
      </c>
      <c r="AT97" s="15" t="n">
        <v>16155014.79</v>
      </c>
      <c r="AU97" s="15" t="n">
        <v>26343.6937</v>
      </c>
      <c r="AV97" s="15" t="n">
        <v>1076.7938</v>
      </c>
      <c r="AW97" s="15" t="n"/>
      <c r="AX97" s="16" t="n">
        <v>420.6156096262877</v>
      </c>
      <c r="AY97" s="13">
        <f>IF(OR(AX97="",AX97=0,AU97=""),"",AU97*365/(AX97*1000000))</f>
        <v/>
      </c>
      <c r="AZ97" s="15" t="n">
        <v>426371823.6408</v>
      </c>
      <c r="BA97" s="17" t="n">
        <v>60487233</v>
      </c>
      <c r="BB97" s="18" t="n">
        <v>16155014.79</v>
      </c>
      <c r="BC97" s="17" t="n">
        <v>2971663</v>
      </c>
      <c r="BD97" s="17">
        <f>1000000000-999829069.2964+0.0000</f>
        <v/>
      </c>
      <c r="BE97" s="19">
        <f>1000000000-AZ97-BA97-BB97-BC97-BD97</f>
        <v/>
      </c>
      <c r="BF97" s="20" t="n">
        <v>238</v>
      </c>
      <c r="BG97" s="20">
        <f>BE97/1000000-BF97</f>
        <v/>
      </c>
      <c r="BH97" s="21">
        <f>BE97*20.53</f>
        <v/>
      </c>
    </row>
    <row r="98">
      <c r="A98" s="10" t="n">
        <v>45720</v>
      </c>
      <c r="B98" s="11" t="n">
        <v>10923024322</v>
      </c>
      <c r="C98" s="11" t="n"/>
      <c r="D98" s="12" t="n">
        <v>143679985</v>
      </c>
      <c r="E98" s="11" t="n"/>
      <c r="N98" s="12" t="n">
        <v>2789913</v>
      </c>
      <c r="O98" s="11" t="n"/>
      <c r="P98" s="12" t="n">
        <v>47916</v>
      </c>
      <c r="Q98" s="11" t="n"/>
      <c r="R98" s="21">
        <f>N98+O98+P98+N(Q98)</f>
        <v/>
      </c>
      <c r="S98" s="13" t="n">
        <v>0.03</v>
      </c>
      <c r="T98" s="21">
        <f>N(AC98)*S98</f>
        <v/>
      </c>
      <c r="U98" s="21">
        <f>N(AD98)*S98</f>
        <v/>
      </c>
      <c r="V98" s="21">
        <f>N(AE98)*S98</f>
        <v/>
      </c>
      <c r="W98" s="21">
        <f>IF(Q98="","",N(AF98)*S98)</f>
        <v/>
      </c>
      <c r="X98" s="12" t="n">
        <v>0</v>
      </c>
      <c r="Y98" s="11" t="n"/>
      <c r="Z98" s="11" t="n"/>
      <c r="AA98" s="21">
        <f>T98+U98+V98+N(W98)+X98+Y98+N(Z98)</f>
        <v/>
      </c>
      <c r="AB98" s="11" t="n"/>
      <c r="AC98" s="12" t="n">
        <v>2706216</v>
      </c>
      <c r="AD98" s="21">
        <f>O98-Y98</f>
        <v/>
      </c>
      <c r="AE98" s="21">
        <f>P98-X98</f>
        <v/>
      </c>
      <c r="AF98" s="21">
        <f>IF(Q98="","",Q98-Z98)</f>
        <v/>
      </c>
      <c r="AG98" s="22">
        <f>AC98+AD98+AE98+N(AF98)</f>
        <v/>
      </c>
      <c r="AH98" s="23" t="n">
        <v>2752695</v>
      </c>
      <c r="AI98" s="24">
        <f>AG98-AH98</f>
        <v/>
      </c>
      <c r="AJ98" s="14">
        <f>IF(OR(B98="",B98=0,N98=""),"",N98/B98*10000)</f>
        <v/>
      </c>
      <c r="AK98" s="14">
        <f>IF(OR(C98="",C98=0),"",O98/C98*10000)</f>
        <v/>
      </c>
      <c r="AL98" s="14">
        <f>IF(OR(D98="",D98=0),"",P98/D98*10000)</f>
        <v/>
      </c>
      <c r="AM98" s="14">
        <f>IF(OR(E98="",E98=0),"",Q98/E98*10000)</f>
        <v/>
      </c>
      <c r="AN98" s="11" t="n">
        <v>0</v>
      </c>
      <c r="AO98" s="11" t="n">
        <v>0</v>
      </c>
      <c r="AP98" s="21">
        <f>AH98+AN98+AO98</f>
        <v/>
      </c>
      <c r="AQ98" s="21">
        <f>AH98</f>
        <v/>
      </c>
      <c r="AR98" s="25" t="n">
        <v>157081.7700000014</v>
      </c>
      <c r="AS98" s="26" t="n">
        <v>17.88</v>
      </c>
      <c r="AT98" s="15" t="n">
        <v>16312096.56</v>
      </c>
      <c r="AU98" s="15" t="n">
        <v>26300.1912</v>
      </c>
      <c r="AV98" s="15" t="n">
        <v>1191.9757</v>
      </c>
      <c r="AW98" s="15" t="n"/>
      <c r="AX98" s="16" t="n">
        <v>419.7284837102807</v>
      </c>
      <c r="AY98" s="13">
        <f>IF(OR(AX98="",AX98=0,AU98=""),"",AU98*365/(AX98*1000000))</f>
        <v/>
      </c>
      <c r="AZ98" s="15" t="n">
        <v>426345523.4496</v>
      </c>
      <c r="BA98" s="17" t="n">
        <v>60487233</v>
      </c>
      <c r="BB98" s="18" t="n">
        <v>16312096.56</v>
      </c>
      <c r="BC98" s="17" t="n">
        <v>2971663</v>
      </c>
      <c r="BD98" s="17">
        <f>1000000000-999827877.3207+0.0000</f>
        <v/>
      </c>
      <c r="BE98" s="19">
        <f>1000000000-AZ98-BA98-BB98-BC98-BD98</f>
        <v/>
      </c>
      <c r="BF98" s="20" t="n">
        <v>238</v>
      </c>
      <c r="BG98" s="20">
        <f>BE98/1000000-BF98</f>
        <v/>
      </c>
      <c r="BH98" s="21">
        <f>BE98*17.88</f>
        <v/>
      </c>
    </row>
    <row r="99">
      <c r="A99" s="10" t="n">
        <v>45721</v>
      </c>
      <c r="B99" s="11" t="n">
        <v>6393102152</v>
      </c>
      <c r="C99" s="11" t="n"/>
      <c r="D99" s="12" t="n">
        <v>171189803</v>
      </c>
      <c r="E99" s="11" t="n"/>
      <c r="N99" s="12" t="n">
        <v>1450674</v>
      </c>
      <c r="O99" s="11" t="n"/>
      <c r="P99" s="12" t="n">
        <v>20047</v>
      </c>
      <c r="Q99" s="11" t="n"/>
      <c r="R99" s="21">
        <f>N99+O99+P99+N(Q99)</f>
        <v/>
      </c>
      <c r="S99" s="13" t="n">
        <v>0.03</v>
      </c>
      <c r="T99" s="21">
        <f>N(AC99)*S99</f>
        <v/>
      </c>
      <c r="U99" s="21">
        <f>N(AD99)*S99</f>
        <v/>
      </c>
      <c r="V99" s="21">
        <f>N(AE99)*S99</f>
        <v/>
      </c>
      <c r="W99" s="21">
        <f>IF(Q99="","",N(AF99)*S99)</f>
        <v/>
      </c>
      <c r="X99" s="12" t="n">
        <v>0</v>
      </c>
      <c r="Y99" s="11" t="n"/>
      <c r="Z99" s="11" t="n"/>
      <c r="AA99" s="21">
        <f>T99+U99+V99+N(W99)+X99+Y99+N(Z99)</f>
        <v/>
      </c>
      <c r="AB99" s="11" t="n"/>
      <c r="AC99" s="12" t="n">
        <v>1407154</v>
      </c>
      <c r="AD99" s="21">
        <f>O99-Y99</f>
        <v/>
      </c>
      <c r="AE99" s="21">
        <f>P99-X99</f>
        <v/>
      </c>
      <c r="AF99" s="21">
        <f>IF(Q99="","",Q99-Z99)</f>
        <v/>
      </c>
      <c r="AG99" s="22">
        <f>AC99+AD99+AE99+N(AF99)</f>
        <v/>
      </c>
      <c r="AH99" s="23" t="n">
        <v>1426600</v>
      </c>
      <c r="AI99" s="24">
        <f>AG99-AH99</f>
        <v/>
      </c>
      <c r="AJ99" s="14">
        <f>IF(OR(B99="",B99=0,N99=""),"",N99/B99*10000)</f>
        <v/>
      </c>
      <c r="AK99" s="14">
        <f>IF(OR(C99="",C99=0),"",O99/C99*10000)</f>
        <v/>
      </c>
      <c r="AL99" s="14">
        <f>IF(OR(D99="",D99=0),"",P99/D99*10000)</f>
        <v/>
      </c>
      <c r="AM99" s="14">
        <f>IF(OR(E99="",E99=0),"",Q99/E99*10000)</f>
        <v/>
      </c>
      <c r="AN99" s="11" t="n">
        <v>0</v>
      </c>
      <c r="AO99" s="11" t="n">
        <v>0</v>
      </c>
      <c r="AP99" s="21">
        <f>AH99+AN99+AO99</f>
        <v/>
      </c>
      <c r="AQ99" s="21">
        <f>AH99</f>
        <v/>
      </c>
      <c r="AR99" s="25" t="n">
        <v>117418.2899999991</v>
      </c>
      <c r="AS99" s="26" t="n">
        <v>17.09</v>
      </c>
      <c r="AT99" s="15" t="n">
        <v>16429514.85</v>
      </c>
      <c r="AU99" s="15" t="n">
        <v>26023.1564</v>
      </c>
      <c r="AV99" s="15" t="n">
        <v>2036.1675</v>
      </c>
      <c r="AW99" s="15" t="n"/>
      <c r="AX99" s="16" t="n">
        <v>418.2836383000939</v>
      </c>
      <c r="AY99" s="13">
        <f>IF(OR(AX99="",AX99=0,AU99=""),"",AU99*365/(AX99*1000000))</f>
        <v/>
      </c>
      <c r="AZ99" s="15" t="n">
        <v>426319500.2932</v>
      </c>
      <c r="BA99" s="17" t="n">
        <v>60487233</v>
      </c>
      <c r="BB99" s="18" t="n">
        <v>16429514.85</v>
      </c>
      <c r="BC99" s="17" t="n">
        <v>2971663</v>
      </c>
      <c r="BD99" s="17">
        <f>1000000000-999825841.1532+0.0000</f>
        <v/>
      </c>
      <c r="BE99" s="19">
        <f>1000000000-AZ99-BA99-BB99-BC99-BD99</f>
        <v/>
      </c>
      <c r="BF99" s="20" t="n">
        <v>238</v>
      </c>
      <c r="BG99" s="20">
        <f>BE99/1000000-BF99</f>
        <v/>
      </c>
      <c r="BH99" s="21">
        <f>BE99*17.09</f>
        <v/>
      </c>
    </row>
    <row r="100">
      <c r="A100" s="10" t="n">
        <v>45722</v>
      </c>
      <c r="B100" s="11" t="n">
        <v>6898925844</v>
      </c>
      <c r="C100" s="11" t="n"/>
      <c r="D100" s="12" t="n">
        <v>199378699</v>
      </c>
      <c r="E100" s="11" t="n"/>
      <c r="N100" s="12" t="n">
        <v>1566336</v>
      </c>
      <c r="O100" s="11" t="n"/>
      <c r="P100" s="12" t="n">
        <v>24157</v>
      </c>
      <c r="Q100" s="11" t="n"/>
      <c r="R100" s="21">
        <f>N100+O100+P100+N(Q100)</f>
        <v/>
      </c>
      <c r="S100" s="13" t="n">
        <v>0.03</v>
      </c>
      <c r="T100" s="21">
        <f>N(AC100)*S100</f>
        <v/>
      </c>
      <c r="U100" s="21">
        <f>N(AD100)*S100</f>
        <v/>
      </c>
      <c r="V100" s="21">
        <f>N(AE100)*S100</f>
        <v/>
      </c>
      <c r="W100" s="21">
        <f>IF(Q100="","",N(AF100)*S100)</f>
        <v/>
      </c>
      <c r="X100" s="12" t="n">
        <v>0</v>
      </c>
      <c r="Y100" s="11" t="n"/>
      <c r="Z100" s="11" t="n"/>
      <c r="AA100" s="21">
        <f>T100+U100+V100+N(W100)+X100+Y100+N(Z100)</f>
        <v/>
      </c>
      <c r="AB100" s="11" t="n"/>
      <c r="AC100" s="12" t="n">
        <v>1519346</v>
      </c>
      <c r="AD100" s="21">
        <f>O100-Y100</f>
        <v/>
      </c>
      <c r="AE100" s="21">
        <f>P100-X100</f>
        <v/>
      </c>
      <c r="AF100" s="21">
        <f>IF(Q100="","",Q100-Z100)</f>
        <v/>
      </c>
      <c r="AG100" s="22">
        <f>AC100+AD100+AE100+N(AF100)</f>
        <v/>
      </c>
      <c r="AH100" s="23" t="n">
        <v>1542778</v>
      </c>
      <c r="AI100" s="24">
        <f>AG100-AH100</f>
        <v/>
      </c>
      <c r="AJ100" s="14">
        <f>IF(OR(B100="",B100=0,N100=""),"",N100/B100*10000)</f>
        <v/>
      </c>
      <c r="AK100" s="14">
        <f>IF(OR(C100="",C100=0),"",O100/C100*10000)</f>
        <v/>
      </c>
      <c r="AL100" s="14">
        <f>IF(OR(D100="",D100=0),"",P100/D100*10000)</f>
        <v/>
      </c>
      <c r="AM100" s="14">
        <f>IF(OR(E100="",E100=0),"",Q100/E100*10000)</f>
        <v/>
      </c>
      <c r="AN100" s="11" t="n">
        <v>0</v>
      </c>
      <c r="AO100" s="11" t="n">
        <v>0</v>
      </c>
      <c r="AP100" s="21">
        <f>AH100+AN100+AO100</f>
        <v/>
      </c>
      <c r="AQ100" s="21">
        <f>AH100</f>
        <v/>
      </c>
      <c r="AR100" s="25" t="n">
        <v>82700.41000000015</v>
      </c>
      <c r="AS100" s="26" t="n">
        <v>17.18</v>
      </c>
      <c r="AT100" s="15" t="n">
        <v>16512215.26</v>
      </c>
      <c r="AU100" s="15" t="n">
        <v>26246.193</v>
      </c>
      <c r="AV100" s="15" t="n">
        <v>835.7671</v>
      </c>
      <c r="AW100" s="15" t="n"/>
      <c r="AX100" s="16" t="n">
        <v>418.4236803070444</v>
      </c>
      <c r="AY100" s="13">
        <f>IF(OR(AX100="",AX100=0,AU100=""),"",AU100*365/(AX100*1000000))</f>
        <v/>
      </c>
      <c r="AZ100" s="15" t="n">
        <v>426293254.1002</v>
      </c>
      <c r="BA100" s="17" t="n">
        <v>60487233</v>
      </c>
      <c r="BB100" s="18" t="n">
        <v>16512215.26</v>
      </c>
      <c r="BC100" s="17" t="n">
        <v>2971663</v>
      </c>
      <c r="BD100" s="17">
        <f>1000000000-999825005.3861+0.0000</f>
        <v/>
      </c>
      <c r="BE100" s="19">
        <f>1000000000-AZ100-BA100-BB100-BC100-BD100</f>
        <v/>
      </c>
      <c r="BF100" s="20" t="n">
        <v>238</v>
      </c>
      <c r="BG100" s="20">
        <f>BE100/1000000-BF100</f>
        <v/>
      </c>
      <c r="BH100" s="21">
        <f>BE100*17.18</f>
        <v/>
      </c>
    </row>
    <row r="101">
      <c r="A101" s="10" t="n">
        <v>45723</v>
      </c>
      <c r="B101" s="11" t="n">
        <v>10328312159</v>
      </c>
      <c r="C101" s="11" t="n"/>
      <c r="D101" s="12" t="n">
        <v>149081874</v>
      </c>
      <c r="E101" s="11" t="n"/>
      <c r="N101" s="12" t="n">
        <v>2332222</v>
      </c>
      <c r="O101" s="11" t="n"/>
      <c r="P101" s="12" t="n">
        <v>23676</v>
      </c>
      <c r="Q101" s="11" t="n"/>
      <c r="R101" s="21">
        <f>N101+O101+P101+N(Q101)</f>
        <v/>
      </c>
      <c r="S101" s="13" t="n">
        <v>0.03</v>
      </c>
      <c r="T101" s="21">
        <f>N(AC101)*S101</f>
        <v/>
      </c>
      <c r="U101" s="21">
        <f>N(AD101)*S101</f>
        <v/>
      </c>
      <c r="V101" s="21">
        <f>N(AE101)*S101</f>
        <v/>
      </c>
      <c r="W101" s="21">
        <f>IF(Q101="","",N(AF101)*S101)</f>
        <v/>
      </c>
      <c r="X101" s="12" t="n">
        <v>0</v>
      </c>
      <c r="Y101" s="11" t="n"/>
      <c r="Z101" s="11" t="n"/>
      <c r="AA101" s="21">
        <f>T101+U101+V101+N(W101)+X101+Y101+N(Z101)</f>
        <v/>
      </c>
      <c r="AB101" s="11" t="n"/>
      <c r="AC101" s="12" t="n">
        <v>2262255</v>
      </c>
      <c r="AD101" s="21">
        <f>O101-Y101</f>
        <v/>
      </c>
      <c r="AE101" s="21">
        <f>P101-X101</f>
        <v/>
      </c>
      <c r="AF101" s="21">
        <f>IF(Q101="","",Q101-Z101)</f>
        <v/>
      </c>
      <c r="AG101" s="22">
        <f>AC101+AD101+AE101+N(AF101)</f>
        <v/>
      </c>
      <c r="AH101" s="23" t="n">
        <v>2285221</v>
      </c>
      <c r="AI101" s="24">
        <f>AG101-AH101</f>
        <v/>
      </c>
      <c r="AJ101" s="14">
        <f>IF(OR(B101="",B101=0,N101=""),"",N101/B101*10000)</f>
        <v/>
      </c>
      <c r="AK101" s="14">
        <f>IF(OR(C101="",C101=0),"",O101/C101*10000)</f>
        <v/>
      </c>
      <c r="AL101" s="14">
        <f>IF(OR(D101="",D101=0),"",P101/D101*10000)</f>
        <v/>
      </c>
      <c r="AM101" s="14">
        <f>IF(OR(E101="",E101=0),"",Q101/E101*10000)</f>
        <v/>
      </c>
      <c r="AN101" s="11" t="n">
        <v>0</v>
      </c>
      <c r="AO101" s="11" t="n">
        <v>0</v>
      </c>
      <c r="AP101" s="21">
        <f>AH101+AN101+AO101</f>
        <v/>
      </c>
      <c r="AQ101" s="21">
        <f>AH101</f>
        <v/>
      </c>
      <c r="AR101" s="25" t="n">
        <v>127211.7200000007</v>
      </c>
      <c r="AS101" s="26" t="n">
        <v>15.39</v>
      </c>
      <c r="AT101" s="15" t="n">
        <v>16639426.98</v>
      </c>
      <c r="AU101" s="15" t="n">
        <v>26269.2514</v>
      </c>
      <c r="AV101" s="15" t="n">
        <v>957.7524</v>
      </c>
      <c r="AW101" s="15" t="n"/>
      <c r="AX101" s="16" t="n">
        <v>419.074456639484</v>
      </c>
      <c r="AY101" s="13">
        <f>IF(OR(AX101="",AX101=0,AU101=""),"",AU101*365/(AX101*1000000))</f>
        <v/>
      </c>
      <c r="AZ101" s="15" t="n">
        <v>426266984.8488</v>
      </c>
      <c r="BA101" s="17" t="n">
        <v>60487233</v>
      </c>
      <c r="BB101" s="18" t="n">
        <v>16639426.98</v>
      </c>
      <c r="BC101" s="17" t="n">
        <v>2971663</v>
      </c>
      <c r="BD101" s="17">
        <f>1000000000-999824047.6337+0.0000</f>
        <v/>
      </c>
      <c r="BE101" s="19">
        <f>1000000000-AZ101-BA101-BB101-BC101-BD101</f>
        <v/>
      </c>
      <c r="BF101" s="20" t="n">
        <v>238</v>
      </c>
      <c r="BG101" s="20">
        <f>BE101/1000000-BF101</f>
        <v/>
      </c>
      <c r="BH101" s="21">
        <f>BE101*15.39</f>
        <v/>
      </c>
    </row>
    <row r="102">
      <c r="A102" s="10" t="n">
        <v>45724</v>
      </c>
      <c r="B102" s="11" t="n">
        <v>2704382868</v>
      </c>
      <c r="C102" s="11" t="n"/>
      <c r="D102" s="12" t="n">
        <v>67592094</v>
      </c>
      <c r="E102" s="11" t="n"/>
      <c r="N102" s="12" t="n">
        <v>634401</v>
      </c>
      <c r="O102" s="11" t="n"/>
      <c r="P102" s="12" t="n">
        <v>10892</v>
      </c>
      <c r="Q102" s="11" t="n"/>
      <c r="R102" s="21">
        <f>N102+O102+P102+N(Q102)</f>
        <v/>
      </c>
      <c r="S102" s="13" t="n">
        <v>0.03</v>
      </c>
      <c r="T102" s="21">
        <f>N(AC102)*S102</f>
        <v/>
      </c>
      <c r="U102" s="21">
        <f>N(AD102)*S102</f>
        <v/>
      </c>
      <c r="V102" s="21">
        <f>N(AE102)*S102</f>
        <v/>
      </c>
      <c r="W102" s="21">
        <f>IF(Q102="","",N(AF102)*S102)</f>
        <v/>
      </c>
      <c r="X102" s="12" t="n">
        <v>0</v>
      </c>
      <c r="Y102" s="11" t="n"/>
      <c r="Z102" s="11" t="n"/>
      <c r="AA102" s="21">
        <f>T102+U102+V102+N(W102)+X102+Y102+N(Z102)</f>
        <v/>
      </c>
      <c r="AB102" s="11" t="n"/>
      <c r="AC102" s="12" t="n">
        <v>615369</v>
      </c>
      <c r="AD102" s="21">
        <f>O102-Y102</f>
        <v/>
      </c>
      <c r="AE102" s="21">
        <f>P102-X102</f>
        <v/>
      </c>
      <c r="AF102" s="21">
        <f>IF(Q102="","",Q102-Z102)</f>
        <v/>
      </c>
      <c r="AG102" s="22">
        <f>AC102+AD102+AE102+N(AF102)</f>
        <v/>
      </c>
      <c r="AH102" s="23" t="n">
        <v>625934</v>
      </c>
      <c r="AI102" s="24">
        <f>AG102-AH102</f>
        <v/>
      </c>
      <c r="AJ102" s="14">
        <f>IF(OR(B102="",B102=0,N102=""),"",N102/B102*10000)</f>
        <v/>
      </c>
      <c r="AK102" s="14">
        <f>IF(OR(C102="",C102=0),"",O102/C102*10000)</f>
        <v/>
      </c>
      <c r="AL102" s="14">
        <f>IF(OR(D102="",D102=0),"",P102/D102*10000)</f>
        <v/>
      </c>
      <c r="AM102" s="14">
        <f>IF(OR(E102="",E102=0),"",Q102/E102*10000)</f>
        <v/>
      </c>
      <c r="AN102" s="11" t="n">
        <v>0</v>
      </c>
      <c r="AO102" s="11" t="n">
        <v>0</v>
      </c>
      <c r="AP102" s="21">
        <f>AH102+AN102+AO102</f>
        <v/>
      </c>
      <c r="AQ102" s="21">
        <f>AH102</f>
        <v/>
      </c>
      <c r="AR102" s="25" t="n">
        <v>102220.3399999999</v>
      </c>
      <c r="AS102" s="26" t="n">
        <v>15.14</v>
      </c>
      <c r="AT102" s="15" t="n">
        <v>16741647.32</v>
      </c>
      <c r="AU102" s="15" t="n">
        <v>26284.4279</v>
      </c>
      <c r="AV102" s="15" t="n">
        <v>935.3216</v>
      </c>
      <c r="AW102" s="15" t="n"/>
      <c r="AX102" s="16" t="n">
        <v>419.208591735417</v>
      </c>
      <c r="AY102" s="13">
        <f>IF(OR(AX102="",AX102=0,AU102=""),"",AU102*365/(AX102*1000000))</f>
        <v/>
      </c>
      <c r="AZ102" s="15" t="n">
        <v>426240700.421</v>
      </c>
      <c r="BA102" s="17" t="n">
        <v>60487233</v>
      </c>
      <c r="BB102" s="18" t="n">
        <v>16741647.32</v>
      </c>
      <c r="BC102" s="17" t="n">
        <v>2971663</v>
      </c>
      <c r="BD102" s="17">
        <f>1000000000-999823112.312+0.0000</f>
        <v/>
      </c>
      <c r="BE102" s="19">
        <f>1000000000-AZ102-BA102-BB102-BC102-BD102</f>
        <v/>
      </c>
      <c r="BF102" s="20" t="n">
        <v>238</v>
      </c>
      <c r="BG102" s="20">
        <f>BE102/1000000-BF102</f>
        <v/>
      </c>
      <c r="BH102" s="21">
        <f>BE102*15.14</f>
        <v/>
      </c>
    </row>
    <row r="103">
      <c r="A103" s="10" t="n">
        <v>45725</v>
      </c>
      <c r="B103" s="11" t="n">
        <v>5412422029</v>
      </c>
      <c r="C103" s="11" t="n"/>
      <c r="D103" s="12" t="n">
        <v>118439528</v>
      </c>
      <c r="E103" s="11" t="n"/>
      <c r="N103" s="12" t="n">
        <v>1210965</v>
      </c>
      <c r="O103" s="11" t="n"/>
      <c r="P103" s="12" t="n">
        <v>17991</v>
      </c>
      <c r="Q103" s="11" t="n"/>
      <c r="R103" s="21">
        <f>N103+O103+P103+N(Q103)</f>
        <v/>
      </c>
      <c r="S103" s="13" t="n">
        <v>0.03</v>
      </c>
      <c r="T103" s="21">
        <f>N(AC103)*S103</f>
        <v/>
      </c>
      <c r="U103" s="21">
        <f>N(AD103)*S103</f>
        <v/>
      </c>
      <c r="V103" s="21">
        <f>N(AE103)*S103</f>
        <v/>
      </c>
      <c r="W103" s="21">
        <f>IF(Q103="","",N(AF103)*S103)</f>
        <v/>
      </c>
      <c r="X103" s="12" t="n">
        <v>0</v>
      </c>
      <c r="Y103" s="11" t="n"/>
      <c r="Z103" s="11" t="n"/>
      <c r="AA103" s="21">
        <f>T103+U103+V103+N(W103)+X103+Y103+N(Z103)</f>
        <v/>
      </c>
      <c r="AB103" s="11" t="n"/>
      <c r="AC103" s="12" t="n">
        <v>1174636</v>
      </c>
      <c r="AD103" s="21">
        <f>O103-Y103</f>
        <v/>
      </c>
      <c r="AE103" s="21">
        <f>P103-X103</f>
        <v/>
      </c>
      <c r="AF103" s="21">
        <f>IF(Q103="","",Q103-Z103)</f>
        <v/>
      </c>
      <c r="AG103" s="22">
        <f>AC103+AD103+AE103+N(AF103)</f>
        <v/>
      </c>
      <c r="AH103" s="23" t="n">
        <v>1192088</v>
      </c>
      <c r="AI103" s="24">
        <f>AG103-AH103</f>
        <v/>
      </c>
      <c r="AJ103" s="14">
        <f>IF(OR(B103="",B103=0,N103=""),"",N103/B103*10000)</f>
        <v/>
      </c>
      <c r="AK103" s="14">
        <f>IF(OR(C103="",C103=0),"",O103/C103*10000)</f>
        <v/>
      </c>
      <c r="AL103" s="14">
        <f>IF(OR(D103="",D103=0),"",P103/D103*10000)</f>
        <v/>
      </c>
      <c r="AM103" s="14">
        <f>IF(OR(E103="",E103=0),"",Q103/E103*10000)</f>
        <v/>
      </c>
      <c r="AN103" s="11" t="n">
        <v>0</v>
      </c>
      <c r="AO103" s="11" t="n">
        <v>0</v>
      </c>
      <c r="AP103" s="21">
        <f>AH103+AN103+AO103</f>
        <v/>
      </c>
      <c r="AQ103" s="21">
        <f>AH103</f>
        <v/>
      </c>
      <c r="AR103" s="25" t="n">
        <v>32005.86999999918</v>
      </c>
      <c r="AS103" s="26" t="n">
        <v>15.11</v>
      </c>
      <c r="AT103" s="15" t="n">
        <v>16773653.19</v>
      </c>
      <c r="AU103" s="15" t="n">
        <v>26298.1187</v>
      </c>
      <c r="AV103" s="15" t="n">
        <v>452.9895</v>
      </c>
      <c r="AW103" s="15" t="n"/>
      <c r="AX103" s="16" t="n">
        <v>421.1283786273729</v>
      </c>
      <c r="AY103" s="13">
        <f>IF(OR(AX103="",AX103=0,AU103=""),"",AU103*365/(AX103*1000000))</f>
        <v/>
      </c>
      <c r="AZ103" s="15" t="n">
        <v>426214402.3023</v>
      </c>
      <c r="BA103" s="17" t="n">
        <v>60487233</v>
      </c>
      <c r="BB103" s="18" t="n">
        <v>16773653.19</v>
      </c>
      <c r="BC103" s="17" t="n">
        <v>2971663</v>
      </c>
      <c r="BD103" s="17">
        <f>1000000000-999822659.3226+0.0000</f>
        <v/>
      </c>
      <c r="BE103" s="19">
        <f>1000000000-AZ103-BA103-BB103-BC103-BD103</f>
        <v/>
      </c>
      <c r="BF103" s="20" t="n">
        <v>238</v>
      </c>
      <c r="BG103" s="20">
        <f>BE103/1000000-BF103</f>
        <v/>
      </c>
      <c r="BH103" s="21">
        <f>BE103*15.11</f>
        <v/>
      </c>
    </row>
    <row r="104">
      <c r="A104" s="10" t="n">
        <v>45726</v>
      </c>
      <c r="B104" s="11" t="n">
        <v>9662861734</v>
      </c>
      <c r="C104" s="11" t="n"/>
      <c r="D104" s="12" t="n">
        <v>169103609</v>
      </c>
      <c r="E104" s="11" t="n"/>
      <c r="N104" s="12" t="n">
        <v>2172589</v>
      </c>
      <c r="O104" s="11" t="n"/>
      <c r="P104" s="12" t="n">
        <v>24937</v>
      </c>
      <c r="Q104" s="11" t="n"/>
      <c r="R104" s="21">
        <f>N104+O104+P104+N(Q104)</f>
        <v/>
      </c>
      <c r="S104" s="13" t="n">
        <v>0.03</v>
      </c>
      <c r="T104" s="21">
        <f>N(AC104)*S104</f>
        <v/>
      </c>
      <c r="U104" s="21">
        <f>N(AD104)*S104</f>
        <v/>
      </c>
      <c r="V104" s="21">
        <f>N(AE104)*S104</f>
        <v/>
      </c>
      <c r="W104" s="21">
        <f>IF(Q104="","",N(AF104)*S104)</f>
        <v/>
      </c>
      <c r="X104" s="12" t="n">
        <v>0</v>
      </c>
      <c r="Y104" s="11" t="n"/>
      <c r="Z104" s="11" t="n"/>
      <c r="AA104" s="21">
        <f>T104+U104+V104+N(W104)+X104+Y104+N(Z104)</f>
        <v/>
      </c>
      <c r="AB104" s="11" t="n"/>
      <c r="AC104" s="12" t="n">
        <v>2107411</v>
      </c>
      <c r="AD104" s="21">
        <f>O104-Y104</f>
        <v/>
      </c>
      <c r="AE104" s="21">
        <f>P104-X104</f>
        <v/>
      </c>
      <c r="AF104" s="21">
        <f>IF(Q104="","",Q104-Z104)</f>
        <v/>
      </c>
      <c r="AG104" s="22">
        <f>AC104+AD104+AE104+N(AF104)</f>
        <v/>
      </c>
      <c r="AH104" s="23" t="n">
        <v>2131600</v>
      </c>
      <c r="AI104" s="24">
        <f>AG104-AH104</f>
        <v/>
      </c>
      <c r="AJ104" s="14">
        <f>IF(OR(B104="",B104=0,N104=""),"",N104/B104*10000)</f>
        <v/>
      </c>
      <c r="AK104" s="14">
        <f>IF(OR(C104="",C104=0),"",O104/C104*10000)</f>
        <v/>
      </c>
      <c r="AL104" s="14">
        <f>IF(OR(D104="",D104=0),"",P104/D104*10000)</f>
        <v/>
      </c>
      <c r="AM104" s="14">
        <f>IF(OR(E104="",E104=0),"",Q104/E104*10000)</f>
        <v/>
      </c>
      <c r="AN104" s="11" t="n">
        <v>0</v>
      </c>
      <c r="AO104" s="11" t="n">
        <v>0</v>
      </c>
      <c r="AP104" s="21">
        <f>AH104+AN104+AO104</f>
        <v/>
      </c>
      <c r="AQ104" s="21">
        <f>AH104</f>
        <v/>
      </c>
      <c r="AR104" s="25" t="n">
        <v>96802.00000000186</v>
      </c>
      <c r="AS104" s="26" t="n">
        <v>14.42</v>
      </c>
      <c r="AT104" s="15" t="n">
        <v>16870455.19</v>
      </c>
      <c r="AU104" s="15" t="n">
        <v>26363.6194</v>
      </c>
      <c r="AV104" s="15" t="n">
        <v>623.5696</v>
      </c>
      <c r="AW104" s="15" t="n"/>
      <c r="AX104" s="16" t="n">
        <v>421.4715664321867</v>
      </c>
      <c r="AY104" s="13">
        <f>IF(OR(AX104="",AX104=0,AU104=""),"",AU104*365/(AX104*1000000))</f>
        <v/>
      </c>
      <c r="AZ104" s="15" t="n">
        <v>426188038.6829</v>
      </c>
      <c r="BA104" s="17" t="n">
        <v>60487233</v>
      </c>
      <c r="BB104" s="18" t="n">
        <v>16870455.19</v>
      </c>
      <c r="BC104" s="17" t="n">
        <v>2971663</v>
      </c>
      <c r="BD104" s="17">
        <f>1000000000-999822035.753+0.0000</f>
        <v/>
      </c>
      <c r="BE104" s="19">
        <f>1000000000-AZ104-BA104-BB104-BC104-BD104</f>
        <v/>
      </c>
      <c r="BF104" s="20" t="n">
        <v>238</v>
      </c>
      <c r="BG104" s="20">
        <f>BE104/1000000-BF104</f>
        <v/>
      </c>
      <c r="BH104" s="21">
        <f>BE104*14.42</f>
        <v/>
      </c>
    </row>
    <row r="105">
      <c r="A105" s="10" t="n">
        <v>45727</v>
      </c>
      <c r="B105" s="11" t="n">
        <v>8230997837</v>
      </c>
      <c r="C105" s="11" t="n"/>
      <c r="D105" s="12" t="n">
        <v>165879349</v>
      </c>
      <c r="E105" s="11" t="n"/>
      <c r="N105" s="12" t="n">
        <v>1863002</v>
      </c>
      <c r="O105" s="11" t="n"/>
      <c r="P105" s="12" t="n">
        <v>24588</v>
      </c>
      <c r="Q105" s="11" t="n"/>
      <c r="R105" s="21">
        <f>N105+O105+P105+N(Q105)</f>
        <v/>
      </c>
      <c r="S105" s="13" t="n">
        <v>0.03</v>
      </c>
      <c r="T105" s="21">
        <f>N(AC105)*S105</f>
        <v/>
      </c>
      <c r="U105" s="21">
        <f>N(AD105)*S105</f>
        <v/>
      </c>
      <c r="V105" s="21">
        <f>N(AE105)*S105</f>
        <v/>
      </c>
      <c r="W105" s="21">
        <f>IF(Q105="","",N(AF105)*S105)</f>
        <v/>
      </c>
      <c r="X105" s="12" t="n">
        <v>0</v>
      </c>
      <c r="Y105" s="11" t="n"/>
      <c r="Z105" s="11" t="n"/>
      <c r="AA105" s="21">
        <f>T105+U105+V105+N(W105)+X105+Y105+N(Z105)</f>
        <v/>
      </c>
      <c r="AB105" s="11" t="n"/>
      <c r="AC105" s="12" t="n">
        <v>1807112</v>
      </c>
      <c r="AD105" s="21">
        <f>O105-Y105</f>
        <v/>
      </c>
      <c r="AE105" s="21">
        <f>P105-X105</f>
        <v/>
      </c>
      <c r="AF105" s="21">
        <f>IF(Q105="","",Q105-Z105)</f>
        <v/>
      </c>
      <c r="AG105" s="22">
        <f>AC105+AD105+AE105+N(AF105)</f>
        <v/>
      </c>
      <c r="AH105" s="23" t="n">
        <v>1830963</v>
      </c>
      <c r="AI105" s="24">
        <f>AG105-AH105</f>
        <v/>
      </c>
      <c r="AJ105" s="14">
        <f>IF(OR(B105="",B105=0,N105=""),"",N105/B105*10000)</f>
        <v/>
      </c>
      <c r="AK105" s="14">
        <f>IF(OR(C105="",C105=0),"",O105/C105*10000)</f>
        <v/>
      </c>
      <c r="AL105" s="14">
        <f>IF(OR(D105="",D105=0),"",P105/D105*10000)</f>
        <v/>
      </c>
      <c r="AM105" s="14">
        <f>IF(OR(E105="",E105=0),"",Q105/E105*10000)</f>
        <v/>
      </c>
      <c r="AN105" s="11" t="n">
        <v>0</v>
      </c>
      <c r="AO105" s="11" t="n">
        <v>0</v>
      </c>
      <c r="AP105" s="21">
        <f>AH105+AN105+AO105</f>
        <v/>
      </c>
      <c r="AQ105" s="21">
        <f>AH105</f>
        <v/>
      </c>
      <c r="AR105" s="25" t="n">
        <v>170988.5299999975</v>
      </c>
      <c r="AS105" s="26" t="n">
        <v>13.46</v>
      </c>
      <c r="AT105" s="15" t="n">
        <v>17041443.72</v>
      </c>
      <c r="AU105" s="15" t="n">
        <v>26334.2317</v>
      </c>
      <c r="AV105" s="15" t="n">
        <v>1085.8531</v>
      </c>
      <c r="AW105" s="15" t="n"/>
      <c r="AX105" s="16" t="n">
        <v>421.1599704126418</v>
      </c>
      <c r="AY105" s="13">
        <f>IF(OR(AX105="",AX105=0,AU105=""),"",AU105*365/(AX105*1000000))</f>
        <v/>
      </c>
      <c r="AZ105" s="15" t="n">
        <v>426161704.4513</v>
      </c>
      <c r="BA105" s="17" t="n">
        <v>60487233</v>
      </c>
      <c r="BB105" s="18" t="n">
        <v>17041443.72</v>
      </c>
      <c r="BC105" s="17" t="n">
        <v>2971663</v>
      </c>
      <c r="BD105" s="17">
        <f>1000000000-999820949.8999+0.0000</f>
        <v/>
      </c>
      <c r="BE105" s="19">
        <f>1000000000-AZ105-BA105-BB105-BC105-BD105</f>
        <v/>
      </c>
      <c r="BF105" s="20" t="n">
        <v>238</v>
      </c>
      <c r="BG105" s="20">
        <f>BE105/1000000-BF105</f>
        <v/>
      </c>
      <c r="BH105" s="21">
        <f>BE105*13.46</f>
        <v/>
      </c>
    </row>
    <row r="106">
      <c r="A106" s="10" t="n">
        <v>45728</v>
      </c>
      <c r="B106" s="11" t="n">
        <v>7385946216</v>
      </c>
      <c r="C106" s="11" t="n"/>
      <c r="D106" s="12" t="n">
        <v>179610161</v>
      </c>
      <c r="E106" s="11" t="n"/>
      <c r="N106" s="12" t="n">
        <v>1540013</v>
      </c>
      <c r="O106" s="11" t="n"/>
      <c r="P106" s="12" t="n">
        <v>26516</v>
      </c>
      <c r="Q106" s="11" t="n"/>
      <c r="R106" s="21">
        <f>N106+O106+P106+N(Q106)</f>
        <v/>
      </c>
      <c r="S106" s="13" t="n">
        <v>0.03</v>
      </c>
      <c r="T106" s="21">
        <f>N(AC106)*S106</f>
        <v/>
      </c>
      <c r="U106" s="21">
        <f>N(AD106)*S106</f>
        <v/>
      </c>
      <c r="V106" s="21">
        <f>N(AE106)*S106</f>
        <v/>
      </c>
      <c r="W106" s="21">
        <f>IF(Q106="","",N(AF106)*S106)</f>
        <v/>
      </c>
      <c r="X106" s="12" t="n">
        <v>0</v>
      </c>
      <c r="Y106" s="11" t="n"/>
      <c r="Z106" s="11" t="n"/>
      <c r="AA106" s="21">
        <f>T106+U106+V106+N(W106)+X106+Y106+N(Z106)</f>
        <v/>
      </c>
      <c r="AB106" s="11" t="n"/>
      <c r="AC106" s="12" t="n">
        <v>1493812</v>
      </c>
      <c r="AD106" s="21">
        <f>O106-Y106</f>
        <v/>
      </c>
      <c r="AE106" s="21">
        <f>P106-X106</f>
        <v/>
      </c>
      <c r="AF106" s="21">
        <f>IF(Q106="","",Q106-Z106)</f>
        <v/>
      </c>
      <c r="AG106" s="22">
        <f>AC106+AD106+AE106+N(AF106)</f>
        <v/>
      </c>
      <c r="AH106" s="23" t="n">
        <v>1519532</v>
      </c>
      <c r="AI106" s="24">
        <f>AG106-AH106</f>
        <v/>
      </c>
      <c r="AJ106" s="14">
        <f>IF(OR(B106="",B106=0,N106=""),"",N106/B106*10000)</f>
        <v/>
      </c>
      <c r="AK106" s="14">
        <f>IF(OR(C106="",C106=0),"",O106/C106*10000)</f>
        <v/>
      </c>
      <c r="AL106" s="14">
        <f>IF(OR(D106="",D106=0),"",P106/D106*10000)</f>
        <v/>
      </c>
      <c r="AM106" s="14">
        <f>IF(OR(E106="",E106=0),"",Q106/E106*10000)</f>
        <v/>
      </c>
      <c r="AN106" s="11" t="n">
        <v>0</v>
      </c>
      <c r="AO106" s="11" t="n">
        <v>0</v>
      </c>
      <c r="AP106" s="21">
        <f>AH106+AN106+AO106</f>
        <v/>
      </c>
      <c r="AQ106" s="21">
        <f>AH106</f>
        <v/>
      </c>
      <c r="AR106" s="25" t="n">
        <v>103046.0400000028</v>
      </c>
      <c r="AS106" s="26" t="n">
        <v>13.78</v>
      </c>
      <c r="AT106" s="15" t="n">
        <v>17144489.76</v>
      </c>
      <c r="AU106" s="15" t="n">
        <v>26325.6793</v>
      </c>
      <c r="AV106" s="15" t="n">
        <v>1086.3826</v>
      </c>
      <c r="AW106" s="15" t="n"/>
      <c r="AX106" s="16" t="n">
        <v>422.7438832913089</v>
      </c>
      <c r="AY106" s="13">
        <f>IF(OR(AX106="",AX106=0,AU106=""),"",AU106*365/(AX106*1000000))</f>
        <v/>
      </c>
      <c r="AZ106" s="15" t="n">
        <v>426135378.772</v>
      </c>
      <c r="BA106" s="17" t="n">
        <v>60487233</v>
      </c>
      <c r="BB106" s="18" t="n">
        <v>17144489.76</v>
      </c>
      <c r="BC106" s="17" t="n">
        <v>2971663</v>
      </c>
      <c r="BD106" s="17">
        <f>1000000000-999819863.5174+0.0000</f>
        <v/>
      </c>
      <c r="BE106" s="19">
        <f>1000000000-AZ106-BA106-BB106-BC106-BD106</f>
        <v/>
      </c>
      <c r="BF106" s="20" t="n">
        <v>238</v>
      </c>
      <c r="BG106" s="20">
        <f>BE106/1000000-BF106</f>
        <v/>
      </c>
      <c r="BH106" s="21">
        <f>BE106*13.78</f>
        <v/>
      </c>
    </row>
    <row r="107">
      <c r="A107" s="10" t="n">
        <v>45729</v>
      </c>
      <c r="B107" s="11" t="n">
        <v>4794383453</v>
      </c>
      <c r="C107" s="11" t="n"/>
      <c r="D107" s="12" t="n">
        <v>144019081</v>
      </c>
      <c r="E107" s="11" t="n"/>
      <c r="N107" s="12" t="n">
        <v>1114147</v>
      </c>
      <c r="O107" s="11" t="n"/>
      <c r="P107" s="12" t="n">
        <v>21681</v>
      </c>
      <c r="Q107" s="11" t="n"/>
      <c r="R107" s="21">
        <f>N107+O107+P107+N(Q107)</f>
        <v/>
      </c>
      <c r="S107" s="13" t="n">
        <v>0.03</v>
      </c>
      <c r="T107" s="21">
        <f>N(AC107)*S107</f>
        <v/>
      </c>
      <c r="U107" s="21">
        <f>N(AD107)*S107</f>
        <v/>
      </c>
      <c r="V107" s="21">
        <f>N(AE107)*S107</f>
        <v/>
      </c>
      <c r="W107" s="21">
        <f>IF(Q107="","",N(AF107)*S107)</f>
        <v/>
      </c>
      <c r="X107" s="12" t="n">
        <v>0</v>
      </c>
      <c r="Y107" s="11" t="n"/>
      <c r="Z107" s="11" t="n"/>
      <c r="AA107" s="21">
        <f>T107+U107+V107+N(W107)+X107+Y107+N(Z107)</f>
        <v/>
      </c>
      <c r="AB107" s="11" t="n"/>
      <c r="AC107" s="12" t="n">
        <v>1080722</v>
      </c>
      <c r="AD107" s="21">
        <f>O107-Y107</f>
        <v/>
      </c>
      <c r="AE107" s="21">
        <f>P107-X107</f>
        <v/>
      </c>
      <c r="AF107" s="21">
        <f>IF(Q107="","",Q107-Z107)</f>
        <v/>
      </c>
      <c r="AG107" s="22">
        <f>AC107+AD107+AE107+N(AF107)</f>
        <v/>
      </c>
      <c r="AH107" s="23" t="n">
        <v>1101752</v>
      </c>
      <c r="AI107" s="24">
        <f>AG107-AH107</f>
        <v/>
      </c>
      <c r="AJ107" s="14">
        <f>IF(OR(B107="",B107=0,N107=""),"",N107/B107*10000)</f>
        <v/>
      </c>
      <c r="AK107" s="14">
        <f>IF(OR(C107="",C107=0),"",O107/C107*10000)</f>
        <v/>
      </c>
      <c r="AL107" s="14">
        <f>IF(OR(D107="",D107=0),"",P107/D107*10000)</f>
        <v/>
      </c>
      <c r="AM107" s="14">
        <f>IF(OR(E107="",E107=0),"",Q107/E107*10000)</f>
        <v/>
      </c>
      <c r="AN107" s="11" t="n">
        <v>0</v>
      </c>
      <c r="AO107" s="11" t="n">
        <v>0</v>
      </c>
      <c r="AP107" s="21">
        <f>AH107+AN107+AO107</f>
        <v/>
      </c>
      <c r="AQ107" s="21">
        <f>AH107</f>
        <v/>
      </c>
      <c r="AR107" s="25" t="n">
        <v>111406.2599999979</v>
      </c>
      <c r="AS107" s="26" t="n">
        <v>13.16</v>
      </c>
      <c r="AT107" s="15" t="n">
        <v>17255896.02</v>
      </c>
      <c r="AU107" s="15" t="n">
        <v>26389.0402</v>
      </c>
      <c r="AV107" s="15" t="n">
        <v>1361.7718</v>
      </c>
      <c r="AW107" s="15" t="n"/>
      <c r="AX107" s="16" t="n">
        <v>422.1337571977992</v>
      </c>
      <c r="AY107" s="13">
        <f>IF(OR(AX107="",AX107=0,AU107=""),"",AU107*365/(AX107*1000000))</f>
        <v/>
      </c>
      <c r="AZ107" s="15" t="n">
        <v>426108989.7317</v>
      </c>
      <c r="BA107" s="17" t="n">
        <v>60487233</v>
      </c>
      <c r="BB107" s="18" t="n">
        <v>17255896.02</v>
      </c>
      <c r="BC107" s="17" t="n">
        <v>2971663</v>
      </c>
      <c r="BD107" s="17">
        <f>1000000000-999818501.7456+0.0000</f>
        <v/>
      </c>
      <c r="BE107" s="19">
        <f>1000000000-AZ107-BA107-BB107-BC107-BD107</f>
        <v/>
      </c>
      <c r="BF107" s="20" t="n">
        <v>238</v>
      </c>
      <c r="BG107" s="20">
        <f>BE107/1000000-BF107</f>
        <v/>
      </c>
      <c r="BH107" s="21">
        <f>BE107*13.16</f>
        <v/>
      </c>
    </row>
    <row r="108">
      <c r="A108" s="10" t="n">
        <v>45730</v>
      </c>
      <c r="B108" s="11" t="n">
        <v>4206697098</v>
      </c>
      <c r="C108" s="11" t="n"/>
      <c r="D108" s="12" t="n">
        <v>129815493</v>
      </c>
      <c r="E108" s="11" t="n"/>
      <c r="N108" s="12" t="n">
        <v>944786</v>
      </c>
      <c r="O108" s="11" t="n"/>
      <c r="P108" s="12" t="n">
        <v>16728</v>
      </c>
      <c r="Q108" s="11" t="n"/>
      <c r="R108" s="21">
        <f>N108+O108+P108+N(Q108)</f>
        <v/>
      </c>
      <c r="S108" s="13" t="n">
        <v>0.03</v>
      </c>
      <c r="T108" s="21">
        <f>N(AC108)*S108</f>
        <v/>
      </c>
      <c r="U108" s="21">
        <f>N(AD108)*S108</f>
        <v/>
      </c>
      <c r="V108" s="21">
        <f>N(AE108)*S108</f>
        <v/>
      </c>
      <c r="W108" s="21">
        <f>IF(Q108="","",N(AF108)*S108)</f>
        <v/>
      </c>
      <c r="X108" s="12" t="n">
        <v>0</v>
      </c>
      <c r="Y108" s="11" t="n"/>
      <c r="Z108" s="11" t="n"/>
      <c r="AA108" s="21">
        <f>T108+U108+V108+N(W108)+X108+Y108+N(Z108)</f>
        <v/>
      </c>
      <c r="AB108" s="11" t="n"/>
      <c r="AC108" s="12" t="n">
        <v>916442</v>
      </c>
      <c r="AD108" s="21">
        <f>O108-Y108</f>
        <v/>
      </c>
      <c r="AE108" s="21">
        <f>P108-X108</f>
        <v/>
      </c>
      <c r="AF108" s="21">
        <f>IF(Q108="","",Q108-Z108)</f>
        <v/>
      </c>
      <c r="AG108" s="22">
        <f>AC108+AD108+AE108+N(AF108)</f>
        <v/>
      </c>
      <c r="AH108" s="23" t="n">
        <v>932668</v>
      </c>
      <c r="AI108" s="24">
        <f>AG108-AH108</f>
        <v/>
      </c>
      <c r="AJ108" s="14">
        <f>IF(OR(B108="",B108=0,N108=""),"",N108/B108*10000)</f>
        <v/>
      </c>
      <c r="AK108" s="14">
        <f>IF(OR(C108="",C108=0),"",O108/C108*10000)</f>
        <v/>
      </c>
      <c r="AL108" s="14">
        <f>IF(OR(D108="",D108=0),"",P108/D108*10000)</f>
        <v/>
      </c>
      <c r="AM108" s="14">
        <f>IF(OR(E108="",E108=0),"",Q108/E108*10000)</f>
        <v/>
      </c>
      <c r="AN108" s="11" t="n">
        <v>0</v>
      </c>
      <c r="AO108" s="11" t="n">
        <v>0</v>
      </c>
      <c r="AP108" s="21">
        <f>AH108+AN108+AO108</f>
        <v/>
      </c>
      <c r="AQ108" s="21">
        <f>AH108</f>
        <v/>
      </c>
      <c r="AR108" s="25" t="n">
        <v>92831.26999999955</v>
      </c>
      <c r="AS108" s="26" t="n">
        <v>12.32</v>
      </c>
      <c r="AT108" s="15" t="n">
        <v>17348727.29</v>
      </c>
      <c r="AU108" s="15" t="n">
        <v>26348.158</v>
      </c>
      <c r="AV108" s="15" t="n">
        <v>1180.449</v>
      </c>
      <c r="AW108" s="15" t="n"/>
      <c r="AX108" s="16" t="n">
        <v>420.8022083295465</v>
      </c>
      <c r="AY108" s="13">
        <f>IF(OR(AX108="",AX108=0,AU108=""),"",AU108*365/(AX108*1000000))</f>
        <v/>
      </c>
      <c r="AZ108" s="15" t="n">
        <v>426082641.5737</v>
      </c>
      <c r="BA108" s="17" t="n">
        <v>60487233</v>
      </c>
      <c r="BB108" s="18" t="n">
        <v>17348727.29</v>
      </c>
      <c r="BC108" s="17" t="n">
        <v>2971663</v>
      </c>
      <c r="BD108" s="17">
        <f>1000000000-999817321.2966+0.0000</f>
        <v/>
      </c>
      <c r="BE108" s="19">
        <f>1000000000-AZ108-BA108-BB108-BC108-BD108</f>
        <v/>
      </c>
      <c r="BF108" s="20" t="n">
        <v>238</v>
      </c>
      <c r="BG108" s="20">
        <f>BE108/1000000-BF108</f>
        <v/>
      </c>
      <c r="BH108" s="21">
        <f>BE108*12.32</f>
        <v/>
      </c>
    </row>
    <row r="109">
      <c r="A109" s="10" t="n">
        <v>45731</v>
      </c>
      <c r="B109" s="11" t="n">
        <v>2136911541</v>
      </c>
      <c r="C109" s="11" t="n"/>
      <c r="D109" s="12" t="n">
        <v>57862220</v>
      </c>
      <c r="E109" s="11" t="n"/>
      <c r="N109" s="12" t="n">
        <v>614685</v>
      </c>
      <c r="O109" s="11" t="n"/>
      <c r="P109" s="12" t="n">
        <v>7895</v>
      </c>
      <c r="Q109" s="11" t="n"/>
      <c r="R109" s="21">
        <f>N109+O109+P109+N(Q109)</f>
        <v/>
      </c>
      <c r="S109" s="13" t="n">
        <v>0.03</v>
      </c>
      <c r="T109" s="21">
        <f>N(AC109)*S109</f>
        <v/>
      </c>
      <c r="U109" s="21">
        <f>N(AD109)*S109</f>
        <v/>
      </c>
      <c r="V109" s="21">
        <f>N(AE109)*S109</f>
        <v/>
      </c>
      <c r="W109" s="21">
        <f>IF(Q109="","",N(AF109)*S109)</f>
        <v/>
      </c>
      <c r="X109" s="12" t="n">
        <v>0</v>
      </c>
      <c r="Y109" s="11" t="n"/>
      <c r="Z109" s="11" t="n"/>
      <c r="AA109" s="21">
        <f>T109+U109+V109+N(W109)+X109+Y109+N(Z109)</f>
        <v/>
      </c>
      <c r="AB109" s="11" t="n"/>
      <c r="AC109" s="12" t="n">
        <v>596245</v>
      </c>
      <c r="AD109" s="21">
        <f>O109-Y109</f>
        <v/>
      </c>
      <c r="AE109" s="21">
        <f>P109-X109</f>
        <v/>
      </c>
      <c r="AF109" s="21">
        <f>IF(Q109="","",Q109-Z109)</f>
        <v/>
      </c>
      <c r="AG109" s="22">
        <f>AC109+AD109+AE109+N(AF109)</f>
        <v/>
      </c>
      <c r="AH109" s="23" t="n">
        <v>603903</v>
      </c>
      <c r="AI109" s="24">
        <f>AG109-AH109</f>
        <v/>
      </c>
      <c r="AJ109" s="14">
        <f>IF(OR(B109="",B109=0,N109=""),"",N109/B109*10000)</f>
        <v/>
      </c>
      <c r="AK109" s="14">
        <f>IF(OR(C109="",C109=0),"",O109/C109*10000)</f>
        <v/>
      </c>
      <c r="AL109" s="14">
        <f>IF(OR(D109="",D109=0),"",P109/D109*10000)</f>
        <v/>
      </c>
      <c r="AM109" s="14">
        <f>IF(OR(E109="",E109=0),"",Q109/E109*10000)</f>
        <v/>
      </c>
      <c r="AN109" s="11" t="n">
        <v>0</v>
      </c>
      <c r="AO109" s="11" t="n">
        <v>0</v>
      </c>
      <c r="AP109" s="21">
        <f>AH109+AN109+AO109</f>
        <v/>
      </c>
      <c r="AQ109" s="21">
        <f>AH109</f>
        <v/>
      </c>
      <c r="AR109" s="25" t="n">
        <v>66679.62000000104</v>
      </c>
      <c r="AS109" s="26" t="n">
        <v>13.8</v>
      </c>
      <c r="AT109" s="15" t="n">
        <v>17415406.91</v>
      </c>
      <c r="AU109" s="15" t="n">
        <v>26350.721</v>
      </c>
      <c r="AV109" s="15" t="n">
        <v>1123.12</v>
      </c>
      <c r="AW109" s="15" t="n"/>
      <c r="AX109" s="16" t="n">
        <v>421.8376615936272</v>
      </c>
      <c r="AY109" s="13">
        <f>IF(OR(AX109="",AX109=0,AU109=""),"",AU109*365/(AX109*1000000))</f>
        <v/>
      </c>
      <c r="AZ109" s="15" t="n">
        <v>426056290.8527</v>
      </c>
      <c r="BA109" s="17" t="n">
        <v>60487233</v>
      </c>
      <c r="BB109" s="18" t="n">
        <v>17415406.91</v>
      </c>
      <c r="BC109" s="17" t="n">
        <v>2971663</v>
      </c>
      <c r="BD109" s="17">
        <f>1000000000-999816198.1766+0.0000</f>
        <v/>
      </c>
      <c r="BE109" s="19">
        <f>1000000000-AZ109-BA109-BB109-BC109-BD109</f>
        <v/>
      </c>
      <c r="BF109" s="20" t="n">
        <v>238</v>
      </c>
      <c r="BG109" s="20">
        <f>BE109/1000000-BF109</f>
        <v/>
      </c>
      <c r="BH109" s="21">
        <f>BE109*13.8</f>
        <v/>
      </c>
    </row>
    <row r="110">
      <c r="A110" s="10" t="n">
        <v>45732</v>
      </c>
      <c r="B110" s="11" t="n">
        <v>3662298196</v>
      </c>
      <c r="C110" s="11" t="n"/>
      <c r="D110" s="12" t="n">
        <v>61473426</v>
      </c>
      <c r="E110" s="11" t="n"/>
      <c r="N110" s="12" t="n">
        <v>832729</v>
      </c>
      <c r="O110" s="11" t="n"/>
      <c r="P110" s="12" t="n">
        <v>10659</v>
      </c>
      <c r="Q110" s="11" t="n"/>
      <c r="R110" s="21">
        <f>N110+O110+P110+N(Q110)</f>
        <v/>
      </c>
      <c r="S110" s="13" t="n">
        <v>0.03</v>
      </c>
      <c r="T110" s="21">
        <f>N(AC110)*S110</f>
        <v/>
      </c>
      <c r="U110" s="21">
        <f>N(AD110)*S110</f>
        <v/>
      </c>
      <c r="V110" s="21">
        <f>N(AE110)*S110</f>
        <v/>
      </c>
      <c r="W110" s="21">
        <f>IF(Q110="","",N(AF110)*S110)</f>
        <v/>
      </c>
      <c r="X110" s="12" t="n">
        <v>0</v>
      </c>
      <c r="Y110" s="11" t="n"/>
      <c r="Z110" s="11" t="n"/>
      <c r="AA110" s="21">
        <f>T110+U110+V110+N(W110)+X110+Y110+N(Z110)</f>
        <v/>
      </c>
      <c r="AB110" s="11" t="n"/>
      <c r="AC110" s="12" t="n">
        <v>807747</v>
      </c>
      <c r="AD110" s="21">
        <f>O110-Y110</f>
        <v/>
      </c>
      <c r="AE110" s="21">
        <f>P110-X110</f>
        <v/>
      </c>
      <c r="AF110" s="21">
        <f>IF(Q110="","",Q110-Z110)</f>
        <v/>
      </c>
      <c r="AG110" s="22">
        <f>AC110+AD110+AE110+N(AF110)</f>
        <v/>
      </c>
      <c r="AH110" s="23" t="n">
        <v>818086</v>
      </c>
      <c r="AI110" s="24">
        <f>AG110-AH110</f>
        <v/>
      </c>
      <c r="AJ110" s="14">
        <f>IF(OR(B110="",B110=0,N110=""),"",N110/B110*10000)</f>
        <v/>
      </c>
      <c r="AK110" s="14">
        <f>IF(OR(C110="",C110=0),"",O110/C110*10000)</f>
        <v/>
      </c>
      <c r="AL110" s="14">
        <f>IF(OR(D110="",D110=0),"",P110/D110*10000)</f>
        <v/>
      </c>
      <c r="AM110" s="14">
        <f>IF(OR(E110="",E110=0),"",Q110/E110*10000)</f>
        <v/>
      </c>
      <c r="AN110" s="11" t="n">
        <v>0</v>
      </c>
      <c r="AO110" s="11" t="n">
        <v>0</v>
      </c>
      <c r="AP110" s="21">
        <f>AH110+AN110+AO110</f>
        <v/>
      </c>
      <c r="AQ110" s="21">
        <f>AH110</f>
        <v/>
      </c>
      <c r="AR110" s="25" t="n">
        <v>33187.33999999985</v>
      </c>
      <c r="AS110" s="26" t="n">
        <v>14.38</v>
      </c>
      <c r="AT110" s="15" t="n">
        <v>17448594.25</v>
      </c>
      <c r="AU110" s="15" t="n">
        <v>26366.3447</v>
      </c>
      <c r="AV110" s="15" t="n">
        <v>394.0556</v>
      </c>
      <c r="AW110" s="15" t="n"/>
      <c r="AX110" s="16" t="n">
        <v>421.855200337141</v>
      </c>
      <c r="AY110" s="13">
        <f>IF(OR(AX110="",AX110=0,AU110=""),"",AU110*365/(AX110*1000000))</f>
        <v/>
      </c>
      <c r="AZ110" s="15" t="n">
        <v>426029924.508</v>
      </c>
      <c r="BA110" s="17" t="n">
        <v>60487233</v>
      </c>
      <c r="BB110" s="18" t="n">
        <v>17448594.25</v>
      </c>
      <c r="BC110" s="17" t="n">
        <v>2971663</v>
      </c>
      <c r="BD110" s="17">
        <f>1000000000-999815804.121+0.0000</f>
        <v/>
      </c>
      <c r="BE110" s="19">
        <f>1000000000-AZ110-BA110-BB110-BC110-BD110</f>
        <v/>
      </c>
      <c r="BF110" s="20" t="n">
        <v>238</v>
      </c>
      <c r="BG110" s="20">
        <f>BE110/1000000-BF110</f>
        <v/>
      </c>
      <c r="BH110" s="21">
        <f>BE110*14.38</f>
        <v/>
      </c>
    </row>
    <row r="111">
      <c r="A111" s="10" t="n">
        <v>45733</v>
      </c>
      <c r="B111" s="11" t="n">
        <v>3724551748</v>
      </c>
      <c r="C111" s="11" t="n"/>
      <c r="D111" s="12" t="n">
        <v>62237612</v>
      </c>
      <c r="E111" s="11" t="n"/>
      <c r="N111" s="12" t="n">
        <v>801532</v>
      </c>
      <c r="O111" s="11" t="n"/>
      <c r="P111" s="12" t="n">
        <v>8208</v>
      </c>
      <c r="Q111" s="11" t="n"/>
      <c r="R111" s="21">
        <f>N111+O111+P111+N(Q111)</f>
        <v/>
      </c>
      <c r="S111" s="13" t="n">
        <v>0.03</v>
      </c>
      <c r="T111" s="21">
        <f>N(AC111)*S111</f>
        <v/>
      </c>
      <c r="U111" s="21">
        <f>N(AD111)*S111</f>
        <v/>
      </c>
      <c r="V111" s="21">
        <f>N(AE111)*S111</f>
        <v/>
      </c>
      <c r="W111" s="21">
        <f>IF(Q111="","",N(AF111)*S111)</f>
        <v/>
      </c>
      <c r="X111" s="12" t="n">
        <v>0</v>
      </c>
      <c r="Y111" s="11" t="n"/>
      <c r="Z111" s="11" t="n"/>
      <c r="AA111" s="21">
        <f>T111+U111+V111+N(W111)+X111+Y111+N(Z111)</f>
        <v/>
      </c>
      <c r="AB111" s="11" t="n"/>
      <c r="AC111" s="12" t="n">
        <v>777486</v>
      </c>
      <c r="AD111" s="21">
        <f>O111-Y111</f>
        <v/>
      </c>
      <c r="AE111" s="21">
        <f>P111-X111</f>
        <v/>
      </c>
      <c r="AF111" s="21">
        <f>IF(Q111="","",Q111-Z111)</f>
        <v/>
      </c>
      <c r="AG111" s="22">
        <f>AC111+AD111+AE111+N(AF111)</f>
        <v/>
      </c>
      <c r="AH111" s="23" t="n">
        <v>785447</v>
      </c>
      <c r="AI111" s="24">
        <f>AG111-AH111</f>
        <v/>
      </c>
      <c r="AJ111" s="14">
        <f>IF(OR(B111="",B111=0,N111=""),"",N111/B111*10000)</f>
        <v/>
      </c>
      <c r="AK111" s="14">
        <f>IF(OR(C111="",C111=0),"",O111/C111*10000)</f>
        <v/>
      </c>
      <c r="AL111" s="14">
        <f>IF(OR(D111="",D111=0),"",P111/D111*10000)</f>
        <v/>
      </c>
      <c r="AM111" s="14">
        <f>IF(OR(E111="",E111=0),"",Q111/E111*10000)</f>
        <v/>
      </c>
      <c r="AN111" s="11" t="n">
        <v>0</v>
      </c>
      <c r="AO111" s="11" t="n">
        <v>0</v>
      </c>
      <c r="AP111" s="21">
        <f>AH111+AN111+AO111</f>
        <v/>
      </c>
      <c r="AQ111" s="21">
        <f>AH111</f>
        <v/>
      </c>
      <c r="AR111" s="25" t="n">
        <v>66425.17000000179</v>
      </c>
      <c r="AS111" s="26" t="n">
        <v>12.97</v>
      </c>
      <c r="AT111" s="15" t="n">
        <v>17515019.42</v>
      </c>
      <c r="AU111" s="15" t="n">
        <v>26359.8114</v>
      </c>
      <c r="AV111" s="15" t="n">
        <v>337.0554</v>
      </c>
      <c r="AW111" s="15" t="n"/>
      <c r="AX111" s="16" t="n">
        <v>421.5803246758637</v>
      </c>
      <c r="AY111" s="13">
        <f>IF(OR(AX111="",AX111=0,AU111=""),"",AU111*365/(AX111*1000000))</f>
        <v/>
      </c>
      <c r="AZ111" s="15" t="n">
        <v>426003564.6966</v>
      </c>
      <c r="BA111" s="17" t="n">
        <v>60487233</v>
      </c>
      <c r="BB111" s="18" t="n">
        <v>17515019.42</v>
      </c>
      <c r="BC111" s="17" t="n">
        <v>2971663</v>
      </c>
      <c r="BD111" s="17">
        <f>1000000000-999815467.0656+0.0000</f>
        <v/>
      </c>
      <c r="BE111" s="19">
        <f>1000000000-AZ111-BA111-BB111-BC111-BD111</f>
        <v/>
      </c>
      <c r="BF111" s="20" t="n">
        <v>238</v>
      </c>
      <c r="BG111" s="20">
        <f>BE111/1000000-BF111</f>
        <v/>
      </c>
      <c r="BH111" s="21">
        <f>BE111*12.97</f>
        <v/>
      </c>
    </row>
    <row r="112">
      <c r="A112" s="10" t="n">
        <v>45734</v>
      </c>
      <c r="B112" s="11" t="n">
        <v>4923537605</v>
      </c>
      <c r="C112" s="11" t="n"/>
      <c r="D112" s="12" t="n">
        <v>57535112</v>
      </c>
      <c r="E112" s="11" t="n"/>
      <c r="N112" s="12" t="n">
        <v>1117474</v>
      </c>
      <c r="O112" s="11" t="n"/>
      <c r="P112" s="12" t="n">
        <v>8169</v>
      </c>
      <c r="Q112" s="11" t="n"/>
      <c r="R112" s="21">
        <f>N112+O112+P112+N(Q112)</f>
        <v/>
      </c>
      <c r="S112" s="13" t="n">
        <v>0.03</v>
      </c>
      <c r="T112" s="21">
        <f>N(AC112)*S112</f>
        <v/>
      </c>
      <c r="U112" s="21">
        <f>N(AD112)*S112</f>
        <v/>
      </c>
      <c r="V112" s="21">
        <f>N(AE112)*S112</f>
        <v/>
      </c>
      <c r="W112" s="21">
        <f>IF(Q112="","",N(AF112)*S112)</f>
        <v/>
      </c>
      <c r="X112" s="12" t="n">
        <v>0</v>
      </c>
      <c r="Y112" s="11" t="n"/>
      <c r="Z112" s="11" t="n"/>
      <c r="AA112" s="21">
        <f>T112+U112+V112+N(W112)+X112+Y112+N(Z112)</f>
        <v/>
      </c>
      <c r="AB112" s="11" t="n"/>
      <c r="AC112" s="12" t="n">
        <v>1083950</v>
      </c>
      <c r="AD112" s="21">
        <f>O112-Y112</f>
        <v/>
      </c>
      <c r="AE112" s="21">
        <f>P112-X112</f>
        <v/>
      </c>
      <c r="AF112" s="21">
        <f>IF(Q112="","",Q112-Z112)</f>
        <v/>
      </c>
      <c r="AG112" s="22">
        <f>AC112+AD112+AE112+N(AF112)</f>
        <v/>
      </c>
      <c r="AH112" s="23" t="n">
        <v>1091874</v>
      </c>
      <c r="AI112" s="24">
        <f>AG112-AH112</f>
        <v/>
      </c>
      <c r="AJ112" s="14">
        <f>IF(OR(B112="",B112=0,N112=""),"",N112/B112*10000)</f>
        <v/>
      </c>
      <c r="AK112" s="14">
        <f>IF(OR(C112="",C112=0),"",O112/C112*10000)</f>
        <v/>
      </c>
      <c r="AL112" s="14">
        <f>IF(OR(D112="",D112=0),"",P112/D112*10000)</f>
        <v/>
      </c>
      <c r="AM112" s="14">
        <f>IF(OR(E112="",E112=0),"",Q112/E112*10000)</f>
        <v/>
      </c>
      <c r="AN112" s="11" t="n">
        <v>0</v>
      </c>
      <c r="AO112" s="11" t="n">
        <v>0</v>
      </c>
      <c r="AP112" s="21">
        <f>AH112+AN112+AO112</f>
        <v/>
      </c>
      <c r="AQ112" s="21">
        <f>AH112</f>
        <v/>
      </c>
      <c r="AR112" s="25" t="n">
        <v>78677.30999999866</v>
      </c>
      <c r="AS112" s="26" t="n">
        <v>13.25</v>
      </c>
      <c r="AT112" s="15" t="n">
        <v>17593696.73</v>
      </c>
      <c r="AU112" s="15" t="n">
        <v>26362.7924</v>
      </c>
      <c r="AV112" s="15" t="n">
        <v>471.6324</v>
      </c>
      <c r="AW112" s="15" t="n"/>
      <c r="AX112" s="16" t="n">
        <v>422.1369419919741</v>
      </c>
      <c r="AY112" s="13">
        <f>IF(OR(AX112="",AX112=0,AU112=""),"",AU112*365/(AX112*1000000))</f>
        <v/>
      </c>
      <c r="AZ112" s="15" t="n">
        <v>425977201.9042</v>
      </c>
      <c r="BA112" s="17" t="n">
        <v>60487233</v>
      </c>
      <c r="BB112" s="18" t="n">
        <v>17593696.73</v>
      </c>
      <c r="BC112" s="17" t="n">
        <v>2971663</v>
      </c>
      <c r="BD112" s="17">
        <f>1000000000-999814995.4333+0.0000</f>
        <v/>
      </c>
      <c r="BE112" s="19">
        <f>1000000000-AZ112-BA112-BB112-BC112-BD112</f>
        <v/>
      </c>
      <c r="BF112" s="20" t="n">
        <v>238</v>
      </c>
      <c r="BG112" s="20">
        <f>BE112/1000000-BF112</f>
        <v/>
      </c>
      <c r="BH112" s="21">
        <f>BE112*13.25</f>
        <v/>
      </c>
    </row>
    <row r="113">
      <c r="A113" s="10" t="n">
        <v>45735</v>
      </c>
      <c r="B113" s="11" t="n">
        <v>5936470684</v>
      </c>
      <c r="C113" s="11" t="n"/>
      <c r="D113" s="12" t="n">
        <v>135305314</v>
      </c>
      <c r="E113" s="11" t="n"/>
      <c r="N113" s="12" t="n">
        <v>1398091</v>
      </c>
      <c r="O113" s="11" t="n"/>
      <c r="P113" s="12" t="n">
        <v>18478</v>
      </c>
      <c r="Q113" s="11" t="n"/>
      <c r="R113" s="21">
        <f>N113+O113+P113+N(Q113)</f>
        <v/>
      </c>
      <c r="S113" s="13" t="n">
        <v>0.03</v>
      </c>
      <c r="T113" s="21">
        <f>N(AC113)*S113</f>
        <v/>
      </c>
      <c r="U113" s="21">
        <f>N(AD113)*S113</f>
        <v/>
      </c>
      <c r="V113" s="21">
        <f>N(AE113)*S113</f>
        <v/>
      </c>
      <c r="W113" s="21">
        <f>IF(Q113="","",N(AF113)*S113)</f>
        <v/>
      </c>
      <c r="X113" s="12" t="n">
        <v>0</v>
      </c>
      <c r="Y113" s="11" t="n"/>
      <c r="Z113" s="11" t="n"/>
      <c r="AA113" s="21">
        <f>T113+U113+V113+N(W113)+X113+Y113+N(Z113)</f>
        <v/>
      </c>
      <c r="AB113" s="11" t="n"/>
      <c r="AC113" s="12" t="n">
        <v>1356148</v>
      </c>
      <c r="AD113" s="21">
        <f>O113-Y113</f>
        <v/>
      </c>
      <c r="AE113" s="21">
        <f>P113-X113</f>
        <v/>
      </c>
      <c r="AF113" s="21">
        <f>IF(Q113="","",Q113-Z113)</f>
        <v/>
      </c>
      <c r="AG113" s="22">
        <f>AC113+AD113+AE113+N(AF113)</f>
        <v/>
      </c>
      <c r="AH113" s="23" t="n">
        <v>1374072</v>
      </c>
      <c r="AI113" s="24">
        <f>AG113-AH113</f>
        <v/>
      </c>
      <c r="AJ113" s="14">
        <f>IF(OR(B113="",B113=0,N113=""),"",N113/B113*10000)</f>
        <v/>
      </c>
      <c r="AK113" s="14">
        <f>IF(OR(C113="",C113=0),"",O113/C113*10000)</f>
        <v/>
      </c>
      <c r="AL113" s="14">
        <f>IF(OR(D113="",D113=0),"",P113/D113*10000)</f>
        <v/>
      </c>
      <c r="AM113" s="14">
        <f>IF(OR(E113="",E113=0),"",Q113/E113*10000)</f>
        <v/>
      </c>
      <c r="AN113" s="11" t="n">
        <v>0</v>
      </c>
      <c r="AO113" s="11" t="n">
        <v>0</v>
      </c>
      <c r="AP113" s="21">
        <f>AH113+AN113+AO113</f>
        <v/>
      </c>
      <c r="AQ113" s="21">
        <f>AH113</f>
        <v/>
      </c>
      <c r="AR113" s="25" t="n">
        <v>64659.08999999985</v>
      </c>
      <c r="AS113" s="26" t="n">
        <v>14.17</v>
      </c>
      <c r="AT113" s="15" t="n">
        <v>17658355.82</v>
      </c>
      <c r="AU113" s="15" t="n">
        <v>26377.2891</v>
      </c>
      <c r="AV113" s="15" t="n">
        <v>408.8611</v>
      </c>
      <c r="AW113" s="15" t="n"/>
      <c r="AX113" s="16" t="n">
        <v>422.4574200670626</v>
      </c>
      <c r="AY113" s="13">
        <f>IF(OR(AX113="",AX113=0,AU113=""),"",AU113*365/(AX113*1000000))</f>
        <v/>
      </c>
      <c r="AZ113" s="15" t="n">
        <v>425950824.6151</v>
      </c>
      <c r="BA113" s="17" t="n">
        <v>60487233</v>
      </c>
      <c r="BB113" s="18" t="n">
        <v>17658355.82</v>
      </c>
      <c r="BC113" s="17" t="n">
        <v>2971663</v>
      </c>
      <c r="BD113" s="17">
        <f>1000000000-999814586.5722+0.0000</f>
        <v/>
      </c>
      <c r="BE113" s="19">
        <f>1000000000-AZ113-BA113-BB113-BC113-BD113</f>
        <v/>
      </c>
      <c r="BF113" s="20" t="n">
        <v>238</v>
      </c>
      <c r="BG113" s="20">
        <f>BE113/1000000-BF113</f>
        <v/>
      </c>
      <c r="BH113" s="21">
        <f>BE113*14.17</f>
        <v/>
      </c>
    </row>
    <row r="114">
      <c r="A114" s="10" t="n">
        <v>45736</v>
      </c>
      <c r="B114" s="11" t="n">
        <v>4798349095</v>
      </c>
      <c r="C114" s="11" t="n"/>
      <c r="D114" s="12" t="n">
        <v>84104047</v>
      </c>
      <c r="E114" s="11" t="n"/>
      <c r="N114" s="12" t="n">
        <v>1147968</v>
      </c>
      <c r="O114" s="11" t="n"/>
      <c r="P114" s="12" t="n">
        <v>14033</v>
      </c>
      <c r="Q114" s="11" t="n"/>
      <c r="R114" s="21">
        <f>N114+O114+P114+N(Q114)</f>
        <v/>
      </c>
      <c r="S114" s="13" t="n">
        <v>0.03</v>
      </c>
      <c r="T114" s="21">
        <f>N(AC114)*S114</f>
        <v/>
      </c>
      <c r="U114" s="21">
        <f>N(AD114)*S114</f>
        <v/>
      </c>
      <c r="V114" s="21">
        <f>N(AE114)*S114</f>
        <v/>
      </c>
      <c r="W114" s="21">
        <f>IF(Q114="","",N(AF114)*S114)</f>
        <v/>
      </c>
      <c r="X114" s="12" t="n">
        <v>0</v>
      </c>
      <c r="Y114" s="11" t="n"/>
      <c r="Z114" s="11" t="n"/>
      <c r="AA114" s="21">
        <f>T114+U114+V114+N(W114)+X114+Y114+N(Z114)</f>
        <v/>
      </c>
      <c r="AB114" s="11" t="n"/>
      <c r="AC114" s="12" t="n">
        <v>1113529</v>
      </c>
      <c r="AD114" s="21">
        <f>O114-Y114</f>
        <v/>
      </c>
      <c r="AE114" s="21">
        <f>P114-X114</f>
        <v/>
      </c>
      <c r="AF114" s="21">
        <f>IF(Q114="","",Q114-Z114)</f>
        <v/>
      </c>
      <c r="AG114" s="22">
        <f>AC114+AD114+AE114+N(AF114)</f>
        <v/>
      </c>
      <c r="AH114" s="11" t="n">
        <v>1360250.11</v>
      </c>
      <c r="AI114" s="24">
        <f>AG114-AH114</f>
        <v/>
      </c>
      <c r="AJ114" s="14">
        <f>IF(OR(B114="",B114=0,N114=""),"",N114/B114*10000)</f>
        <v/>
      </c>
      <c r="AK114" s="14">
        <f>IF(OR(C114="",C114=0),"",O114/C114*10000)</f>
        <v/>
      </c>
      <c r="AL114" s="14">
        <f>IF(OR(D114="",D114=0),"",P114/D114*10000)</f>
        <v/>
      </c>
      <c r="AM114" s="14">
        <f>IF(OR(E114="",E114=0),"",Q114/E114*10000)</f>
        <v/>
      </c>
      <c r="AN114" s="11" t="n">
        <v>222.6507295013011</v>
      </c>
      <c r="AO114" s="11" t="n">
        <v>35438.86</v>
      </c>
      <c r="AP114" s="21">
        <f>AH114+AN114+AO114</f>
        <v/>
      </c>
      <c r="AQ114" s="21">
        <f>AH114</f>
        <v/>
      </c>
      <c r="AR114" s="15" t="n">
        <v>93242.48</v>
      </c>
      <c r="AS114" s="27" t="n">
        <v>14.588309</v>
      </c>
      <c r="AT114" s="15" t="n">
        <v>17751598.3</v>
      </c>
      <c r="AU114" s="15" t="n">
        <v>26389.3845</v>
      </c>
      <c r="AV114" s="15" t="n">
        <v>1047.6243</v>
      </c>
      <c r="AW114" s="15" t="n"/>
      <c r="AX114" s="16" t="n">
        <v>423.3680320681051</v>
      </c>
      <c r="AY114" s="13">
        <f>IF(OR(AX114="",AX114=0,AU114=""),"",AU114*365/(AX114*1000000))</f>
        <v/>
      </c>
      <c r="AZ114" s="15" t="n">
        <v>425924435.2306</v>
      </c>
      <c r="BA114" s="17" t="n">
        <v>60487233</v>
      </c>
      <c r="BB114" s="18" t="n">
        <v>17751598.3</v>
      </c>
      <c r="BC114" s="17" t="n">
        <v>2971663</v>
      </c>
      <c r="BD114" s="17">
        <f>1000000000-999813538.9479+15.7406</f>
        <v/>
      </c>
      <c r="BE114" s="19">
        <f>1000000000-AZ114-BA114-BB114-BC114-BD114</f>
        <v/>
      </c>
      <c r="BF114" s="20" t="n">
        <v>238</v>
      </c>
      <c r="BG114" s="20">
        <f>BE114/1000000-BF114</f>
        <v/>
      </c>
      <c r="BH114" s="21">
        <f>BE114*15.62</f>
        <v/>
      </c>
    </row>
    <row r="115">
      <c r="A115" s="10" t="n">
        <v>45737</v>
      </c>
      <c r="B115" s="11" t="n">
        <v>3535282613</v>
      </c>
      <c r="C115" s="11" t="n"/>
      <c r="D115" s="12" t="n">
        <v>96389184</v>
      </c>
      <c r="E115" s="11" t="n"/>
      <c r="N115" s="12" t="n">
        <v>846172</v>
      </c>
      <c r="O115" s="11" t="n"/>
      <c r="P115" s="12" t="n">
        <v>12366</v>
      </c>
      <c r="Q115" s="11" t="n"/>
      <c r="R115" s="21">
        <f>N115+O115+P115+N(Q115)</f>
        <v/>
      </c>
      <c r="S115" s="13" t="n">
        <v>0.03</v>
      </c>
      <c r="T115" s="21">
        <f>N(AC115)*S115</f>
        <v/>
      </c>
      <c r="U115" s="21">
        <f>N(AD115)*S115</f>
        <v/>
      </c>
      <c r="V115" s="21">
        <f>N(AE115)*S115</f>
        <v/>
      </c>
      <c r="W115" s="21">
        <f>IF(Q115="","",N(AF115)*S115)</f>
        <v/>
      </c>
      <c r="X115" s="12" t="n">
        <v>0</v>
      </c>
      <c r="Y115" s="11" t="n"/>
      <c r="Z115" s="11" t="n"/>
      <c r="AA115" s="21">
        <f>T115+U115+V115+N(W115)+X115+Y115+N(Z115)</f>
        <v/>
      </c>
      <c r="AB115" s="11" t="n"/>
      <c r="AC115" s="12" t="n">
        <v>820786</v>
      </c>
      <c r="AD115" s="21">
        <f>O115-Y115</f>
        <v/>
      </c>
      <c r="AE115" s="21">
        <f>P115-X115</f>
        <v/>
      </c>
      <c r="AF115" s="21">
        <f>IF(Q115="","",Q115-Z115)</f>
        <v/>
      </c>
      <c r="AG115" s="22">
        <f>AC115+AD115+AE115+N(AF115)</f>
        <v/>
      </c>
      <c r="AH115" s="11" t="n">
        <v>1031164.897</v>
      </c>
      <c r="AI115" s="24">
        <f>AG115-AH115</f>
        <v/>
      </c>
      <c r="AJ115" s="14">
        <f>IF(OR(B115="",B115=0,N115=""),"",N115/B115*10000)</f>
        <v/>
      </c>
      <c r="AK115" s="14">
        <f>IF(OR(C115="",C115=0),"",O115/C115*10000)</f>
        <v/>
      </c>
      <c r="AL115" s="14">
        <f>IF(OR(D115="",D115=0),"",P115/D115*10000)</f>
        <v/>
      </c>
      <c r="AM115" s="14">
        <f>IF(OR(E115="",E115=0),"",Q115/E115*10000)</f>
        <v/>
      </c>
      <c r="AN115" s="11" t="n">
        <v>2823.908911723947</v>
      </c>
      <c r="AO115" s="11" t="n">
        <v>45038.24</v>
      </c>
      <c r="AP115" s="21">
        <f>AH115+AN115+AO115</f>
        <v/>
      </c>
      <c r="AQ115" s="21">
        <f>AH115</f>
        <v/>
      </c>
      <c r="AR115" s="15" t="n">
        <v>70431.98</v>
      </c>
      <c r="AS115" s="27" t="n">
        <v>14.640578</v>
      </c>
      <c r="AT115" s="15" t="n">
        <v>17822030.28</v>
      </c>
      <c r="AU115" s="15" t="n">
        <v>26422.8998</v>
      </c>
      <c r="AV115" s="15" t="n">
        <v>592.8651</v>
      </c>
      <c r="AW115" s="15" t="n"/>
      <c r="AX115" s="16" t="n">
        <v>423.9998133164792</v>
      </c>
      <c r="AY115" s="13">
        <f>IF(OR(AX115="",AX115=0,AU115=""),"",AU115*365/(AX115*1000000))</f>
        <v/>
      </c>
      <c r="AZ115" s="15" t="n">
        <v>425898012.3309</v>
      </c>
      <c r="BA115" s="17" t="n">
        <v>60487233</v>
      </c>
      <c r="BB115" s="18" t="n">
        <v>17822030.28</v>
      </c>
      <c r="BC115" s="17" t="n">
        <v>2971663</v>
      </c>
      <c r="BD115" s="17">
        <f>1000000000-999812946.0828+193.1998</f>
        <v/>
      </c>
      <c r="BE115" s="19">
        <f>1000000000-AZ115-BA115-BB115-BC115-BD115</f>
        <v/>
      </c>
      <c r="BF115" s="20" t="n">
        <v>238</v>
      </c>
      <c r="BG115" s="20">
        <f>BE115/1000000-BF115</f>
        <v/>
      </c>
      <c r="BH115" s="21">
        <f>BE115*14.15</f>
        <v/>
      </c>
    </row>
    <row r="116">
      <c r="A116" s="10" t="n">
        <v>45738</v>
      </c>
      <c r="B116" s="11" t="n">
        <v>2045427812</v>
      </c>
      <c r="C116" s="11" t="n"/>
      <c r="D116" s="12" t="n">
        <v>50878685</v>
      </c>
      <c r="E116" s="11" t="n"/>
      <c r="N116" s="12" t="n">
        <v>520879</v>
      </c>
      <c r="O116" s="11" t="n"/>
      <c r="P116" s="12" t="n">
        <v>8437</v>
      </c>
      <c r="Q116" s="11" t="n"/>
      <c r="R116" s="21">
        <f>N116+O116+P116+N(Q116)</f>
        <v/>
      </c>
      <c r="S116" s="13" t="n">
        <v>0.03</v>
      </c>
      <c r="T116" s="21">
        <f>N(AC116)*S116</f>
        <v/>
      </c>
      <c r="U116" s="21">
        <f>N(AD116)*S116</f>
        <v/>
      </c>
      <c r="V116" s="21">
        <f>N(AE116)*S116</f>
        <v/>
      </c>
      <c r="W116" s="21">
        <f>IF(Q116="","",N(AF116)*S116)</f>
        <v/>
      </c>
      <c r="X116" s="12" t="n">
        <v>0</v>
      </c>
      <c r="Y116" s="11" t="n"/>
      <c r="Z116" s="11" t="n"/>
      <c r="AA116" s="21">
        <f>T116+U116+V116+N(W116)+X116+Y116+N(Z116)</f>
        <v/>
      </c>
      <c r="AB116" s="11" t="n"/>
      <c r="AC116" s="12" t="n">
        <v>505253</v>
      </c>
      <c r="AD116" s="21">
        <f>O116-Y116</f>
        <v/>
      </c>
      <c r="AE116" s="21">
        <f>P116-X116</f>
        <v/>
      </c>
      <c r="AF116" s="21">
        <f>IF(Q116="","",Q116-Z116)</f>
        <v/>
      </c>
      <c r="AG116" s="22">
        <f>AC116+AD116+AE116+N(AF116)</f>
        <v/>
      </c>
      <c r="AH116" s="11" t="n">
        <v>847303.1758</v>
      </c>
      <c r="AI116" s="24">
        <f>AG116-AH116</f>
        <v/>
      </c>
      <c r="AJ116" s="14">
        <f>IF(OR(B116="",B116=0,N116=""),"",N116/B116*10000)</f>
        <v/>
      </c>
      <c r="AK116" s="14">
        <f>IF(OR(C116="",C116=0),"",O116/C116*10000)</f>
        <v/>
      </c>
      <c r="AL116" s="14">
        <f>IF(OR(D116="",D116=0),"",P116/D116*10000)</f>
        <v/>
      </c>
      <c r="AM116" s="14">
        <f>IF(OR(E116="",E116=0),"",Q116/E116*10000)</f>
        <v/>
      </c>
      <c r="AN116" s="11" t="n">
        <v>212.6556887149741</v>
      </c>
      <c r="AO116" s="11" t="n">
        <v>57676.12</v>
      </c>
      <c r="AP116" s="21">
        <f>AH116+AN116+AO116</f>
        <v/>
      </c>
      <c r="AQ116" s="21">
        <f>AH116</f>
        <v/>
      </c>
      <c r="AR116" s="15" t="n">
        <v>53131.87</v>
      </c>
      <c r="AS116" s="27" t="n">
        <v>15.947174</v>
      </c>
      <c r="AT116" s="15" t="n">
        <v>17875162.15</v>
      </c>
      <c r="AU116" s="15" t="n">
        <v>26439.0599</v>
      </c>
      <c r="AV116" s="15" t="n">
        <v>633.9893</v>
      </c>
      <c r="AW116" s="15" t="n"/>
      <c r="AX116" s="16" t="n">
        <v>424.3938045456086</v>
      </c>
      <c r="AY116" s="13">
        <f>IF(OR(AX116="",AX116=0,AU116=""),"",AU116*365/(AX116*1000000))</f>
        <v/>
      </c>
      <c r="AZ116" s="15" t="n">
        <v>425871573.271</v>
      </c>
      <c r="BA116" s="17" t="n">
        <v>60487233</v>
      </c>
      <c r="BB116" s="18" t="n">
        <v>17875162.15</v>
      </c>
      <c r="BC116" s="17" t="n">
        <v>2971663</v>
      </c>
      <c r="BD116" s="17">
        <f>1000000000-999812312.0935+206.8561</f>
        <v/>
      </c>
      <c r="BE116" s="19">
        <f>1000000000-AZ116-BA116-BB116-BC116-BD116</f>
        <v/>
      </c>
      <c r="BF116" s="20" t="n">
        <v>238</v>
      </c>
      <c r="BG116" s="20">
        <f>BE116/1000000-BF116</f>
        <v/>
      </c>
      <c r="BH116" s="21">
        <f>BE116*15.93</f>
        <v/>
      </c>
    </row>
    <row r="117">
      <c r="A117" s="10" t="n">
        <v>45739</v>
      </c>
      <c r="B117" s="11" t="n">
        <v>2462791313</v>
      </c>
      <c r="C117" s="11" t="n"/>
      <c r="D117" s="12" t="n">
        <v>48432865</v>
      </c>
      <c r="E117" s="11" t="n"/>
      <c r="N117" s="12" t="n">
        <v>552692</v>
      </c>
      <c r="O117" s="11" t="n"/>
      <c r="P117" s="12" t="n">
        <v>6558</v>
      </c>
      <c r="Q117" s="11" t="n"/>
      <c r="R117" s="21">
        <f>N117+O117+P117+N(Q117)</f>
        <v/>
      </c>
      <c r="S117" s="13" t="n">
        <v>0.03</v>
      </c>
      <c r="T117" s="21">
        <f>N(AC117)*S117</f>
        <v/>
      </c>
      <c r="U117" s="21">
        <f>N(AD117)*S117</f>
        <v/>
      </c>
      <c r="V117" s="21">
        <f>N(AE117)*S117</f>
        <v/>
      </c>
      <c r="W117" s="21">
        <f>IF(Q117="","",N(AF117)*S117)</f>
        <v/>
      </c>
      <c r="X117" s="12" t="n">
        <v>0</v>
      </c>
      <c r="Y117" s="11" t="n"/>
      <c r="Z117" s="11" t="n"/>
      <c r="AA117" s="21">
        <f>T117+U117+V117+N(W117)+X117+Y117+N(Z117)</f>
        <v/>
      </c>
      <c r="AB117" s="11" t="n"/>
      <c r="AC117" s="12" t="n">
        <v>536111</v>
      </c>
      <c r="AD117" s="21">
        <f>O117-Y117</f>
        <v/>
      </c>
      <c r="AE117" s="21">
        <f>P117-X117</f>
        <v/>
      </c>
      <c r="AF117" s="21">
        <f>IF(Q117="","",Q117-Z117)</f>
        <v/>
      </c>
      <c r="AG117" s="22">
        <f>AC117+AD117+AE117+N(AF117)</f>
        <v/>
      </c>
      <c r="AH117" s="11" t="n">
        <v>450708.7431</v>
      </c>
      <c r="AI117" s="24">
        <f>AG117-AH117</f>
        <v/>
      </c>
      <c r="AJ117" s="14">
        <f>IF(OR(B117="",B117=0,N117=""),"",N117/B117*10000)</f>
        <v/>
      </c>
      <c r="AK117" s="14">
        <f>IF(OR(C117="",C117=0),"",O117/C117*10000)</f>
        <v/>
      </c>
      <c r="AL117" s="14">
        <f>IF(OR(D117="",D117=0),"",P117/D117*10000)</f>
        <v/>
      </c>
      <c r="AM117" s="14">
        <f>IF(OR(E117="",E117=0),"",Q117/E117*10000)</f>
        <v/>
      </c>
      <c r="AN117" s="11" t="n">
        <v>313.5206917487217</v>
      </c>
      <c r="AO117" s="11" t="n">
        <v>0</v>
      </c>
      <c r="AP117" s="21">
        <f>AH117+AN117+AO117</f>
        <v/>
      </c>
      <c r="AQ117" s="21">
        <f>AH117</f>
        <v/>
      </c>
      <c r="AR117" s="15" t="n">
        <v>28455.13</v>
      </c>
      <c r="AS117" s="27" t="n">
        <v>15.839279</v>
      </c>
      <c r="AT117" s="15" t="n">
        <v>17903617.28</v>
      </c>
      <c r="AU117" s="15" t="n">
        <v>26250.6168</v>
      </c>
      <c r="AV117" s="15" t="n">
        <v>393.117</v>
      </c>
      <c r="AW117" s="15" t="n"/>
      <c r="AX117" s="16" t="n">
        <v>423.2219214331626</v>
      </c>
      <c r="AY117" s="13">
        <f>IF(OR(AX117="",AX117=0,AU117=""),"",AU117*365/(AX117*1000000))</f>
        <v/>
      </c>
      <c r="AZ117" s="15" t="n">
        <v>425845322.6542</v>
      </c>
      <c r="BA117" s="17" t="n">
        <v>60487233</v>
      </c>
      <c r="BB117" s="18" t="n">
        <v>17903617.28</v>
      </c>
      <c r="BC117" s="17" t="n">
        <v>2971663</v>
      </c>
      <c r="BD117" s="17">
        <f>1000000000-999811918.9765+226.0799</f>
        <v/>
      </c>
      <c r="BE117" s="19">
        <f>1000000000-AZ117-BA117-BB117-BC117-BD117</f>
        <v/>
      </c>
      <c r="BF117" s="20" t="n">
        <v>238</v>
      </c>
      <c r="BG117" s="20">
        <f>BE117/1000000-BF117</f>
        <v/>
      </c>
      <c r="BH117" s="21">
        <f>BE117*15.57</f>
        <v/>
      </c>
    </row>
    <row r="118">
      <c r="A118" s="10" t="n">
        <v>45740</v>
      </c>
      <c r="B118" s="11" t="n">
        <v>5105825635</v>
      </c>
      <c r="C118" s="11" t="n"/>
      <c r="D118" s="12" t="n">
        <v>130689060</v>
      </c>
      <c r="E118" s="11" t="n"/>
      <c r="N118" s="12" t="n">
        <v>1232375</v>
      </c>
      <c r="O118" s="11" t="n"/>
      <c r="P118" s="12" t="n">
        <v>19185</v>
      </c>
      <c r="Q118" s="11" t="n"/>
      <c r="R118" s="21">
        <f>N118+O118+P118+N(Q118)</f>
        <v/>
      </c>
      <c r="S118" s="13" t="n">
        <v>0.03</v>
      </c>
      <c r="T118" s="21">
        <f>N(AC118)*S118</f>
        <v/>
      </c>
      <c r="U118" s="21">
        <f>N(AD118)*S118</f>
        <v/>
      </c>
      <c r="V118" s="21">
        <f>N(AE118)*S118</f>
        <v/>
      </c>
      <c r="W118" s="21">
        <f>IF(Q118="","",N(AF118)*S118)</f>
        <v/>
      </c>
      <c r="X118" s="12" t="n">
        <v>0</v>
      </c>
      <c r="Y118" s="11" t="n"/>
      <c r="Z118" s="11" t="n"/>
      <c r="AA118" s="21">
        <f>T118+U118+V118+N(W118)+X118+Y118+N(Z118)</f>
        <v/>
      </c>
      <c r="AB118" s="11" t="n"/>
      <c r="AC118" s="12" t="n">
        <v>1195404</v>
      </c>
      <c r="AD118" s="21">
        <f>O118-Y118</f>
        <v/>
      </c>
      <c r="AE118" s="21">
        <f>P118-X118</f>
        <v/>
      </c>
      <c r="AF118" s="21">
        <f>IF(Q118="","",Q118-Z118)</f>
        <v/>
      </c>
      <c r="AG118" s="22">
        <f>AC118+AD118+AE118+N(AF118)</f>
        <v/>
      </c>
      <c r="AH118" s="11" t="n">
        <v>829053.8093</v>
      </c>
      <c r="AI118" s="24">
        <f>AG118-AH118</f>
        <v/>
      </c>
      <c r="AJ118" s="14">
        <f>IF(OR(B118="",B118=0,N118=""),"",N118/B118*10000)</f>
        <v/>
      </c>
      <c r="AK118" s="14">
        <f>IF(OR(C118="",C118=0),"",O118/C118*10000)</f>
        <v/>
      </c>
      <c r="AL118" s="14">
        <f>IF(OR(D118="",D118=0),"",P118/D118*10000)</f>
        <v/>
      </c>
      <c r="AM118" s="14">
        <f>IF(OR(E118="",E118=0),"",Q118/E118*10000)</f>
        <v/>
      </c>
      <c r="AN118" s="11" t="n">
        <v>377.7330302472753</v>
      </c>
      <c r="AO118" s="11" t="n">
        <v>49980</v>
      </c>
      <c r="AP118" s="21">
        <f>AH118+AN118+AO118</f>
        <v/>
      </c>
      <c r="AQ118" s="21">
        <f>AH118</f>
        <v/>
      </c>
      <c r="AR118" s="15" t="n">
        <v>49430.03</v>
      </c>
      <c r="AS118" s="27" t="n">
        <v>16.77227</v>
      </c>
      <c r="AT118" s="15" t="n">
        <v>17953047.31</v>
      </c>
      <c r="AU118" s="15" t="n">
        <v>26407.9725</v>
      </c>
      <c r="AV118" s="15" t="n">
        <v>282.117</v>
      </c>
      <c r="AW118" s="15" t="n"/>
      <c r="AX118" s="16" t="n">
        <v>423.1326552468054</v>
      </c>
      <c r="AY118" s="13">
        <f>IF(OR(AX118="",AX118=0,AU118=""),"",AU118*365/(AX118*1000000))</f>
        <v/>
      </c>
      <c r="AZ118" s="15" t="n">
        <v>425818914.6817</v>
      </c>
      <c r="BA118" s="17" t="n">
        <v>60487233</v>
      </c>
      <c r="BB118" s="18" t="n">
        <v>17953047.31</v>
      </c>
      <c r="BC118" s="17" t="n">
        <v>2971663</v>
      </c>
      <c r="BD118" s="17">
        <f>1000000000-999811636.8595+248.6123</f>
        <v/>
      </c>
      <c r="BE118" s="19">
        <f>1000000000-AZ118-BA118-BB118-BC118-BD118</f>
        <v/>
      </c>
      <c r="BF118" s="20" t="n">
        <v>238</v>
      </c>
      <c r="BG118" s="20">
        <f>BE118/1000000-BF118</f>
        <v/>
      </c>
      <c r="BH118" s="21">
        <f>BE118*16.29</f>
        <v/>
      </c>
    </row>
    <row r="119">
      <c r="A119" s="10" t="n">
        <v>45741</v>
      </c>
      <c r="B119" s="11" t="n">
        <v>3932030199</v>
      </c>
      <c r="C119" s="11" t="n"/>
      <c r="D119" s="12" t="n">
        <v>76294797</v>
      </c>
      <c r="E119" s="11" t="n"/>
      <c r="N119" s="12" t="n">
        <v>971143</v>
      </c>
      <c r="O119" s="11" t="n"/>
      <c r="P119" s="12" t="n">
        <v>11525</v>
      </c>
      <c r="Q119" s="11" t="n"/>
      <c r="R119" s="21">
        <f>N119+O119+P119+N(Q119)</f>
        <v/>
      </c>
      <c r="S119" s="13" t="n">
        <v>0.03</v>
      </c>
      <c r="T119" s="21">
        <f>N(AC119)*S119</f>
        <v/>
      </c>
      <c r="U119" s="21">
        <f>N(AD119)*S119</f>
        <v/>
      </c>
      <c r="V119" s="21">
        <f>N(AE119)*S119</f>
        <v/>
      </c>
      <c r="W119" s="21">
        <f>IF(Q119="","",N(AF119)*S119)</f>
        <v/>
      </c>
      <c r="X119" s="12" t="n">
        <v>0</v>
      </c>
      <c r="Y119" s="11" t="n"/>
      <c r="Z119" s="11" t="n"/>
      <c r="AA119" s="21">
        <f>T119+U119+V119+N(W119)+X119+Y119+N(Z119)</f>
        <v/>
      </c>
      <c r="AB119" s="11" t="n"/>
      <c r="AC119" s="12" t="n">
        <v>942009</v>
      </c>
      <c r="AD119" s="21">
        <f>O119-Y119</f>
        <v/>
      </c>
      <c r="AE119" s="21">
        <f>P119-X119</f>
        <v/>
      </c>
      <c r="AF119" s="21">
        <f>IF(Q119="","",Q119-Z119)</f>
        <v/>
      </c>
      <c r="AG119" s="22">
        <f>AC119+AD119+AE119+N(AF119)</f>
        <v/>
      </c>
      <c r="AH119" s="11" t="n">
        <v>1041581.334</v>
      </c>
      <c r="AI119" s="24">
        <f>AG119-AH119</f>
        <v/>
      </c>
      <c r="AJ119" s="14">
        <f>IF(OR(B119="",B119=0,N119=""),"",N119/B119*10000)</f>
        <v/>
      </c>
      <c r="AK119" s="14">
        <f>IF(OR(C119="",C119=0),"",O119/C119*10000)</f>
        <v/>
      </c>
      <c r="AL119" s="14">
        <f>IF(OR(D119="",D119=0),"",P119/D119*10000)</f>
        <v/>
      </c>
      <c r="AM119" s="14">
        <f>IF(OR(E119="",E119=0),"",Q119/E119*10000)</f>
        <v/>
      </c>
      <c r="AN119" s="11" t="n">
        <v>325.8671064719514</v>
      </c>
      <c r="AO119" s="11" t="n">
        <v>63542.04</v>
      </c>
      <c r="AP119" s="21">
        <f>AH119+AN119+AO119</f>
        <v/>
      </c>
      <c r="AQ119" s="21">
        <f>AH119</f>
        <v/>
      </c>
      <c r="AR119" s="15" t="n">
        <v>63584.4</v>
      </c>
      <c r="AS119" s="27" t="n">
        <v>16.381083</v>
      </c>
      <c r="AT119" s="15" t="n">
        <v>18016631.71</v>
      </c>
      <c r="AU119" s="15" t="n">
        <v>26408.1199</v>
      </c>
      <c r="AV119" s="15" t="n">
        <v>874.4752</v>
      </c>
      <c r="AW119" s="15" t="n"/>
      <c r="AX119" s="16" t="n">
        <v>422.839722290213</v>
      </c>
      <c r="AY119" s="13">
        <f>IF(OR(AX119="",AX119=0,AU119=""),"",AU119*365/(AX119*1000000))</f>
        <v/>
      </c>
      <c r="AZ119" s="15" t="n">
        <v>425792506.5618</v>
      </c>
      <c r="BA119" s="17" t="n">
        <v>60487233</v>
      </c>
      <c r="BB119" s="18" t="n">
        <v>18016631.71</v>
      </c>
      <c r="BC119" s="17" t="n">
        <v>2971663</v>
      </c>
      <c r="BD119" s="17">
        <f>1000000000-999810762.3843+268.9434</f>
        <v/>
      </c>
      <c r="BE119" s="19">
        <f>1000000000-AZ119-BA119-BB119-BC119-BD119</f>
        <v/>
      </c>
      <c r="BF119" s="20" t="n">
        <v>238</v>
      </c>
      <c r="BG119" s="20">
        <f>BE119/1000000-BF119</f>
        <v/>
      </c>
      <c r="BH119" s="21">
        <f>BE119*16.77</f>
        <v/>
      </c>
    </row>
    <row r="120">
      <c r="A120" s="10" t="n">
        <v>45742</v>
      </c>
      <c r="B120" s="11" t="n">
        <v>4546459280</v>
      </c>
      <c r="C120" s="11" t="n"/>
      <c r="D120" s="12" t="n">
        <v>388622924</v>
      </c>
      <c r="E120" s="11" t="n"/>
      <c r="N120" s="12" t="n">
        <v>1064049</v>
      </c>
      <c r="O120" s="11" t="n"/>
      <c r="P120" s="12" t="n">
        <v>62061</v>
      </c>
      <c r="Q120" s="11" t="n"/>
      <c r="R120" s="21">
        <f>N120+O120+P120+N(Q120)</f>
        <v/>
      </c>
      <c r="S120" s="13" t="n">
        <v>0.03</v>
      </c>
      <c r="T120" s="21">
        <f>N(AC120)*S120</f>
        <v/>
      </c>
      <c r="U120" s="21">
        <f>N(AD120)*S120</f>
        <v/>
      </c>
      <c r="V120" s="21">
        <f>N(AE120)*S120</f>
        <v/>
      </c>
      <c r="W120" s="21">
        <f>IF(Q120="","",N(AF120)*S120)</f>
        <v/>
      </c>
      <c r="X120" s="12" t="n">
        <v>0</v>
      </c>
      <c r="Y120" s="11" t="n"/>
      <c r="Z120" s="11" t="n"/>
      <c r="AA120" s="21">
        <f>T120+U120+V120+N(W120)+X120+Y120+N(Z120)</f>
        <v/>
      </c>
      <c r="AB120" s="11" t="n"/>
      <c r="AC120" s="12" t="n">
        <v>1032128</v>
      </c>
      <c r="AD120" s="21">
        <f>O120-Y120</f>
        <v/>
      </c>
      <c r="AE120" s="21">
        <f>P120-X120</f>
        <v/>
      </c>
      <c r="AF120" s="21">
        <f>IF(Q120="","",Q120-Z120)</f>
        <v/>
      </c>
      <c r="AG120" s="22">
        <f>AC120+AD120+AE120+N(AF120)</f>
        <v/>
      </c>
      <c r="AH120" s="11" t="n">
        <v>829339.3903</v>
      </c>
      <c r="AI120" s="24">
        <f>AG120-AH120</f>
        <v/>
      </c>
      <c r="AJ120" s="14">
        <f>IF(OR(B120="",B120=0,N120=""),"",N120/B120*10000)</f>
        <v/>
      </c>
      <c r="AK120" s="14">
        <f>IF(OR(C120="",C120=0),"",O120/C120*10000)</f>
        <v/>
      </c>
      <c r="AL120" s="14">
        <f>IF(OR(D120="",D120=0),"",P120/D120*10000)</f>
        <v/>
      </c>
      <c r="AM120" s="14">
        <f>IF(OR(E120="",E120=0),"",Q120/E120*10000)</f>
        <v/>
      </c>
      <c r="AN120" s="11" t="n">
        <v>520.8885075694189</v>
      </c>
      <c r="AO120" s="11" t="n">
        <v>0</v>
      </c>
      <c r="AP120" s="21">
        <f>AH120+AN120+AO120</f>
        <v/>
      </c>
      <c r="AQ120" s="21">
        <f>AH120</f>
        <v/>
      </c>
      <c r="AR120" s="15" t="n">
        <v>57631.29</v>
      </c>
      <c r="AS120" s="27" t="n">
        <v>14.390436</v>
      </c>
      <c r="AT120" s="15" t="n">
        <v>18074263</v>
      </c>
      <c r="AU120" s="15" t="n">
        <v>26422.3743</v>
      </c>
      <c r="AV120" s="15" t="n">
        <v>418.2386</v>
      </c>
      <c r="AW120" s="15" t="n"/>
      <c r="AX120" s="16" t="n">
        <v>423.699919592859</v>
      </c>
      <c r="AY120" s="13">
        <f>IF(OR(AX120="",AX120=0,AU120=""),"",AU120*365/(AX120*1000000))</f>
        <v/>
      </c>
      <c r="AZ120" s="15" t="n">
        <v>425766084.1875</v>
      </c>
      <c r="BA120" s="17" t="n">
        <v>60487233</v>
      </c>
      <c r="BB120" s="18" t="n">
        <v>18074263</v>
      </c>
      <c r="BC120" s="17" t="n">
        <v>2971663</v>
      </c>
      <c r="BD120" s="17">
        <f>1000000000-999810344.1457+305.9778</f>
        <v/>
      </c>
      <c r="BE120" s="19">
        <f>1000000000-AZ120-BA120-BB120-BC120-BD120</f>
        <v/>
      </c>
      <c r="BF120" s="20" t="n">
        <v>238</v>
      </c>
      <c r="BG120" s="20">
        <f>BE120/1000000-BF120</f>
        <v/>
      </c>
      <c r="BH120" s="21">
        <f>BE120*16.03</f>
        <v/>
      </c>
    </row>
    <row r="121">
      <c r="A121" s="10" t="n">
        <v>45743</v>
      </c>
      <c r="B121" s="11" t="n">
        <v>2968017788</v>
      </c>
      <c r="C121" s="11" t="n"/>
      <c r="D121" s="12" t="n">
        <v>87102845</v>
      </c>
      <c r="E121" s="11" t="n"/>
      <c r="N121" s="12" t="n">
        <v>816993</v>
      </c>
      <c r="O121" s="11" t="n"/>
      <c r="P121" s="12" t="n">
        <v>12229</v>
      </c>
      <c r="Q121" s="11" t="n"/>
      <c r="R121" s="21">
        <f>N121+O121+P121+N(Q121)</f>
        <v/>
      </c>
      <c r="S121" s="13" t="n">
        <v>0.03</v>
      </c>
      <c r="T121" s="21">
        <f>N(AC121)*S121</f>
        <v/>
      </c>
      <c r="U121" s="21">
        <f>N(AD121)*S121</f>
        <v/>
      </c>
      <c r="V121" s="21">
        <f>N(AE121)*S121</f>
        <v/>
      </c>
      <c r="W121" s="21">
        <f>IF(Q121="","",N(AF121)*S121)</f>
        <v/>
      </c>
      <c r="X121" s="12" t="n">
        <v>0</v>
      </c>
      <c r="Y121" s="11" t="n"/>
      <c r="Z121" s="11" t="n"/>
      <c r="AA121" s="21">
        <f>T121+U121+V121+N(W121)+X121+Y121+N(Z121)</f>
        <v/>
      </c>
      <c r="AB121" s="11" t="n"/>
      <c r="AC121" s="12" t="n">
        <v>792484</v>
      </c>
      <c r="AD121" s="21">
        <f>O121-Y121</f>
        <v/>
      </c>
      <c r="AE121" s="21">
        <f>P121-X121</f>
        <v/>
      </c>
      <c r="AF121" s="21">
        <f>IF(Q121="","",Q121-Z121)</f>
        <v/>
      </c>
      <c r="AG121" s="22">
        <f>AC121+AD121+AE121+N(AF121)</f>
        <v/>
      </c>
      <c r="AH121" s="11" t="n">
        <v>1118366.468</v>
      </c>
      <c r="AI121" s="24">
        <f>AG121-AH121</f>
        <v/>
      </c>
      <c r="AJ121" s="14">
        <f>IF(OR(B121="",B121=0,N121=""),"",N121/B121*10000)</f>
        <v/>
      </c>
      <c r="AK121" s="14">
        <f>IF(OR(C121="",C121=0),"",O121/C121*10000)</f>
        <v/>
      </c>
      <c r="AL121" s="14">
        <f>IF(OR(D121="",D121=0),"",P121/D121*10000)</f>
        <v/>
      </c>
      <c r="AM121" s="14">
        <f>IF(OR(E121="",E121=0),"",Q121/E121*10000)</f>
        <v/>
      </c>
      <c r="AN121" s="11" t="n">
        <v>170.7250606801719</v>
      </c>
      <c r="AO121" s="11" t="n">
        <v>145034.84</v>
      </c>
      <c r="AP121" s="21">
        <f>AH121+AN121+AO121</f>
        <v/>
      </c>
      <c r="AQ121" s="21">
        <f>AH121</f>
        <v/>
      </c>
      <c r="AR121" s="15" t="n">
        <v>77117.5</v>
      </c>
      <c r="AS121" s="27" t="n">
        <v>14.50211</v>
      </c>
      <c r="AT121" s="15" t="n">
        <v>18151380.5</v>
      </c>
      <c r="AU121" s="15" t="n">
        <v>26404.3816</v>
      </c>
      <c r="AV121" s="15" t="n">
        <v>3348.6945</v>
      </c>
      <c r="AW121" s="15" t="n"/>
      <c r="AX121" s="16" t="n">
        <v>421.9501884402633</v>
      </c>
      <c r="AY121" s="13">
        <f>IF(OR(AX121="",AX121=0,AU121=""),"",AU121*365/(AX121*1000000))</f>
        <v/>
      </c>
      <c r="AZ121" s="15" t="n">
        <v>425739679.8059</v>
      </c>
      <c r="BA121" s="17" t="n">
        <v>60487233</v>
      </c>
      <c r="BB121" s="18" t="n">
        <v>18151380.5</v>
      </c>
      <c r="BC121" s="17" t="n">
        <v>2971663</v>
      </c>
      <c r="BD121" s="17">
        <f>1000000000-999806995.4512+317.6601</f>
        <v/>
      </c>
      <c r="BE121" s="19">
        <f>1000000000-AZ121-BA121-BB121-BC121-BD121</f>
        <v/>
      </c>
      <c r="BF121" s="20" t="n">
        <v>238</v>
      </c>
      <c r="BG121" s="20">
        <f>BE121/1000000-BF121</f>
        <v/>
      </c>
      <c r="BH121" s="21">
        <f>BE121*14.06</f>
        <v/>
      </c>
    </row>
    <row r="122">
      <c r="A122" s="10" t="n">
        <v>45744</v>
      </c>
      <c r="B122" s="11" t="n">
        <v>4696027442</v>
      </c>
      <c r="C122" s="11" t="n"/>
      <c r="D122" s="12" t="n">
        <v>108552416</v>
      </c>
      <c r="E122" s="11" t="n"/>
      <c r="N122" s="12" t="n">
        <v>1085746</v>
      </c>
      <c r="O122" s="11" t="n"/>
      <c r="P122" s="12" t="n">
        <v>18181</v>
      </c>
      <c r="Q122" s="11" t="n"/>
      <c r="R122" s="21">
        <f>N122+O122+P122+N(Q122)</f>
        <v/>
      </c>
      <c r="S122" s="13" t="n">
        <v>0.03</v>
      </c>
      <c r="T122" s="21">
        <f>N(AC122)*S122</f>
        <v/>
      </c>
      <c r="U122" s="21">
        <f>N(AD122)*S122</f>
        <v/>
      </c>
      <c r="V122" s="21">
        <f>N(AE122)*S122</f>
        <v/>
      </c>
      <c r="W122" s="21">
        <f>IF(Q122="","",N(AF122)*S122)</f>
        <v/>
      </c>
      <c r="X122" s="12" t="n">
        <v>0</v>
      </c>
      <c r="Y122" s="11" t="n"/>
      <c r="Z122" s="11" t="n"/>
      <c r="AA122" s="21">
        <f>T122+U122+V122+N(W122)+X122+Y122+N(Z122)</f>
        <v/>
      </c>
      <c r="AB122" s="11" t="n"/>
      <c r="AC122" s="12" t="n">
        <v>1053173</v>
      </c>
      <c r="AD122" s="21">
        <f>O122-Y122</f>
        <v/>
      </c>
      <c r="AE122" s="21">
        <f>P122-X122</f>
        <v/>
      </c>
      <c r="AF122" s="21">
        <f>IF(Q122="","",Q122-Z122)</f>
        <v/>
      </c>
      <c r="AG122" s="22">
        <f>AC122+AD122+AE122+N(AF122)</f>
        <v/>
      </c>
      <c r="AH122" s="11" t="n">
        <v>828868.4987</v>
      </c>
      <c r="AI122" s="24">
        <f>AG122-AH122</f>
        <v/>
      </c>
      <c r="AJ122" s="14">
        <f>IF(OR(B122="",B122=0,N122=""),"",N122/B122*10000)</f>
        <v/>
      </c>
      <c r="AK122" s="14">
        <f>IF(OR(C122="",C122=0),"",O122/C122*10000)</f>
        <v/>
      </c>
      <c r="AL122" s="14">
        <f>IF(OR(D122="",D122=0),"",P122/D122*10000)</f>
        <v/>
      </c>
      <c r="AM122" s="14">
        <f>IF(OR(E122="",E122=0),"",Q122/E122*10000)</f>
        <v/>
      </c>
      <c r="AN122" s="11" t="n">
        <v>148.9020700611663</v>
      </c>
      <c r="AO122" s="11" t="n">
        <v>0</v>
      </c>
      <c r="AP122" s="21">
        <f>AH122+AN122+AO122</f>
        <v/>
      </c>
      <c r="AQ122" s="21">
        <f>AH122</f>
        <v/>
      </c>
      <c r="AR122" s="15" t="n">
        <v>62740.01</v>
      </c>
      <c r="AS122" s="27" t="n">
        <v>13.211163</v>
      </c>
      <c r="AT122" s="15" t="n">
        <v>18214120.51</v>
      </c>
      <c r="AU122" s="15" t="n">
        <v>26355.4575</v>
      </c>
      <c r="AV122" s="15" t="n">
        <v>572.3714</v>
      </c>
      <c r="AW122" s="15" t="n"/>
      <c r="AX122" s="16" t="n">
        <v>422.2067138080201</v>
      </c>
      <c r="AY122" s="13">
        <f>IF(OR(AX122="",AX122=0,AU122=""),"",AU122*365/(AX122*1000000))</f>
        <v/>
      </c>
      <c r="AZ122" s="15" t="n">
        <v>425713324.3484</v>
      </c>
      <c r="BA122" s="17" t="n">
        <v>60487233</v>
      </c>
      <c r="BB122" s="18" t="n">
        <v>18214120.51</v>
      </c>
      <c r="BC122" s="17" t="n">
        <v>2971663</v>
      </c>
      <c r="BD122" s="17">
        <f>1000000000-999806423.0798+328.7589</f>
        <v/>
      </c>
      <c r="BE122" s="19">
        <f>1000000000-AZ122-BA122-BB122-BC122-BD122</f>
        <v/>
      </c>
      <c r="BF122" s="20" t="n">
        <v>238</v>
      </c>
      <c r="BG122" s="20">
        <f>BE122/1000000-BF122</f>
        <v/>
      </c>
      <c r="BH122" s="21">
        <f>BE122*14.59</f>
        <v/>
      </c>
    </row>
    <row r="123">
      <c r="A123" s="10" t="n">
        <v>45745</v>
      </c>
      <c r="B123" s="11" t="n">
        <v>3300437273</v>
      </c>
      <c r="C123" s="11" t="n"/>
      <c r="D123" s="12" t="n">
        <v>87727670</v>
      </c>
      <c r="E123" s="11" t="n"/>
      <c r="N123" s="12" t="n">
        <v>776510</v>
      </c>
      <c r="O123" s="11" t="n"/>
      <c r="P123" s="12" t="n">
        <v>12604</v>
      </c>
      <c r="Q123" s="11" t="n"/>
      <c r="R123" s="21">
        <f>N123+O123+P123+N(Q123)</f>
        <v/>
      </c>
      <c r="S123" s="13" t="n">
        <v>0.03</v>
      </c>
      <c r="T123" s="21">
        <f>N(AC123)*S123</f>
        <v/>
      </c>
      <c r="U123" s="21">
        <f>N(AD123)*S123</f>
        <v/>
      </c>
      <c r="V123" s="21">
        <f>N(AE123)*S123</f>
        <v/>
      </c>
      <c r="W123" s="21">
        <f>IF(Q123="","",N(AF123)*S123)</f>
        <v/>
      </c>
      <c r="X123" s="12" t="n">
        <v>0</v>
      </c>
      <c r="Y123" s="11" t="n"/>
      <c r="Z123" s="11" t="n"/>
      <c r="AA123" s="21">
        <f>T123+U123+V123+N(W123)+X123+Y123+N(Z123)</f>
        <v/>
      </c>
      <c r="AB123" s="11" t="n"/>
      <c r="AC123" s="12" t="n">
        <v>753215</v>
      </c>
      <c r="AD123" s="21">
        <f>O123-Y123</f>
        <v/>
      </c>
      <c r="AE123" s="21">
        <f>P123-X123</f>
        <v/>
      </c>
      <c r="AF123" s="21">
        <f>IF(Q123="","",Q123-Z123)</f>
        <v/>
      </c>
      <c r="AG123" s="22">
        <f>AC123+AD123+AE123+N(AF123)</f>
        <v/>
      </c>
      <c r="AH123" s="11" t="n">
        <v>901117.2336</v>
      </c>
      <c r="AI123" s="24">
        <f>AG123-AH123</f>
        <v/>
      </c>
      <c r="AJ123" s="14">
        <f>IF(OR(B123="",B123=0,N123=""),"",N123/B123*10000)</f>
        <v/>
      </c>
      <c r="AK123" s="14">
        <f>IF(OR(C123="",C123=0),"",O123/C123*10000)</f>
        <v/>
      </c>
      <c r="AL123" s="14">
        <f>IF(OR(D123="",D123=0),"",P123/D123*10000)</f>
        <v/>
      </c>
      <c r="AM123" s="14">
        <f>IF(OR(E123="",E123=0),"",Q123/E123*10000)</f>
        <v/>
      </c>
      <c r="AN123" s="11" t="n">
        <v>123.1480614605451</v>
      </c>
      <c r="AO123" s="11" t="n">
        <v>53370.55</v>
      </c>
      <c r="AP123" s="21">
        <f>AH123+AN123+AO123</f>
        <v/>
      </c>
      <c r="AQ123" s="21">
        <f>AH123</f>
        <v/>
      </c>
      <c r="AR123" s="15" t="n">
        <v>70357.02</v>
      </c>
      <c r="AS123" s="27" t="n">
        <v>12.80778</v>
      </c>
      <c r="AT123" s="15" t="n">
        <v>18284477.53</v>
      </c>
      <c r="AU123" s="15" t="n">
        <v>26368.156</v>
      </c>
      <c r="AV123" s="15" t="n">
        <v>574.8896</v>
      </c>
      <c r="AW123" s="15" t="n"/>
      <c r="AX123" s="16" t="n">
        <v>421.7610880131157</v>
      </c>
      <c r="AY123" s="13">
        <f>IF(OR(AX123="",AX123=0,AU123=""),"",AU123*365/(AX123*1000000))</f>
        <v/>
      </c>
      <c r="AZ123" s="15" t="n">
        <v>425686956.1925</v>
      </c>
      <c r="BA123" s="17" t="n">
        <v>60487233</v>
      </c>
      <c r="BB123" s="18" t="n">
        <v>18284477.53</v>
      </c>
      <c r="BC123" s="17" t="n">
        <v>2971663</v>
      </c>
      <c r="BD123" s="17">
        <f>1000000000-999805848.1902+338.3746</f>
        <v/>
      </c>
      <c r="BE123" s="19">
        <f>1000000000-AZ123-BA123-BB123-BC123-BD123</f>
        <v/>
      </c>
      <c r="BF123" s="20" t="n">
        <v>238</v>
      </c>
      <c r="BG123" s="20">
        <f>BE123/1000000-BF123</f>
        <v/>
      </c>
      <c r="BH123" s="21">
        <f>BE123*13.39</f>
        <v/>
      </c>
    </row>
    <row r="124">
      <c r="A124" s="10" t="n">
        <v>45746</v>
      </c>
      <c r="B124" s="11" t="n">
        <v>2774062341</v>
      </c>
      <c r="C124" s="11" t="n"/>
      <c r="D124" s="12" t="n">
        <v>50858942</v>
      </c>
      <c r="E124" s="11" t="n"/>
      <c r="N124" s="12" t="n">
        <v>671834</v>
      </c>
      <c r="O124" s="11" t="n"/>
      <c r="P124" s="12" t="n">
        <v>7425</v>
      </c>
      <c r="Q124" s="11" t="n"/>
      <c r="R124" s="21">
        <f>N124+O124+P124+N(Q124)</f>
        <v/>
      </c>
      <c r="S124" s="13" t="n">
        <v>0.03</v>
      </c>
      <c r="T124" s="21">
        <f>N(AC124)*S124</f>
        <v/>
      </c>
      <c r="U124" s="21">
        <f>N(AD124)*S124</f>
        <v/>
      </c>
      <c r="V124" s="21">
        <f>N(AE124)*S124</f>
        <v/>
      </c>
      <c r="W124" s="21">
        <f>IF(Q124="","",N(AF124)*S124)</f>
        <v/>
      </c>
      <c r="X124" s="12" t="n">
        <v>0</v>
      </c>
      <c r="Y124" s="11" t="n"/>
      <c r="Z124" s="11" t="n"/>
      <c r="AA124" s="21">
        <f>T124+U124+V124+N(W124)+X124+Y124+N(Z124)</f>
        <v/>
      </c>
      <c r="AB124" s="11" t="n"/>
      <c r="AC124" s="12" t="n">
        <v>651679</v>
      </c>
      <c r="AD124" s="21">
        <f>O124-Y124</f>
        <v/>
      </c>
      <c r="AE124" s="21">
        <f>P124-X124</f>
        <v/>
      </c>
      <c r="AF124" s="21">
        <f>IF(Q124="","",Q124-Z124)</f>
        <v/>
      </c>
      <c r="AG124" s="22">
        <f>AC124+AD124+AE124+N(AF124)</f>
        <v/>
      </c>
      <c r="AH124" s="11" t="n">
        <v>696924.2389999999</v>
      </c>
      <c r="AI124" s="24">
        <f>AG124-AH124</f>
        <v/>
      </c>
      <c r="AJ124" s="14">
        <f>IF(OR(B124="",B124=0,N124=""),"",N124/B124*10000)</f>
        <v/>
      </c>
      <c r="AK124" s="14">
        <f>IF(OR(C124="",C124=0),"",O124/C124*10000)</f>
        <v/>
      </c>
      <c r="AL124" s="14">
        <f>IF(OR(D124="",D124=0),"",P124/D124*10000)</f>
        <v/>
      </c>
      <c r="AM124" s="14">
        <f>IF(OR(E124="",E124=0),"",Q124/E124*10000)</f>
        <v/>
      </c>
      <c r="AN124" s="11" t="n">
        <v>101.8783737082079</v>
      </c>
      <c r="AO124" s="11" t="n">
        <v>45820.11</v>
      </c>
      <c r="AP124" s="21">
        <f>AH124+AN124+AO124</f>
        <v/>
      </c>
      <c r="AQ124" s="21">
        <f>AH124</f>
        <v/>
      </c>
      <c r="AR124" s="15" t="n">
        <v>55468.07</v>
      </c>
      <c r="AS124" s="27" t="n">
        <v>12.564422</v>
      </c>
      <c r="AT124" s="15" t="n">
        <v>18339945.6</v>
      </c>
      <c r="AU124" s="15" t="n">
        <v>26361.1944</v>
      </c>
      <c r="AV124" s="15" t="n">
        <v>564.418</v>
      </c>
      <c r="AW124" s="15" t="n"/>
      <c r="AX124" s="16" t="n">
        <v>421.4595047908898</v>
      </c>
      <c r="AY124" s="13">
        <f>IF(OR(AX124="",AX124=0,AU124=""),"",AU124*365/(AX124*1000000))</f>
        <v/>
      </c>
      <c r="AZ124" s="15" t="n">
        <v>425660594.9981</v>
      </c>
      <c r="BA124" s="17" t="n">
        <v>60487233</v>
      </c>
      <c r="BB124" s="18" t="n">
        <v>18339945.6</v>
      </c>
      <c r="BC124" s="17" t="n">
        <v>2971663</v>
      </c>
      <c r="BD124" s="17">
        <f>1000000000-999805283.7722+346.5340</f>
        <v/>
      </c>
      <c r="BE124" s="19">
        <f>1000000000-AZ124-BA124-BB124-BC124-BD124</f>
        <v/>
      </c>
      <c r="BF124" s="20" t="n">
        <v>238</v>
      </c>
      <c r="BG124" s="20">
        <f>BE124/1000000-BF124</f>
        <v/>
      </c>
      <c r="BH124" s="21">
        <f>BE124*12.8</f>
        <v/>
      </c>
    </row>
    <row r="125">
      <c r="A125" s="10" t="n">
        <v>45747</v>
      </c>
      <c r="B125" s="11" t="n">
        <v>5786815779</v>
      </c>
      <c r="C125" s="11" t="n"/>
      <c r="D125" s="12" t="n">
        <v>90964477</v>
      </c>
      <c r="E125" s="11" t="n"/>
      <c r="N125" s="12" t="n">
        <v>1290890</v>
      </c>
      <c r="O125" s="11" t="n"/>
      <c r="P125" s="12" t="n">
        <v>12648</v>
      </c>
      <c r="Q125" s="11" t="n"/>
      <c r="R125" s="21">
        <f>N125+O125+P125+N(Q125)</f>
        <v/>
      </c>
      <c r="S125" s="13" t="n">
        <v>0.03</v>
      </c>
      <c r="T125" s="21">
        <f>N(AC125)*S125</f>
        <v/>
      </c>
      <c r="U125" s="21">
        <f>N(AD125)*S125</f>
        <v/>
      </c>
      <c r="V125" s="21">
        <f>N(AE125)*S125</f>
        <v/>
      </c>
      <c r="W125" s="21">
        <f>IF(Q125="","",N(AF125)*S125)</f>
        <v/>
      </c>
      <c r="X125" s="12" t="n">
        <v>0</v>
      </c>
      <c r="Y125" s="11" t="n"/>
      <c r="Z125" s="11" t="n"/>
      <c r="AA125" s="21">
        <f>T125+U125+V125+N(W125)+X125+Y125+N(Z125)</f>
        <v/>
      </c>
      <c r="AB125" s="11" t="n"/>
      <c r="AC125" s="12" t="n">
        <v>1252164</v>
      </c>
      <c r="AD125" s="21">
        <f>O125-Y125</f>
        <v/>
      </c>
      <c r="AE125" s="21">
        <f>P125-X125</f>
        <v/>
      </c>
      <c r="AF125" s="21">
        <f>IF(Q125="","",Q125-Z125)</f>
        <v/>
      </c>
      <c r="AG125" s="22">
        <f>AC125+AD125+AE125+N(AF125)</f>
        <v/>
      </c>
      <c r="AH125" s="11" t="n">
        <v>895707.816</v>
      </c>
      <c r="AI125" s="24">
        <f>AG125-AH125</f>
        <v/>
      </c>
      <c r="AJ125" s="14">
        <f>IF(OR(B125="",B125=0,N125=""),"",N125/B125*10000)</f>
        <v/>
      </c>
      <c r="AK125" s="14">
        <f>IF(OR(C125="",C125=0),"",O125/C125*10000)</f>
        <v/>
      </c>
      <c r="AL125" s="14">
        <f>IF(OR(D125="",D125=0),"",P125/D125*10000)</f>
        <v/>
      </c>
      <c r="AM125" s="14">
        <f>IF(OR(E125="",E125=0),"",Q125/E125*10000)</f>
        <v/>
      </c>
      <c r="AN125" s="11" t="n">
        <v>396.5736642050704</v>
      </c>
      <c r="AO125" s="11" t="n">
        <v>0</v>
      </c>
      <c r="AP125" s="21">
        <f>AH125+AN125+AO125</f>
        <v/>
      </c>
      <c r="AQ125" s="21">
        <f>AH125</f>
        <v/>
      </c>
      <c r="AR125" s="15" t="n">
        <v>68018.00999999999</v>
      </c>
      <c r="AS125" s="27" t="n">
        <v>13.168686</v>
      </c>
      <c r="AT125" s="15" t="n">
        <v>18407963.61</v>
      </c>
      <c r="AU125" s="15" t="n">
        <v>26329.3381</v>
      </c>
      <c r="AV125" s="15" t="n">
        <v>300.1917</v>
      </c>
      <c r="AW125" s="15" t="n"/>
      <c r="AX125" s="16" t="n">
        <v>421.3321222003672</v>
      </c>
      <c r="AY125" s="13">
        <f>IF(OR(AX125="",AX125=0,AU125=""),"",AU125*365/(AX125*1000000))</f>
        <v/>
      </c>
      <c r="AZ125" s="15" t="n">
        <v>425634265.66</v>
      </c>
      <c r="BA125" s="17" t="n">
        <v>60487233</v>
      </c>
      <c r="BB125" s="18" t="n">
        <v>18407963.61</v>
      </c>
      <c r="BC125" s="17" t="n">
        <v>2971663</v>
      </c>
      <c r="BD125" s="17">
        <f>1000000000-999804983.5805+377.0256</f>
        <v/>
      </c>
      <c r="BE125" s="19">
        <f>1000000000-AZ125-BA125-BB125-BC125-BD125</f>
        <v/>
      </c>
      <c r="BF125" s="20" t="n">
        <v>238</v>
      </c>
      <c r="BG125" s="20">
        <f>BE125/1000000-BF125</f>
        <v/>
      </c>
      <c r="BH125" s="21">
        <f>BE125*12.48</f>
        <v/>
      </c>
    </row>
    <row r="126">
      <c r="A126" s="10" t="n">
        <v>45748</v>
      </c>
      <c r="B126" s="11" t="n">
        <v>5024540120</v>
      </c>
      <c r="C126" s="11" t="n"/>
      <c r="D126" s="12" t="n">
        <v>67302035</v>
      </c>
      <c r="E126" s="11" t="n"/>
      <c r="N126" s="12" t="n">
        <v>1172507</v>
      </c>
      <c r="O126" s="11" t="n"/>
      <c r="P126" s="12" t="n">
        <v>9206</v>
      </c>
      <c r="Q126" s="11" t="n"/>
      <c r="R126" s="21">
        <f>N126+O126+P126+N(Q126)</f>
        <v/>
      </c>
      <c r="S126" s="13" t="n">
        <v>0.03</v>
      </c>
      <c r="T126" s="21">
        <f>N(AC126)*S126</f>
        <v/>
      </c>
      <c r="U126" s="21">
        <f>N(AD126)*S126</f>
        <v/>
      </c>
      <c r="V126" s="21">
        <f>N(AE126)*S126</f>
        <v/>
      </c>
      <c r="W126" s="21">
        <f>IF(Q126="","",N(AF126)*S126)</f>
        <v/>
      </c>
      <c r="X126" s="12" t="n">
        <v>2590</v>
      </c>
      <c r="Y126" s="11" t="n"/>
      <c r="Z126" s="11" t="n"/>
      <c r="AA126" s="21">
        <f>T126+U126+V126+N(W126)+X126+Y126+N(Z126)</f>
        <v/>
      </c>
      <c r="AB126" s="11" t="n"/>
      <c r="AC126" s="12" t="n">
        <v>1137331</v>
      </c>
      <c r="AD126" s="21">
        <f>O126-Y126</f>
        <v/>
      </c>
      <c r="AE126" s="21">
        <f>P126-X126</f>
        <v/>
      </c>
      <c r="AF126" s="21">
        <f>IF(Q126="","",Q126-Z126)</f>
        <v/>
      </c>
      <c r="AG126" s="22">
        <f>AC126+AD126+AE126+N(AF126)</f>
        <v/>
      </c>
      <c r="AH126" s="11" t="n">
        <v>1148306.088</v>
      </c>
      <c r="AI126" s="24">
        <f>AG126-AH126</f>
        <v/>
      </c>
      <c r="AJ126" s="14">
        <f>IF(OR(B126="",B126=0,N126=""),"",N126/B126*10000)</f>
        <v/>
      </c>
      <c r="AK126" s="14">
        <f>IF(OR(C126="",C126=0),"",O126/C126*10000)</f>
        <v/>
      </c>
      <c r="AL126" s="14">
        <f>IF(OR(D126="",D126=0),"",P126/D126*10000)</f>
        <v/>
      </c>
      <c r="AM126" s="14">
        <f>IF(OR(E126="",E126=0),"",Q126/E126*10000)</f>
        <v/>
      </c>
      <c r="AN126" s="11" t="n">
        <v>239.9249564471868</v>
      </c>
      <c r="AO126" s="11" t="n">
        <v>49127.38</v>
      </c>
      <c r="AP126" s="21">
        <f>AH126+AN126+AO126</f>
        <v/>
      </c>
      <c r="AQ126" s="21">
        <f>AH126</f>
        <v/>
      </c>
      <c r="AR126" s="15" t="n">
        <v>85214.7</v>
      </c>
      <c r="AS126" s="27" t="n">
        <v>13.475446</v>
      </c>
      <c r="AT126" s="15" t="n">
        <v>18493178.31</v>
      </c>
      <c r="AU126" s="15" t="n">
        <v>26348.1635</v>
      </c>
      <c r="AV126" s="15" t="n">
        <v>564.9225</v>
      </c>
      <c r="AW126" s="15" t="n"/>
      <c r="AX126" s="16" t="n">
        <v>421.3516815743759</v>
      </c>
      <c r="AY126" s="13">
        <f>IF(OR(AX126="",AX126=0,AU126=""),"",AU126*365/(AX126*1000000))</f>
        <v/>
      </c>
      <c r="AZ126" s="15" t="n">
        <v>425607917.4965</v>
      </c>
      <c r="BA126" s="17" t="n">
        <v>60487233</v>
      </c>
      <c r="BB126" s="18" t="n">
        <v>18493178.31</v>
      </c>
      <c r="BC126" s="17" t="n">
        <v>2971663</v>
      </c>
      <c r="BD126" s="17">
        <f>1000000000-999804418.658+395.0285</f>
        <v/>
      </c>
      <c r="BE126" s="19">
        <f>1000000000-AZ126-BA126-BB126-BC126-BD126</f>
        <v/>
      </c>
      <c r="BF126" s="20" t="n">
        <v>238</v>
      </c>
      <c r="BG126" s="20">
        <f>BE126/1000000-BF126</f>
        <v/>
      </c>
      <c r="BH126" s="21">
        <f>BE126*12.99</f>
        <v/>
      </c>
    </row>
    <row r="127">
      <c r="A127" s="10" t="n">
        <v>45749</v>
      </c>
      <c r="B127" s="11" t="n">
        <v>8109376458</v>
      </c>
      <c r="C127" s="11" t="n"/>
      <c r="D127" s="12" t="n">
        <v>148833454</v>
      </c>
      <c r="E127" s="11" t="n"/>
      <c r="N127" s="12" t="n">
        <v>1872963</v>
      </c>
      <c r="O127" s="11" t="n"/>
      <c r="P127" s="12" t="n">
        <v>22319</v>
      </c>
      <c r="Q127" s="11" t="n"/>
      <c r="R127" s="21">
        <f>N127+O127+P127+N(Q127)</f>
        <v/>
      </c>
      <c r="S127" s="13" t="n">
        <v>0.03</v>
      </c>
      <c r="T127" s="21">
        <f>N(AC127)*S127</f>
        <v/>
      </c>
      <c r="U127" s="21">
        <f>N(AD127)*S127</f>
        <v/>
      </c>
      <c r="V127" s="21">
        <f>N(AE127)*S127</f>
        <v/>
      </c>
      <c r="W127" s="21">
        <f>IF(Q127="","",N(AF127)*S127)</f>
        <v/>
      </c>
      <c r="X127" s="12" t="n">
        <v>3644</v>
      </c>
      <c r="Y127" s="11" t="n"/>
      <c r="Z127" s="11" t="n"/>
      <c r="AA127" s="21">
        <f>T127+U127+V127+N(W127)+X127+Y127+N(Z127)</f>
        <v/>
      </c>
      <c r="AB127" s="11" t="n"/>
      <c r="AC127" s="12" t="n">
        <v>1816774</v>
      </c>
      <c r="AD127" s="21">
        <f>O127-Y127</f>
        <v/>
      </c>
      <c r="AE127" s="21">
        <f>P127-X127</f>
        <v/>
      </c>
      <c r="AF127" s="21">
        <f>IF(Q127="","",Q127-Z127)</f>
        <v/>
      </c>
      <c r="AG127" s="22">
        <f>AC127+AD127+AE127+N(AF127)</f>
        <v/>
      </c>
      <c r="AH127" s="11" t="n">
        <v>999399.2316000001</v>
      </c>
      <c r="AI127" s="24">
        <f>AG127-AH127</f>
        <v/>
      </c>
      <c r="AJ127" s="14">
        <f>IF(OR(B127="",B127=0,N127=""),"",N127/B127*10000)</f>
        <v/>
      </c>
      <c r="AK127" s="14">
        <f>IF(OR(C127="",C127=0),"",O127/C127*10000)</f>
        <v/>
      </c>
      <c r="AL127" s="14">
        <f>IF(OR(D127="",D127=0),"",P127/D127*10000)</f>
        <v/>
      </c>
      <c r="AM127" s="14">
        <f>IF(OR(E127="",E127=0),"",Q127/E127*10000)</f>
        <v/>
      </c>
      <c r="AN127" s="11" t="n">
        <v>190.268371598262</v>
      </c>
      <c r="AO127" s="11" t="n">
        <v>40627.7</v>
      </c>
      <c r="AP127" s="21">
        <f>AH127+AN127+AO127</f>
        <v/>
      </c>
      <c r="AQ127" s="21">
        <f>AH127</f>
        <v/>
      </c>
      <c r="AR127" s="15" t="n">
        <v>83892.06</v>
      </c>
      <c r="AS127" s="27" t="n">
        <v>11.912918</v>
      </c>
      <c r="AT127" s="15" t="n">
        <v>18577070.37</v>
      </c>
      <c r="AU127" s="15" t="n">
        <v>6623.2099</v>
      </c>
      <c r="AV127" s="15" t="n">
        <v>54.2361</v>
      </c>
      <c r="AW127" s="15" t="n"/>
      <c r="AX127" s="16" t="n">
        <v>421.2962508275731</v>
      </c>
      <c r="AY127" s="13">
        <f>IF(OR(AX127="",AX127=0,AU127=""),"",AU127*365/(AX127*1000000))</f>
        <v/>
      </c>
      <c r="AZ127" s="15" t="n">
        <v>425574952.9648</v>
      </c>
      <c r="BA127" s="17" t="n">
        <v>60487233</v>
      </c>
      <c r="BB127" s="18" t="n">
        <v>18577070.37</v>
      </c>
      <c r="BC127" s="17" t="n">
        <v>2971663</v>
      </c>
      <c r="BD127" s="17">
        <f>1000000000-999803866.1991+411.1913</f>
        <v/>
      </c>
      <c r="BE127" s="19">
        <f>1000000000-AZ127-BA127-BB127-BC127-BD127</f>
        <v/>
      </c>
      <c r="BF127" s="20" t="n">
        <v>238</v>
      </c>
      <c r="BG127" s="20">
        <f>BE127/1000000-BF127</f>
        <v/>
      </c>
      <c r="BH127" s="21">
        <f>BE127*13.03</f>
        <v/>
      </c>
    </row>
    <row r="128">
      <c r="A128" s="10" t="n">
        <v>45750</v>
      </c>
      <c r="B128" s="11" t="n">
        <v>5930229209</v>
      </c>
      <c r="C128" s="11" t="n"/>
      <c r="D128" s="12" t="n">
        <v>119560562</v>
      </c>
      <c r="E128" s="11" t="n"/>
      <c r="N128" s="12" t="n">
        <v>1365034</v>
      </c>
      <c r="O128" s="11" t="n"/>
      <c r="P128" s="12" t="n">
        <v>18496</v>
      </c>
      <c r="Q128" s="11" t="n"/>
      <c r="R128" s="21">
        <f>N128+O128+P128+N(Q128)</f>
        <v/>
      </c>
      <c r="S128" s="13" t="n">
        <v>0.03</v>
      </c>
      <c r="T128" s="21">
        <f>N(AC128)*S128</f>
        <v/>
      </c>
      <c r="U128" s="21">
        <f>N(AD128)*S128</f>
        <v/>
      </c>
      <c r="V128" s="21">
        <f>N(AE128)*S128</f>
        <v/>
      </c>
      <c r="W128" s="21">
        <f>IF(Q128="","",N(AF128)*S128)</f>
        <v/>
      </c>
      <c r="X128" s="12" t="n">
        <v>2465</v>
      </c>
      <c r="Y128" s="11" t="n"/>
      <c r="Z128" s="11" t="n"/>
      <c r="AA128" s="21">
        <f>T128+U128+V128+N(W128)+X128+Y128+N(Z128)</f>
        <v/>
      </c>
      <c r="AB128" s="11" t="n"/>
      <c r="AC128" s="12" t="n">
        <v>1324083</v>
      </c>
      <c r="AD128" s="21">
        <f>O128-Y128</f>
        <v/>
      </c>
      <c r="AE128" s="21">
        <f>P128-X128</f>
        <v/>
      </c>
      <c r="AF128" s="21">
        <f>IF(Q128="","",Q128-Z128)</f>
        <v/>
      </c>
      <c r="AG128" s="22">
        <f>AC128+AD128+AE128+N(AF128)</f>
        <v/>
      </c>
      <c r="AH128" s="11" t="n">
        <v>1706987.162</v>
      </c>
      <c r="AI128" s="24">
        <f>AG128-AH128</f>
        <v/>
      </c>
      <c r="AJ128" s="14">
        <f>IF(OR(B128="",B128=0,N128=""),"",N128/B128*10000)</f>
        <v/>
      </c>
      <c r="AK128" s="14">
        <f>IF(OR(C128="",C128=0),"",O128/C128*10000)</f>
        <v/>
      </c>
      <c r="AL128" s="14">
        <f>IF(OR(D128="",D128=0),"",P128/D128*10000)</f>
        <v/>
      </c>
      <c r="AM128" s="14">
        <f>IF(OR(E128="",E128=0),"",Q128/E128*10000)</f>
        <v/>
      </c>
      <c r="AN128" s="11" t="n">
        <v>137.8949377601271</v>
      </c>
      <c r="AO128" s="11" t="n">
        <v>43356.89</v>
      </c>
      <c r="AP128" s="21">
        <f>AH128+AN128+AO128</f>
        <v/>
      </c>
      <c r="AQ128" s="21">
        <f>AH128</f>
        <v/>
      </c>
      <c r="AR128" s="15" t="n">
        <v>147349.1</v>
      </c>
      <c r="AS128" s="27" t="n">
        <v>11.584646</v>
      </c>
      <c r="AT128" s="15" t="n">
        <v>18724419.47</v>
      </c>
      <c r="AU128" s="15" t="n">
        <v>19999.2249</v>
      </c>
      <c r="AV128" s="15" t="n">
        <v>883.6477</v>
      </c>
      <c r="AW128" s="15" t="n"/>
      <c r="AX128" s="16" t="n">
        <v>421.3262946596562</v>
      </c>
      <c r="AY128" s="13">
        <f>IF(OR(AX128="",AX128=0,AU128=""),"",AU128*365/(AX128*1000000))</f>
        <v/>
      </c>
      <c r="AZ128" s="15" t="n">
        <v>425554953.7399</v>
      </c>
      <c r="BA128" s="17" t="n">
        <v>60487233</v>
      </c>
      <c r="BB128" s="18" t="n">
        <v>18724419.47</v>
      </c>
      <c r="BC128" s="17" t="n">
        <v>2971663</v>
      </c>
      <c r="BD128" s="17">
        <f>1000000000-999802982.5513+422.9702</f>
        <v/>
      </c>
      <c r="BE128" s="19">
        <f>1000000000-AZ128-BA128-BB128-BC128-BD128</f>
        <v/>
      </c>
      <c r="BF128" s="20" t="n">
        <v>238</v>
      </c>
      <c r="BG128" s="20">
        <f>BE128/1000000-BF128</f>
        <v/>
      </c>
      <c r="BH128" s="21">
        <f>BE128*12.06</f>
        <v/>
      </c>
    </row>
    <row r="129">
      <c r="A129" s="10" t="n">
        <v>45751</v>
      </c>
      <c r="B129" s="11" t="n">
        <v>7751080977</v>
      </c>
      <c r="C129" s="11" t="n"/>
      <c r="D129" s="12" t="n">
        <v>129690210</v>
      </c>
      <c r="E129" s="11" t="n"/>
      <c r="N129" s="12" t="n">
        <v>1790658</v>
      </c>
      <c r="O129" s="11" t="n"/>
      <c r="P129" s="12" t="n">
        <v>17493</v>
      </c>
      <c r="Q129" s="11" t="n"/>
      <c r="R129" s="21">
        <f>N129+O129+P129+N(Q129)</f>
        <v/>
      </c>
      <c r="S129" s="13" t="n">
        <v>0.03</v>
      </c>
      <c r="T129" s="21">
        <f>N(AC129)*S129</f>
        <v/>
      </c>
      <c r="U129" s="21">
        <f>N(AD129)*S129</f>
        <v/>
      </c>
      <c r="V129" s="21">
        <f>N(AE129)*S129</f>
        <v/>
      </c>
      <c r="W129" s="21">
        <f>IF(Q129="","",N(AF129)*S129)</f>
        <v/>
      </c>
      <c r="X129" s="12" t="n">
        <v>4562</v>
      </c>
      <c r="Y129" s="11" t="n"/>
      <c r="Z129" s="11" t="n"/>
      <c r="AA129" s="21">
        <f>T129+U129+V129+N(W129)+X129+Y129+N(Z129)</f>
        <v/>
      </c>
      <c r="AB129" s="11" t="n"/>
      <c r="AC129" s="12" t="n">
        <v>1736939</v>
      </c>
      <c r="AD129" s="21">
        <f>O129-Y129</f>
        <v/>
      </c>
      <c r="AE129" s="21">
        <f>P129-X129</f>
        <v/>
      </c>
      <c r="AF129" s="21">
        <f>IF(Q129="","",Q129-Z129)</f>
        <v/>
      </c>
      <c r="AG129" s="22">
        <f>AC129+AD129+AE129+N(AF129)</f>
        <v/>
      </c>
      <c r="AH129" s="11" t="n">
        <v>1341664.156</v>
      </c>
      <c r="AI129" s="24">
        <f>AG129-AH129</f>
        <v/>
      </c>
      <c r="AJ129" s="14">
        <f>IF(OR(B129="",B129=0,N129=""),"",N129/B129*10000)</f>
        <v/>
      </c>
      <c r="AK129" s="14">
        <f>IF(OR(C129="",C129=0),"",O129/C129*10000)</f>
        <v/>
      </c>
      <c r="AL129" s="14">
        <f>IF(OR(D129="",D129=0),"",P129/D129*10000)</f>
        <v/>
      </c>
      <c r="AM129" s="14">
        <f>IF(OR(E129="",E129=0),"",Q129/E129*10000)</f>
        <v/>
      </c>
      <c r="AN129" s="11" t="n">
        <v>141.3380405329709</v>
      </c>
      <c r="AO129" s="11" t="n">
        <v>47949.77</v>
      </c>
      <c r="AP129" s="21">
        <f>AH129+AN129+AO129</f>
        <v/>
      </c>
      <c r="AQ129" s="21">
        <f>AH129</f>
        <v/>
      </c>
      <c r="AR129" s="15" t="n">
        <v>110859.2</v>
      </c>
      <c r="AS129" s="27" t="n">
        <v>12.102416</v>
      </c>
      <c r="AT129" s="15" t="n">
        <v>18835278.67</v>
      </c>
      <c r="AU129" s="15" t="n">
        <v>26342.9936</v>
      </c>
      <c r="AV129" s="15" t="n">
        <v>1167.9452</v>
      </c>
      <c r="AW129" s="15" t="n"/>
      <c r="AX129" s="16" t="n">
        <v>420.8668433375315</v>
      </c>
      <c r="AY129" s="13">
        <f>IF(OR(AX129="",AX129=0,AU129=""),"",AU129*365/(AX129*1000000))</f>
        <v/>
      </c>
      <c r="AZ129" s="15" t="n">
        <v>425528610.7463</v>
      </c>
      <c r="BA129" s="17" t="n">
        <v>60487233</v>
      </c>
      <c r="BB129" s="18" t="n">
        <v>18835278.67</v>
      </c>
      <c r="BC129" s="17" t="n">
        <v>2971663</v>
      </c>
      <c r="BD129" s="17">
        <f>1000000000-999801814.6061+434.8613</f>
        <v/>
      </c>
      <c r="BE129" s="19">
        <f>1000000000-AZ129-BA129-BB129-BC129-BD129</f>
        <v/>
      </c>
      <c r="BF129" s="20" t="n">
        <v>238</v>
      </c>
      <c r="BG129" s="20">
        <f>BE129/1000000-BF129</f>
        <v/>
      </c>
      <c r="BH129" s="21">
        <f>BE129*11.78</f>
        <v/>
      </c>
    </row>
    <row r="130">
      <c r="A130" s="10" t="n">
        <v>45752</v>
      </c>
      <c r="B130" s="11" t="n">
        <v>2430774311</v>
      </c>
      <c r="C130" s="11" t="n"/>
      <c r="D130" s="12" t="n">
        <v>42672433</v>
      </c>
      <c r="E130" s="11" t="n"/>
      <c r="N130" s="12" t="n">
        <v>541756</v>
      </c>
      <c r="O130" s="11" t="n"/>
      <c r="P130" s="12" t="n">
        <v>6171</v>
      </c>
      <c r="Q130" s="11" t="n"/>
      <c r="R130" s="21">
        <f>N130+O130+P130+N(Q130)</f>
        <v/>
      </c>
      <c r="S130" s="13" t="n">
        <v>0.03</v>
      </c>
      <c r="T130" s="21">
        <f>N(AC130)*S130</f>
        <v/>
      </c>
      <c r="U130" s="21">
        <f>N(AD130)*S130</f>
        <v/>
      </c>
      <c r="V130" s="21">
        <f>N(AE130)*S130</f>
        <v/>
      </c>
      <c r="W130" s="21">
        <f>IF(Q130="","",N(AF130)*S130)</f>
        <v/>
      </c>
      <c r="X130" s="12" t="n">
        <v>1563</v>
      </c>
      <c r="Y130" s="11" t="n"/>
      <c r="Z130" s="11" t="n"/>
      <c r="AA130" s="21">
        <f>T130+U130+V130+N(W130)+X130+Y130+N(Z130)</f>
        <v/>
      </c>
      <c r="AB130" s="11" t="n"/>
      <c r="AC130" s="12" t="n">
        <v>525503</v>
      </c>
      <c r="AD130" s="21">
        <f>O130-Y130</f>
        <v/>
      </c>
      <c r="AE130" s="21">
        <f>P130-X130</f>
        <v/>
      </c>
      <c r="AF130" s="21">
        <f>IF(Q130="","",Q130-Z130)</f>
        <v/>
      </c>
      <c r="AG130" s="22">
        <f>AC130+AD130+AE130+N(AF130)</f>
        <v/>
      </c>
      <c r="AH130" s="11" t="n">
        <v>1806393.176</v>
      </c>
      <c r="AI130" s="24">
        <f>AG130-AH130</f>
        <v/>
      </c>
      <c r="AJ130" s="14">
        <f>IF(OR(B130="",B130=0,N130=""),"",N130/B130*10000)</f>
        <v/>
      </c>
      <c r="AK130" s="14">
        <f>IF(OR(C130="",C130=0),"",O130/C130*10000)</f>
        <v/>
      </c>
      <c r="AL130" s="14">
        <f>IF(OR(D130="",D130=0),"",P130/D130*10000)</f>
        <v/>
      </c>
      <c r="AM130" s="14">
        <f>IF(OR(E130="",E130=0),"",Q130/E130*10000)</f>
        <v/>
      </c>
      <c r="AN130" s="11" t="n">
        <v>70.23900232124379</v>
      </c>
      <c r="AO130" s="11" t="n">
        <v>0</v>
      </c>
      <c r="AP130" s="21">
        <f>AH130+AN130+AO130</f>
        <v/>
      </c>
      <c r="AQ130" s="21">
        <f>AH130</f>
        <v/>
      </c>
      <c r="AR130" s="15" t="n">
        <v>153210.93</v>
      </c>
      <c r="AS130" s="27" t="n">
        <v>11.790237</v>
      </c>
      <c r="AT130" s="15" t="n">
        <v>18988489.6</v>
      </c>
      <c r="AU130" s="15" t="n">
        <v>26344.3158</v>
      </c>
      <c r="AV130" s="15" t="n">
        <v>1096.1885</v>
      </c>
      <c r="AW130" s="15" t="n"/>
      <c r="AX130" s="16" t="n">
        <v>420.5198976877521</v>
      </c>
      <c r="AY130" s="13">
        <f>IF(OR(AX130="",AX130=0,AU130=""),"",AU130*365/(AX130*1000000))</f>
        <v/>
      </c>
      <c r="AZ130" s="15" t="n">
        <v>425502266.4305</v>
      </c>
      <c r="BA130" s="17" t="n">
        <v>60487233</v>
      </c>
      <c r="BB130" s="18" t="n">
        <v>18988489.6</v>
      </c>
      <c r="BC130" s="17" t="n">
        <v>2971663</v>
      </c>
      <c r="BD130" s="17">
        <f>1000000000-999800718.4176+440.6922</f>
        <v/>
      </c>
      <c r="BE130" s="19">
        <f>1000000000-AZ130-BA130-BB130-BC130-BD130</f>
        <v/>
      </c>
      <c r="BF130" s="20" t="n">
        <v>238</v>
      </c>
      <c r="BG130" s="20">
        <f>BE130/1000000-BF130</f>
        <v/>
      </c>
      <c r="BH130" s="21">
        <f>BE130*11.93</f>
        <v/>
      </c>
    </row>
    <row r="131">
      <c r="A131" s="10" t="n">
        <v>45753</v>
      </c>
      <c r="B131" s="11" t="n">
        <v>7538397804</v>
      </c>
      <c r="C131" s="11" t="n"/>
      <c r="D131" s="12" t="n">
        <v>148050393</v>
      </c>
      <c r="E131" s="11" t="n"/>
      <c r="N131" s="12" t="n">
        <v>1722702</v>
      </c>
      <c r="O131" s="11" t="n"/>
      <c r="P131" s="12" t="n">
        <v>18329</v>
      </c>
      <c r="Q131" s="11" t="n"/>
      <c r="R131" s="21">
        <f>N131+O131+P131+N(Q131)</f>
        <v/>
      </c>
      <c r="S131" s="13" t="n">
        <v>0.03</v>
      </c>
      <c r="T131" s="21">
        <f>N(AC131)*S131</f>
        <v/>
      </c>
      <c r="U131" s="21">
        <f>N(AD131)*S131</f>
        <v/>
      </c>
      <c r="V131" s="21">
        <f>N(AE131)*S131</f>
        <v/>
      </c>
      <c r="W131" s="21">
        <f>IF(Q131="","",N(AF131)*S131)</f>
        <v/>
      </c>
      <c r="X131" s="12" t="n">
        <v>5782</v>
      </c>
      <c r="Y131" s="11" t="n"/>
      <c r="Z131" s="11" t="n"/>
      <c r="AA131" s="21">
        <f>T131+U131+V131+N(W131)+X131+Y131+N(Z131)</f>
        <v/>
      </c>
      <c r="AB131" s="11" t="n"/>
      <c r="AC131" s="12" t="n">
        <v>1671021</v>
      </c>
      <c r="AD131" s="21">
        <f>O131-Y131</f>
        <v/>
      </c>
      <c r="AE131" s="21">
        <f>P131-X131</f>
        <v/>
      </c>
      <c r="AF131" s="21">
        <f>IF(Q131="","",Q131-Z131)</f>
        <v/>
      </c>
      <c r="AG131" s="22">
        <f>AC131+AD131+AE131+N(AF131)</f>
        <v/>
      </c>
      <c r="AH131" s="11" t="n">
        <v>456748.8161</v>
      </c>
      <c r="AI131" s="24">
        <f>AG131-AH131</f>
        <v/>
      </c>
      <c r="AJ131" s="14">
        <f>IF(OR(B131="",B131=0,N131=""),"",N131/B131*10000)</f>
        <v/>
      </c>
      <c r="AK131" s="14">
        <f>IF(OR(C131="",C131=0),"",O131/C131*10000)</f>
        <v/>
      </c>
      <c r="AL131" s="14">
        <f>IF(OR(D131="",D131=0),"",P131/D131*10000)</f>
        <v/>
      </c>
      <c r="AM131" s="14">
        <f>IF(OR(E131="",E131=0),"",Q131/E131*10000)</f>
        <v/>
      </c>
      <c r="AN131" s="11" t="n">
        <v>86.21783880466637</v>
      </c>
      <c r="AO131" s="11" t="n">
        <v>31043.55</v>
      </c>
      <c r="AP131" s="21">
        <f>AH131+AN131+AO131</f>
        <v/>
      </c>
      <c r="AQ131" s="21">
        <f>AH131</f>
        <v/>
      </c>
      <c r="AR131" s="15" t="n">
        <v>42454.63</v>
      </c>
      <c r="AS131" s="27" t="n">
        <v>10.758516</v>
      </c>
      <c r="AT131" s="15" t="n">
        <v>19030944.23</v>
      </c>
      <c r="AU131" s="15" t="n">
        <v>26306.8726</v>
      </c>
      <c r="AV131" s="15" t="n">
        <v>316.5482</v>
      </c>
      <c r="AW131" s="15" t="n"/>
      <c r="AX131" s="16" t="n">
        <v>420.5791343918523</v>
      </c>
      <c r="AY131" s="13">
        <f>IF(OR(AX131="",AX131=0,AU131=""),"",AU131*365/(AX131*1000000))</f>
        <v/>
      </c>
      <c r="AZ131" s="15" t="n">
        <v>425475959.5579</v>
      </c>
      <c r="BA131" s="17" t="n">
        <v>60487233</v>
      </c>
      <c r="BB131" s="18" t="n">
        <v>19030944.23</v>
      </c>
      <c r="BC131" s="17" t="n">
        <v>2971663</v>
      </c>
      <c r="BD131" s="17">
        <f>1000000000-999800401.8694+449.0947</f>
        <v/>
      </c>
      <c r="BE131" s="19">
        <f>1000000000-AZ131-BA131-BB131-BC131-BD131</f>
        <v/>
      </c>
      <c r="BF131" s="20" t="n">
        <v>238</v>
      </c>
      <c r="BG131" s="20">
        <f>BE131/1000000-BF131</f>
        <v/>
      </c>
      <c r="BH131" s="21">
        <f>BE131*11.92</f>
        <v/>
      </c>
    </row>
    <row r="132">
      <c r="A132" s="10" t="n">
        <v>45754</v>
      </c>
      <c r="B132" s="11" t="n">
        <v>13309974116</v>
      </c>
      <c r="C132" s="11" t="n"/>
      <c r="D132" s="12" t="n">
        <v>254918742</v>
      </c>
      <c r="E132" s="11" t="n"/>
      <c r="N132" s="12" t="n">
        <v>3105494</v>
      </c>
      <c r="O132" s="11" t="n"/>
      <c r="P132" s="12" t="n">
        <v>36051</v>
      </c>
      <c r="Q132" s="11" t="n"/>
      <c r="R132" s="21">
        <f>N132+O132+P132+N(Q132)</f>
        <v/>
      </c>
      <c r="S132" s="13" t="n">
        <v>0.03</v>
      </c>
      <c r="T132" s="21">
        <f>N(AC132)*S132</f>
        <v/>
      </c>
      <c r="U132" s="21">
        <f>N(AD132)*S132</f>
        <v/>
      </c>
      <c r="V132" s="21">
        <f>N(AE132)*S132</f>
        <v/>
      </c>
      <c r="W132" s="21">
        <f>IF(Q132="","",N(AF132)*S132)</f>
        <v/>
      </c>
      <c r="X132" s="12" t="n">
        <v>12982</v>
      </c>
      <c r="Y132" s="11" t="n"/>
      <c r="Z132" s="11" t="n"/>
      <c r="AA132" s="21">
        <f>T132+U132+V132+N(W132)+X132+Y132+N(Z132)</f>
        <v/>
      </c>
      <c r="AB132" s="11" t="n"/>
      <c r="AC132" s="12" t="n">
        <v>3012330</v>
      </c>
      <c r="AD132" s="21">
        <f>O132-Y132</f>
        <v/>
      </c>
      <c r="AE132" s="21">
        <f>P132-X132</f>
        <v/>
      </c>
      <c r="AF132" s="21">
        <f>IF(Q132="","",Q132-Z132)</f>
        <v/>
      </c>
      <c r="AG132" s="22">
        <f>AC132+AD132+AE132+N(AF132)</f>
        <v/>
      </c>
      <c r="AH132" s="11" t="n">
        <v>2696151.302</v>
      </c>
      <c r="AI132" s="24">
        <f>AG132-AH132</f>
        <v/>
      </c>
      <c r="AJ132" s="14">
        <f>IF(OR(B132="",B132=0,N132=""),"",N132/B132*10000)</f>
        <v/>
      </c>
      <c r="AK132" s="14">
        <f>IF(OR(C132="",C132=0),"",O132/C132*10000)</f>
        <v/>
      </c>
      <c r="AL132" s="14">
        <f>IF(OR(D132="",D132=0),"",P132/D132*10000)</f>
        <v/>
      </c>
      <c r="AM132" s="14">
        <f>IF(OR(E132="",E132=0),"",Q132/E132*10000)</f>
        <v/>
      </c>
      <c r="AN132" s="11" t="n">
        <v>159.4357757973535</v>
      </c>
      <c r="AO132" s="11" t="n">
        <v>21948.67</v>
      </c>
      <c r="AP132" s="21">
        <f>AH132+AN132+AO132</f>
        <v/>
      </c>
      <c r="AQ132" s="21">
        <f>AH132</f>
        <v/>
      </c>
      <c r="AR132" s="15" t="n">
        <v>256254.02</v>
      </c>
      <c r="AS132" s="27" t="n">
        <v>10.521401</v>
      </c>
      <c r="AT132" s="15" t="n">
        <v>19287198.25</v>
      </c>
      <c r="AU132" s="15" t="n">
        <v>26316.4147</v>
      </c>
      <c r="AV132" s="15" t="n">
        <v>939.6004</v>
      </c>
      <c r="AW132" s="15" t="n"/>
      <c r="AX132" s="16" t="n">
        <v>421.5515595656925</v>
      </c>
      <c r="AY132" s="13">
        <f>IF(OR(AX132="",AX132=0,AU132=""),"",AU132*365/(AX132*1000000))</f>
        <v/>
      </c>
      <c r="AZ132" s="15" t="n">
        <v>425449643.1433</v>
      </c>
      <c r="BA132" s="17" t="n">
        <v>60487233</v>
      </c>
      <c r="BB132" s="18" t="n">
        <v>19287198.25</v>
      </c>
      <c r="BC132" s="17" t="n">
        <v>2971663</v>
      </c>
      <c r="BD132" s="17">
        <f>1000000000-999799462.269+462.9659</f>
        <v/>
      </c>
      <c r="BE132" s="19">
        <f>1000000000-AZ132-BA132-BB132-BC132-BD132</f>
        <v/>
      </c>
      <c r="BF132" s="20" t="n">
        <v>238</v>
      </c>
      <c r="BG132" s="20">
        <f>BE132/1000000-BF132</f>
        <v/>
      </c>
      <c r="BH132" s="21">
        <f>BE132*10.02</f>
        <v/>
      </c>
    </row>
    <row r="133">
      <c r="A133" s="10" t="n">
        <v>45755</v>
      </c>
      <c r="B133" s="11" t="n">
        <v>7663480477</v>
      </c>
      <c r="C133" s="11" t="n"/>
      <c r="D133" s="12" t="n">
        <v>163870707</v>
      </c>
      <c r="E133" s="11" t="n"/>
      <c r="N133" s="12" t="n">
        <v>1733299</v>
      </c>
      <c r="O133" s="11" t="n"/>
      <c r="P133" s="12" t="n">
        <v>20897</v>
      </c>
      <c r="Q133" s="11" t="n"/>
      <c r="R133" s="21">
        <f>N133+O133+P133+N(Q133)</f>
        <v/>
      </c>
      <c r="S133" s="13" t="n">
        <v>0.03</v>
      </c>
      <c r="T133" s="21">
        <f>N(AC133)*S133</f>
        <v/>
      </c>
      <c r="U133" s="21">
        <f>N(AD133)*S133</f>
        <v/>
      </c>
      <c r="V133" s="21">
        <f>N(AE133)*S133</f>
        <v/>
      </c>
      <c r="W133" s="21">
        <f>IF(Q133="","",N(AF133)*S133)</f>
        <v/>
      </c>
      <c r="X133" s="12" t="n">
        <v>5459</v>
      </c>
      <c r="Y133" s="11" t="n"/>
      <c r="Z133" s="11" t="n"/>
      <c r="AA133" s="21">
        <f>T133+U133+V133+N(W133)+X133+Y133+N(Z133)</f>
        <v/>
      </c>
      <c r="AB133" s="11" t="n"/>
      <c r="AC133" s="12" t="n">
        <v>1681300</v>
      </c>
      <c r="AD133" s="21">
        <f>O133-Y133</f>
        <v/>
      </c>
      <c r="AE133" s="21">
        <f>P133-X133</f>
        <v/>
      </c>
      <c r="AF133" s="21">
        <f>IF(Q133="","",Q133-Z133)</f>
        <v/>
      </c>
      <c r="AG133" s="22">
        <f>AC133+AD133+AE133+N(AF133)</f>
        <v/>
      </c>
      <c r="AH133" s="11" t="n">
        <v>2383035.646</v>
      </c>
      <c r="AI133" s="24">
        <f>AG133-AH133</f>
        <v/>
      </c>
      <c r="AJ133" s="14">
        <f>IF(OR(B133="",B133=0,N133=""),"",N133/B133*10000)</f>
        <v/>
      </c>
      <c r="AK133" s="14">
        <f>IF(OR(C133="",C133=0),"",O133/C133*10000)</f>
        <v/>
      </c>
      <c r="AL133" s="14">
        <f>IF(OR(D133="",D133=0),"",P133/D133*10000)</f>
        <v/>
      </c>
      <c r="AM133" s="14">
        <f>IF(OR(E133="",E133=0),"",Q133/E133*10000)</f>
        <v/>
      </c>
      <c r="AN133" s="11" t="n">
        <v>260.9064576519706</v>
      </c>
      <c r="AO133" s="11" t="n">
        <v>27563.24</v>
      </c>
      <c r="AP133" s="21">
        <f>AH133+AN133+AO133</f>
        <v/>
      </c>
      <c r="AQ133" s="21">
        <f>AH133</f>
        <v/>
      </c>
      <c r="AR133" s="15" t="n">
        <v>209565.99</v>
      </c>
      <c r="AS133" s="27" t="n">
        <v>11.37129</v>
      </c>
      <c r="AT133" s="15" t="n">
        <v>19496764.24</v>
      </c>
      <c r="AU133" s="15" t="n">
        <v>26338.7732</v>
      </c>
      <c r="AV133" s="15" t="n">
        <v>2135.0213</v>
      </c>
      <c r="AW133" s="15" t="n"/>
      <c r="AX133" s="16" t="n">
        <v>421.5786515770515</v>
      </c>
      <c r="AY133" s="13">
        <f>IF(OR(AX133="",AX133=0,AU133=""),"",AU133*365/(AX133*1000000))</f>
        <v/>
      </c>
      <c r="AZ133" s="15" t="n">
        <v>425423304.3701</v>
      </c>
      <c r="BA133" s="17" t="n">
        <v>60487233</v>
      </c>
      <c r="BB133" s="18" t="n">
        <v>19496764.24</v>
      </c>
      <c r="BC133" s="17" t="n">
        <v>2971663</v>
      </c>
      <c r="BD133" s="17">
        <f>1000000000-999797327.2477+486.2196</f>
        <v/>
      </c>
      <c r="BE133" s="19">
        <f>1000000000-AZ133-BA133-BB133-BC133-BD133</f>
        <v/>
      </c>
      <c r="BF133" s="20" t="n">
        <v>238</v>
      </c>
      <c r="BG133" s="20">
        <f>BE133/1000000-BF133</f>
        <v/>
      </c>
      <c r="BH133" s="21">
        <f>BE133*11.61</f>
        <v/>
      </c>
    </row>
    <row r="134">
      <c r="A134" s="10" t="n">
        <v>45756</v>
      </c>
      <c r="B134" s="11" t="n">
        <v>12444620478</v>
      </c>
      <c r="C134" s="11" t="n"/>
      <c r="D134" s="12" t="n">
        <v>256513559</v>
      </c>
      <c r="E134" s="11" t="n"/>
      <c r="N134" s="12" t="n">
        <v>2795877</v>
      </c>
      <c r="O134" s="11" t="n"/>
      <c r="P134" s="12" t="n">
        <v>36874</v>
      </c>
      <c r="Q134" s="11" t="n"/>
      <c r="R134" s="21">
        <f>N134+O134+P134+N(Q134)</f>
        <v/>
      </c>
      <c r="S134" s="13" t="n">
        <v>0.03</v>
      </c>
      <c r="T134" s="21">
        <f>N(AC134)*S134</f>
        <v/>
      </c>
      <c r="U134" s="21">
        <f>N(AD134)*S134</f>
        <v/>
      </c>
      <c r="V134" s="21">
        <f>N(AE134)*S134</f>
        <v/>
      </c>
      <c r="W134" s="21">
        <f>IF(Q134="","",N(AF134)*S134)</f>
        <v/>
      </c>
      <c r="X134" s="12" t="n">
        <v>11098</v>
      </c>
      <c r="Y134" s="11" t="n"/>
      <c r="Z134" s="11" t="n"/>
      <c r="AA134" s="21">
        <f>T134+U134+V134+N(W134)+X134+Y134+N(Z134)</f>
        <v/>
      </c>
      <c r="AB134" s="11" t="n"/>
      <c r="AC134" s="12" t="n">
        <v>2712001</v>
      </c>
      <c r="AD134" s="21">
        <f>O134-Y134</f>
        <v/>
      </c>
      <c r="AE134" s="21">
        <f>P134-X134</f>
        <v/>
      </c>
      <c r="AF134" s="21">
        <f>IF(Q134="","",Q134-Z134)</f>
        <v/>
      </c>
      <c r="AG134" s="22">
        <f>AC134+AD134+AE134+N(AF134)</f>
        <v/>
      </c>
      <c r="AH134" s="11" t="n">
        <v>2265416.302</v>
      </c>
      <c r="AI134" s="24">
        <f>AG134-AH134</f>
        <v/>
      </c>
      <c r="AJ134" s="14">
        <f>IF(OR(B134="",B134=0,N134=""),"",N134/B134*10000)</f>
        <v/>
      </c>
      <c r="AK134" s="14">
        <f>IF(OR(C134="",C134=0),"",O134/C134*10000)</f>
        <v/>
      </c>
      <c r="AL134" s="14">
        <f>IF(OR(D134="",D134=0),"",P134/D134*10000)</f>
        <v/>
      </c>
      <c r="AM134" s="14">
        <f>IF(OR(E134="",E134=0),"",Q134/E134*10000)</f>
        <v/>
      </c>
      <c r="AN134" s="11" t="n">
        <v>1499.456863071001</v>
      </c>
      <c r="AO134" s="11" t="n">
        <v>0</v>
      </c>
      <c r="AP134" s="21">
        <f>AH134+AN134+AO134</f>
        <v/>
      </c>
      <c r="AQ134" s="21">
        <f>AH134</f>
        <v/>
      </c>
      <c r="AR134" s="15" t="n">
        <v>177028.08</v>
      </c>
      <c r="AS134" s="27" t="n">
        <v>12.796932</v>
      </c>
      <c r="AT134" s="15" t="n">
        <v>19673792.32</v>
      </c>
      <c r="AU134" s="15" t="n">
        <v>26379.045</v>
      </c>
      <c r="AV134" s="15" t="n">
        <v>1189.0274</v>
      </c>
      <c r="AW134" s="15" t="n"/>
      <c r="AX134" s="16" t="n">
        <v>421.7924521721882</v>
      </c>
      <c r="AY134" s="13">
        <f>IF(OR(AX134="",AX134=0,AU134=""),"",AU134*365/(AX134*1000000))</f>
        <v/>
      </c>
      <c r="AZ134" s="15" t="n">
        <v>425396925.3251</v>
      </c>
      <c r="BA134" s="17" t="n">
        <v>60487233</v>
      </c>
      <c r="BB134" s="18" t="n">
        <v>19673792.32</v>
      </c>
      <c r="BC134" s="17" t="n">
        <v>2971663</v>
      </c>
      <c r="BD134" s="17">
        <f>1000000000-999796138.2203+596.7175</f>
        <v/>
      </c>
      <c r="BE134" s="19">
        <f>1000000000-AZ134-BA134-BB134-BC134-BD134</f>
        <v/>
      </c>
      <c r="BF134" s="20" t="n">
        <v>238</v>
      </c>
      <c r="BG134" s="20">
        <f>BE134/1000000-BF134</f>
        <v/>
      </c>
      <c r="BH134" s="21">
        <f>BE134*11.53</f>
        <v/>
      </c>
    </row>
    <row r="135">
      <c r="A135" s="10" t="n">
        <v>45757</v>
      </c>
      <c r="B135" s="11" t="n">
        <v>7229336568</v>
      </c>
      <c r="C135" s="11" t="n"/>
      <c r="D135" s="12" t="n">
        <v>165359677</v>
      </c>
      <c r="E135" s="11" t="n"/>
      <c r="N135" s="12" t="n">
        <v>1661575</v>
      </c>
      <c r="O135" s="11" t="n"/>
      <c r="P135" s="12" t="n">
        <v>22705</v>
      </c>
      <c r="Q135" s="11" t="n"/>
      <c r="R135" s="21">
        <f>N135+O135+P135+N(Q135)</f>
        <v/>
      </c>
      <c r="S135" s="13" t="n">
        <v>0.03</v>
      </c>
      <c r="T135" s="21">
        <f>N(AC135)*S135</f>
        <v/>
      </c>
      <c r="U135" s="21">
        <f>N(AD135)*S135</f>
        <v/>
      </c>
      <c r="V135" s="21">
        <f>N(AE135)*S135</f>
        <v/>
      </c>
      <c r="W135" s="21">
        <f>IF(Q135="","",N(AF135)*S135)</f>
        <v/>
      </c>
      <c r="X135" s="12" t="n">
        <v>7205</v>
      </c>
      <c r="Y135" s="11" t="n"/>
      <c r="Z135" s="11" t="n"/>
      <c r="AA135" s="21">
        <f>T135+U135+V135+N(W135)+X135+Y135+N(Z135)</f>
        <v/>
      </c>
      <c r="AB135" s="11" t="n"/>
      <c r="AC135" s="12" t="n">
        <v>1611727</v>
      </c>
      <c r="AD135" s="21">
        <f>O135-Y135</f>
        <v/>
      </c>
      <c r="AE135" s="21">
        <f>P135-X135</f>
        <v/>
      </c>
      <c r="AF135" s="21">
        <f>IF(Q135="","",Q135-Z135)</f>
        <v/>
      </c>
      <c r="AG135" s="22">
        <f>AC135+AD135+AE135+N(AF135)</f>
        <v/>
      </c>
      <c r="AH135" s="11" t="n">
        <v>2469028.056</v>
      </c>
      <c r="AI135" s="24">
        <f>AG135-AH135</f>
        <v/>
      </c>
      <c r="AJ135" s="14">
        <f>IF(OR(B135="",B135=0,N135=""),"",N135/B135*10000)</f>
        <v/>
      </c>
      <c r="AK135" s="14">
        <f>IF(OR(C135="",C135=0),"",O135/C135*10000)</f>
        <v/>
      </c>
      <c r="AL135" s="14">
        <f>IF(OR(D135="",D135=0),"",P135/D135*10000)</f>
        <v/>
      </c>
      <c r="AM135" s="14">
        <f>IF(OR(E135="",E135=0),"",Q135/E135*10000)</f>
        <v/>
      </c>
      <c r="AN135" s="11" t="n">
        <v>1905.243982577854</v>
      </c>
      <c r="AO135" s="11" t="n">
        <v>34630.96</v>
      </c>
      <c r="AP135" s="21">
        <f>AH135+AN135+AO135</f>
        <v/>
      </c>
      <c r="AQ135" s="21">
        <f>AH135</f>
        <v/>
      </c>
      <c r="AR135" s="15" t="n">
        <v>179849.25</v>
      </c>
      <c r="AS135" s="27" t="n">
        <v>13.72832</v>
      </c>
      <c r="AT135" s="15" t="n">
        <v>19853641.57</v>
      </c>
      <c r="AU135" s="15" t="n">
        <v>26339.0337</v>
      </c>
      <c r="AV135" s="15" t="n">
        <v>2125.1637</v>
      </c>
      <c r="AW135" s="15" t="n"/>
      <c r="AX135" s="16" t="n">
        <v>421.8856640033089</v>
      </c>
      <c r="AY135" s="13">
        <f>IF(OR(AX135="",AX135=0,AU135=""),"",AU135*365/(AX135*1000000))</f>
        <v/>
      </c>
      <c r="AZ135" s="15" t="n">
        <v>425370586.2914</v>
      </c>
      <c r="BA135" s="17" t="n">
        <v>60487233</v>
      </c>
      <c r="BB135" s="18" t="n">
        <v>19853641.57</v>
      </c>
      <c r="BC135" s="17" t="n">
        <v>2971663</v>
      </c>
      <c r="BD135" s="17">
        <f>1000000000-999794013.0566+731.2687</f>
        <v/>
      </c>
      <c r="BE135" s="19">
        <f>1000000000-AZ135-BA135-BB135-BC135-BD135</f>
        <v/>
      </c>
      <c r="BF135" s="20" t="n">
        <v>238</v>
      </c>
      <c r="BG135" s="20">
        <f>BE135/1000000-BF135</f>
        <v/>
      </c>
      <c r="BH135" s="21">
        <f>BE135*13.53</f>
        <v/>
      </c>
    </row>
    <row r="136">
      <c r="A136" s="10" t="n">
        <v>45758</v>
      </c>
      <c r="B136" s="11" t="n">
        <v>5544362890</v>
      </c>
      <c r="C136" s="11" t="n"/>
      <c r="D136" s="12" t="n">
        <v>187070232</v>
      </c>
      <c r="E136" s="11" t="n"/>
      <c r="N136" s="12" t="n">
        <v>1303083</v>
      </c>
      <c r="O136" s="11" t="n"/>
      <c r="P136" s="12" t="n">
        <v>24450</v>
      </c>
      <c r="Q136" s="11" t="n"/>
      <c r="R136" s="21">
        <f>N136+O136+P136+N(Q136)</f>
        <v/>
      </c>
      <c r="S136" s="13" t="n">
        <v>0.03</v>
      </c>
      <c r="T136" s="21">
        <f>N(AC136)*S136</f>
        <v/>
      </c>
      <c r="U136" s="21">
        <f>N(AD136)*S136</f>
        <v/>
      </c>
      <c r="V136" s="21">
        <f>N(AE136)*S136</f>
        <v/>
      </c>
      <c r="W136" s="21">
        <f>IF(Q136="","",N(AF136)*S136)</f>
        <v/>
      </c>
      <c r="X136" s="12" t="n">
        <v>9894</v>
      </c>
      <c r="Y136" s="11" t="n"/>
      <c r="Z136" s="11" t="n"/>
      <c r="AA136" s="21">
        <f>T136+U136+V136+N(W136)+X136+Y136+N(Z136)</f>
        <v/>
      </c>
      <c r="AB136" s="11" t="n"/>
      <c r="AC136" s="12" t="n">
        <v>1263991</v>
      </c>
      <c r="AD136" s="21">
        <f>O136-Y136</f>
        <v/>
      </c>
      <c r="AE136" s="21">
        <f>P136-X136</f>
        <v/>
      </c>
      <c r="AF136" s="21">
        <f>IF(Q136="","",Q136-Z136)</f>
        <v/>
      </c>
      <c r="AG136" s="22">
        <f>AC136+AD136+AE136+N(AF136)</f>
        <v/>
      </c>
      <c r="AH136" s="11" t="n">
        <v>1682430.291</v>
      </c>
      <c r="AI136" s="24">
        <f>AG136-AH136</f>
        <v/>
      </c>
      <c r="AJ136" s="14">
        <f>IF(OR(B136="",B136=0,N136=""),"",N136/B136*10000)</f>
        <v/>
      </c>
      <c r="AK136" s="14">
        <f>IF(OR(C136="",C136=0),"",O136/C136*10000)</f>
        <v/>
      </c>
      <c r="AL136" s="14">
        <f>IF(OR(D136="",D136=0),"",P136/D136*10000)</f>
        <v/>
      </c>
      <c r="AM136" s="14">
        <f>IF(OR(E136="",E136=0),"",Q136/E136*10000)</f>
        <v/>
      </c>
      <c r="AN136" s="11" t="n">
        <v>2810.807794830195</v>
      </c>
      <c r="AO136" s="11" t="n">
        <v>34139.03</v>
      </c>
      <c r="AP136" s="21">
        <f>AH136+AN136+AO136</f>
        <v/>
      </c>
      <c r="AQ136" s="21">
        <f>AH136</f>
        <v/>
      </c>
      <c r="AR136" s="15" t="n">
        <v>109034.1</v>
      </c>
      <c r="AS136" s="27" t="n">
        <v>15.430313</v>
      </c>
      <c r="AT136" s="15" t="n">
        <v>19962675.67</v>
      </c>
      <c r="AU136" s="15" t="n">
        <v>26358.6189</v>
      </c>
      <c r="AV136" s="15" t="n">
        <v>1005.1581</v>
      </c>
      <c r="AW136" s="15" t="n"/>
      <c r="AX136" s="16" t="n">
        <v>421.9128187075878</v>
      </c>
      <c r="AY136" s="13">
        <f>IF(OR(AX136="",AX136=0,AU136=""),"",AU136*365/(AX136*1000000))</f>
        <v/>
      </c>
      <c r="AZ136" s="15" t="n">
        <v>425344227.6724</v>
      </c>
      <c r="BA136" s="17" t="n">
        <v>60487233</v>
      </c>
      <c r="BB136" s="18" t="n">
        <v>19962675.67</v>
      </c>
      <c r="BC136" s="17" t="n">
        <v>2971663</v>
      </c>
      <c r="BD136" s="17">
        <f>1000000000-999793007.8985+910.6094</f>
        <v/>
      </c>
      <c r="BE136" s="19">
        <f>1000000000-AZ136-BA136-BB136-BC136-BD136</f>
        <v/>
      </c>
      <c r="BF136" s="20" t="n">
        <v>238</v>
      </c>
      <c r="BG136" s="20">
        <f>BE136/1000000-BF136</f>
        <v/>
      </c>
      <c r="BH136" s="21">
        <f>BE136*14.18</f>
        <v/>
      </c>
    </row>
    <row r="137">
      <c r="A137" s="10" t="n">
        <v>45759</v>
      </c>
      <c r="B137" s="11" t="n">
        <v>4949382648</v>
      </c>
      <c r="C137" s="11" t="n"/>
      <c r="D137" s="12" t="n">
        <v>121367900</v>
      </c>
      <c r="E137" s="11" t="n"/>
      <c r="N137" s="12" t="n">
        <v>1125793</v>
      </c>
      <c r="O137" s="11" t="n"/>
      <c r="P137" s="12" t="n">
        <v>15701</v>
      </c>
      <c r="Q137" s="11" t="n"/>
      <c r="R137" s="21">
        <f>N137+O137+P137+N(Q137)</f>
        <v/>
      </c>
      <c r="S137" s="13" t="n">
        <v>0.03</v>
      </c>
      <c r="T137" s="21">
        <f>N(AC137)*S137</f>
        <v/>
      </c>
      <c r="U137" s="21">
        <f>N(AD137)*S137</f>
        <v/>
      </c>
      <c r="V137" s="21">
        <f>N(AE137)*S137</f>
        <v/>
      </c>
      <c r="W137" s="21">
        <f>IF(Q137="","",N(AF137)*S137)</f>
        <v/>
      </c>
      <c r="X137" s="12" t="n">
        <v>4408</v>
      </c>
      <c r="Y137" s="11" t="n"/>
      <c r="Z137" s="11" t="n"/>
      <c r="AA137" s="21">
        <f>T137+U137+V137+N(W137)+X137+Y137+N(Z137)</f>
        <v/>
      </c>
      <c r="AB137" s="11" t="n"/>
      <c r="AC137" s="12" t="n">
        <v>1092019</v>
      </c>
      <c r="AD137" s="21">
        <f>O137-Y137</f>
        <v/>
      </c>
      <c r="AE137" s="21">
        <f>P137-X137</f>
        <v/>
      </c>
      <c r="AF137" s="21">
        <f>IF(Q137="","",Q137-Z137)</f>
        <v/>
      </c>
      <c r="AG137" s="22">
        <f>AC137+AD137+AE137+N(AF137)</f>
        <v/>
      </c>
      <c r="AH137" s="11" t="n">
        <v>1296921.483</v>
      </c>
      <c r="AI137" s="24">
        <f>AG137-AH137</f>
        <v/>
      </c>
      <c r="AJ137" s="14">
        <f>IF(OR(B137="",B137=0,N137=""),"",N137/B137*10000)</f>
        <v/>
      </c>
      <c r="AK137" s="14">
        <f>IF(OR(C137="",C137=0),"",O137/C137*10000)</f>
        <v/>
      </c>
      <c r="AL137" s="14">
        <f>IF(OR(D137="",D137=0),"",P137/D137*10000)</f>
        <v/>
      </c>
      <c r="AM137" s="14">
        <f>IF(OR(E137="",E137=0),"",Q137/E137*10000)</f>
        <v/>
      </c>
      <c r="AN137" s="11" t="n">
        <v>2732.477308877568</v>
      </c>
      <c r="AO137" s="11" t="n">
        <v>0</v>
      </c>
      <c r="AP137" s="21">
        <f>AH137+AN137+AO137</f>
        <v/>
      </c>
      <c r="AQ137" s="21">
        <f>AH137</f>
        <v/>
      </c>
      <c r="AR137" s="15" t="n">
        <v>81751.52</v>
      </c>
      <c r="AS137" s="27" t="n">
        <v>15.864188</v>
      </c>
      <c r="AT137" s="15" t="n">
        <v>20044427.19</v>
      </c>
      <c r="AU137" s="15" t="n">
        <v>26323.9627</v>
      </c>
      <c r="AV137" s="15" t="n">
        <v>1029.4553</v>
      </c>
      <c r="AW137" s="15" t="n"/>
      <c r="AX137" s="16" t="n">
        <v>420.0977769667492</v>
      </c>
      <c r="AY137" s="13">
        <f>IF(OR(AX137="",AX137=0,AU137=""),"",AU137*365/(AX137*1000000))</f>
        <v/>
      </c>
      <c r="AZ137" s="15" t="n">
        <v>425317903.7097</v>
      </c>
      <c r="BA137" s="17" t="n">
        <v>60487233</v>
      </c>
      <c r="BB137" s="18" t="n">
        <v>20044427.19</v>
      </c>
      <c r="BC137" s="17" t="n">
        <v>2971663</v>
      </c>
      <c r="BD137" s="17">
        <f>1000000000-999791978.4431+1077.7130</f>
        <v/>
      </c>
      <c r="BE137" s="19">
        <f>1000000000-AZ137-BA137-BB137-BC137-BD137</f>
        <v/>
      </c>
      <c r="BF137" s="20" t="n">
        <v>238</v>
      </c>
      <c r="BG137" s="20">
        <f>BE137/1000000-BF137</f>
        <v/>
      </c>
      <c r="BH137" s="21">
        <f>BE137*15.53</f>
        <v/>
      </c>
    </row>
    <row r="138">
      <c r="A138" s="10" t="n">
        <v>45760</v>
      </c>
      <c r="B138" s="11" t="n">
        <v>6199138478</v>
      </c>
      <c r="C138" s="11" t="n"/>
      <c r="D138" s="12" t="n">
        <v>134246965</v>
      </c>
      <c r="E138" s="11" t="n"/>
      <c r="N138" s="12" t="n">
        <v>1352989</v>
      </c>
      <c r="O138" s="11" t="n"/>
      <c r="P138" s="12" t="n">
        <v>18682</v>
      </c>
      <c r="Q138" s="11" t="n"/>
      <c r="R138" s="21">
        <f>N138+O138+P138+N(Q138)</f>
        <v/>
      </c>
      <c r="S138" s="13" t="n">
        <v>0.03</v>
      </c>
      <c r="T138" s="21">
        <f>N(AC138)*S138</f>
        <v/>
      </c>
      <c r="U138" s="21">
        <f>N(AD138)*S138</f>
        <v/>
      </c>
      <c r="V138" s="21">
        <f>N(AE138)*S138</f>
        <v/>
      </c>
      <c r="W138" s="21">
        <f>IF(Q138="","",N(AF138)*S138)</f>
        <v/>
      </c>
      <c r="X138" s="12" t="n">
        <v>5066</v>
      </c>
      <c r="Y138" s="11" t="n"/>
      <c r="Z138" s="11" t="n"/>
      <c r="AA138" s="21">
        <f>T138+U138+V138+N(W138)+X138+Y138+N(Z138)</f>
        <v/>
      </c>
      <c r="AB138" s="11" t="n"/>
      <c r="AC138" s="12" t="n">
        <v>1312399</v>
      </c>
      <c r="AD138" s="21">
        <f>O138-Y138</f>
        <v/>
      </c>
      <c r="AE138" s="21">
        <f>P138-X138</f>
        <v/>
      </c>
      <c r="AF138" s="21">
        <f>IF(Q138="","",Q138-Z138)</f>
        <v/>
      </c>
      <c r="AG138" s="22">
        <f>AC138+AD138+AE138+N(AF138)</f>
        <v/>
      </c>
      <c r="AH138" s="11" t="n">
        <v>1071942.308</v>
      </c>
      <c r="AI138" s="24">
        <f>AG138-AH138</f>
        <v/>
      </c>
      <c r="AJ138" s="14">
        <f>IF(OR(B138="",B138=0,N138=""),"",N138/B138*10000)</f>
        <v/>
      </c>
      <c r="AK138" s="14">
        <f>IF(OR(C138="",C138=0),"",O138/C138*10000)</f>
        <v/>
      </c>
      <c r="AL138" s="14">
        <f>IF(OR(D138="",D138=0),"",P138/D138*10000)</f>
        <v/>
      </c>
      <c r="AM138" s="14">
        <f>IF(OR(E138="",E138=0),"",Q138/E138*10000)</f>
        <v/>
      </c>
      <c r="AN138" s="11" t="n">
        <v>3018.641321384334</v>
      </c>
      <c r="AO138" s="11" t="n">
        <v>17255.98</v>
      </c>
      <c r="AP138" s="21">
        <f>AH138+AN138+AO138</f>
        <v/>
      </c>
      <c r="AQ138" s="21">
        <f>AH138</f>
        <v/>
      </c>
      <c r="AR138" s="15" t="n">
        <v>69492.77</v>
      </c>
      <c r="AS138" s="27" t="n">
        <v>15.425235</v>
      </c>
      <c r="AT138" s="15" t="n">
        <v>20113919.96</v>
      </c>
      <c r="AU138" s="15" t="n">
        <v>26301.9331</v>
      </c>
      <c r="AV138" s="15" t="n">
        <v>774.0534</v>
      </c>
      <c r="AW138" s="15" t="n"/>
      <c r="AX138" s="16" t="n">
        <v>419.8745198562257</v>
      </c>
      <c r="AY138" s="13">
        <f>IF(OR(AX138="",AX138=0,AU138=""),"",AU138*365/(AX138*1000000))</f>
        <v/>
      </c>
      <c r="AZ138" s="15" t="n">
        <v>425291601.7767</v>
      </c>
      <c r="BA138" s="17" t="n">
        <v>60487233</v>
      </c>
      <c r="BB138" s="18" t="n">
        <v>20113919.96</v>
      </c>
      <c r="BC138" s="17" t="n">
        <v>2971663</v>
      </c>
      <c r="BD138" s="17">
        <f>1000000000-999791204.3897+1270.9679</f>
        <v/>
      </c>
      <c r="BE138" s="19">
        <f>1000000000-AZ138-BA138-BB138-BC138-BD138</f>
        <v/>
      </c>
      <c r="BF138" s="20" t="n">
        <v>238</v>
      </c>
      <c r="BG138" s="20">
        <f>BE138/1000000-BF138</f>
        <v/>
      </c>
      <c r="BH138" s="21">
        <f>BE138*16.47</f>
        <v/>
      </c>
    </row>
    <row r="139">
      <c r="A139" s="10" t="n">
        <v>45761</v>
      </c>
      <c r="B139" s="11" t="n">
        <v>6189611974</v>
      </c>
      <c r="C139" s="11" t="n"/>
      <c r="D139" s="12" t="n">
        <v>126974634</v>
      </c>
      <c r="E139" s="11" t="n"/>
      <c r="N139" s="12" t="n">
        <v>1338930</v>
      </c>
      <c r="O139" s="11" t="n"/>
      <c r="P139" s="12" t="n">
        <v>17486</v>
      </c>
      <c r="Q139" s="11" t="n"/>
      <c r="R139" s="21">
        <f>N139+O139+P139+N(Q139)</f>
        <v/>
      </c>
      <c r="S139" s="13" t="n">
        <v>0.03</v>
      </c>
      <c r="T139" s="21">
        <f>N(AC139)*S139</f>
        <v/>
      </c>
      <c r="U139" s="21">
        <f>N(AD139)*S139</f>
        <v/>
      </c>
      <c r="V139" s="21">
        <f>N(AE139)*S139</f>
        <v/>
      </c>
      <c r="W139" s="21">
        <f>IF(Q139="","",N(AF139)*S139)</f>
        <v/>
      </c>
      <c r="X139" s="12" t="n">
        <v>5472</v>
      </c>
      <c r="Y139" s="11" t="n"/>
      <c r="Z139" s="11" t="n"/>
      <c r="AA139" s="21">
        <f>T139+U139+V139+N(W139)+X139+Y139+N(Z139)</f>
        <v/>
      </c>
      <c r="AB139" s="11" t="n"/>
      <c r="AC139" s="12" t="n">
        <v>1298762</v>
      </c>
      <c r="AD139" s="21">
        <f>O139-Y139</f>
        <v/>
      </c>
      <c r="AE139" s="21">
        <f>P139-X139</f>
        <v/>
      </c>
      <c r="AF139" s="21">
        <f>IF(Q139="","",Q139-Z139)</f>
        <v/>
      </c>
      <c r="AG139" s="22">
        <f>AC139+AD139+AE139+N(AF139)</f>
        <v/>
      </c>
      <c r="AH139" s="11" t="n">
        <v>1453677.389</v>
      </c>
      <c r="AI139" s="24">
        <f>AG139-AH139</f>
        <v/>
      </c>
      <c r="AJ139" s="14">
        <f>IF(OR(B139="",B139=0,N139=""),"",N139/B139*10000)</f>
        <v/>
      </c>
      <c r="AK139" s="14">
        <f>IF(OR(C139="",C139=0),"",O139/C139*10000)</f>
        <v/>
      </c>
      <c r="AL139" s="14">
        <f>IF(OR(D139="",D139=0),"",P139/D139*10000)</f>
        <v/>
      </c>
      <c r="AM139" s="14">
        <f>IF(OR(E139="",E139=0),"",Q139/E139*10000)</f>
        <v/>
      </c>
      <c r="AN139" s="11" t="n">
        <v>5224.690037634056</v>
      </c>
      <c r="AO139" s="11" t="n">
        <v>17255.11</v>
      </c>
      <c r="AP139" s="21">
        <f>AH139+AN139+AO139</f>
        <v/>
      </c>
      <c r="AQ139" s="21">
        <f>AH139</f>
        <v/>
      </c>
      <c r="AR139" s="15" t="n">
        <v>92420.11</v>
      </c>
      <c r="AS139" s="27" t="n">
        <v>15.729016</v>
      </c>
      <c r="AT139" s="15" t="n">
        <v>20206340.07</v>
      </c>
      <c r="AU139" s="15" t="n">
        <v>26276.6359</v>
      </c>
      <c r="AV139" s="15" t="n">
        <v>666.1597</v>
      </c>
      <c r="AW139" s="15" t="n"/>
      <c r="AX139" s="16" t="n">
        <v>418.8627396129651</v>
      </c>
      <c r="AY139" s="13">
        <f>IF(OR(AX139="",AX139=0,AU139=""),"",AU139*365/(AX139*1000000))</f>
        <v/>
      </c>
      <c r="AZ139" s="15" t="n">
        <v>425265325.1408</v>
      </c>
      <c r="BA139" s="17" t="n">
        <v>60487233</v>
      </c>
      <c r="BB139" s="18" t="n">
        <v>20206340.07</v>
      </c>
      <c r="BC139" s="17" t="n">
        <v>2971663</v>
      </c>
      <c r="BD139" s="17">
        <f>1000000000-999790538.23+1603.0527</f>
        <v/>
      </c>
      <c r="BE139" s="19">
        <f>1000000000-AZ139-BA139-BB139-BC139-BD139</f>
        <v/>
      </c>
      <c r="BF139" s="20" t="n">
        <v>238</v>
      </c>
      <c r="BG139" s="20">
        <f>BE139/1000000-BF139</f>
        <v/>
      </c>
      <c r="BH139" s="21">
        <f>BE139*15.64</f>
        <v/>
      </c>
    </row>
    <row r="140">
      <c r="A140" s="10" t="n">
        <v>45762</v>
      </c>
      <c r="B140" s="11" t="n">
        <v>5704397495</v>
      </c>
      <c r="C140" s="11" t="n"/>
      <c r="D140" s="12" t="n">
        <v>120978471</v>
      </c>
      <c r="E140" s="11" t="n"/>
      <c r="N140" s="12" t="n">
        <v>1227200</v>
      </c>
      <c r="O140" s="11" t="n"/>
      <c r="P140" s="12" t="n">
        <v>16028</v>
      </c>
      <c r="Q140" s="11" t="n"/>
      <c r="R140" s="21">
        <f>N140+O140+P140+N(Q140)</f>
        <v/>
      </c>
      <c r="S140" s="13" t="n">
        <v>0.03</v>
      </c>
      <c r="T140" s="21">
        <f>N(AC140)*S140</f>
        <v/>
      </c>
      <c r="U140" s="21">
        <f>N(AD140)*S140</f>
        <v/>
      </c>
      <c r="V140" s="21">
        <f>N(AE140)*S140</f>
        <v/>
      </c>
      <c r="W140" s="21">
        <f>IF(Q140="","",N(AF140)*S140)</f>
        <v/>
      </c>
      <c r="X140" s="12" t="n">
        <v>4206</v>
      </c>
      <c r="Y140" s="11" t="n"/>
      <c r="Z140" s="11" t="n"/>
      <c r="AA140" s="21">
        <f>T140+U140+V140+N(W140)+X140+Y140+N(Z140)</f>
        <v/>
      </c>
      <c r="AB140" s="11" t="n"/>
      <c r="AC140" s="12" t="n">
        <v>1190384</v>
      </c>
      <c r="AD140" s="21">
        <f>O140-Y140</f>
        <v/>
      </c>
      <c r="AE140" s="21">
        <f>P140-X140</f>
        <v/>
      </c>
      <c r="AF140" s="21">
        <f>IF(Q140="","",Q140-Z140)</f>
        <v/>
      </c>
      <c r="AG140" s="22">
        <f>AC140+AD140+AE140+N(AF140)</f>
        <v/>
      </c>
      <c r="AH140" s="11" t="n">
        <v>1263352.3</v>
      </c>
      <c r="AI140" s="24">
        <f>AG140-AH140</f>
        <v/>
      </c>
      <c r="AJ140" s="14">
        <f>IF(OR(B140="",B140=0,N140=""),"",N140/B140*10000)</f>
        <v/>
      </c>
      <c r="AK140" s="14">
        <f>IF(OR(C140="",C140=0),"",O140/C140*10000)</f>
        <v/>
      </c>
      <c r="AL140" s="14">
        <f>IF(OR(D140="",D140=0),"",P140/D140*10000)</f>
        <v/>
      </c>
      <c r="AM140" s="14">
        <f>IF(OR(E140="",E140=0),"",Q140/E140*10000)</f>
        <v/>
      </c>
      <c r="AN140" s="11" t="n">
        <v>2522.51747421389</v>
      </c>
      <c r="AO140" s="11" t="n">
        <v>24391.53</v>
      </c>
      <c r="AP140" s="21">
        <f>AH140+AN140+AO140</f>
        <v/>
      </c>
      <c r="AQ140" s="21">
        <f>AH140</f>
        <v/>
      </c>
      <c r="AR140" s="15" t="n">
        <v>83639.50999999999</v>
      </c>
      <c r="AS140" s="27" t="n">
        <v>15.104731</v>
      </c>
      <c r="AT140" s="15" t="n">
        <v>20289979.58</v>
      </c>
      <c r="AU140" s="15" t="n">
        <v>26283.8481</v>
      </c>
      <c r="AV140" s="15" t="n">
        <v>636.1099</v>
      </c>
      <c r="AW140" s="15" t="n"/>
      <c r="AX140" s="16" t="n">
        <v>419.4075071821727</v>
      </c>
      <c r="AY140" s="13">
        <f>IF(OR(AX140="",AX140=0,AU140=""),"",AU140*365/(AX140*1000000))</f>
        <v/>
      </c>
      <c r="AZ140" s="15" t="n">
        <v>425239041.2926</v>
      </c>
      <c r="BA140" s="17" t="n">
        <v>60487233</v>
      </c>
      <c r="BB140" s="18" t="n">
        <v>20289979.58</v>
      </c>
      <c r="BC140" s="17" t="n">
        <v>2971663</v>
      </c>
      <c r="BD140" s="17">
        <f>1000000000-999789902.1201+1758.1127</f>
        <v/>
      </c>
      <c r="BE140" s="19">
        <f>1000000000-AZ140-BA140-BB140-BC140-BD140</f>
        <v/>
      </c>
      <c r="BF140" s="20" t="n">
        <v>238</v>
      </c>
      <c r="BG140" s="20">
        <f>BE140/1000000-BF140</f>
        <v/>
      </c>
      <c r="BH140" s="21">
        <f>BE140*15.62</f>
        <v/>
      </c>
    </row>
    <row r="141">
      <c r="A141" s="10" t="n">
        <v>45763</v>
      </c>
      <c r="B141" s="11" t="n">
        <v>6826966423</v>
      </c>
      <c r="C141" s="11" t="n"/>
      <c r="D141" s="12" t="n">
        <v>155624952</v>
      </c>
      <c r="E141" s="11" t="n"/>
      <c r="N141" s="12" t="n">
        <v>1470952</v>
      </c>
      <c r="O141" s="11" t="n"/>
      <c r="P141" s="12" t="n">
        <v>21088</v>
      </c>
      <c r="Q141" s="11" t="n"/>
      <c r="R141" s="21">
        <f>N141+O141+P141+N(Q141)</f>
        <v/>
      </c>
      <c r="S141" s="13" t="n">
        <v>0.03</v>
      </c>
      <c r="T141" s="21">
        <f>N(AC141)*S141</f>
        <v/>
      </c>
      <c r="U141" s="21">
        <f>N(AD141)*S141</f>
        <v/>
      </c>
      <c r="V141" s="21">
        <f>N(AE141)*S141</f>
        <v/>
      </c>
      <c r="W141" s="21">
        <f>IF(Q141="","",N(AF141)*S141)</f>
        <v/>
      </c>
      <c r="X141" s="12" t="n">
        <v>7617</v>
      </c>
      <c r="Y141" s="11" t="n"/>
      <c r="Z141" s="11" t="n"/>
      <c r="AA141" s="21">
        <f>T141+U141+V141+N(W141)+X141+Y141+N(Z141)</f>
        <v/>
      </c>
      <c r="AB141" s="11" t="n"/>
      <c r="AC141" s="12" t="n">
        <v>1426824</v>
      </c>
      <c r="AD141" s="21">
        <f>O141-Y141</f>
        <v/>
      </c>
      <c r="AE141" s="21">
        <f>P141-X141</f>
        <v/>
      </c>
      <c r="AF141" s="21">
        <f>IF(Q141="","",Q141-Z141)</f>
        <v/>
      </c>
      <c r="AG141" s="22">
        <f>AC141+AD141+AE141+N(AF141)</f>
        <v/>
      </c>
      <c r="AH141" s="11" t="n">
        <v>1260681.212</v>
      </c>
      <c r="AI141" s="24">
        <f>AG141-AH141</f>
        <v/>
      </c>
      <c r="AJ141" s="14">
        <f>IF(OR(B141="",B141=0,N141=""),"",N141/B141*10000)</f>
        <v/>
      </c>
      <c r="AK141" s="14">
        <f>IF(OR(C141="",C141=0),"",O141/C141*10000)</f>
        <v/>
      </c>
      <c r="AL141" s="14">
        <f>IF(OR(D141="",D141=0),"",P141/D141*10000)</f>
        <v/>
      </c>
      <c r="AM141" s="14">
        <f>IF(OR(E141="",E141=0),"",Q141/E141*10000)</f>
        <v/>
      </c>
      <c r="AN141" s="11" t="n">
        <v>3345.623242206836</v>
      </c>
      <c r="AO141" s="11" t="n">
        <v>20090.65</v>
      </c>
      <c r="AP141" s="21">
        <f>AH141+AN141+AO141</f>
        <v/>
      </c>
      <c r="AQ141" s="21">
        <f>AH141</f>
        <v/>
      </c>
      <c r="AR141" s="15" t="n">
        <v>81538.27</v>
      </c>
      <c r="AS141" s="27" t="n">
        <v>15.461221</v>
      </c>
      <c r="AT141" s="15" t="n">
        <v>20371517.85</v>
      </c>
      <c r="AU141" s="15" t="n">
        <v>26320.225</v>
      </c>
      <c r="AV141" s="15" t="n">
        <v>567.9891</v>
      </c>
      <c r="AW141" s="15" t="n"/>
      <c r="AX141" s="16" t="n">
        <v>420.1960675011709</v>
      </c>
      <c r="AY141" s="13">
        <f>IF(OR(AX141="",AX141=0,AU141=""),"",AU141*365/(AX141*1000000))</f>
        <v/>
      </c>
      <c r="AZ141" s="15" t="n">
        <v>425212721.0676</v>
      </c>
      <c r="BA141" s="17" t="n">
        <v>60487233</v>
      </c>
      <c r="BB141" s="18" t="n">
        <v>20371517.85</v>
      </c>
      <c r="BC141" s="17" t="n">
        <v>2971663</v>
      </c>
      <c r="BD141" s="17">
        <f>1000000000-999789334.131+1978.6548</f>
        <v/>
      </c>
      <c r="BE141" s="19">
        <f>1000000000-AZ141-BA141-BB141-BC141-BD141</f>
        <v/>
      </c>
      <c r="BF141" s="20" t="n">
        <v>238</v>
      </c>
      <c r="BG141" s="20">
        <f>BE141/1000000-BF141</f>
        <v/>
      </c>
      <c r="BH141" s="21">
        <f>BE141*15.01</f>
        <v/>
      </c>
    </row>
    <row r="142">
      <c r="A142" s="10" t="n">
        <v>45764</v>
      </c>
      <c r="B142" s="11" t="n">
        <v>4931816794</v>
      </c>
      <c r="C142" s="11" t="n"/>
      <c r="D142" s="12" t="n">
        <v>171271416</v>
      </c>
      <c r="E142" s="11" t="n"/>
      <c r="N142" s="12" t="n">
        <v>1060113</v>
      </c>
      <c r="O142" s="11" t="n"/>
      <c r="P142" s="12" t="n">
        <v>20603</v>
      </c>
      <c r="Q142" s="11" t="n"/>
      <c r="R142" s="21">
        <f>N142+O142+P142+N(Q142)</f>
        <v/>
      </c>
      <c r="S142" s="13" t="n">
        <v>0.03</v>
      </c>
      <c r="T142" s="21">
        <f>N(AC142)*S142</f>
        <v/>
      </c>
      <c r="U142" s="21">
        <f>N(AD142)*S142</f>
        <v/>
      </c>
      <c r="V142" s="21">
        <f>N(AE142)*S142</f>
        <v/>
      </c>
      <c r="W142" s="21">
        <f>IF(Q142="","",N(AF142)*S142)</f>
        <v/>
      </c>
      <c r="X142" s="12" t="n">
        <v>6280</v>
      </c>
      <c r="Y142" s="11" t="n"/>
      <c r="Z142" s="11" t="n"/>
      <c r="AA142" s="21">
        <f>T142+U142+V142+N(W142)+X142+Y142+N(Z142)</f>
        <v/>
      </c>
      <c r="AB142" s="11" t="n"/>
      <c r="AC142" s="12" t="n">
        <v>1028310</v>
      </c>
      <c r="AD142" s="21">
        <f>O142-Y142</f>
        <v/>
      </c>
      <c r="AE142" s="21">
        <f>P142-X142</f>
        <v/>
      </c>
      <c r="AF142" s="21">
        <f>IF(Q142="","",Q142-Z142)</f>
        <v/>
      </c>
      <c r="AG142" s="22">
        <f>AC142+AD142+AE142+N(AF142)</f>
        <v/>
      </c>
      <c r="AH142" s="11" t="n">
        <v>1446889.317</v>
      </c>
      <c r="AI142" s="24">
        <f>AG142-AH142</f>
        <v/>
      </c>
      <c r="AJ142" s="14">
        <f>IF(OR(B142="",B142=0,N142=""),"",N142/B142*10000)</f>
        <v/>
      </c>
      <c r="AK142" s="14">
        <f>IF(OR(C142="",C142=0),"",O142/C142*10000)</f>
        <v/>
      </c>
      <c r="AL142" s="14">
        <f>IF(OR(D142="",D142=0),"",P142/D142*10000)</f>
        <v/>
      </c>
      <c r="AM142" s="14">
        <f>IF(OR(E142="",E142=0),"",Q142/E142*10000)</f>
        <v/>
      </c>
      <c r="AN142" s="11" t="n">
        <v>2049.849132518399</v>
      </c>
      <c r="AO142" s="11" t="n">
        <v>0</v>
      </c>
      <c r="AP142" s="21">
        <f>AH142+AN142+AO142</f>
        <v/>
      </c>
      <c r="AQ142" s="21">
        <f>AH142</f>
        <v/>
      </c>
      <c r="AR142" s="15" t="n">
        <v>88253.77</v>
      </c>
      <c r="AS142" s="27" t="n">
        <v>16.394646</v>
      </c>
      <c r="AT142" s="15" t="n">
        <v>20459771.62</v>
      </c>
      <c r="AU142" s="15" t="n">
        <v>26296.1442</v>
      </c>
      <c r="AV142" s="15" t="n">
        <v>643.2034</v>
      </c>
      <c r="AW142" s="15" t="n"/>
      <c r="AX142" s="16" t="n">
        <v>420.2605946881386</v>
      </c>
      <c r="AY142" s="13">
        <f>IF(OR(AX142="",AX142=0,AU142=""),"",AU142*365/(AX142*1000000))</f>
        <v/>
      </c>
      <c r="AZ142" s="15" t="n">
        <v>425186424.9234</v>
      </c>
      <c r="BA142" s="17" t="n">
        <v>60487233</v>
      </c>
      <c r="BB142" s="18" t="n">
        <v>20459771.62</v>
      </c>
      <c r="BC142" s="17" t="n">
        <v>2971663</v>
      </c>
      <c r="BD142" s="17">
        <f>1000000000-999788690.9277+2109.5352</f>
        <v/>
      </c>
      <c r="BE142" s="19">
        <f>1000000000-AZ142-BA142-BB142-BC142-BD142</f>
        <v/>
      </c>
      <c r="BF142" s="20" t="n">
        <v>238</v>
      </c>
      <c r="BG142" s="20">
        <f>BE142/1000000-BF142</f>
        <v/>
      </c>
      <c r="BH142" s="21">
        <f>BE142*15.7</f>
        <v/>
      </c>
    </row>
    <row r="143">
      <c r="A143" s="10" t="n">
        <v>45765</v>
      </c>
      <c r="B143" s="11" t="n">
        <v>2170024471</v>
      </c>
      <c r="C143" s="11" t="n"/>
      <c r="D143" s="12" t="n">
        <v>94799665</v>
      </c>
      <c r="E143" s="11" t="n"/>
      <c r="N143" s="12" t="n">
        <v>502750</v>
      </c>
      <c r="O143" s="11" t="n"/>
      <c r="P143" s="12" t="n">
        <v>12428</v>
      </c>
      <c r="Q143" s="11" t="n"/>
      <c r="R143" s="21">
        <f>N143+O143+P143+N(Q143)</f>
        <v/>
      </c>
      <c r="S143" s="13" t="n">
        <v>0.03</v>
      </c>
      <c r="T143" s="21">
        <f>N(AC143)*S143</f>
        <v/>
      </c>
      <c r="U143" s="21">
        <f>N(AD143)*S143</f>
        <v/>
      </c>
      <c r="V143" s="21">
        <f>N(AE143)*S143</f>
        <v/>
      </c>
      <c r="W143" s="21">
        <f>IF(Q143="","",N(AF143)*S143)</f>
        <v/>
      </c>
      <c r="X143" s="12" t="n">
        <v>2951</v>
      </c>
      <c r="Y143" s="11" t="n"/>
      <c r="Z143" s="11" t="n"/>
      <c r="AA143" s="21">
        <f>T143+U143+V143+N(W143)+X143+Y143+N(Z143)</f>
        <v/>
      </c>
      <c r="AB143" s="11" t="n"/>
      <c r="AC143" s="12" t="n">
        <v>487667</v>
      </c>
      <c r="AD143" s="21">
        <f>O143-Y143</f>
        <v/>
      </c>
      <c r="AE143" s="21">
        <f>P143-X143</f>
        <v/>
      </c>
      <c r="AF143" s="21">
        <f>IF(Q143="","",Q143-Z143)</f>
        <v/>
      </c>
      <c r="AG143" s="22">
        <f>AC143+AD143+AE143+N(AF143)</f>
        <v/>
      </c>
      <c r="AH143" s="11" t="n">
        <v>884257.6583</v>
      </c>
      <c r="AI143" s="24">
        <f>AG143-AH143</f>
        <v/>
      </c>
      <c r="AJ143" s="14">
        <f>IF(OR(B143="",B143=0,N143=""),"",N143/B143*10000)</f>
        <v/>
      </c>
      <c r="AK143" s="14">
        <f>IF(OR(C143="",C143=0),"",O143/C143*10000)</f>
        <v/>
      </c>
      <c r="AL143" s="14">
        <f>IF(OR(D143="",D143=0),"",P143/D143*10000)</f>
        <v/>
      </c>
      <c r="AM143" s="14">
        <f>IF(OR(E143="",E143=0),"",Q143/E143*10000)</f>
        <v/>
      </c>
      <c r="AN143" s="11" t="n">
        <v>3051.85154063489</v>
      </c>
      <c r="AO143" s="11" t="n">
        <v>18209.58</v>
      </c>
      <c r="AP143" s="21">
        <f>AH143+AN143+AO143</f>
        <v/>
      </c>
      <c r="AQ143" s="21">
        <f>AH143</f>
        <v/>
      </c>
      <c r="AR143" s="15" t="n">
        <v>52023.07</v>
      </c>
      <c r="AS143" s="27" t="n">
        <v>16.997414</v>
      </c>
      <c r="AT143" s="15" t="n">
        <v>20511794.69</v>
      </c>
      <c r="AU143" s="15" t="n">
        <v>26303.0308</v>
      </c>
      <c r="AV143" s="15" t="n">
        <v>940.704</v>
      </c>
      <c r="AW143" s="15" t="n"/>
      <c r="AX143" s="16" t="n">
        <v>419.3445206851328</v>
      </c>
      <c r="AY143" s="13">
        <f>IF(OR(AX143="",AX143=0,AU143=""),"",AU143*365/(AX143*1000000))</f>
        <v/>
      </c>
      <c r="AZ143" s="15" t="n">
        <v>425160121.8925</v>
      </c>
      <c r="BA143" s="17" t="n">
        <v>60487233</v>
      </c>
      <c r="BB143" s="18" t="n">
        <v>20511794.69</v>
      </c>
      <c r="BC143" s="17" t="n">
        <v>2971663</v>
      </c>
      <c r="BD143" s="17">
        <f>1000000000-999787750.2236+2288.8871</f>
        <v/>
      </c>
      <c r="BE143" s="19">
        <f>1000000000-AZ143-BA143-BB143-BC143-BD143</f>
        <v/>
      </c>
      <c r="BF143" s="20" t="n">
        <v>238</v>
      </c>
      <c r="BG143" s="20">
        <f>BE143/1000000-BF143</f>
        <v/>
      </c>
      <c r="BH143" s="21">
        <f>BE143*17.15</f>
        <v/>
      </c>
    </row>
    <row r="144">
      <c r="A144" s="10" t="n">
        <v>45766</v>
      </c>
      <c r="B144" s="11" t="n">
        <v>2477853939</v>
      </c>
      <c r="C144" s="11" t="n"/>
      <c r="D144" s="12" t="n">
        <v>93687537</v>
      </c>
      <c r="E144" s="11" t="n"/>
      <c r="N144" s="12" t="n">
        <v>566871</v>
      </c>
      <c r="O144" s="11" t="n"/>
      <c r="P144" s="12" t="n">
        <v>12659</v>
      </c>
      <c r="Q144" s="11" t="n"/>
      <c r="R144" s="21">
        <f>N144+O144+P144+N(Q144)</f>
        <v/>
      </c>
      <c r="S144" s="13" t="n">
        <v>0.03</v>
      </c>
      <c r="T144" s="21">
        <f>N(AC144)*S144</f>
        <v/>
      </c>
      <c r="U144" s="21">
        <f>N(AD144)*S144</f>
        <v/>
      </c>
      <c r="V144" s="21">
        <f>N(AE144)*S144</f>
        <v/>
      </c>
      <c r="W144" s="21">
        <f>IF(Q144="","",N(AF144)*S144)</f>
        <v/>
      </c>
      <c r="X144" s="12" t="n">
        <v>2290</v>
      </c>
      <c r="Y144" s="11" t="n"/>
      <c r="Z144" s="11" t="n"/>
      <c r="AA144" s="21">
        <f>T144+U144+V144+N(W144)+X144+Y144+N(Z144)</f>
        <v/>
      </c>
      <c r="AB144" s="11" t="n"/>
      <c r="AC144" s="12" t="n">
        <v>549865</v>
      </c>
      <c r="AD144" s="21">
        <f>O144-Y144</f>
        <v/>
      </c>
      <c r="AE144" s="21">
        <f>P144-X144</f>
        <v/>
      </c>
      <c r="AF144" s="21">
        <f>IF(Q144="","",Q144-Z144)</f>
        <v/>
      </c>
      <c r="AG144" s="22">
        <f>AC144+AD144+AE144+N(AF144)</f>
        <v/>
      </c>
      <c r="AH144" s="11" t="n">
        <v>562035.0159</v>
      </c>
      <c r="AI144" s="24">
        <f>AG144-AH144</f>
        <v/>
      </c>
      <c r="AJ144" s="14">
        <f>IF(OR(B144="",B144=0,N144=""),"",N144/B144*10000)</f>
        <v/>
      </c>
      <c r="AK144" s="14">
        <f>IF(OR(C144="",C144=0),"",O144/C144*10000)</f>
        <v/>
      </c>
      <c r="AL144" s="14">
        <f>IF(OR(D144="",D144=0),"",P144/D144*10000)</f>
        <v/>
      </c>
      <c r="AM144" s="14">
        <f>IF(OR(E144="",E144=0),"",Q144/E144*10000)</f>
        <v/>
      </c>
      <c r="AN144" s="11" t="n">
        <v>1444.78104201302</v>
      </c>
      <c r="AO144" s="11" t="n">
        <v>18219.28</v>
      </c>
      <c r="AP144" s="21">
        <f>AH144+AN144+AO144</f>
        <v/>
      </c>
      <c r="AQ144" s="21">
        <f>AH144</f>
        <v/>
      </c>
      <c r="AR144" s="15" t="n">
        <v>31600.29</v>
      </c>
      <c r="AS144" s="27" t="n">
        <v>17.785755</v>
      </c>
      <c r="AT144" s="15" t="n">
        <v>20543394.98</v>
      </c>
      <c r="AU144" s="15" t="n">
        <v>26285.6979</v>
      </c>
      <c r="AV144" s="15" t="n">
        <v>520.8593</v>
      </c>
      <c r="AW144" s="15" t="n"/>
      <c r="AX144" s="16" t="n">
        <v>418.6746519887438</v>
      </c>
      <c r="AY144" s="13">
        <f>IF(OR(AX144="",AX144=0,AU144=""),"",AU144*365/(AX144*1000000))</f>
        <v/>
      </c>
      <c r="AZ144" s="15" t="n">
        <v>425133836.1946</v>
      </c>
      <c r="BA144" s="17" t="n">
        <v>60487233</v>
      </c>
      <c r="BB144" s="18" t="n">
        <v>20543394.98</v>
      </c>
      <c r="BC144" s="17" t="n">
        <v>2971663</v>
      </c>
      <c r="BD144" s="17">
        <f>1000000000-999787229.3643+2375.0039</f>
        <v/>
      </c>
      <c r="BE144" s="19">
        <f>1000000000-AZ144-BA144-BB144-BC144-BD144</f>
        <v/>
      </c>
      <c r="BF144" s="20" t="n">
        <v>238</v>
      </c>
      <c r="BG144" s="20">
        <f>BE144/1000000-BF144</f>
        <v/>
      </c>
      <c r="BH144" s="21">
        <f>BE144*16.92</f>
        <v/>
      </c>
    </row>
    <row r="145">
      <c r="A145" s="10" t="n">
        <v>45767</v>
      </c>
      <c r="B145" s="11" t="n">
        <v>2831191376</v>
      </c>
      <c r="C145" s="11" t="n"/>
      <c r="D145" s="12" t="n">
        <v>92510970</v>
      </c>
      <c r="E145" s="11" t="n"/>
      <c r="N145" s="12" t="n">
        <v>647116</v>
      </c>
      <c r="O145" s="11" t="n"/>
      <c r="P145" s="12" t="n">
        <v>10920</v>
      </c>
      <c r="Q145" s="11" t="n"/>
      <c r="R145" s="21">
        <f>N145+O145+P145+N(Q145)</f>
        <v/>
      </c>
      <c r="S145" s="13" t="n">
        <v>0.03</v>
      </c>
      <c r="T145" s="21">
        <f>N(AC145)*S145</f>
        <v/>
      </c>
      <c r="U145" s="21">
        <f>N(AD145)*S145</f>
        <v/>
      </c>
      <c r="V145" s="21">
        <f>N(AE145)*S145</f>
        <v/>
      </c>
      <c r="W145" s="21">
        <f>IF(Q145="","",N(AF145)*S145)</f>
        <v/>
      </c>
      <c r="X145" s="12" t="n">
        <v>2130</v>
      </c>
      <c r="Y145" s="11" t="n"/>
      <c r="Z145" s="11" t="n"/>
      <c r="AA145" s="21">
        <f>T145+U145+V145+N(W145)+X145+Y145+N(Z145)</f>
        <v/>
      </c>
      <c r="AB145" s="11" t="n"/>
      <c r="AC145" s="12" t="n">
        <v>627702</v>
      </c>
      <c r="AD145" s="21">
        <f>O145-Y145</f>
        <v/>
      </c>
      <c r="AE145" s="21">
        <f>P145-X145</f>
        <v/>
      </c>
      <c r="AF145" s="21">
        <f>IF(Q145="","",Q145-Z145)</f>
        <v/>
      </c>
      <c r="AG145" s="22">
        <f>AC145+AD145+AE145+N(AF145)</f>
        <v/>
      </c>
      <c r="AH145" s="11" t="n">
        <v>503819.1862</v>
      </c>
      <c r="AI145" s="24">
        <f>AG145-AH145</f>
        <v/>
      </c>
      <c r="AJ145" s="14">
        <f>IF(OR(B145="",B145=0,N145=""),"",N145/B145*10000)</f>
        <v/>
      </c>
      <c r="AK145" s="14">
        <f>IF(OR(C145="",C145=0),"",O145/C145*10000)</f>
        <v/>
      </c>
      <c r="AL145" s="14">
        <f>IF(OR(D145="",D145=0),"",P145/D145*10000)</f>
        <v/>
      </c>
      <c r="AM145" s="14">
        <f>IF(OR(E145="",E145=0),"",Q145/E145*10000)</f>
        <v/>
      </c>
      <c r="AN145" s="11" t="n">
        <v>1231.31182639604</v>
      </c>
      <c r="AO145" s="11" t="n">
        <v>18279.54</v>
      </c>
      <c r="AP145" s="21">
        <f>AH145+AN145+AO145</f>
        <v/>
      </c>
      <c r="AQ145" s="21">
        <f>AH145</f>
        <v/>
      </c>
      <c r="AR145" s="15" t="n">
        <v>28426.6</v>
      </c>
      <c r="AS145" s="27" t="n">
        <v>17.723512</v>
      </c>
      <c r="AT145" s="15" t="n">
        <v>20571821.58</v>
      </c>
      <c r="AU145" s="15" t="n">
        <v>26264.1199</v>
      </c>
      <c r="AV145" s="15" t="n">
        <v>529.2375</v>
      </c>
      <c r="AW145" s="15" t="n"/>
      <c r="AX145" s="16" t="n">
        <v>418.5526087844802</v>
      </c>
      <c r="AY145" s="13">
        <f>IF(OR(AX145="",AX145=0,AU145=""),"",AU145*365/(AX145*1000000))</f>
        <v/>
      </c>
      <c r="AZ145" s="15" t="n">
        <v>425107572.0747</v>
      </c>
      <c r="BA145" s="17" t="n">
        <v>60487233</v>
      </c>
      <c r="BB145" s="18" t="n">
        <v>20571821.58</v>
      </c>
      <c r="BC145" s="17" t="n">
        <v>2971663</v>
      </c>
      <c r="BD145" s="17">
        <f>1000000000-999786700.1268+2442.7403</f>
        <v/>
      </c>
      <c r="BE145" s="19">
        <f>1000000000-AZ145-BA145-BB145-BC145-BD145</f>
        <v/>
      </c>
      <c r="BF145" s="20" t="n">
        <v>238</v>
      </c>
      <c r="BG145" s="20">
        <f>BE145/1000000-BF145</f>
        <v/>
      </c>
      <c r="BH145" s="21">
        <f>BE145*18.08</f>
        <v/>
      </c>
    </row>
    <row r="146">
      <c r="A146" s="10" t="n">
        <v>45768</v>
      </c>
      <c r="B146" s="11" t="n">
        <v>6514487935</v>
      </c>
      <c r="C146" s="11" t="n"/>
      <c r="D146" s="12" t="n">
        <v>153905343</v>
      </c>
      <c r="E146" s="11" t="n"/>
      <c r="N146" s="12" t="n">
        <v>1451849</v>
      </c>
      <c r="O146" s="11" t="n"/>
      <c r="P146" s="12" t="n">
        <v>20816</v>
      </c>
      <c r="Q146" s="11" t="n"/>
      <c r="R146" s="21">
        <f>N146+O146+P146+N(Q146)</f>
        <v/>
      </c>
      <c r="S146" s="13" t="n">
        <v>0.03</v>
      </c>
      <c r="T146" s="21">
        <f>N(AC146)*S146</f>
        <v/>
      </c>
      <c r="U146" s="21">
        <f>N(AD146)*S146</f>
        <v/>
      </c>
      <c r="V146" s="21">
        <f>N(AE146)*S146</f>
        <v/>
      </c>
      <c r="W146" s="21">
        <f>IF(Q146="","",N(AF146)*S146)</f>
        <v/>
      </c>
      <c r="X146" s="12" t="n">
        <v>6332</v>
      </c>
      <c r="Y146" s="11" t="n"/>
      <c r="Z146" s="11" t="n"/>
      <c r="AA146" s="21">
        <f>T146+U146+V146+N(W146)+X146+Y146+N(Z146)</f>
        <v/>
      </c>
      <c r="AB146" s="11" t="n"/>
      <c r="AC146" s="12" t="n">
        <v>1408293</v>
      </c>
      <c r="AD146" s="21">
        <f>O146-Y146</f>
        <v/>
      </c>
      <c r="AE146" s="21">
        <f>P146-X146</f>
        <v/>
      </c>
      <c r="AF146" s="21">
        <f>IF(Q146="","",Q146-Z146)</f>
        <v/>
      </c>
      <c r="AG146" s="22">
        <f>AC146+AD146+AE146+N(AF146)</f>
        <v/>
      </c>
      <c r="AH146" s="11" t="n">
        <v>938622.6024</v>
      </c>
      <c r="AI146" s="24">
        <f>AG146-AH146</f>
        <v/>
      </c>
      <c r="AJ146" s="14">
        <f>IF(OR(B146="",B146=0,N146=""),"",N146/B146*10000)</f>
        <v/>
      </c>
      <c r="AK146" s="14">
        <f>IF(OR(C146="",C146=0),"",O146/C146*10000)</f>
        <v/>
      </c>
      <c r="AL146" s="14">
        <f>IF(OR(D146="",D146=0),"",P146/D146*10000)</f>
        <v/>
      </c>
      <c r="AM146" s="14">
        <f>IF(OR(E146="",E146=0),"",Q146/E146*10000)</f>
        <v/>
      </c>
      <c r="AN146" s="11" t="n">
        <v>4424.654530647215</v>
      </c>
      <c r="AO146" s="11" t="n">
        <v>19083.9</v>
      </c>
      <c r="AP146" s="21">
        <f>AH146+AN146+AO146</f>
        <v/>
      </c>
      <c r="AQ146" s="21">
        <f>AH146</f>
        <v/>
      </c>
      <c r="AR146" s="15" t="n">
        <v>52255.23</v>
      </c>
      <c r="AS146" s="27" t="n">
        <v>17.962271</v>
      </c>
      <c r="AT146" s="15" t="n">
        <v>20624076.81</v>
      </c>
      <c r="AU146" s="15" t="n">
        <v>26218.992</v>
      </c>
      <c r="AV146" s="15" t="n">
        <v>410.4167</v>
      </c>
      <c r="AW146" s="15" t="n"/>
      <c r="AX146" s="16" t="n">
        <v>418.405018308155</v>
      </c>
      <c r="AY146" s="13">
        <f>IF(OR(AX146="",AX146=0,AU146=""),"",AU146*365/(AX146*1000000))</f>
        <v/>
      </c>
      <c r="AZ146" s="15" t="n">
        <v>425081353.0828</v>
      </c>
      <c r="BA146" s="17" t="n">
        <v>60487233</v>
      </c>
      <c r="BB146" s="18" t="n">
        <v>20624076.81</v>
      </c>
      <c r="BC146" s="17" t="n">
        <v>2971663</v>
      </c>
      <c r="BD146" s="17">
        <f>1000000000-999786289.7101+2691.3024</f>
        <v/>
      </c>
      <c r="BE146" s="19">
        <f>1000000000-AZ146-BA146-BB146-BC146-BD146</f>
        <v/>
      </c>
      <c r="BF146" s="20" t="n">
        <v>238</v>
      </c>
      <c r="BG146" s="20">
        <f>BE146/1000000-BF146</f>
        <v/>
      </c>
      <c r="BH146" s="21">
        <f>BE146*17.66</f>
        <v/>
      </c>
    </row>
    <row r="147">
      <c r="A147" s="10" t="n">
        <v>45769</v>
      </c>
      <c r="B147" s="11" t="n">
        <v>9749391466</v>
      </c>
      <c r="C147" s="11" t="n"/>
      <c r="D147" s="12" t="n">
        <v>167698100</v>
      </c>
      <c r="E147" s="11" t="n"/>
      <c r="N147" s="12" t="n">
        <v>2176057</v>
      </c>
      <c r="O147" s="11" t="n"/>
      <c r="P147" s="12" t="n">
        <v>20644</v>
      </c>
      <c r="Q147" s="11" t="n"/>
      <c r="R147" s="21">
        <f>N147+O147+P147+N(Q147)</f>
        <v/>
      </c>
      <c r="S147" s="13" t="n">
        <v>0.03</v>
      </c>
      <c r="T147" s="21">
        <f>N(AC147)*S147</f>
        <v/>
      </c>
      <c r="U147" s="21">
        <f>N(AD147)*S147</f>
        <v/>
      </c>
      <c r="V147" s="21">
        <f>N(AE147)*S147</f>
        <v/>
      </c>
      <c r="W147" s="21">
        <f>IF(Q147="","",N(AF147)*S147)</f>
        <v/>
      </c>
      <c r="X147" s="12" t="n">
        <v>7287</v>
      </c>
      <c r="Y147" s="11" t="n"/>
      <c r="Z147" s="11" t="n"/>
      <c r="AA147" s="21">
        <f>T147+U147+V147+N(W147)+X147+Y147+N(Z147)</f>
        <v/>
      </c>
      <c r="AB147" s="11" t="n"/>
      <c r="AC147" s="12" t="n">
        <v>2110775</v>
      </c>
      <c r="AD147" s="21">
        <f>O147-Y147</f>
        <v/>
      </c>
      <c r="AE147" s="21">
        <f>P147-X147</f>
        <v/>
      </c>
      <c r="AF147" s="21">
        <f>IF(Q147="","",Q147-Z147)</f>
        <v/>
      </c>
      <c r="AG147" s="22">
        <f>AC147+AD147+AE147+N(AF147)</f>
        <v/>
      </c>
      <c r="AH147" s="11" t="n">
        <v>1423075.149</v>
      </c>
      <c r="AI147" s="24">
        <f>AG147-AH147</f>
        <v/>
      </c>
      <c r="AJ147" s="14">
        <f>IF(OR(B147="",B147=0,N147=""),"",N147/B147*10000)</f>
        <v/>
      </c>
      <c r="AK147" s="14">
        <f>IF(OR(C147="",C147=0),"",O147/C147*10000)</f>
        <v/>
      </c>
      <c r="AL147" s="14">
        <f>IF(OR(D147="",D147=0),"",P147/D147*10000)</f>
        <v/>
      </c>
      <c r="AM147" s="14">
        <f>IF(OR(E147="",E147=0),"",Q147/E147*10000)</f>
        <v/>
      </c>
      <c r="AN147" s="11" t="n">
        <v>4155.014276325599</v>
      </c>
      <c r="AO147" s="11" t="n">
        <v>0</v>
      </c>
      <c r="AP147" s="21">
        <f>AH147+AN147+AO147</f>
        <v/>
      </c>
      <c r="AQ147" s="21">
        <f>AH147</f>
        <v/>
      </c>
      <c r="AR147" s="15" t="n">
        <v>76482.66</v>
      </c>
      <c r="AS147" s="27" t="n">
        <v>18.606507</v>
      </c>
      <c r="AT147" s="15" t="n">
        <v>20700559.47</v>
      </c>
      <c r="AU147" s="15" t="n">
        <v>26258.8912</v>
      </c>
      <c r="AV147" s="15" t="n">
        <v>648.3471</v>
      </c>
      <c r="AW147" s="15" t="n"/>
      <c r="AX147" s="16" t="n">
        <v>418.565837454183</v>
      </c>
      <c r="AY147" s="13">
        <f>IF(OR(AX147="",AX147=0,AU147=""),"",AU147*365/(AX147*1000000))</f>
        <v/>
      </c>
      <c r="AZ147" s="15" t="n">
        <v>425055094.1916</v>
      </c>
      <c r="BA147" s="17" t="n">
        <v>60487233</v>
      </c>
      <c r="BB147" s="18" t="n">
        <v>20700559.47</v>
      </c>
      <c r="BC147" s="17" t="n">
        <v>2971663</v>
      </c>
      <c r="BD147" s="17">
        <f>1000000000-999785641.3631+2921.9955</f>
        <v/>
      </c>
      <c r="BE147" s="19">
        <f>1000000000-AZ147-BA147-BB147-BC147-BD147</f>
        <v/>
      </c>
      <c r="BF147" s="20" t="n">
        <v>238</v>
      </c>
      <c r="BG147" s="20">
        <f>BE147/1000000-BF147</f>
        <v/>
      </c>
      <c r="BH147" s="21">
        <f>BE147*18.09</f>
        <v/>
      </c>
    </row>
    <row r="148">
      <c r="A148" s="10" t="n">
        <v>45770</v>
      </c>
      <c r="B148" s="11" t="n">
        <v>8586739200</v>
      </c>
      <c r="C148" s="11" t="n"/>
      <c r="D148" s="12" t="n">
        <v>169388947</v>
      </c>
      <c r="E148" s="11" t="n"/>
      <c r="N148" s="12" t="n">
        <v>1959858</v>
      </c>
      <c r="O148" s="11" t="n"/>
      <c r="P148" s="12" t="n">
        <v>24465</v>
      </c>
      <c r="Q148" s="11" t="n"/>
      <c r="R148" s="21">
        <f>N148+O148+P148+N(Q148)</f>
        <v/>
      </c>
      <c r="S148" s="13" t="n">
        <v>0.03</v>
      </c>
      <c r="T148" s="21">
        <f>N(AC148)*S148</f>
        <v/>
      </c>
      <c r="U148" s="21">
        <f>N(AD148)*S148</f>
        <v/>
      </c>
      <c r="V148" s="21">
        <f>N(AE148)*S148</f>
        <v/>
      </c>
      <c r="W148" s="21">
        <f>IF(Q148="","",N(AF148)*S148)</f>
        <v/>
      </c>
      <c r="X148" s="12" t="n">
        <v>7409</v>
      </c>
      <c r="Y148" s="11" t="n"/>
      <c r="Z148" s="11" t="n"/>
      <c r="AA148" s="21">
        <f>T148+U148+V148+N(W148)+X148+Y148+N(Z148)</f>
        <v/>
      </c>
      <c r="AB148" s="11" t="n"/>
      <c r="AC148" s="12" t="n">
        <v>1901062</v>
      </c>
      <c r="AD148" s="21">
        <f>O148-Y148</f>
        <v/>
      </c>
      <c r="AE148" s="21">
        <f>P148-X148</f>
        <v/>
      </c>
      <c r="AF148" s="21">
        <f>IF(Q148="","",Q148-Z148)</f>
        <v/>
      </c>
      <c r="AG148" s="22">
        <f>AC148+AD148+AE148+N(AF148)</f>
        <v/>
      </c>
      <c r="AH148" s="11" t="n">
        <v>2257032.676</v>
      </c>
      <c r="AI148" s="24">
        <f>AG148-AH148</f>
        <v/>
      </c>
      <c r="AJ148" s="14">
        <f>IF(OR(B148="",B148=0,N148=""),"",N148/B148*10000)</f>
        <v/>
      </c>
      <c r="AK148" s="14">
        <f>IF(OR(C148="",C148=0),"",O148/C148*10000)</f>
        <v/>
      </c>
      <c r="AL148" s="14">
        <f>IF(OR(D148="",D148=0),"",P148/D148*10000)</f>
        <v/>
      </c>
      <c r="AM148" s="14">
        <f>IF(OR(E148="",E148=0),"",Q148/E148*10000)</f>
        <v/>
      </c>
      <c r="AN148" s="11" t="n">
        <v>5131.081096013228</v>
      </c>
      <c r="AO148" s="11" t="n">
        <v>23592.15</v>
      </c>
      <c r="AP148" s="21">
        <f>AH148+AN148+AO148</f>
        <v/>
      </c>
      <c r="AQ148" s="21">
        <f>AH148</f>
        <v/>
      </c>
      <c r="AR148" s="15" t="n">
        <v>120992.35</v>
      </c>
      <c r="AS148" s="27" t="n">
        <v>18.654342</v>
      </c>
      <c r="AT148" s="15" t="n">
        <v>20821551.82</v>
      </c>
      <c r="AU148" s="15" t="n">
        <v>26217.4408</v>
      </c>
      <c r="AV148" s="15" t="n">
        <v>708.6571</v>
      </c>
      <c r="AW148" s="15" t="n"/>
      <c r="AX148" s="16" t="n">
        <v>417.6498781900325</v>
      </c>
      <c r="AY148" s="13">
        <f>IF(OR(AX148="",AX148=0,AU148=""),"",AU148*365/(AX148*1000000))</f>
        <v/>
      </c>
      <c r="AZ148" s="15" t="n">
        <v>425028876.7508</v>
      </c>
      <c r="BA148" s="17" t="n">
        <v>60487233</v>
      </c>
      <c r="BB148" s="18" t="n">
        <v>20821551.82</v>
      </c>
      <c r="BC148" s="17" t="n">
        <v>2971663</v>
      </c>
      <c r="BD148" s="17">
        <f>1000000000-999784932.706+3193.3090</f>
        <v/>
      </c>
      <c r="BE148" s="19">
        <f>1000000000-AZ148-BA148-BB148-BC148-BD148</f>
        <v/>
      </c>
      <c r="BF148" s="20" t="n">
        <v>238</v>
      </c>
      <c r="BG148" s="20">
        <f>BE148/1000000-BF148</f>
        <v/>
      </c>
      <c r="BH148" s="21">
        <f>BE148*19.11</f>
        <v/>
      </c>
    </row>
    <row r="149">
      <c r="A149" s="10" t="n">
        <v>45771</v>
      </c>
      <c r="B149" s="11" t="n">
        <v>5758061914</v>
      </c>
      <c r="C149" s="11" t="n"/>
      <c r="D149" s="12" t="n">
        <v>117675576</v>
      </c>
      <c r="E149" s="11" t="n"/>
      <c r="N149" s="12" t="n">
        <v>1313444</v>
      </c>
      <c r="O149" s="11" t="n"/>
      <c r="P149" s="12" t="n">
        <v>15562</v>
      </c>
      <c r="Q149" s="11" t="n"/>
      <c r="R149" s="21">
        <f>N149+O149+P149+N(Q149)</f>
        <v/>
      </c>
      <c r="S149" s="13" t="n">
        <v>0.03</v>
      </c>
      <c r="T149" s="21">
        <f>N(AC149)*S149</f>
        <v/>
      </c>
      <c r="U149" s="21">
        <f>N(AD149)*S149</f>
        <v/>
      </c>
      <c r="V149" s="21">
        <f>N(AE149)*S149</f>
        <v/>
      </c>
      <c r="W149" s="21">
        <f>IF(Q149="","",N(AF149)*S149)</f>
        <v/>
      </c>
      <c r="X149" s="12" t="n">
        <v>4551</v>
      </c>
      <c r="Y149" s="11" t="n"/>
      <c r="Z149" s="11" t="n"/>
      <c r="AA149" s="21">
        <f>T149+U149+V149+N(W149)+X149+Y149+N(Z149)</f>
        <v/>
      </c>
      <c r="AB149" s="11" t="n"/>
      <c r="AC149" s="12" t="n">
        <v>1274041</v>
      </c>
      <c r="AD149" s="21">
        <f>O149-Y149</f>
        <v/>
      </c>
      <c r="AE149" s="21">
        <f>P149-X149</f>
        <v/>
      </c>
      <c r="AF149" s="21">
        <f>IF(Q149="","",Q149-Z149)</f>
        <v/>
      </c>
      <c r="AG149" s="22">
        <f>AC149+AD149+AE149+N(AF149)</f>
        <v/>
      </c>
      <c r="AH149" s="11" t="n">
        <v>1763542.077</v>
      </c>
      <c r="AI149" s="24">
        <f>AG149-AH149</f>
        <v/>
      </c>
      <c r="AJ149" s="14">
        <f>IF(OR(B149="",B149=0,N149=""),"",N149/B149*10000)</f>
        <v/>
      </c>
      <c r="AK149" s="14">
        <f>IF(OR(C149="",C149=0),"",O149/C149*10000)</f>
        <v/>
      </c>
      <c r="AL149" s="14">
        <f>IF(OR(D149="",D149=0),"",P149/D149*10000)</f>
        <v/>
      </c>
      <c r="AM149" s="14">
        <f>IF(OR(E149="",E149=0),"",Q149/E149*10000)</f>
        <v/>
      </c>
      <c r="AN149" s="11" t="n">
        <v>2281.184420243313</v>
      </c>
      <c r="AO149" s="11" t="n">
        <v>19881.93</v>
      </c>
      <c r="AP149" s="21">
        <f>AH149+AN149+AO149</f>
        <v/>
      </c>
      <c r="AQ149" s="21">
        <f>AH149</f>
        <v/>
      </c>
      <c r="AR149" s="15" t="n">
        <v>96372.78</v>
      </c>
      <c r="AS149" s="27" t="n">
        <v>18.299172</v>
      </c>
      <c r="AT149" s="15" t="n">
        <v>20917924.6</v>
      </c>
      <c r="AU149" s="15" t="n">
        <v>26193.1501</v>
      </c>
      <c r="AV149" s="15" t="n">
        <v>671.4738</v>
      </c>
      <c r="AW149" s="15" t="n"/>
      <c r="AX149" s="16" t="n">
        <v>416.6244602456657</v>
      </c>
      <c r="AY149" s="13">
        <f>IF(OR(AX149="",AX149=0,AU149=""),"",AU149*365/(AX149*1000000))</f>
        <v/>
      </c>
      <c r="AZ149" s="15" t="n">
        <v>425002683.6007</v>
      </c>
      <c r="BA149" s="17" t="n">
        <v>60487233</v>
      </c>
      <c r="BB149" s="18" t="n">
        <v>20917924.6</v>
      </c>
      <c r="BC149" s="17" t="n">
        <v>2971663</v>
      </c>
      <c r="BD149" s="17">
        <f>1000000000-999784261.2322+3319.1675</f>
        <v/>
      </c>
      <c r="BE149" s="19">
        <f>1000000000-AZ149-BA149-BB149-BC149-BD149</f>
        <v/>
      </c>
      <c r="BF149" s="20" t="n">
        <v>238</v>
      </c>
      <c r="BG149" s="20">
        <f>BE149/1000000-BF149</f>
        <v/>
      </c>
      <c r="BH149" s="21">
        <f>BE149*18.32</f>
        <v/>
      </c>
    </row>
    <row r="150">
      <c r="A150" s="10" t="n">
        <v>45772</v>
      </c>
      <c r="B150" s="11" t="n">
        <v>7060976064</v>
      </c>
      <c r="C150" s="11" t="n"/>
      <c r="D150" s="12" t="n">
        <v>114067436</v>
      </c>
      <c r="E150" s="11" t="n"/>
      <c r="N150" s="12" t="n">
        <v>1604602</v>
      </c>
      <c r="O150" s="11" t="n"/>
      <c r="P150" s="12" t="n">
        <v>16124</v>
      </c>
      <c r="Q150" s="11" t="n"/>
      <c r="R150" s="21">
        <f>N150+O150+P150+N(Q150)</f>
        <v/>
      </c>
      <c r="S150" s="13" t="n">
        <v>0.03</v>
      </c>
      <c r="T150" s="21">
        <f>N(AC150)*S150</f>
        <v/>
      </c>
      <c r="U150" s="21">
        <f>N(AD150)*S150</f>
        <v/>
      </c>
      <c r="V150" s="21">
        <f>N(AE150)*S150</f>
        <v/>
      </c>
      <c r="W150" s="21">
        <f>IF(Q150="","",N(AF150)*S150)</f>
        <v/>
      </c>
      <c r="X150" s="12" t="n">
        <v>4088</v>
      </c>
      <c r="Y150" s="11" t="n"/>
      <c r="Z150" s="11" t="n"/>
      <c r="AA150" s="21">
        <f>T150+U150+V150+N(W150)+X150+Y150+N(Z150)</f>
        <v/>
      </c>
      <c r="AB150" s="11" t="n"/>
      <c r="AC150" s="12" t="n">
        <v>1556464</v>
      </c>
      <c r="AD150" s="21">
        <f>O150-Y150</f>
        <v/>
      </c>
      <c r="AE150" s="21">
        <f>P150-X150</f>
        <v/>
      </c>
      <c r="AF150" s="21">
        <f>IF(Q150="","",Q150-Z150)</f>
        <v/>
      </c>
      <c r="AG150" s="22">
        <f>AC150+AD150+AE150+N(AF150)</f>
        <v/>
      </c>
      <c r="AH150" s="11" t="n">
        <v>1305000.805</v>
      </c>
      <c r="AI150" s="24">
        <f>AG150-AH150</f>
        <v/>
      </c>
      <c r="AJ150" s="14">
        <f>IF(OR(B150="",B150=0,N150=""),"",N150/B150*10000)</f>
        <v/>
      </c>
      <c r="AK150" s="14">
        <f>IF(OR(C150="",C150=0),"",O150/C150*10000)</f>
        <v/>
      </c>
      <c r="AL150" s="14">
        <f>IF(OR(D150="",D150=0),"",P150/D150*10000)</f>
        <v/>
      </c>
      <c r="AM150" s="14">
        <f>IF(OR(E150="",E150=0),"",Q150/E150*10000)</f>
        <v/>
      </c>
      <c r="AN150" s="11" t="n">
        <v>2166.061415683268</v>
      </c>
      <c r="AO150" s="11" t="n">
        <v>26183.79</v>
      </c>
      <c r="AP150" s="21">
        <f>AH150+AN150+AO150</f>
        <v/>
      </c>
      <c r="AQ150" s="21">
        <f>AH150</f>
        <v/>
      </c>
      <c r="AR150" s="15" t="n">
        <v>69908.78999999999</v>
      </c>
      <c r="AS150" s="27" t="n">
        <v>18.667192</v>
      </c>
      <c r="AT150" s="15" t="n">
        <v>20987833.39</v>
      </c>
      <c r="AU150" s="15" t="n">
        <v>26180.0593</v>
      </c>
      <c r="AV150" s="15" t="n">
        <v>486.2935</v>
      </c>
      <c r="AW150" s="15" t="n"/>
      <c r="AX150" s="16" t="n">
        <v>415.9460776323631</v>
      </c>
      <c r="AY150" s="13">
        <f>IF(OR(AX150="",AX150=0,AU150=""),"",AU150*365/(AX150*1000000))</f>
        <v/>
      </c>
      <c r="AZ150" s="15" t="n">
        <v>424976503.5414</v>
      </c>
      <c r="BA150" s="17" t="n">
        <v>60487233</v>
      </c>
      <c r="BB150" s="18" t="n">
        <v>20987833.39</v>
      </c>
      <c r="BC150" s="17" t="n">
        <v>2971663</v>
      </c>
      <c r="BD150" s="17">
        <f>1000000000-999783774.9388+3433.3390</f>
        <v/>
      </c>
      <c r="BE150" s="19">
        <f>1000000000-AZ150-BA150-BB150-BC150-BD150</f>
        <v/>
      </c>
      <c r="BF150" s="20" t="n">
        <v>238</v>
      </c>
      <c r="BG150" s="20">
        <f>BE150/1000000-BF150</f>
        <v/>
      </c>
      <c r="BH150" s="21">
        <f>BE150*18.93</f>
        <v/>
      </c>
    </row>
    <row r="151">
      <c r="A151" s="10" t="n">
        <v>45773</v>
      </c>
      <c r="B151" s="11" t="n">
        <v>3839502376</v>
      </c>
      <c r="C151" s="11" t="n"/>
      <c r="D151" s="12" t="n">
        <v>89325385</v>
      </c>
      <c r="E151" s="11" t="n"/>
      <c r="N151" s="12" t="n">
        <v>832573</v>
      </c>
      <c r="O151" s="11" t="n"/>
      <c r="P151" s="12" t="n">
        <v>11829</v>
      </c>
      <c r="Q151" s="11" t="n"/>
      <c r="R151" s="21">
        <f>N151+O151+P151+N(Q151)</f>
        <v/>
      </c>
      <c r="S151" s="13" t="n">
        <v>0.03</v>
      </c>
      <c r="T151" s="21">
        <f>N(AC151)*S151</f>
        <v/>
      </c>
      <c r="U151" s="21">
        <f>N(AD151)*S151</f>
        <v/>
      </c>
      <c r="V151" s="21">
        <f>N(AE151)*S151</f>
        <v/>
      </c>
      <c r="W151" s="21">
        <f>IF(Q151="","",N(AF151)*S151)</f>
        <v/>
      </c>
      <c r="X151" s="12" t="n">
        <v>2822</v>
      </c>
      <c r="Y151" s="11" t="n"/>
      <c r="Z151" s="11" t="n"/>
      <c r="AA151" s="21">
        <f>T151+U151+V151+N(W151)+X151+Y151+N(Z151)</f>
        <v/>
      </c>
      <c r="AB151" s="11" t="n"/>
      <c r="AC151" s="12" t="n">
        <v>807596</v>
      </c>
      <c r="AD151" s="21">
        <f>O151-Y151</f>
        <v/>
      </c>
      <c r="AE151" s="21">
        <f>P151-X151</f>
        <v/>
      </c>
      <c r="AF151" s="21">
        <f>IF(Q151="","",Q151-Z151)</f>
        <v/>
      </c>
      <c r="AG151" s="22">
        <f>AC151+AD151+AE151+N(AF151)</f>
        <v/>
      </c>
      <c r="AH151" s="11" t="n">
        <v>1427722.029</v>
      </c>
      <c r="AI151" s="24">
        <f>AG151-AH151</f>
        <v/>
      </c>
      <c r="AJ151" s="14">
        <f>IF(OR(B151="",B151=0,N151=""),"",N151/B151*10000)</f>
        <v/>
      </c>
      <c r="AK151" s="14">
        <f>IF(OR(C151="",C151=0),"",O151/C151*10000)</f>
        <v/>
      </c>
      <c r="AL151" s="14">
        <f>IF(OR(D151="",D151=0),"",P151/D151*10000)</f>
        <v/>
      </c>
      <c r="AM151" s="14">
        <f>IF(OR(E151="",E151=0),"",Q151/E151*10000)</f>
        <v/>
      </c>
      <c r="AN151" s="11" t="n">
        <v>4132.278396026378</v>
      </c>
      <c r="AO151" s="11" t="n">
        <v>0</v>
      </c>
      <c r="AP151" s="21">
        <f>AH151+AN151+AO151</f>
        <v/>
      </c>
      <c r="AQ151" s="21">
        <f>AH151</f>
        <v/>
      </c>
      <c r="AR151" s="15" t="n">
        <v>80199.64999999999</v>
      </c>
      <c r="AS151" s="27" t="n">
        <v>17.802098</v>
      </c>
      <c r="AT151" s="15" t="n">
        <v>21068033.04</v>
      </c>
      <c r="AU151" s="15" t="n">
        <v>26167.7741</v>
      </c>
      <c r="AV151" s="15" t="n">
        <v>470.6409</v>
      </c>
      <c r="AW151" s="15" t="n"/>
      <c r="AX151" s="16" t="n">
        <v>415.6020811706861</v>
      </c>
      <c r="AY151" s="13">
        <f>IF(OR(AX151="",AX151=0,AU151=""),"",AU151*365/(AX151*1000000))</f>
        <v/>
      </c>
      <c r="AZ151" s="15" t="n">
        <v>424950335.7673</v>
      </c>
      <c r="BA151" s="17" t="n">
        <v>60487233</v>
      </c>
      <c r="BB151" s="18" t="n">
        <v>21068033.04</v>
      </c>
      <c r="BC151" s="17" t="n">
        <v>2971663</v>
      </c>
      <c r="BD151" s="17">
        <f>1000000000-999783304.2979+3658.3473</f>
        <v/>
      </c>
      <c r="BE151" s="19">
        <f>1000000000-AZ151-BA151-BB151-BC151-BD151</f>
        <v/>
      </c>
      <c r="BF151" s="20" t="n">
        <v>238</v>
      </c>
      <c r="BG151" s="20">
        <f>BE151/1000000-BF151</f>
        <v/>
      </c>
      <c r="BH151" s="21">
        <f>BE151*18.41</f>
        <v/>
      </c>
    </row>
    <row r="152">
      <c r="A152" s="10" t="n">
        <v>45774</v>
      </c>
      <c r="B152" s="11" t="n">
        <v>3382764141</v>
      </c>
      <c r="C152" s="11" t="n"/>
      <c r="D152" s="12" t="n">
        <v>65942651</v>
      </c>
      <c r="E152" s="11" t="n"/>
      <c r="N152" s="12" t="n">
        <v>772112</v>
      </c>
      <c r="O152" s="11" t="n"/>
      <c r="P152" s="12" t="n">
        <v>10180</v>
      </c>
      <c r="Q152" s="11" t="n"/>
      <c r="R152" s="21">
        <f>N152+O152+P152+N(Q152)</f>
        <v/>
      </c>
      <c r="S152" s="13" t="n">
        <v>0.03</v>
      </c>
      <c r="T152" s="21">
        <f>N(AC152)*S152</f>
        <v/>
      </c>
      <c r="U152" s="21">
        <f>N(AD152)*S152</f>
        <v/>
      </c>
      <c r="V152" s="21">
        <f>N(AE152)*S152</f>
        <v/>
      </c>
      <c r="W152" s="21">
        <f>IF(Q152="","",N(AF152)*S152)</f>
        <v/>
      </c>
      <c r="X152" s="12" t="n">
        <v>2076</v>
      </c>
      <c r="Y152" s="11" t="n"/>
      <c r="Z152" s="11" t="n"/>
      <c r="AA152" s="21">
        <f>T152+U152+V152+N(W152)+X152+Y152+N(Z152)</f>
        <v/>
      </c>
      <c r="AB152" s="11" t="n"/>
      <c r="AC152" s="12" t="n">
        <v>748948</v>
      </c>
      <c r="AD152" s="21">
        <f>O152-Y152</f>
        <v/>
      </c>
      <c r="AE152" s="21">
        <f>P152-X152</f>
        <v/>
      </c>
      <c r="AF152" s="21">
        <f>IF(Q152="","",Q152-Z152)</f>
        <v/>
      </c>
      <c r="AG152" s="22">
        <f>AC152+AD152+AE152+N(AF152)</f>
        <v/>
      </c>
      <c r="AH152" s="11" t="n">
        <v>816115.3855</v>
      </c>
      <c r="AI152" s="24">
        <f>AG152-AH152</f>
        <v/>
      </c>
      <c r="AJ152" s="14">
        <f>IF(OR(B152="",B152=0,N152=""),"",N152/B152*10000)</f>
        <v/>
      </c>
      <c r="AK152" s="14">
        <f>IF(OR(C152="",C152=0),"",O152/C152*10000)</f>
        <v/>
      </c>
      <c r="AL152" s="14">
        <f>IF(OR(D152="",D152=0),"",P152/D152*10000)</f>
        <v/>
      </c>
      <c r="AM152" s="14">
        <f>IF(OR(E152="",E152=0),"",Q152/E152*10000)</f>
        <v/>
      </c>
      <c r="AN152" s="11" t="n">
        <v>3549.158766957544</v>
      </c>
      <c r="AO152" s="11" t="n">
        <v>18345.18</v>
      </c>
      <c r="AP152" s="21">
        <f>AH152+AN152+AO152</f>
        <v/>
      </c>
      <c r="AQ152" s="21">
        <f>AH152</f>
        <v/>
      </c>
      <c r="AR152" s="15" t="n">
        <v>46152.81</v>
      </c>
      <c r="AS152" s="27" t="n">
        <v>17.682897</v>
      </c>
      <c r="AT152" s="15" t="n">
        <v>21114185.85</v>
      </c>
      <c r="AU152" s="15" t="n">
        <v>26128.5247</v>
      </c>
      <c r="AV152" s="15" t="n">
        <v>319.0979</v>
      </c>
      <c r="AW152" s="15" t="n"/>
      <c r="AX152" s="16" t="n">
        <v>415.108588235036</v>
      </c>
      <c r="AY152" s="13">
        <f>IF(OR(AX152="",AX152=0,AU152=""),"",AU152*365/(AX152*1000000))</f>
        <v/>
      </c>
      <c r="AZ152" s="15" t="n">
        <v>424924207.2426</v>
      </c>
      <c r="BA152" s="17" t="n">
        <v>60487233</v>
      </c>
      <c r="BB152" s="18" t="n">
        <v>21114185.85</v>
      </c>
      <c r="BC152" s="17" t="n">
        <v>2971663</v>
      </c>
      <c r="BD152" s="17">
        <f>1000000000-999782985.2+3853.6565</f>
        <v/>
      </c>
      <c r="BE152" s="19">
        <f>1000000000-AZ152-BA152-BB152-BC152-BD152</f>
        <v/>
      </c>
      <c r="BF152" s="20" t="n">
        <v>238</v>
      </c>
      <c r="BG152" s="20">
        <f>BE152/1000000-BF152</f>
        <v/>
      </c>
      <c r="BH152" s="21">
        <f>BE152*17.99</f>
        <v/>
      </c>
    </row>
    <row r="153">
      <c r="A153" s="10" t="n">
        <v>45775</v>
      </c>
      <c r="B153" s="11" t="n">
        <v>6671543331</v>
      </c>
      <c r="C153" s="11" t="n"/>
      <c r="D153" s="12" t="n">
        <v>156064089</v>
      </c>
      <c r="E153" s="11" t="n"/>
      <c r="N153" s="12" t="n">
        <v>1500654</v>
      </c>
      <c r="O153" s="11" t="n"/>
      <c r="P153" s="12" t="n">
        <v>19745</v>
      </c>
      <c r="Q153" s="11" t="n"/>
      <c r="R153" s="21">
        <f>N153+O153+P153+N(Q153)</f>
        <v/>
      </c>
      <c r="S153" s="13" t="n">
        <v>0.03</v>
      </c>
      <c r="T153" s="21">
        <f>N(AC153)*S153</f>
        <v/>
      </c>
      <c r="U153" s="21">
        <f>N(AD153)*S153</f>
        <v/>
      </c>
      <c r="V153" s="21">
        <f>N(AE153)*S153</f>
        <v/>
      </c>
      <c r="W153" s="21">
        <f>IF(Q153="","",N(AF153)*S153)</f>
        <v/>
      </c>
      <c r="X153" s="12" t="n">
        <v>4173</v>
      </c>
      <c r="Y153" s="11" t="n"/>
      <c r="Z153" s="11" t="n"/>
      <c r="AA153" s="21">
        <f>T153+U153+V153+N(W153)+X153+Y153+N(Z153)</f>
        <v/>
      </c>
      <c r="AB153" s="11" t="n"/>
      <c r="AC153" s="12" t="n">
        <v>1455634</v>
      </c>
      <c r="AD153" s="21">
        <f>O153-Y153</f>
        <v/>
      </c>
      <c r="AE153" s="21">
        <f>P153-X153</f>
        <v/>
      </c>
      <c r="AF153" s="21">
        <f>IF(Q153="","",Q153-Z153)</f>
        <v/>
      </c>
      <c r="AG153" s="22">
        <f>AC153+AD153+AE153+N(AF153)</f>
        <v/>
      </c>
      <c r="AH153" s="11" t="n">
        <v>790516.2383</v>
      </c>
      <c r="AI153" s="24">
        <f>AG153-AH153</f>
        <v/>
      </c>
      <c r="AJ153" s="14">
        <f>IF(OR(B153="",B153=0,N153=""),"",N153/B153*10000)</f>
        <v/>
      </c>
      <c r="AK153" s="14">
        <f>IF(OR(C153="",C153=0),"",O153/C153*10000)</f>
        <v/>
      </c>
      <c r="AL153" s="14">
        <f>IF(OR(D153="",D153=0),"",P153/D153*10000)</f>
        <v/>
      </c>
      <c r="AM153" s="14">
        <f>IF(OR(E153="",E153=0),"",Q153/E153*10000)</f>
        <v/>
      </c>
      <c r="AN153" s="11" t="n">
        <v>11047.25477620505</v>
      </c>
      <c r="AO153" s="11" t="n">
        <v>19387.81</v>
      </c>
      <c r="AP153" s="21">
        <f>AH153+AN153+AO153</f>
        <v/>
      </c>
      <c r="AQ153" s="21">
        <f>AH153</f>
        <v/>
      </c>
      <c r="AR153" s="15" t="n">
        <v>44835</v>
      </c>
      <c r="AS153" s="27" t="n">
        <v>17.631677</v>
      </c>
      <c r="AT153" s="15" t="n">
        <v>21159020.85</v>
      </c>
      <c r="AU153" s="15" t="n">
        <v>26136.1052</v>
      </c>
      <c r="AV153" s="15" t="n">
        <v>272.2418</v>
      </c>
      <c r="AW153" s="15" t="n"/>
      <c r="AX153" s="16" t="n">
        <v>414.8005480452459</v>
      </c>
      <c r="AY153" s="13">
        <f>IF(OR(AX153="",AX153=0,AU153=""),"",AU153*365/(AX153*1000000))</f>
        <v/>
      </c>
      <c r="AZ153" s="15" t="n">
        <v>424898071.1374</v>
      </c>
      <c r="BA153" s="17" t="n">
        <v>60487233</v>
      </c>
      <c r="BB153" s="18" t="n">
        <v>21159020.85</v>
      </c>
      <c r="BC153" s="17" t="n">
        <v>2971663</v>
      </c>
      <c r="BD153" s="17">
        <f>1000000000-999782712.9583+4487.0637</f>
        <v/>
      </c>
      <c r="BE153" s="19">
        <f>1000000000-AZ153-BA153-BB153-BC153-BD153</f>
        <v/>
      </c>
      <c r="BF153" s="20" t="n">
        <v>238</v>
      </c>
      <c r="BG153" s="20">
        <f>BE153/1000000-BF153</f>
        <v/>
      </c>
      <c r="BH153" s="21">
        <f>BE153*17.35</f>
        <v/>
      </c>
    </row>
    <row r="154">
      <c r="A154" s="10" t="n">
        <v>45776</v>
      </c>
      <c r="B154" s="11" t="n">
        <v>4981695001</v>
      </c>
      <c r="C154" s="11" t="n"/>
      <c r="D154" s="12" t="n">
        <v>133602416</v>
      </c>
      <c r="E154" s="11" t="n"/>
      <c r="N154" s="12" t="n">
        <v>1109059</v>
      </c>
      <c r="O154" s="11" t="n"/>
      <c r="P154" s="12" t="n">
        <v>17990</v>
      </c>
      <c r="Q154" s="11" t="n"/>
      <c r="R154" s="21">
        <f>N154+O154+P154+N(Q154)</f>
        <v/>
      </c>
      <c r="S154" s="13" t="n">
        <v>0.03</v>
      </c>
      <c r="T154" s="21">
        <f>N(AC154)*S154</f>
        <v/>
      </c>
      <c r="U154" s="21">
        <f>N(AD154)*S154</f>
        <v/>
      </c>
      <c r="V154" s="21">
        <f>N(AE154)*S154</f>
        <v/>
      </c>
      <c r="W154" s="21">
        <f>IF(Q154="","",N(AF154)*S154)</f>
        <v/>
      </c>
      <c r="X154" s="12" t="n">
        <v>4068</v>
      </c>
      <c r="Y154" s="11" t="n"/>
      <c r="Z154" s="11" t="n"/>
      <c r="AA154" s="21">
        <f>T154+U154+V154+N(W154)+X154+Y154+N(Z154)</f>
        <v/>
      </c>
      <c r="AB154" s="11" t="n"/>
      <c r="AC154" s="12" t="n">
        <v>1075787</v>
      </c>
      <c r="AD154" s="21">
        <f>O154-Y154</f>
        <v/>
      </c>
      <c r="AE154" s="21">
        <f>P154-X154</f>
        <v/>
      </c>
      <c r="AF154" s="21">
        <f>IF(Q154="","",Q154-Z154)</f>
        <v/>
      </c>
      <c r="AG154" s="22">
        <f>AC154+AD154+AE154+N(AF154)</f>
        <v/>
      </c>
      <c r="AH154" s="11" t="n">
        <v>1345956.884</v>
      </c>
      <c r="AI154" s="24">
        <f>AG154-AH154</f>
        <v/>
      </c>
      <c r="AJ154" s="14">
        <f>IF(OR(B154="",B154=0,N154=""),"",N154/B154*10000)</f>
        <v/>
      </c>
      <c r="AK154" s="14">
        <f>IF(OR(C154="",C154=0),"",O154/C154*10000)</f>
        <v/>
      </c>
      <c r="AL154" s="14">
        <f>IF(OR(D154="",D154=0),"",P154/D154*10000)</f>
        <v/>
      </c>
      <c r="AM154" s="14">
        <f>IF(OR(E154="",E154=0),"",Q154/E154*10000)</f>
        <v/>
      </c>
      <c r="AN154" s="11" t="n">
        <v>5627.005665572721</v>
      </c>
      <c r="AO154" s="11" t="n">
        <v>24783.17</v>
      </c>
      <c r="AP154" s="21">
        <f>AH154+AN154+AO154</f>
        <v/>
      </c>
      <c r="AQ154" s="21">
        <f>AH154</f>
        <v/>
      </c>
      <c r="AR154" s="15" t="n">
        <v>71896.23</v>
      </c>
      <c r="AS154" s="27" t="n">
        <v>18.720827</v>
      </c>
      <c r="AT154" s="15" t="n">
        <v>21230917.08</v>
      </c>
      <c r="AU154" s="15" t="n">
        <v>26145.6743</v>
      </c>
      <c r="AV154" s="15" t="n">
        <v>685.8724</v>
      </c>
      <c r="AW154" s="15" t="n"/>
      <c r="AX154" s="16" t="n">
        <v>416.3401422226734</v>
      </c>
      <c r="AY154" s="13">
        <f>IF(OR(AX154="",AX154=0,AU154=""),"",AU154*365/(AX154*1000000))</f>
        <v/>
      </c>
      <c r="AZ154" s="15" t="n">
        <v>424871925.4631</v>
      </c>
      <c r="BA154" s="17" t="n">
        <v>60487233</v>
      </c>
      <c r="BB154" s="18" t="n">
        <v>21230917.08</v>
      </c>
      <c r="BC154" s="17" t="n">
        <v>2971663</v>
      </c>
      <c r="BD154" s="17">
        <f>1000000000-999782027.0859+4787.3469</f>
        <v/>
      </c>
      <c r="BE154" s="19">
        <f>1000000000-AZ154-BA154-BB154-BC154-BD154</f>
        <v/>
      </c>
      <c r="BF154" s="20" t="n">
        <v>238</v>
      </c>
      <c r="BG154" s="20">
        <f>BE154/1000000-BF154</f>
        <v/>
      </c>
      <c r="BH154" s="21">
        <f>BE154*18.69</f>
        <v/>
      </c>
    </row>
    <row r="155">
      <c r="A155" s="10" t="n">
        <v>45777</v>
      </c>
      <c r="B155" s="11" t="n">
        <v>5886017387</v>
      </c>
      <c r="C155" s="11" t="n"/>
      <c r="D155" s="12" t="n">
        <v>171764916</v>
      </c>
      <c r="E155" s="11" t="n"/>
      <c r="N155" s="12" t="n">
        <v>1315997</v>
      </c>
      <c r="O155" s="11" t="n"/>
      <c r="P155" s="12" t="n">
        <v>18830</v>
      </c>
      <c r="Q155" s="11" t="n"/>
      <c r="R155" s="21">
        <f>N155+O155+P155+N(Q155)</f>
        <v/>
      </c>
      <c r="S155" s="13" t="n">
        <v>0.03</v>
      </c>
      <c r="T155" s="21">
        <f>N(AC155)*S155</f>
        <v/>
      </c>
      <c r="U155" s="21">
        <f>N(AD155)*S155</f>
        <v/>
      </c>
      <c r="V155" s="21">
        <f>N(AE155)*S155</f>
        <v/>
      </c>
      <c r="W155" s="21">
        <f>IF(Q155="","",N(AF155)*S155)</f>
        <v/>
      </c>
      <c r="X155" s="12" t="n">
        <v>4522</v>
      </c>
      <c r="Y155" s="11" t="n"/>
      <c r="Z155" s="11" t="n"/>
      <c r="AA155" s="21">
        <f>T155+U155+V155+N(W155)+X155+Y155+N(Z155)</f>
        <v/>
      </c>
      <c r="AB155" s="11" t="n"/>
      <c r="AC155" s="12" t="n">
        <v>1276517</v>
      </c>
      <c r="AD155" s="21">
        <f>O155-Y155</f>
        <v/>
      </c>
      <c r="AE155" s="21">
        <f>P155-X155</f>
        <v/>
      </c>
      <c r="AF155" s="21">
        <f>IF(Q155="","",Q155-Z155)</f>
        <v/>
      </c>
      <c r="AG155" s="22">
        <f>AC155+AD155+AE155+N(AF155)</f>
        <v/>
      </c>
      <c r="AH155" s="11" t="n">
        <v>1104429.803</v>
      </c>
      <c r="AI155" s="24">
        <f>AG155-AH155</f>
        <v/>
      </c>
      <c r="AJ155" s="14">
        <f>IF(OR(B155="",B155=0,N155=""),"",N155/B155*10000)</f>
        <v/>
      </c>
      <c r="AK155" s="14">
        <f>IF(OR(C155="",C155=0),"",O155/C155*10000)</f>
        <v/>
      </c>
      <c r="AL155" s="14">
        <f>IF(OR(D155="",D155=0),"",P155/D155*10000)</f>
        <v/>
      </c>
      <c r="AM155" s="14">
        <f>IF(OR(E155="",E155=0),"",Q155/E155*10000)</f>
        <v/>
      </c>
      <c r="AN155" s="11" t="n">
        <v>7879.375304898584</v>
      </c>
      <c r="AO155" s="11" t="n">
        <v>24975.33</v>
      </c>
      <c r="AP155" s="21">
        <f>AH155+AN155+AO155</f>
        <v/>
      </c>
      <c r="AQ155" s="21">
        <f>AH155</f>
        <v/>
      </c>
      <c r="AR155" s="15" t="n">
        <v>60069.57</v>
      </c>
      <c r="AS155" s="27" t="n">
        <v>18.385845</v>
      </c>
      <c r="AT155" s="15" t="n">
        <v>21290986.65</v>
      </c>
      <c r="AU155" s="15" t="n">
        <v>26180.9241</v>
      </c>
      <c r="AV155" s="15" t="n">
        <v>623.4232</v>
      </c>
      <c r="AW155" s="15" t="n"/>
      <c r="AX155" s="16" t="n">
        <v>416.1782378768902</v>
      </c>
      <c r="AY155" s="13">
        <f>IF(OR(AX155="",AX155=0,AU155=""),"",AU155*365/(AX155*1000000))</f>
        <v/>
      </c>
      <c r="AZ155" s="15" t="n">
        <v>424845744.539</v>
      </c>
      <c r="BA155" s="17" t="n">
        <v>60487233</v>
      </c>
      <c r="BB155" s="18" t="n">
        <v>21290986.65</v>
      </c>
      <c r="BC155" s="17" t="n">
        <v>2971663</v>
      </c>
      <c r="BD155" s="17">
        <f>1000000000-999781403.6627+5212.2943</f>
        <v/>
      </c>
      <c r="BE155" s="19">
        <f>1000000000-AZ155-BA155-BB155-BC155-BD155</f>
        <v/>
      </c>
      <c r="BF155" s="20" t="n">
        <v>238</v>
      </c>
      <c r="BG155" s="20">
        <f>BE155/1000000-BF155</f>
        <v/>
      </c>
      <c r="BH155" s="21">
        <f>BE155*18.49</f>
        <v/>
      </c>
    </row>
    <row r="156">
      <c r="A156" s="10" t="n">
        <v>45778</v>
      </c>
      <c r="B156" s="11" t="n">
        <v>5844761153</v>
      </c>
      <c r="C156" s="11" t="n"/>
      <c r="D156" s="12" t="n">
        <v>176430408</v>
      </c>
      <c r="E156" s="11" t="n"/>
      <c r="N156" s="12" t="n">
        <v>1345839</v>
      </c>
      <c r="O156" s="11" t="n"/>
      <c r="P156" s="12" t="n">
        <v>27300</v>
      </c>
      <c r="Q156" s="11" t="n"/>
      <c r="R156" s="21">
        <f>N156+O156+P156+N(Q156)</f>
        <v/>
      </c>
      <c r="S156" s="13" t="n">
        <v>0.03</v>
      </c>
      <c r="T156" s="21">
        <f>N(AC156)*S156</f>
        <v/>
      </c>
      <c r="U156" s="21">
        <f>N(AD156)*S156</f>
        <v/>
      </c>
      <c r="V156" s="21">
        <f>N(AE156)*S156</f>
        <v/>
      </c>
      <c r="W156" s="21">
        <f>IF(Q156="","",N(AF156)*S156)</f>
        <v/>
      </c>
      <c r="X156" s="12" t="n">
        <v>4704</v>
      </c>
      <c r="Y156" s="11" t="n"/>
      <c r="Z156" s="11" t="n"/>
      <c r="AA156" s="21">
        <f>T156+U156+V156+N(W156)+X156+Y156+N(Z156)</f>
        <v/>
      </c>
      <c r="AB156" s="11" t="n"/>
      <c r="AC156" s="12" t="n">
        <v>1305464</v>
      </c>
      <c r="AD156" s="21">
        <f>O156-Y156</f>
        <v/>
      </c>
      <c r="AE156" s="21">
        <f>P156-X156</f>
        <v/>
      </c>
      <c r="AF156" s="21">
        <f>IF(Q156="","",Q156-Z156)</f>
        <v/>
      </c>
      <c r="AG156" s="22">
        <f>AC156+AD156+AE156+N(AF156)</f>
        <v/>
      </c>
      <c r="AH156" s="11" t="n">
        <v>1369589.548</v>
      </c>
      <c r="AI156" s="24">
        <f>AG156-AH156</f>
        <v/>
      </c>
      <c r="AJ156" s="14">
        <f>IF(OR(B156="",B156=0,N156=""),"",N156/B156*10000)</f>
        <v/>
      </c>
      <c r="AK156" s="14">
        <f>IF(OR(C156="",C156=0),"",O156/C156*10000)</f>
        <v/>
      </c>
      <c r="AL156" s="14">
        <f>IF(OR(D156="",D156=0),"",P156/D156*10000)</f>
        <v/>
      </c>
      <c r="AM156" s="14">
        <f>IF(OR(E156="",E156=0),"",Q156/E156*10000)</f>
        <v/>
      </c>
      <c r="AN156" s="11" t="n">
        <v>9592.893420177576</v>
      </c>
      <c r="AO156" s="11" t="n">
        <v>32916.44</v>
      </c>
      <c r="AP156" s="21">
        <f>AH156+AN156+AO156</f>
        <v/>
      </c>
      <c r="AQ156" s="21">
        <f>AH156</f>
        <v/>
      </c>
      <c r="AR156" s="15" t="n">
        <v>67943.64999999999</v>
      </c>
      <c r="AS156" s="27" t="n">
        <v>20.157727</v>
      </c>
      <c r="AT156" s="15" t="n">
        <v>21358930.3</v>
      </c>
      <c r="AU156" s="15" t="n">
        <v>26120.6661</v>
      </c>
      <c r="AV156" s="15" t="n">
        <v>728.1965</v>
      </c>
      <c r="AW156" s="15" t="n"/>
      <c r="AX156" s="16" t="n">
        <v>416.0326518451826</v>
      </c>
      <c r="AY156" s="13">
        <f>IF(OR(AX156="",AX156=0,AU156=""),"",AU156*365/(AX156*1000000))</f>
        <v/>
      </c>
      <c r="AZ156" s="15" t="n">
        <v>424819623.8729</v>
      </c>
      <c r="BA156" s="17" t="n">
        <v>60487233</v>
      </c>
      <c r="BB156" s="18" t="n">
        <v>21358930.3</v>
      </c>
      <c r="BC156" s="17" t="n">
        <v>2971663</v>
      </c>
      <c r="BD156" s="17">
        <f>1000000000-999780675.4662+5690.2899</f>
        <v/>
      </c>
      <c r="BE156" s="19">
        <f>1000000000-AZ156-BA156-BB156-BC156-BD156</f>
        <v/>
      </c>
      <c r="BF156" s="20" t="n">
        <v>238</v>
      </c>
      <c r="BG156" s="20">
        <f>BE156/1000000-BF156</f>
        <v/>
      </c>
      <c r="BH156" s="21">
        <f>BE156*20.26</f>
        <v/>
      </c>
    </row>
    <row r="157">
      <c r="A157" s="10" t="n">
        <v>45779</v>
      </c>
      <c r="B157" s="11" t="n">
        <v>4184147212</v>
      </c>
      <c r="C157" s="11" t="n"/>
      <c r="D157" s="12" t="n">
        <v>128977405</v>
      </c>
      <c r="E157" s="11" t="n"/>
      <c r="N157" s="12" t="n">
        <v>958649</v>
      </c>
      <c r="O157" s="11" t="n"/>
      <c r="P157" s="12" t="n">
        <v>16323</v>
      </c>
      <c r="Q157" s="11" t="n"/>
      <c r="R157" s="21">
        <f>N157+O157+P157+N(Q157)</f>
        <v/>
      </c>
      <c r="S157" s="13" t="n">
        <v>0.03</v>
      </c>
      <c r="T157" s="21">
        <f>N(AC157)*S157</f>
        <v/>
      </c>
      <c r="U157" s="21">
        <f>N(AD157)*S157</f>
        <v/>
      </c>
      <c r="V157" s="21">
        <f>N(AE157)*S157</f>
        <v/>
      </c>
      <c r="W157" s="21">
        <f>IF(Q157="","",N(AF157)*S157)</f>
        <v/>
      </c>
      <c r="X157" s="12" t="n">
        <v>4091</v>
      </c>
      <c r="Y157" s="11" t="n"/>
      <c r="Z157" s="11" t="n"/>
      <c r="AA157" s="21">
        <f>T157+U157+V157+N(W157)+X157+Y157+N(Z157)</f>
        <v/>
      </c>
      <c r="AB157" s="11" t="n"/>
      <c r="AC157" s="12" t="n">
        <v>929889</v>
      </c>
      <c r="AD157" s="21">
        <f>O157-Y157</f>
        <v/>
      </c>
      <c r="AE157" s="21">
        <f>P157-X157</f>
        <v/>
      </c>
      <c r="AF157" s="21">
        <f>IF(Q157="","",Q157-Z157)</f>
        <v/>
      </c>
      <c r="AG157" s="22">
        <f>AC157+AD157+AE157+N(AF157)</f>
        <v/>
      </c>
      <c r="AH157" s="11" t="n">
        <v>1529406.315</v>
      </c>
      <c r="AI157" s="24">
        <f>AG157-AH157</f>
        <v/>
      </c>
      <c r="AJ157" s="14">
        <f>IF(OR(B157="",B157=0,N157=""),"",N157/B157*10000)</f>
        <v/>
      </c>
      <c r="AK157" s="14">
        <f>IF(OR(C157="",C157=0),"",O157/C157*10000)</f>
        <v/>
      </c>
      <c r="AL157" s="14">
        <f>IF(OR(D157="",D157=0),"",P157/D157*10000)</f>
        <v/>
      </c>
      <c r="AM157" s="14">
        <f>IF(OR(E157="",E157=0),"",Q157/E157*10000)</f>
        <v/>
      </c>
      <c r="AN157" s="11" t="n">
        <v>7526.698336645155</v>
      </c>
      <c r="AO157" s="11" t="n">
        <v>0</v>
      </c>
      <c r="AP157" s="21">
        <f>AH157+AN157+AO157</f>
        <v/>
      </c>
      <c r="AQ157" s="21">
        <f>AH157</f>
        <v/>
      </c>
      <c r="AR157" s="15" t="n">
        <v>74079.22</v>
      </c>
      <c r="AS157" s="27" t="n">
        <v>20.645551</v>
      </c>
      <c r="AT157" s="15" t="n">
        <v>21433009.52</v>
      </c>
      <c r="AU157" s="15" t="n">
        <v>26181.9903</v>
      </c>
      <c r="AV157" s="15" t="n">
        <v>938.5428000000001</v>
      </c>
      <c r="AW157" s="15" t="n"/>
      <c r="AX157" s="16" t="n">
        <v>416.475237669363</v>
      </c>
      <c r="AY157" s="13">
        <f>IF(OR(AX157="",AX157=0,AU157=""),"",AU157*365/(AX157*1000000))</f>
        <v/>
      </c>
      <c r="AZ157" s="15" t="n">
        <v>424793441.8826</v>
      </c>
      <c r="BA157" s="17" t="n">
        <v>60487233</v>
      </c>
      <c r="BB157" s="18" t="n">
        <v>21433009.52</v>
      </c>
      <c r="BC157" s="17" t="n">
        <v>2971663</v>
      </c>
      <c r="BD157" s="17">
        <f>1000000000-999779736.9233+6063.9716</f>
        <v/>
      </c>
      <c r="BE157" s="19">
        <f>1000000000-AZ157-BA157-BB157-BC157-BD157</f>
        <v/>
      </c>
      <c r="BF157" s="20" t="n">
        <v>238</v>
      </c>
      <c r="BG157" s="20">
        <f>BE157/1000000-BF157</f>
        <v/>
      </c>
      <c r="BH157" s="21">
        <f>BE157*20.03</f>
        <v/>
      </c>
    </row>
    <row r="158">
      <c r="A158" s="10" t="n">
        <v>45780</v>
      </c>
      <c r="B158" s="11" t="n">
        <v>2551647647</v>
      </c>
      <c r="C158" s="11" t="n"/>
      <c r="D158" s="12" t="n">
        <v>102347437</v>
      </c>
      <c r="E158" s="11" t="n"/>
      <c r="N158" s="12" t="n">
        <v>596000</v>
      </c>
      <c r="O158" s="11" t="n"/>
      <c r="P158" s="12" t="n">
        <v>11691</v>
      </c>
      <c r="Q158" s="11" t="n"/>
      <c r="R158" s="21">
        <f>N158+O158+P158+N(Q158)</f>
        <v/>
      </c>
      <c r="S158" s="13" t="n">
        <v>0.03</v>
      </c>
      <c r="T158" s="21">
        <f>N(AC158)*S158</f>
        <v/>
      </c>
      <c r="U158" s="21">
        <f>N(AD158)*S158</f>
        <v/>
      </c>
      <c r="V158" s="21">
        <f>N(AE158)*S158</f>
        <v/>
      </c>
      <c r="W158" s="21">
        <f>IF(Q158="","",N(AF158)*S158)</f>
        <v/>
      </c>
      <c r="X158" s="12" t="n">
        <v>2373</v>
      </c>
      <c r="Y158" s="11" t="n"/>
      <c r="Z158" s="11" t="n"/>
      <c r="AA158" s="21">
        <f>T158+U158+V158+N(W158)+X158+Y158+N(Z158)</f>
        <v/>
      </c>
      <c r="AB158" s="11" t="n"/>
      <c r="AC158" s="12" t="n">
        <v>578120</v>
      </c>
      <c r="AD158" s="21">
        <f>O158-Y158</f>
        <v/>
      </c>
      <c r="AE158" s="21">
        <f>P158-X158</f>
        <v/>
      </c>
      <c r="AF158" s="21">
        <f>IF(Q158="","",Q158-Z158)</f>
        <v/>
      </c>
      <c r="AG158" s="22">
        <f>AC158+AD158+AE158+N(AF158)</f>
        <v/>
      </c>
      <c r="AH158" s="11" t="n">
        <v>845933.1692</v>
      </c>
      <c r="AI158" s="24">
        <f>AG158-AH158</f>
        <v/>
      </c>
      <c r="AJ158" s="14">
        <f>IF(OR(B158="",B158=0,N158=""),"",N158/B158*10000)</f>
        <v/>
      </c>
      <c r="AK158" s="14">
        <f>IF(OR(C158="",C158=0),"",O158/C158*10000)</f>
        <v/>
      </c>
      <c r="AL158" s="14">
        <f>IF(OR(D158="",D158=0),"",P158/D158*10000)</f>
        <v/>
      </c>
      <c r="AM158" s="14">
        <f>IF(OR(E158="",E158=0),"",Q158/E158*10000)</f>
        <v/>
      </c>
      <c r="AN158" s="11" t="n">
        <v>6881.604989870504</v>
      </c>
      <c r="AO158" s="11" t="n">
        <v>33029.81</v>
      </c>
      <c r="AP158" s="21">
        <f>AH158+AN158+AO158</f>
        <v/>
      </c>
      <c r="AQ158" s="21">
        <f>AH158</f>
        <v/>
      </c>
      <c r="AR158" s="15" t="n">
        <v>40789.66</v>
      </c>
      <c r="AS158" s="27" t="n">
        <v>20.738912</v>
      </c>
      <c r="AT158" s="15" t="n">
        <v>21473799.18</v>
      </c>
      <c r="AU158" s="15" t="n">
        <v>26252.5339</v>
      </c>
      <c r="AV158" s="15" t="n">
        <v>570.6552</v>
      </c>
      <c r="AW158" s="15" t="n"/>
      <c r="AX158" s="16" t="n">
        <v>419.0512005753802</v>
      </c>
      <c r="AY158" s="13">
        <f>IF(OR(AX158="",AX158=0,AU158=""),"",AU158*365/(AX158*1000000))</f>
        <v/>
      </c>
      <c r="AZ158" s="15" t="n">
        <v>424767189.3487</v>
      </c>
      <c r="BA158" s="17" t="n">
        <v>60487233</v>
      </c>
      <c r="BB158" s="18" t="n">
        <v>21473799.18</v>
      </c>
      <c r="BC158" s="17" t="n">
        <v>2971663</v>
      </c>
      <c r="BD158" s="17">
        <f>1000000000-999779166.2681+6395.5833</f>
        <v/>
      </c>
      <c r="BE158" s="19">
        <f>1000000000-AZ158-BA158-BB158-BC158-BD158</f>
        <v/>
      </c>
      <c r="BF158" s="20" t="n">
        <v>238</v>
      </c>
      <c r="BG158" s="20">
        <f>BE158/1000000-BF158</f>
        <v/>
      </c>
      <c r="BH158" s="21">
        <f>BE158*20.72</f>
        <v/>
      </c>
    </row>
    <row r="159">
      <c r="A159" s="10" t="n">
        <v>45781</v>
      </c>
      <c r="B159" s="11" t="n">
        <v>3530006395</v>
      </c>
      <c r="C159" s="11" t="n"/>
      <c r="D159" s="12" t="n">
        <v>87201050</v>
      </c>
      <c r="E159" s="11" t="n"/>
      <c r="N159" s="12" t="n">
        <v>808728</v>
      </c>
      <c r="O159" s="11" t="n"/>
      <c r="P159" s="12" t="n">
        <v>12341</v>
      </c>
      <c r="Q159" s="11" t="n"/>
      <c r="R159" s="21">
        <f>N159+O159+P159+N(Q159)</f>
        <v/>
      </c>
      <c r="S159" s="13" t="n">
        <v>0.03</v>
      </c>
      <c r="T159" s="21">
        <f>N(AC159)*S159</f>
        <v/>
      </c>
      <c r="U159" s="21">
        <f>N(AD159)*S159</f>
        <v/>
      </c>
      <c r="V159" s="21">
        <f>N(AE159)*S159</f>
        <v/>
      </c>
      <c r="W159" s="21">
        <f>IF(Q159="","",N(AF159)*S159)</f>
        <v/>
      </c>
      <c r="X159" s="12" t="n">
        <v>1768</v>
      </c>
      <c r="Y159" s="11" t="n"/>
      <c r="Z159" s="11" t="n"/>
      <c r="AA159" s="21">
        <f>T159+U159+V159+N(W159)+X159+Y159+N(Z159)</f>
        <v/>
      </c>
      <c r="AB159" s="11" t="n"/>
      <c r="AC159" s="12" t="n">
        <v>784466</v>
      </c>
      <c r="AD159" s="21">
        <f>O159-Y159</f>
        <v/>
      </c>
      <c r="AE159" s="21">
        <f>P159-X159</f>
        <v/>
      </c>
      <c r="AF159" s="21">
        <f>IF(Q159="","",Q159-Z159)</f>
        <v/>
      </c>
      <c r="AG159" s="22">
        <f>AC159+AD159+AE159+N(AF159)</f>
        <v/>
      </c>
      <c r="AH159" s="11" t="n">
        <v>549144.5098999999</v>
      </c>
      <c r="AI159" s="24">
        <f>AG159-AH159</f>
        <v/>
      </c>
      <c r="AJ159" s="14">
        <f>IF(OR(B159="",B159=0,N159=""),"",N159/B159*10000)</f>
        <v/>
      </c>
      <c r="AK159" s="14">
        <f>IF(OR(C159="",C159=0),"",O159/C159*10000)</f>
        <v/>
      </c>
      <c r="AL159" s="14">
        <f>IF(OR(D159="",D159=0),"",P159/D159*10000)</f>
        <v/>
      </c>
      <c r="AM159" s="14">
        <f>IF(OR(E159="",E159=0),"",Q159/E159*10000)</f>
        <v/>
      </c>
      <c r="AN159" s="11" t="n">
        <v>5290.833767148336</v>
      </c>
      <c r="AO159" s="11" t="n">
        <v>32933.78</v>
      </c>
      <c r="AP159" s="21">
        <f>AH159+AN159+AO159</f>
        <v/>
      </c>
      <c r="AQ159" s="21">
        <f>AH159</f>
        <v/>
      </c>
      <c r="AR159" s="15" t="n">
        <v>26778.23</v>
      </c>
      <c r="AS159" s="27" t="n">
        <v>20.507125</v>
      </c>
      <c r="AT159" s="15" t="n">
        <v>21500577.41</v>
      </c>
      <c r="AU159" s="15" t="n">
        <v>26273.8404</v>
      </c>
      <c r="AV159" s="15" t="n">
        <v>416.9712</v>
      </c>
      <c r="AW159" s="15" t="n"/>
      <c r="AX159" s="16" t="n">
        <v>419.1299084509073</v>
      </c>
      <c r="AY159" s="13">
        <f>IF(OR(AX159="",AX159=0,AU159=""),"",AU159*365/(AX159*1000000))</f>
        <v/>
      </c>
      <c r="AZ159" s="15" t="n">
        <v>424740915.5083</v>
      </c>
      <c r="BA159" s="17" t="n">
        <v>60487233</v>
      </c>
      <c r="BB159" s="18" t="n">
        <v>21500577.41</v>
      </c>
      <c r="BC159" s="17" t="n">
        <v>2971663</v>
      </c>
      <c r="BD159" s="17">
        <f>1000000000-999778749.297+6646.9293</f>
        <v/>
      </c>
      <c r="BE159" s="19">
        <f>1000000000-AZ159-BA159-BB159-BC159-BD159</f>
        <v/>
      </c>
      <c r="BF159" s="20" t="n">
        <v>238</v>
      </c>
      <c r="BG159" s="20">
        <f>BE159/1000000-BF159</f>
        <v/>
      </c>
      <c r="BH159" s="21">
        <f>BE159*21.14</f>
        <v/>
      </c>
    </row>
    <row r="160">
      <c r="A160" s="10" t="n">
        <v>45782</v>
      </c>
      <c r="B160" s="11" t="n">
        <v>4567961401</v>
      </c>
      <c r="C160" s="11" t="n"/>
      <c r="D160" s="12" t="n">
        <v>103321597</v>
      </c>
      <c r="E160" s="11" t="n"/>
      <c r="N160" s="12" t="n">
        <v>1285262</v>
      </c>
      <c r="O160" s="11" t="n"/>
      <c r="P160" s="12" t="n">
        <v>27123</v>
      </c>
      <c r="Q160" s="11" t="n"/>
      <c r="R160" s="21">
        <f>N160+O160+P160+N(Q160)</f>
        <v/>
      </c>
      <c r="S160" s="13" t="n">
        <v>0.03</v>
      </c>
      <c r="T160" s="21">
        <f>N(AC160)*S160</f>
        <v/>
      </c>
      <c r="U160" s="21">
        <f>N(AD160)*S160</f>
        <v/>
      </c>
      <c r="V160" s="21">
        <f>N(AE160)*S160</f>
        <v/>
      </c>
      <c r="W160" s="21">
        <f>IF(Q160="","",N(AF160)*S160)</f>
        <v/>
      </c>
      <c r="X160" s="12" t="n">
        <v>4710</v>
      </c>
      <c r="Y160" s="11" t="n"/>
      <c r="Z160" s="11" t="n"/>
      <c r="AA160" s="21">
        <f>T160+U160+V160+N(W160)+X160+Y160+N(Z160)</f>
        <v/>
      </c>
      <c r="AB160" s="11" t="n"/>
      <c r="AC160" s="12" t="n">
        <v>1246704</v>
      </c>
      <c r="AD160" s="21">
        <f>O160-Y160</f>
        <v/>
      </c>
      <c r="AE160" s="21">
        <f>P160-X160</f>
        <v/>
      </c>
      <c r="AF160" s="21">
        <f>IF(Q160="","",Q160-Z160)</f>
        <v/>
      </c>
      <c r="AG160" s="22">
        <f>AC160+AD160+AE160+N(AF160)</f>
        <v/>
      </c>
      <c r="AH160" s="11" t="n">
        <v>995251.4383</v>
      </c>
      <c r="AI160" s="24">
        <f>AG160-AH160</f>
        <v/>
      </c>
      <c r="AJ160" s="14">
        <f>IF(OR(B160="",B160=0,N160=""),"",N160/B160*10000)</f>
        <v/>
      </c>
      <c r="AK160" s="14">
        <f>IF(OR(C160="",C160=0),"",O160/C160*10000)</f>
        <v/>
      </c>
      <c r="AL160" s="14">
        <f>IF(OR(D160="",D160=0),"",P160/D160*10000)</f>
        <v/>
      </c>
      <c r="AM160" s="14">
        <f>IF(OR(E160="",E160=0),"",Q160/E160*10000)</f>
        <v/>
      </c>
      <c r="AN160" s="11" t="n">
        <v>2837.206461972639</v>
      </c>
      <c r="AO160" s="11" t="n">
        <v>0</v>
      </c>
      <c r="AP160" s="21">
        <f>AH160+AN160+AO160</f>
        <v/>
      </c>
      <c r="AQ160" s="21">
        <f>AH160</f>
        <v/>
      </c>
      <c r="AR160" s="15" t="n">
        <v>49246.62</v>
      </c>
      <c r="AS160" s="27" t="n">
        <v>20.209538</v>
      </c>
      <c r="AT160" s="15" t="n">
        <v>21549824.03</v>
      </c>
      <c r="AU160" s="15" t="n">
        <v>26237.5716</v>
      </c>
      <c r="AV160" s="15" t="n">
        <v>332.2736</v>
      </c>
      <c r="AW160" s="15" t="n"/>
      <c r="AX160" s="16" t="n">
        <v>419.2795494584253</v>
      </c>
      <c r="AY160" s="13">
        <f>IF(OR(AX160="",AX160=0,AU160=""),"",AU160*365/(AX160*1000000))</f>
        <v/>
      </c>
      <c r="AZ160" s="15" t="n">
        <v>424714677.9367</v>
      </c>
      <c r="BA160" s="17" t="n">
        <v>60487233</v>
      </c>
      <c r="BB160" s="18" t="n">
        <v>21549824.03</v>
      </c>
      <c r="BC160" s="17" t="n">
        <v>2971663</v>
      </c>
      <c r="BD160" s="17">
        <f>1000000000-999778417.0234+6787.9155</f>
        <v/>
      </c>
      <c r="BE160" s="19">
        <f>1000000000-AZ160-BA160-BB160-BC160-BD160</f>
        <v/>
      </c>
      <c r="BF160" s="20" t="n">
        <v>238</v>
      </c>
      <c r="BG160" s="20">
        <f>BE160/1000000-BF160</f>
        <v/>
      </c>
      <c r="BH160" s="21">
        <f>BE160*19.94</f>
        <v/>
      </c>
    </row>
    <row r="161">
      <c r="A161" s="10" t="n">
        <v>45783</v>
      </c>
      <c r="B161" s="11" t="n">
        <v>4993697122</v>
      </c>
      <c r="C161" s="11" t="n"/>
      <c r="D161" s="12" t="n">
        <v>148487227</v>
      </c>
      <c r="E161" s="11" t="n"/>
      <c r="N161" s="12" t="n">
        <v>1468584</v>
      </c>
      <c r="O161" s="11" t="n"/>
      <c r="P161" s="12" t="n">
        <v>32941</v>
      </c>
      <c r="Q161" s="11" t="n"/>
      <c r="R161" s="21">
        <f>N161+O161+P161+N(Q161)</f>
        <v/>
      </c>
      <c r="S161" s="13" t="n">
        <v>0.03</v>
      </c>
      <c r="T161" s="21">
        <f>N(AC161)*S161</f>
        <v/>
      </c>
      <c r="U161" s="21">
        <f>N(AD161)*S161</f>
        <v/>
      </c>
      <c r="V161" s="21">
        <f>N(AE161)*S161</f>
        <v/>
      </c>
      <c r="W161" s="21">
        <f>IF(Q161="","",N(AF161)*S161)</f>
        <v/>
      </c>
      <c r="X161" s="12" t="n">
        <v>6016</v>
      </c>
      <c r="Y161" s="11" t="n"/>
      <c r="Z161" s="11" t="n"/>
      <c r="AA161" s="21">
        <f>T161+U161+V161+N(W161)+X161+Y161+N(Z161)</f>
        <v/>
      </c>
      <c r="AB161" s="11" t="n"/>
      <c r="AC161" s="12" t="n">
        <v>1424526</v>
      </c>
      <c r="AD161" s="21">
        <f>O161-Y161</f>
        <v/>
      </c>
      <c r="AE161" s="21">
        <f>P161-X161</f>
        <v/>
      </c>
      <c r="AF161" s="21">
        <f>IF(Q161="","",Q161-Z161)</f>
        <v/>
      </c>
      <c r="AG161" s="22">
        <f>AC161+AD161+AE161+N(AF161)</f>
        <v/>
      </c>
      <c r="AH161" s="11" t="n">
        <v>1128924.442</v>
      </c>
      <c r="AI161" s="24">
        <f>AG161-AH161</f>
        <v/>
      </c>
      <c r="AJ161" s="14">
        <f>IF(OR(B161="",B161=0,N161=""),"",N161/B161*10000)</f>
        <v/>
      </c>
      <c r="AK161" s="14">
        <f>IF(OR(C161="",C161=0),"",O161/C161*10000)</f>
        <v/>
      </c>
      <c r="AL161" s="14">
        <f>IF(OR(D161="",D161=0),"",P161/D161*10000)</f>
        <v/>
      </c>
      <c r="AM161" s="14">
        <f>IF(OR(E161="",E161=0),"",Q161/E161*10000)</f>
        <v/>
      </c>
      <c r="AN161" s="11" t="n">
        <v>4469.320161361421</v>
      </c>
      <c r="AO161" s="11" t="n">
        <v>34550.83</v>
      </c>
      <c r="AP161" s="21">
        <f>AH161+AN161+AO161</f>
        <v/>
      </c>
      <c r="AQ161" s="21">
        <f>AH161</f>
        <v/>
      </c>
      <c r="AR161" s="15" t="n">
        <v>56072.29</v>
      </c>
      <c r="AS161" s="27" t="n">
        <v>20.133375</v>
      </c>
      <c r="AT161" s="15" t="n">
        <v>21605896.32</v>
      </c>
      <c r="AU161" s="15" t="n">
        <v>26248.6152</v>
      </c>
      <c r="AV161" s="15" t="n">
        <v>729.029</v>
      </c>
      <c r="AW161" s="15" t="n"/>
      <c r="AX161" s="16" t="n">
        <v>419.9135515100631</v>
      </c>
      <c r="AY161" s="13">
        <f>IF(OR(AX161="",AX161=0,AU161=""),"",AU161*365/(AX161*1000000))</f>
        <v/>
      </c>
      <c r="AZ161" s="15" t="n">
        <v>424688429.3215</v>
      </c>
      <c r="BA161" s="17" t="n">
        <v>60487233</v>
      </c>
      <c r="BB161" s="18" t="n">
        <v>21605896.32</v>
      </c>
      <c r="BC161" s="17" t="n">
        <v>2971663</v>
      </c>
      <c r="BD161" s="17">
        <f>1000000000-999777687.9944+7007.4734</f>
        <v/>
      </c>
      <c r="BE161" s="19">
        <f>1000000000-AZ161-BA161-BB161-BC161-BD161</f>
        <v/>
      </c>
      <c r="BF161" s="20" t="n">
        <v>238</v>
      </c>
      <c r="BG161" s="20">
        <f>BE161/1000000-BF161</f>
        <v/>
      </c>
      <c r="BH161" s="21">
        <f>BE161*20.2</f>
        <v/>
      </c>
    </row>
    <row r="162">
      <c r="A162" s="10" t="n">
        <v>45784</v>
      </c>
      <c r="B162" s="11" t="n">
        <v>5302496591</v>
      </c>
      <c r="C162" s="11" t="n"/>
      <c r="D162" s="12" t="n">
        <v>123317603</v>
      </c>
      <c r="E162" s="11" t="n"/>
      <c r="N162" s="12" t="n">
        <v>1570917</v>
      </c>
      <c r="O162" s="11" t="n"/>
      <c r="P162" s="12" t="n">
        <v>29262</v>
      </c>
      <c r="Q162" s="11" t="n"/>
      <c r="R162" s="21">
        <f>N162+O162+P162+N(Q162)</f>
        <v/>
      </c>
      <c r="S162" s="13" t="n">
        <v>0.03</v>
      </c>
      <c r="T162" s="21">
        <f>N(AC162)*S162</f>
        <v/>
      </c>
      <c r="U162" s="21">
        <f>N(AD162)*S162</f>
        <v/>
      </c>
      <c r="V162" s="21">
        <f>N(AE162)*S162</f>
        <v/>
      </c>
      <c r="W162" s="21">
        <f>IF(Q162="","",N(AF162)*S162)</f>
        <v/>
      </c>
      <c r="X162" s="12" t="n">
        <v>9422</v>
      </c>
      <c r="Y162" s="11" t="n"/>
      <c r="Z162" s="11" t="n"/>
      <c r="AA162" s="21">
        <f>T162+U162+V162+N(W162)+X162+Y162+N(Z162)</f>
        <v/>
      </c>
      <c r="AB162" s="11" t="n"/>
      <c r="AC162" s="12" t="n">
        <v>1523790</v>
      </c>
      <c r="AD162" s="21">
        <f>O162-Y162</f>
        <v/>
      </c>
      <c r="AE162" s="21">
        <f>P162-X162</f>
        <v/>
      </c>
      <c r="AF162" s="21">
        <f>IF(Q162="","",Q162-Z162)</f>
        <v/>
      </c>
      <c r="AG162" s="22">
        <f>AC162+AD162+AE162+N(AF162)</f>
        <v/>
      </c>
      <c r="AH162" s="11" t="n">
        <v>1645504.587</v>
      </c>
      <c r="AI162" s="24">
        <f>AG162-AH162</f>
        <v/>
      </c>
      <c r="AJ162" s="14">
        <f>IF(OR(B162="",B162=0,N162=""),"",N162/B162*10000)</f>
        <v/>
      </c>
      <c r="AK162" s="14">
        <f>IF(OR(C162="",C162=0),"",O162/C162*10000)</f>
        <v/>
      </c>
      <c r="AL162" s="14">
        <f>IF(OR(D162="",D162=0),"",P162/D162*10000)</f>
        <v/>
      </c>
      <c r="AM162" s="14">
        <f>IF(OR(E162="",E162=0),"",Q162/E162*10000)</f>
        <v/>
      </c>
      <c r="AN162" s="11" t="n">
        <v>4920.589626436786</v>
      </c>
      <c r="AO162" s="11" t="n">
        <v>25840.79</v>
      </c>
      <c r="AP162" s="21">
        <f>AH162+AN162+AO162</f>
        <v/>
      </c>
      <c r="AQ162" s="21">
        <f>AH162</f>
        <v/>
      </c>
      <c r="AR162" s="15" t="n">
        <v>78353.91</v>
      </c>
      <c r="AS162" s="27" t="n">
        <v>21.000925</v>
      </c>
      <c r="AT162" s="15" t="n">
        <v>21684250.23</v>
      </c>
      <c r="AU162" s="15" t="n">
        <v>26286.8993</v>
      </c>
      <c r="AV162" s="15" t="n">
        <v>970.6196</v>
      </c>
      <c r="AW162" s="15" t="n"/>
      <c r="AX162" s="16" t="n">
        <v>419.9238654737435</v>
      </c>
      <c r="AY162" s="13">
        <f>IF(OR(AX162="",AX162=0,AU162=""),"",AU162*365/(AX162*1000000))</f>
        <v/>
      </c>
      <c r="AZ162" s="15" t="n">
        <v>424662142.4221</v>
      </c>
      <c r="BA162" s="17" t="n">
        <v>60487233</v>
      </c>
      <c r="BB162" s="18" t="n">
        <v>21684250.23</v>
      </c>
      <c r="BC162" s="17" t="n">
        <v>2971663</v>
      </c>
      <c r="BD162" s="17">
        <f>1000000000-999776717.3749+7240.8426</f>
        <v/>
      </c>
      <c r="BE162" s="19">
        <f>1000000000-AZ162-BA162-BB162-BC162-BD162</f>
        <v/>
      </c>
      <c r="BF162" s="20" t="n">
        <v>238</v>
      </c>
      <c r="BG162" s="20">
        <f>BE162/1000000-BF162</f>
        <v/>
      </c>
      <c r="BH162" s="21">
        <f>BE162*21.03</f>
        <v/>
      </c>
    </row>
    <row r="163">
      <c r="A163" s="10" t="n">
        <v>45785</v>
      </c>
      <c r="B163" s="11" t="n">
        <v>10744450408</v>
      </c>
      <c r="C163" s="11" t="n"/>
      <c r="D163" s="12" t="n">
        <v>238514707</v>
      </c>
      <c r="E163" s="11" t="n"/>
      <c r="N163" s="12" t="n">
        <v>3225869</v>
      </c>
      <c r="O163" s="11" t="n"/>
      <c r="P163" s="12" t="n">
        <v>53413</v>
      </c>
      <c r="Q163" s="11" t="n"/>
      <c r="R163" s="21">
        <f>N163+O163+P163+N(Q163)</f>
        <v/>
      </c>
      <c r="S163" s="13" t="n">
        <v>0.03</v>
      </c>
      <c r="T163" s="21">
        <f>N(AC163)*S163</f>
        <v/>
      </c>
      <c r="U163" s="21">
        <f>N(AD163)*S163</f>
        <v/>
      </c>
      <c r="V163" s="21">
        <f>N(AE163)*S163</f>
        <v/>
      </c>
      <c r="W163" s="21">
        <f>IF(Q163="","",N(AF163)*S163)</f>
        <v/>
      </c>
      <c r="X163" s="12" t="n">
        <v>15552</v>
      </c>
      <c r="Y163" s="11" t="n"/>
      <c r="Z163" s="11" t="n"/>
      <c r="AA163" s="21">
        <f>T163+U163+V163+N(W163)+X163+Y163+N(Z163)</f>
        <v/>
      </c>
      <c r="AB163" s="11" t="n"/>
      <c r="AC163" s="12" t="n">
        <v>3129093</v>
      </c>
      <c r="AD163" s="21">
        <f>O163-Y163</f>
        <v/>
      </c>
      <c r="AE163" s="21">
        <f>P163-X163</f>
        <v/>
      </c>
      <c r="AF163" s="21">
        <f>IF(Q163="","",Q163-Z163)</f>
        <v/>
      </c>
      <c r="AG163" s="22">
        <f>AC163+AD163+AE163+N(AF163)</f>
        <v/>
      </c>
      <c r="AH163" s="11" t="n">
        <v>2070058.595</v>
      </c>
      <c r="AI163" s="24">
        <f>AG163-AH163</f>
        <v/>
      </c>
      <c r="AJ163" s="14">
        <f>IF(OR(B163="",B163=0,N163=""),"",N163/B163*10000)</f>
        <v/>
      </c>
      <c r="AK163" s="14">
        <f>IF(OR(C163="",C163=0),"",O163/C163*10000)</f>
        <v/>
      </c>
      <c r="AL163" s="14">
        <f>IF(OR(D163="",D163=0),"",P163/D163*10000)</f>
        <v/>
      </c>
      <c r="AM163" s="14">
        <f>IF(OR(E163="",E163=0),"",Q163/E163*10000)</f>
        <v/>
      </c>
      <c r="AN163" s="11" t="n">
        <v>4665.805506652849</v>
      </c>
      <c r="AO163" s="11" t="n">
        <v>39039.54</v>
      </c>
      <c r="AP163" s="21">
        <f>AH163+AN163+AO163</f>
        <v/>
      </c>
      <c r="AQ163" s="21">
        <f>AH163</f>
        <v/>
      </c>
      <c r="AR163" s="15" t="n">
        <v>94408.36</v>
      </c>
      <c r="AS163" s="27" t="n">
        <v>21.926645</v>
      </c>
      <c r="AT163" s="15" t="n">
        <v>21778658.59</v>
      </c>
      <c r="AU163" s="15" t="n">
        <v>26293.0763</v>
      </c>
      <c r="AV163" s="15" t="n">
        <v>779.5515</v>
      </c>
      <c r="AW163" s="15" t="n"/>
      <c r="AX163" s="16" t="n">
        <v>420.0343301124731</v>
      </c>
      <c r="AY163" s="13">
        <f>IF(OR(AX163="",AX163=0,AU163=""),"",AU163*365/(AX163*1000000))</f>
        <v/>
      </c>
      <c r="AZ163" s="15" t="n">
        <v>424635849.3458</v>
      </c>
      <c r="BA163" s="17" t="n">
        <v>60487233</v>
      </c>
      <c r="BB163" s="18" t="n">
        <v>21778658.59</v>
      </c>
      <c r="BC163" s="17" t="n">
        <v>2971663</v>
      </c>
      <c r="BD163" s="17">
        <f>1000000000-999775937.8233+7463.4691</f>
        <v/>
      </c>
      <c r="BE163" s="19">
        <f>1000000000-AZ163-BA163-BB163-BC163-BD163</f>
        <v/>
      </c>
      <c r="BF163" s="20" t="n">
        <v>238</v>
      </c>
      <c r="BG163" s="20">
        <f>BE163/1000000-BF163</f>
        <v/>
      </c>
      <c r="BH163" s="21">
        <f>BE163*21.12</f>
        <v/>
      </c>
    </row>
    <row r="164">
      <c r="A164" s="10" t="n">
        <v>45786</v>
      </c>
      <c r="B164" s="11" t="n">
        <v>9205104235</v>
      </c>
      <c r="C164" s="11" t="n"/>
      <c r="D164" s="12" t="n">
        <v>187434250</v>
      </c>
      <c r="E164" s="11" t="n"/>
      <c r="N164" s="12" t="n">
        <v>2787302</v>
      </c>
      <c r="O164" s="11" t="n"/>
      <c r="P164" s="12" t="n">
        <v>63153</v>
      </c>
      <c r="Q164" s="11" t="n"/>
      <c r="R164" s="21">
        <f>N164+O164+P164+N(Q164)</f>
        <v/>
      </c>
      <c r="S164" s="13" t="n">
        <v>0.03</v>
      </c>
      <c r="T164" s="21">
        <f>N(AC164)*S164</f>
        <v/>
      </c>
      <c r="U164" s="21">
        <f>N(AD164)*S164</f>
        <v/>
      </c>
      <c r="V164" s="21">
        <f>N(AE164)*S164</f>
        <v/>
      </c>
      <c r="W164" s="21">
        <f>IF(Q164="","",N(AF164)*S164)</f>
        <v/>
      </c>
      <c r="X164" s="12" t="n">
        <v>8090</v>
      </c>
      <c r="Y164" s="11" t="n"/>
      <c r="Z164" s="11" t="n"/>
      <c r="AA164" s="21">
        <f>T164+U164+V164+N(W164)+X164+Y164+N(Z164)</f>
        <v/>
      </c>
      <c r="AB164" s="11" t="n"/>
      <c r="AC164" s="12" t="n">
        <v>2703683</v>
      </c>
      <c r="AD164" s="21">
        <f>O164-Y164</f>
        <v/>
      </c>
      <c r="AE164" s="21">
        <f>P164-X164</f>
        <v/>
      </c>
      <c r="AF164" s="21">
        <f>IF(Q164="","",Q164-Z164)</f>
        <v/>
      </c>
      <c r="AG164" s="22">
        <f>AC164+AD164+AE164+N(AF164)</f>
        <v/>
      </c>
      <c r="AH164" s="11" t="n">
        <v>3722273.751</v>
      </c>
      <c r="AI164" s="24">
        <f>AG164-AH164</f>
        <v/>
      </c>
      <c r="AJ164" s="14">
        <f>IF(OR(B164="",B164=0,N164=""),"",N164/B164*10000)</f>
        <v/>
      </c>
      <c r="AK164" s="14">
        <f>IF(OR(C164="",C164=0),"",O164/C164*10000)</f>
        <v/>
      </c>
      <c r="AL164" s="14">
        <f>IF(OR(D164="",D164=0),"",P164/D164*10000)</f>
        <v/>
      </c>
      <c r="AM164" s="14">
        <f>IF(OR(E164="",E164=0),"",Q164/E164*10000)</f>
        <v/>
      </c>
      <c r="AN164" s="11" t="n">
        <v>4421.023417596251</v>
      </c>
      <c r="AO164" s="11" t="n">
        <v>49456.56</v>
      </c>
      <c r="AP164" s="21">
        <f>AH164+AN164+AO164</f>
        <v/>
      </c>
      <c r="AQ164" s="21">
        <f>AH164</f>
        <v/>
      </c>
      <c r="AR164" s="15" t="n">
        <v>150005.11</v>
      </c>
      <c r="AS164" s="27" t="n">
        <v>24.814313</v>
      </c>
      <c r="AT164" s="15" t="n">
        <v>21928663.7</v>
      </c>
      <c r="AU164" s="15" t="n">
        <v>26286.2467</v>
      </c>
      <c r="AV164" s="15" t="n">
        <v>2047.9404</v>
      </c>
      <c r="AW164" s="15" t="n"/>
      <c r="AX164" s="16" t="n">
        <v>420.257813132488</v>
      </c>
      <c r="AY164" s="13">
        <f>IF(OR(AX164="",AX164=0,AU164=""),"",AU164*365/(AX164*1000000))</f>
        <v/>
      </c>
      <c r="AZ164" s="15" t="n">
        <v>424609563.0991</v>
      </c>
      <c r="BA164" s="17" t="n">
        <v>60487233</v>
      </c>
      <c r="BB164" s="18" t="n">
        <v>21928663.7</v>
      </c>
      <c r="BC164" s="17" t="n">
        <v>2971663</v>
      </c>
      <c r="BD164" s="17">
        <f>1000000000-999773889.883+7654.9963</f>
        <v/>
      </c>
      <c r="BE164" s="19">
        <f>1000000000-AZ164-BA164-BB164-BC164-BD164</f>
        <v/>
      </c>
      <c r="BF164" s="20" t="n">
        <v>238</v>
      </c>
      <c r="BG164" s="20">
        <f>BE164/1000000-BF164</f>
        <v/>
      </c>
      <c r="BH164" s="21">
        <f>BE164*23.17</f>
        <v/>
      </c>
    </row>
    <row r="165">
      <c r="A165" s="10" t="n">
        <v>45787</v>
      </c>
      <c r="B165" s="11" t="n">
        <v>5771644873</v>
      </c>
      <c r="C165" s="11" t="n"/>
      <c r="D165" s="12" t="n">
        <v>183465847</v>
      </c>
      <c r="E165" s="11" t="n"/>
      <c r="N165" s="12" t="n">
        <v>1647473</v>
      </c>
      <c r="O165" s="11" t="n"/>
      <c r="P165" s="12" t="n">
        <v>37161</v>
      </c>
      <c r="Q165" s="11" t="n"/>
      <c r="R165" s="21">
        <f>N165+O165+P165+N(Q165)</f>
        <v/>
      </c>
      <c r="S165" s="13" t="n">
        <v>0.03</v>
      </c>
      <c r="T165" s="21">
        <f>N(AC165)*S165</f>
        <v/>
      </c>
      <c r="U165" s="21">
        <f>N(AD165)*S165</f>
        <v/>
      </c>
      <c r="V165" s="21">
        <f>N(AE165)*S165</f>
        <v/>
      </c>
      <c r="W165" s="21">
        <f>IF(Q165="","",N(AF165)*S165)</f>
        <v/>
      </c>
      <c r="X165" s="12" t="n">
        <v>9087</v>
      </c>
      <c r="Y165" s="11" t="n"/>
      <c r="Z165" s="11" t="n"/>
      <c r="AA165" s="21">
        <f>T165+U165+V165+N(W165)+X165+Y165+N(Z165)</f>
        <v/>
      </c>
      <c r="AB165" s="11" t="n"/>
      <c r="AC165" s="12" t="n">
        <v>1598049</v>
      </c>
      <c r="AD165" s="21">
        <f>O165-Y165</f>
        <v/>
      </c>
      <c r="AE165" s="21">
        <f>P165-X165</f>
        <v/>
      </c>
      <c r="AF165" s="21">
        <f>IF(Q165="","",Q165-Z165)</f>
        <v/>
      </c>
      <c r="AG165" s="22">
        <f>AC165+AD165+AE165+N(AF165)</f>
        <v/>
      </c>
      <c r="AH165" s="11" t="n">
        <v>1982994.49</v>
      </c>
      <c r="AI165" s="24">
        <f>AG165-AH165</f>
        <v/>
      </c>
      <c r="AJ165" s="14">
        <f>IF(OR(B165="",B165=0,N165=""),"",N165/B165*10000)</f>
        <v/>
      </c>
      <c r="AK165" s="14">
        <f>IF(OR(C165="",C165=0),"",O165/C165*10000)</f>
        <v/>
      </c>
      <c r="AL165" s="14">
        <f>IF(OR(D165="",D165=0),"",P165/D165*10000)</f>
        <v/>
      </c>
      <c r="AM165" s="14">
        <f>IF(OR(E165="",E165=0),"",Q165/E165*10000)</f>
        <v/>
      </c>
      <c r="AN165" s="11" t="n">
        <v>3198.97819917756</v>
      </c>
      <c r="AO165" s="11" t="n">
        <v>0</v>
      </c>
      <c r="AP165" s="21">
        <f>AH165+AN165+AO165</f>
        <v/>
      </c>
      <c r="AQ165" s="21">
        <f>AH165</f>
        <v/>
      </c>
      <c r="AR165" s="15" t="n">
        <v>78879.00999999999</v>
      </c>
      <c r="AS165" s="27" t="n">
        <v>25.139698</v>
      </c>
      <c r="AT165" s="15" t="n">
        <v>22007542.71</v>
      </c>
      <c r="AU165" s="15" t="n">
        <v>26264.9266</v>
      </c>
      <c r="AV165" s="15" t="n">
        <v>1889.7992</v>
      </c>
      <c r="AW165" s="15" t="n"/>
      <c r="AX165" s="16" t="n">
        <v>422.834410235724</v>
      </c>
      <c r="AY165" s="13">
        <f>IF(OR(AX165="",AX165=0,AU165=""),"",AU165*365/(AX165*1000000))</f>
        <v/>
      </c>
      <c r="AZ165" s="15" t="n">
        <v>424583298.1725</v>
      </c>
      <c r="BA165" s="17" t="n">
        <v>60487233</v>
      </c>
      <c r="BB165" s="18" t="n">
        <v>22007542.71</v>
      </c>
      <c r="BC165" s="17" t="n">
        <v>2971663</v>
      </c>
      <c r="BD165" s="17">
        <f>1000000000-999772000.0838+7783.0067</f>
        <v/>
      </c>
      <c r="BE165" s="19">
        <f>1000000000-AZ165-BA165-BB165-BC165-BD165</f>
        <v/>
      </c>
      <c r="BF165" s="20" t="n">
        <v>238</v>
      </c>
      <c r="BG165" s="20">
        <f>BE165/1000000-BF165</f>
        <v/>
      </c>
      <c r="BH165" s="21">
        <f>BE165*24.93</f>
        <v/>
      </c>
    </row>
    <row r="166">
      <c r="A166" s="10" t="n">
        <v>45788</v>
      </c>
      <c r="B166" s="11" t="n">
        <v>6586463067</v>
      </c>
      <c r="C166" s="11" t="n"/>
      <c r="D166" s="12" t="n">
        <v>203456685</v>
      </c>
      <c r="E166" s="11" t="n"/>
      <c r="N166" s="12" t="n">
        <v>2042043</v>
      </c>
      <c r="O166" s="11" t="n"/>
      <c r="P166" s="12" t="n">
        <v>46917</v>
      </c>
      <c r="Q166" s="11" t="n"/>
      <c r="R166" s="21">
        <f>N166+O166+P166+N(Q166)</f>
        <v/>
      </c>
      <c r="S166" s="13" t="n">
        <v>0.03</v>
      </c>
      <c r="T166" s="21">
        <f>N(AC166)*S166</f>
        <v/>
      </c>
      <c r="U166" s="21">
        <f>N(AD166)*S166</f>
        <v/>
      </c>
      <c r="V166" s="21">
        <f>N(AE166)*S166</f>
        <v/>
      </c>
      <c r="W166" s="21">
        <f>IF(Q166="","",N(AF166)*S166)</f>
        <v/>
      </c>
      <c r="X166" s="12" t="n">
        <v>5365</v>
      </c>
      <c r="Y166" s="11" t="n"/>
      <c r="Z166" s="11" t="n"/>
      <c r="AA166" s="21">
        <f>T166+U166+V166+N(W166)+X166+Y166+N(Z166)</f>
        <v/>
      </c>
      <c r="AB166" s="11" t="n"/>
      <c r="AC166" s="12" t="n">
        <v>1980782</v>
      </c>
      <c r="AD166" s="21">
        <f>O166-Y166</f>
        <v/>
      </c>
      <c r="AE166" s="21">
        <f>P166-X166</f>
        <v/>
      </c>
      <c r="AF166" s="21">
        <f>IF(Q166="","",Q166-Z166)</f>
        <v/>
      </c>
      <c r="AG166" s="22">
        <f>AC166+AD166+AE166+N(AF166)</f>
        <v/>
      </c>
      <c r="AH166" s="11" t="n">
        <v>2151725.798</v>
      </c>
      <c r="AI166" s="24">
        <f>AG166-AH166</f>
        <v/>
      </c>
      <c r="AJ166" s="14">
        <f>IF(OR(B166="",B166=0,N166=""),"",N166/B166*10000)</f>
        <v/>
      </c>
      <c r="AK166" s="14">
        <f>IF(OR(C166="",C166=0),"",O166/C166*10000)</f>
        <v/>
      </c>
      <c r="AL166" s="14">
        <f>IF(OR(D166="",D166=0),"",P166/D166*10000)</f>
        <v/>
      </c>
      <c r="AM166" s="14">
        <f>IF(OR(E166="",E166=0),"",Q166/E166*10000)</f>
        <v/>
      </c>
      <c r="AN166" s="11" t="n">
        <v>4712.375812118085</v>
      </c>
      <c r="AO166" s="11" t="n">
        <v>61482.8</v>
      </c>
      <c r="AP166" s="21">
        <f>AH166+AN166+AO166</f>
        <v/>
      </c>
      <c r="AQ166" s="21">
        <f>AH166</f>
        <v/>
      </c>
      <c r="AR166" s="15" t="n">
        <v>85990.77</v>
      </c>
      <c r="AS166" s="27" t="n">
        <v>25.022753</v>
      </c>
      <c r="AT166" s="15" t="n">
        <v>22093533.48</v>
      </c>
      <c r="AU166" s="15" t="n">
        <v>26383.8354</v>
      </c>
      <c r="AV166" s="15" t="n">
        <v>886.5262</v>
      </c>
      <c r="AW166" s="15" t="n"/>
      <c r="AX166" s="16" t="n">
        <v>422.5366604694323</v>
      </c>
      <c r="AY166" s="13">
        <f>IF(OR(AX166="",AX166=0,AU166=""),"",AU166*365/(AX166*1000000))</f>
        <v/>
      </c>
      <c r="AZ166" s="15" t="n">
        <v>424556914.3371</v>
      </c>
      <c r="BA166" s="17" t="n">
        <v>60487233</v>
      </c>
      <c r="BB166" s="18" t="n">
        <v>22093533.48</v>
      </c>
      <c r="BC166" s="17" t="n">
        <v>2971663</v>
      </c>
      <c r="BD166" s="17">
        <f>1000000000-999771113.5575+7964.6011</f>
        <v/>
      </c>
      <c r="BE166" s="19">
        <f>1000000000-AZ166-BA166-BB166-BC166-BD166</f>
        <v/>
      </c>
      <c r="BF166" s="20" t="n">
        <v>238</v>
      </c>
      <c r="BG166" s="20">
        <f>BE166/1000000-BF166</f>
        <v/>
      </c>
      <c r="BH166" s="21">
        <f>BE166*26.25</f>
        <v/>
      </c>
    </row>
    <row r="167">
      <c r="A167" s="10" t="n">
        <v>45789</v>
      </c>
      <c r="B167" s="11" t="n">
        <v>11465187013</v>
      </c>
      <c r="C167" s="11" t="n"/>
      <c r="D167" s="12" t="n">
        <v>218167542</v>
      </c>
      <c r="E167" s="11" t="n"/>
      <c r="N167" s="12" t="n">
        <v>3312180</v>
      </c>
      <c r="O167" s="11" t="n"/>
      <c r="P167" s="12" t="n">
        <v>47049</v>
      </c>
      <c r="Q167" s="11" t="n"/>
      <c r="R167" s="21">
        <f>N167+O167+P167+N(Q167)</f>
        <v/>
      </c>
      <c r="S167" s="13" t="n">
        <v>0.03</v>
      </c>
      <c r="T167" s="21">
        <f>N(AC167)*S167</f>
        <v/>
      </c>
      <c r="U167" s="21">
        <f>N(AD167)*S167</f>
        <v/>
      </c>
      <c r="V167" s="21">
        <f>N(AE167)*S167</f>
        <v/>
      </c>
      <c r="W167" s="21">
        <f>IF(Q167="","",N(AF167)*S167)</f>
        <v/>
      </c>
      <c r="X167" s="12" t="n">
        <v>8970</v>
      </c>
      <c r="Y167" s="11" t="n"/>
      <c r="Z167" s="11" t="n"/>
      <c r="AA167" s="21">
        <f>T167+U167+V167+N(W167)+X167+Y167+N(Z167)</f>
        <v/>
      </c>
      <c r="AB167" s="11" t="n"/>
      <c r="AC167" s="12" t="n">
        <v>3212815</v>
      </c>
      <c r="AD167" s="21">
        <f>O167-Y167</f>
        <v/>
      </c>
      <c r="AE167" s="21">
        <f>P167-X167</f>
        <v/>
      </c>
      <c r="AF167" s="21">
        <f>IF(Q167="","",Q167-Z167)</f>
        <v/>
      </c>
      <c r="AG167" s="22">
        <f>AC167+AD167+AE167+N(AF167)</f>
        <v/>
      </c>
      <c r="AH167" s="11" t="n">
        <v>2013924.852</v>
      </c>
      <c r="AI167" s="24">
        <f>AG167-AH167</f>
        <v/>
      </c>
      <c r="AJ167" s="14">
        <f>IF(OR(B167="",B167=0,N167=""),"",N167/B167*10000)</f>
        <v/>
      </c>
      <c r="AK167" s="14">
        <f>IF(OR(C167="",C167=0),"",O167/C167*10000)</f>
        <v/>
      </c>
      <c r="AL167" s="14">
        <f>IF(OR(D167="",D167=0),"",P167/D167*10000)</f>
        <v/>
      </c>
      <c r="AM167" s="14">
        <f>IF(OR(E167="",E167=0),"",Q167/E167*10000)</f>
        <v/>
      </c>
      <c r="AN167" s="11" t="n">
        <v>5249.561312008317</v>
      </c>
      <c r="AO167" s="11" t="n">
        <v>34871.23</v>
      </c>
      <c r="AP167" s="21">
        <f>AH167+AN167+AO167</f>
        <v/>
      </c>
      <c r="AQ167" s="21">
        <f>AH167</f>
        <v/>
      </c>
      <c r="AR167" s="15" t="n">
        <v>81748.81</v>
      </c>
      <c r="AS167" s="27" t="n">
        <v>24.635525</v>
      </c>
      <c r="AT167" s="15" t="n">
        <v>22175282.29</v>
      </c>
      <c r="AU167" s="15" t="n">
        <v>26327.3026</v>
      </c>
      <c r="AV167" s="15" t="n">
        <v>1125.8566</v>
      </c>
      <c r="AW167" s="15" t="n"/>
      <c r="AX167" s="16" t="n">
        <v>422.1441046637088</v>
      </c>
      <c r="AY167" s="13">
        <f>IF(OR(AX167="",AX167=0,AU167=""),"",AU167*365/(AX167*1000000))</f>
        <v/>
      </c>
      <c r="AZ167" s="15" t="n">
        <v>424530587.0345</v>
      </c>
      <c r="BA167" s="17" t="n">
        <v>60487233</v>
      </c>
      <c r="BB167" s="18" t="n">
        <v>22175282.29</v>
      </c>
      <c r="BC167" s="17" t="n">
        <v>2971663</v>
      </c>
      <c r="BD167" s="17">
        <f>1000000000-999769987.701+8174.2481</f>
        <v/>
      </c>
      <c r="BE167" s="19">
        <f>1000000000-AZ167-BA167-BB167-BC167-BD167</f>
        <v/>
      </c>
      <c r="BF167" s="20" t="n">
        <v>238</v>
      </c>
      <c r="BG167" s="20">
        <f>BE167/1000000-BF167</f>
        <v/>
      </c>
      <c r="BH167" s="21">
        <f>BE167*25.03</f>
        <v/>
      </c>
    </row>
    <row r="168">
      <c r="A168" s="10" t="n">
        <v>45790</v>
      </c>
      <c r="B168" s="11" t="n">
        <v>8383620368</v>
      </c>
      <c r="C168" s="11" t="n"/>
      <c r="D168" s="12" t="n">
        <v>187661133</v>
      </c>
      <c r="E168" s="11" t="n"/>
      <c r="N168" s="12" t="n">
        <v>2446056</v>
      </c>
      <c r="O168" s="11" t="n"/>
      <c r="P168" s="12" t="n">
        <v>42000</v>
      </c>
      <c r="Q168" s="11" t="n"/>
      <c r="R168" s="21">
        <f>N168+O168+P168+N(Q168)</f>
        <v/>
      </c>
      <c r="S168" s="13" t="n">
        <v>0.03</v>
      </c>
      <c r="T168" s="21">
        <f>N(AC168)*S168</f>
        <v/>
      </c>
      <c r="U168" s="21">
        <f>N(AD168)*S168</f>
        <v/>
      </c>
      <c r="V168" s="21">
        <f>N(AE168)*S168</f>
        <v/>
      </c>
      <c r="W168" s="21">
        <f>IF(Q168="","",N(AF168)*S168)</f>
        <v/>
      </c>
      <c r="X168" s="12" t="n">
        <v>7437</v>
      </c>
      <c r="Y168" s="11" t="n"/>
      <c r="Z168" s="11" t="n"/>
      <c r="AA168" s="21">
        <f>T168+U168+V168+N(W168)+X168+Y168+N(Z168)</f>
        <v/>
      </c>
      <c r="AB168" s="11" t="n"/>
      <c r="AC168" s="12" t="n">
        <v>2372674</v>
      </c>
      <c r="AD168" s="21">
        <f>O168-Y168</f>
        <v/>
      </c>
      <c r="AE168" s="21">
        <f>P168-X168</f>
        <v/>
      </c>
      <c r="AF168" s="21">
        <f>IF(Q168="","",Q168-Z168)</f>
        <v/>
      </c>
      <c r="AG168" s="22">
        <f>AC168+AD168+AE168+N(AF168)</f>
        <v/>
      </c>
      <c r="AH168" s="11" t="n">
        <v>2931446.112</v>
      </c>
      <c r="AI168" s="24">
        <f>AG168-AH168</f>
        <v/>
      </c>
      <c r="AJ168" s="14">
        <f>IF(OR(B168="",B168=0,N168=""),"",N168/B168*10000)</f>
        <v/>
      </c>
      <c r="AK168" s="14">
        <f>IF(OR(C168="",C168=0),"",O168/C168*10000)</f>
        <v/>
      </c>
      <c r="AL168" s="14">
        <f>IF(OR(D168="",D168=0),"",P168/D168*10000)</f>
        <v/>
      </c>
      <c r="AM168" s="14">
        <f>IF(OR(E168="",E168=0),"",Q168/E168*10000)</f>
        <v/>
      </c>
      <c r="AN168" s="11" t="n">
        <v>3367.628447783543</v>
      </c>
      <c r="AO168" s="11" t="n">
        <v>39094.52</v>
      </c>
      <c r="AP168" s="21">
        <f>AH168+AN168+AO168</f>
        <v/>
      </c>
      <c r="AQ168" s="21">
        <f>AH168</f>
        <v/>
      </c>
      <c r="AR168" s="15" t="n">
        <v>115846.18</v>
      </c>
      <c r="AS168" s="27" t="n">
        <v>25.304642</v>
      </c>
      <c r="AT168" s="15" t="n">
        <v>22291128.47</v>
      </c>
      <c r="AU168" s="15" t="n">
        <v>26375.9894</v>
      </c>
      <c r="AV168" s="15" t="n">
        <v>1150.7927</v>
      </c>
      <c r="AW168" s="15" t="n"/>
      <c r="AX168" s="16" t="n">
        <v>422.3076714020344</v>
      </c>
      <c r="AY168" s="13">
        <f>IF(OR(AX168="",AX168=0,AU168=""),"",AU168*365/(AX168*1000000))</f>
        <v/>
      </c>
      <c r="AZ168" s="15" t="n">
        <v>424504211.0451</v>
      </c>
      <c r="BA168" s="17" t="n">
        <v>60487233</v>
      </c>
      <c r="BB168" s="18" t="n">
        <v>22291128.47</v>
      </c>
      <c r="BC168" s="17" t="n">
        <v>2971663</v>
      </c>
      <c r="BD168" s="17">
        <f>1000000000-999768836.9083+8311.5510</f>
        <v/>
      </c>
      <c r="BE168" s="19">
        <f>1000000000-AZ168-BA168-BB168-BC168-BD168</f>
        <v/>
      </c>
      <c r="BF168" s="20" t="n">
        <v>238</v>
      </c>
      <c r="BG168" s="20">
        <f>BE168/1000000-BF168</f>
        <v/>
      </c>
      <c r="BH168" s="21">
        <f>BE168*24.51</f>
        <v/>
      </c>
    </row>
    <row r="169">
      <c r="A169" s="10" t="n">
        <v>45791</v>
      </c>
      <c r="B169" s="11" t="n">
        <v>7000956820</v>
      </c>
      <c r="C169" s="11" t="n"/>
      <c r="D169" s="12" t="n">
        <v>164936595</v>
      </c>
      <c r="E169" s="11" t="n"/>
      <c r="N169" s="12" t="n">
        <v>1966658</v>
      </c>
      <c r="O169" s="11" t="n"/>
      <c r="P169" s="12" t="n">
        <v>35587</v>
      </c>
      <c r="Q169" s="11" t="n"/>
      <c r="R169" s="21">
        <f>N169+O169+P169+N(Q169)</f>
        <v/>
      </c>
      <c r="S169" s="13" t="n">
        <v>0.03</v>
      </c>
      <c r="T169" s="21">
        <f>N(AC169)*S169</f>
        <v/>
      </c>
      <c r="U169" s="21">
        <f>N(AD169)*S169</f>
        <v/>
      </c>
      <c r="V169" s="21">
        <f>N(AE169)*S169</f>
        <v/>
      </c>
      <c r="W169" s="21">
        <f>IF(Q169="","",N(AF169)*S169)</f>
        <v/>
      </c>
      <c r="X169" s="12" t="n">
        <v>5959</v>
      </c>
      <c r="Y169" s="11" t="n"/>
      <c r="Z169" s="11" t="n"/>
      <c r="AA169" s="21">
        <f>T169+U169+V169+N(W169)+X169+Y169+N(Z169)</f>
        <v/>
      </c>
      <c r="AB169" s="11" t="n"/>
      <c r="AC169" s="12" t="n">
        <v>1907658</v>
      </c>
      <c r="AD169" s="21">
        <f>O169-Y169</f>
        <v/>
      </c>
      <c r="AE169" s="21">
        <f>P169-X169</f>
        <v/>
      </c>
      <c r="AF169" s="21">
        <f>IF(Q169="","",Q169-Z169)</f>
        <v/>
      </c>
      <c r="AG169" s="22">
        <f>AC169+AD169+AE169+N(AF169)</f>
        <v/>
      </c>
      <c r="AH169" s="11" t="n">
        <v>2425221.212</v>
      </c>
      <c r="AI169" s="24">
        <f>AG169-AH169</f>
        <v/>
      </c>
      <c r="AJ169" s="14">
        <f>IF(OR(B169="",B169=0,N169=""),"",N169/B169*10000)</f>
        <v/>
      </c>
      <c r="AK169" s="14">
        <f>IF(OR(C169="",C169=0),"",O169/C169*10000)</f>
        <v/>
      </c>
      <c r="AL169" s="14">
        <f>IF(OR(D169="",D169=0),"",P169/D169*10000)</f>
        <v/>
      </c>
      <c r="AM169" s="14">
        <f>IF(OR(E169="",E169=0),"",Q169/E169*10000)</f>
        <v/>
      </c>
      <c r="AN169" s="11" t="n">
        <v>3780.991407699239</v>
      </c>
      <c r="AO169" s="11" t="n">
        <v>48946.75</v>
      </c>
      <c r="AP169" s="21">
        <f>AH169+AN169+AO169</f>
        <v/>
      </c>
      <c r="AQ169" s="21">
        <f>AH169</f>
        <v/>
      </c>
      <c r="AR169" s="15" t="n">
        <v>96039.05</v>
      </c>
      <c r="AS169" s="27" t="n">
        <v>25.252449</v>
      </c>
      <c r="AT169" s="15" t="n">
        <v>22387167.52</v>
      </c>
      <c r="AU169" s="15" t="n">
        <v>26379.0101</v>
      </c>
      <c r="AV169" s="15" t="n">
        <v>998.4329</v>
      </c>
      <c r="AW169" s="15" t="n"/>
      <c r="AX169" s="16" t="n">
        <v>422.5618941096813</v>
      </c>
      <c r="AY169" s="13">
        <f>IF(OR(AX169="",AX169=0,AU169=""),"",AU169*365/(AX169*1000000))</f>
        <v/>
      </c>
      <c r="AZ169" s="15" t="n">
        <v>424477832.0351</v>
      </c>
      <c r="BA169" s="17" t="n">
        <v>60487233</v>
      </c>
      <c r="BB169" s="18" t="n">
        <v>22387167.52</v>
      </c>
      <c r="BC169" s="17" t="n">
        <v>2971663</v>
      </c>
      <c r="BD169" s="17">
        <f>1000000000-999767838.4754+8459.0731</f>
        <v/>
      </c>
      <c r="BE169" s="19">
        <f>1000000000-AZ169-BA169-BB169-BC169-BD169</f>
        <v/>
      </c>
      <c r="BF169" s="20" t="n">
        <v>238</v>
      </c>
      <c r="BG169" s="20">
        <f>BE169/1000000-BF169</f>
        <v/>
      </c>
      <c r="BH169" s="21">
        <f>BE169*25.68</f>
        <v/>
      </c>
    </row>
    <row r="170">
      <c r="A170" s="10" t="n">
        <v>45792</v>
      </c>
      <c r="B170" s="11" t="n">
        <v>7691386939</v>
      </c>
      <c r="C170" s="11" t="n"/>
      <c r="D170" s="12" t="n">
        <v>176738006</v>
      </c>
      <c r="E170" s="11" t="n"/>
      <c r="N170" s="12" t="n">
        <v>2167830</v>
      </c>
      <c r="O170" s="11" t="n"/>
      <c r="P170" s="12" t="n">
        <v>36989</v>
      </c>
      <c r="Q170" s="11" t="n"/>
      <c r="R170" s="21">
        <f>N170+O170+P170+N(Q170)</f>
        <v/>
      </c>
      <c r="S170" s="13" t="n">
        <v>0.03</v>
      </c>
      <c r="T170" s="21">
        <f>N(AC170)*S170</f>
        <v/>
      </c>
      <c r="U170" s="21">
        <f>N(AD170)*S170</f>
        <v/>
      </c>
      <c r="V170" s="21">
        <f>N(AE170)*S170</f>
        <v/>
      </c>
      <c r="W170" s="21">
        <f>IF(Q170="","",N(AF170)*S170)</f>
        <v/>
      </c>
      <c r="X170" s="12" t="n">
        <v>7272</v>
      </c>
      <c r="Y170" s="11" t="n"/>
      <c r="Z170" s="11" t="n"/>
      <c r="AA170" s="21">
        <f>T170+U170+V170+N(W170)+X170+Y170+N(Z170)</f>
        <v/>
      </c>
      <c r="AB170" s="11" t="n"/>
      <c r="AC170" s="12" t="n">
        <v>2102795</v>
      </c>
      <c r="AD170" s="21">
        <f>O170-Y170</f>
        <v/>
      </c>
      <c r="AE170" s="21">
        <f>P170-X170</f>
        <v/>
      </c>
      <c r="AF170" s="21">
        <f>IF(Q170="","",Q170-Z170)</f>
        <v/>
      </c>
      <c r="AG170" s="22">
        <f>AC170+AD170+AE170+N(AF170)</f>
        <v/>
      </c>
      <c r="AH170" s="11" t="n">
        <v>1824984.348</v>
      </c>
      <c r="AI170" s="24">
        <f>AG170-AH170</f>
        <v/>
      </c>
      <c r="AJ170" s="14">
        <f>IF(OR(B170="",B170=0,N170=""),"",N170/B170*10000)</f>
        <v/>
      </c>
      <c r="AK170" s="14">
        <f>IF(OR(C170="",C170=0),"",O170/C170*10000)</f>
        <v/>
      </c>
      <c r="AL170" s="14">
        <f>IF(OR(D170="",D170=0),"",P170/D170*10000)</f>
        <v/>
      </c>
      <c r="AM170" s="14">
        <f>IF(OR(E170="",E170=0),"",Q170/E170*10000)</f>
        <v/>
      </c>
      <c r="AN170" s="11" t="n">
        <v>5271.275731880181</v>
      </c>
      <c r="AO170" s="11" t="n">
        <v>0</v>
      </c>
      <c r="AP170" s="21">
        <f>AH170+AN170+AO170</f>
        <v/>
      </c>
      <c r="AQ170" s="21">
        <f>AH170</f>
        <v/>
      </c>
      <c r="AR170" s="15" t="n">
        <v>72382.53</v>
      </c>
      <c r="AS170" s="27" t="n">
        <v>25.21305</v>
      </c>
      <c r="AT170" s="15" t="n">
        <v>22459550.05</v>
      </c>
      <c r="AU170" s="15" t="n">
        <v>26336.2435</v>
      </c>
      <c r="AV170" s="15" t="n">
        <v>667.6346</v>
      </c>
      <c r="AW170" s="15" t="n"/>
      <c r="AX170" s="16" t="n">
        <v>423.198258679533</v>
      </c>
      <c r="AY170" s="13">
        <f>IF(OR(AX170="",AX170=0,AU170=""),"",AU170*365/(AX170*1000000))</f>
        <v/>
      </c>
      <c r="AZ170" s="15" t="n">
        <v>424451495.7916</v>
      </c>
      <c r="BA170" s="17" t="n">
        <v>60487233</v>
      </c>
      <c r="BB170" s="18" t="n">
        <v>22459550.05</v>
      </c>
      <c r="BC170" s="17" t="n">
        <v>2971663</v>
      </c>
      <c r="BD170" s="17">
        <f>1000000000-999767170.8407+8666.7181</f>
        <v/>
      </c>
      <c r="BE170" s="19">
        <f>1000000000-AZ170-BA170-BB170-BC170-BD170</f>
        <v/>
      </c>
      <c r="BF170" s="20" t="n">
        <v>238</v>
      </c>
      <c r="BG170" s="20">
        <f>BE170/1000000-BF170</f>
        <v/>
      </c>
      <c r="BH170" s="21">
        <f>BE170*25.28</f>
        <v/>
      </c>
    </row>
    <row r="171">
      <c r="A171" s="10" t="n">
        <v>45793</v>
      </c>
      <c r="B171" s="11" t="n">
        <v>6286215709</v>
      </c>
      <c r="C171" s="11" t="n"/>
      <c r="D171" s="12" t="n">
        <v>226665977</v>
      </c>
      <c r="E171" s="11" t="n"/>
      <c r="N171" s="12" t="n">
        <v>1682779</v>
      </c>
      <c r="O171" s="11" t="n"/>
      <c r="P171" s="12" t="n">
        <v>52053</v>
      </c>
      <c r="Q171" s="11" t="n"/>
      <c r="R171" s="21">
        <f>N171+O171+P171+N(Q171)</f>
        <v/>
      </c>
      <c r="S171" s="13" t="n">
        <v>0.03</v>
      </c>
      <c r="T171" s="21">
        <f>N(AC171)*S171</f>
        <v/>
      </c>
      <c r="U171" s="21">
        <f>N(AD171)*S171</f>
        <v/>
      </c>
      <c r="V171" s="21">
        <f>N(AE171)*S171</f>
        <v/>
      </c>
      <c r="W171" s="21">
        <f>IF(Q171="","",N(AF171)*S171)</f>
        <v/>
      </c>
      <c r="X171" s="12" t="n">
        <v>6599</v>
      </c>
      <c r="Y171" s="11" t="n"/>
      <c r="Z171" s="11" t="n"/>
      <c r="AA171" s="21">
        <f>T171+U171+V171+N(W171)+X171+Y171+N(Z171)</f>
        <v/>
      </c>
      <c r="AB171" s="11" t="n"/>
      <c r="AC171" s="12" t="n">
        <v>1632295</v>
      </c>
      <c r="AD171" s="21">
        <f>O171-Y171</f>
        <v/>
      </c>
      <c r="AE171" s="21">
        <f>P171-X171</f>
        <v/>
      </c>
      <c r="AF171" s="21">
        <f>IF(Q171="","",Q171-Z171)</f>
        <v/>
      </c>
      <c r="AG171" s="22">
        <f>AC171+AD171+AE171+N(AF171)</f>
        <v/>
      </c>
      <c r="AH171" s="11" t="n">
        <v>2316472.826</v>
      </c>
      <c r="AI171" s="24">
        <f>AG171-AH171</f>
        <v/>
      </c>
      <c r="AJ171" s="14">
        <f>IF(OR(B171="",B171=0,N171=""),"",N171/B171*10000)</f>
        <v/>
      </c>
      <c r="AK171" s="14">
        <f>IF(OR(C171="",C171=0),"",O171/C171*10000)</f>
        <v/>
      </c>
      <c r="AL171" s="14">
        <f>IF(OR(D171="",D171=0),"",P171/D171*10000)</f>
        <v/>
      </c>
      <c r="AM171" s="14">
        <f>IF(OR(E171="",E171=0),"",Q171/E171*10000)</f>
        <v/>
      </c>
      <c r="AN171" s="11" t="n">
        <v>4550.524200601109</v>
      </c>
      <c r="AO171" s="11" t="n">
        <v>39703.06</v>
      </c>
      <c r="AP171" s="21">
        <f>AH171+AN171+AO171</f>
        <v/>
      </c>
      <c r="AQ171" s="21">
        <f>AH171</f>
        <v/>
      </c>
      <c r="AR171" s="15" t="n">
        <v>84745.06</v>
      </c>
      <c r="AS171" s="27" t="n">
        <v>27.334606</v>
      </c>
      <c r="AT171" s="15" t="n">
        <v>22544295.11</v>
      </c>
      <c r="AU171" s="15" t="n">
        <v>26356.8899</v>
      </c>
      <c r="AV171" s="15" t="n">
        <v>821.8124</v>
      </c>
      <c r="AW171" s="15" t="n"/>
      <c r="AX171" s="16" t="n">
        <v>423.0817423385894</v>
      </c>
      <c r="AY171" s="13">
        <f>IF(OR(AX171="",AX171=0,AU171=""),"",AU171*365/(AX171*1000000))</f>
        <v/>
      </c>
      <c r="AZ171" s="15" t="n">
        <v>424425138.9016</v>
      </c>
      <c r="BA171" s="17" t="n">
        <v>60487233</v>
      </c>
      <c r="BB171" s="18" t="n">
        <v>22544295.11</v>
      </c>
      <c r="BC171" s="17" t="n">
        <v>2971663</v>
      </c>
      <c r="BD171" s="17">
        <f>1000000000-999766349.0283+8839.7090</f>
        <v/>
      </c>
      <c r="BE171" s="19">
        <f>1000000000-AZ171-BA171-BB171-BC171-BD171</f>
        <v/>
      </c>
      <c r="BF171" s="20" t="n">
        <v>238</v>
      </c>
      <c r="BG171" s="20">
        <f>BE171/1000000-BF171</f>
        <v/>
      </c>
      <c r="BH171" s="21">
        <f>BE171*26.26</f>
        <v/>
      </c>
    </row>
    <row r="172">
      <c r="A172" s="10" t="n">
        <v>45794</v>
      </c>
      <c r="B172" s="11" t="n">
        <v>4365168405</v>
      </c>
      <c r="C172" s="11" t="n"/>
      <c r="D172" s="12" t="n">
        <v>181177333</v>
      </c>
      <c r="E172" s="11" t="n"/>
      <c r="N172" s="12" t="n">
        <v>1196868</v>
      </c>
      <c r="O172" s="11" t="n"/>
      <c r="P172" s="12" t="n">
        <v>44633</v>
      </c>
      <c r="Q172" s="11" t="n"/>
      <c r="R172" s="21">
        <f>N172+O172+P172+N(Q172)</f>
        <v/>
      </c>
      <c r="S172" s="13" t="n">
        <v>0.03</v>
      </c>
      <c r="T172" s="21">
        <f>N(AC172)*S172</f>
        <v/>
      </c>
      <c r="U172" s="21">
        <f>N(AD172)*S172</f>
        <v/>
      </c>
      <c r="V172" s="21">
        <f>N(AE172)*S172</f>
        <v/>
      </c>
      <c r="W172" s="21">
        <f>IF(Q172="","",N(AF172)*S172)</f>
        <v/>
      </c>
      <c r="X172" s="12" t="n">
        <v>7671</v>
      </c>
      <c r="Y172" s="11" t="n"/>
      <c r="Z172" s="11" t="n"/>
      <c r="AA172" s="21">
        <f>T172+U172+V172+N(W172)+X172+Y172+N(Z172)</f>
        <v/>
      </c>
      <c r="AB172" s="11" t="n"/>
      <c r="AC172" s="12" t="n">
        <v>1160962</v>
      </c>
      <c r="AD172" s="21">
        <f>O172-Y172</f>
        <v/>
      </c>
      <c r="AE172" s="21">
        <f>P172-X172</f>
        <v/>
      </c>
      <c r="AF172" s="21">
        <f>IF(Q172="","",Q172-Z172)</f>
        <v/>
      </c>
      <c r="AG172" s="22">
        <f>AC172+AD172+AE172+N(AF172)</f>
        <v/>
      </c>
      <c r="AH172" s="11" t="n">
        <v>1800311.971</v>
      </c>
      <c r="AI172" s="24">
        <f>AG172-AH172</f>
        <v/>
      </c>
      <c r="AJ172" s="14">
        <f>IF(OR(B172="",B172=0,N172=""),"",N172/B172*10000)</f>
        <v/>
      </c>
      <c r="AK172" s="14">
        <f>IF(OR(C172="",C172=0),"",O172/C172*10000)</f>
        <v/>
      </c>
      <c r="AL172" s="14">
        <f>IF(OR(D172="",D172=0),"",P172/D172*10000)</f>
        <v/>
      </c>
      <c r="AM172" s="14">
        <f>IF(OR(E172="",E172=0),"",Q172/E172*10000)</f>
        <v/>
      </c>
      <c r="AN172" s="11" t="n">
        <v>2661.971748629783</v>
      </c>
      <c r="AO172" s="11" t="n">
        <v>22540.86</v>
      </c>
      <c r="AP172" s="21">
        <f>AH172+AN172+AO172</f>
        <v/>
      </c>
      <c r="AQ172" s="21">
        <f>AH172</f>
        <v/>
      </c>
      <c r="AR172" s="15" t="n">
        <v>69880.88</v>
      </c>
      <c r="AS172" s="27" t="n">
        <v>25.762583</v>
      </c>
      <c r="AT172" s="15" t="n">
        <v>22614175.99</v>
      </c>
      <c r="AU172" s="15" t="n">
        <v>26319.8402</v>
      </c>
      <c r="AV172" s="15" t="n">
        <v>1419.0542</v>
      </c>
      <c r="AW172" s="15" t="n"/>
      <c r="AX172" s="16" t="n">
        <v>422.9417041681631</v>
      </c>
      <c r="AY172" s="13">
        <f>IF(OR(AX172="",AX172=0,AU172=""),"",AU172*365/(AX172*1000000))</f>
        <v/>
      </c>
      <c r="AZ172" s="15" t="n">
        <v>424398819.0614</v>
      </c>
      <c r="BA172" s="17" t="n">
        <v>60487233</v>
      </c>
      <c r="BB172" s="18" t="n">
        <v>22614175.99</v>
      </c>
      <c r="BC172" s="17" t="n">
        <v>2971663</v>
      </c>
      <c r="BD172" s="17">
        <f>1000000000-999764929.9741+8939.8132</f>
        <v/>
      </c>
      <c r="BE172" s="19">
        <f>1000000000-AZ172-BA172-BB172-BC172-BD172</f>
        <v/>
      </c>
      <c r="BF172" s="20" t="n">
        <v>238</v>
      </c>
      <c r="BG172" s="20">
        <f>BE172/1000000-BF172</f>
        <v/>
      </c>
      <c r="BH172" s="21">
        <f>BE172*26.74</f>
        <v/>
      </c>
    </row>
    <row r="173">
      <c r="A173" s="10" t="n">
        <v>45795</v>
      </c>
      <c r="B173" s="11" t="n">
        <v>7314944825</v>
      </c>
      <c r="C173" s="11" t="n"/>
      <c r="D173" s="12" t="n">
        <v>194262020</v>
      </c>
      <c r="E173" s="11" t="n"/>
      <c r="N173" s="12" t="n">
        <v>2006672</v>
      </c>
      <c r="O173" s="11" t="n"/>
      <c r="P173" s="12" t="n">
        <v>40738</v>
      </c>
      <c r="Q173" s="11" t="n"/>
      <c r="R173" s="21">
        <f>N173+O173+P173+N(Q173)</f>
        <v/>
      </c>
      <c r="S173" s="13" t="n">
        <v>0.03</v>
      </c>
      <c r="T173" s="21">
        <f>N(AC173)*S173</f>
        <v/>
      </c>
      <c r="U173" s="21">
        <f>N(AD173)*S173</f>
        <v/>
      </c>
      <c r="V173" s="21">
        <f>N(AE173)*S173</f>
        <v/>
      </c>
      <c r="W173" s="21">
        <f>IF(Q173="","",N(AF173)*S173)</f>
        <v/>
      </c>
      <c r="X173" s="12" t="n">
        <v>11921</v>
      </c>
      <c r="Y173" s="11" t="n"/>
      <c r="Z173" s="11" t="n"/>
      <c r="AA173" s="21">
        <f>T173+U173+V173+N(W173)+X173+Y173+N(Z173)</f>
        <v/>
      </c>
      <c r="AB173" s="11" t="n"/>
      <c r="AC173" s="12" t="n">
        <v>1946472</v>
      </c>
      <c r="AD173" s="21">
        <f>O173-Y173</f>
        <v/>
      </c>
      <c r="AE173" s="21">
        <f>P173-X173</f>
        <v/>
      </c>
      <c r="AF173" s="21">
        <f>IF(Q173="","",Q173-Z173)</f>
        <v/>
      </c>
      <c r="AG173" s="22">
        <f>AC173+AD173+AE173+N(AF173)</f>
        <v/>
      </c>
      <c r="AH173" s="11" t="n">
        <v>915170.6442</v>
      </c>
      <c r="AI173" s="24">
        <f>AG173-AH173</f>
        <v/>
      </c>
      <c r="AJ173" s="14">
        <f>IF(OR(B173="",B173=0,N173=""),"",N173/B173*10000)</f>
        <v/>
      </c>
      <c r="AK173" s="14">
        <f>IF(OR(C173="",C173=0),"",O173/C173*10000)</f>
        <v/>
      </c>
      <c r="AL173" s="14">
        <f>IF(OR(D173="",D173=0),"",P173/D173*10000)</f>
        <v/>
      </c>
      <c r="AM173" s="14">
        <f>IF(OR(E173="",E173=0),"",Q173/E173*10000)</f>
        <v/>
      </c>
      <c r="AN173" s="11" t="n">
        <v>1944.374945875696</v>
      </c>
      <c r="AO173" s="11" t="n">
        <v>23849.95</v>
      </c>
      <c r="AP173" s="21">
        <f>AH173+AN173+AO173</f>
        <v/>
      </c>
      <c r="AQ173" s="21">
        <f>AH173</f>
        <v/>
      </c>
      <c r="AR173" s="15" t="n">
        <v>34506.07</v>
      </c>
      <c r="AS173" s="27" t="n">
        <v>26.522019</v>
      </c>
      <c r="AT173" s="15" t="n">
        <v>22648682.06</v>
      </c>
      <c r="AU173" s="15" t="n">
        <v>26317.2146</v>
      </c>
      <c r="AV173" s="15" t="n">
        <v>991.9164</v>
      </c>
      <c r="AW173" s="15" t="n"/>
      <c r="AX173" s="16" t="n">
        <v>423.0620345833693</v>
      </c>
      <c r="AY173" s="13">
        <f>IF(OR(AX173="",AX173=0,AU173=""),"",AU173*365/(AX173*1000000))</f>
        <v/>
      </c>
      <c r="AZ173" s="15" t="n">
        <v>424372501.8468</v>
      </c>
      <c r="BA173" s="17" t="n">
        <v>60487233</v>
      </c>
      <c r="BB173" s="18" t="n">
        <v>22648682.06</v>
      </c>
      <c r="BC173" s="17" t="n">
        <v>2971663</v>
      </c>
      <c r="BD173" s="17">
        <f>1000000000-999763938.0577+9014.7843</f>
        <v/>
      </c>
      <c r="BE173" s="19">
        <f>1000000000-AZ173-BA173-BB173-BC173-BD173</f>
        <v/>
      </c>
      <c r="BF173" s="20" t="n">
        <v>238</v>
      </c>
      <c r="BG173" s="20">
        <f>BE173/1000000-BF173</f>
        <v/>
      </c>
      <c r="BH173" s="21">
        <f>BE173*26</f>
        <v/>
      </c>
    </row>
    <row r="174">
      <c r="A174" s="10" t="n">
        <v>45796</v>
      </c>
      <c r="B174" s="11" t="n">
        <v>9535736914</v>
      </c>
      <c r="C174" s="11" t="n"/>
      <c r="D174" s="12" t="n">
        <v>233389144</v>
      </c>
      <c r="E174" s="11" t="n"/>
      <c r="N174" s="12" t="n">
        <v>2702020</v>
      </c>
      <c r="O174" s="11" t="n"/>
      <c r="P174" s="12" t="n">
        <v>51328</v>
      </c>
      <c r="Q174" s="11" t="n"/>
      <c r="R174" s="21">
        <f>N174+O174+P174+N(Q174)</f>
        <v/>
      </c>
      <c r="S174" s="13" t="n">
        <v>0.03</v>
      </c>
      <c r="T174" s="21">
        <f>N(AC174)*S174</f>
        <v/>
      </c>
      <c r="U174" s="21">
        <f>N(AD174)*S174</f>
        <v/>
      </c>
      <c r="V174" s="21">
        <f>N(AE174)*S174</f>
        <v/>
      </c>
      <c r="W174" s="21">
        <f>IF(Q174="","",N(AF174)*S174)</f>
        <v/>
      </c>
      <c r="X174" s="12" t="n">
        <v>20231</v>
      </c>
      <c r="Y174" s="11" t="n"/>
      <c r="Z174" s="11" t="n"/>
      <c r="AA174" s="21">
        <f>T174+U174+V174+N(W174)+X174+Y174+N(Z174)</f>
        <v/>
      </c>
      <c r="AB174" s="11" t="n"/>
      <c r="AC174" s="12" t="n">
        <v>2620959</v>
      </c>
      <c r="AD174" s="21">
        <f>O174-Y174</f>
        <v/>
      </c>
      <c r="AE174" s="21">
        <f>P174-X174</f>
        <v/>
      </c>
      <c r="AF174" s="21">
        <f>IF(Q174="","",Q174-Z174)</f>
        <v/>
      </c>
      <c r="AG174" s="22">
        <f>AC174+AD174+AE174+N(AF174)</f>
        <v/>
      </c>
      <c r="AH174" s="11" t="n">
        <v>3021657.469</v>
      </c>
      <c r="AI174" s="24">
        <f>AG174-AH174</f>
        <v/>
      </c>
      <c r="AJ174" s="14">
        <f>IF(OR(B174="",B174=0,N174=""),"",N174/B174*10000)</f>
        <v/>
      </c>
      <c r="AK174" s="14">
        <f>IF(OR(C174="",C174=0),"",O174/C174*10000)</f>
        <v/>
      </c>
      <c r="AL174" s="14">
        <f>IF(OR(D174="",D174=0),"",P174/D174*10000)</f>
        <v/>
      </c>
      <c r="AM174" s="14">
        <f>IF(OR(E174="",E174=0),"",Q174/E174*10000)</f>
        <v/>
      </c>
      <c r="AN174" s="11" t="n">
        <v>2016.679964120407</v>
      </c>
      <c r="AO174" s="11" t="n">
        <v>0</v>
      </c>
      <c r="AP174" s="21">
        <f>AH174+AN174+AO174</f>
        <v/>
      </c>
      <c r="AQ174" s="21">
        <f>AH174</f>
        <v/>
      </c>
      <c r="AR174" s="15" t="n">
        <v>116816.87</v>
      </c>
      <c r="AS174" s="27" t="n">
        <v>25.866619</v>
      </c>
      <c r="AT174" s="15" t="n">
        <v>22765498.93</v>
      </c>
      <c r="AU174" s="15" t="n">
        <v>26301.7686</v>
      </c>
      <c r="AV174" s="15" t="n">
        <v>844.6677</v>
      </c>
      <c r="AW174" s="15" t="n"/>
      <c r="AX174" s="16" t="n">
        <v>423.1255257467434</v>
      </c>
      <c r="AY174" s="13">
        <f>IF(OR(AX174="",AX174=0,AU174=""),"",AU174*365/(AX174*1000000))</f>
        <v/>
      </c>
      <c r="AZ174" s="15" t="n">
        <v>424346200.0782</v>
      </c>
      <c r="BA174" s="17" t="n">
        <v>60487233</v>
      </c>
      <c r="BB174" s="18" t="n">
        <v>22765498.93</v>
      </c>
      <c r="BC174" s="17" t="n">
        <v>2971663</v>
      </c>
      <c r="BD174" s="17">
        <f>1000000000-999763093.39+9090.1263</f>
        <v/>
      </c>
      <c r="BE174" s="19">
        <f>1000000000-AZ174-BA174-BB174-BC174-BD174</f>
        <v/>
      </c>
      <c r="BF174" s="20" t="n">
        <v>238</v>
      </c>
      <c r="BG174" s="20">
        <f>BE174/1000000-BF174</f>
        <v/>
      </c>
      <c r="BH174" s="21">
        <f>BE174*27.07</f>
        <v/>
      </c>
    </row>
    <row r="175">
      <c r="A175" s="10" t="n">
        <v>45797</v>
      </c>
      <c r="B175" s="11" t="n">
        <v>11112341692</v>
      </c>
      <c r="C175" s="11" t="n"/>
      <c r="D175" s="12" t="n">
        <v>186962465</v>
      </c>
      <c r="E175" s="11" t="n"/>
      <c r="N175" s="12" t="n">
        <v>3114844</v>
      </c>
      <c r="O175" s="11" t="n"/>
      <c r="P175" s="12" t="n">
        <v>43659</v>
      </c>
      <c r="Q175" s="11" t="n"/>
      <c r="R175" s="21">
        <f>N175+O175+P175+N(Q175)</f>
        <v/>
      </c>
      <c r="S175" s="13" t="n">
        <v>0.03</v>
      </c>
      <c r="T175" s="21">
        <f>N(AC175)*S175</f>
        <v/>
      </c>
      <c r="U175" s="21">
        <f>N(AD175)*S175</f>
        <v/>
      </c>
      <c r="V175" s="21">
        <f>N(AE175)*S175</f>
        <v/>
      </c>
      <c r="W175" s="21">
        <f>IF(Q175="","",N(AF175)*S175)</f>
        <v/>
      </c>
      <c r="X175" s="12" t="n">
        <v>12914</v>
      </c>
      <c r="Y175" s="11" t="n"/>
      <c r="Z175" s="11" t="n"/>
      <c r="AA175" s="21">
        <f>T175+U175+V175+N(W175)+X175+Y175+N(Z175)</f>
        <v/>
      </c>
      <c r="AB175" s="11" t="n"/>
      <c r="AC175" s="12" t="n">
        <v>3021398</v>
      </c>
      <c r="AD175" s="21">
        <f>O175-Y175</f>
        <v/>
      </c>
      <c r="AE175" s="21">
        <f>P175-X175</f>
        <v/>
      </c>
      <c r="AF175" s="21">
        <f>IF(Q175="","",Q175-Z175)</f>
        <v/>
      </c>
      <c r="AG175" s="22">
        <f>AC175+AD175+AE175+N(AF175)</f>
        <v/>
      </c>
      <c r="AH175" s="11" t="n">
        <v>2335473.216</v>
      </c>
      <c r="AI175" s="24">
        <f>AG175-AH175</f>
        <v/>
      </c>
      <c r="AJ175" s="14">
        <f>IF(OR(B175="",B175=0,N175=""),"",N175/B175*10000)</f>
        <v/>
      </c>
      <c r="AK175" s="14">
        <f>IF(OR(C175="",C175=0),"",O175/C175*10000)</f>
        <v/>
      </c>
      <c r="AL175" s="14">
        <f>IF(OR(D175="",D175=0),"",P175/D175*10000)</f>
        <v/>
      </c>
      <c r="AM175" s="14">
        <f>IF(OR(E175="",E175=0),"",Q175/E175*10000)</f>
        <v/>
      </c>
      <c r="AN175" s="11" t="n">
        <v>1665.285350590203</v>
      </c>
      <c r="AO175" s="11" t="n">
        <v>18725</v>
      </c>
      <c r="AP175" s="21">
        <f>AH175+AN175+AO175</f>
        <v/>
      </c>
      <c r="AQ175" s="21">
        <f>AH175</f>
        <v/>
      </c>
      <c r="AR175" s="15" t="n">
        <v>90221.34</v>
      </c>
      <c r="AS175" s="27" t="n">
        <v>25.88604</v>
      </c>
      <c r="AT175" s="15" t="n">
        <v>22855720.27</v>
      </c>
      <c r="AU175" s="15" t="n">
        <v>26318.4723</v>
      </c>
      <c r="AV175" s="15" t="n">
        <v>1017.3268</v>
      </c>
      <c r="AW175" s="15" t="n"/>
      <c r="AX175" s="16" t="n">
        <v>423.1838016746044</v>
      </c>
      <c r="AY175" s="13">
        <f>IF(OR(AX175="",AX175=0,AU175=""),"",AU175*365/(AX175*1000000))</f>
        <v/>
      </c>
      <c r="AZ175" s="15" t="n">
        <v>424319881.606</v>
      </c>
      <c r="BA175" s="17" t="n">
        <v>60487233</v>
      </c>
      <c r="BB175" s="18" t="n">
        <v>22855720.27</v>
      </c>
      <c r="BC175" s="17" t="n">
        <v>2971663</v>
      </c>
      <c r="BD175" s="17">
        <f>1000000000-999762076.0632+9153.1075</f>
        <v/>
      </c>
      <c r="BE175" s="19">
        <f>1000000000-AZ175-BA175-BB175-BC175-BD175</f>
        <v/>
      </c>
      <c r="BF175" s="20" t="n">
        <v>238</v>
      </c>
      <c r="BG175" s="20">
        <f>BE175/1000000-BF175</f>
        <v/>
      </c>
      <c r="BH175" s="21">
        <f>BE175*26.64</f>
        <v/>
      </c>
    </row>
    <row r="176">
      <c r="A176" s="10" t="n">
        <v>45798</v>
      </c>
      <c r="B176" s="11" t="n">
        <v>17607432133</v>
      </c>
      <c r="C176" s="11" t="n"/>
      <c r="D176" s="12" t="n">
        <v>311374949</v>
      </c>
      <c r="E176" s="11" t="n"/>
      <c r="N176" s="12" t="n">
        <v>4852801</v>
      </c>
      <c r="O176" s="11" t="n"/>
      <c r="P176" s="12" t="n">
        <v>70408</v>
      </c>
      <c r="Q176" s="11" t="n"/>
      <c r="R176" s="21">
        <f>N176+O176+P176+N(Q176)</f>
        <v/>
      </c>
      <c r="S176" s="13" t="n">
        <v>0.03</v>
      </c>
      <c r="T176" s="21">
        <f>N(AC176)*S176</f>
        <v/>
      </c>
      <c r="U176" s="21">
        <f>N(AD176)*S176</f>
        <v/>
      </c>
      <c r="V176" s="21">
        <f>N(AE176)*S176</f>
        <v/>
      </c>
      <c r="W176" s="21">
        <f>IF(Q176="","",N(AF176)*S176)</f>
        <v/>
      </c>
      <c r="X176" s="12" t="n">
        <v>22032</v>
      </c>
      <c r="Y176" s="11" t="n"/>
      <c r="Z176" s="11" t="n"/>
      <c r="AA176" s="21">
        <f>T176+U176+V176+N(W176)+X176+Y176+N(Z176)</f>
        <v/>
      </c>
      <c r="AB176" s="11" t="n"/>
      <c r="AC176" s="12" t="n">
        <v>4707217</v>
      </c>
      <c r="AD176" s="21">
        <f>O176-Y176</f>
        <v/>
      </c>
      <c r="AE176" s="21">
        <f>P176-X176</f>
        <v/>
      </c>
      <c r="AF176" s="21">
        <f>IF(Q176="","",Q176-Z176)</f>
        <v/>
      </c>
      <c r="AG176" s="22">
        <f>AC176+AD176+AE176+N(AF176)</f>
        <v/>
      </c>
      <c r="AH176" s="11" t="n">
        <v>3243296.471</v>
      </c>
      <c r="AI176" s="24">
        <f>AG176-AH176</f>
        <v/>
      </c>
      <c r="AJ176" s="14">
        <f>IF(OR(B176="",B176=0,N176=""),"",N176/B176*10000)</f>
        <v/>
      </c>
      <c r="AK176" s="14">
        <f>IF(OR(C176="",C176=0),"",O176/C176*10000)</f>
        <v/>
      </c>
      <c r="AL176" s="14">
        <f>IF(OR(D176="",D176=0),"",P176/D176*10000)</f>
        <v/>
      </c>
      <c r="AM176" s="14">
        <f>IF(OR(E176="",E176=0),"",Q176/E176*10000)</f>
        <v/>
      </c>
      <c r="AN176" s="11" t="n">
        <v>2996.664644683042</v>
      </c>
      <c r="AO176" s="11" t="n">
        <v>18440.9</v>
      </c>
      <c r="AP176" s="21">
        <f>AH176+AN176+AO176</f>
        <v/>
      </c>
      <c r="AQ176" s="21">
        <f>AH176</f>
        <v/>
      </c>
      <c r="AR176" s="15" t="n">
        <v>117416.77</v>
      </c>
      <c r="AS176" s="27" t="n">
        <v>27.622089</v>
      </c>
      <c r="AT176" s="15" t="n">
        <v>22973137.04</v>
      </c>
      <c r="AU176" s="15" t="n">
        <v>26382.9301</v>
      </c>
      <c r="AV176" s="15" t="n">
        <v>742.3954</v>
      </c>
      <c r="AW176" s="15" t="n"/>
      <c r="AX176" s="16" t="n">
        <v>423.3858891490895</v>
      </c>
      <c r="AY176" s="13">
        <f>IF(OR(AX176="",AX176=0,AU176=""),"",AU176*365/(AX176*1000000))</f>
        <v/>
      </c>
      <c r="AZ176" s="15" t="n">
        <v>424293498.6758</v>
      </c>
      <c r="BA176" s="17" t="n">
        <v>60487233</v>
      </c>
      <c r="BB176" s="18" t="n">
        <v>22973137.04</v>
      </c>
      <c r="BC176" s="17" t="n">
        <v>2971663</v>
      </c>
      <c r="BD176" s="17">
        <f>1000000000-999761333.6679+9266.7984</f>
        <v/>
      </c>
      <c r="BE176" s="19">
        <f>1000000000-AZ176-BA176-BB176-BC176-BD176</f>
        <v/>
      </c>
      <c r="BF176" s="20" t="n">
        <v>238</v>
      </c>
      <c r="BG176" s="20">
        <f>BE176/1000000-BF176</f>
        <v/>
      </c>
      <c r="BH176" s="21">
        <f>BE176*26.46</f>
        <v/>
      </c>
    </row>
    <row r="177">
      <c r="A177" s="10" t="n">
        <v>45799</v>
      </c>
      <c r="B177" s="11" t="n">
        <v>11653389157</v>
      </c>
      <c r="C177" s="11" t="n"/>
      <c r="D177" s="12" t="n">
        <v>502129527</v>
      </c>
      <c r="E177" s="11" t="n"/>
      <c r="N177" s="12" t="n">
        <v>3268952</v>
      </c>
      <c r="O177" s="11" t="n"/>
      <c r="P177" s="12" t="n">
        <v>113648</v>
      </c>
      <c r="Q177" s="11" t="n"/>
      <c r="R177" s="21">
        <f>N177+O177+P177+N(Q177)</f>
        <v/>
      </c>
      <c r="S177" s="13" t="n">
        <v>0.03</v>
      </c>
      <c r="T177" s="21">
        <f>N(AC177)*S177</f>
        <v/>
      </c>
      <c r="U177" s="21">
        <f>N(AD177)*S177</f>
        <v/>
      </c>
      <c r="V177" s="21">
        <f>N(AE177)*S177</f>
        <v/>
      </c>
      <c r="W177" s="21">
        <f>IF(Q177="","",N(AF177)*S177)</f>
        <v/>
      </c>
      <c r="X177" s="12" t="n">
        <v>20208</v>
      </c>
      <c r="Y177" s="11" t="n"/>
      <c r="Z177" s="11" t="n"/>
      <c r="AA177" s="21">
        <f>T177+U177+V177+N(W177)+X177+Y177+N(Z177)</f>
        <v/>
      </c>
      <c r="AB177" s="11" t="n"/>
      <c r="AC177" s="12" t="n">
        <v>3170883</v>
      </c>
      <c r="AD177" s="21">
        <f>O177-Y177</f>
        <v/>
      </c>
      <c r="AE177" s="21">
        <f>P177-X177</f>
        <v/>
      </c>
      <c r="AF177" s="21">
        <f>IF(Q177="","",Q177-Z177)</f>
        <v/>
      </c>
      <c r="AG177" s="22">
        <f>AC177+AD177+AE177+N(AF177)</f>
        <v/>
      </c>
      <c r="AH177" s="11" t="n">
        <v>5872178.578</v>
      </c>
      <c r="AI177" s="24">
        <f>AG177-AH177</f>
        <v/>
      </c>
      <c r="AJ177" s="14">
        <f>IF(OR(B177="",B177=0,N177=""),"",N177/B177*10000)</f>
        <v/>
      </c>
      <c r="AK177" s="14">
        <f>IF(OR(C177="",C177=0),"",O177/C177*10000)</f>
        <v/>
      </c>
      <c r="AL177" s="14">
        <f>IF(OR(D177="",D177=0),"",P177/D177*10000)</f>
        <v/>
      </c>
      <c r="AM177" s="14">
        <f>IF(OR(E177="",E177=0),"",Q177/E177*10000)</f>
        <v/>
      </c>
      <c r="AN177" s="11" t="n">
        <v>35055.96777071234</v>
      </c>
      <c r="AO177" s="11" t="n">
        <v>23454.97</v>
      </c>
      <c r="AP177" s="21">
        <f>AH177+AN177+AO177</f>
        <v/>
      </c>
      <c r="AQ177" s="21">
        <f>AH177</f>
        <v/>
      </c>
      <c r="AR177" s="15" t="n">
        <v>183172.39</v>
      </c>
      <c r="AS177" s="27" t="n">
        <v>32.058208</v>
      </c>
      <c r="AT177" s="15" t="n">
        <v>23156309.43</v>
      </c>
      <c r="AU177" s="15" t="n">
        <v>26369.2575</v>
      </c>
      <c r="AV177" s="15" t="n">
        <v>1400.0976</v>
      </c>
      <c r="AW177" s="15" t="n"/>
      <c r="AX177" s="16" t="n">
        <v>422.337384499485</v>
      </c>
      <c r="AY177" s="13">
        <f>IF(OR(AX177="",AX177=0,AU177=""),"",AU177*365/(AX177*1000000))</f>
        <v/>
      </c>
      <c r="AZ177" s="15" t="n">
        <v>424267129.4183</v>
      </c>
      <c r="BA177" s="17" t="n">
        <v>60487233</v>
      </c>
      <c r="BB177" s="18" t="n">
        <v>23156309.43</v>
      </c>
      <c r="BC177" s="17" t="n">
        <v>2971663</v>
      </c>
      <c r="BD177" s="17">
        <f>1000000000-999759933.5702+10501.0331</f>
        <v/>
      </c>
      <c r="BE177" s="19">
        <f>1000000000-AZ177-BA177-BB177-BC177-BD177</f>
        <v/>
      </c>
      <c r="BF177" s="20" t="n">
        <v>238</v>
      </c>
      <c r="BG177" s="20">
        <f>BE177/1000000-BF177</f>
        <v/>
      </c>
      <c r="BH177" s="21">
        <f>BE177*28.24</f>
        <v/>
      </c>
    </row>
    <row r="178">
      <c r="A178" s="10" t="n">
        <v>45800</v>
      </c>
      <c r="B178" s="11" t="n">
        <v>13132043869</v>
      </c>
      <c r="C178" s="11" t="n"/>
      <c r="D178" s="12" t="n">
        <v>590232173</v>
      </c>
      <c r="E178" s="11" t="n"/>
      <c r="N178" s="12" t="n">
        <v>3676855</v>
      </c>
      <c r="O178" s="11" t="n"/>
      <c r="P178" s="12" t="n">
        <v>140903</v>
      </c>
      <c r="Q178" s="11" t="n"/>
      <c r="R178" s="21">
        <f>N178+O178+P178+N(Q178)</f>
        <v/>
      </c>
      <c r="S178" s="13" t="n">
        <v>0.03</v>
      </c>
      <c r="T178" s="21">
        <f>N(AC178)*S178</f>
        <v/>
      </c>
      <c r="U178" s="21">
        <f>N(AD178)*S178</f>
        <v/>
      </c>
      <c r="V178" s="21">
        <f>N(AE178)*S178</f>
        <v/>
      </c>
      <c r="W178" s="21">
        <f>IF(Q178="","",N(AF178)*S178)</f>
        <v/>
      </c>
      <c r="X178" s="12" t="n">
        <v>15895</v>
      </c>
      <c r="Y178" s="11" t="n"/>
      <c r="Z178" s="11" t="n"/>
      <c r="AA178" s="21">
        <f>T178+U178+V178+N(W178)+X178+Y178+N(Z178)</f>
        <v/>
      </c>
      <c r="AB178" s="11" t="n"/>
      <c r="AC178" s="12" t="n">
        <v>3566549</v>
      </c>
      <c r="AD178" s="21">
        <f>O178-Y178</f>
        <v/>
      </c>
      <c r="AE178" s="21">
        <f>P178-X178</f>
        <v/>
      </c>
      <c r="AF178" s="21">
        <f>IF(Q178="","",Q178-Z178)</f>
        <v/>
      </c>
      <c r="AG178" s="22">
        <f>AC178+AD178+AE178+N(AF178)</f>
        <v/>
      </c>
      <c r="AH178" s="11" t="n">
        <v>2858955.209</v>
      </c>
      <c r="AI178" s="24">
        <f>AG178-AH178</f>
        <v/>
      </c>
      <c r="AJ178" s="14">
        <f>IF(OR(B178="",B178=0,N178=""),"",N178/B178*10000)</f>
        <v/>
      </c>
      <c r="AK178" s="14">
        <f>IF(OR(C178="",C178=0),"",O178/C178*10000)</f>
        <v/>
      </c>
      <c r="AL178" s="14">
        <f>IF(OR(D178="",D178=0),"",P178/D178*10000)</f>
        <v/>
      </c>
      <c r="AM178" s="14">
        <f>IF(OR(E178="",E178=0),"",Q178/E178*10000)</f>
        <v/>
      </c>
      <c r="AN178" s="11" t="n">
        <v>129210.1306439126</v>
      </c>
      <c r="AO178" s="11" t="n">
        <v>0</v>
      </c>
      <c r="AP178" s="21">
        <f>AH178+AN178+AO178</f>
        <v/>
      </c>
      <c r="AQ178" s="21">
        <f>AH178</f>
        <v/>
      </c>
      <c r="AR178" s="15" t="n">
        <v>81894.82000000001</v>
      </c>
      <c r="AS178" s="27" t="n">
        <v>34.910086</v>
      </c>
      <c r="AT178" s="15" t="n">
        <v>23238204.25</v>
      </c>
      <c r="AU178" s="15" t="n">
        <v>26341.6338</v>
      </c>
      <c r="AV178" s="15" t="n">
        <v>2802.9091</v>
      </c>
      <c r="AW178" s="15" t="n"/>
      <c r="AX178" s="16" t="n">
        <v>421.6150879565313</v>
      </c>
      <c r="AY178" s="13">
        <f>IF(OR(AX178="",AX178=0,AU178=""),"",AU178*365/(AX178*1000000))</f>
        <v/>
      </c>
      <c r="AZ178" s="15" t="n">
        <v>424240787.7845</v>
      </c>
      <c r="BA178" s="17" t="n">
        <v>60487233</v>
      </c>
      <c r="BB178" s="18" t="n">
        <v>23238204.25</v>
      </c>
      <c r="BC178" s="17" t="n">
        <v>2971663</v>
      </c>
      <c r="BD178" s="17">
        <f>1000000000-999757130.6612+14408.0855</f>
        <v/>
      </c>
      <c r="BE178" s="19">
        <f>1000000000-AZ178-BA178-BB178-BC178-BD178</f>
        <v/>
      </c>
      <c r="BF178" s="20" t="n">
        <v>238</v>
      </c>
      <c r="BG178" s="20">
        <f>BE178/1000000-BF178</f>
        <v/>
      </c>
      <c r="BH178" s="21">
        <f>BE178*33.38</f>
        <v/>
      </c>
    </row>
    <row r="179">
      <c r="A179" s="10" t="n">
        <v>45801</v>
      </c>
      <c r="B179" s="11" t="n">
        <v>7439669344</v>
      </c>
      <c r="C179" s="11" t="n"/>
      <c r="D179" s="12" t="n">
        <v>306849568</v>
      </c>
      <c r="E179" s="11" t="n"/>
      <c r="N179" s="12" t="n">
        <v>1933516</v>
      </c>
      <c r="O179" s="11" t="n"/>
      <c r="P179" s="12" t="n">
        <v>63652</v>
      </c>
      <c r="Q179" s="11" t="n"/>
      <c r="R179" s="21">
        <f>N179+O179+P179+N(Q179)</f>
        <v/>
      </c>
      <c r="S179" s="13" t="n">
        <v>0.03</v>
      </c>
      <c r="T179" s="21">
        <f>N(AC179)*S179</f>
        <v/>
      </c>
      <c r="U179" s="21">
        <f>N(AD179)*S179</f>
        <v/>
      </c>
      <c r="V179" s="21">
        <f>N(AE179)*S179</f>
        <v/>
      </c>
      <c r="W179" s="21">
        <f>IF(Q179="","",N(AF179)*S179)</f>
        <v/>
      </c>
      <c r="X179" s="12" t="n">
        <v>7592</v>
      </c>
      <c r="Y179" s="11" t="n"/>
      <c r="Z179" s="11" t="n"/>
      <c r="AA179" s="21">
        <f>T179+U179+V179+N(W179)+X179+Y179+N(Z179)</f>
        <v/>
      </c>
      <c r="AB179" s="11" t="n"/>
      <c r="AC179" s="12" t="n">
        <v>1875511</v>
      </c>
      <c r="AD179" s="21">
        <f>O179-Y179</f>
        <v/>
      </c>
      <c r="AE179" s="21">
        <f>P179-X179</f>
        <v/>
      </c>
      <c r="AF179" s="21">
        <f>IF(Q179="","",Q179-Z179)</f>
        <v/>
      </c>
      <c r="AG179" s="22">
        <f>AC179+AD179+AE179+N(AF179)</f>
        <v/>
      </c>
      <c r="AH179" s="11" t="n">
        <v>3421583.678</v>
      </c>
      <c r="AI179" s="24">
        <f>AG179-AH179</f>
        <v/>
      </c>
      <c r="AJ179" s="14">
        <f>IF(OR(B179="",B179=0,N179=""),"",N179/B179*10000)</f>
        <v/>
      </c>
      <c r="AK179" s="14">
        <f>IF(OR(C179="",C179=0),"",O179/C179*10000)</f>
        <v/>
      </c>
      <c r="AL179" s="14">
        <f>IF(OR(D179="",D179=0),"",P179/D179*10000)</f>
        <v/>
      </c>
      <c r="AM179" s="14">
        <f>IF(OR(E179="",E179=0),"",Q179/E179*10000)</f>
        <v/>
      </c>
      <c r="AN179" s="11" t="n">
        <v>34424.35568569395</v>
      </c>
      <c r="AO179" s="11" t="n">
        <v>24967.89</v>
      </c>
      <c r="AP179" s="21">
        <f>AH179+AN179+AO179</f>
        <v/>
      </c>
      <c r="AQ179" s="21">
        <f>AH179</f>
        <v/>
      </c>
      <c r="AR179" s="15" t="n">
        <v>98770.75999999999</v>
      </c>
      <c r="AS179" s="27" t="n">
        <v>34.641666</v>
      </c>
      <c r="AT179" s="15" t="n">
        <v>23336975.01</v>
      </c>
      <c r="AU179" s="15" t="n">
        <v>26288.5976</v>
      </c>
      <c r="AV179" s="15" t="n">
        <v>2774.1488</v>
      </c>
      <c r="AW179" s="15" t="n"/>
      <c r="AX179" s="16" t="n">
        <v>419.8584605299555</v>
      </c>
      <c r="AY179" s="13">
        <f>IF(OR(AX179="",AX179=0,AU179=""),"",AU179*365/(AX179*1000000))</f>
        <v/>
      </c>
      <c r="AZ179" s="15" t="n">
        <v>424214499.1869</v>
      </c>
      <c r="BA179" s="17" t="n">
        <v>60487233</v>
      </c>
      <c r="BB179" s="18" t="n">
        <v>23336975.01</v>
      </c>
      <c r="BC179" s="17" t="n">
        <v>2971663</v>
      </c>
      <c r="BD179" s="17">
        <f>1000000000-999754356.5123+15463.0765</f>
        <v/>
      </c>
      <c r="BE179" s="19">
        <f>1000000000-AZ179-BA179-BB179-BC179-BD179</f>
        <v/>
      </c>
      <c r="BF179" s="20" t="n">
        <v>238</v>
      </c>
      <c r="BG179" s="20">
        <f>BE179/1000000-BF179</f>
        <v/>
      </c>
      <c r="BH179" s="21">
        <f>BE179*33.26</f>
        <v/>
      </c>
    </row>
    <row r="180">
      <c r="A180" s="10" t="n">
        <v>45802</v>
      </c>
      <c r="B180" s="11" t="n">
        <v>9377129710</v>
      </c>
      <c r="C180" s="11" t="n"/>
      <c r="D180" s="12" t="n">
        <v>424503231</v>
      </c>
      <c r="E180" s="11" t="n"/>
      <c r="N180" s="12" t="n">
        <v>2416707</v>
      </c>
      <c r="O180" s="11" t="n"/>
      <c r="P180" s="12" t="n">
        <v>93250</v>
      </c>
      <c r="Q180" s="11" t="n"/>
      <c r="R180" s="21">
        <f>N180+O180+P180+N(Q180)</f>
        <v/>
      </c>
      <c r="S180" s="13" t="n">
        <v>0.03</v>
      </c>
      <c r="T180" s="21">
        <f>N(AC180)*S180</f>
        <v/>
      </c>
      <c r="U180" s="21">
        <f>N(AD180)*S180</f>
        <v/>
      </c>
      <c r="V180" s="21">
        <f>N(AE180)*S180</f>
        <v/>
      </c>
      <c r="W180" s="21">
        <f>IF(Q180="","",N(AF180)*S180)</f>
        <v/>
      </c>
      <c r="X180" s="12" t="n">
        <v>12828</v>
      </c>
      <c r="Y180" s="11" t="n"/>
      <c r="Z180" s="11" t="n"/>
      <c r="AA180" s="21">
        <f>T180+U180+V180+N(W180)+X180+Y180+N(Z180)</f>
        <v/>
      </c>
      <c r="AB180" s="11" t="n"/>
      <c r="AC180" s="12" t="n">
        <v>2344206</v>
      </c>
      <c r="AD180" s="21">
        <f>O180-Y180</f>
        <v/>
      </c>
      <c r="AE180" s="21">
        <f>P180-X180</f>
        <v/>
      </c>
      <c r="AF180" s="21">
        <f>IF(Q180="","",Q180-Z180)</f>
        <v/>
      </c>
      <c r="AG180" s="22">
        <f>AC180+AD180+AE180+N(AF180)</f>
        <v/>
      </c>
      <c r="AH180" s="11" t="n">
        <v>2098890.136</v>
      </c>
      <c r="AI180" s="24">
        <f>AG180-AH180</f>
        <v/>
      </c>
      <c r="AJ180" s="14">
        <f>IF(OR(B180="",B180=0,N180=""),"",N180/B180*10000)</f>
        <v/>
      </c>
      <c r="AK180" s="14">
        <f>IF(OR(C180="",C180=0),"",O180/C180*10000)</f>
        <v/>
      </c>
      <c r="AL180" s="14">
        <f>IF(OR(D180="",D180=0),"",P180/D180*10000)</f>
        <v/>
      </c>
      <c r="AM180" s="14">
        <f>IF(OR(E180="",E180=0),"",Q180/E180*10000)</f>
        <v/>
      </c>
      <c r="AN180" s="11" t="n">
        <v>154666.157509478</v>
      </c>
      <c r="AO180" s="11" t="n">
        <v>28772.86</v>
      </c>
      <c r="AP180" s="21">
        <f>AH180+AN180+AO180</f>
        <v/>
      </c>
      <c r="AQ180" s="21">
        <f>AH180</f>
        <v/>
      </c>
      <c r="AR180" s="15" t="n">
        <v>55390.98</v>
      </c>
      <c r="AS180" s="27" t="n">
        <v>37.892273</v>
      </c>
      <c r="AT180" s="15" t="n">
        <v>23392365.99</v>
      </c>
      <c r="AU180" s="15" t="n">
        <v>26274.0281</v>
      </c>
      <c r="AV180" s="15" t="n">
        <v>1397.6446</v>
      </c>
      <c r="AW180" s="15" t="n"/>
      <c r="AX180" s="16" t="n">
        <v>419.8052590866124</v>
      </c>
      <c r="AY180" s="13">
        <f>IF(OR(AX180="",AX180=0,AU180=""),"",AU180*365/(AX180*1000000))</f>
        <v/>
      </c>
      <c r="AZ180" s="15" t="n">
        <v>424188225.1588</v>
      </c>
      <c r="BA180" s="17" t="n">
        <v>60487233</v>
      </c>
      <c r="BB180" s="18" t="n">
        <v>23392365.99</v>
      </c>
      <c r="BC180" s="17" t="n">
        <v>2971663</v>
      </c>
      <c r="BD180" s="17">
        <f>1000000000-999752958.8677+19869.3942</f>
        <v/>
      </c>
      <c r="BE180" s="19">
        <f>1000000000-AZ180-BA180-BB180-BC180-BD180</f>
        <v/>
      </c>
      <c r="BF180" s="20" t="n">
        <v>238</v>
      </c>
      <c r="BG180" s="20">
        <f>BE180/1000000-BF180</f>
        <v/>
      </c>
      <c r="BH180" s="21">
        <f>BE180*34.84</f>
        <v/>
      </c>
    </row>
    <row r="181">
      <c r="A181" s="10" t="n">
        <v>45803</v>
      </c>
      <c r="B181" s="11" t="n">
        <v>7002792387</v>
      </c>
      <c r="C181" s="11" t="n"/>
      <c r="D181" s="12" t="n">
        <v>409113491</v>
      </c>
      <c r="E181" s="11" t="n"/>
      <c r="N181" s="12" t="n">
        <v>1908799</v>
      </c>
      <c r="O181" s="11" t="n"/>
      <c r="P181" s="12" t="n">
        <v>100179</v>
      </c>
      <c r="Q181" s="11" t="n"/>
      <c r="R181" s="21">
        <f>N181+O181+P181+N(Q181)</f>
        <v/>
      </c>
      <c r="S181" s="13" t="n">
        <v>0.03</v>
      </c>
      <c r="T181" s="21">
        <f>N(AC181)*S181</f>
        <v/>
      </c>
      <c r="U181" s="21">
        <f>N(AD181)*S181</f>
        <v/>
      </c>
      <c r="V181" s="21">
        <f>N(AE181)*S181</f>
        <v/>
      </c>
      <c r="W181" s="21">
        <f>IF(Q181="","",N(AF181)*S181)</f>
        <v/>
      </c>
      <c r="X181" s="12" t="n">
        <v>13954</v>
      </c>
      <c r="Y181" s="11" t="n"/>
      <c r="Z181" s="11" t="n"/>
      <c r="AA181" s="21">
        <f>T181+U181+V181+N(W181)+X181+Y181+N(Z181)</f>
        <v/>
      </c>
      <c r="AB181" s="11" t="n"/>
      <c r="AC181" s="12" t="n">
        <v>1851535</v>
      </c>
      <c r="AD181" s="21">
        <f>O181-Y181</f>
        <v/>
      </c>
      <c r="AE181" s="21">
        <f>P181-X181</f>
        <v/>
      </c>
      <c r="AF181" s="21">
        <f>IF(Q181="","",Q181-Z181)</f>
        <v/>
      </c>
      <c r="AG181" s="22">
        <f>AC181+AD181+AE181+N(AF181)</f>
        <v/>
      </c>
      <c r="AH181" s="11" t="n">
        <v>2258419.38</v>
      </c>
      <c r="AI181" s="24">
        <f>AG181-AH181</f>
        <v/>
      </c>
      <c r="AJ181" s="14">
        <f>IF(OR(B181="",B181=0,N181=""),"",N181/B181*10000)</f>
        <v/>
      </c>
      <c r="AK181" s="14">
        <f>IF(OR(C181="",C181=0),"",O181/C181*10000)</f>
        <v/>
      </c>
      <c r="AL181" s="14">
        <f>IF(OR(D181="",D181=0),"",P181/D181*10000)</f>
        <v/>
      </c>
      <c r="AM181" s="14">
        <f>IF(OR(E181="",E181=0),"",Q181/E181*10000)</f>
        <v/>
      </c>
      <c r="AN181" s="11" t="n">
        <v>116074.2444668833</v>
      </c>
      <c r="AO181" s="11" t="n">
        <v>37996.87</v>
      </c>
      <c r="AP181" s="21">
        <f>AH181+AN181+AO181</f>
        <v/>
      </c>
      <c r="AQ181" s="21">
        <f>AH181</f>
        <v/>
      </c>
      <c r="AR181" s="15" t="n">
        <v>60341.07</v>
      </c>
      <c r="AS181" s="27" t="n">
        <v>37.427566</v>
      </c>
      <c r="AT181" s="15" t="n">
        <v>23452707.06</v>
      </c>
      <c r="AU181" s="15" t="n">
        <v>25952.4593</v>
      </c>
      <c r="AV181" s="15" t="n">
        <v>1801.2147</v>
      </c>
      <c r="AW181" s="15" t="n"/>
      <c r="AX181" s="16" t="n">
        <v>419.3649513061732</v>
      </c>
      <c r="AY181" s="13">
        <f>IF(OR(AX181="",AX181=0,AU181=""),"",AU181*365/(AX181*1000000))</f>
        <v/>
      </c>
      <c r="AZ181" s="15" t="n">
        <v>424162272.6995</v>
      </c>
      <c r="BA181" s="17" t="n">
        <v>60487233</v>
      </c>
      <c r="BB181" s="18" t="n">
        <v>23452707.06</v>
      </c>
      <c r="BC181" s="17" t="n">
        <v>2971663</v>
      </c>
      <c r="BD181" s="17">
        <f>1000000000-999751157.653+22880.3211</f>
        <v/>
      </c>
      <c r="BE181" s="19">
        <f>1000000000-AZ181-BA181-BB181-BC181-BD181</f>
        <v/>
      </c>
      <c r="BF181" s="20" t="n">
        <v>238</v>
      </c>
      <c r="BG181" s="20">
        <f>BE181/1000000-BF181</f>
        <v/>
      </c>
      <c r="BH181" s="21">
        <f>BE181*38.85</f>
        <v/>
      </c>
    </row>
    <row r="182">
      <c r="A182" s="10" t="n">
        <v>45804</v>
      </c>
      <c r="B182" s="11" t="n">
        <v>11173683374</v>
      </c>
      <c r="C182" s="11" t="n"/>
      <c r="D182" s="12" t="n">
        <v>403985493</v>
      </c>
      <c r="E182" s="11" t="n"/>
      <c r="N182" s="12" t="n">
        <v>3020950</v>
      </c>
      <c r="O182" s="11" t="n"/>
      <c r="P182" s="12" t="n">
        <v>87270</v>
      </c>
      <c r="Q182" s="11" t="n"/>
      <c r="R182" s="21">
        <f>N182+O182+P182+N(Q182)</f>
        <v/>
      </c>
      <c r="S182" s="13" t="n">
        <v>0.03</v>
      </c>
      <c r="T182" s="21">
        <f>N(AC182)*S182</f>
        <v/>
      </c>
      <c r="U182" s="21">
        <f>N(AD182)*S182</f>
        <v/>
      </c>
      <c r="V182" s="21">
        <f>N(AE182)*S182</f>
        <v/>
      </c>
      <c r="W182" s="21">
        <f>IF(Q182="","",N(AF182)*S182)</f>
        <v/>
      </c>
      <c r="X182" s="12" t="n">
        <v>28095</v>
      </c>
      <c r="Y182" s="11" t="n"/>
      <c r="Z182" s="11" t="n"/>
      <c r="AA182" s="21">
        <f>T182+U182+V182+N(W182)+X182+Y182+N(Z182)</f>
        <v/>
      </c>
      <c r="AB182" s="11" t="n"/>
      <c r="AC182" s="12" t="n">
        <v>2930322</v>
      </c>
      <c r="AD182" s="21">
        <f>O182-Y182</f>
        <v/>
      </c>
      <c r="AE182" s="21">
        <f>P182-X182</f>
        <v/>
      </c>
      <c r="AF182" s="21">
        <f>IF(Q182="","",Q182-Z182)</f>
        <v/>
      </c>
      <c r="AG182" s="22">
        <f>AC182+AD182+AE182+N(AF182)</f>
        <v/>
      </c>
      <c r="AH182" s="11" t="n">
        <v>2244861.839</v>
      </c>
      <c r="AI182" s="24">
        <f>AG182-AH182</f>
        <v/>
      </c>
      <c r="AJ182" s="14">
        <f>IF(OR(B182="",B182=0,N182=""),"",N182/B182*10000)</f>
        <v/>
      </c>
      <c r="AK182" s="14">
        <f>IF(OR(C182="",C182=0),"",O182/C182*10000)</f>
        <v/>
      </c>
      <c r="AL182" s="14">
        <f>IF(OR(D182="",D182=0),"",P182/D182*10000)</f>
        <v/>
      </c>
      <c r="AM182" s="14">
        <f>IF(OR(E182="",E182=0),"",Q182/E182*10000)</f>
        <v/>
      </c>
      <c r="AN182" s="11" t="n">
        <v>201427.9411663621</v>
      </c>
      <c r="AO182" s="11" t="n">
        <v>54993.21</v>
      </c>
      <c r="AP182" s="21">
        <f>AH182+AN182+AO182</f>
        <v/>
      </c>
      <c r="AQ182" s="21">
        <f>AH182</f>
        <v/>
      </c>
      <c r="AR182" s="15" t="n">
        <v>61995.05</v>
      </c>
      <c r="AS182" s="27" t="n">
        <v>36.21034</v>
      </c>
      <c r="AT182" s="15" t="n">
        <v>23514702.11</v>
      </c>
      <c r="AU182" s="15" t="n">
        <v>26236.7805</v>
      </c>
      <c r="AV182" s="15" t="n">
        <v>2566.597</v>
      </c>
      <c r="AW182" s="15" t="n"/>
      <c r="AX182" s="16" t="n">
        <v>418.4460708808237</v>
      </c>
      <c r="AY182" s="13">
        <f>IF(OR(AX182="",AX182=0,AU182=""),"",AU182*365/(AX182*1000000))</f>
        <v/>
      </c>
      <c r="AZ182" s="15" t="n">
        <v>424136035.919</v>
      </c>
      <c r="BA182" s="17" t="n">
        <v>60487233</v>
      </c>
      <c r="BB182" s="18" t="n">
        <v>23514702.11</v>
      </c>
      <c r="BC182" s="17" t="n">
        <v>2971663</v>
      </c>
      <c r="BD182" s="17">
        <f>1000000000-999748591.056+28300.4417</f>
        <v/>
      </c>
      <c r="BE182" s="19">
        <f>1000000000-AZ182-BA182-BB182-BC182-BD182</f>
        <v/>
      </c>
      <c r="BF182" s="20" t="n">
        <v>238</v>
      </c>
      <c r="BG182" s="20">
        <f>BE182/1000000-BF182</f>
        <v/>
      </c>
      <c r="BH182" s="21">
        <f>BE182*37.25</f>
        <v/>
      </c>
    </row>
    <row r="183">
      <c r="A183" s="10" t="n">
        <v>45805</v>
      </c>
      <c r="B183" s="11" t="n">
        <v>9155802238</v>
      </c>
      <c r="C183" s="11" t="n"/>
      <c r="D183" s="12" t="n">
        <v>334144664</v>
      </c>
      <c r="E183" s="11" t="n"/>
      <c r="N183" s="12" t="n">
        <v>2445785</v>
      </c>
      <c r="O183" s="11" t="n"/>
      <c r="P183" s="12" t="n">
        <v>82889</v>
      </c>
      <c r="Q183" s="11" t="n"/>
      <c r="R183" s="21">
        <f>N183+O183+P183+N(Q183)</f>
        <v/>
      </c>
      <c r="S183" s="13" t="n">
        <v>0.03</v>
      </c>
      <c r="T183" s="21">
        <f>N(AC183)*S183</f>
        <v/>
      </c>
      <c r="U183" s="21">
        <f>N(AD183)*S183</f>
        <v/>
      </c>
      <c r="V183" s="21">
        <f>N(AE183)*S183</f>
        <v/>
      </c>
      <c r="W183" s="21">
        <f>IF(Q183="","",N(AF183)*S183)</f>
        <v/>
      </c>
      <c r="X183" s="12" t="n">
        <v>16163</v>
      </c>
      <c r="Y183" s="11" t="n"/>
      <c r="Z183" s="11" t="n"/>
      <c r="AA183" s="21">
        <f>T183+U183+V183+N(W183)+X183+Y183+N(Z183)</f>
        <v/>
      </c>
      <c r="AB183" s="11" t="n"/>
      <c r="AC183" s="12" t="n">
        <v>2372412</v>
      </c>
      <c r="AD183" s="21">
        <f>O183-Y183</f>
        <v/>
      </c>
      <c r="AE183" s="21">
        <f>P183-X183</f>
        <v/>
      </c>
      <c r="AF183" s="21">
        <f>IF(Q183="","",Q183-Z183)</f>
        <v/>
      </c>
      <c r="AG183" s="22">
        <f>AC183+AD183+AE183+N(AF183)</f>
        <v/>
      </c>
      <c r="AH183" s="11" t="n">
        <v>2305266.481</v>
      </c>
      <c r="AI183" s="24">
        <f>AG183-AH183</f>
        <v/>
      </c>
      <c r="AJ183" s="14">
        <f>IF(OR(B183="",B183=0,N183=""),"",N183/B183*10000)</f>
        <v/>
      </c>
      <c r="AK183" s="14">
        <f>IF(OR(C183="",C183=0),"",O183/C183*10000)</f>
        <v/>
      </c>
      <c r="AL183" s="14">
        <f>IF(OR(D183="",D183=0),"",P183/D183*10000)</f>
        <v/>
      </c>
      <c r="AM183" s="14">
        <f>IF(OR(E183="",E183=0),"",Q183/E183*10000)</f>
        <v/>
      </c>
      <c r="AN183" s="11" t="n">
        <v>75605.17928433526</v>
      </c>
      <c r="AO183" s="11" t="n">
        <v>0</v>
      </c>
      <c r="AP183" s="21">
        <f>AH183+AN183+AO183</f>
        <v/>
      </c>
      <c r="AQ183" s="21">
        <f>AH183</f>
        <v/>
      </c>
      <c r="AR183" s="15" t="n">
        <v>69201.32000000001</v>
      </c>
      <c r="AS183" s="27" t="n">
        <v>33.312464</v>
      </c>
      <c r="AT183" s="15" t="n">
        <v>23583903.43</v>
      </c>
      <c r="AU183" s="15" t="n">
        <v>26207.4869</v>
      </c>
      <c r="AV183" s="15" t="n">
        <v>2773.3719</v>
      </c>
      <c r="AW183" s="15" t="n"/>
      <c r="AX183" s="16" t="n">
        <v>418.2924796178373</v>
      </c>
      <c r="AY183" s="13">
        <f>IF(OR(AX183="",AX183=0,AU183=""),"",AU183*365/(AX183*1000000))</f>
        <v/>
      </c>
      <c r="AZ183" s="15" t="n">
        <v>424109828.4321</v>
      </c>
      <c r="BA183" s="17" t="n">
        <v>60487233</v>
      </c>
      <c r="BB183" s="18" t="n">
        <v>23583903.43</v>
      </c>
      <c r="BC183" s="17" t="n">
        <v>2971663</v>
      </c>
      <c r="BD183" s="17">
        <f>1000000000-999745817.6841+30384.2623</f>
        <v/>
      </c>
      <c r="BE183" s="19">
        <f>1000000000-AZ183-BA183-BB183-BC183-BD183</f>
        <v/>
      </c>
      <c r="BF183" s="20" t="n">
        <v>238</v>
      </c>
      <c r="BG183" s="20">
        <f>BE183/1000000-BF183</f>
        <v/>
      </c>
      <c r="BH183" s="21">
        <f>BE183*35.52</f>
        <v/>
      </c>
    </row>
    <row r="184">
      <c r="A184" s="10" t="n">
        <v>45806</v>
      </c>
      <c r="B184" s="11" t="n">
        <v>10872328015</v>
      </c>
      <c r="C184" s="11" t="n"/>
      <c r="D184" s="12" t="n">
        <v>382861974</v>
      </c>
      <c r="E184" s="11" t="n"/>
      <c r="N184" s="12" t="n">
        <v>3003520</v>
      </c>
      <c r="O184" s="11" t="n"/>
      <c r="P184" s="12" t="n">
        <v>88105</v>
      </c>
      <c r="Q184" s="11" t="n"/>
      <c r="R184" s="21">
        <f>N184+O184+P184+N(Q184)</f>
        <v/>
      </c>
      <c r="S184" s="13" t="n">
        <v>0.03</v>
      </c>
      <c r="T184" s="21">
        <f>N(AC184)*S184</f>
        <v/>
      </c>
      <c r="U184" s="21">
        <f>N(AD184)*S184</f>
        <v/>
      </c>
      <c r="V184" s="21">
        <f>N(AE184)*S184</f>
        <v/>
      </c>
      <c r="W184" s="21">
        <f>IF(Q184="","",N(AF184)*S184)</f>
        <v/>
      </c>
      <c r="X184" s="12" t="n">
        <v>17921</v>
      </c>
      <c r="Y184" s="11" t="n"/>
      <c r="Z184" s="11" t="n"/>
      <c r="AA184" s="21">
        <f>T184+U184+V184+N(W184)+X184+Y184+N(Z184)</f>
        <v/>
      </c>
      <c r="AB184" s="11" t="n"/>
      <c r="AC184" s="12" t="n">
        <v>2913415</v>
      </c>
      <c r="AD184" s="21">
        <f>O184-Y184</f>
        <v/>
      </c>
      <c r="AE184" s="21">
        <f>P184-X184</f>
        <v/>
      </c>
      <c r="AF184" s="21">
        <f>IF(Q184="","",Q184-Z184)</f>
        <v/>
      </c>
      <c r="AG184" s="22">
        <f>AC184+AD184+AE184+N(AF184)</f>
        <v/>
      </c>
      <c r="AH184" s="11" t="n">
        <v>2602830.505</v>
      </c>
      <c r="AI184" s="24">
        <f>AG184-AH184</f>
        <v/>
      </c>
      <c r="AJ184" s="14">
        <f>IF(OR(B184="",B184=0,N184=""),"",N184/B184*10000)</f>
        <v/>
      </c>
      <c r="AK184" s="14">
        <f>IF(OR(C184="",C184=0),"",O184/C184*10000)</f>
        <v/>
      </c>
      <c r="AL184" s="14">
        <f>IF(OR(D184="",D184=0),"",P184/D184*10000)</f>
        <v/>
      </c>
      <c r="AM184" s="14">
        <f>IF(OR(E184="",E184=0),"",Q184/E184*10000)</f>
        <v/>
      </c>
      <c r="AN184" s="11" t="n">
        <v>34406.3545533948</v>
      </c>
      <c r="AO184" s="11" t="n">
        <v>63112.95</v>
      </c>
      <c r="AP184" s="21">
        <f>AH184+AN184+AO184</f>
        <v/>
      </c>
      <c r="AQ184" s="21">
        <f>AH184</f>
        <v/>
      </c>
      <c r="AR184" s="15" t="n">
        <v>80786.59</v>
      </c>
      <c r="AS184" s="27" t="n">
        <v>32.218596</v>
      </c>
      <c r="AT184" s="15" t="n">
        <v>23664690.02</v>
      </c>
      <c r="AU184" s="15" t="n">
        <v>26214.7499</v>
      </c>
      <c r="AV184" s="15" t="n">
        <v>1240.1215</v>
      </c>
      <c r="AW184" s="15" t="n"/>
      <c r="AX184" s="16" t="n">
        <v>418.4245429735982</v>
      </c>
      <c r="AY184" s="13">
        <f>IF(OR(AX184="",AX184=0,AU184=""),"",AU184*365/(AX184*1000000))</f>
        <v/>
      </c>
      <c r="AZ184" s="15" t="n">
        <v>424083613.6822</v>
      </c>
      <c r="BA184" s="17" t="n">
        <v>60487233</v>
      </c>
      <c r="BB184" s="18" t="n">
        <v>23664690.02</v>
      </c>
      <c r="BC184" s="17" t="n">
        <v>2971663</v>
      </c>
      <c r="BD184" s="17">
        <f>1000000000-999744577.5626+31382.0106</f>
        <v/>
      </c>
      <c r="BE184" s="19">
        <f>1000000000-AZ184-BA184-BB184-BC184-BD184</f>
        <v/>
      </c>
      <c r="BF184" s="20" t="n">
        <v>238</v>
      </c>
      <c r="BG184" s="20">
        <f>BE184/1000000-BF184</f>
        <v/>
      </c>
      <c r="BH184" s="21">
        <f>BE184*33.82</f>
        <v/>
      </c>
    </row>
    <row r="185">
      <c r="A185" s="10" t="n">
        <v>45807</v>
      </c>
      <c r="B185" s="11" t="n">
        <v>10883704783</v>
      </c>
      <c r="C185" s="11" t="n"/>
      <c r="D185" s="12" t="n">
        <v>413767053</v>
      </c>
      <c r="E185" s="11" t="n"/>
      <c r="N185" s="12" t="n">
        <v>3024160</v>
      </c>
      <c r="O185" s="11" t="n"/>
      <c r="P185" s="12" t="n">
        <v>87626</v>
      </c>
      <c r="Q185" s="11" t="n"/>
      <c r="R185" s="21">
        <f>N185+O185+P185+N(Q185)</f>
        <v/>
      </c>
      <c r="S185" s="13" t="n">
        <v>0.03</v>
      </c>
      <c r="T185" s="21">
        <f>N(AC185)*S185</f>
        <v/>
      </c>
      <c r="U185" s="21">
        <f>N(AD185)*S185</f>
        <v/>
      </c>
      <c r="V185" s="21">
        <f>N(AE185)*S185</f>
        <v/>
      </c>
      <c r="W185" s="21">
        <f>IF(Q185="","",N(AF185)*S185)</f>
        <v/>
      </c>
      <c r="X185" s="12" t="n">
        <v>13863</v>
      </c>
      <c r="Y185" s="11" t="n"/>
      <c r="Z185" s="11" t="n"/>
      <c r="AA185" s="21">
        <f>T185+U185+V185+N(W185)+X185+Y185+N(Z185)</f>
        <v/>
      </c>
      <c r="AB185" s="11" t="n"/>
      <c r="AC185" s="12" t="n">
        <v>2933435</v>
      </c>
      <c r="AD185" s="21">
        <f>O185-Y185</f>
        <v/>
      </c>
      <c r="AE185" s="21">
        <f>P185-X185</f>
        <v/>
      </c>
      <c r="AF185" s="21">
        <f>IF(Q185="","",Q185-Z185)</f>
        <v/>
      </c>
      <c r="AG185" s="22">
        <f>AC185+AD185+AE185+N(AF185)</f>
        <v/>
      </c>
      <c r="AH185" s="11" t="n">
        <v>3404212.923</v>
      </c>
      <c r="AI185" s="24">
        <f>AG185-AH185</f>
        <v/>
      </c>
      <c r="AJ185" s="14">
        <f>IF(OR(B185="",B185=0,N185=""),"",N185/B185*10000)</f>
        <v/>
      </c>
      <c r="AK185" s="14">
        <f>IF(OR(C185="",C185=0),"",O185/C185*10000)</f>
        <v/>
      </c>
      <c r="AL185" s="14">
        <f>IF(OR(D185="",D185=0),"",P185/D185*10000)</f>
        <v/>
      </c>
      <c r="AM185" s="14">
        <f>IF(OR(E185="",E185=0),"",Q185/E185*10000)</f>
        <v/>
      </c>
      <c r="AN185" s="11" t="n">
        <v>26566.11318981272</v>
      </c>
      <c r="AO185" s="11" t="n">
        <v>38855.26</v>
      </c>
      <c r="AP185" s="21">
        <f>AH185+AN185+AO185</f>
        <v/>
      </c>
      <c r="AQ185" s="21">
        <f>AH185</f>
        <v/>
      </c>
      <c r="AR185" s="15" t="n">
        <v>102673.6</v>
      </c>
      <c r="AS185" s="27" t="n">
        <v>33.155679</v>
      </c>
      <c r="AT185" s="15" t="n">
        <v>23767363.62</v>
      </c>
      <c r="AU185" s="15" t="n">
        <v>26217.0528</v>
      </c>
      <c r="AV185" s="15" t="n">
        <v>3266.41</v>
      </c>
      <c r="AW185" s="15" t="n"/>
      <c r="AX185" s="16" t="n">
        <v>418.6164078007301</v>
      </c>
      <c r="AY185" s="13">
        <f>IF(OR(AX185="",AX185=0,AU185=""),"",AU185*365/(AX185*1000000))</f>
        <v/>
      </c>
      <c r="AZ185" s="15" t="n">
        <v>424057396.6293</v>
      </c>
      <c r="BA185" s="17" t="n">
        <v>60487233</v>
      </c>
      <c r="BB185" s="18" t="n">
        <v>23767363.62</v>
      </c>
      <c r="BC185" s="17" t="n">
        <v>2971663</v>
      </c>
      <c r="BD185" s="17">
        <f>1000000000-999741311.1527+32229.4957</f>
        <v/>
      </c>
      <c r="BE185" s="19">
        <f>1000000000-AZ185-BA185-BB185-BC185-BD185</f>
        <v/>
      </c>
      <c r="BF185" s="20" t="n">
        <v>238</v>
      </c>
      <c r="BG185" s="20">
        <f>BE185/1000000-BF185</f>
        <v/>
      </c>
      <c r="BH185" s="21">
        <f>BE185*31.59</f>
        <v/>
      </c>
    </row>
    <row r="186">
      <c r="A186" s="10" t="n">
        <v>45808</v>
      </c>
      <c r="B186" s="11" t="n">
        <v>4406569829</v>
      </c>
      <c r="C186" s="11" t="n"/>
      <c r="D186" s="12" t="n">
        <v>233353407</v>
      </c>
      <c r="E186" s="11" t="n"/>
      <c r="N186" s="12" t="n">
        <v>1239734</v>
      </c>
      <c r="O186" s="11" t="n"/>
      <c r="P186" s="12" t="n">
        <v>48799</v>
      </c>
      <c r="Q186" s="11" t="n"/>
      <c r="R186" s="21">
        <f>N186+O186+P186+N(Q186)</f>
        <v/>
      </c>
      <c r="S186" s="13" t="n">
        <v>0.03</v>
      </c>
      <c r="T186" s="21">
        <f>N(AC186)*S186</f>
        <v/>
      </c>
      <c r="U186" s="21">
        <f>N(AD186)*S186</f>
        <v/>
      </c>
      <c r="V186" s="21">
        <f>N(AE186)*S186</f>
        <v/>
      </c>
      <c r="W186" s="21">
        <f>IF(Q186="","",N(AF186)*S186)</f>
        <v/>
      </c>
      <c r="X186" s="12" t="n">
        <v>7580</v>
      </c>
      <c r="Y186" s="11" t="n"/>
      <c r="Z186" s="11" t="n"/>
      <c r="AA186" s="21">
        <f>T186+U186+V186+N(W186)+X186+Y186+N(Z186)</f>
        <v/>
      </c>
      <c r="AB186" s="11" t="n"/>
      <c r="AC186" s="12" t="n">
        <v>1202542</v>
      </c>
      <c r="AD186" s="21">
        <f>O186-Y186</f>
        <v/>
      </c>
      <c r="AE186" s="21">
        <f>P186-X186</f>
        <v/>
      </c>
      <c r="AF186" s="21">
        <f>IF(Q186="","",Q186-Z186)</f>
        <v/>
      </c>
      <c r="AG186" s="22">
        <f>AC186+AD186+AE186+N(AF186)</f>
        <v/>
      </c>
      <c r="AH186" s="11" t="n">
        <v>2525982.714</v>
      </c>
      <c r="AI186" s="24">
        <f>AG186-AH186</f>
        <v/>
      </c>
      <c r="AJ186" s="14">
        <f>IF(OR(B186="",B186=0,N186=""),"",N186/B186*10000)</f>
        <v/>
      </c>
      <c r="AK186" s="14">
        <f>IF(OR(C186="",C186=0),"",O186/C186*10000)</f>
        <v/>
      </c>
      <c r="AL186" s="14">
        <f>IF(OR(D186="",D186=0),"",P186/D186*10000)</f>
        <v/>
      </c>
      <c r="AM186" s="14">
        <f>IF(OR(E186="",E186=0),"",Q186/E186*10000)</f>
        <v/>
      </c>
      <c r="AN186" s="11" t="n">
        <v>16044.15872573749</v>
      </c>
      <c r="AO186" s="11" t="n">
        <v>0</v>
      </c>
      <c r="AP186" s="21">
        <f>AH186+AN186+AO186</f>
        <v/>
      </c>
      <c r="AQ186" s="21">
        <f>AH186</f>
        <v/>
      </c>
      <c r="AR186" s="15" t="n">
        <v>78478.33</v>
      </c>
      <c r="AS186" s="27" t="n">
        <v>32.187009</v>
      </c>
      <c r="AT186" s="15" t="n">
        <v>23845841.95</v>
      </c>
      <c r="AU186" s="15" t="n">
        <v>26216.242</v>
      </c>
      <c r="AV186" s="15" t="n">
        <v>2856.0966</v>
      </c>
      <c r="AW186" s="15" t="n"/>
      <c r="AX186" s="16" t="n">
        <v>417.8549845574316</v>
      </c>
      <c r="AY186" s="13">
        <f>IF(OR(AX186="",AX186=0,AU186=""),"",AU186*365/(AX186*1000000))</f>
        <v/>
      </c>
      <c r="AZ186" s="15" t="n">
        <v>424031180.3873</v>
      </c>
      <c r="BA186" s="17" t="n">
        <v>60487233</v>
      </c>
      <c r="BB186" s="18" t="n">
        <v>23845841.95</v>
      </c>
      <c r="BC186" s="17" t="n">
        <v>2971663</v>
      </c>
      <c r="BD186" s="17">
        <f>1000000000-999738455.0561+32715.9181</f>
        <v/>
      </c>
      <c r="BE186" s="19">
        <f>1000000000-AZ186-BA186-BB186-BC186-BD186</f>
        <v/>
      </c>
      <c r="BF186" s="20" t="n">
        <v>238</v>
      </c>
      <c r="BG186" s="20">
        <f>BE186/1000000-BF186</f>
        <v/>
      </c>
      <c r="BH186" s="21">
        <f>BE186*33.18</f>
        <v/>
      </c>
    </row>
    <row r="187">
      <c r="A187" s="10" t="n">
        <v>45809</v>
      </c>
      <c r="B187" s="11" t="n">
        <v>3705323554</v>
      </c>
      <c r="C187" s="11" t="n"/>
      <c r="D187" s="12" t="n">
        <v>194154451</v>
      </c>
      <c r="E187" s="11" t="n"/>
      <c r="N187" s="12" t="n">
        <v>1058641</v>
      </c>
      <c r="O187" s="11" t="n"/>
      <c r="P187" s="12" t="n">
        <v>39195</v>
      </c>
      <c r="Q187" s="11" t="n"/>
      <c r="R187" s="21">
        <f>N187+O187+P187+N(Q187)</f>
        <v/>
      </c>
      <c r="S187" s="13" t="n">
        <v>0.03</v>
      </c>
      <c r="T187" s="21">
        <f>N(AC187)*S187</f>
        <v/>
      </c>
      <c r="U187" s="21">
        <f>N(AD187)*S187</f>
        <v/>
      </c>
      <c r="V187" s="21">
        <f>N(AE187)*S187</f>
        <v/>
      </c>
      <c r="W187" s="21">
        <f>IF(Q187="","",N(AF187)*S187)</f>
        <v/>
      </c>
      <c r="X187" s="12" t="n">
        <v>6567</v>
      </c>
      <c r="Y187" s="11" t="n"/>
      <c r="Z187" s="11" t="n"/>
      <c r="AA187" s="21">
        <f>T187+U187+V187+N(W187)+X187+Y187+N(Z187)</f>
        <v/>
      </c>
      <c r="AB187" s="11" t="n"/>
      <c r="AC187" s="12" t="n">
        <v>1026881</v>
      </c>
      <c r="AD187" s="21">
        <f>O187-Y187</f>
        <v/>
      </c>
      <c r="AE187" s="21">
        <f>P187-X187</f>
        <v/>
      </c>
      <c r="AF187" s="21">
        <f>IF(Q187="","",Q187-Z187)</f>
        <v/>
      </c>
      <c r="AG187" s="22">
        <f>AC187+AD187+AE187+N(AF187)</f>
        <v/>
      </c>
      <c r="AH187" s="11" t="n">
        <v>841842.179</v>
      </c>
      <c r="AI187" s="24">
        <f>AG187-AH187</f>
        <v/>
      </c>
      <c r="AJ187" s="14">
        <f>IF(OR(B187="",B187=0,N187=""),"",N187/B187*10000)</f>
        <v/>
      </c>
      <c r="AK187" s="14">
        <f>IF(OR(C187="",C187=0),"",O187/C187*10000)</f>
        <v/>
      </c>
      <c r="AL187" s="14">
        <f>IF(OR(D187="",D187=0),"",P187/D187*10000)</f>
        <v/>
      </c>
      <c r="AM187" s="14">
        <f>IF(OR(E187="",E187=0),"",Q187/E187*10000)</f>
        <v/>
      </c>
      <c r="AN187" s="11" t="n">
        <v>11256.69851151819</v>
      </c>
      <c r="AO187" s="11" t="n">
        <v>17477.51</v>
      </c>
      <c r="AP187" s="21">
        <f>AH187+AN187+AO187</f>
        <v/>
      </c>
      <c r="AQ187" s="21">
        <f>AH187</f>
        <v/>
      </c>
      <c r="AR187" s="15" t="n">
        <v>25779.83</v>
      </c>
      <c r="AS187" s="27" t="n">
        <v>32.655071</v>
      </c>
      <c r="AT187" s="15" t="n">
        <v>23871621.78</v>
      </c>
      <c r="AU187" s="15" t="n">
        <v>26193.0407</v>
      </c>
      <c r="AV187" s="15" t="n">
        <v>872.6834</v>
      </c>
      <c r="AW187" s="15" t="n"/>
      <c r="AX187" s="16" t="n">
        <v>417.8816136049094</v>
      </c>
      <c r="AY187" s="13">
        <f>IF(OR(AX187="",AX187=0,AU187=""),"",AU187*365/(AX187*1000000))</f>
        <v/>
      </c>
      <c r="AZ187" s="15" t="n">
        <v>424004987.3467</v>
      </c>
      <c r="BA187" s="17" t="n">
        <v>60487233</v>
      </c>
      <c r="BB187" s="18" t="n">
        <v>23871621.78</v>
      </c>
      <c r="BC187" s="17" t="n">
        <v>2971663</v>
      </c>
      <c r="BD187" s="17">
        <f>1000000000-999737582.3727+33060.1071</f>
        <v/>
      </c>
      <c r="BE187" s="19">
        <f>1000000000-AZ187-BA187-BB187-BC187-BD187</f>
        <v/>
      </c>
      <c r="BF187" s="20" t="n">
        <v>238</v>
      </c>
      <c r="BG187" s="20">
        <f>BE187/1000000-BF187</f>
        <v/>
      </c>
      <c r="BH187" s="21">
        <f>BE187*32.63</f>
        <v/>
      </c>
    </row>
    <row r="188">
      <c r="A188" s="10" t="n">
        <v>45810</v>
      </c>
      <c r="B188" s="11" t="n">
        <v>6302813237</v>
      </c>
      <c r="C188" s="11" t="n"/>
      <c r="D188" s="12" t="n">
        <v>324429799</v>
      </c>
      <c r="E188" s="11" t="n"/>
      <c r="N188" s="12" t="n">
        <v>1772585</v>
      </c>
      <c r="O188" s="11" t="n"/>
      <c r="P188" s="12" t="n">
        <v>63756</v>
      </c>
      <c r="Q188" s="11" t="n"/>
      <c r="R188" s="21">
        <f>N188+O188+P188+N(Q188)</f>
        <v/>
      </c>
      <c r="S188" s="13" t="n">
        <v>0.03</v>
      </c>
      <c r="T188" s="21">
        <f>N(AC188)*S188</f>
        <v/>
      </c>
      <c r="U188" s="21">
        <f>N(AD188)*S188</f>
        <v/>
      </c>
      <c r="V188" s="21">
        <f>N(AE188)*S188</f>
        <v/>
      </c>
      <c r="W188" s="21">
        <f>IF(Q188="","",N(AF188)*S188)</f>
        <v/>
      </c>
      <c r="X188" s="12" t="n">
        <v>12184</v>
      </c>
      <c r="Y188" s="11" t="n"/>
      <c r="Z188" s="11" t="n"/>
      <c r="AA188" s="21">
        <f>T188+U188+V188+N(W188)+X188+Y188+N(Z188)</f>
        <v/>
      </c>
      <c r="AB188" s="11" t="n"/>
      <c r="AC188" s="12" t="n">
        <v>1719407</v>
      </c>
      <c r="AD188" s="21">
        <f>O188-Y188</f>
        <v/>
      </c>
      <c r="AE188" s="21">
        <f>P188-X188</f>
        <v/>
      </c>
      <c r="AF188" s="21">
        <f>IF(Q188="","",Q188-Z188)</f>
        <v/>
      </c>
      <c r="AG188" s="22">
        <f>AC188+AD188+AE188+N(AF188)</f>
        <v/>
      </c>
      <c r="AH188" s="11" t="n">
        <v>1129967.844</v>
      </c>
      <c r="AI188" s="24">
        <f>AG188-AH188</f>
        <v/>
      </c>
      <c r="AJ188" s="14">
        <f>IF(OR(B188="",B188=0,N188=""),"",N188/B188*10000)</f>
        <v/>
      </c>
      <c r="AK188" s="14">
        <f>IF(OR(C188="",C188=0),"",O188/C188*10000)</f>
        <v/>
      </c>
      <c r="AL188" s="14">
        <f>IF(OR(D188="",D188=0),"",P188/D188*10000)</f>
        <v/>
      </c>
      <c r="AM188" s="14">
        <f>IF(OR(E188="",E188=0),"",Q188/E188*10000)</f>
        <v/>
      </c>
      <c r="AN188" s="11" t="n">
        <v>24588.74266068666</v>
      </c>
      <c r="AO188" s="11" t="n">
        <v>24908.07</v>
      </c>
      <c r="AP188" s="21">
        <f>AH188+AN188+AO188</f>
        <v/>
      </c>
      <c r="AQ188" s="21">
        <f>AH188</f>
        <v/>
      </c>
      <c r="AR188" s="15" t="n">
        <v>33459.53</v>
      </c>
      <c r="AS188" s="27" t="n">
        <v>33.771181</v>
      </c>
      <c r="AT188" s="15" t="n">
        <v>23905081.31</v>
      </c>
      <c r="AU188" s="15" t="n">
        <v>26154.8497</v>
      </c>
      <c r="AV188" s="15" t="n">
        <v>1127.2508</v>
      </c>
      <c r="AW188" s="15" t="n"/>
      <c r="AX188" s="16" t="n">
        <v>417.6505644284011</v>
      </c>
      <c r="AY188" s="13">
        <f>IF(OR(AX188="",AX188=0,AU188=""),"",AU188*365/(AX188*1000000))</f>
        <v/>
      </c>
      <c r="AZ188" s="15" t="n">
        <v>423978832.497</v>
      </c>
      <c r="BA188" s="17" t="n">
        <v>60487233</v>
      </c>
      <c r="BB188" s="18" t="n">
        <v>23905081.31</v>
      </c>
      <c r="BC188" s="17" t="n">
        <v>2971663</v>
      </c>
      <c r="BD188" s="17">
        <f>1000000000-999736455.1218+33786.5101</f>
        <v/>
      </c>
      <c r="BE188" s="19">
        <f>1000000000-AZ188-BA188-BB188-BC188-BD188</f>
        <v/>
      </c>
      <c r="BF188" s="20" t="n">
        <v>238</v>
      </c>
      <c r="BG188" s="20">
        <f>BE188/1000000-BF188</f>
        <v/>
      </c>
      <c r="BH188" s="21">
        <f>BE188*34.14</f>
        <v/>
      </c>
    </row>
    <row r="189">
      <c r="A189" s="10" t="n">
        <v>45811</v>
      </c>
      <c r="B189" s="11" t="n">
        <v>7303712734</v>
      </c>
      <c r="C189" s="11" t="n"/>
      <c r="D189" s="12" t="n">
        <v>337110241</v>
      </c>
      <c r="E189" s="11" t="n"/>
      <c r="N189" s="12" t="n">
        <v>2075025</v>
      </c>
      <c r="O189" s="11" t="n"/>
      <c r="P189" s="12" t="n">
        <v>75516</v>
      </c>
      <c r="Q189" s="11" t="n"/>
      <c r="R189" s="21">
        <f>N189+O189+P189+N(Q189)</f>
        <v/>
      </c>
      <c r="S189" s="13" t="n">
        <v>0.03</v>
      </c>
      <c r="T189" s="21">
        <f>N(AC189)*S189</f>
        <v/>
      </c>
      <c r="U189" s="21">
        <f>N(AD189)*S189</f>
        <v/>
      </c>
      <c r="V189" s="21">
        <f>N(AE189)*S189</f>
        <v/>
      </c>
      <c r="W189" s="21">
        <f>IF(Q189="","",N(AF189)*S189)</f>
        <v/>
      </c>
      <c r="X189" s="12" t="n">
        <v>12265</v>
      </c>
      <c r="Y189" s="11" t="n"/>
      <c r="Z189" s="11" t="n"/>
      <c r="AA189" s="21">
        <f>T189+U189+V189+N(W189)+X189+Y189+N(Z189)</f>
        <v/>
      </c>
      <c r="AB189" s="11" t="n"/>
      <c r="AC189" s="12" t="n">
        <v>2012775</v>
      </c>
      <c r="AD189" s="21">
        <f>O189-Y189</f>
        <v/>
      </c>
      <c r="AE189" s="21">
        <f>P189-X189</f>
        <v/>
      </c>
      <c r="AF189" s="21">
        <f>IF(Q189="","",Q189-Z189)</f>
        <v/>
      </c>
      <c r="AG189" s="22">
        <f>AC189+AD189+AE189+N(AF189)</f>
        <v/>
      </c>
      <c r="AH189" s="11" t="n">
        <v>2131282.663</v>
      </c>
      <c r="AI189" s="24">
        <f>AG189-AH189</f>
        <v/>
      </c>
      <c r="AJ189" s="14">
        <f>IF(OR(B189="",B189=0,N189=""),"",N189/B189*10000)</f>
        <v/>
      </c>
      <c r="AK189" s="14">
        <f>IF(OR(C189="",C189=0),"",O189/C189*10000)</f>
        <v/>
      </c>
      <c r="AL189" s="14">
        <f>IF(OR(D189="",D189=0),"",P189/D189*10000)</f>
        <v/>
      </c>
      <c r="AM189" s="14">
        <f>IF(OR(E189="",E189=0),"",Q189/E189*10000)</f>
        <v/>
      </c>
      <c r="AN189" s="11" t="n">
        <v>28415.57385003829</v>
      </c>
      <c r="AO189" s="11" t="n">
        <v>28339.88</v>
      </c>
      <c r="AP189" s="21">
        <f>AH189+AN189+AO189</f>
        <v/>
      </c>
      <c r="AQ189" s="21">
        <f>AH189</f>
        <v/>
      </c>
      <c r="AR189" s="15" t="n">
        <v>58331.9</v>
      </c>
      <c r="AS189" s="27" t="n">
        <v>36.537172</v>
      </c>
      <c r="AT189" s="15" t="n">
        <v>23963413.21</v>
      </c>
      <c r="AU189" s="15" t="n">
        <v>26211.5203</v>
      </c>
      <c r="AV189" s="15" t="n">
        <v>1977.5927</v>
      </c>
      <c r="AW189" s="15" t="n"/>
      <c r="AX189" s="16" t="n">
        <v>417.8845100635432</v>
      </c>
      <c r="AY189" s="13">
        <f>IF(OR(AX189="",AX189=0,AU189=""),"",AU189*365/(AX189*1000000))</f>
        <v/>
      </c>
      <c r="AZ189" s="15" t="n">
        <v>423952620.9767</v>
      </c>
      <c r="BA189" s="17" t="n">
        <v>60487233</v>
      </c>
      <c r="BB189" s="18" t="n">
        <v>23963413.21</v>
      </c>
      <c r="BC189" s="17" t="n">
        <v>2971663</v>
      </c>
      <c r="BD189" s="17">
        <f>1000000000-999734477.5292+34564.6565</f>
        <v/>
      </c>
      <c r="BE189" s="19">
        <f>1000000000-AZ189-BA189-BB189-BC189-BD189</f>
        <v/>
      </c>
      <c r="BF189" s="20" t="n">
        <v>238</v>
      </c>
      <c r="BG189" s="20">
        <f>BE189/1000000-BF189</f>
        <v/>
      </c>
      <c r="BH189" s="21">
        <f>BE189*36.68</f>
        <v/>
      </c>
    </row>
    <row r="190">
      <c r="A190" s="10" t="n">
        <v>45812</v>
      </c>
      <c r="B190" s="11" t="n">
        <v>5792362513</v>
      </c>
      <c r="C190" s="11" t="n"/>
      <c r="D190" s="12" t="n">
        <v>301159683</v>
      </c>
      <c r="E190" s="11" t="n"/>
      <c r="N190" s="12" t="n">
        <v>1645067</v>
      </c>
      <c r="O190" s="11" t="n"/>
      <c r="P190" s="12" t="n">
        <v>65504</v>
      </c>
      <c r="Q190" s="11" t="n"/>
      <c r="R190" s="21">
        <f>N190+O190+P190+N(Q190)</f>
        <v/>
      </c>
      <c r="S190" s="13" t="n">
        <v>0.03</v>
      </c>
      <c r="T190" s="21">
        <f>N(AC190)*S190</f>
        <v/>
      </c>
      <c r="U190" s="21">
        <f>N(AD190)*S190</f>
        <v/>
      </c>
      <c r="V190" s="21">
        <f>N(AE190)*S190</f>
        <v/>
      </c>
      <c r="W190" s="21">
        <f>IF(Q190="","",N(AF190)*S190)</f>
        <v/>
      </c>
      <c r="X190" s="12" t="n">
        <v>9918</v>
      </c>
      <c r="Y190" s="11" t="n"/>
      <c r="Z190" s="11" t="n"/>
      <c r="AA190" s="21">
        <f>T190+U190+V190+N(W190)+X190+Y190+N(Z190)</f>
        <v/>
      </c>
      <c r="AB190" s="11" t="n"/>
      <c r="AC190" s="12" t="n">
        <v>1595715</v>
      </c>
      <c r="AD190" s="21">
        <f>O190-Y190</f>
        <v/>
      </c>
      <c r="AE190" s="21">
        <f>P190-X190</f>
        <v/>
      </c>
      <c r="AF190" s="21">
        <f>IF(Q190="","",Q190-Z190)</f>
        <v/>
      </c>
      <c r="AG190" s="22">
        <f>AC190+AD190+AE190+N(AF190)</f>
        <v/>
      </c>
      <c r="AH190" s="11" t="n">
        <v>2068043.731</v>
      </c>
      <c r="AI190" s="24">
        <f>AG190-AH190</f>
        <v/>
      </c>
      <c r="AJ190" s="14">
        <f>IF(OR(B190="",B190=0,N190=""),"",N190/B190*10000)</f>
        <v/>
      </c>
      <c r="AK190" s="14">
        <f>IF(OR(C190="",C190=0),"",O190/C190*10000)</f>
        <v/>
      </c>
      <c r="AL190" s="14">
        <f>IF(OR(D190="",D190=0),"",P190/D190*10000)</f>
        <v/>
      </c>
      <c r="AM190" s="14">
        <f>IF(OR(E190="",E190=0),"",Q190/E190*10000)</f>
        <v/>
      </c>
      <c r="AN190" s="11" t="n">
        <v>23947.75573152116</v>
      </c>
      <c r="AO190" s="11" t="n">
        <v>28094.61</v>
      </c>
      <c r="AP190" s="21">
        <f>AH190+AN190+AO190</f>
        <v/>
      </c>
      <c r="AQ190" s="21">
        <f>AH190</f>
        <v/>
      </c>
      <c r="AR190" s="15" t="n">
        <v>56943.92</v>
      </c>
      <c r="AS190" s="27" t="n">
        <v>36.3172</v>
      </c>
      <c r="AT190" s="15" t="n">
        <v>24020357.13</v>
      </c>
      <c r="AU190" s="15" t="n">
        <v>26190.0142</v>
      </c>
      <c r="AV190" s="15" t="n">
        <v>2037.2925</v>
      </c>
      <c r="AW190" s="15" t="n"/>
      <c r="AX190" s="16" t="n">
        <v>418.1229836738709</v>
      </c>
      <c r="AY190" s="13">
        <f>IF(OR(AX190="",AX190=0,AU190=""),"",AU190*365/(AX190*1000000))</f>
        <v/>
      </c>
      <c r="AZ190" s="15" t="n">
        <v>423926430.9625</v>
      </c>
      <c r="BA190" s="17" t="n">
        <v>60487233</v>
      </c>
      <c r="BB190" s="18" t="n">
        <v>24020357.13</v>
      </c>
      <c r="BC190" s="17" t="n">
        <v>2971663</v>
      </c>
      <c r="BD190" s="17">
        <f>1000000000-999732440.2367+35231.1494</f>
        <v/>
      </c>
      <c r="BE190" s="19">
        <f>1000000000-AZ190-BA190-BB190-BC190-BD190</f>
        <v/>
      </c>
      <c r="BF190" s="20" t="n">
        <v>238</v>
      </c>
      <c r="BG190" s="20">
        <f>BE190/1000000-BF190</f>
        <v/>
      </c>
      <c r="BH190" s="21">
        <f>BE190*35.94</f>
        <v/>
      </c>
    </row>
    <row r="191">
      <c r="A191" s="10" t="n">
        <v>45813</v>
      </c>
      <c r="B191" s="11" t="n">
        <v>10473782982</v>
      </c>
      <c r="C191" s="11" t="n"/>
      <c r="D191" s="12" t="n">
        <v>426427482</v>
      </c>
      <c r="E191" s="11" t="n"/>
      <c r="N191" s="12" t="n">
        <v>3006762</v>
      </c>
      <c r="O191" s="11" t="n"/>
      <c r="P191" s="12" t="n">
        <v>93892</v>
      </c>
      <c r="Q191" s="11" t="n"/>
      <c r="R191" s="21">
        <f>N191+O191+P191+N(Q191)</f>
        <v/>
      </c>
      <c r="S191" s="13" t="n">
        <v>0.03</v>
      </c>
      <c r="T191" s="21">
        <f>N(AC191)*S191</f>
        <v/>
      </c>
      <c r="U191" s="21">
        <f>N(AD191)*S191</f>
        <v/>
      </c>
      <c r="V191" s="21">
        <f>N(AE191)*S191</f>
        <v/>
      </c>
      <c r="W191" s="21">
        <f>IF(Q191="","",N(AF191)*S191)</f>
        <v/>
      </c>
      <c r="X191" s="12" t="n">
        <v>15201</v>
      </c>
      <c r="Y191" s="11" t="n"/>
      <c r="Z191" s="11" t="n"/>
      <c r="AA191" s="21">
        <f>T191+U191+V191+N(W191)+X191+Y191+N(Z191)</f>
        <v/>
      </c>
      <c r="AB191" s="11" t="n"/>
      <c r="AC191" s="12" t="n">
        <v>2916559</v>
      </c>
      <c r="AD191" s="21">
        <f>O191-Y191</f>
        <v/>
      </c>
      <c r="AE191" s="21">
        <f>P191-X191</f>
        <v/>
      </c>
      <c r="AF191" s="21">
        <f>IF(Q191="","",Q191-Z191)</f>
        <v/>
      </c>
      <c r="AG191" s="22">
        <f>AC191+AD191+AE191+N(AF191)</f>
        <v/>
      </c>
      <c r="AH191" s="11" t="n">
        <v>1507195.643</v>
      </c>
      <c r="AI191" s="24">
        <f>AG191-AH191</f>
        <v/>
      </c>
      <c r="AJ191" s="14">
        <f>IF(OR(B191="",B191=0,N191=""),"",N191/B191*10000)</f>
        <v/>
      </c>
      <c r="AK191" s="14">
        <f>IF(OR(C191="",C191=0),"",O191/C191*10000)</f>
        <v/>
      </c>
      <c r="AL191" s="14">
        <f>IF(OR(D191="",D191=0),"",P191/D191*10000)</f>
        <v/>
      </c>
      <c r="AM191" s="14">
        <f>IF(OR(E191="",E191=0),"",Q191/E191*10000)</f>
        <v/>
      </c>
      <c r="AN191" s="11" t="n">
        <v>34218.45467730063</v>
      </c>
      <c r="AO191" s="11" t="n">
        <v>0</v>
      </c>
      <c r="AP191" s="21">
        <f>AH191+AN191+AO191</f>
        <v/>
      </c>
      <c r="AQ191" s="21">
        <f>AH191</f>
        <v/>
      </c>
      <c r="AR191" s="15" t="n">
        <v>44401.02</v>
      </c>
      <c r="AS191" s="27" t="n">
        <v>33.945068</v>
      </c>
      <c r="AT191" s="15" t="n">
        <v>24064758.15</v>
      </c>
      <c r="AU191" s="15" t="n">
        <v>26188.2055</v>
      </c>
      <c r="AV191" s="15" t="n">
        <v>1896.2776</v>
      </c>
      <c r="AW191" s="15" t="n"/>
      <c r="AX191" s="16" t="n">
        <v>418.7719023286814</v>
      </c>
      <c r="AY191" s="13">
        <f>IF(OR(AX191="",AX191=0,AU191=""),"",AU191*365/(AX191*1000000))</f>
        <v/>
      </c>
      <c r="AZ191" s="15" t="n">
        <v>423900242.7569</v>
      </c>
      <c r="BA191" s="17" t="n">
        <v>60487233</v>
      </c>
      <c r="BB191" s="18" t="n">
        <v>24064758.15</v>
      </c>
      <c r="BC191" s="17" t="n">
        <v>2971663</v>
      </c>
      <c r="BD191" s="17">
        <f>1000000000-999730543.9591+36195.1853</f>
        <v/>
      </c>
      <c r="BE191" s="19">
        <f>1000000000-AZ191-BA191-BB191-BC191-BD191</f>
        <v/>
      </c>
      <c r="BF191" s="20" t="n">
        <v>238</v>
      </c>
      <c r="BG191" s="20">
        <f>BE191/1000000-BF191</f>
        <v/>
      </c>
      <c r="BH191" s="21">
        <f>BE191*35.34</f>
        <v/>
      </c>
    </row>
    <row r="192">
      <c r="A192" s="10" t="n">
        <v>45814</v>
      </c>
      <c r="B192" s="11" t="n">
        <v>6130444266</v>
      </c>
      <c r="C192" s="11" t="n"/>
      <c r="D192" s="12" t="n">
        <v>263764756</v>
      </c>
      <c r="E192" s="11" t="n"/>
      <c r="N192" s="12" t="n">
        <v>1810563</v>
      </c>
      <c r="O192" s="11" t="n"/>
      <c r="P192" s="12" t="n">
        <v>59380</v>
      </c>
      <c r="Q192" s="11" t="n"/>
      <c r="R192" s="21">
        <f>N192+O192+P192+N(Q192)</f>
        <v/>
      </c>
      <c r="S192" s="13" t="n">
        <v>0.03</v>
      </c>
      <c r="T192" s="21">
        <f>N(AC192)*S192</f>
        <v/>
      </c>
      <c r="U192" s="21">
        <f>N(AD192)*S192</f>
        <v/>
      </c>
      <c r="V192" s="21">
        <f>N(AE192)*S192</f>
        <v/>
      </c>
      <c r="W192" s="21">
        <f>IF(Q192="","",N(AF192)*S192)</f>
        <v/>
      </c>
      <c r="X192" s="12" t="n">
        <v>12020</v>
      </c>
      <c r="Y192" s="11" t="n"/>
      <c r="Z192" s="11" t="n"/>
      <c r="AA192" s="21">
        <f>T192+U192+V192+N(W192)+X192+Y192+N(Z192)</f>
        <v/>
      </c>
      <c r="AB192" s="11" t="n"/>
      <c r="AC192" s="12" t="n">
        <v>1756246</v>
      </c>
      <c r="AD192" s="21">
        <f>O192-Y192</f>
        <v/>
      </c>
      <c r="AE192" s="21">
        <f>P192-X192</f>
        <v/>
      </c>
      <c r="AF192" s="21">
        <f>IF(Q192="","",Q192-Z192)</f>
        <v/>
      </c>
      <c r="AG192" s="22">
        <f>AC192+AD192+AE192+N(AF192)</f>
        <v/>
      </c>
      <c r="AH192" s="11" t="n">
        <v>3227629.667</v>
      </c>
      <c r="AI192" s="24">
        <f>AG192-AH192</f>
        <v/>
      </c>
      <c r="AJ192" s="14">
        <f>IF(OR(B192="",B192=0,N192=""),"",N192/B192*10000)</f>
        <v/>
      </c>
      <c r="AK192" s="14">
        <f>IF(OR(C192="",C192=0),"",O192/C192*10000)</f>
        <v/>
      </c>
      <c r="AL192" s="14">
        <f>IF(OR(D192="",D192=0),"",P192/D192*10000)</f>
        <v/>
      </c>
      <c r="AM192" s="14">
        <f>IF(OR(E192="",E192=0),"",Q192/E192*10000)</f>
        <v/>
      </c>
      <c r="AN192" s="11" t="n">
        <v>15010.01017266229</v>
      </c>
      <c r="AO192" s="11" t="n">
        <v>23530.7</v>
      </c>
      <c r="AP192" s="21">
        <f>AH192+AN192+AO192</f>
        <v/>
      </c>
      <c r="AQ192" s="21">
        <f>AH192</f>
        <v/>
      </c>
      <c r="AR192" s="15" t="n">
        <v>93474.94</v>
      </c>
      <c r="AS192" s="27" t="n">
        <v>34.529358</v>
      </c>
      <c r="AT192" s="15" t="n">
        <v>24158233.09</v>
      </c>
      <c r="AU192" s="15" t="n">
        <v>26212.4448</v>
      </c>
      <c r="AV192" s="15" t="n">
        <v>1516.1553</v>
      </c>
      <c r="AW192" s="15" t="n"/>
      <c r="AX192" s="16" t="n">
        <v>418.4659967578046</v>
      </c>
      <c r="AY192" s="13">
        <f>IF(OR(AX192="",AX192=0,AU192=""),"",AU192*365/(AX192*1000000))</f>
        <v/>
      </c>
      <c r="AZ192" s="15" t="n">
        <v>423874030.3122</v>
      </c>
      <c r="BA192" s="17" t="n">
        <v>60487233</v>
      </c>
      <c r="BB192" s="18" t="n">
        <v>24158233.09</v>
      </c>
      <c r="BC192" s="17" t="n">
        <v>2971663</v>
      </c>
      <c r="BD192" s="17">
        <f>1000000000-999729027.8037+36635.6716</f>
        <v/>
      </c>
      <c r="BE192" s="19">
        <f>1000000000-AZ192-BA192-BB192-BC192-BD192</f>
        <v/>
      </c>
      <c r="BF192" s="20" t="n">
        <v>238</v>
      </c>
      <c r="BG192" s="20">
        <f>BE192/1000000-BF192</f>
        <v/>
      </c>
      <c r="BH192" s="21">
        <f>BE192*33.98</f>
        <v/>
      </c>
    </row>
    <row r="193">
      <c r="A193" s="10" t="n">
        <v>45815</v>
      </c>
      <c r="B193" s="11" t="n">
        <v>3033732963</v>
      </c>
      <c r="C193" s="11" t="n"/>
      <c r="D193" s="12" t="n">
        <v>137044111</v>
      </c>
      <c r="E193" s="11" t="n"/>
      <c r="N193" s="12" t="n">
        <v>888062</v>
      </c>
      <c r="O193" s="11" t="n"/>
      <c r="P193" s="12" t="n">
        <v>30975</v>
      </c>
      <c r="Q193" s="11" t="n"/>
      <c r="R193" s="21">
        <f>N193+O193+P193+N(Q193)</f>
        <v/>
      </c>
      <c r="S193" s="13" t="n">
        <v>0.03</v>
      </c>
      <c r="T193" s="21">
        <f>N(AC193)*S193</f>
        <v/>
      </c>
      <c r="U193" s="21">
        <f>N(AD193)*S193</f>
        <v/>
      </c>
      <c r="V193" s="21">
        <f>N(AE193)*S193</f>
        <v/>
      </c>
      <c r="W193" s="21">
        <f>IF(Q193="","",N(AF193)*S193)</f>
        <v/>
      </c>
      <c r="X193" s="12" t="n">
        <v>6898</v>
      </c>
      <c r="Y193" s="11" t="n"/>
      <c r="Z193" s="11" t="n"/>
      <c r="AA193" s="21">
        <f>T193+U193+V193+N(W193)+X193+Y193+N(Z193)</f>
        <v/>
      </c>
      <c r="AB193" s="11" t="n"/>
      <c r="AC193" s="12" t="n">
        <v>861420</v>
      </c>
      <c r="AD193" s="21">
        <f>O193-Y193</f>
        <v/>
      </c>
      <c r="AE193" s="21">
        <f>P193-X193</f>
        <v/>
      </c>
      <c r="AF193" s="21">
        <f>IF(Q193="","",Q193-Z193)</f>
        <v/>
      </c>
      <c r="AG193" s="22">
        <f>AC193+AD193+AE193+N(AF193)</f>
        <v/>
      </c>
      <c r="AH193" s="11" t="n">
        <v>1547600.765</v>
      </c>
      <c r="AI193" s="24">
        <f>AG193-AH193</f>
        <v/>
      </c>
      <c r="AJ193" s="14">
        <f>IF(OR(B193="",B193=0,N193=""),"",N193/B193*10000)</f>
        <v/>
      </c>
      <c r="AK193" s="14">
        <f>IF(OR(C193="",C193=0),"",O193/C193*10000)</f>
        <v/>
      </c>
      <c r="AL193" s="14">
        <f>IF(OR(D193="",D193=0),"",P193/D193*10000)</f>
        <v/>
      </c>
      <c r="AM193" s="14">
        <f>IF(OR(E193="",E193=0),"",Q193/E193*10000)</f>
        <v/>
      </c>
      <c r="AN193" s="11" t="n">
        <v>10596.98572538256</v>
      </c>
      <c r="AO193" s="11" t="n">
        <v>19640.19</v>
      </c>
      <c r="AP193" s="21">
        <f>AH193+AN193+AO193</f>
        <v/>
      </c>
      <c r="AQ193" s="21">
        <f>AH193</f>
        <v/>
      </c>
      <c r="AR193" s="15" t="n">
        <v>45268.08</v>
      </c>
      <c r="AS193" s="27" t="n">
        <v>34.187462</v>
      </c>
      <c r="AT193" s="15" t="n">
        <v>24203501.17</v>
      </c>
      <c r="AU193" s="15" t="n">
        <v>26173.826</v>
      </c>
      <c r="AV193" s="15" t="n">
        <v>1731.8133</v>
      </c>
      <c r="AW193" s="15" t="n"/>
      <c r="AX193" s="16" t="n">
        <v>418.6728600545776</v>
      </c>
      <c r="AY193" s="13">
        <f>IF(OR(AX193="",AX193=0,AU193=""),"",AU193*365/(AX193*1000000))</f>
        <v/>
      </c>
      <c r="AZ193" s="15" t="n">
        <v>423847856.4862</v>
      </c>
      <c r="BA193" s="17" t="n">
        <v>60487233</v>
      </c>
      <c r="BB193" s="18" t="n">
        <v>24203501.17</v>
      </c>
      <c r="BC193" s="17" t="n">
        <v>2971663</v>
      </c>
      <c r="BD193" s="17">
        <f>1000000000-999727295.9905+36955.7255</f>
        <v/>
      </c>
      <c r="BE193" s="19">
        <f>1000000000-AZ193-BA193-BB193-BC193-BD193</f>
        <v/>
      </c>
      <c r="BF193" s="20" t="n">
        <v>238</v>
      </c>
      <c r="BG193" s="20">
        <f>BE193/1000000-BF193</f>
        <v/>
      </c>
      <c r="BH193" s="21">
        <f>BE193*33.03</f>
        <v/>
      </c>
    </row>
    <row r="194">
      <c r="A194" s="10" t="n">
        <v>45816</v>
      </c>
      <c r="B194" s="11" t="n">
        <v>3121700688</v>
      </c>
      <c r="C194" s="11" t="n"/>
      <c r="D194" s="12" t="n">
        <v>151362843</v>
      </c>
      <c r="E194" s="11" t="n"/>
      <c r="N194" s="21" t="n"/>
      <c r="O194" s="11" t="n"/>
      <c r="P194" s="11" t="n"/>
      <c r="Q194" s="11" t="n"/>
      <c r="R194" s="21">
        <f>N194+O194+P194+N(Q194)</f>
        <v/>
      </c>
      <c r="S194" s="13" t="n">
        <v>0.03</v>
      </c>
      <c r="T194" s="21">
        <f>N(AC194)*S194</f>
        <v/>
      </c>
      <c r="U194" s="21">
        <f>N(AD194)*S194</f>
        <v/>
      </c>
      <c r="V194" s="21">
        <f>N(AE194)*S194</f>
        <v/>
      </c>
      <c r="W194" s="21">
        <f>IF(Q194="","",N(AF194)*S194)</f>
        <v/>
      </c>
      <c r="X194" s="11" t="n"/>
      <c r="Y194" s="11" t="n"/>
      <c r="Z194" s="11" t="n"/>
      <c r="AA194" s="21">
        <f>T194+U194+V194+N(W194)+X194+Y194+N(Z194)</f>
        <v/>
      </c>
      <c r="AB194" s="11" t="n"/>
      <c r="AC194" s="21" t="n"/>
      <c r="AD194" s="21">
        <f>O194-Y194</f>
        <v/>
      </c>
      <c r="AE194" s="21">
        <f>P194-X194</f>
        <v/>
      </c>
      <c r="AF194" s="21">
        <f>IF(Q194="","",Q194-Z194)</f>
        <v/>
      </c>
      <c r="AG194" s="22">
        <f>AC194+AD194+AE194+N(AF194)</f>
        <v/>
      </c>
      <c r="AH194" s="11" t="n">
        <v>795945.0894000001</v>
      </c>
      <c r="AI194" s="24">
        <f>AG194-AH194</f>
        <v/>
      </c>
      <c r="AJ194" s="14">
        <f>IF(OR(B194="",B194=0,N194=""),"",N194/B194*10000)</f>
        <v/>
      </c>
      <c r="AK194" s="14">
        <f>IF(OR(C194="",C194=0),"",O194/C194*10000)</f>
        <v/>
      </c>
      <c r="AL194" s="14">
        <f>IF(OR(D194="",D194=0),"",P194/D194*10000)</f>
        <v/>
      </c>
      <c r="AM194" s="14">
        <f>IF(OR(E194="",E194=0),"",Q194/E194*10000)</f>
        <v/>
      </c>
      <c r="AN194" s="11" t="n">
        <v>12374.01890525949</v>
      </c>
      <c r="AO194" s="11" t="n">
        <v>24701.2</v>
      </c>
      <c r="AP194" s="21">
        <f>AH194+AN194+AO194</f>
        <v/>
      </c>
      <c r="AQ194" s="21">
        <f>AH194</f>
        <v/>
      </c>
      <c r="AR194" s="15" t="n">
        <v>22402.6</v>
      </c>
      <c r="AS194" s="27" t="n">
        <v>35.529139</v>
      </c>
      <c r="AT194" s="15" t="n">
        <v>24225903.77</v>
      </c>
      <c r="AU194" s="15" t="n">
        <v>26210.6307</v>
      </c>
      <c r="AV194" s="15" t="n">
        <v>1145.1683</v>
      </c>
      <c r="AW194" s="15" t="n"/>
      <c r="AX194" s="16" t="n">
        <v>418.6298203956841</v>
      </c>
      <c r="AY194" s="13">
        <f>IF(OR(AX194="",AX194=0,AU194=""),"",AU194*365/(AX194*1000000))</f>
        <v/>
      </c>
      <c r="AZ194" s="15" t="n">
        <v>423821645.8555</v>
      </c>
      <c r="BA194" s="17" t="n">
        <v>60487233</v>
      </c>
      <c r="BB194" s="18" t="n">
        <v>24225903.77</v>
      </c>
      <c r="BC194" s="17" t="n">
        <v>2971663</v>
      </c>
      <c r="BD194" s="17">
        <f>1000000000-999726150.8222+37311.6178</f>
        <v/>
      </c>
      <c r="BE194" s="19">
        <f>1000000000-AZ194-BA194-BB194-BC194-BD194</f>
        <v/>
      </c>
      <c r="BF194" s="20" t="n">
        <v>238</v>
      </c>
      <c r="BG194" s="20">
        <f>BE194/1000000-BF194</f>
        <v/>
      </c>
      <c r="BH194" s="21">
        <f>BE194*34.72</f>
        <v/>
      </c>
    </row>
    <row r="195">
      <c r="A195" s="10" t="n">
        <v>45817</v>
      </c>
      <c r="B195" s="11" t="n">
        <v>7946952907</v>
      </c>
      <c r="C195" s="11" t="n"/>
      <c r="D195" s="12" t="n">
        <v>359240055</v>
      </c>
      <c r="E195" s="11" t="n"/>
      <c r="N195" s="21" t="n"/>
      <c r="O195" s="11" t="n"/>
      <c r="P195" s="11" t="n"/>
      <c r="Q195" s="11" t="n"/>
      <c r="R195" s="21">
        <f>N195+O195+P195+N(Q195)</f>
        <v/>
      </c>
      <c r="S195" s="13" t="n">
        <v>0.03</v>
      </c>
      <c r="T195" s="21">
        <f>N(AC195)*S195</f>
        <v/>
      </c>
      <c r="U195" s="21">
        <f>N(AD195)*S195</f>
        <v/>
      </c>
      <c r="V195" s="21">
        <f>N(AE195)*S195</f>
        <v/>
      </c>
      <c r="W195" s="21">
        <f>IF(Q195="","",N(AF195)*S195)</f>
        <v/>
      </c>
      <c r="X195" s="11" t="n"/>
      <c r="Y195" s="11" t="n"/>
      <c r="Z195" s="11" t="n"/>
      <c r="AA195" s="21">
        <f>T195+U195+V195+N(W195)+X195+Y195+N(Z195)</f>
        <v/>
      </c>
      <c r="AB195" s="11" t="n"/>
      <c r="AC195" s="21" t="n"/>
      <c r="AD195" s="21">
        <f>O195-Y195</f>
        <v/>
      </c>
      <c r="AE195" s="21">
        <f>P195-X195</f>
        <v/>
      </c>
      <c r="AF195" s="21">
        <f>IF(Q195="","",Q195-Z195)</f>
        <v/>
      </c>
      <c r="AG195" s="22">
        <f>AC195+AD195+AE195+N(AF195)</f>
        <v/>
      </c>
      <c r="AH195" s="11" t="n">
        <v>1033782.871</v>
      </c>
      <c r="AI195" s="24">
        <f>AG195-AH195</f>
        <v/>
      </c>
      <c r="AJ195" s="14">
        <f>IF(OR(B195="",B195=0,N195=""),"",N195/B195*10000)</f>
        <v/>
      </c>
      <c r="AK195" s="14">
        <f>IF(OR(C195="",C195=0),"",O195/C195*10000)</f>
        <v/>
      </c>
      <c r="AL195" s="14">
        <f>IF(OR(D195="",D195=0),"",P195/D195*10000)</f>
        <v/>
      </c>
      <c r="AM195" s="14">
        <f>IF(OR(E195="",E195=0),"",Q195/E195*10000)</f>
        <v/>
      </c>
      <c r="AN195" s="11" t="n">
        <v>21782.4085150401</v>
      </c>
      <c r="AO195" s="11" t="n">
        <v>0</v>
      </c>
      <c r="AP195" s="21">
        <f>AH195+AN195+AO195</f>
        <v/>
      </c>
      <c r="AQ195" s="21">
        <f>AH195</f>
        <v/>
      </c>
      <c r="AR195" s="15" t="n">
        <v>27813.55</v>
      </c>
      <c r="AS195" s="27" t="n">
        <v>37.168318</v>
      </c>
      <c r="AT195" s="15" t="n">
        <v>24253717.32</v>
      </c>
      <c r="AU195" s="15" t="n">
        <v>25299.7854</v>
      </c>
      <c r="AV195" s="15" t="n">
        <v>1303.6525</v>
      </c>
      <c r="AW195" s="15" t="n"/>
      <c r="AX195" s="16" t="n">
        <v>418.5107995885483</v>
      </c>
      <c r="AY195" s="13">
        <f>IF(OR(AX195="",AX195=0,AU195=""),"",AU195*365/(AX195*1000000))</f>
        <v/>
      </c>
      <c r="AZ195" s="15" t="n">
        <v>423796346.0701</v>
      </c>
      <c r="BA195" s="17" t="n">
        <v>60487233</v>
      </c>
      <c r="BB195" s="18" t="n">
        <v>24253717.32</v>
      </c>
      <c r="BC195" s="17" t="n">
        <v>2971663</v>
      </c>
      <c r="BD195" s="17">
        <f>1000000000-999724847.1697+37935.7556</f>
        <v/>
      </c>
      <c r="BE195" s="19">
        <f>1000000000-AZ195-BA195-BB195-BC195-BD195</f>
        <v/>
      </c>
      <c r="BF195" s="20" t="n">
        <v>238</v>
      </c>
      <c r="BG195" s="20">
        <f>BE195/1000000-BF195</f>
        <v/>
      </c>
      <c r="BH195" s="21">
        <f>BE195*34.8</f>
        <v/>
      </c>
    </row>
    <row r="196">
      <c r="A196" s="10" t="n">
        <v>45818</v>
      </c>
      <c r="B196" s="11" t="n">
        <v>8868062327</v>
      </c>
      <c r="C196" s="11" t="n"/>
      <c r="D196" s="12" t="n">
        <v>493501254</v>
      </c>
      <c r="E196" s="11" t="n"/>
      <c r="N196" s="12" t="n">
        <v>2654323</v>
      </c>
      <c r="O196" s="11" t="n"/>
      <c r="P196" s="12" t="n">
        <v>115467</v>
      </c>
      <c r="Q196" s="11" t="n"/>
      <c r="R196" s="21">
        <f>N196+O196+P196+N(Q196)</f>
        <v/>
      </c>
      <c r="S196" s="13" t="n">
        <v>0.03</v>
      </c>
      <c r="T196" s="21">
        <f>N(AC196)*S196</f>
        <v/>
      </c>
      <c r="U196" s="21">
        <f>N(AD196)*S196</f>
        <v/>
      </c>
      <c r="V196" s="21">
        <f>N(AE196)*S196</f>
        <v/>
      </c>
      <c r="W196" s="21">
        <f>IF(Q196="","",N(AF196)*S196)</f>
        <v/>
      </c>
      <c r="X196" s="12" t="n">
        <v>22226</v>
      </c>
      <c r="Y196" s="11" t="n"/>
      <c r="Z196" s="11" t="n"/>
      <c r="AA196" s="21">
        <f>T196+U196+V196+N(W196)+X196+Y196+N(Z196)</f>
        <v/>
      </c>
      <c r="AB196" s="11" t="n"/>
      <c r="AC196" s="12" t="n">
        <v>2574693</v>
      </c>
      <c r="AD196" s="21">
        <f>O196-Y196</f>
        <v/>
      </c>
      <c r="AE196" s="21">
        <f>P196-X196</f>
        <v/>
      </c>
      <c r="AF196" s="21">
        <f>IF(Q196="","",Q196-Z196)</f>
        <v/>
      </c>
      <c r="AG196" s="22">
        <f>AC196+AD196+AE196+N(AF196)</f>
        <v/>
      </c>
      <c r="AH196" s="11" t="n">
        <v>2966717.529</v>
      </c>
      <c r="AI196" s="24">
        <f>AG196-AH196</f>
        <v/>
      </c>
      <c r="AJ196" s="14">
        <f>IF(OR(B196="",B196=0,N196=""),"",N196/B196*10000)</f>
        <v/>
      </c>
      <c r="AK196" s="14">
        <f>IF(OR(C196="",C196=0),"",O196/C196*10000)</f>
        <v/>
      </c>
      <c r="AL196" s="14">
        <f>IF(OR(D196="",D196=0),"",P196/D196*10000)</f>
        <v/>
      </c>
      <c r="AM196" s="14">
        <f>IF(OR(E196="",E196=0),"",Q196/E196*10000)</f>
        <v/>
      </c>
      <c r="AN196" s="11" t="n">
        <v>36602.41261427078</v>
      </c>
      <c r="AO196" s="11" t="n">
        <v>19441.33</v>
      </c>
      <c r="AP196" s="21">
        <f>AH196+AN196+AO196</f>
        <v/>
      </c>
      <c r="AQ196" s="21">
        <f>AH196</f>
        <v/>
      </c>
      <c r="AR196" s="15" t="n">
        <v>72585.42</v>
      </c>
      <c r="AS196" s="27" t="n">
        <v>40.872086</v>
      </c>
      <c r="AT196" s="15" t="n">
        <v>24326302.74</v>
      </c>
      <c r="AU196" s="15" t="n">
        <v>26201.0939</v>
      </c>
      <c r="AV196" s="15" t="n">
        <v>1301.1221</v>
      </c>
      <c r="AW196" s="15" t="n"/>
      <c r="AX196" s="16" t="n">
        <v>418.3646705476461</v>
      </c>
      <c r="AY196" s="13">
        <f>IF(OR(AX196="",AX196=0,AU196=""),"",AU196*365/(AX196*1000000))</f>
        <v/>
      </c>
      <c r="AZ196" s="15" t="n">
        <v>423770144.9763</v>
      </c>
      <c r="BA196" s="17" t="n">
        <v>60487233</v>
      </c>
      <c r="BB196" s="18" t="n">
        <v>24326302.74</v>
      </c>
      <c r="BC196" s="17" t="n">
        <v>2971663</v>
      </c>
      <c r="BD196" s="17">
        <f>1000000000-999723546.0476+38878.3151</f>
        <v/>
      </c>
      <c r="BE196" s="19">
        <f>1000000000-AZ196-BA196-BB196-BC196-BD196</f>
        <v/>
      </c>
      <c r="BF196" s="20" t="n">
        <v>238</v>
      </c>
      <c r="BG196" s="20">
        <f>BE196/1000000-BF196</f>
        <v/>
      </c>
      <c r="BH196" s="21">
        <f>BE196*38.51</f>
        <v/>
      </c>
    </row>
    <row r="197">
      <c r="A197" s="10" t="n">
        <v>45819</v>
      </c>
      <c r="B197" s="11" t="n">
        <v>8880849386</v>
      </c>
      <c r="C197" s="11" t="n"/>
      <c r="D197" s="12" t="n">
        <v>491823654</v>
      </c>
      <c r="E197" s="11" t="n"/>
      <c r="N197" s="12" t="n">
        <v>2637641</v>
      </c>
      <c r="O197" s="11" t="n"/>
      <c r="P197" s="12" t="n">
        <v>105920</v>
      </c>
      <c r="Q197" s="11" t="n"/>
      <c r="R197" s="21">
        <f>N197+O197+P197+N(Q197)</f>
        <v/>
      </c>
      <c r="S197" s="13" t="n">
        <v>0.03</v>
      </c>
      <c r="T197" s="21">
        <f>N(AC197)*S197</f>
        <v/>
      </c>
      <c r="U197" s="21">
        <f>N(AD197)*S197</f>
        <v/>
      </c>
      <c r="V197" s="21">
        <f>N(AE197)*S197</f>
        <v/>
      </c>
      <c r="W197" s="21">
        <f>IF(Q197="","",N(AF197)*S197)</f>
        <v/>
      </c>
      <c r="X197" s="12" t="n">
        <v>24755</v>
      </c>
      <c r="Y197" s="11" t="n"/>
      <c r="Z197" s="11" t="n"/>
      <c r="AA197" s="21">
        <f>T197+U197+V197+N(W197)+X197+Y197+N(Z197)</f>
        <v/>
      </c>
      <c r="AB197" s="11" t="n"/>
      <c r="AC197" s="12" t="n">
        <v>2558512</v>
      </c>
      <c r="AD197" s="21">
        <f>O197-Y197</f>
        <v/>
      </c>
      <c r="AE197" s="21">
        <f>P197-X197</f>
        <v/>
      </c>
      <c r="AF197" s="21">
        <f>IF(Q197="","",Q197-Z197)</f>
        <v/>
      </c>
      <c r="AG197" s="22">
        <f>AC197+AD197+AE197+N(AF197)</f>
        <v/>
      </c>
      <c r="AH197" s="11" t="n">
        <v>2670016.404</v>
      </c>
      <c r="AI197" s="24">
        <f>AG197-AH197</f>
        <v/>
      </c>
      <c r="AJ197" s="14">
        <f>IF(OR(B197="",B197=0,N197=""),"",N197/B197*10000)</f>
        <v/>
      </c>
      <c r="AK197" s="14">
        <f>IF(OR(C197="",C197=0),"",O197/C197*10000)</f>
        <v/>
      </c>
      <c r="AL197" s="14">
        <f>IF(OR(D197="",D197=0),"",P197/D197*10000)</f>
        <v/>
      </c>
      <c r="AM197" s="14">
        <f>IF(OR(E197="",E197=0),"",Q197/E197*10000)</f>
        <v/>
      </c>
      <c r="AN197" s="11" t="n">
        <v>23763.46511041922</v>
      </c>
      <c r="AO197" s="11" t="n">
        <v>0</v>
      </c>
      <c r="AP197" s="21">
        <f>AH197+AN197+AO197</f>
        <v/>
      </c>
      <c r="AQ197" s="21">
        <f>AH197</f>
        <v/>
      </c>
      <c r="AR197" s="15" t="n">
        <v>62825.88</v>
      </c>
      <c r="AS197" s="27" t="n">
        <v>42.498671</v>
      </c>
      <c r="AT197" s="15" t="n">
        <v>24389128.62</v>
      </c>
      <c r="AU197" s="15" t="n">
        <v>26194.2846</v>
      </c>
      <c r="AV197" s="15" t="n">
        <v>2420.7992</v>
      </c>
      <c r="AW197" s="15" t="n"/>
      <c r="AX197" s="16" t="n">
        <v>417.9488968910906</v>
      </c>
      <c r="AY197" s="13">
        <f>IF(OR(AX197="",AX197=0,AU197=""),"",AU197*365/(AX197*1000000))</f>
        <v/>
      </c>
      <c r="AZ197" s="15" t="n">
        <v>423743950.6916</v>
      </c>
      <c r="BA197" s="17" t="n">
        <v>60487233</v>
      </c>
      <c r="BB197" s="18" t="n">
        <v>24389128.62</v>
      </c>
      <c r="BC197" s="17" t="n">
        <v>2971663</v>
      </c>
      <c r="BD197" s="17">
        <f>1000000000-999721125.2484+39443.4660</f>
        <v/>
      </c>
      <c r="BE197" s="19">
        <f>1000000000-AZ197-BA197-BB197-BC197-BD197</f>
        <v/>
      </c>
      <c r="BF197" s="20" t="n">
        <v>238</v>
      </c>
      <c r="BG197" s="20">
        <f>BE197/1000000-BF197</f>
        <v/>
      </c>
      <c r="BH197" s="21">
        <f>BE197*42.21</f>
        <v/>
      </c>
    </row>
    <row r="198">
      <c r="A198" s="10" t="n">
        <v>45820</v>
      </c>
      <c r="B198" s="11" t="n">
        <v>9859976825</v>
      </c>
      <c r="C198" s="11" t="n"/>
      <c r="D198" s="12" t="n">
        <v>499156091</v>
      </c>
      <c r="E198" s="11" t="n"/>
      <c r="N198" s="12" t="n">
        <v>2925611</v>
      </c>
      <c r="O198" s="11" t="n"/>
      <c r="P198" s="12" t="n">
        <v>95479</v>
      </c>
      <c r="Q198" s="11" t="n"/>
      <c r="R198" s="21">
        <f>N198+O198+P198+N(Q198)</f>
        <v/>
      </c>
      <c r="S198" s="13" t="n">
        <v>0.03</v>
      </c>
      <c r="T198" s="21">
        <f>N(AC198)*S198</f>
        <v/>
      </c>
      <c r="U198" s="21">
        <f>N(AD198)*S198</f>
        <v/>
      </c>
      <c r="V198" s="21">
        <f>N(AE198)*S198</f>
        <v/>
      </c>
      <c r="W198" s="21">
        <f>IF(Q198="","",N(AF198)*S198)</f>
        <v/>
      </c>
      <c r="X198" s="12" t="n">
        <v>15274</v>
      </c>
      <c r="Y198" s="11" t="n"/>
      <c r="Z198" s="11" t="n"/>
      <c r="AA198" s="21">
        <f>T198+U198+V198+N(W198)+X198+Y198+N(Z198)</f>
        <v/>
      </c>
      <c r="AB198" s="11" t="n"/>
      <c r="AC198" s="12" t="n">
        <v>2837842</v>
      </c>
      <c r="AD198" s="21">
        <f>O198-Y198</f>
        <v/>
      </c>
      <c r="AE198" s="21">
        <f>P198-X198</f>
        <v/>
      </c>
      <c r="AF198" s="21">
        <f>IF(Q198="","",Q198-Z198)</f>
        <v/>
      </c>
      <c r="AG198" s="22">
        <f>AC198+AD198+AE198+N(AF198)</f>
        <v/>
      </c>
      <c r="AH198" s="11" t="n">
        <v>2787983.18</v>
      </c>
      <c r="AI198" s="24">
        <f>AG198-AH198</f>
        <v/>
      </c>
      <c r="AJ198" s="14">
        <f>IF(OR(B198="",B198=0,N198=""),"",N198/B198*10000)</f>
        <v/>
      </c>
      <c r="AK198" s="14">
        <f>IF(OR(C198="",C198=0),"",O198/C198*10000)</f>
        <v/>
      </c>
      <c r="AL198" s="14">
        <f>IF(OR(D198="",D198=0),"",P198/D198*10000)</f>
        <v/>
      </c>
      <c r="AM198" s="14">
        <f>IF(OR(E198="",E198=0),"",Q198/E198*10000)</f>
        <v/>
      </c>
      <c r="AN198" s="11" t="n">
        <v>21543.03993374298</v>
      </c>
      <c r="AO198" s="11" t="n">
        <v>0</v>
      </c>
      <c r="AP198" s="21">
        <f>AH198+AN198+AO198</f>
        <v/>
      </c>
      <c r="AQ198" s="21">
        <f>AH198</f>
        <v/>
      </c>
      <c r="AR198" s="15" t="n">
        <v>66551.07000000001</v>
      </c>
      <c r="AS198" s="27" t="n">
        <v>41.892387</v>
      </c>
      <c r="AT198" s="15" t="n">
        <v>24455679.69</v>
      </c>
      <c r="AU198" s="15" t="n">
        <v>26172.6772</v>
      </c>
      <c r="AV198" s="15" t="n">
        <v>1573.8715</v>
      </c>
      <c r="AW198" s="15" t="n"/>
      <c r="AX198" s="16" t="n">
        <v>417.3013437597028</v>
      </c>
      <c r="AY198" s="13">
        <f>IF(OR(AX198="",AX198=0,AU198=""),"",AU198*365/(AX198*1000000))</f>
        <v/>
      </c>
      <c r="AZ198" s="15" t="n">
        <v>423717778.0144</v>
      </c>
      <c r="BA198" s="17" t="n">
        <v>60487233</v>
      </c>
      <c r="BB198" s="18" t="n">
        <v>24455679.69</v>
      </c>
      <c r="BC198" s="17" t="n">
        <v>2971663</v>
      </c>
      <c r="BD198" s="17">
        <f>1000000000-999719551.3769+39965.9748</f>
        <v/>
      </c>
      <c r="BE198" s="19">
        <f>1000000000-AZ198-BA198-BB198-BC198-BD198</f>
        <v/>
      </c>
      <c r="BF198" s="20" t="n">
        <v>238</v>
      </c>
      <c r="BG198" s="20">
        <f>BE198/1000000-BF198</f>
        <v/>
      </c>
      <c r="BH198" s="21">
        <f>BE198*41.34</f>
        <v/>
      </c>
    </row>
    <row r="199">
      <c r="A199" s="10" t="n">
        <v>45821</v>
      </c>
      <c r="B199" s="11" t="n">
        <v>13286056842</v>
      </c>
      <c r="C199" s="11" t="n"/>
      <c r="D199" s="12" t="n">
        <v>642044619</v>
      </c>
      <c r="E199" s="11" t="n"/>
      <c r="N199" s="12" t="n">
        <v>3865699</v>
      </c>
      <c r="O199" s="11" t="n"/>
      <c r="P199" s="12" t="n">
        <v>148721</v>
      </c>
      <c r="Q199" s="11" t="n"/>
      <c r="R199" s="21">
        <f>N199+O199+P199+N(Q199)</f>
        <v/>
      </c>
      <c r="S199" s="13" t="n">
        <v>0.03</v>
      </c>
      <c r="T199" s="21">
        <f>N(AC199)*S199</f>
        <v/>
      </c>
      <c r="U199" s="21">
        <f>N(AD199)*S199</f>
        <v/>
      </c>
      <c r="V199" s="21">
        <f>N(AE199)*S199</f>
        <v/>
      </c>
      <c r="W199" s="21">
        <f>IF(Q199="","",N(AF199)*S199)</f>
        <v/>
      </c>
      <c r="X199" s="12" t="n">
        <v>17314</v>
      </c>
      <c r="Y199" s="11" t="n"/>
      <c r="Z199" s="11" t="n"/>
      <c r="AA199" s="21">
        <f>T199+U199+V199+N(W199)+X199+Y199+N(Z199)</f>
        <v/>
      </c>
      <c r="AB199" s="11" t="n"/>
      <c r="AC199" s="12" t="n">
        <v>3749728</v>
      </c>
      <c r="AD199" s="21">
        <f>O199-Y199</f>
        <v/>
      </c>
      <c r="AE199" s="21">
        <f>P199-X199</f>
        <v/>
      </c>
      <c r="AF199" s="21">
        <f>IF(Q199="","",Q199-Z199)</f>
        <v/>
      </c>
      <c r="AG199" s="22">
        <f>AC199+AD199+AE199+N(AF199)</f>
        <v/>
      </c>
      <c r="AH199" s="11" t="n">
        <v>4333047.901</v>
      </c>
      <c r="AI199" s="24">
        <f>AG199-AH199</f>
        <v/>
      </c>
      <c r="AJ199" s="14">
        <f>IF(OR(B199="",B199=0,N199=""),"",N199/B199*10000)</f>
        <v/>
      </c>
      <c r="AK199" s="14">
        <f>IF(OR(C199="",C199=0),"",O199/C199*10000)</f>
        <v/>
      </c>
      <c r="AL199" s="14">
        <f>IF(OR(D199="",D199=0),"",P199/D199*10000)</f>
        <v/>
      </c>
      <c r="AM199" s="14">
        <f>IF(OR(E199="",E199=0),"",Q199/E199*10000)</f>
        <v/>
      </c>
      <c r="AN199" s="11" t="n">
        <v>25139.00915677668</v>
      </c>
      <c r="AO199" s="11" t="n">
        <v>20463.77</v>
      </c>
      <c r="AP199" s="21">
        <f>AH199+AN199+AO199</f>
        <v/>
      </c>
      <c r="AQ199" s="21">
        <f>AH199</f>
        <v/>
      </c>
      <c r="AR199" s="15" t="n">
        <v>106831.07</v>
      </c>
      <c r="AS199" s="27" t="n">
        <v>40.55981</v>
      </c>
      <c r="AT199" s="15" t="n">
        <v>24562510.76</v>
      </c>
      <c r="AU199" s="15" t="n">
        <v>26192.0002</v>
      </c>
      <c r="AV199" s="15" t="n">
        <v>1328.325</v>
      </c>
      <c r="AW199" s="15" t="n"/>
      <c r="AX199" s="16" t="n">
        <v>420.5324196988528</v>
      </c>
      <c r="AY199" s="13">
        <f>IF(OR(AX199="",AX199=0,AU199=""),"",AU199*365/(AX199*1000000))</f>
        <v/>
      </c>
      <c r="AZ199" s="15" t="n">
        <v>423691586.0142</v>
      </c>
      <c r="BA199" s="17" t="n">
        <v>60487233</v>
      </c>
      <c r="BB199" s="18" t="n">
        <v>24562510.76</v>
      </c>
      <c r="BC199" s="17" t="n">
        <v>2971663</v>
      </c>
      <c r="BD199" s="17">
        <f>1000000000-999718223.0519+40617.3795</f>
        <v/>
      </c>
      <c r="BE199" s="19">
        <f>1000000000-AZ199-BA199-BB199-BC199-BD199</f>
        <v/>
      </c>
      <c r="BF199" s="20" t="n">
        <v>238</v>
      </c>
      <c r="BG199" s="20">
        <f>BE199/1000000-BF199</f>
        <v/>
      </c>
      <c r="BH199" s="21">
        <f>BE199*39.44</f>
        <v/>
      </c>
    </row>
    <row r="200">
      <c r="A200" s="10" t="n">
        <v>45822</v>
      </c>
      <c r="B200" s="11" t="n">
        <v>4490469120</v>
      </c>
      <c r="C200" s="11" t="n"/>
      <c r="D200" s="12" t="n">
        <v>223313776</v>
      </c>
      <c r="E200" s="11" t="n"/>
      <c r="N200" s="12" t="n">
        <v>1273377</v>
      </c>
      <c r="O200" s="11" t="n"/>
      <c r="P200" s="12" t="n">
        <v>53146</v>
      </c>
      <c r="Q200" s="11" t="n"/>
      <c r="R200" s="21">
        <f>N200+O200+P200+N(Q200)</f>
        <v/>
      </c>
      <c r="S200" s="13" t="n">
        <v>0.03</v>
      </c>
      <c r="T200" s="21">
        <f>N(AC200)*S200</f>
        <v/>
      </c>
      <c r="U200" s="21">
        <f>N(AD200)*S200</f>
        <v/>
      </c>
      <c r="V200" s="21">
        <f>N(AE200)*S200</f>
        <v/>
      </c>
      <c r="W200" s="21">
        <f>IF(Q200="","",N(AF200)*S200)</f>
        <v/>
      </c>
      <c r="X200" s="12" t="n">
        <v>6066</v>
      </c>
      <c r="Y200" s="11" t="n"/>
      <c r="Z200" s="11" t="n"/>
      <c r="AA200" s="21">
        <f>T200+U200+V200+N(W200)+X200+Y200+N(Z200)</f>
        <v/>
      </c>
      <c r="AB200" s="11" t="n"/>
      <c r="AC200" s="12" t="n">
        <v>1235175</v>
      </c>
      <c r="AD200" s="21">
        <f>O200-Y200</f>
        <v/>
      </c>
      <c r="AE200" s="21">
        <f>P200-X200</f>
        <v/>
      </c>
      <c r="AF200" s="21">
        <f>IF(Q200="","",Q200-Z200)</f>
        <v/>
      </c>
      <c r="AG200" s="22">
        <f>AC200+AD200+AE200+N(AF200)</f>
        <v/>
      </c>
      <c r="AH200" s="11" t="n">
        <v>2185535.18</v>
      </c>
      <c r="AI200" s="24">
        <f>AG200-AH200</f>
        <v/>
      </c>
      <c r="AJ200" s="14">
        <f>IF(OR(B200="",B200=0,N200=""),"",N200/B200*10000)</f>
        <v/>
      </c>
      <c r="AK200" s="14">
        <f>IF(OR(C200="",C200=0),"",O200/C200*10000)</f>
        <v/>
      </c>
      <c r="AL200" s="14">
        <f>IF(OR(D200="",D200=0),"",P200/D200*10000)</f>
        <v/>
      </c>
      <c r="AM200" s="14">
        <f>IF(OR(E200="",E200=0),"",Q200/E200*10000)</f>
        <v/>
      </c>
      <c r="AN200" s="11" t="n">
        <v>8906.428435099993</v>
      </c>
      <c r="AO200" s="11" t="n">
        <v>34537.61</v>
      </c>
      <c r="AP200" s="21">
        <f>AH200+AN200+AO200</f>
        <v/>
      </c>
      <c r="AQ200" s="21">
        <f>AH200</f>
        <v/>
      </c>
      <c r="AR200" s="15" t="n">
        <v>53683.83</v>
      </c>
      <c r="AS200" s="27" t="n">
        <v>40.711238</v>
      </c>
      <c r="AT200" s="15" t="n">
        <v>24616194.59</v>
      </c>
      <c r="AU200" s="15" t="n">
        <v>26263.4844</v>
      </c>
      <c r="AV200" s="15" t="n">
        <v>2718.0225</v>
      </c>
      <c r="AW200" s="15" t="n"/>
      <c r="AX200" s="16" t="n">
        <v>421.2096141779845</v>
      </c>
      <c r="AY200" s="13">
        <f>IF(OR(AX200="",AX200=0,AU200=""),"",AU200*365/(AX200*1000000))</f>
        <v/>
      </c>
      <c r="AZ200" s="15" t="n">
        <v>423665322.5298</v>
      </c>
      <c r="BA200" s="17" t="n">
        <v>60487233</v>
      </c>
      <c r="BB200" s="18" t="n">
        <v>24616194.59</v>
      </c>
      <c r="BC200" s="17" t="n">
        <v>2971663</v>
      </c>
      <c r="BD200" s="17">
        <f>1000000000-999715505.0294+40828.0529</f>
        <v/>
      </c>
      <c r="BE200" s="19">
        <f>1000000000-AZ200-BA200-BB200-BC200-BD200</f>
        <v/>
      </c>
      <c r="BF200" s="20" t="n">
        <v>238</v>
      </c>
      <c r="BG200" s="20">
        <f>BE200/1000000-BF200</f>
        <v/>
      </c>
      <c r="BH200" s="21">
        <f>BE200*42.07</f>
        <v/>
      </c>
    </row>
    <row r="201">
      <c r="A201" s="10" t="n">
        <v>45823</v>
      </c>
      <c r="B201" s="11" t="n">
        <v>4120559321</v>
      </c>
      <c r="C201" s="11" t="n"/>
      <c r="D201" s="12" t="n">
        <v>208088792</v>
      </c>
      <c r="E201" s="11" t="n"/>
      <c r="N201" s="12" t="n">
        <v>1168676</v>
      </c>
      <c r="O201" s="11" t="n"/>
      <c r="P201" s="12" t="n">
        <v>39647</v>
      </c>
      <c r="Q201" s="11" t="n"/>
      <c r="R201" s="21">
        <f>N201+O201+P201+N(Q201)</f>
        <v/>
      </c>
      <c r="S201" s="13" t="n">
        <v>0.03</v>
      </c>
      <c r="T201" s="21">
        <f>N(AC201)*S201</f>
        <v/>
      </c>
      <c r="U201" s="21">
        <f>N(AD201)*S201</f>
        <v/>
      </c>
      <c r="V201" s="21">
        <f>N(AE201)*S201</f>
        <v/>
      </c>
      <c r="W201" s="21">
        <f>IF(Q201="","",N(AF201)*S201)</f>
        <v/>
      </c>
      <c r="X201" s="12" t="n">
        <v>9055</v>
      </c>
      <c r="Y201" s="11" t="n"/>
      <c r="Z201" s="11" t="n"/>
      <c r="AA201" s="21">
        <f>T201+U201+V201+N(W201)+X201+Y201+N(Z201)</f>
        <v/>
      </c>
      <c r="AB201" s="11" t="n"/>
      <c r="AC201" s="12" t="n">
        <v>1133616</v>
      </c>
      <c r="AD201" s="21">
        <f>O201-Y201</f>
        <v/>
      </c>
      <c r="AE201" s="21">
        <f>P201-X201</f>
        <v/>
      </c>
      <c r="AF201" s="21">
        <f>IF(Q201="","",Q201-Z201)</f>
        <v/>
      </c>
      <c r="AG201" s="22">
        <f>AC201+AD201+AE201+N(AF201)</f>
        <v/>
      </c>
      <c r="AH201" s="11" t="n">
        <v>1164654.025</v>
      </c>
      <c r="AI201" s="24">
        <f>AG201-AH201</f>
        <v/>
      </c>
      <c r="AJ201" s="14">
        <f>IF(OR(B201="",B201=0,N201=""),"",N201/B201*10000)</f>
        <v/>
      </c>
      <c r="AK201" s="14">
        <f>IF(OR(C201="",C201=0),"",O201/C201*10000)</f>
        <v/>
      </c>
      <c r="AL201" s="14">
        <f>IF(OR(D201="",D201=0),"",P201/D201*10000)</f>
        <v/>
      </c>
      <c r="AM201" s="14">
        <f>IF(OR(E201="",E201=0),"",Q201/E201*10000)</f>
        <v/>
      </c>
      <c r="AN201" s="11" t="n">
        <v>6346.058325351533</v>
      </c>
      <c r="AO201" s="11" t="n">
        <v>0</v>
      </c>
      <c r="AP201" s="21">
        <f>AH201+AN201+AO201</f>
        <v/>
      </c>
      <c r="AQ201" s="21">
        <f>AH201</f>
        <v/>
      </c>
      <c r="AR201" s="15" t="n">
        <v>28628.23</v>
      </c>
      <c r="AS201" s="27" t="n">
        <v>40.682013</v>
      </c>
      <c r="AT201" s="15" t="n">
        <v>24644822.82</v>
      </c>
      <c r="AU201" s="15" t="n">
        <v>26057.0889</v>
      </c>
      <c r="AV201" s="15" t="n">
        <v>1523.9619</v>
      </c>
      <c r="AW201" s="15" t="n"/>
      <c r="AX201" s="16" t="n">
        <v>421.1880137404808</v>
      </c>
      <c r="AY201" s="13">
        <f>IF(OR(AX201="",AX201=0,AU201=""),"",AU201*365/(AX201*1000000))</f>
        <v/>
      </c>
      <c r="AZ201" s="15" t="n">
        <v>423639265.4409</v>
      </c>
      <c r="BA201" s="17" t="n">
        <v>60487233</v>
      </c>
      <c r="BB201" s="18" t="n">
        <v>24644822.82</v>
      </c>
      <c r="BC201" s="17" t="n">
        <v>2971663</v>
      </c>
      <c r="BD201" s="17">
        <f>1000000000-999713981.0676+40986.1747</f>
        <v/>
      </c>
      <c r="BE201" s="19">
        <f>1000000000-AZ201-BA201-BB201-BC201-BD201</f>
        <v/>
      </c>
      <c r="BF201" s="20" t="n">
        <v>238</v>
      </c>
      <c r="BG201" s="20">
        <f>BE201/1000000-BF201</f>
        <v/>
      </c>
      <c r="BH201" s="21">
        <f>BE201*40.21</f>
        <v/>
      </c>
    </row>
    <row r="202">
      <c r="A202" s="10" t="n">
        <v>45824</v>
      </c>
      <c r="B202" s="11" t="n">
        <v>9910445108</v>
      </c>
      <c r="C202" s="11" t="n"/>
      <c r="D202" s="12" t="n">
        <v>500000932</v>
      </c>
      <c r="E202" s="11" t="n"/>
      <c r="N202" s="12" t="n">
        <v>2768799</v>
      </c>
      <c r="O202" s="11" t="n"/>
      <c r="P202" s="12" t="n">
        <v>103884</v>
      </c>
      <c r="Q202" s="11" t="n"/>
      <c r="R202" s="21">
        <f>N202+O202+P202+N(Q202)</f>
        <v/>
      </c>
      <c r="S202" s="13" t="n">
        <v>0.03</v>
      </c>
      <c r="T202" s="21">
        <f>N(AC202)*S202</f>
        <v/>
      </c>
      <c r="U202" s="21">
        <f>N(AD202)*S202</f>
        <v/>
      </c>
      <c r="V202" s="21">
        <f>N(AE202)*S202</f>
        <v/>
      </c>
      <c r="W202" s="21">
        <f>IF(Q202="","",N(AF202)*S202)</f>
        <v/>
      </c>
      <c r="X202" s="12" t="n">
        <v>18956</v>
      </c>
      <c r="Y202" s="11" t="n"/>
      <c r="Z202" s="11" t="n"/>
      <c r="AA202" s="21">
        <f>T202+U202+V202+N(W202)+X202+Y202+N(Z202)</f>
        <v/>
      </c>
      <c r="AB202" s="11" t="n"/>
      <c r="AC202" s="12" t="n">
        <v>2685735</v>
      </c>
      <c r="AD202" s="21">
        <f>O202-Y202</f>
        <v/>
      </c>
      <c r="AE202" s="21">
        <f>P202-X202</f>
        <v/>
      </c>
      <c r="AF202" s="21">
        <f>IF(Q202="","",Q202-Z202)</f>
        <v/>
      </c>
      <c r="AG202" s="22">
        <f>AC202+AD202+AE202+N(AF202)</f>
        <v/>
      </c>
      <c r="AH202" s="11" t="n">
        <v>1387388.361</v>
      </c>
      <c r="AI202" s="24">
        <f>AG202-AH202</f>
        <v/>
      </c>
      <c r="AJ202" s="14">
        <f>IF(OR(B202="",B202=0,N202=""),"",N202/B202*10000)</f>
        <v/>
      </c>
      <c r="AK202" s="14">
        <f>IF(OR(C202="",C202=0),"",O202/C202*10000)</f>
        <v/>
      </c>
      <c r="AL202" s="14">
        <f>IF(OR(D202="",D202=0),"",P202/D202*10000)</f>
        <v/>
      </c>
      <c r="AM202" s="14">
        <f>IF(OR(E202="",E202=0),"",Q202/E202*10000)</f>
        <v/>
      </c>
      <c r="AN202" s="11" t="n">
        <v>13337.00449259717</v>
      </c>
      <c r="AO202" s="11" t="n">
        <v>43639.44</v>
      </c>
      <c r="AP202" s="21">
        <f>AH202+AN202+AO202</f>
        <v/>
      </c>
      <c r="AQ202" s="21">
        <f>AH202</f>
        <v/>
      </c>
      <c r="AR202" s="15" t="n">
        <v>31692.79</v>
      </c>
      <c r="AS202" s="27" t="n">
        <v>43.776151</v>
      </c>
      <c r="AT202" s="15" t="n">
        <v>24676515.61</v>
      </c>
      <c r="AU202" s="15" t="n">
        <v>26275.4979</v>
      </c>
      <c r="AV202" s="15" t="n">
        <v>535.3125</v>
      </c>
      <c r="AW202" s="15" t="n"/>
      <c r="AX202" s="16" t="n">
        <v>421.2189245307666</v>
      </c>
      <c r="AY202" s="13">
        <f>IF(OR(AX202="",AX202=0,AU202=""),"",AU202*365/(AX202*1000000))</f>
        <v/>
      </c>
      <c r="AZ202" s="15" t="n">
        <v>423612989.943</v>
      </c>
      <c r="BA202" s="17" t="n">
        <v>60487233</v>
      </c>
      <c r="BB202" s="18" t="n">
        <v>24676515.61</v>
      </c>
      <c r="BC202" s="17" t="n">
        <v>2971663</v>
      </c>
      <c r="BD202" s="17">
        <f>1000000000-999713445.755+41308.7453</f>
        <v/>
      </c>
      <c r="BE202" s="19">
        <f>1000000000-AZ202-BA202-BB202-BC202-BD202</f>
        <v/>
      </c>
      <c r="BF202" s="20" t="n">
        <v>238</v>
      </c>
      <c r="BG202" s="20">
        <f>BE202/1000000-BF202</f>
        <v/>
      </c>
      <c r="BH202" s="21">
        <f>BE202*40.98</f>
        <v/>
      </c>
    </row>
    <row r="203">
      <c r="A203" s="10" t="n">
        <v>45825</v>
      </c>
      <c r="B203" s="11" t="n">
        <v>11324625684</v>
      </c>
      <c r="C203" s="11" t="n"/>
      <c r="D203" s="12" t="n">
        <v>481779486</v>
      </c>
      <c r="E203" s="11" t="n"/>
      <c r="N203" s="12" t="n">
        <v>3338784</v>
      </c>
      <c r="O203" s="11" t="n"/>
      <c r="P203" s="12" t="n">
        <v>119116</v>
      </c>
      <c r="Q203" s="11" t="n"/>
      <c r="R203" s="21">
        <f>N203+O203+P203+N(Q203)</f>
        <v/>
      </c>
      <c r="S203" s="13" t="n">
        <v>0.03</v>
      </c>
      <c r="T203" s="21">
        <f>N(AC203)*S203</f>
        <v/>
      </c>
      <c r="U203" s="21">
        <f>N(AD203)*S203</f>
        <v/>
      </c>
      <c r="V203" s="21">
        <f>N(AE203)*S203</f>
        <v/>
      </c>
      <c r="W203" s="21">
        <f>IF(Q203="","",N(AF203)*S203)</f>
        <v/>
      </c>
      <c r="X203" s="12" t="n">
        <v>12781</v>
      </c>
      <c r="Y203" s="11" t="n"/>
      <c r="Z203" s="11" t="n"/>
      <c r="AA203" s="21">
        <f>T203+U203+V203+N(W203)+X203+Y203+N(Z203)</f>
        <v/>
      </c>
      <c r="AB203" s="11" t="n"/>
      <c r="AC203" s="12" t="n">
        <v>3238620</v>
      </c>
      <c r="AD203" s="21">
        <f>O203-Y203</f>
        <v/>
      </c>
      <c r="AE203" s="21">
        <f>P203-X203</f>
        <v/>
      </c>
      <c r="AF203" s="21">
        <f>IF(Q203="","",Q203-Z203)</f>
        <v/>
      </c>
      <c r="AG203" s="22">
        <f>AC203+AD203+AE203+N(AF203)</f>
        <v/>
      </c>
      <c r="AH203" s="11" t="n">
        <v>3414074.097</v>
      </c>
      <c r="AI203" s="24">
        <f>AG203-AH203</f>
        <v/>
      </c>
      <c r="AJ203" s="14">
        <f>IF(OR(B203="",B203=0,N203=""),"",N203/B203*10000)</f>
        <v/>
      </c>
      <c r="AK203" s="14">
        <f>IF(OR(C203="",C203=0),"",O203/C203*10000)</f>
        <v/>
      </c>
      <c r="AL203" s="14">
        <f>IF(OR(D203="",D203=0),"",P203/D203*10000)</f>
        <v/>
      </c>
      <c r="AM203" s="14">
        <f>IF(OR(E203="",E203=0),"",Q203/E203*10000)</f>
        <v/>
      </c>
      <c r="AN203" s="11" t="n">
        <v>20062.71327571625</v>
      </c>
      <c r="AO203" s="11" t="n">
        <v>0</v>
      </c>
      <c r="AP203" s="21">
        <f>AH203+AN203+AO203</f>
        <v/>
      </c>
      <c r="AQ203" s="21">
        <f>AH203</f>
        <v/>
      </c>
      <c r="AR203" s="15" t="n">
        <v>84832.16</v>
      </c>
      <c r="AS203" s="27" t="n">
        <v>40.245045</v>
      </c>
      <c r="AT203" s="15" t="n">
        <v>24761347.77</v>
      </c>
      <c r="AU203" s="15" t="n">
        <v>26285.5777</v>
      </c>
      <c r="AV203" s="15" t="n">
        <v>2288.4006</v>
      </c>
      <c r="AW203" s="15" t="n"/>
      <c r="AX203" s="16" t="n">
        <v>421.6480756549562</v>
      </c>
      <c r="AY203" s="13">
        <f>IF(OR(AX203="",AX203=0,AU203=""),"",AU203*365/(AX203*1000000))</f>
        <v/>
      </c>
      <c r="AZ203" s="15" t="n">
        <v>423586704.3654</v>
      </c>
      <c r="BA203" s="17" t="n">
        <v>60487233</v>
      </c>
      <c r="BB203" s="18" t="n">
        <v>24761347.77</v>
      </c>
      <c r="BC203" s="17" t="n">
        <v>2971663</v>
      </c>
      <c r="BD203" s="17">
        <f>1000000000-999711157.3544+41783.3440</f>
        <v/>
      </c>
      <c r="BE203" s="19">
        <f>1000000000-AZ203-BA203-BB203-BC203-BD203</f>
        <v/>
      </c>
      <c r="BF203" s="20" t="n">
        <v>238</v>
      </c>
      <c r="BG203" s="20">
        <f>BE203/1000000-BF203</f>
        <v/>
      </c>
      <c r="BH203" s="21">
        <f>BE203*41.36</f>
        <v/>
      </c>
    </row>
    <row r="204">
      <c r="A204" s="10" t="n">
        <v>45826</v>
      </c>
      <c r="B204" s="11" t="n">
        <v>7999530033</v>
      </c>
      <c r="C204" s="11" t="n"/>
      <c r="D204" s="12" t="n">
        <v>420606916</v>
      </c>
      <c r="E204" s="11" t="n"/>
      <c r="N204" s="12" t="n">
        <v>2283282</v>
      </c>
      <c r="O204" s="11" t="n"/>
      <c r="P204" s="12" t="n">
        <v>88887</v>
      </c>
      <c r="Q204" s="11" t="n"/>
      <c r="R204" s="21">
        <f>N204+O204+P204+N(Q204)</f>
        <v/>
      </c>
      <c r="S204" s="13" t="n">
        <v>0.03</v>
      </c>
      <c r="T204" s="21">
        <f>N(AC204)*S204</f>
        <v/>
      </c>
      <c r="U204" s="21">
        <f>N(AD204)*S204</f>
        <v/>
      </c>
      <c r="V204" s="21">
        <f>N(AE204)*S204</f>
        <v/>
      </c>
      <c r="W204" s="21">
        <f>IF(Q204="","",N(AF204)*S204)</f>
        <v/>
      </c>
      <c r="X204" s="12" t="n">
        <v>13775</v>
      </c>
      <c r="Y204" s="11" t="n"/>
      <c r="Z204" s="11" t="n"/>
      <c r="AA204" s="21">
        <f>T204+U204+V204+N(W204)+X204+Y204+N(Z204)</f>
        <v/>
      </c>
      <c r="AB204" s="11" t="n"/>
      <c r="AC204" s="12" t="n">
        <v>2214783</v>
      </c>
      <c r="AD204" s="21">
        <f>O204-Y204</f>
        <v/>
      </c>
      <c r="AE204" s="21">
        <f>P204-X204</f>
        <v/>
      </c>
      <c r="AF204" s="21">
        <f>IF(Q204="","",Q204-Z204)</f>
        <v/>
      </c>
      <c r="AG204" s="22">
        <f>AC204+AD204+AE204+N(AF204)</f>
        <v/>
      </c>
      <c r="AH204" s="11" t="n">
        <v>2621754.273</v>
      </c>
      <c r="AI204" s="24">
        <f>AG204-AH204</f>
        <v/>
      </c>
      <c r="AJ204" s="14">
        <f>IF(OR(B204="",B204=0,N204=""),"",N204/B204*10000)</f>
        <v/>
      </c>
      <c r="AK204" s="14">
        <f>IF(OR(C204="",C204=0),"",O204/C204*10000)</f>
        <v/>
      </c>
      <c r="AL204" s="14">
        <f>IF(OR(D204="",D204=0),"",P204/D204*10000)</f>
        <v/>
      </c>
      <c r="AM204" s="14">
        <f>IF(OR(E204="",E204=0),"",Q204/E204*10000)</f>
        <v/>
      </c>
      <c r="AN204" s="11" t="n">
        <v>15089.27882149544</v>
      </c>
      <c r="AO204" s="11" t="n">
        <v>28752.38</v>
      </c>
      <c r="AP204" s="21">
        <f>AH204+AN204+AO204</f>
        <v/>
      </c>
      <c r="AQ204" s="21">
        <f>AH204</f>
        <v/>
      </c>
      <c r="AR204" s="15" t="n">
        <v>68011.24000000001</v>
      </c>
      <c r="AS204" s="27" t="n">
        <v>38.548838</v>
      </c>
      <c r="AT204" s="15" t="n">
        <v>24829359.01</v>
      </c>
      <c r="AU204" s="15" t="n">
        <v>26255.0567</v>
      </c>
      <c r="AV204" s="15" t="n">
        <v>1751.8615</v>
      </c>
      <c r="AW204" s="15" t="n"/>
      <c r="AX204" s="16" t="n">
        <v>418.8556508589211</v>
      </c>
      <c r="AY204" s="13">
        <f>IF(OR(AX204="",AX204=0,AU204=""),"",AU204*365/(AX204*1000000))</f>
        <v/>
      </c>
      <c r="AZ204" s="15" t="n">
        <v>423560449.3087</v>
      </c>
      <c r="BA204" s="17" t="n">
        <v>60487233</v>
      </c>
      <c r="BB204" s="18" t="n">
        <v>24829359.01</v>
      </c>
      <c r="BC204" s="17" t="n">
        <v>2971663</v>
      </c>
      <c r="BD204" s="17">
        <f>1000000000-999709405.493+42161.7680</f>
        <v/>
      </c>
      <c r="BE204" s="19">
        <f>1000000000-AZ204-BA204-BB204-BC204-BD204</f>
        <v/>
      </c>
      <c r="BF204" s="20" t="n">
        <v>238</v>
      </c>
      <c r="BG204" s="20">
        <f>BE204/1000000-BF204</f>
        <v/>
      </c>
      <c r="BH204" s="21">
        <f>BE204*39.8</f>
        <v/>
      </c>
    </row>
    <row r="205">
      <c r="A205" s="10" t="n">
        <v>45827</v>
      </c>
      <c r="B205" s="11" t="n">
        <v>5309706182</v>
      </c>
      <c r="C205" s="11" t="n"/>
      <c r="D205" s="12" t="n">
        <v>309275966</v>
      </c>
      <c r="E205" s="11" t="n"/>
      <c r="N205" s="12" t="n">
        <v>1474284</v>
      </c>
      <c r="O205" s="11" t="n"/>
      <c r="P205" s="12" t="n">
        <v>73911</v>
      </c>
      <c r="Q205" s="11" t="n"/>
      <c r="R205" s="21">
        <f>N205+O205+P205+N(Q205)</f>
        <v/>
      </c>
      <c r="S205" s="13" t="n">
        <v>0.03</v>
      </c>
      <c r="T205" s="21">
        <f>N(AC205)*S205</f>
        <v/>
      </c>
      <c r="U205" s="21">
        <f>N(AD205)*S205</f>
        <v/>
      </c>
      <c r="V205" s="21">
        <f>N(AE205)*S205</f>
        <v/>
      </c>
      <c r="W205" s="21">
        <f>IF(Q205="","",N(AF205)*S205)</f>
        <v/>
      </c>
      <c r="X205" s="12" t="n">
        <v>7959</v>
      </c>
      <c r="Y205" s="11" t="n"/>
      <c r="Z205" s="11" t="n"/>
      <c r="AA205" s="21">
        <f>T205+U205+V205+N(W205)+X205+Y205+N(Z205)</f>
        <v/>
      </c>
      <c r="AB205" s="11" t="n"/>
      <c r="AC205" s="12" t="n">
        <v>1430056</v>
      </c>
      <c r="AD205" s="21">
        <f>O205-Y205</f>
        <v/>
      </c>
      <c r="AE205" s="21">
        <f>P205-X205</f>
        <v/>
      </c>
      <c r="AF205" s="21">
        <f>IF(Q205="","",Q205-Z205)</f>
        <v/>
      </c>
      <c r="AG205" s="22">
        <f>AC205+AD205+AE205+N(AF205)</f>
        <v/>
      </c>
      <c r="AH205" s="11" t="n">
        <v>2072394.657</v>
      </c>
      <c r="AI205" s="24">
        <f>AG205-AH205</f>
        <v/>
      </c>
      <c r="AJ205" s="14">
        <f>IF(OR(B205="",B205=0,N205=""),"",N205/B205*10000)</f>
        <v/>
      </c>
      <c r="AK205" s="14">
        <f>IF(OR(C205="",C205=0),"",O205/C205*10000)</f>
        <v/>
      </c>
      <c r="AL205" s="14">
        <f>IF(OR(D205="",D205=0),"",P205/D205*10000)</f>
        <v/>
      </c>
      <c r="AM205" s="14">
        <f>IF(OR(E205="",E205=0),"",Q205/E205*10000)</f>
        <v/>
      </c>
      <c r="AN205" s="11" t="n">
        <v>18252.61533476083</v>
      </c>
      <c r="AO205" s="11" t="n">
        <v>24439.91</v>
      </c>
      <c r="AP205" s="21">
        <f>AH205+AN205+AO205</f>
        <v/>
      </c>
      <c r="AQ205" s="21">
        <f>AH205</f>
        <v/>
      </c>
      <c r="AR205" s="15" t="n">
        <v>55708.49</v>
      </c>
      <c r="AS205" s="27" t="n">
        <v>37.200697</v>
      </c>
      <c r="AT205" s="15" t="n">
        <v>24885067.5</v>
      </c>
      <c r="AU205" s="15" t="n">
        <v>26211.4713</v>
      </c>
      <c r="AV205" s="15" t="n">
        <v>1998.2373</v>
      </c>
      <c r="AW205" s="15" t="n"/>
      <c r="AX205" s="16" t="n">
        <v>418.6703988789594</v>
      </c>
      <c r="AY205" s="13">
        <f>IF(OR(AX205="",AX205=0,AU205=""),"",AU205*365/(AX205*1000000))</f>
        <v/>
      </c>
      <c r="AZ205" s="15" t="n">
        <v>423534237.8373</v>
      </c>
      <c r="BA205" s="17" t="n">
        <v>60487233</v>
      </c>
      <c r="BB205" s="18" t="n">
        <v>24885067.5</v>
      </c>
      <c r="BC205" s="17" t="n">
        <v>2971663</v>
      </c>
      <c r="BD205" s="17">
        <f>1000000000-999707407.2557+42623.4855</f>
        <v/>
      </c>
      <c r="BE205" s="19">
        <f>1000000000-AZ205-BA205-BB205-BC205-BD205</f>
        <v/>
      </c>
      <c r="BF205" s="20" t="n">
        <v>238</v>
      </c>
      <c r="BG205" s="20">
        <f>BE205/1000000-BF205</f>
        <v/>
      </c>
      <c r="BH205" s="21">
        <f>BE205*39.3</f>
        <v/>
      </c>
    </row>
    <row r="206">
      <c r="A206" s="10" t="n">
        <v>45828</v>
      </c>
      <c r="B206" s="11" t="n">
        <v>8984765570</v>
      </c>
      <c r="C206" s="11" t="n"/>
      <c r="D206" s="12" t="n">
        <v>390870684</v>
      </c>
      <c r="E206" s="11" t="n"/>
      <c r="N206" s="12" t="n">
        <v>2540170</v>
      </c>
      <c r="O206" s="11" t="n"/>
      <c r="P206" s="12" t="n">
        <v>93536</v>
      </c>
      <c r="Q206" s="11" t="n"/>
      <c r="R206" s="21">
        <f>N206+O206+P206+N(Q206)</f>
        <v/>
      </c>
      <c r="S206" s="13" t="n">
        <v>0.03</v>
      </c>
      <c r="T206" s="21">
        <f>N(AC206)*S206</f>
        <v/>
      </c>
      <c r="U206" s="21">
        <f>N(AD206)*S206</f>
        <v/>
      </c>
      <c r="V206" s="21">
        <f>N(AE206)*S206</f>
        <v/>
      </c>
      <c r="W206" s="21">
        <f>IF(Q206="","",N(AF206)*S206)</f>
        <v/>
      </c>
      <c r="X206" s="12" t="n">
        <v>17100</v>
      </c>
      <c r="Y206" s="11" t="n"/>
      <c r="Z206" s="11" t="n"/>
      <c r="AA206" s="21">
        <f>T206+U206+V206+N(W206)+X206+Y206+N(Z206)</f>
        <v/>
      </c>
      <c r="AB206" s="11" t="n"/>
      <c r="AC206" s="12" t="n">
        <v>2463965</v>
      </c>
      <c r="AD206" s="21">
        <f>O206-Y206</f>
        <v/>
      </c>
      <c r="AE206" s="21">
        <f>P206-X206</f>
        <v/>
      </c>
      <c r="AF206" s="21">
        <f>IF(Q206="","",Q206-Z206)</f>
        <v/>
      </c>
      <c r="AG206" s="22">
        <f>AC206+AD206+AE206+N(AF206)</f>
        <v/>
      </c>
      <c r="AH206" s="11" t="n">
        <v>1572540.275</v>
      </c>
      <c r="AI206" s="24">
        <f>AG206-AH206</f>
        <v/>
      </c>
      <c r="AJ206" s="14">
        <f>IF(OR(B206="",B206=0,N206=""),"",N206/B206*10000)</f>
        <v/>
      </c>
      <c r="AK206" s="14">
        <f>IF(OR(C206="",C206=0),"",O206/C206*10000)</f>
        <v/>
      </c>
      <c r="AL206" s="14">
        <f>IF(OR(D206="",D206=0),"",P206/D206*10000)</f>
        <v/>
      </c>
      <c r="AM206" s="14">
        <f>IF(OR(E206="",E206=0),"",Q206/E206*10000)</f>
        <v/>
      </c>
      <c r="AN206" s="11" t="n">
        <v>19860.19996333497</v>
      </c>
      <c r="AO206" s="11" t="n">
        <v>25494.4</v>
      </c>
      <c r="AP206" s="21">
        <f>AH206+AN206+AO206</f>
        <v/>
      </c>
      <c r="AQ206" s="21">
        <f>AH206</f>
        <v/>
      </c>
      <c r="AR206" s="15" t="n">
        <v>46185.19</v>
      </c>
      <c r="AS206" s="27" t="n">
        <v>34.048583</v>
      </c>
      <c r="AT206" s="15" t="n">
        <v>24931252.69</v>
      </c>
      <c r="AU206" s="15" t="n">
        <v>26182.7163</v>
      </c>
      <c r="AV206" s="15" t="n">
        <v>1736.6411</v>
      </c>
      <c r="AW206" s="15" t="n"/>
      <c r="AX206" s="16" t="n">
        <v>419.6617842861842</v>
      </c>
      <c r="AY206" s="13">
        <f>IF(OR(AX206="",AX206=0,AU206=""),"",AU206*365/(AX206*1000000))</f>
        <v/>
      </c>
      <c r="AZ206" s="15" t="n">
        <v>423508055.1211</v>
      </c>
      <c r="BA206" s="17" t="n">
        <v>60487233</v>
      </c>
      <c r="BB206" s="18" t="n">
        <v>24931252.69</v>
      </c>
      <c r="BC206" s="17" t="n">
        <v>2971663</v>
      </c>
      <c r="BD206" s="17">
        <f>1000000000-999705670.6146+43165.0781</f>
        <v/>
      </c>
      <c r="BE206" s="19">
        <f>1000000000-AZ206-BA206-BB206-BC206-BD206</f>
        <v/>
      </c>
      <c r="BF206" s="20" t="n">
        <v>238</v>
      </c>
      <c r="BG206" s="20">
        <f>BE206/1000000-BF206</f>
        <v/>
      </c>
      <c r="BH206" s="21">
        <f>BE206*36.93</f>
        <v/>
      </c>
    </row>
    <row r="207">
      <c r="A207" s="10" t="n">
        <v>45829</v>
      </c>
      <c r="B207" s="11" t="n">
        <v>5853561718</v>
      </c>
      <c r="C207" s="11" t="n"/>
      <c r="D207" s="12" t="n">
        <v>325856019</v>
      </c>
      <c r="E207" s="11" t="n"/>
      <c r="N207" s="12" t="n">
        <v>1618934</v>
      </c>
      <c r="O207" s="11" t="n"/>
      <c r="P207" s="12" t="n">
        <v>69112</v>
      </c>
      <c r="Q207" s="11" t="n"/>
      <c r="R207" s="21">
        <f>N207+O207+P207+N(Q207)</f>
        <v/>
      </c>
      <c r="S207" s="13" t="n">
        <v>0.03</v>
      </c>
      <c r="T207" s="21">
        <f>N(AC207)*S207</f>
        <v/>
      </c>
      <c r="U207" s="21">
        <f>N(AD207)*S207</f>
        <v/>
      </c>
      <c r="V207" s="21">
        <f>N(AE207)*S207</f>
        <v/>
      </c>
      <c r="W207" s="21">
        <f>IF(Q207="","",N(AF207)*S207)</f>
        <v/>
      </c>
      <c r="X207" s="12" t="n">
        <v>10606</v>
      </c>
      <c r="Y207" s="11" t="n"/>
      <c r="Z207" s="11" t="n"/>
      <c r="AA207" s="21">
        <f>T207+U207+V207+N(W207)+X207+Y207+N(Z207)</f>
        <v/>
      </c>
      <c r="AB207" s="11" t="n"/>
      <c r="AC207" s="12" t="n">
        <v>1570366</v>
      </c>
      <c r="AD207" s="21">
        <f>O207-Y207</f>
        <v/>
      </c>
      <c r="AE207" s="21">
        <f>P207-X207</f>
        <v/>
      </c>
      <c r="AF207" s="21">
        <f>IF(Q207="","",Q207-Z207)</f>
        <v/>
      </c>
      <c r="AG207" s="22">
        <f>AC207+AD207+AE207+N(AF207)</f>
        <v/>
      </c>
      <c r="AH207" s="11" t="n">
        <v>2062339.95</v>
      </c>
      <c r="AI207" s="24">
        <f>AG207-AH207</f>
        <v/>
      </c>
      <c r="AJ207" s="14">
        <f>IF(OR(B207="",B207=0,N207=""),"",N207/B207*10000)</f>
        <v/>
      </c>
      <c r="AK207" s="14">
        <f>IF(OR(C207="",C207=0),"",O207/C207*10000)</f>
        <v/>
      </c>
      <c r="AL207" s="14">
        <f>IF(OR(D207="",D207=0),"",P207/D207*10000)</f>
        <v/>
      </c>
      <c r="AM207" s="14">
        <f>IF(OR(E207="",E207=0),"",Q207/E207*10000)</f>
        <v/>
      </c>
      <c r="AN207" s="11" t="n">
        <v>10510.7072833123</v>
      </c>
      <c r="AO207" s="11" t="n">
        <v>26532.41</v>
      </c>
      <c r="AP207" s="21">
        <f>AH207+AN207+AO207</f>
        <v/>
      </c>
      <c r="AQ207" s="21">
        <f>AH207</f>
        <v/>
      </c>
      <c r="AR207" s="15" t="n">
        <v>62400.26</v>
      </c>
      <c r="AS207" s="27" t="n">
        <v>33.050182</v>
      </c>
      <c r="AT207" s="15" t="n">
        <v>24993652.95</v>
      </c>
      <c r="AU207" s="15" t="n">
        <v>26223.7499</v>
      </c>
      <c r="AV207" s="15" t="n">
        <v>1975.2883</v>
      </c>
      <c r="AW207" s="15" t="n"/>
      <c r="AX207" s="16" t="n">
        <v>419.0810266395478</v>
      </c>
      <c r="AY207" s="13">
        <f>IF(OR(AX207="",AX207=0,AU207=""),"",AU207*365/(AX207*1000000))</f>
        <v/>
      </c>
      <c r="AZ207" s="15" t="n">
        <v>423481831.3712</v>
      </c>
      <c r="BA207" s="17" t="n">
        <v>60487233</v>
      </c>
      <c r="BB207" s="18" t="n">
        <v>24993652.95</v>
      </c>
      <c r="BC207" s="17" t="n">
        <v>2971663</v>
      </c>
      <c r="BD207" s="17">
        <f>1000000000-999703695.3263+43481.9425</f>
        <v/>
      </c>
      <c r="BE207" s="19">
        <f>1000000000-AZ207-BA207-BB207-BC207-BD207</f>
        <v/>
      </c>
      <c r="BF207" s="20" t="n">
        <v>238</v>
      </c>
      <c r="BG207" s="20">
        <f>BE207/1000000-BF207</f>
        <v/>
      </c>
      <c r="BH207" s="21">
        <f>BE207*33.01</f>
        <v/>
      </c>
    </row>
    <row r="208">
      <c r="A208" s="10" t="n">
        <v>45830</v>
      </c>
      <c r="B208" s="11" t="n">
        <v>12754870645</v>
      </c>
      <c r="C208" s="11" t="n"/>
      <c r="D208" s="12" t="n">
        <v>428910072</v>
      </c>
      <c r="E208" s="11" t="n"/>
      <c r="N208" s="12" t="n">
        <v>3587131</v>
      </c>
      <c r="O208" s="11" t="n"/>
      <c r="P208" s="12" t="n">
        <v>92755</v>
      </c>
      <c r="Q208" s="11" t="n"/>
      <c r="R208" s="21">
        <f>N208+O208+P208+N(Q208)</f>
        <v/>
      </c>
      <c r="S208" s="13" t="n">
        <v>0.03</v>
      </c>
      <c r="T208" s="21">
        <f>N(AC208)*S208</f>
        <v/>
      </c>
      <c r="U208" s="21">
        <f>N(AD208)*S208</f>
        <v/>
      </c>
      <c r="V208" s="21">
        <f>N(AE208)*S208</f>
        <v/>
      </c>
      <c r="W208" s="21">
        <f>IF(Q208="","",N(AF208)*S208)</f>
        <v/>
      </c>
      <c r="X208" s="12" t="n">
        <v>22993</v>
      </c>
      <c r="Y208" s="11" t="n"/>
      <c r="Z208" s="11" t="n"/>
      <c r="AA208" s="21">
        <f>T208+U208+V208+N(W208)+X208+Y208+N(Z208)</f>
        <v/>
      </c>
      <c r="AB208" s="11" t="n"/>
      <c r="AC208" s="12" t="n">
        <v>3479517</v>
      </c>
      <c r="AD208" s="21">
        <f>O208-Y208</f>
        <v/>
      </c>
      <c r="AE208" s="21">
        <f>P208-X208</f>
        <v/>
      </c>
      <c r="AF208" s="21">
        <f>IF(Q208="","",Q208-Z208)</f>
        <v/>
      </c>
      <c r="AG208" s="22">
        <f>AC208+AD208+AE208+N(AF208)</f>
        <v/>
      </c>
      <c r="AH208" s="11" t="n">
        <v>2243331.857</v>
      </c>
      <c r="AI208" s="24">
        <f>AG208-AH208</f>
        <v/>
      </c>
      <c r="AJ208" s="14">
        <f>IF(OR(B208="",B208=0,N208=""),"",N208/B208*10000)</f>
        <v/>
      </c>
      <c r="AK208" s="14">
        <f>IF(OR(C208="",C208=0),"",O208/C208*10000)</f>
        <v/>
      </c>
      <c r="AL208" s="14">
        <f>IF(OR(D208="",D208=0),"",P208/D208*10000)</f>
        <v/>
      </c>
      <c r="AM208" s="14">
        <f>IF(OR(E208="",E208=0),"",Q208/E208*10000)</f>
        <v/>
      </c>
      <c r="AN208" s="11" t="n">
        <v>13559.37666744105</v>
      </c>
      <c r="AO208" s="11" t="n">
        <v>0</v>
      </c>
      <c r="AP208" s="21">
        <f>AH208+AN208+AO208</f>
        <v/>
      </c>
      <c r="AQ208" s="21">
        <f>AH208</f>
        <v/>
      </c>
      <c r="AR208" s="15" t="n">
        <v>67413.95</v>
      </c>
      <c r="AS208" s="27" t="n">
        <v>33.276968</v>
      </c>
      <c r="AT208" s="15" t="n">
        <v>25061066.9</v>
      </c>
      <c r="AU208" s="15" t="n">
        <v>26187.2271</v>
      </c>
      <c r="AV208" s="15" t="n">
        <v>2172.3448</v>
      </c>
      <c r="AW208" s="15" t="n"/>
      <c r="AX208" s="16" t="n">
        <v>418.9143011259516</v>
      </c>
      <c r="AY208" s="13">
        <f>IF(OR(AX208="",AX208=0,AU208=""),"",AU208*365/(AX208*1000000))</f>
        <v/>
      </c>
      <c r="AZ208" s="15" t="n">
        <v>423455644.144</v>
      </c>
      <c r="BA208" s="17" t="n">
        <v>60487233</v>
      </c>
      <c r="BB208" s="18" t="n">
        <v>25061066.9</v>
      </c>
      <c r="BC208" s="17" t="n">
        <v>2971663</v>
      </c>
      <c r="BD208" s="17">
        <f>1000000000-999701522.9815+43881.4880</f>
        <v/>
      </c>
      <c r="BE208" s="19">
        <f>1000000000-AZ208-BA208-BB208-BC208-BD208</f>
        <v/>
      </c>
      <c r="BF208" s="20" t="n">
        <v>238</v>
      </c>
      <c r="BG208" s="20">
        <f>BE208/1000000-BF208</f>
        <v/>
      </c>
      <c r="BH208" s="21">
        <f>BE208*33.64</f>
        <v/>
      </c>
    </row>
    <row r="209">
      <c r="A209" s="10" t="n">
        <v>45831</v>
      </c>
      <c r="B209" s="11" t="n">
        <v>13808379728</v>
      </c>
      <c r="C209" s="11" t="n"/>
      <c r="D209" s="12" t="n">
        <v>521103467</v>
      </c>
      <c r="E209" s="11" t="n"/>
      <c r="N209" s="12" t="n">
        <v>3959395</v>
      </c>
      <c r="O209" s="11" t="n"/>
      <c r="P209" s="12" t="n">
        <v>106972</v>
      </c>
      <c r="Q209" s="11" t="n"/>
      <c r="R209" s="21">
        <f>N209+O209+P209+N(Q209)</f>
        <v/>
      </c>
      <c r="S209" s="13" t="n">
        <v>0.03</v>
      </c>
      <c r="T209" s="21">
        <f>N(AC209)*S209</f>
        <v/>
      </c>
      <c r="U209" s="21">
        <f>N(AD209)*S209</f>
        <v/>
      </c>
      <c r="V209" s="21">
        <f>N(AE209)*S209</f>
        <v/>
      </c>
      <c r="W209" s="21">
        <f>IF(Q209="","",N(AF209)*S209)</f>
        <v/>
      </c>
      <c r="X209" s="12" t="n">
        <v>22370</v>
      </c>
      <c r="Y209" s="11" t="n"/>
      <c r="Z209" s="11" t="n"/>
      <c r="AA209" s="21">
        <f>T209+U209+V209+N(W209)+X209+Y209+N(Z209)</f>
        <v/>
      </c>
      <c r="AB209" s="11" t="n"/>
      <c r="AC209" s="12" t="n">
        <v>3840613</v>
      </c>
      <c r="AD209" s="21">
        <f>O209-Y209</f>
        <v/>
      </c>
      <c r="AE209" s="21">
        <f>P209-X209</f>
        <v/>
      </c>
      <c r="AF209" s="21">
        <f>IF(Q209="","",Q209-Z209)</f>
        <v/>
      </c>
      <c r="AG209" s="22">
        <f>AC209+AD209+AE209+N(AF209)</f>
        <v/>
      </c>
      <c r="AH209" s="11" t="n">
        <v>3427206.965</v>
      </c>
      <c r="AI209" s="24">
        <f>AG209-AH209</f>
        <v/>
      </c>
      <c r="AJ209" s="14">
        <f>IF(OR(B209="",B209=0,N209=""),"",N209/B209*10000)</f>
        <v/>
      </c>
      <c r="AK209" s="14">
        <f>IF(OR(C209="",C209=0),"",O209/C209*10000)</f>
        <v/>
      </c>
      <c r="AL209" s="14">
        <f>IF(OR(D209="",D209=0),"",P209/D209*10000)</f>
        <v/>
      </c>
      <c r="AM209" s="14">
        <f>IF(OR(E209="",E209=0),"",Q209/E209*10000)</f>
        <v/>
      </c>
      <c r="AN209" s="11" t="n">
        <v>16668.45397892479</v>
      </c>
      <c r="AO209" s="11" t="n">
        <v>24161.91</v>
      </c>
      <c r="AP209" s="21">
        <f>AH209+AN209+AO209</f>
        <v/>
      </c>
      <c r="AQ209" s="21">
        <f>AH209</f>
        <v/>
      </c>
      <c r="AR209" s="15" t="n">
        <v>93856.7</v>
      </c>
      <c r="AS209" s="27" t="n">
        <v>36.515315</v>
      </c>
      <c r="AT209" s="15" t="n">
        <v>25154923.6</v>
      </c>
      <c r="AU209" s="15" t="n">
        <v>26160.7949</v>
      </c>
      <c r="AV209" s="15" t="n">
        <v>1693.9611</v>
      </c>
      <c r="AW209" s="15" t="n"/>
      <c r="AX209" s="16" t="n">
        <v>418.6927192101451</v>
      </c>
      <c r="AY209" s="13">
        <f>IF(OR(AX209="",AX209=0,AU209=""),"",AU209*365/(AX209*1000000))</f>
        <v/>
      </c>
      <c r="AZ209" s="15" t="n">
        <v>423429483.3491</v>
      </c>
      <c r="BA209" s="17" t="n">
        <v>60487233</v>
      </c>
      <c r="BB209" s="18" t="n">
        <v>25154923.6</v>
      </c>
      <c r="BC209" s="17" t="n">
        <v>2971663</v>
      </c>
      <c r="BD209" s="17">
        <f>1000000000-999699829.0203+44351.9097</f>
        <v/>
      </c>
      <c r="BE209" s="19">
        <f>1000000000-AZ209-BA209-BB209-BC209-BD209</f>
        <v/>
      </c>
      <c r="BF209" s="20" t="n">
        <v>238</v>
      </c>
      <c r="BG209" s="20">
        <f>BE209/1000000-BF209</f>
        <v/>
      </c>
      <c r="BH209" s="21">
        <f>BE209*35.3</f>
        <v/>
      </c>
    </row>
    <row r="210">
      <c r="A210" s="10" t="n">
        <v>45832</v>
      </c>
      <c r="B210" s="11" t="n">
        <v>7562435083</v>
      </c>
      <c r="C210" s="11" t="n"/>
      <c r="D210" s="12" t="n">
        <v>337608363</v>
      </c>
      <c r="E210" s="11" t="n"/>
      <c r="N210" s="12" t="n">
        <v>2169013</v>
      </c>
      <c r="O210" s="11" t="n"/>
      <c r="P210" s="12" t="n">
        <v>75574</v>
      </c>
      <c r="Q210" s="11" t="n"/>
      <c r="R210" s="21">
        <f>N210+O210+P210+N(Q210)</f>
        <v/>
      </c>
      <c r="S210" s="13" t="n">
        <v>0.03</v>
      </c>
      <c r="T210" s="21">
        <f>N(AC210)*S210</f>
        <v/>
      </c>
      <c r="U210" s="21">
        <f>N(AD210)*S210</f>
        <v/>
      </c>
      <c r="V210" s="21">
        <f>N(AE210)*S210</f>
        <v/>
      </c>
      <c r="W210" s="21">
        <f>IF(Q210="","",N(AF210)*S210)</f>
        <v/>
      </c>
      <c r="X210" s="12" t="n">
        <v>15897</v>
      </c>
      <c r="Y210" s="11" t="n"/>
      <c r="Z210" s="11" t="n"/>
      <c r="AA210" s="21">
        <f>T210+U210+V210+N(W210)+X210+Y210+N(Z210)</f>
        <v/>
      </c>
      <c r="AB210" s="11" t="n"/>
      <c r="AC210" s="12" t="n">
        <v>2103942</v>
      </c>
      <c r="AD210" s="21">
        <f>O210-Y210</f>
        <v/>
      </c>
      <c r="AE210" s="21">
        <f>P210-X210</f>
        <v/>
      </c>
      <c r="AF210" s="21">
        <f>IF(Q210="","",Q210-Z210)</f>
        <v/>
      </c>
      <c r="AG210" s="22">
        <f>AC210+AD210+AE210+N(AF210)</f>
        <v/>
      </c>
      <c r="AH210" s="11" t="n">
        <v>4394495.539</v>
      </c>
      <c r="AI210" s="24">
        <f>AG210-AH210</f>
        <v/>
      </c>
      <c r="AJ210" s="14">
        <f>IF(OR(B210="",B210=0,N210=""),"",N210/B210*10000)</f>
        <v/>
      </c>
      <c r="AK210" s="14">
        <f>IF(OR(C210="",C210=0),"",O210/C210*10000)</f>
        <v/>
      </c>
      <c r="AL210" s="14">
        <f>IF(OR(D210="",D210=0),"",P210/D210*10000)</f>
        <v/>
      </c>
      <c r="AM210" s="14">
        <f>IF(OR(E210="",E210=0),"",Q210/E210*10000)</f>
        <v/>
      </c>
      <c r="AN210" s="11" t="n">
        <v>6948.965492956771</v>
      </c>
      <c r="AO210" s="11" t="n">
        <v>27719.95</v>
      </c>
      <c r="AP210" s="21">
        <f>AH210+AN210+AO210</f>
        <v/>
      </c>
      <c r="AQ210" s="21">
        <f>AH210</f>
        <v/>
      </c>
      <c r="AR210" s="15" t="n">
        <v>116998.38</v>
      </c>
      <c r="AS210" s="27" t="n">
        <v>37.560311</v>
      </c>
      <c r="AT210" s="15" t="n">
        <v>25271921.98</v>
      </c>
      <c r="AU210" s="15" t="n">
        <v>26181.7962</v>
      </c>
      <c r="AV210" s="15" t="n">
        <v>2653.9171</v>
      </c>
      <c r="AW210" s="15" t="n"/>
      <c r="AX210" s="16" t="n">
        <v>418.399781381552</v>
      </c>
      <c r="AY210" s="13">
        <f>IF(OR(AX210="",AX210=0,AU210=""),"",AU210*365/(AX210*1000000))</f>
        <v/>
      </c>
      <c r="AZ210" s="15" t="n">
        <v>423403301.5529</v>
      </c>
      <c r="BA210" s="17" t="n">
        <v>60487233</v>
      </c>
      <c r="BB210" s="18" t="n">
        <v>25271921.98</v>
      </c>
      <c r="BC210" s="17" t="n">
        <v>2971663</v>
      </c>
      <c r="BD210" s="17">
        <f>1000000000-999697175.1033+44537.8900</f>
        <v/>
      </c>
      <c r="BE210" s="19">
        <f>1000000000-AZ210-BA210-BB210-BC210-BD210</f>
        <v/>
      </c>
      <c r="BF210" s="20" t="n">
        <v>238</v>
      </c>
      <c r="BG210" s="20">
        <f>BE210/1000000-BF210</f>
        <v/>
      </c>
      <c r="BH210" s="21">
        <f>BE210*37.87</f>
        <v/>
      </c>
    </row>
    <row r="211">
      <c r="A211" s="10" t="n">
        <v>45833</v>
      </c>
      <c r="B211" s="11" t="n">
        <v>7112711274</v>
      </c>
      <c r="C211" s="11" t="n"/>
      <c r="D211" s="12" t="n">
        <v>303321363</v>
      </c>
      <c r="E211" s="11" t="n"/>
      <c r="N211" s="12" t="n">
        <v>2043827</v>
      </c>
      <c r="O211" s="11" t="n"/>
      <c r="P211" s="12" t="n">
        <v>66347</v>
      </c>
      <c r="Q211" s="11" t="n"/>
      <c r="R211" s="21">
        <f>N211+O211+P211+N(Q211)</f>
        <v/>
      </c>
      <c r="S211" s="13" t="n">
        <v>0.03</v>
      </c>
      <c r="T211" s="21">
        <f>N(AC211)*S211</f>
        <v/>
      </c>
      <c r="U211" s="21">
        <f>N(AD211)*S211</f>
        <v/>
      </c>
      <c r="V211" s="21">
        <f>N(AE211)*S211</f>
        <v/>
      </c>
      <c r="W211" s="21">
        <f>IF(Q211="","",N(AF211)*S211)</f>
        <v/>
      </c>
      <c r="X211" s="12" t="n">
        <v>12062</v>
      </c>
      <c r="Y211" s="11" t="n"/>
      <c r="Z211" s="11" t="n"/>
      <c r="AA211" s="21">
        <f>T211+U211+V211+N(W211)+X211+Y211+N(Z211)</f>
        <v/>
      </c>
      <c r="AB211" s="11" t="n"/>
      <c r="AC211" s="12" t="n">
        <v>1982512</v>
      </c>
      <c r="AD211" s="21">
        <f>O211-Y211</f>
        <v/>
      </c>
      <c r="AE211" s="21">
        <f>P211-X211</f>
        <v/>
      </c>
      <c r="AF211" s="21">
        <f>IF(Q211="","",Q211-Z211)</f>
        <v/>
      </c>
      <c r="AG211" s="22">
        <f>AC211+AD211+AE211+N(AF211)</f>
        <v/>
      </c>
      <c r="AH211" s="11" t="n">
        <v>1849546.926</v>
      </c>
      <c r="AI211" s="24">
        <f>AG211-AH211</f>
        <v/>
      </c>
      <c r="AJ211" s="14">
        <f>IF(OR(B211="",B211=0,N211=""),"",N211/B211*10000)</f>
        <v/>
      </c>
      <c r="AK211" s="14">
        <f>IF(OR(C211="",C211=0),"",O211/C211*10000)</f>
        <v/>
      </c>
      <c r="AL211" s="14">
        <f>IF(OR(D211="",D211=0),"",P211/D211*10000)</f>
        <v/>
      </c>
      <c r="AM211" s="14">
        <f>IF(OR(E211="",E211=0),"",Q211/E211*10000)</f>
        <v/>
      </c>
      <c r="AN211" s="11" t="n">
        <v>7939.630694802135</v>
      </c>
      <c r="AO211" s="11" t="n">
        <v>0</v>
      </c>
      <c r="AP211" s="21">
        <f>AH211+AN211+AO211</f>
        <v/>
      </c>
      <c r="AQ211" s="21">
        <f>AH211</f>
        <v/>
      </c>
      <c r="AR211" s="15" t="n">
        <v>49011.9</v>
      </c>
      <c r="AS211" s="27" t="n">
        <v>37.736691</v>
      </c>
      <c r="AT211" s="15" t="n">
        <v>25320933.88</v>
      </c>
      <c r="AU211" s="15" t="n">
        <v>26205.6615</v>
      </c>
      <c r="AV211" s="15" t="n">
        <v>1860.9468</v>
      </c>
      <c r="AW211" s="15" t="n"/>
      <c r="AX211" s="16" t="n">
        <v>420.8730926361306</v>
      </c>
      <c r="AY211" s="13">
        <f>IF(OR(AX211="",AX211=0,AU211=""),"",AU211*365/(AX211*1000000))</f>
        <v/>
      </c>
      <c r="AZ211" s="15" t="n">
        <v>423377095.8914</v>
      </c>
      <c r="BA211" s="17" t="n">
        <v>60487233</v>
      </c>
      <c r="BB211" s="18" t="n">
        <v>25320933.88</v>
      </c>
      <c r="BC211" s="17" t="n">
        <v>2971663</v>
      </c>
      <c r="BD211" s="17">
        <f>1000000000-999695314.1564+44749.8452</f>
        <v/>
      </c>
      <c r="BE211" s="19">
        <f>1000000000-AZ211-BA211-BB211-BC211-BD211</f>
        <v/>
      </c>
      <c r="BF211" s="20" t="n">
        <v>238</v>
      </c>
      <c r="BG211" s="20">
        <f>BE211/1000000-BF211</f>
        <v/>
      </c>
      <c r="BH211" s="21">
        <f>BE211*37.62</f>
        <v/>
      </c>
    </row>
    <row r="212">
      <c r="A212" s="10" t="n">
        <v>45834</v>
      </c>
      <c r="B212" s="11" t="n">
        <v>6054093573</v>
      </c>
      <c r="C212" s="11" t="n"/>
      <c r="D212" s="12" t="n">
        <v>253266297</v>
      </c>
      <c r="E212" s="11" t="n"/>
      <c r="N212" s="12" t="n">
        <v>1644613</v>
      </c>
      <c r="O212" s="11" t="n"/>
      <c r="P212" s="12" t="n">
        <v>54006</v>
      </c>
      <c r="Q212" s="11" t="n"/>
      <c r="R212" s="21">
        <f>N212+O212+P212+N(Q212)</f>
        <v/>
      </c>
      <c r="S212" s="13" t="n">
        <v>0.03</v>
      </c>
      <c r="T212" s="21">
        <f>N(AC212)*S212</f>
        <v/>
      </c>
      <c r="U212" s="21">
        <f>N(AD212)*S212</f>
        <v/>
      </c>
      <c r="V212" s="21">
        <f>N(AE212)*S212</f>
        <v/>
      </c>
      <c r="W212" s="21">
        <f>IF(Q212="","",N(AF212)*S212)</f>
        <v/>
      </c>
      <c r="X212" s="12" t="n">
        <v>9775</v>
      </c>
      <c r="Y212" s="11" t="n"/>
      <c r="Z212" s="11" t="n"/>
      <c r="AA212" s="21">
        <f>T212+U212+V212+N(W212)+X212+Y212+N(Z212)</f>
        <v/>
      </c>
      <c r="AB212" s="11" t="n"/>
      <c r="AC212" s="12" t="n">
        <v>1595274</v>
      </c>
      <c r="AD212" s="21">
        <f>O212-Y212</f>
        <v/>
      </c>
      <c r="AE212" s="21">
        <f>P212-X212</f>
        <v/>
      </c>
      <c r="AF212" s="21">
        <f>IF(Q212="","",Q212-Z212)</f>
        <v/>
      </c>
      <c r="AG212" s="22">
        <f>AC212+AD212+AE212+N(AF212)</f>
        <v/>
      </c>
      <c r="AH212" s="11" t="n">
        <v>1978598.824</v>
      </c>
      <c r="AI212" s="24">
        <f>AG212-AH212</f>
        <v/>
      </c>
      <c r="AJ212" s="14">
        <f>IF(OR(B212="",B212=0,N212=""),"",N212/B212*10000)</f>
        <v/>
      </c>
      <c r="AK212" s="14">
        <f>IF(OR(C212="",C212=0),"",O212/C212*10000)</f>
        <v/>
      </c>
      <c r="AL212" s="14">
        <f>IF(OR(D212="",D212=0),"",P212/D212*10000)</f>
        <v/>
      </c>
      <c r="AM212" s="14">
        <f>IF(OR(E212="",E212=0),"",Q212/E212*10000)</f>
        <v/>
      </c>
      <c r="AN212" s="11" t="n">
        <v>8495.846218578425</v>
      </c>
      <c r="AO212" s="11" t="n">
        <v>18538.81</v>
      </c>
      <c r="AP212" s="21">
        <f>AH212+AN212+AO212</f>
        <v/>
      </c>
      <c r="AQ212" s="21">
        <f>AH212</f>
        <v/>
      </c>
      <c r="AR212" s="15" t="n">
        <v>53218.85</v>
      </c>
      <c r="AS212" s="27" t="n">
        <v>37.178534</v>
      </c>
      <c r="AT212" s="15" t="n">
        <v>25374152.73</v>
      </c>
      <c r="AU212" s="15" t="n">
        <v>26264.077</v>
      </c>
      <c r="AV212" s="15" t="n">
        <v>931.2572</v>
      </c>
      <c r="AW212" s="15" t="n"/>
      <c r="AX212" s="16" t="n">
        <v>420.8256260074126</v>
      </c>
      <c r="AY212" s="13">
        <f>IF(OR(AX212="",AX212=0,AU212=""),"",AU212*365/(AX212*1000000))</f>
        <v/>
      </c>
      <c r="AZ212" s="15" t="n">
        <v>423350831.8144</v>
      </c>
      <c r="BA212" s="17" t="n">
        <v>60487233</v>
      </c>
      <c r="BB212" s="18" t="n">
        <v>25374152.73</v>
      </c>
      <c r="BC212" s="17" t="n">
        <v>2971663</v>
      </c>
      <c r="BD212" s="17">
        <f>1000000000-999694382.8992+44979.6863</f>
        <v/>
      </c>
      <c r="BE212" s="19">
        <f>1000000000-AZ212-BA212-BB212-BC212-BD212</f>
        <v/>
      </c>
      <c r="BF212" s="20" t="n">
        <v>238</v>
      </c>
      <c r="BG212" s="20">
        <f>BE212/1000000-BF212</f>
        <v/>
      </c>
      <c r="BH212" s="21">
        <f>BE212*37.11</f>
        <v/>
      </c>
    </row>
    <row r="213">
      <c r="A213" s="10" t="n">
        <v>45835</v>
      </c>
      <c r="B213" s="11" t="n">
        <v>5468496334</v>
      </c>
      <c r="C213" s="11" t="n"/>
      <c r="D213" s="12" t="n">
        <v>170980501</v>
      </c>
      <c r="E213" s="11" t="n"/>
      <c r="N213" s="12" t="n">
        <v>1539388</v>
      </c>
      <c r="O213" s="11" t="n"/>
      <c r="P213" s="12" t="n">
        <v>37448</v>
      </c>
      <c r="Q213" s="11" t="n"/>
      <c r="R213" s="21">
        <f>N213+O213+P213+N(Q213)</f>
        <v/>
      </c>
      <c r="S213" s="13" t="n">
        <v>0.03</v>
      </c>
      <c r="T213" s="21">
        <f>N(AC213)*S213</f>
        <v/>
      </c>
      <c r="U213" s="21">
        <f>N(AD213)*S213</f>
        <v/>
      </c>
      <c r="V213" s="21">
        <f>N(AE213)*S213</f>
        <v/>
      </c>
      <c r="W213" s="21">
        <f>IF(Q213="","",N(AF213)*S213)</f>
        <v/>
      </c>
      <c r="X213" s="12" t="n">
        <v>5682</v>
      </c>
      <c r="Y213" s="11" t="n"/>
      <c r="Z213" s="11" t="n"/>
      <c r="AA213" s="21">
        <f>T213+U213+V213+N(W213)+X213+Y213+N(Z213)</f>
        <v/>
      </c>
      <c r="AB213" s="11" t="n"/>
      <c r="AC213" s="12" t="n">
        <v>1493206</v>
      </c>
      <c r="AD213" s="21">
        <f>O213-Y213</f>
        <v/>
      </c>
      <c r="AE213" s="21">
        <f>P213-X213</f>
        <v/>
      </c>
      <c r="AF213" s="21">
        <f>IF(Q213="","",Q213-Z213)</f>
        <v/>
      </c>
      <c r="AG213" s="22">
        <f>AC213+AD213+AE213+N(AF213)</f>
        <v/>
      </c>
      <c r="AH213" s="11" t="n">
        <v>1815313.983</v>
      </c>
      <c r="AI213" s="24">
        <f>AG213-AH213</f>
        <v/>
      </c>
      <c r="AJ213" s="14">
        <f>IF(OR(B213="",B213=0,N213=""),"",N213/B213*10000)</f>
        <v/>
      </c>
      <c r="AK213" s="14">
        <f>IF(OR(C213="",C213=0),"",O213/C213*10000)</f>
        <v/>
      </c>
      <c r="AL213" s="14">
        <f>IF(OR(D213="",D213=0),"",P213/D213*10000)</f>
        <v/>
      </c>
      <c r="AM213" s="14">
        <f>IF(OR(E213="",E213=0),"",Q213/E213*10000)</f>
        <v/>
      </c>
      <c r="AN213" s="11" t="n">
        <v>4007.853210149208</v>
      </c>
      <c r="AO213" s="11" t="n">
        <v>0</v>
      </c>
      <c r="AP213" s="21">
        <f>AH213+AN213+AO213</f>
        <v/>
      </c>
      <c r="AQ213" s="21">
        <f>AH213</f>
        <v/>
      </c>
      <c r="AR213" s="15" t="n">
        <v>49767.76</v>
      </c>
      <c r="AS213" s="27" t="n">
        <v>36.475702</v>
      </c>
      <c r="AT213" s="15" t="n">
        <v>25423920.49</v>
      </c>
      <c r="AU213" s="15" t="n">
        <v>26235.3685</v>
      </c>
      <c r="AV213" s="15" t="n">
        <v>1348.0803</v>
      </c>
      <c r="AW213" s="15" t="n"/>
      <c r="AX213" s="16" t="n">
        <v>421.0694556635931</v>
      </c>
      <c r="AY213" s="13">
        <f>IF(OR(AX213="",AX213=0,AU213=""),"",AU213*365/(AX213*1000000))</f>
        <v/>
      </c>
      <c r="AZ213" s="15" t="n">
        <v>423324596.4459</v>
      </c>
      <c r="BA213" s="17" t="n">
        <v>60487233</v>
      </c>
      <c r="BB213" s="18" t="n">
        <v>25423920.49</v>
      </c>
      <c r="BC213" s="17" t="n">
        <v>2971663</v>
      </c>
      <c r="BD213" s="17">
        <f>1000000000-999693034.8189+45091.4720</f>
        <v/>
      </c>
      <c r="BE213" s="19">
        <f>1000000000-AZ213-BA213-BB213-BC213-BD213</f>
        <v/>
      </c>
      <c r="BF213" s="20" t="n">
        <v>238</v>
      </c>
      <c r="BG213" s="20">
        <f>BE213/1000000-BF213</f>
        <v/>
      </c>
      <c r="BH213" s="21">
        <f>BE213*35.7</f>
        <v/>
      </c>
    </row>
    <row r="214">
      <c r="A214" s="10" t="n">
        <v>45836</v>
      </c>
      <c r="B214" s="11" t="n">
        <v>2029915380</v>
      </c>
      <c r="C214" s="11" t="n"/>
      <c r="D214" s="12" t="n">
        <v>127382868</v>
      </c>
      <c r="E214" s="11" t="n"/>
      <c r="N214" s="12" t="n">
        <v>591671</v>
      </c>
      <c r="O214" s="11" t="n"/>
      <c r="P214" s="12" t="n">
        <v>28957</v>
      </c>
      <c r="Q214" s="11" t="n"/>
      <c r="R214" s="21">
        <f>N214+O214+P214+N(Q214)</f>
        <v/>
      </c>
      <c r="S214" s="13" t="n">
        <v>0.03</v>
      </c>
      <c r="T214" s="21">
        <f>N(AC214)*S214</f>
        <v/>
      </c>
      <c r="U214" s="21">
        <f>N(AD214)*S214</f>
        <v/>
      </c>
      <c r="V214" s="21">
        <f>N(AE214)*S214</f>
        <v/>
      </c>
      <c r="W214" s="21">
        <f>IF(Q214="","",N(AF214)*S214)</f>
        <v/>
      </c>
      <c r="X214" s="12" t="n">
        <v>6964</v>
      </c>
      <c r="Y214" s="11" t="n"/>
      <c r="Z214" s="11" t="n"/>
      <c r="AA214" s="21">
        <f>T214+U214+V214+N(W214)+X214+Y214+N(Z214)</f>
        <v/>
      </c>
      <c r="AB214" s="11" t="n"/>
      <c r="AC214" s="12" t="n">
        <v>573921</v>
      </c>
      <c r="AD214" s="21">
        <f>O214-Y214</f>
        <v/>
      </c>
      <c r="AE214" s="21">
        <f>P214-X214</f>
        <v/>
      </c>
      <c r="AF214" s="21">
        <f>IF(Q214="","",Q214-Z214)</f>
        <v/>
      </c>
      <c r="AG214" s="22">
        <f>AC214+AD214+AE214+N(AF214)</f>
        <v/>
      </c>
      <c r="AH214" s="11" t="n">
        <v>1203337.358</v>
      </c>
      <c r="AI214" s="24">
        <f>AG214-AH214</f>
        <v/>
      </c>
      <c r="AJ214" s="14">
        <f>IF(OR(B214="",B214=0,N214=""),"",N214/B214*10000)</f>
        <v/>
      </c>
      <c r="AK214" s="14">
        <f>IF(OR(C214="",C214=0),"",O214/C214*10000)</f>
        <v/>
      </c>
      <c r="AL214" s="14">
        <f>IF(OR(D214="",D214=0),"",P214/D214*10000)</f>
        <v/>
      </c>
      <c r="AM214" s="14">
        <f>IF(OR(E214="",E214=0),"",Q214/E214*10000)</f>
        <v/>
      </c>
      <c r="AN214" s="11" t="n">
        <v>3740.089685894547</v>
      </c>
      <c r="AO214" s="11" t="n">
        <v>18249.91</v>
      </c>
      <c r="AP214" s="21">
        <f>AH214+AN214+AO214</f>
        <v/>
      </c>
      <c r="AQ214" s="21">
        <f>AH214</f>
        <v/>
      </c>
      <c r="AR214" s="15" t="n">
        <v>32517.99</v>
      </c>
      <c r="AS214" s="27" t="n">
        <v>37.005281</v>
      </c>
      <c r="AT214" s="15" t="n">
        <v>25456438.48</v>
      </c>
      <c r="AU214" s="15" t="n">
        <v>26271.3196</v>
      </c>
      <c r="AV214" s="15" t="n">
        <v>599.8286000000001</v>
      </c>
      <c r="AW214" s="15" t="n"/>
      <c r="AX214" s="16" t="n">
        <v>421.2115136617858</v>
      </c>
      <c r="AY214" s="13">
        <f>IF(OR(AX214="",AX214=0,AU214=""),"",AU214*365/(AX214*1000000))</f>
        <v/>
      </c>
      <c r="AZ214" s="15" t="n">
        <v>423298325.1262</v>
      </c>
      <c r="BA214" s="17" t="n">
        <v>60487233</v>
      </c>
      <c r="BB214" s="18" t="n">
        <v>25456438.48</v>
      </c>
      <c r="BC214" s="17" t="n">
        <v>2971663</v>
      </c>
      <c r="BD214" s="17">
        <f>1000000000-999692434.9903+45193.8000</f>
        <v/>
      </c>
      <c r="BE214" s="19">
        <f>1000000000-AZ214-BA214-BB214-BC214-BD214</f>
        <v/>
      </c>
      <c r="BF214" s="20" t="n">
        <v>238</v>
      </c>
      <c r="BG214" s="20">
        <f>BE214/1000000-BF214</f>
        <v/>
      </c>
      <c r="BH214" s="21">
        <f>BE214*36.35</f>
        <v/>
      </c>
    </row>
    <row r="215">
      <c r="A215" s="10" t="n">
        <v>45837</v>
      </c>
      <c r="B215" s="11" t="n">
        <v>3690353142</v>
      </c>
      <c r="C215" s="11" t="n"/>
      <c r="D215" s="12" t="n">
        <v>199996202</v>
      </c>
      <c r="E215" s="11" t="n"/>
      <c r="N215" s="12" t="n">
        <v>1083387</v>
      </c>
      <c r="O215" s="11" t="n"/>
      <c r="P215" s="12" t="n">
        <v>47224</v>
      </c>
      <c r="Q215" s="11" t="n"/>
      <c r="R215" s="21">
        <f>N215+O215+P215+N(Q215)</f>
        <v/>
      </c>
      <c r="S215" s="13" t="n">
        <v>0.03</v>
      </c>
      <c r="T215" s="21">
        <f>N(AC215)*S215</f>
        <v/>
      </c>
      <c r="U215" s="21">
        <f>N(AD215)*S215</f>
        <v/>
      </c>
      <c r="V215" s="21">
        <f>N(AE215)*S215</f>
        <v/>
      </c>
      <c r="W215" s="21">
        <f>IF(Q215="","",N(AF215)*S215)</f>
        <v/>
      </c>
      <c r="X215" s="12" t="n">
        <v>11286</v>
      </c>
      <c r="Y215" s="11" t="n"/>
      <c r="Z215" s="11" t="n"/>
      <c r="AA215" s="21">
        <f>T215+U215+V215+N(W215)+X215+Y215+N(Z215)</f>
        <v/>
      </c>
      <c r="AB215" s="11" t="n"/>
      <c r="AC215" s="12" t="n">
        <v>1050886</v>
      </c>
      <c r="AD215" s="21">
        <f>O215-Y215</f>
        <v/>
      </c>
      <c r="AE215" s="21">
        <f>P215-X215</f>
        <v/>
      </c>
      <c r="AF215" s="21">
        <f>IF(Q215="","",Q215-Z215)</f>
        <v/>
      </c>
      <c r="AG215" s="22">
        <f>AC215+AD215+AE215+N(AF215)</f>
        <v/>
      </c>
      <c r="AH215" s="11" t="n">
        <v>542414.0383</v>
      </c>
      <c r="AI215" s="24">
        <f>AG215-AH215</f>
        <v/>
      </c>
      <c r="AJ215" s="14">
        <f>IF(OR(B215="",B215=0,N215=""),"",N215/B215*10000)</f>
        <v/>
      </c>
      <c r="AK215" s="14">
        <f>IF(OR(C215="",C215=0),"",O215/C215*10000)</f>
        <v/>
      </c>
      <c r="AL215" s="14">
        <f>IF(OR(D215="",D215=0),"",P215/D215*10000)</f>
        <v/>
      </c>
      <c r="AM215" s="14">
        <f>IF(OR(E215="",E215=0),"",Q215/E215*10000)</f>
        <v/>
      </c>
      <c r="AN215" s="11" t="n">
        <v>3387.603864184065</v>
      </c>
      <c r="AO215" s="11" t="n">
        <v>0</v>
      </c>
      <c r="AP215" s="21">
        <f>AH215+AN215+AO215</f>
        <v/>
      </c>
      <c r="AQ215" s="21">
        <f>AH215</f>
        <v/>
      </c>
      <c r="AR215" s="15" t="n">
        <v>14116.47</v>
      </c>
      <c r="AS215" s="27" t="n">
        <v>38.424198</v>
      </c>
      <c r="AT215" s="15" t="n">
        <v>25470554.95</v>
      </c>
      <c r="AU215" s="15" t="n">
        <v>26095.91</v>
      </c>
      <c r="AV215" s="15" t="n">
        <v>873.9448</v>
      </c>
      <c r="AW215" s="15" t="n"/>
      <c r="AX215" s="16" t="n">
        <v>421.9684478857336</v>
      </c>
      <c r="AY215" s="13">
        <f>IF(OR(AX215="",AX215=0,AU215=""),"",AU215*365/(AX215*1000000))</f>
        <v/>
      </c>
      <c r="AZ215" s="15" t="n">
        <v>423272229.2162</v>
      </c>
      <c r="BA215" s="17" t="n">
        <v>60487233</v>
      </c>
      <c r="BB215" s="18" t="n">
        <v>25470554.95</v>
      </c>
      <c r="BC215" s="17" t="n">
        <v>2971663</v>
      </c>
      <c r="BD215" s="17">
        <f>1000000000-999691561.0455+45283.4904</f>
        <v/>
      </c>
      <c r="BE215" s="19">
        <f>1000000000-AZ215-BA215-BB215-BC215-BD215</f>
        <v/>
      </c>
      <c r="BF215" s="20" t="n">
        <v>238</v>
      </c>
      <c r="BG215" s="20">
        <f>BE215/1000000-BF215</f>
        <v/>
      </c>
      <c r="BH215" s="21">
        <f>BE215*37.73</f>
        <v/>
      </c>
    </row>
    <row r="216">
      <c r="A216" s="10" t="n">
        <v>45838</v>
      </c>
      <c r="B216" s="11" t="n">
        <v>6117167590</v>
      </c>
      <c r="C216" s="11" t="n"/>
      <c r="D216" s="12" t="n">
        <v>277804580</v>
      </c>
      <c r="E216" s="11" t="n"/>
      <c r="N216" s="12" t="n">
        <v>1769380</v>
      </c>
      <c r="O216" s="11" t="n"/>
      <c r="P216" s="12" t="n">
        <v>60735</v>
      </c>
      <c r="Q216" s="11" t="n"/>
      <c r="R216" s="21">
        <f>N216+O216+P216+N(Q216)</f>
        <v/>
      </c>
      <c r="S216" s="13" t="n">
        <v>0.03</v>
      </c>
      <c r="T216" s="21">
        <f>N(AC216)*S216</f>
        <v/>
      </c>
      <c r="U216" s="21">
        <f>N(AD216)*S216</f>
        <v/>
      </c>
      <c r="V216" s="21">
        <f>N(AE216)*S216</f>
        <v/>
      </c>
      <c r="W216" s="21">
        <f>IF(Q216="","",N(AF216)*S216)</f>
        <v/>
      </c>
      <c r="X216" s="12" t="n">
        <v>10138</v>
      </c>
      <c r="Y216" s="11" t="n"/>
      <c r="Z216" s="11" t="n"/>
      <c r="AA216" s="21">
        <f>T216+U216+V216+N(W216)+X216+Y216+N(Z216)</f>
        <v/>
      </c>
      <c r="AB216" s="11" t="n"/>
      <c r="AC216" s="12" t="n">
        <v>1716298</v>
      </c>
      <c r="AD216" s="21">
        <f>O216-Y216</f>
        <v/>
      </c>
      <c r="AE216" s="21">
        <f>P216-X216</f>
        <v/>
      </c>
      <c r="AF216" s="21">
        <f>IF(Q216="","",Q216-Z216)</f>
        <v/>
      </c>
      <c r="AG216" s="22">
        <f>AC216+AD216+AE216+N(AF216)</f>
        <v/>
      </c>
      <c r="AH216" s="11" t="n">
        <v>1536144.182</v>
      </c>
      <c r="AI216" s="24">
        <f>AG216-AH216</f>
        <v/>
      </c>
      <c r="AJ216" s="14">
        <f>IF(OR(B216="",B216=0,N216=""),"",N216/B216*10000)</f>
        <v/>
      </c>
      <c r="AK216" s="14">
        <f>IF(OR(C216="",C216=0),"",O216/C216*10000)</f>
        <v/>
      </c>
      <c r="AL216" s="14">
        <f>IF(OR(D216="",D216=0),"",P216/D216*10000)</f>
        <v/>
      </c>
      <c r="AM216" s="14">
        <f>IF(OR(E216="",E216=0),"",Q216/E216*10000)</f>
        <v/>
      </c>
      <c r="AN216" s="11" t="n">
        <v>38958.5455776139</v>
      </c>
      <c r="AO216" s="11" t="n">
        <v>0</v>
      </c>
      <c r="AP216" s="21">
        <f>AH216+AN216+AO216</f>
        <v/>
      </c>
      <c r="AQ216" s="21">
        <f>AH216</f>
        <v/>
      </c>
      <c r="AR216" s="15" t="n">
        <v>38320.67</v>
      </c>
      <c r="AS216" s="27" t="n">
        <v>40.086569</v>
      </c>
      <c r="AT216" s="15" t="n">
        <v>25508875.62</v>
      </c>
      <c r="AU216" s="15" t="n">
        <v>26277.9253</v>
      </c>
      <c r="AV216" s="15" t="n">
        <v>649.6043</v>
      </c>
      <c r="AW216" s="15" t="n"/>
      <c r="AX216" s="16" t="n">
        <v>422.0713609434271</v>
      </c>
      <c r="AY216" s="13">
        <f>IF(OR(AX216="",AX216=0,AU216=""),"",AU216*365/(AX216*1000000))</f>
        <v/>
      </c>
      <c r="AZ216" s="15" t="n">
        <v>423245951.291</v>
      </c>
      <c r="BA216" s="17" t="n">
        <v>60487233</v>
      </c>
      <c r="BB216" s="18" t="n">
        <v>25508875.62</v>
      </c>
      <c r="BC216" s="17" t="n">
        <v>2971663</v>
      </c>
      <c r="BD216" s="17">
        <f>1000000000-999690911.4412+46263.4563</f>
        <v/>
      </c>
      <c r="BE216" s="19">
        <f>1000000000-AZ216-BA216-BB216-BC216-BD216</f>
        <v/>
      </c>
      <c r="BF216" s="20" t="n">
        <v>238</v>
      </c>
      <c r="BG216" s="20">
        <f>BE216/1000000-BF216</f>
        <v/>
      </c>
      <c r="BH216" s="21">
        <f>BE216*39.53</f>
        <v/>
      </c>
    </row>
    <row r="217">
      <c r="A217" s="10" t="n">
        <v>45839</v>
      </c>
      <c r="B217" s="11" t="n">
        <v>6136377450</v>
      </c>
      <c r="C217" s="11" t="n"/>
      <c r="D217" s="12" t="n">
        <v>249646512</v>
      </c>
      <c r="E217" s="11" t="n"/>
      <c r="N217" s="12" t="n">
        <v>1759654</v>
      </c>
      <c r="O217" s="11" t="n"/>
      <c r="P217" s="12" t="n">
        <v>56869</v>
      </c>
      <c r="Q217" s="11" t="n"/>
      <c r="R217" s="21">
        <f>N217+O217+P217+N(Q217)</f>
        <v/>
      </c>
      <c r="S217" s="13" t="n">
        <v>0.03</v>
      </c>
      <c r="T217" s="21">
        <f>N(AC217)*S217</f>
        <v/>
      </c>
      <c r="U217" s="21">
        <f>N(AD217)*S217</f>
        <v/>
      </c>
      <c r="V217" s="21">
        <f>N(AE217)*S217</f>
        <v/>
      </c>
      <c r="W217" s="21">
        <f>IF(Q217="","",N(AF217)*S217)</f>
        <v/>
      </c>
      <c r="X217" s="12" t="n">
        <v>11423</v>
      </c>
      <c r="Y217" s="11" t="n"/>
      <c r="Z217" s="11" t="n"/>
      <c r="AA217" s="21">
        <f>T217+U217+V217+N(W217)+X217+Y217+N(Z217)</f>
        <v/>
      </c>
      <c r="AB217" s="11" t="n"/>
      <c r="AC217" s="12" t="n">
        <v>1706865</v>
      </c>
      <c r="AD217" s="21">
        <f>O217-Y217</f>
        <v/>
      </c>
      <c r="AE217" s="21">
        <f>P217-X217</f>
        <v/>
      </c>
      <c r="AF217" s="21">
        <f>IF(Q217="","",Q217-Z217)</f>
        <v/>
      </c>
      <c r="AG217" s="22">
        <f>AC217+AD217+AE217+N(AF217)</f>
        <v/>
      </c>
      <c r="AH217" s="11" t="n">
        <v>1555195.846</v>
      </c>
      <c r="AI217" s="24">
        <f>AG217-AH217</f>
        <v/>
      </c>
      <c r="AJ217" s="14">
        <f>IF(OR(B217="",B217=0,N217=""),"",N217/B217*10000)</f>
        <v/>
      </c>
      <c r="AK217" s="14">
        <f>IF(OR(C217="",C217=0),"",O217/C217*10000)</f>
        <v/>
      </c>
      <c r="AL217" s="14">
        <f>IF(OR(D217="",D217=0),"",P217/D217*10000)</f>
        <v/>
      </c>
      <c r="AM217" s="14">
        <f>IF(OR(E217="",E217=0),"",Q217/E217*10000)</f>
        <v/>
      </c>
      <c r="AN217" s="11" t="n">
        <v>8099.642670797388</v>
      </c>
      <c r="AO217" s="11" t="n">
        <v>0</v>
      </c>
      <c r="AP217" s="21">
        <f>AH217+AN217+AO217</f>
        <v/>
      </c>
      <c r="AQ217" s="21">
        <f>AH217</f>
        <v/>
      </c>
      <c r="AR217" s="15" t="n">
        <v>40397.31</v>
      </c>
      <c r="AS217" s="27" t="n">
        <v>38.49751</v>
      </c>
      <c r="AT217" s="15" t="n">
        <v>25549272.93</v>
      </c>
      <c r="AU217" s="15" t="n">
        <v>26322.6881</v>
      </c>
      <c r="AV217" s="15" t="n">
        <v>850.0683</v>
      </c>
      <c r="AW217" s="15" t="n"/>
      <c r="AX217" s="16" t="n">
        <v>422.2082550772893</v>
      </c>
      <c r="AY217" s="13">
        <f>IF(OR(AX217="",AX217=0,AU217=""),"",AU217*365/(AX217*1000000))</f>
        <v/>
      </c>
      <c r="AZ217" s="15" t="n">
        <v>423219628.6029</v>
      </c>
      <c r="BA217" s="17" t="n">
        <v>60487233</v>
      </c>
      <c r="BB217" s="18" t="n">
        <v>25549272.93</v>
      </c>
      <c r="BC217" s="17" t="n">
        <v>2971663</v>
      </c>
      <c r="BD217" s="17">
        <f>1000000000-999690061.3729+46468.9423</f>
        <v/>
      </c>
      <c r="BE217" s="19">
        <f>1000000000-AZ217-BA217-BB217-BC217-BD217</f>
        <v/>
      </c>
      <c r="BF217" s="20" t="n">
        <v>238</v>
      </c>
      <c r="BG217" s="20">
        <f>BE217/1000000-BF217</f>
        <v/>
      </c>
      <c r="BH217" s="21">
        <f>BE217*39.49</f>
        <v/>
      </c>
    </row>
    <row r="218">
      <c r="A218" s="10" t="n">
        <v>45840</v>
      </c>
      <c r="B218" s="11" t="n">
        <v>8708461912</v>
      </c>
      <c r="C218" s="11" t="n"/>
      <c r="D218" s="12" t="n">
        <v>292172889</v>
      </c>
      <c r="E218" s="11" t="n"/>
      <c r="N218" s="12" t="n">
        <v>2540664</v>
      </c>
      <c r="O218" s="11" t="n"/>
      <c r="P218" s="12" t="n">
        <v>60148</v>
      </c>
      <c r="Q218" s="11" t="n"/>
      <c r="R218" s="21">
        <f>N218+O218+P218+N(Q218)</f>
        <v/>
      </c>
      <c r="S218" s="13" t="n">
        <v>0.03</v>
      </c>
      <c r="T218" s="21">
        <f>N(AC218)*S218</f>
        <v/>
      </c>
      <c r="U218" s="21">
        <f>N(AD218)*S218</f>
        <v/>
      </c>
      <c r="V218" s="21">
        <f>N(AE218)*S218</f>
        <v/>
      </c>
      <c r="W218" s="21">
        <f>IF(Q218="","",N(AF218)*S218)</f>
        <v/>
      </c>
      <c r="X218" s="12" t="n">
        <v>17543</v>
      </c>
      <c r="Y218" s="11" t="n"/>
      <c r="Z218" s="11" t="n"/>
      <c r="AA218" s="21">
        <f>T218+U218+V218+N(W218)+X218+Y218+N(Z218)</f>
        <v/>
      </c>
      <c r="AB218" s="11" t="n"/>
      <c r="AC218" s="12" t="n">
        <v>2464444</v>
      </c>
      <c r="AD218" s="21">
        <f>O218-Y218</f>
        <v/>
      </c>
      <c r="AE218" s="21">
        <f>P218-X218</f>
        <v/>
      </c>
      <c r="AF218" s="21">
        <f>IF(Q218="","",Q218-Z218)</f>
        <v/>
      </c>
      <c r="AG218" s="22">
        <f>AC218+AD218+AE218+N(AF218)</f>
        <v/>
      </c>
      <c r="AH218" s="11" t="n">
        <v>1844481.991</v>
      </c>
      <c r="AI218" s="24">
        <f>AG218-AH218</f>
        <v/>
      </c>
      <c r="AJ218" s="14">
        <f>IF(OR(B218="",B218=0,N218=""),"",N218/B218*10000)</f>
        <v/>
      </c>
      <c r="AK218" s="14">
        <f>IF(OR(C218="",C218=0),"",O218/C218*10000)</f>
        <v/>
      </c>
      <c r="AL218" s="14">
        <f>IF(OR(D218="",D218=0),"",P218/D218*10000)</f>
        <v/>
      </c>
      <c r="AM218" s="14">
        <f>IF(OR(E218="",E218=0),"",Q218/E218*10000)</f>
        <v/>
      </c>
      <c r="AN218" s="11" t="n">
        <v>6638.274666003049</v>
      </c>
      <c r="AO218" s="11" t="n">
        <v>0</v>
      </c>
      <c r="AP218" s="21">
        <f>AH218+AN218+AO218</f>
        <v/>
      </c>
      <c r="AQ218" s="21">
        <f>AH218</f>
        <v/>
      </c>
      <c r="AR218" s="15" t="n">
        <v>47673.58</v>
      </c>
      <c r="AS218" s="27" t="n">
        <v>38.689815</v>
      </c>
      <c r="AT218" s="15" t="n">
        <v>25596946.51</v>
      </c>
      <c r="AU218" s="15" t="n">
        <v>26305.5889</v>
      </c>
      <c r="AV218" s="15" t="n">
        <v>710.4213</v>
      </c>
      <c r="AW218" s="15" t="n"/>
      <c r="AX218" s="16" t="n">
        <v>424.1947675775355</v>
      </c>
      <c r="AY218" s="13">
        <f>IF(OR(AX218="",AX218=0,AU218=""),"",AU218*365/(AX218*1000000))</f>
        <v/>
      </c>
      <c r="AZ218" s="15" t="n">
        <v>423193323.014</v>
      </c>
      <c r="BA218" s="17" t="n">
        <v>60487233</v>
      </c>
      <c r="BB218" s="18" t="n">
        <v>25596946.51</v>
      </c>
      <c r="BC218" s="17" t="n">
        <v>2971663</v>
      </c>
      <c r="BD218" s="17">
        <f>1000000000-999689350.9517+46648.0260</f>
        <v/>
      </c>
      <c r="BE218" s="19">
        <f>1000000000-AZ218-BA218-BB218-BC218-BD218</f>
        <v/>
      </c>
      <c r="BF218" s="20" t="n">
        <v>238</v>
      </c>
      <c r="BG218" s="20">
        <f>BE218/1000000-BF218</f>
        <v/>
      </c>
      <c r="BH218" s="21">
        <f>BE218*37.01</f>
        <v/>
      </c>
    </row>
    <row r="219">
      <c r="A219" s="10" t="n">
        <v>45841</v>
      </c>
      <c r="B219" s="11" t="n">
        <v>6251465097</v>
      </c>
      <c r="C219" s="11" t="n"/>
      <c r="D219" s="12" t="n">
        <v>229236296</v>
      </c>
      <c r="E219" s="11" t="n"/>
      <c r="N219" s="12" t="n">
        <v>1860095</v>
      </c>
      <c r="O219" s="11" t="n"/>
      <c r="P219" s="12" t="n">
        <v>51268</v>
      </c>
      <c r="Q219" s="11" t="n"/>
      <c r="R219" s="21">
        <f>N219+O219+P219+N(Q219)</f>
        <v/>
      </c>
      <c r="S219" s="13" t="n">
        <v>0.03</v>
      </c>
      <c r="T219" s="21">
        <f>N(AC219)*S219</f>
        <v/>
      </c>
      <c r="U219" s="21">
        <f>N(AD219)*S219</f>
        <v/>
      </c>
      <c r="V219" s="21">
        <f>N(AE219)*S219</f>
        <v/>
      </c>
      <c r="W219" s="21">
        <f>IF(Q219="","",N(AF219)*S219)</f>
        <v/>
      </c>
      <c r="X219" s="12" t="n">
        <v>13590</v>
      </c>
      <c r="Y219" s="11" t="n"/>
      <c r="Z219" s="11" t="n"/>
      <c r="AA219" s="21">
        <f>T219+U219+V219+N(W219)+X219+Y219+N(Z219)</f>
        <v/>
      </c>
      <c r="AB219" s="11" t="n"/>
      <c r="AC219" s="12" t="n">
        <v>1804292</v>
      </c>
      <c r="AD219" s="21">
        <f>O219-Y219</f>
        <v/>
      </c>
      <c r="AE219" s="21">
        <f>P219-X219</f>
        <v/>
      </c>
      <c r="AF219" s="21">
        <f>IF(Q219="","",Q219-Z219)</f>
        <v/>
      </c>
      <c r="AG219" s="22">
        <f>AC219+AD219+AE219+N(AF219)</f>
        <v/>
      </c>
      <c r="AH219" s="11" t="n">
        <v>2494949.024</v>
      </c>
      <c r="AI219" s="24">
        <f>AG219-AH219</f>
        <v/>
      </c>
      <c r="AJ219" s="14">
        <f>IF(OR(B219="",B219=0,N219=""),"",N219/B219*10000)</f>
        <v/>
      </c>
      <c r="AK219" s="14">
        <f>IF(OR(C219="",C219=0),"",O219/C219*10000)</f>
        <v/>
      </c>
      <c r="AL219" s="14">
        <f>IF(OR(D219="",D219=0),"",P219/D219*10000)</f>
        <v/>
      </c>
      <c r="AM219" s="14">
        <f>IF(OR(E219="",E219=0),"",Q219/E219*10000)</f>
        <v/>
      </c>
      <c r="AN219" s="11" t="n">
        <v>9166.216101661439</v>
      </c>
      <c r="AO219" s="11" t="n">
        <v>0</v>
      </c>
      <c r="AP219" s="21">
        <f>AH219+AN219+AO219</f>
        <v/>
      </c>
      <c r="AQ219" s="21">
        <f>AH219</f>
        <v/>
      </c>
      <c r="AR219" s="15" t="n">
        <v>61753.57</v>
      </c>
      <c r="AS219" s="27" t="n">
        <v>40.401697</v>
      </c>
      <c r="AT219" s="15" t="n">
        <v>25658700.08</v>
      </c>
      <c r="AU219" s="15" t="n">
        <v>26103.9266</v>
      </c>
      <c r="AV219" s="15" t="n">
        <v>954.5984999999999</v>
      </c>
      <c r="AW219" s="15" t="n"/>
      <c r="AX219" s="16" t="n">
        <v>424.2840027275696</v>
      </c>
      <c r="AY219" s="13">
        <f>IF(OR(AX219="",AX219=0,AU219=""),"",AU219*365/(AX219*1000000))</f>
        <v/>
      </c>
      <c r="AZ219" s="15" t="n">
        <v>423167219.0874</v>
      </c>
      <c r="BA219" s="17" t="n">
        <v>60487233</v>
      </c>
      <c r="BB219" s="18" t="n">
        <v>25658700.08</v>
      </c>
      <c r="BC219" s="17" t="n">
        <v>2971663</v>
      </c>
      <c r="BD219" s="17">
        <f>1000000000-999688396.3532+46878.1017</f>
        <v/>
      </c>
      <c r="BE219" s="19">
        <f>1000000000-AZ219-BA219-BB219-BC219-BD219</f>
        <v/>
      </c>
      <c r="BF219" s="20" t="n">
        <v>238</v>
      </c>
      <c r="BG219" s="20">
        <f>BE219/1000000-BF219</f>
        <v/>
      </c>
      <c r="BH219" s="21">
        <f>BE219*39.86</f>
        <v/>
      </c>
    </row>
    <row r="220">
      <c r="A220" s="10" t="n">
        <v>45842</v>
      </c>
      <c r="B220" s="11" t="n">
        <v>5865755226</v>
      </c>
      <c r="C220" s="11" t="n"/>
      <c r="D220" s="12" t="n">
        <v>221169152</v>
      </c>
      <c r="E220" s="11" t="n"/>
      <c r="N220" s="12" t="n">
        <v>1606429</v>
      </c>
      <c r="O220" s="11" t="n"/>
      <c r="P220" s="12" t="n">
        <v>49787</v>
      </c>
      <c r="Q220" s="11" t="n"/>
      <c r="R220" s="21">
        <f>N220+O220+P220+N(Q220)</f>
        <v/>
      </c>
      <c r="S220" s="13" t="n">
        <v>0.03</v>
      </c>
      <c r="T220" s="21">
        <f>N(AC220)*S220</f>
        <v/>
      </c>
      <c r="U220" s="21">
        <f>N(AD220)*S220</f>
        <v/>
      </c>
      <c r="V220" s="21">
        <f>N(AE220)*S220</f>
        <v/>
      </c>
      <c r="W220" s="21">
        <f>IF(Q220="","",N(AF220)*S220)</f>
        <v/>
      </c>
      <c r="X220" s="12" t="n">
        <v>11419</v>
      </c>
      <c r="Y220" s="11" t="n"/>
      <c r="Z220" s="11" t="n"/>
      <c r="AA220" s="21">
        <f>T220+U220+V220+N(W220)+X220+Y220+N(Z220)</f>
        <v/>
      </c>
      <c r="AB220" s="11" t="n"/>
      <c r="AC220" s="12" t="n">
        <v>1558236</v>
      </c>
      <c r="AD220" s="21">
        <f>O220-Y220</f>
        <v/>
      </c>
      <c r="AE220" s="21">
        <f>P220-X220</f>
        <v/>
      </c>
      <c r="AF220" s="21">
        <f>IF(Q220="","",Q220-Z220)</f>
        <v/>
      </c>
      <c r="AG220" s="22">
        <f>AC220+AD220+AE220+N(AF220)</f>
        <v/>
      </c>
      <c r="AH220" s="11" t="n">
        <v>1741250.39</v>
      </c>
      <c r="AI220" s="24">
        <f>AG220-AH220</f>
        <v/>
      </c>
      <c r="AJ220" s="14">
        <f>IF(OR(B220="",B220=0,N220=""),"",N220/B220*10000)</f>
        <v/>
      </c>
      <c r="AK220" s="14">
        <f>IF(OR(C220="",C220=0),"",O220/C220*10000)</f>
        <v/>
      </c>
      <c r="AL220" s="14">
        <f>IF(OR(D220="",D220=0),"",P220/D220*10000)</f>
        <v/>
      </c>
      <c r="AM220" s="14">
        <f>IF(OR(E220="",E220=0),"",Q220/E220*10000)</f>
        <v/>
      </c>
      <c r="AN220" s="11" t="n">
        <v>7770.906878301267</v>
      </c>
      <c r="AO220" s="11" t="n">
        <v>0</v>
      </c>
      <c r="AP220" s="21">
        <f>AH220+AN220+AO220</f>
        <v/>
      </c>
      <c r="AQ220" s="21">
        <f>AH220</f>
        <v/>
      </c>
      <c r="AR220" s="15" t="n">
        <v>45057.8</v>
      </c>
      <c r="AS220" s="27" t="n">
        <v>38.644816</v>
      </c>
      <c r="AT220" s="15" t="n">
        <v>25703757.88</v>
      </c>
      <c r="AU220" s="15" t="n">
        <v>26133.6193</v>
      </c>
      <c r="AV220" s="15" t="n">
        <v>597.4414</v>
      </c>
      <c r="AW220" s="15" t="n"/>
      <c r="AX220" s="16" t="n">
        <v>423.2379674024105</v>
      </c>
      <c r="AY220" s="13">
        <f>IF(OR(AX220="",AX220=0,AU220=""),"",AU220*365/(AX220*1000000))</f>
        <v/>
      </c>
      <c r="AZ220" s="15" t="n">
        <v>423141085.4681</v>
      </c>
      <c r="BA220" s="17" t="n">
        <v>60487233</v>
      </c>
      <c r="BB220" s="18" t="n">
        <v>25703757.88</v>
      </c>
      <c r="BC220" s="17" t="n">
        <v>2971663</v>
      </c>
      <c r="BD220" s="17">
        <f>1000000000-999687798.9117+47071.6293</f>
        <v/>
      </c>
      <c r="BE220" s="19">
        <f>1000000000-AZ220-BA220-BB220-BC220-BD220</f>
        <v/>
      </c>
      <c r="BF220" s="20" t="n">
        <v>238</v>
      </c>
      <c r="BG220" s="20">
        <f>BE220/1000000-BF220</f>
        <v/>
      </c>
      <c r="BH220" s="21">
        <f>BE220*40.17</f>
        <v/>
      </c>
    </row>
    <row r="221">
      <c r="A221" s="10" t="n">
        <v>45843</v>
      </c>
      <c r="B221" s="11" t="n">
        <v>2451950270</v>
      </c>
      <c r="C221" s="11" t="n"/>
      <c r="D221" s="12" t="n">
        <v>128067841</v>
      </c>
      <c r="E221" s="11" t="n"/>
      <c r="N221" s="12" t="n">
        <v>718993</v>
      </c>
      <c r="O221" s="11" t="n"/>
      <c r="P221" s="12" t="n">
        <v>29379</v>
      </c>
      <c r="Q221" s="11" t="n"/>
      <c r="R221" s="21">
        <f>N221+O221+P221+N(Q221)</f>
        <v/>
      </c>
      <c r="S221" s="13" t="n">
        <v>0.03</v>
      </c>
      <c r="T221" s="21">
        <f>N(AC221)*S221</f>
        <v/>
      </c>
      <c r="U221" s="21">
        <f>N(AD221)*S221</f>
        <v/>
      </c>
      <c r="V221" s="21">
        <f>N(AE221)*S221</f>
        <v/>
      </c>
      <c r="W221" s="21">
        <f>IF(Q221="","",N(AF221)*S221)</f>
        <v/>
      </c>
      <c r="X221" s="12" t="n">
        <v>6451</v>
      </c>
      <c r="Y221" s="11" t="n"/>
      <c r="Z221" s="11" t="n"/>
      <c r="AA221" s="21">
        <f>T221+U221+V221+N(W221)+X221+Y221+N(Z221)</f>
        <v/>
      </c>
      <c r="AB221" s="11" t="n"/>
      <c r="AC221" s="12" t="n">
        <v>697424</v>
      </c>
      <c r="AD221" s="21">
        <f>O221-Y221</f>
        <v/>
      </c>
      <c r="AE221" s="21">
        <f>P221-X221</f>
        <v/>
      </c>
      <c r="AF221" s="21">
        <f>IF(Q221="","",Q221-Z221)</f>
        <v/>
      </c>
      <c r="AG221" s="22">
        <f>AC221+AD221+AE221+N(AF221)</f>
        <v/>
      </c>
      <c r="AH221" s="11" t="n">
        <v>1596923.669</v>
      </c>
      <c r="AI221" s="24">
        <f>AG221-AH221</f>
        <v/>
      </c>
      <c r="AJ221" s="14">
        <f>IF(OR(B221="",B221=0,N221=""),"",N221/B221*10000)</f>
        <v/>
      </c>
      <c r="AK221" s="14">
        <f>IF(OR(C221="",C221=0),"",O221/C221*10000)</f>
        <v/>
      </c>
      <c r="AL221" s="14">
        <f>IF(OR(D221="",D221=0),"",P221/D221*10000)</f>
        <v/>
      </c>
      <c r="AM221" s="14">
        <f>IF(OR(E221="",E221=0),"",Q221/E221*10000)</f>
        <v/>
      </c>
      <c r="AN221" s="11" t="n">
        <v>5293.572988509542</v>
      </c>
      <c r="AO221" s="11" t="n">
        <v>0</v>
      </c>
      <c r="AP221" s="21">
        <f>AH221+AN221+AO221</f>
        <v/>
      </c>
      <c r="AQ221" s="21">
        <f>AH221</f>
        <v/>
      </c>
      <c r="AR221" s="15" t="n">
        <v>40813.15</v>
      </c>
      <c r="AS221" s="27" t="n">
        <v>39.127675</v>
      </c>
      <c r="AT221" s="15" t="n">
        <v>25744571.03</v>
      </c>
      <c r="AU221" s="15" t="n">
        <v>26192.9064</v>
      </c>
      <c r="AV221" s="15" t="n">
        <v>708.3487</v>
      </c>
      <c r="AW221" s="15" t="n"/>
      <c r="AX221" s="16" t="n">
        <v>424.0156565388771</v>
      </c>
      <c r="AY221" s="13">
        <f>IF(OR(AX221="",AX221=0,AU221=""),"",AU221*365/(AX221*1000000))</f>
        <v/>
      </c>
      <c r="AZ221" s="15" t="n">
        <v>423114892.5617</v>
      </c>
      <c r="BA221" s="17" t="n">
        <v>60487233</v>
      </c>
      <c r="BB221" s="18" t="n">
        <v>25744571.03</v>
      </c>
      <c r="BC221" s="17" t="n">
        <v>2971663</v>
      </c>
      <c r="BD221" s="17">
        <f>1000000000-999687090.563+47206.6040</f>
        <v/>
      </c>
      <c r="BE221" s="19">
        <f>1000000000-AZ221-BA221-BB221-BC221-BD221</f>
        <v/>
      </c>
      <c r="BF221" s="20" t="n">
        <v>238</v>
      </c>
      <c r="BG221" s="20">
        <f>BE221/1000000-BF221</f>
        <v/>
      </c>
      <c r="BH221" s="21">
        <f>BE221*39.03</f>
        <v/>
      </c>
    </row>
    <row r="222">
      <c r="A222" s="10" t="n">
        <v>45844</v>
      </c>
      <c r="B222" s="11" t="n">
        <v>4289662637</v>
      </c>
      <c r="C222" s="11" t="n"/>
      <c r="D222" s="12" t="n">
        <v>135062039</v>
      </c>
      <c r="E222" s="11" t="n"/>
      <c r="N222" s="12" t="n">
        <v>1220128</v>
      </c>
      <c r="O222" s="11" t="n"/>
      <c r="P222" s="12" t="n">
        <v>26841</v>
      </c>
      <c r="Q222" s="11" t="n"/>
      <c r="R222" s="21">
        <f>N222+O222+P222+N(Q222)</f>
        <v/>
      </c>
      <c r="S222" s="13" t="n">
        <v>0.03</v>
      </c>
      <c r="T222" s="21">
        <f>N(AC222)*S222</f>
        <v/>
      </c>
      <c r="U222" s="21">
        <f>N(AD222)*S222</f>
        <v/>
      </c>
      <c r="V222" s="21">
        <f>N(AE222)*S222</f>
        <v/>
      </c>
      <c r="W222" s="21">
        <f>IF(Q222="","",N(AF222)*S222)</f>
        <v/>
      </c>
      <c r="X222" s="12" t="n">
        <v>10980</v>
      </c>
      <c r="Y222" s="11" t="n"/>
      <c r="Z222" s="11" t="n"/>
      <c r="AA222" s="21">
        <f>T222+U222+V222+N(W222)+X222+Y222+N(Z222)</f>
        <v/>
      </c>
      <c r="AB222" s="11" t="n"/>
      <c r="AC222" s="12" t="n">
        <v>1183525</v>
      </c>
      <c r="AD222" s="21">
        <f>O222-Y222</f>
        <v/>
      </c>
      <c r="AE222" s="21">
        <f>P222-X222</f>
        <v/>
      </c>
      <c r="AF222" s="21">
        <f>IF(Q222="","",Q222-Z222)</f>
        <v/>
      </c>
      <c r="AG222" s="22">
        <f>AC222+AD222+AE222+N(AF222)</f>
        <v/>
      </c>
      <c r="AH222" s="11" t="n">
        <v>650244.1229</v>
      </c>
      <c r="AI222" s="24">
        <f>AG222-AH222</f>
        <v/>
      </c>
      <c r="AJ222" s="14">
        <f>IF(OR(B222="",B222=0,N222=""),"",N222/B222*10000)</f>
        <v/>
      </c>
      <c r="AK222" s="14">
        <f>IF(OR(C222="",C222=0),"",O222/C222*10000)</f>
        <v/>
      </c>
      <c r="AL222" s="14">
        <f>IF(OR(D222="",D222=0),"",P222/D222*10000)</f>
        <v/>
      </c>
      <c r="AM222" s="14">
        <f>IF(OR(E222="",E222=0),"",Q222/E222*10000)</f>
        <v/>
      </c>
      <c r="AN222" s="11" t="n">
        <v>4856.094394934318</v>
      </c>
      <c r="AO222" s="11" t="n">
        <v>0</v>
      </c>
      <c r="AP222" s="21">
        <f>AH222+AN222+AO222</f>
        <v/>
      </c>
      <c r="AQ222" s="21">
        <f>AH222</f>
        <v/>
      </c>
      <c r="AR222" s="15" t="n">
        <v>16520.15</v>
      </c>
      <c r="AS222" s="27" t="n">
        <v>39.360667</v>
      </c>
      <c r="AT222" s="15" t="n">
        <v>25761091.18</v>
      </c>
      <c r="AU222" s="15" t="n">
        <v>26201.8544</v>
      </c>
      <c r="AV222" s="15" t="n">
        <v>331.3298</v>
      </c>
      <c r="AW222" s="15" t="n"/>
      <c r="AX222" s="16" t="n">
        <v>423.4424051106208</v>
      </c>
      <c r="AY222" s="13">
        <f>IF(OR(AX222="",AX222=0,AU222=""),"",AU222*365/(AX222*1000000))</f>
        <v/>
      </c>
      <c r="AZ222" s="15" t="n">
        <v>423088690.7074</v>
      </c>
      <c r="BA222" s="17" t="n">
        <v>60487233</v>
      </c>
      <c r="BB222" s="18" t="n">
        <v>25761091.18</v>
      </c>
      <c r="BC222" s="17" t="n">
        <v>2971663</v>
      </c>
      <c r="BD222" s="17">
        <f>1000000000-999686759.2332+47330.7151</f>
        <v/>
      </c>
      <c r="BE222" s="19">
        <f>1000000000-AZ222-BA222-BB222-BC222-BD222</f>
        <v/>
      </c>
      <c r="BF222" s="20" t="n">
        <v>238</v>
      </c>
      <c r="BG222" s="20">
        <f>BE222/1000000-BF222</f>
        <v/>
      </c>
      <c r="BH222" s="21">
        <f>BE222*39.01</f>
        <v/>
      </c>
    </row>
    <row r="223">
      <c r="A223" s="10" t="n">
        <v>45845</v>
      </c>
      <c r="B223" s="11" t="n">
        <v>5322409240</v>
      </c>
      <c r="C223" s="11" t="n"/>
      <c r="D223" s="12" t="n">
        <v>200536259</v>
      </c>
      <c r="E223" s="11" t="n"/>
      <c r="N223" s="12" t="n">
        <v>1568454</v>
      </c>
      <c r="O223" s="11" t="n"/>
      <c r="P223" s="12" t="n">
        <v>48359</v>
      </c>
      <c r="Q223" s="11" t="n"/>
      <c r="R223" s="21">
        <f>N223+O223+P223+N(Q223)</f>
        <v/>
      </c>
      <c r="S223" s="13" t="n">
        <v>0.03</v>
      </c>
      <c r="T223" s="21">
        <f>N(AC223)*S223</f>
        <v/>
      </c>
      <c r="U223" s="21">
        <f>N(AD223)*S223</f>
        <v/>
      </c>
      <c r="V223" s="21">
        <f>N(AE223)*S223</f>
        <v/>
      </c>
      <c r="W223" s="21">
        <f>IF(Q223="","",N(AF223)*S223)</f>
        <v/>
      </c>
      <c r="X223" s="12" t="n">
        <v>17850</v>
      </c>
      <c r="Y223" s="11" t="n"/>
      <c r="Z223" s="11" t="n"/>
      <c r="AA223" s="21">
        <f>T223+U223+V223+N(W223)+X223+Y223+N(Z223)</f>
        <v/>
      </c>
      <c r="AB223" s="11" t="n"/>
      <c r="AC223" s="12" t="n">
        <v>1521400</v>
      </c>
      <c r="AD223" s="21">
        <f>O223-Y223</f>
        <v/>
      </c>
      <c r="AE223" s="21">
        <f>P223-X223</f>
        <v/>
      </c>
      <c r="AF223" s="21">
        <f>IF(Q223="","",Q223-Z223)</f>
        <v/>
      </c>
      <c r="AG223" s="22">
        <f>AC223+AD223+AE223+N(AF223)</f>
        <v/>
      </c>
      <c r="AH223" s="11" t="n">
        <v>1372817.964</v>
      </c>
      <c r="AI223" s="24">
        <f>AG223-AH223</f>
        <v/>
      </c>
      <c r="AJ223" s="14">
        <f>IF(OR(B223="",B223=0,N223=""),"",N223/B223*10000)</f>
        <v/>
      </c>
      <c r="AK223" s="14">
        <f>IF(OR(C223="",C223=0),"",O223/C223*10000)</f>
        <v/>
      </c>
      <c r="AL223" s="14">
        <f>IF(OR(D223="",D223=0),"",P223/D223*10000)</f>
        <v/>
      </c>
      <c r="AM223" s="14">
        <f>IF(OR(E223="",E223=0),"",Q223/E223*10000)</f>
        <v/>
      </c>
      <c r="AN223" s="11" t="n">
        <v>51071.86506595204</v>
      </c>
      <c r="AO223" s="11" t="n">
        <v>19897.67</v>
      </c>
      <c r="AP223" s="21">
        <f>AH223+AN223+AO223</f>
        <v/>
      </c>
      <c r="AQ223" s="21">
        <f>AH223</f>
        <v/>
      </c>
      <c r="AR223" s="15" t="n">
        <v>34874.72</v>
      </c>
      <c r="AS223" s="27" t="n">
        <v>39.364272</v>
      </c>
      <c r="AT223" s="15" t="n">
        <v>25795965.9</v>
      </c>
      <c r="AU223" s="15" t="n">
        <v>26216.6899</v>
      </c>
      <c r="AV223" s="15" t="n">
        <v>330.7715</v>
      </c>
      <c r="AW223" s="15" t="n"/>
      <c r="AX223" s="16" t="n">
        <v>423.409712576739</v>
      </c>
      <c r="AY223" s="13">
        <f>IF(OR(AX223="",AX223=0,AU223=""),"",AU223*365/(AX223*1000000))</f>
        <v/>
      </c>
      <c r="AZ223" s="15" t="n">
        <v>423062474.0175</v>
      </c>
      <c r="BA223" s="17" t="n">
        <v>60487233</v>
      </c>
      <c r="BB223" s="18" t="n">
        <v>25795965.9</v>
      </c>
      <c r="BC223" s="17" t="n">
        <v>2971663</v>
      </c>
      <c r="BD223" s="17">
        <f>1000000000-999686428.4617+48615.5419</f>
        <v/>
      </c>
      <c r="BE223" s="19">
        <f>1000000000-AZ223-BA223-BB223-BC223-BD223</f>
        <v/>
      </c>
      <c r="BF223" s="20" t="n">
        <v>238</v>
      </c>
      <c r="BG223" s="20">
        <f>BE223/1000000-BF223</f>
        <v/>
      </c>
      <c r="BH223" s="21">
        <f>BE223*39.72</f>
        <v/>
      </c>
    </row>
    <row r="224">
      <c r="A224" s="10" t="n">
        <v>45846</v>
      </c>
      <c r="B224" s="11" t="n">
        <v>5320747622</v>
      </c>
      <c r="C224" s="11" t="n"/>
      <c r="D224" s="12" t="n">
        <v>248230529</v>
      </c>
      <c r="E224" s="11" t="n"/>
      <c r="N224" s="12" t="n">
        <v>1586779</v>
      </c>
      <c r="O224" s="11" t="n"/>
      <c r="P224" s="12" t="n">
        <v>58482</v>
      </c>
      <c r="Q224" s="11" t="n"/>
      <c r="R224" s="21">
        <f>N224+O224+P224+N(Q224)</f>
        <v/>
      </c>
      <c r="S224" s="13" t="n">
        <v>0.03</v>
      </c>
      <c r="T224" s="21">
        <f>N(AC224)*S224</f>
        <v/>
      </c>
      <c r="U224" s="21">
        <f>N(AD224)*S224</f>
        <v/>
      </c>
      <c r="V224" s="21">
        <f>N(AE224)*S224</f>
        <v/>
      </c>
      <c r="W224" s="21">
        <f>IF(Q224="","",N(AF224)*S224)</f>
        <v/>
      </c>
      <c r="X224" s="12" t="n">
        <v>16995</v>
      </c>
      <c r="Y224" s="11" t="n"/>
      <c r="Z224" s="11" t="n"/>
      <c r="AA224" s="21">
        <f>T224+U224+V224+N(W224)+X224+Y224+N(Z224)</f>
        <v/>
      </c>
      <c r="AB224" s="11" t="n"/>
      <c r="AC224" s="12" t="n">
        <v>1539176</v>
      </c>
      <c r="AD224" s="21">
        <f>O224-Y224</f>
        <v/>
      </c>
      <c r="AE224" s="21">
        <f>P224-X224</f>
        <v/>
      </c>
      <c r="AF224" s="21">
        <f>IF(Q224="","",Q224-Z224)</f>
        <v/>
      </c>
      <c r="AG224" s="22">
        <f>AC224+AD224+AE224+N(AF224)</f>
        <v/>
      </c>
      <c r="AH224" s="11" t="n">
        <v>1519235.873</v>
      </c>
      <c r="AI224" s="24">
        <f>AG224-AH224</f>
        <v/>
      </c>
      <c r="AJ224" s="14">
        <f>IF(OR(B224="",B224=0,N224=""),"",N224/B224*10000)</f>
        <v/>
      </c>
      <c r="AK224" s="14">
        <f>IF(OR(C224="",C224=0),"",O224/C224*10000)</f>
        <v/>
      </c>
      <c r="AL224" s="14">
        <f>IF(OR(D224="",D224=0),"",P224/D224*10000)</f>
        <v/>
      </c>
      <c r="AM224" s="14">
        <f>IF(OR(E224="",E224=0),"",Q224/E224*10000)</f>
        <v/>
      </c>
      <c r="AN224" s="11" t="n">
        <v>10924.06923909988</v>
      </c>
      <c r="AO224" s="11" t="n">
        <v>0</v>
      </c>
      <c r="AP224" s="21">
        <f>AH224+AN224+AO224</f>
        <v/>
      </c>
      <c r="AQ224" s="21">
        <f>AH224</f>
        <v/>
      </c>
      <c r="AR224" s="15" t="n">
        <v>39768.58</v>
      </c>
      <c r="AS224" s="27" t="n">
        <v>38.201914</v>
      </c>
      <c r="AT224" s="15" t="n">
        <v>25835734.48</v>
      </c>
      <c r="AU224" s="15" t="n">
        <v>26255.6227</v>
      </c>
      <c r="AV224" s="15" t="n">
        <v>1043.8797</v>
      </c>
      <c r="AW224" s="15" t="n"/>
      <c r="AX224" s="16" t="n">
        <v>422.2131733713982</v>
      </c>
      <c r="AY224" s="13">
        <f>IF(OR(AX224="",AX224=0,AU224=""),"",AU224*365/(AX224*1000000))</f>
        <v/>
      </c>
      <c r="AZ224" s="15" t="n">
        <v>423036218.3947</v>
      </c>
      <c r="BA224" s="17" t="n">
        <v>60487233</v>
      </c>
      <c r="BB224" s="18" t="n">
        <v>25835734.48</v>
      </c>
      <c r="BC224" s="17" t="n">
        <v>2971663</v>
      </c>
      <c r="BD224" s="17">
        <f>1000000000-999685384.5819+48897.2571</f>
        <v/>
      </c>
      <c r="BE224" s="19">
        <f>1000000000-AZ224-BA224-BB224-BC224-BD224</f>
        <v/>
      </c>
      <c r="BF224" s="20" t="n">
        <v>238</v>
      </c>
      <c r="BG224" s="20">
        <f>BE224/1000000-BF224</f>
        <v/>
      </c>
      <c r="BH224" s="21">
        <f>BE224*38.59</f>
        <v/>
      </c>
    </row>
    <row r="225">
      <c r="A225" s="10" t="n">
        <v>45847</v>
      </c>
      <c r="B225" s="11" t="n">
        <v>8668787165</v>
      </c>
      <c r="C225" s="11" t="n"/>
      <c r="D225" s="12" t="n">
        <v>298577873</v>
      </c>
      <c r="E225" s="11" t="n"/>
      <c r="N225" s="12" t="n">
        <v>2647959</v>
      </c>
      <c r="O225" s="11" t="n"/>
      <c r="P225" s="12" t="n">
        <v>67974</v>
      </c>
      <c r="Q225" s="11" t="n"/>
      <c r="R225" s="21">
        <f>N225+O225+P225+N(Q225)</f>
        <v/>
      </c>
      <c r="S225" s="13" t="n">
        <v>0.03</v>
      </c>
      <c r="T225" s="21">
        <f>N(AC225)*S225</f>
        <v/>
      </c>
      <c r="U225" s="21">
        <f>N(AD225)*S225</f>
        <v/>
      </c>
      <c r="V225" s="21">
        <f>N(AE225)*S225</f>
        <v/>
      </c>
      <c r="W225" s="21">
        <f>IF(Q225="","",N(AF225)*S225)</f>
        <v/>
      </c>
      <c r="X225" s="12" t="n">
        <v>30180</v>
      </c>
      <c r="Y225" s="11" t="n"/>
      <c r="Z225" s="11" t="n"/>
      <c r="AA225" s="21">
        <f>T225+U225+V225+N(W225)+X225+Y225+N(Z225)</f>
        <v/>
      </c>
      <c r="AB225" s="11" t="n"/>
      <c r="AC225" s="12" t="n">
        <v>2568521</v>
      </c>
      <c r="AD225" s="21">
        <f>O225-Y225</f>
        <v/>
      </c>
      <c r="AE225" s="21">
        <f>P225-X225</f>
        <v/>
      </c>
      <c r="AF225" s="21">
        <f>IF(Q225="","",Q225-Z225)</f>
        <v/>
      </c>
      <c r="AG225" s="22">
        <f>AC225+AD225+AE225+N(AF225)</f>
        <v/>
      </c>
      <c r="AH225" s="11" t="n">
        <v>1613091.807</v>
      </c>
      <c r="AI225" s="24">
        <f>AG225-AH225</f>
        <v/>
      </c>
      <c r="AJ225" s="14">
        <f>IF(OR(B225="",B225=0,N225=""),"",N225/B225*10000)</f>
        <v/>
      </c>
      <c r="AK225" s="14">
        <f>IF(OR(C225="",C225=0),"",O225/C225*10000)</f>
        <v/>
      </c>
      <c r="AL225" s="14">
        <f>IF(OR(D225="",D225=0),"",P225/D225*10000)</f>
        <v/>
      </c>
      <c r="AM225" s="14">
        <f>IF(OR(E225="",E225=0),"",Q225/E225*10000)</f>
        <v/>
      </c>
      <c r="AN225" s="11" t="n">
        <v>14525.89532465643</v>
      </c>
      <c r="AO225" s="11" t="n">
        <v>0</v>
      </c>
      <c r="AP225" s="21">
        <f>AH225+AN225+AO225</f>
        <v/>
      </c>
      <c r="AQ225" s="21">
        <f>AH225</f>
        <v/>
      </c>
      <c r="AR225" s="15" t="n">
        <v>40396.81</v>
      </c>
      <c r="AS225" s="27" t="n">
        <v>39.931168</v>
      </c>
      <c r="AT225" s="15" t="n">
        <v>25876131.29</v>
      </c>
      <c r="AU225" s="15" t="n">
        <v>26158.1165</v>
      </c>
      <c r="AV225" s="15" t="n">
        <v>884.6962</v>
      </c>
      <c r="AW225" s="15" t="n"/>
      <c r="AX225" s="16" t="n">
        <v>420.7129332654138</v>
      </c>
      <c r="AY225" s="13">
        <f>IF(OR(AX225="",AX225=0,AU225=""),"",AU225*365/(AX225*1000000))</f>
        <v/>
      </c>
      <c r="AZ225" s="15" t="n">
        <v>423010060.2782</v>
      </c>
      <c r="BA225" s="17" t="n">
        <v>60487233</v>
      </c>
      <c r="BB225" s="18" t="n">
        <v>25876131.29</v>
      </c>
      <c r="BC225" s="17" t="n">
        <v>2971663</v>
      </c>
      <c r="BD225" s="17">
        <f>1000000000-999684499.8857+49270.3665</f>
        <v/>
      </c>
      <c r="BE225" s="19">
        <f>1000000000-AZ225-BA225-BB225-BC225-BD225</f>
        <v/>
      </c>
      <c r="BF225" s="20" t="n">
        <v>238</v>
      </c>
      <c r="BG225" s="20">
        <f>BE225/1000000-BF225</f>
        <v/>
      </c>
      <c r="BH225" s="21">
        <f>BE225*38.88</f>
        <v/>
      </c>
    </row>
    <row r="226">
      <c r="A226" s="10" t="n">
        <v>45848</v>
      </c>
      <c r="B226" s="11" t="n">
        <v>10991694982</v>
      </c>
      <c r="C226" s="11" t="n"/>
      <c r="D226" s="12" t="n">
        <v>408100683</v>
      </c>
      <c r="E226" s="11" t="n"/>
      <c r="N226" s="12" t="n">
        <v>3357658</v>
      </c>
      <c r="O226" s="11" t="n"/>
      <c r="P226" s="12" t="n">
        <v>94024</v>
      </c>
      <c r="Q226" s="11" t="n"/>
      <c r="R226" s="21">
        <f>N226+O226+P226+N(Q226)</f>
        <v/>
      </c>
      <c r="S226" s="13" t="n">
        <v>0.03</v>
      </c>
      <c r="T226" s="21">
        <f>N(AC226)*S226</f>
        <v/>
      </c>
      <c r="U226" s="21">
        <f>N(AD226)*S226</f>
        <v/>
      </c>
      <c r="V226" s="21">
        <f>N(AE226)*S226</f>
        <v/>
      </c>
      <c r="W226" s="21">
        <f>IF(Q226="","",N(AF226)*S226)</f>
        <v/>
      </c>
      <c r="X226" s="12" t="n">
        <v>39757</v>
      </c>
      <c r="Y226" s="11" t="n"/>
      <c r="Z226" s="11" t="n"/>
      <c r="AA226" s="21">
        <f>T226+U226+V226+N(W226)+X226+Y226+N(Z226)</f>
        <v/>
      </c>
      <c r="AB226" s="11" t="n"/>
      <c r="AC226" s="12" t="n">
        <v>3256928</v>
      </c>
      <c r="AD226" s="21">
        <f>O226-Y226</f>
        <v/>
      </c>
      <c r="AE226" s="21">
        <f>P226-X226</f>
        <v/>
      </c>
      <c r="AF226" s="21">
        <f>IF(Q226="","",Q226-Z226)</f>
        <v/>
      </c>
      <c r="AG226" s="22">
        <f>AC226+AD226+AE226+N(AF226)</f>
        <v/>
      </c>
      <c r="AH226" s="11" t="n">
        <v>2954098.983</v>
      </c>
      <c r="AI226" s="24">
        <f>AG226-AH226</f>
        <v/>
      </c>
      <c r="AJ226" s="14">
        <f>IF(OR(B226="",B226=0,N226=""),"",N226/B226*10000)</f>
        <v/>
      </c>
      <c r="AK226" s="14">
        <f>IF(OR(C226="",C226=0),"",O226/C226*10000)</f>
        <v/>
      </c>
      <c r="AL226" s="14">
        <f>IF(OR(D226="",D226=0),"",P226/D226*10000)</f>
        <v/>
      </c>
      <c r="AM226" s="14">
        <f>IF(OR(E226="",E226=0),"",Q226/E226*10000)</f>
        <v/>
      </c>
      <c r="AN226" s="11" t="n">
        <v>12995.80219957035</v>
      </c>
      <c r="AO226" s="11" t="n">
        <v>20875.59</v>
      </c>
      <c r="AP226" s="21">
        <f>AH226+AN226+AO226</f>
        <v/>
      </c>
      <c r="AQ226" s="21">
        <f>AH226</f>
        <v/>
      </c>
      <c r="AR226" s="15" t="n">
        <v>69330.37</v>
      </c>
      <c r="AS226" s="27" t="n">
        <v>42.609018</v>
      </c>
      <c r="AT226" s="15" t="n">
        <v>25945461.66</v>
      </c>
      <c r="AU226" s="15" t="n">
        <v>26159.7777</v>
      </c>
      <c r="AV226" s="15" t="n">
        <v>723.8416</v>
      </c>
      <c r="AW226" s="15" t="n"/>
      <c r="AX226" s="16" t="n">
        <v>419.3060380354427</v>
      </c>
      <c r="AY226" s="13">
        <f>IF(OR(AX226="",AX226=0,AU226=""),"",AU226*365/(AX226*1000000))</f>
        <v/>
      </c>
      <c r="AZ226" s="15" t="n">
        <v>422983900.5005</v>
      </c>
      <c r="BA226" s="17" t="n">
        <v>60487233</v>
      </c>
      <c r="BB226" s="18" t="n">
        <v>25945461.66</v>
      </c>
      <c r="BC226" s="17" t="n">
        <v>2971663</v>
      </c>
      <c r="BD226" s="17">
        <f>1000000000-999683776.0441+49587.7088</f>
        <v/>
      </c>
      <c r="BE226" s="19">
        <f>1000000000-AZ226-BA226-BB226-BC226-BD226</f>
        <v/>
      </c>
      <c r="BF226" s="20" t="n">
        <v>238</v>
      </c>
      <c r="BG226" s="20">
        <f>BE226/1000000-BF226</f>
        <v/>
      </c>
      <c r="BH226" s="21">
        <f>BE226*40.92</f>
        <v/>
      </c>
    </row>
    <row r="227">
      <c r="A227" s="10" t="n">
        <v>45849</v>
      </c>
      <c r="B227" s="11" t="n">
        <v>12433064594</v>
      </c>
      <c r="C227" s="11" t="n"/>
      <c r="D227" s="12" t="n">
        <v>470323564</v>
      </c>
      <c r="E227" s="11" t="n"/>
      <c r="N227" s="12" t="n">
        <v>3735797</v>
      </c>
      <c r="O227" s="11" t="n"/>
      <c r="P227" s="12" t="n">
        <v>108458</v>
      </c>
      <c r="Q227" s="11" t="n"/>
      <c r="R227" s="21">
        <f>N227+O227+P227+N(Q227)</f>
        <v/>
      </c>
      <c r="S227" s="13" t="n">
        <v>0.03</v>
      </c>
      <c r="T227" s="21">
        <f>N(AC227)*S227</f>
        <v/>
      </c>
      <c r="U227" s="21">
        <f>N(AD227)*S227</f>
        <v/>
      </c>
      <c r="V227" s="21">
        <f>N(AE227)*S227</f>
        <v/>
      </c>
      <c r="W227" s="21">
        <f>IF(Q227="","",N(AF227)*S227)</f>
        <v/>
      </c>
      <c r="X227" s="12" t="n">
        <v>36669</v>
      </c>
      <c r="Y227" s="11" t="n"/>
      <c r="Z227" s="11" t="n"/>
      <c r="AA227" s="21">
        <f>T227+U227+V227+N(W227)+X227+Y227+N(Z227)</f>
        <v/>
      </c>
      <c r="AB227" s="11" t="n"/>
      <c r="AC227" s="12" t="n">
        <v>3623723</v>
      </c>
      <c r="AD227" s="21">
        <f>O227-Y227</f>
        <v/>
      </c>
      <c r="AE227" s="21">
        <f>P227-X227</f>
        <v/>
      </c>
      <c r="AF227" s="21">
        <f>IF(Q227="","",Q227-Z227)</f>
        <v/>
      </c>
      <c r="AG227" s="22">
        <f>AC227+AD227+AE227+N(AF227)</f>
        <v/>
      </c>
      <c r="AH227" s="11" t="n">
        <v>3647033.077</v>
      </c>
      <c r="AI227" s="24">
        <f>AG227-AH227</f>
        <v/>
      </c>
      <c r="AJ227" s="14">
        <f>IF(OR(B227="",B227=0,N227=""),"",N227/B227*10000)</f>
        <v/>
      </c>
      <c r="AK227" s="14">
        <f>IF(OR(C227="",C227=0),"",O227/C227*10000)</f>
        <v/>
      </c>
      <c r="AL227" s="14">
        <f>IF(OR(D227="",D227=0),"",P227/D227*10000)</f>
        <v/>
      </c>
      <c r="AM227" s="14">
        <f>IF(OR(E227="",E227=0),"",Q227/E227*10000)</f>
        <v/>
      </c>
      <c r="AN227" s="11" t="n">
        <v>15500.3503573805</v>
      </c>
      <c r="AO227" s="11" t="n">
        <v>23044.82</v>
      </c>
      <c r="AP227" s="21">
        <f>AH227+AN227+AO227</f>
        <v/>
      </c>
      <c r="AQ227" s="21">
        <f>AH227</f>
        <v/>
      </c>
      <c r="AR227" s="15" t="n">
        <v>80315.2</v>
      </c>
      <c r="AS227" s="27" t="n">
        <v>45.409002</v>
      </c>
      <c r="AT227" s="15" t="n">
        <v>26025776.86</v>
      </c>
      <c r="AU227" s="15" t="n">
        <v>26122.8024</v>
      </c>
      <c r="AV227" s="15" t="n">
        <v>1451.9016</v>
      </c>
      <c r="AW227" s="15" t="n"/>
      <c r="AX227" s="16" t="n">
        <v>418.9566292247577</v>
      </c>
      <c r="AY227" s="13">
        <f>IF(OR(AX227="",AX227=0,AU227=""),"",AU227*365/(AX227*1000000))</f>
        <v/>
      </c>
      <c r="AZ227" s="15" t="n">
        <v>422957777.6981</v>
      </c>
      <c r="BA227" s="17" t="n">
        <v>60487233</v>
      </c>
      <c r="BB227" s="18" t="n">
        <v>26025776.86</v>
      </c>
      <c r="BC227" s="17" t="n">
        <v>2971663</v>
      </c>
      <c r="BD227" s="17">
        <f>1000000000-999682324.1425+49944.2108</f>
        <v/>
      </c>
      <c r="BE227" s="19">
        <f>1000000000-AZ227-BA227-BB227-BC227-BD227</f>
        <v/>
      </c>
      <c r="BF227" s="20" t="n">
        <v>238</v>
      </c>
      <c r="BG227" s="20">
        <f>BE227/1000000-BF227</f>
        <v/>
      </c>
      <c r="BH227" s="21">
        <f>BE227*43.63</f>
        <v/>
      </c>
    </row>
    <row r="228">
      <c r="A228" s="10" t="n">
        <v>45850</v>
      </c>
      <c r="B228" s="11" t="n">
        <v>5486400796</v>
      </c>
      <c r="C228" s="11" t="n"/>
      <c r="D228" s="12" t="n">
        <v>306157655</v>
      </c>
      <c r="E228" s="11" t="n"/>
      <c r="N228" s="12" t="n">
        <v>1702526</v>
      </c>
      <c r="O228" s="11" t="n"/>
      <c r="P228" s="12" t="n">
        <v>76542</v>
      </c>
      <c r="Q228" s="11" t="n"/>
      <c r="R228" s="21">
        <f>N228+O228+P228+N(Q228)</f>
        <v/>
      </c>
      <c r="S228" s="13" t="n">
        <v>0.03</v>
      </c>
      <c r="T228" s="21">
        <f>N(AC228)*S228</f>
        <v/>
      </c>
      <c r="U228" s="21">
        <f>N(AD228)*S228</f>
        <v/>
      </c>
      <c r="V228" s="21">
        <f>N(AE228)*S228</f>
        <v/>
      </c>
      <c r="W228" s="21">
        <f>IF(Q228="","",N(AF228)*S228)</f>
        <v/>
      </c>
      <c r="X228" s="12" t="n">
        <v>18876</v>
      </c>
      <c r="Y228" s="11" t="n"/>
      <c r="Z228" s="11" t="n"/>
      <c r="AA228" s="21">
        <f>T228+U228+V228+N(W228)+X228+Y228+N(Z228)</f>
        <v/>
      </c>
      <c r="AB228" s="11" t="n"/>
      <c r="AC228" s="12" t="n">
        <v>1651450</v>
      </c>
      <c r="AD228" s="21">
        <f>O228-Y228</f>
        <v/>
      </c>
      <c r="AE228" s="21">
        <f>P228-X228</f>
        <v/>
      </c>
      <c r="AF228" s="21">
        <f>IF(Q228="","",Q228-Z228)</f>
        <v/>
      </c>
      <c r="AG228" s="22">
        <f>AC228+AD228+AE228+N(AF228)</f>
        <v/>
      </c>
      <c r="AH228" s="11" t="n">
        <v>3465960.553</v>
      </c>
      <c r="AI228" s="24">
        <f>AG228-AH228</f>
        <v/>
      </c>
      <c r="AJ228" s="14">
        <f>IF(OR(B228="",B228=0,N228=""),"",N228/B228*10000)</f>
        <v/>
      </c>
      <c r="AK228" s="14">
        <f>IF(OR(C228="",C228=0),"",O228/C228*10000)</f>
        <v/>
      </c>
      <c r="AL228" s="14">
        <f>IF(OR(D228="",D228=0),"",P228/D228*10000)</f>
        <v/>
      </c>
      <c r="AM228" s="14">
        <f>IF(OR(E228="",E228=0),"",Q228/E228*10000)</f>
        <v/>
      </c>
      <c r="AN228" s="11" t="n">
        <v>15073.9213791158</v>
      </c>
      <c r="AO228" s="11" t="n">
        <v>23323.62</v>
      </c>
      <c r="AP228" s="21">
        <f>AH228+AN228+AO228</f>
        <v/>
      </c>
      <c r="AQ228" s="21">
        <f>AH228</f>
        <v/>
      </c>
      <c r="AR228" s="15" t="n">
        <v>74964.00999999999</v>
      </c>
      <c r="AS228" s="27" t="n">
        <v>46.234994</v>
      </c>
      <c r="AT228" s="15" t="n">
        <v>26100740.87</v>
      </c>
      <c r="AU228" s="15" t="n">
        <v>26136.0303</v>
      </c>
      <c r="AV228" s="15" t="n">
        <v>1831.2501</v>
      </c>
      <c r="AW228" s="15" t="n"/>
      <c r="AX228" s="16" t="n">
        <v>419.529967174103</v>
      </c>
      <c r="AY228" s="13">
        <f>IF(OR(AX228="",AX228=0,AU228=""),"",AU228*365/(AX228*1000000))</f>
        <v/>
      </c>
      <c r="AZ228" s="15" t="n">
        <v>422931641.6678</v>
      </c>
      <c r="BA228" s="17" t="n">
        <v>60487233</v>
      </c>
      <c r="BB228" s="18" t="n">
        <v>26100740.87</v>
      </c>
      <c r="BC228" s="17" t="n">
        <v>2971663</v>
      </c>
      <c r="BD228" s="17">
        <f>1000000000-999680492.8925+50271.8549</f>
        <v/>
      </c>
      <c r="BE228" s="19">
        <f>1000000000-AZ228-BA228-BB228-BC228-BD228</f>
        <v/>
      </c>
      <c r="BF228" s="20" t="n">
        <v>238</v>
      </c>
      <c r="BG228" s="20">
        <f>BE228/1000000-BF228</f>
        <v/>
      </c>
      <c r="BH228" s="21">
        <f>BE228*46.29</f>
        <v/>
      </c>
    </row>
    <row r="229">
      <c r="A229" s="10" t="n">
        <v>45851</v>
      </c>
      <c r="B229" s="11" t="n">
        <v>6412427251</v>
      </c>
      <c r="C229" s="11" t="n"/>
      <c r="D229" s="12" t="n">
        <v>302499066</v>
      </c>
      <c r="E229" s="11" t="n"/>
      <c r="N229" s="12" t="n">
        <v>1919063</v>
      </c>
      <c r="O229" s="11" t="n"/>
      <c r="P229" s="12" t="n">
        <v>70779</v>
      </c>
      <c r="Q229" s="11" t="n"/>
      <c r="R229" s="21">
        <f>N229+O229+P229+N(Q229)</f>
        <v/>
      </c>
      <c r="S229" s="13" t="n">
        <v>0.03</v>
      </c>
      <c r="T229" s="21">
        <f>N(AC229)*S229</f>
        <v/>
      </c>
      <c r="U229" s="21">
        <f>N(AD229)*S229</f>
        <v/>
      </c>
      <c r="V229" s="21">
        <f>N(AE229)*S229</f>
        <v/>
      </c>
      <c r="W229" s="21">
        <f>IF(Q229="","",N(AF229)*S229)</f>
        <v/>
      </c>
      <c r="X229" s="12" t="n">
        <v>24827</v>
      </c>
      <c r="Y229" s="11" t="n"/>
      <c r="Z229" s="11" t="n"/>
      <c r="AA229" s="21">
        <f>T229+U229+V229+N(W229)+X229+Y229+N(Z229)</f>
        <v/>
      </c>
      <c r="AB229" s="11" t="n"/>
      <c r="AC229" s="12" t="n">
        <v>1861492</v>
      </c>
      <c r="AD229" s="21">
        <f>O229-Y229</f>
        <v/>
      </c>
      <c r="AE229" s="21">
        <f>P229-X229</f>
        <v/>
      </c>
      <c r="AF229" s="21">
        <f>IF(Q229="","",Q229-Z229)</f>
        <v/>
      </c>
      <c r="AG229" s="22">
        <f>AC229+AD229+AE229+N(AF229)</f>
        <v/>
      </c>
      <c r="AH229" s="11" t="n">
        <v>2008748.358</v>
      </c>
      <c r="AI229" s="24">
        <f>AG229-AH229</f>
        <v/>
      </c>
      <c r="AJ229" s="14">
        <f>IF(OR(B229="",B229=0,N229=""),"",N229/B229*10000)</f>
        <v/>
      </c>
      <c r="AK229" s="14">
        <f>IF(OR(C229="",C229=0),"",O229/C229*10000)</f>
        <v/>
      </c>
      <c r="AL229" s="14">
        <f>IF(OR(D229="",D229=0),"",P229/D229*10000)</f>
        <v/>
      </c>
      <c r="AM229" s="14">
        <f>IF(OR(E229="",E229=0),"",Q229/E229*10000)</f>
        <v/>
      </c>
      <c r="AN229" s="11" t="n">
        <v>10846.00343376681</v>
      </c>
      <c r="AO229" s="11" t="n">
        <v>30340.83</v>
      </c>
      <c r="AP229" s="21">
        <f>AH229+AN229+AO229</f>
        <v/>
      </c>
      <c r="AQ229" s="21">
        <f>AH229</f>
        <v/>
      </c>
      <c r="AR229" s="15" t="n">
        <v>41639.5</v>
      </c>
      <c r="AS229" s="27" t="n">
        <v>48.241414</v>
      </c>
      <c r="AT229" s="15" t="n">
        <v>26142380.37</v>
      </c>
      <c r="AU229" s="15" t="n">
        <v>26013.8934</v>
      </c>
      <c r="AV229" s="15" t="n">
        <v>1374.6539</v>
      </c>
      <c r="AW229" s="15" t="n"/>
      <c r="AX229" s="16" t="n">
        <v>419.3449181001562</v>
      </c>
      <c r="AY229" s="13">
        <f>IF(OR(AX229="",AX229=0,AU229=""),"",AU229*365/(AX229*1000000))</f>
        <v/>
      </c>
      <c r="AZ229" s="15" t="n">
        <v>422905627.7744</v>
      </c>
      <c r="BA229" s="17" t="n">
        <v>60487233</v>
      </c>
      <c r="BB229" s="18" t="n">
        <v>26142380.37</v>
      </c>
      <c r="BC229" s="17" t="n">
        <v>2971663</v>
      </c>
      <c r="BD229" s="17">
        <f>1000000000-999679118.2386+50501.8380</f>
        <v/>
      </c>
      <c r="BE229" s="19">
        <f>1000000000-AZ229-BA229-BB229-BC229-BD229</f>
        <v/>
      </c>
      <c r="BF229" s="20" t="n">
        <v>238</v>
      </c>
      <c r="BG229" s="20">
        <f>BE229/1000000-BF229</f>
        <v/>
      </c>
      <c r="BH229" s="21">
        <f>BE229*47.13</f>
        <v/>
      </c>
    </row>
    <row r="230">
      <c r="A230" s="10" t="n">
        <v>45852</v>
      </c>
      <c r="B230" s="11" t="n">
        <v>13350737290</v>
      </c>
      <c r="C230" s="11" t="n"/>
      <c r="D230" s="12" t="n">
        <v>527347600</v>
      </c>
      <c r="E230" s="11" t="n"/>
      <c r="N230" s="12" t="n">
        <v>3977898</v>
      </c>
      <c r="O230" s="11" t="n"/>
      <c r="P230" s="12" t="n">
        <v>121963</v>
      </c>
      <c r="Q230" s="11" t="n"/>
      <c r="R230" s="21">
        <f>N230+O230+P230+N(Q230)</f>
        <v/>
      </c>
      <c r="S230" s="13" t="n">
        <v>0.03</v>
      </c>
      <c r="T230" s="21">
        <f>N(AC230)*S230</f>
        <v/>
      </c>
      <c r="U230" s="21">
        <f>N(AD230)*S230</f>
        <v/>
      </c>
      <c r="V230" s="21">
        <f>N(AE230)*S230</f>
        <v/>
      </c>
      <c r="W230" s="21">
        <f>IF(Q230="","",N(AF230)*S230)</f>
        <v/>
      </c>
      <c r="X230" s="12" t="n">
        <v>72766</v>
      </c>
      <c r="Y230" s="11" t="n"/>
      <c r="Z230" s="11" t="n"/>
      <c r="AA230" s="21">
        <f>T230+U230+V230+N(W230)+X230+Y230+N(Z230)</f>
        <v/>
      </c>
      <c r="AB230" s="11" t="n"/>
      <c r="AC230" s="12" t="n">
        <v>3858561</v>
      </c>
      <c r="AD230" s="21">
        <f>O230-Y230</f>
        <v/>
      </c>
      <c r="AE230" s="21">
        <f>P230-X230</f>
        <v/>
      </c>
      <c r="AF230" s="21">
        <f>IF(Q230="","",Q230-Z230)</f>
        <v/>
      </c>
      <c r="AG230" s="22">
        <f>AC230+AD230+AE230+N(AF230)</f>
        <v/>
      </c>
      <c r="AH230" s="11" t="n">
        <v>3181268.757</v>
      </c>
      <c r="AI230" s="24">
        <f>AG230-AH230</f>
        <v/>
      </c>
      <c r="AJ230" s="14">
        <f>IF(OR(B230="",B230=0,N230=""),"",N230/B230*10000)</f>
        <v/>
      </c>
      <c r="AK230" s="14">
        <f>IF(OR(C230="",C230=0),"",O230/C230*10000)</f>
        <v/>
      </c>
      <c r="AL230" s="14">
        <f>IF(OR(D230="",D230=0),"",P230/D230*10000)</f>
        <v/>
      </c>
      <c r="AM230" s="14">
        <f>IF(OR(E230="",E230=0),"",Q230/E230*10000)</f>
        <v/>
      </c>
      <c r="AN230" s="11" t="n">
        <v>16968.98052542983</v>
      </c>
      <c r="AO230" s="11" t="n">
        <v>36027.36</v>
      </c>
      <c r="AP230" s="21">
        <f>AH230+AN230+AO230</f>
        <v/>
      </c>
      <c r="AQ230" s="21">
        <f>AH230</f>
        <v/>
      </c>
      <c r="AR230" s="15" t="n">
        <v>65683.78</v>
      </c>
      <c r="AS230" s="27" t="n">
        <v>48.433095</v>
      </c>
      <c r="AT230" s="15" t="n">
        <v>26208064.15</v>
      </c>
      <c r="AU230" s="15" t="n">
        <v>26101.0722</v>
      </c>
      <c r="AV230" s="15" t="n">
        <v>1452.3753</v>
      </c>
      <c r="AW230" s="15" t="n"/>
      <c r="AX230" s="16" t="n">
        <v>419.3729166649603</v>
      </c>
      <c r="AY230" s="13">
        <f>IF(OR(AX230="",AX230=0,AU230=""),"",AU230*365/(AX230*1000000))</f>
        <v/>
      </c>
      <c r="AZ230" s="15" t="n">
        <v>422879526.7021</v>
      </c>
      <c r="BA230" s="17" t="n">
        <v>60487233</v>
      </c>
      <c r="BB230" s="18" t="n">
        <v>26208064.15</v>
      </c>
      <c r="BC230" s="17" t="n">
        <v>2971663</v>
      </c>
      <c r="BD230" s="17">
        <f>1000000000-999677665.8633+50846.7991</f>
        <v/>
      </c>
      <c r="BE230" s="19">
        <f>1000000000-AZ230-BA230-BB230-BC230-BD230</f>
        <v/>
      </c>
      <c r="BF230" s="20" t="n">
        <v>238</v>
      </c>
      <c r="BG230" s="20">
        <f>BE230/1000000-BF230</f>
        <v/>
      </c>
      <c r="BH230" s="21">
        <f>BE230*49.09</f>
        <v/>
      </c>
    </row>
    <row r="231">
      <c r="A231" s="10" t="n">
        <v>45853</v>
      </c>
      <c r="B231" s="11" t="n">
        <v>17479662858</v>
      </c>
      <c r="C231" s="11" t="n"/>
      <c r="D231" s="11" t="n">
        <v>483122232</v>
      </c>
      <c r="E231" s="11" t="n"/>
      <c r="N231" s="12" t="n">
        <v>4932050</v>
      </c>
      <c r="O231" s="11" t="n"/>
      <c r="P231" s="12" t="n">
        <v>126425</v>
      </c>
      <c r="Q231" s="11" t="n"/>
      <c r="R231" s="21">
        <f>N231+O231+P231+N(Q231)</f>
        <v/>
      </c>
      <c r="S231" s="13" t="n">
        <v>0.03</v>
      </c>
      <c r="T231" s="21">
        <f>N(AC231)*S231</f>
        <v/>
      </c>
      <c r="U231" s="21">
        <f>N(AD231)*S231</f>
        <v/>
      </c>
      <c r="V231" s="21">
        <f>N(AE231)*S231</f>
        <v/>
      </c>
      <c r="W231" s="21">
        <f>IF(Q231="","",N(AF231)*S231)</f>
        <v/>
      </c>
      <c r="X231" s="12" t="n">
        <v>97148</v>
      </c>
      <c r="Y231" s="11" t="n"/>
      <c r="Z231" s="11" t="n"/>
      <c r="AA231" s="21">
        <f>T231+U231+V231+N(W231)+X231+Y231+N(Z231)</f>
        <v/>
      </c>
      <c r="AB231" s="11" t="n"/>
      <c r="AC231" s="12" t="n">
        <v>4784089</v>
      </c>
      <c r="AD231" s="21">
        <f>O231-Y231</f>
        <v/>
      </c>
      <c r="AE231" s="21">
        <f>P231-X231</f>
        <v/>
      </c>
      <c r="AF231" s="21">
        <f>IF(Q231="","",Q231-Z231)</f>
        <v/>
      </c>
      <c r="AG231" s="22">
        <f>AC231+AD231+AE231+N(AF231)</f>
        <v/>
      </c>
      <c r="AH231" s="11" t="n">
        <v>3961622.468</v>
      </c>
      <c r="AI231" s="24">
        <f>AG231-AH231</f>
        <v/>
      </c>
      <c r="AJ231" s="14">
        <f>IF(OR(B231="",B231=0,N231=""),"",N231/B231*10000)</f>
        <v/>
      </c>
      <c r="AK231" s="14">
        <f>IF(OR(C231="",C231=0),"",O231/C231*10000)</f>
        <v/>
      </c>
      <c r="AL231" s="14">
        <f>IF(OR(D231="",D231=0),"",P231/D231*10000)</f>
        <v/>
      </c>
      <c r="AM231" s="14">
        <f>IF(OR(E231="",E231=0),"",Q231/E231*10000)</f>
        <v/>
      </c>
      <c r="AN231" s="11" t="n">
        <v>28006.94016744709</v>
      </c>
      <c r="AO231" s="11" t="n">
        <v>0</v>
      </c>
      <c r="AP231" s="21">
        <f>AH231+AN231+AO231</f>
        <v/>
      </c>
      <c r="AQ231" s="21">
        <f>AH231</f>
        <v/>
      </c>
      <c r="AR231" s="15" t="n">
        <v>83530.85000000001</v>
      </c>
      <c r="AS231" s="27" t="n">
        <v>47.427058</v>
      </c>
      <c r="AT231" s="15" t="n">
        <v>26291595</v>
      </c>
      <c r="AU231" s="15" t="n">
        <v>25934.9584</v>
      </c>
      <c r="AV231" s="15" t="n">
        <v>1590.787</v>
      </c>
      <c r="AW231" s="15" t="n"/>
      <c r="AX231" s="16" t="n">
        <v>419.3378926081014</v>
      </c>
      <c r="AY231" s="13">
        <f>IF(OR(AX231="",AX231=0,AU231=""),"",AU231*365/(AX231*1000000))</f>
        <v/>
      </c>
      <c r="AZ231" s="15" t="n">
        <v>422853591.7437</v>
      </c>
      <c r="BA231" s="17" t="n">
        <v>60487233</v>
      </c>
      <c r="BB231" s="18" t="n">
        <v>26291595</v>
      </c>
      <c r="BC231" s="17" t="n">
        <v>2971663</v>
      </c>
      <c r="BD231" s="17">
        <f>1000000000-999676075.0763+51432.4733</f>
        <v/>
      </c>
      <c r="BE231" s="19">
        <f>1000000000-AZ231-BA231-BB231-BC231-BD231</f>
        <v/>
      </c>
      <c r="BF231" s="20" t="n">
        <v>238</v>
      </c>
      <c r="BG231" s="20">
        <f>BE231/1000000-BF231</f>
        <v/>
      </c>
      <c r="BH231" s="21">
        <f>BE231*47.34</f>
        <v/>
      </c>
    </row>
    <row r="232">
      <c r="A232" s="10" t="n">
        <v>45854</v>
      </c>
      <c r="B232" s="11" t="n">
        <v>14838264786</v>
      </c>
      <c r="C232" s="11" t="n"/>
      <c r="D232" s="11" t="n">
        <v>605520135</v>
      </c>
      <c r="E232" s="11" t="n"/>
      <c r="N232" s="12" t="n">
        <v>4375611</v>
      </c>
      <c r="O232" s="11" t="n"/>
      <c r="P232" s="12" t="n">
        <v>110036</v>
      </c>
      <c r="Q232" s="11" t="n"/>
      <c r="R232" s="21">
        <f>N232+O232+P232+N(Q232)</f>
        <v/>
      </c>
      <c r="S232" s="13" t="n">
        <v>0.03</v>
      </c>
      <c r="T232" s="21">
        <f>N(AC232)*S232</f>
        <v/>
      </c>
      <c r="U232" s="21">
        <f>N(AD232)*S232</f>
        <v/>
      </c>
      <c r="V232" s="21">
        <f>N(AE232)*S232</f>
        <v/>
      </c>
      <c r="W232" s="21">
        <f>IF(Q232="","",N(AF232)*S232)</f>
        <v/>
      </c>
      <c r="X232" s="12" t="n">
        <v>64898</v>
      </c>
      <c r="Y232" s="11" t="n"/>
      <c r="Z232" s="11" t="n"/>
      <c r="AA232" s="21">
        <f>T232+U232+V232+N(W232)+X232+Y232+N(Z232)</f>
        <v/>
      </c>
      <c r="AB232" s="11" t="n"/>
      <c r="AC232" s="12" t="n">
        <v>4244343</v>
      </c>
      <c r="AD232" s="21">
        <f>O232-Y232</f>
        <v/>
      </c>
      <c r="AE232" s="21">
        <f>P232-X232</f>
        <v/>
      </c>
      <c r="AF232" s="21">
        <f>IF(Q232="","",Q232-Z232)</f>
        <v/>
      </c>
      <c r="AG232" s="22">
        <f>AC232+AD232+AE232+N(AF232)</f>
        <v/>
      </c>
      <c r="AH232" s="11" t="n">
        <v>4321512.604</v>
      </c>
      <c r="AI232" s="24">
        <f>AG232-AH232</f>
        <v/>
      </c>
      <c r="AJ232" s="14">
        <f>IF(OR(B232="",B232=0,N232=""),"",N232/B232*10000)</f>
        <v/>
      </c>
      <c r="AK232" s="14">
        <f>IF(OR(C232="",C232=0),"",O232/C232*10000)</f>
        <v/>
      </c>
      <c r="AL232" s="14">
        <f>IF(OR(D232="",D232=0),"",P232/D232*10000)</f>
        <v/>
      </c>
      <c r="AM232" s="14">
        <f>IF(OR(E232="",E232=0),"",Q232/E232*10000)</f>
        <v/>
      </c>
      <c r="AN232" s="11" t="n">
        <v>25631.07110739696</v>
      </c>
      <c r="AO232" s="11" t="n">
        <v>37791.81</v>
      </c>
      <c r="AP232" s="21">
        <f>AH232+AN232+AO232</f>
        <v/>
      </c>
      <c r="AQ232" s="21">
        <f>AH232</f>
        <v/>
      </c>
      <c r="AR232" s="15" t="n">
        <v>90398.67999999999</v>
      </c>
      <c r="AS232" s="27" t="n">
        <v>47.805041</v>
      </c>
      <c r="AT232" s="15" t="n">
        <v>26381993.68</v>
      </c>
      <c r="AU232" s="15" t="n">
        <v>26049.4675</v>
      </c>
      <c r="AV232" s="15" t="n">
        <v>762.501</v>
      </c>
      <c r="AW232" s="15" t="n"/>
      <c r="AX232" s="16" t="n">
        <v>424.0865230839272</v>
      </c>
      <c r="AY232" s="13">
        <f>IF(OR(AX232="",AX232=0,AU232=""),"",AU232*365/(AX232*1000000))</f>
        <v/>
      </c>
      <c r="AZ232" s="15" t="n">
        <v>422827542.2762</v>
      </c>
      <c r="BA232" s="17" t="n">
        <v>60487233</v>
      </c>
      <c r="BB232" s="18" t="n">
        <v>26381993.68</v>
      </c>
      <c r="BC232" s="17" t="n">
        <v>2971663</v>
      </c>
      <c r="BD232" s="17">
        <f>1000000000-999675312.5753+51964.1831</f>
        <v/>
      </c>
      <c r="BE232" s="19">
        <f>1000000000-AZ232-BA232-BB232-BC232-BD232</f>
        <v/>
      </c>
      <c r="BF232" s="20" t="n">
        <v>238</v>
      </c>
      <c r="BG232" s="20">
        <f>BE232/1000000-BF232</f>
        <v/>
      </c>
      <c r="BH232" s="21">
        <f>BE232*47.92</f>
        <v/>
      </c>
    </row>
    <row r="233">
      <c r="A233" s="10" t="n">
        <v>45855</v>
      </c>
      <c r="B233" s="11" t="n">
        <v>16730826629</v>
      </c>
      <c r="C233" s="11" t="n"/>
      <c r="D233" s="11" t="n">
        <v>534758802</v>
      </c>
      <c r="E233" s="11" t="n"/>
      <c r="N233" s="12" t="n">
        <v>4857677</v>
      </c>
      <c r="O233" s="11" t="n"/>
      <c r="P233" s="12" t="n">
        <v>141592</v>
      </c>
      <c r="Q233" s="11" t="n"/>
      <c r="R233" s="21">
        <f>N233+O233+P233+N(Q233)</f>
        <v/>
      </c>
      <c r="S233" s="13" t="n">
        <v>0.03</v>
      </c>
      <c r="T233" s="21">
        <f>N(AC233)*S233</f>
        <v/>
      </c>
      <c r="U233" s="21">
        <f>N(AD233)*S233</f>
        <v/>
      </c>
      <c r="V233" s="21">
        <f>N(AE233)*S233</f>
        <v/>
      </c>
      <c r="W233" s="21">
        <f>IF(Q233="","",N(AF233)*S233)</f>
        <v/>
      </c>
      <c r="X233" s="12" t="n">
        <v>63338</v>
      </c>
      <c r="Y233" s="11" t="n"/>
      <c r="Z233" s="11" t="n"/>
      <c r="AA233" s="21">
        <f>T233+U233+V233+N(W233)+X233+Y233+N(Z233)</f>
        <v/>
      </c>
      <c r="AB233" s="11" t="n"/>
      <c r="AC233" s="12" t="n">
        <v>4711947</v>
      </c>
      <c r="AD233" s="21">
        <f>O233-Y233</f>
        <v/>
      </c>
      <c r="AE233" s="21">
        <f>P233-X233</f>
        <v/>
      </c>
      <c r="AF233" s="21">
        <f>IF(Q233="","",Q233-Z233)</f>
        <v/>
      </c>
      <c r="AG233" s="22">
        <f>AC233+AD233+AE233+N(AF233)</f>
        <v/>
      </c>
      <c r="AH233" s="11" t="n">
        <v>4475765.953</v>
      </c>
      <c r="AI233" s="24">
        <f>AG233-AH233</f>
        <v/>
      </c>
      <c r="AJ233" s="14">
        <f>IF(OR(B233="",B233=0,N233=""),"",N233/B233*10000)</f>
        <v/>
      </c>
      <c r="AK233" s="14">
        <f>IF(OR(C233="",C233=0),"",O233/C233*10000)</f>
        <v/>
      </c>
      <c r="AL233" s="14">
        <f>IF(OR(D233="",D233=0),"",P233/D233*10000)</f>
        <v/>
      </c>
      <c r="AM233" s="14">
        <f>IF(OR(E233="",E233=0),"",Q233/E233*10000)</f>
        <v/>
      </c>
      <c r="AN233" s="11" t="n">
        <v>30615.53347005912</v>
      </c>
      <c r="AO233" s="11" t="n">
        <v>40435.29</v>
      </c>
      <c r="AP233" s="21">
        <f>AH233+AN233+AO233</f>
        <v/>
      </c>
      <c r="AQ233" s="21">
        <f>AH233</f>
        <v/>
      </c>
      <c r="AR233" s="15" t="n">
        <v>96658.21000000001</v>
      </c>
      <c r="AS233" s="27" t="n">
        <v>46.305078</v>
      </c>
      <c r="AT233" s="15" t="n">
        <v>26478651.89</v>
      </c>
      <c r="AU233" s="15" t="n">
        <v>26170.3924</v>
      </c>
      <c r="AV233" s="15" t="n">
        <v>1597.9602</v>
      </c>
      <c r="AW233" s="15" t="n"/>
      <c r="AX233" s="16" t="n">
        <v>423.0835404707503</v>
      </c>
      <c r="AY233" s="13">
        <f>IF(OR(AX233="",AX233=0,AU233=""),"",AU233*365/(AX233*1000000))</f>
        <v/>
      </c>
      <c r="AZ233" s="15" t="n">
        <v>422801371.8838</v>
      </c>
      <c r="BA233" s="17" t="n">
        <v>60487233</v>
      </c>
      <c r="BB233" s="18" t="n">
        <v>26478651.89</v>
      </c>
      <c r="BC233" s="17" t="n">
        <v>2971663</v>
      </c>
      <c r="BD233" s="17">
        <f>1000000000-999673714.6151+52610.6123</f>
        <v/>
      </c>
      <c r="BE233" s="19">
        <f>1000000000-AZ233-BA233-BB233-BC233-BD233</f>
        <v/>
      </c>
      <c r="BF233" s="20" t="n">
        <v>238</v>
      </c>
      <c r="BG233" s="20">
        <f>BE233/1000000-BF233</f>
        <v/>
      </c>
      <c r="BH233" s="21">
        <f>BE233*47.18</f>
        <v/>
      </c>
    </row>
    <row r="234">
      <c r="A234" s="10" t="n">
        <v>45856</v>
      </c>
      <c r="B234" s="11" t="n">
        <v>17860068610</v>
      </c>
      <c r="C234" s="11" t="n"/>
      <c r="D234" s="11" t="n">
        <v>242005222</v>
      </c>
      <c r="E234" s="11" t="n"/>
      <c r="N234" s="12" t="n">
        <v>4989452</v>
      </c>
      <c r="O234" s="11" t="n"/>
      <c r="P234" s="12" t="n">
        <v>123230</v>
      </c>
      <c r="Q234" s="11" t="n"/>
      <c r="R234" s="21">
        <f>N234+O234+P234+N(Q234)</f>
        <v/>
      </c>
      <c r="S234" s="13" t="n">
        <v>0.03</v>
      </c>
      <c r="T234" s="21">
        <f>N(AC234)*S234</f>
        <v/>
      </c>
      <c r="U234" s="21">
        <f>N(AD234)*S234</f>
        <v/>
      </c>
      <c r="V234" s="21">
        <f>N(AE234)*S234</f>
        <v/>
      </c>
      <c r="W234" s="21">
        <f>IF(Q234="","",N(AF234)*S234)</f>
        <v/>
      </c>
      <c r="X234" s="12" t="n">
        <v>13589</v>
      </c>
      <c r="Y234" s="11" t="n"/>
      <c r="Z234" s="11" t="n"/>
      <c r="AA234" s="21">
        <f>T234+U234+V234+N(W234)+X234+Y234+N(Z234)</f>
        <v/>
      </c>
      <c r="AB234" s="11" t="n"/>
      <c r="AC234" s="12" t="n">
        <v>4839768</v>
      </c>
      <c r="AD234" s="21">
        <f>O234-Y234</f>
        <v/>
      </c>
      <c r="AE234" s="21">
        <f>P234-X234</f>
        <v/>
      </c>
      <c r="AF234" s="21">
        <f>IF(Q234="","",Q234-Z234)</f>
        <v/>
      </c>
      <c r="AG234" s="22">
        <f>AC234+AD234+AE234+N(AF234)</f>
        <v/>
      </c>
      <c r="AH234" s="11" t="n">
        <v>5353743.659</v>
      </c>
      <c r="AI234" s="24">
        <f>AG234-AH234</f>
        <v/>
      </c>
      <c r="AJ234" s="14">
        <f>IF(OR(B234="",B234=0,N234=""),"",N234/B234*10000)</f>
        <v/>
      </c>
      <c r="AK234" s="14">
        <f>IF(OR(C234="",C234=0),"",O234/C234*10000)</f>
        <v/>
      </c>
      <c r="AL234" s="14">
        <f>IF(OR(D234="",D234=0),"",P234/D234*10000)</f>
        <v/>
      </c>
      <c r="AM234" s="14">
        <f>IF(OR(E234="",E234=0),"",Q234/E234*10000)</f>
        <v/>
      </c>
      <c r="AN234" s="11" t="n">
        <v>27402.36328192446</v>
      </c>
      <c r="AO234" s="11" t="n">
        <v>38690.08</v>
      </c>
      <c r="AP234" s="21">
        <f>AH234+AN234+AO234</f>
        <v/>
      </c>
      <c r="AQ234" s="21">
        <f>AH234</f>
        <v/>
      </c>
      <c r="AR234" s="15" t="n">
        <v>117990.63</v>
      </c>
      <c r="AS234" s="27" t="n">
        <v>45.374312</v>
      </c>
      <c r="AT234" s="15" t="n">
        <v>26596642.52</v>
      </c>
      <c r="AU234" s="15" t="n">
        <v>26160.4342</v>
      </c>
      <c r="AV234" s="15" t="n">
        <v>1707.7749</v>
      </c>
      <c r="AW234" s="15" t="n"/>
      <c r="AX234" s="16" t="n">
        <v>426.0831912741239</v>
      </c>
      <c r="AY234" s="13">
        <f>IF(OR(AX234="",AX234=0,AU234=""),"",AU234*365/(AX234*1000000))</f>
        <v/>
      </c>
      <c r="AZ234" s="15" t="n">
        <v>422775211.4497</v>
      </c>
      <c r="BA234" s="17" t="n">
        <v>60487233</v>
      </c>
      <c r="BB234" s="18" t="n">
        <v>26596642.52</v>
      </c>
      <c r="BC234" s="17" t="n">
        <v>2971663</v>
      </c>
      <c r="BD234" s="17">
        <f>1000000000-999672006.8402+53228.0747</f>
        <v/>
      </c>
      <c r="BE234" s="19">
        <f>1000000000-AZ234-BA234-BB234-BC234-BD234</f>
        <v/>
      </c>
      <c r="BF234" s="20" t="n">
        <v>238</v>
      </c>
      <c r="BG234" s="20">
        <f>BE234/1000000-BF234</f>
        <v/>
      </c>
      <c r="BH234" s="21">
        <f>BE234*45.26</f>
        <v/>
      </c>
    </row>
    <row r="235">
      <c r="A235" s="10" t="n">
        <v>45857</v>
      </c>
      <c r="B235" s="11" t="n">
        <v>5940465681</v>
      </c>
      <c r="C235" s="11" t="n"/>
      <c r="D235" s="11" t="n">
        <v>333203527</v>
      </c>
      <c r="E235" s="11" t="n"/>
      <c r="N235" s="12" t="n">
        <v>1731047</v>
      </c>
      <c r="O235" s="11" t="n"/>
      <c r="P235" s="12" t="n">
        <v>55845</v>
      </c>
      <c r="Q235" s="11" t="n"/>
      <c r="R235" s="21">
        <f>N235+O235+P235+N(Q235)</f>
        <v/>
      </c>
      <c r="S235" s="13" t="n">
        <v>0.03</v>
      </c>
      <c r="T235" s="21">
        <f>N(AC235)*S235</f>
        <v/>
      </c>
      <c r="U235" s="21">
        <f>N(AD235)*S235</f>
        <v/>
      </c>
      <c r="V235" s="21">
        <f>N(AE235)*S235</f>
        <v/>
      </c>
      <c r="W235" s="21">
        <f>IF(Q235="","",N(AF235)*S235)</f>
        <v/>
      </c>
      <c r="X235" s="12" t="n">
        <v>19439</v>
      </c>
      <c r="Y235" s="11" t="n"/>
      <c r="Z235" s="11" t="n"/>
      <c r="AA235" s="21">
        <f>T235+U235+V235+N(W235)+X235+Y235+N(Z235)</f>
        <v/>
      </c>
      <c r="AB235" s="11" t="n"/>
      <c r="AC235" s="12" t="n">
        <v>1679115</v>
      </c>
      <c r="AD235" s="21">
        <f>O235-Y235</f>
        <v/>
      </c>
      <c r="AE235" s="21">
        <f>P235-X235</f>
        <v/>
      </c>
      <c r="AF235" s="21">
        <f>IF(Q235="","",Q235-Z235)</f>
        <v/>
      </c>
      <c r="AG235" s="22">
        <f>AC235+AD235+AE235+N(AF235)</f>
        <v/>
      </c>
      <c r="AH235" s="11" t="n">
        <v>3622903.074</v>
      </c>
      <c r="AI235" s="24">
        <f>AG235-AH235</f>
        <v/>
      </c>
      <c r="AJ235" s="14">
        <f>IF(OR(B235="",B235=0,N235=""),"",N235/B235*10000)</f>
        <v/>
      </c>
      <c r="AK235" s="14">
        <f>IF(OR(C235="",C235=0),"",O235/C235*10000)</f>
        <v/>
      </c>
      <c r="AL235" s="14">
        <f>IF(OR(D235="",D235=0),"",P235/D235*10000)</f>
        <v/>
      </c>
      <c r="AM235" s="14">
        <f>IF(OR(E235="",E235=0),"",Q235/E235*10000)</f>
        <v/>
      </c>
      <c r="AN235" s="11" t="n">
        <v>10314.03957846648</v>
      </c>
      <c r="AO235" s="11" t="n">
        <v>0</v>
      </c>
      <c r="AP235" s="21">
        <f>AH235+AN235+AO235</f>
        <v/>
      </c>
      <c r="AQ235" s="21">
        <f>AH235</f>
        <v/>
      </c>
      <c r="AR235" s="15" t="n">
        <v>81070.97</v>
      </c>
      <c r="AS235" s="27" t="n">
        <v>44.688044</v>
      </c>
      <c r="AT235" s="15" t="n">
        <v>26677713.49</v>
      </c>
      <c r="AU235" s="15" t="n">
        <v>26235.1622</v>
      </c>
      <c r="AV235" s="15" t="n">
        <v>1734.6771</v>
      </c>
      <c r="AW235" s="15" t="n"/>
      <c r="AX235" s="16" t="n">
        <v>425.1538469060342</v>
      </c>
      <c r="AY235" s="13">
        <f>IF(OR(AX235="",AX235=0,AU235=""),"",AU235*365/(AX235*1000000))</f>
        <v/>
      </c>
      <c r="AZ235" s="15" t="n">
        <v>422748976.2875</v>
      </c>
      <c r="BA235" s="17" t="n">
        <v>60487233</v>
      </c>
      <c r="BB235" s="18" t="n">
        <v>26677713.49</v>
      </c>
      <c r="BC235" s="17" t="n">
        <v>2971663</v>
      </c>
      <c r="BD235" s="17">
        <f>1000000000-999670272.1631+53459.8769</f>
        <v/>
      </c>
      <c r="BE235" s="19">
        <f>1000000000-AZ235-BA235-BB235-BC235-BD235</f>
        <v/>
      </c>
      <c r="BF235" s="20" t="n">
        <v>238</v>
      </c>
      <c r="BG235" s="20">
        <f>BE235/1000000-BF235</f>
        <v/>
      </c>
      <c r="BH235" s="21">
        <f>BE235*44.7</f>
        <v/>
      </c>
    </row>
    <row r="236">
      <c r="A236" s="10" t="n">
        <v>45858</v>
      </c>
      <c r="B236" s="11" t="n">
        <v>11223164737</v>
      </c>
      <c r="C236" s="11" t="n"/>
      <c r="D236" s="11" t="n">
        <v>423990453</v>
      </c>
      <c r="E236" s="11" t="n"/>
      <c r="N236" s="12" t="n">
        <v>3142101</v>
      </c>
      <c r="O236" s="11" t="n"/>
      <c r="P236" s="12" t="n">
        <v>67623</v>
      </c>
      <c r="Q236" s="11" t="n"/>
      <c r="R236" s="21">
        <f>N236+O236+P236+N(Q236)</f>
        <v/>
      </c>
      <c r="S236" s="13" t="n">
        <v>0.03</v>
      </c>
      <c r="T236" s="21">
        <f>N(AC236)*S236</f>
        <v/>
      </c>
      <c r="U236" s="21">
        <f>N(AD236)*S236</f>
        <v/>
      </c>
      <c r="V236" s="21">
        <f>N(AE236)*S236</f>
        <v/>
      </c>
      <c r="W236" s="21">
        <f>IF(Q236="","",N(AF236)*S236)</f>
        <v/>
      </c>
      <c r="X236" s="12" t="n">
        <v>38068</v>
      </c>
      <c r="Y236" s="11" t="n"/>
      <c r="Z236" s="11" t="n"/>
      <c r="AA236" s="21">
        <f>T236+U236+V236+N(W236)+X236+Y236+N(Z236)</f>
        <v/>
      </c>
      <c r="AB236" s="11" t="n"/>
      <c r="AC236" s="12" t="n">
        <v>3047838</v>
      </c>
      <c r="AD236" s="21">
        <f>O236-Y236</f>
        <v/>
      </c>
      <c r="AE236" s="21">
        <f>P236-X236</f>
        <v/>
      </c>
      <c r="AF236" s="21">
        <f>IF(Q236="","",Q236-Z236)</f>
        <v/>
      </c>
      <c r="AG236" s="22">
        <f>AC236+AD236+AE236+N(AF236)</f>
        <v/>
      </c>
      <c r="AH236" s="11" t="n">
        <v>1637416.709</v>
      </c>
      <c r="AI236" s="24">
        <f>AG236-AH236</f>
        <v/>
      </c>
      <c r="AJ236" s="14">
        <f>IF(OR(B236="",B236=0,N236=""),"",N236/B236*10000)</f>
        <v/>
      </c>
      <c r="AK236" s="14">
        <f>IF(OR(C236="",C236=0),"",O236/C236*10000)</f>
        <v/>
      </c>
      <c r="AL236" s="14">
        <f>IF(OR(D236="",D236=0),"",P236/D236*10000)</f>
        <v/>
      </c>
      <c r="AM236" s="14">
        <f>IF(OR(E236="",E236=0),"",Q236/E236*10000)</f>
        <v/>
      </c>
      <c r="AN236" s="11" t="n">
        <v>14768.49212748751</v>
      </c>
      <c r="AO236" s="11" t="n">
        <v>23046.68</v>
      </c>
      <c r="AP236" s="21">
        <f>AH236+AN236+AO236</f>
        <v/>
      </c>
      <c r="AQ236" s="21">
        <f>AH236</f>
        <v/>
      </c>
      <c r="AR236" s="15" t="n">
        <v>35661.34</v>
      </c>
      <c r="AS236" s="27" t="n">
        <v>45.915737</v>
      </c>
      <c r="AT236" s="15" t="n">
        <v>26713374.83</v>
      </c>
      <c r="AU236" s="15" t="n">
        <v>25437.4605</v>
      </c>
      <c r="AV236" s="15" t="n">
        <v>387.0758</v>
      </c>
      <c r="AW236" s="15" t="n"/>
      <c r="AX236" s="16" t="n">
        <v>425.9978604913276</v>
      </c>
      <c r="AY236" s="13">
        <f>IF(OR(AX236="",AX236=0,AU236=""),"",AU236*365/(AX236*1000000))</f>
        <v/>
      </c>
      <c r="AZ236" s="15" t="n">
        <v>422723538.827</v>
      </c>
      <c r="BA236" s="17" t="n">
        <v>60487233</v>
      </c>
      <c r="BB236" s="18" t="n">
        <v>26713374.83</v>
      </c>
      <c r="BC236" s="17" t="n">
        <v>2971663</v>
      </c>
      <c r="BD236" s="17">
        <f>1000000000-999669885.0873+53780.7079</f>
        <v/>
      </c>
      <c r="BE236" s="19">
        <f>1000000000-AZ236-BA236-BB236-BC236-BD236</f>
        <v/>
      </c>
      <c r="BF236" s="20" t="n">
        <v>238</v>
      </c>
      <c r="BG236" s="20">
        <f>BE236/1000000-BF236</f>
        <v/>
      </c>
      <c r="BH236" s="21">
        <f>BE236*44.24</f>
        <v/>
      </c>
    </row>
    <row r="237">
      <c r="A237" s="10" t="n">
        <v>45859</v>
      </c>
      <c r="B237" s="11" t="n">
        <v>15217202579</v>
      </c>
      <c r="C237" s="11" t="n"/>
      <c r="D237" s="11" t="n">
        <v>499809586</v>
      </c>
      <c r="E237" s="11" t="n"/>
      <c r="N237" s="12" t="n">
        <v>4200868</v>
      </c>
      <c r="O237" s="11" t="n"/>
      <c r="P237" s="12" t="n">
        <v>97640</v>
      </c>
      <c r="Q237" s="11" t="n"/>
      <c r="R237" s="21">
        <f>N237+O237+P237+N(Q237)</f>
        <v/>
      </c>
      <c r="S237" s="13" t="n">
        <v>0.03</v>
      </c>
      <c r="T237" s="21">
        <f>N(AC237)*S237</f>
        <v/>
      </c>
      <c r="U237" s="21">
        <f>N(AD237)*S237</f>
        <v/>
      </c>
      <c r="V237" s="21">
        <f>N(AE237)*S237</f>
        <v/>
      </c>
      <c r="W237" s="21">
        <f>IF(Q237="","",N(AF237)*S237)</f>
        <v/>
      </c>
      <c r="X237" s="12" t="n">
        <v>43509</v>
      </c>
      <c r="Y237" s="11" t="n"/>
      <c r="Z237" s="11" t="n"/>
      <c r="AA237" s="21">
        <f>T237+U237+V237+N(W237)+X237+Y237+N(Z237)</f>
        <v/>
      </c>
      <c r="AB237" s="11" t="n"/>
      <c r="AC237" s="12" t="n">
        <v>4074842</v>
      </c>
      <c r="AD237" s="21">
        <f>O237-Y237</f>
        <v/>
      </c>
      <c r="AE237" s="21">
        <f>P237-X237</f>
        <v/>
      </c>
      <c r="AF237" s="21">
        <f>IF(Q237="","",Q237-Z237)</f>
        <v/>
      </c>
      <c r="AG237" s="22">
        <f>AC237+AD237+AE237+N(AF237)</f>
        <v/>
      </c>
      <c r="AH237" s="11" t="n">
        <v>4157067.30163</v>
      </c>
      <c r="AI237" s="24">
        <f>AG237-AH237</f>
        <v/>
      </c>
      <c r="AJ237" s="14">
        <f>IF(OR(B237="",B237=0,N237=""),"",N237/B237*10000)</f>
        <v/>
      </c>
      <c r="AK237" s="14">
        <f>IF(OR(C237="",C237=0),"",O237/C237*10000)</f>
        <v/>
      </c>
      <c r="AL237" s="14">
        <f>IF(OR(D237="",D237=0),"",P237/D237*10000)</f>
        <v/>
      </c>
      <c r="AM237" s="14">
        <f>IF(OR(E237="",E237=0),"",Q237/E237*10000)</f>
        <v/>
      </c>
      <c r="AN237" s="11" t="n">
        <v>30281.51454049356</v>
      </c>
      <c r="AO237" s="11" t="n">
        <v>30277.06</v>
      </c>
      <c r="AP237" s="21">
        <f>AH237+AN237+AO237</f>
        <v/>
      </c>
      <c r="AQ237" s="21">
        <f>AH237</f>
        <v/>
      </c>
      <c r="AR237" s="15" t="n">
        <v>89986.02</v>
      </c>
      <c r="AS237" s="27" t="n">
        <v>46.19681258966671</v>
      </c>
      <c r="AT237" s="15" t="n">
        <v>26790541.33</v>
      </c>
      <c r="AU237" s="15" t="n">
        <v>26253.0862</v>
      </c>
      <c r="AV237" s="15" t="n">
        <v>1064.9001</v>
      </c>
      <c r="AW237" s="15" t="n"/>
      <c r="AX237" s="16" t="n">
        <v>425.8689285709855</v>
      </c>
      <c r="AY237" s="13">
        <f>IF(OR(AX237="",AX237=0,AU237=""),"",AU237*365/(AX237*1000000))</f>
        <v/>
      </c>
      <c r="AZ237" s="15" t="n">
        <v>422697285.7408</v>
      </c>
      <c r="BA237" s="17" t="n">
        <v>60487233</v>
      </c>
      <c r="BB237" s="18" t="n">
        <v>26790541.33</v>
      </c>
      <c r="BC237" s="17" t="n">
        <v>2971663</v>
      </c>
      <c r="BD237" s="17">
        <f>1000000000-999668820.1872+54463.4005</f>
        <v/>
      </c>
      <c r="BE237" s="19">
        <f>1000000000-AZ237-BA237-BB237-BC237-BD237</f>
        <v/>
      </c>
      <c r="BF237" s="20" t="n">
        <v>238</v>
      </c>
      <c r="BG237" s="20">
        <f>BE237/1000000-BF237</f>
        <v/>
      </c>
      <c r="BH237" s="21">
        <f>BE237*45.49</f>
        <v/>
      </c>
    </row>
    <row r="238">
      <c r="A238" s="10" t="n">
        <v>45860</v>
      </c>
      <c r="B238" s="11" t="n">
        <v>17573226980</v>
      </c>
      <c r="C238" s="11" t="n"/>
      <c r="D238" s="11" t="n">
        <v>465675371</v>
      </c>
      <c r="E238" s="11" t="n"/>
      <c r="N238" s="12" t="n">
        <v>4704879</v>
      </c>
      <c r="O238" s="11" t="n"/>
      <c r="P238" s="12" t="n">
        <v>105959</v>
      </c>
      <c r="Q238" s="11" t="n"/>
      <c r="R238" s="21">
        <f>N238+O238+P238+N(Q238)</f>
        <v/>
      </c>
      <c r="S238" s="13" t="n">
        <v>0.03</v>
      </c>
      <c r="T238" s="21">
        <f>N(AC238)*S238</f>
        <v/>
      </c>
      <c r="U238" s="21">
        <f>N(AD238)*S238</f>
        <v/>
      </c>
      <c r="V238" s="21">
        <f>N(AE238)*S238</f>
        <v/>
      </c>
      <c r="W238" s="21">
        <f>IF(Q238="","",N(AF238)*S238)</f>
        <v/>
      </c>
      <c r="X238" s="12" t="n">
        <v>26542</v>
      </c>
      <c r="Y238" s="11" t="n"/>
      <c r="Z238" s="11" t="n"/>
      <c r="AA238" s="21">
        <f>T238+U238+V238+N(W238)+X238+Y238+N(Z238)</f>
        <v/>
      </c>
      <c r="AB238" s="11" t="n"/>
      <c r="AC238" s="12" t="n">
        <v>4563732</v>
      </c>
      <c r="AD238" s="21">
        <f>O238-Y238</f>
        <v/>
      </c>
      <c r="AE238" s="21">
        <f>P238-X238</f>
        <v/>
      </c>
      <c r="AF238" s="21">
        <f>IF(Q238="","",Q238-Z238)</f>
        <v/>
      </c>
      <c r="AG238" s="22">
        <f>AC238+AD238+AE238+N(AF238)</f>
        <v/>
      </c>
      <c r="AH238" s="11" t="n">
        <v>4309374.38511</v>
      </c>
      <c r="AI238" s="24">
        <f>AG238-AH238</f>
        <v/>
      </c>
      <c r="AJ238" s="14">
        <f>IF(OR(B238="",B238=0,N238=""),"",N238/B238*10000)</f>
        <v/>
      </c>
      <c r="AK238" s="14">
        <f>IF(OR(C238="",C238=0),"",O238/C238*10000)</f>
        <v/>
      </c>
      <c r="AL238" s="14">
        <f>IF(OR(D238="",D238=0),"",P238/D238*10000)</f>
        <v/>
      </c>
      <c r="AM238" s="14">
        <f>IF(OR(E238="",E238=0),"",Q238/E238*10000)</f>
        <v/>
      </c>
      <c r="AN238" s="11" t="n">
        <v>29834.46565461404</v>
      </c>
      <c r="AO238" s="11" t="n">
        <v>31954.4</v>
      </c>
      <c r="AP238" s="21">
        <f>AH238+AN238+AO238</f>
        <v/>
      </c>
      <c r="AQ238" s="21">
        <f>AH238</f>
        <v/>
      </c>
      <c r="AR238" s="15" t="n">
        <v>97303.92</v>
      </c>
      <c r="AS238" s="27" t="n">
        <v>44.28777777000145</v>
      </c>
      <c r="AT238" s="15" t="n">
        <v>26894757.84</v>
      </c>
      <c r="AU238" s="15" t="n">
        <v>26270.2379</v>
      </c>
      <c r="AV238" s="15" t="n">
        <v>1351.9293</v>
      </c>
      <c r="AW238" s="15" t="n"/>
      <c r="AX238" s="16" t="n">
        <v>425.6606072624036</v>
      </c>
      <c r="AY238" s="13">
        <f>IF(OR(AX238="",AX238=0,AU238=""),"",AU238*365/(AX238*1000000))</f>
        <v/>
      </c>
      <c r="AZ238" s="15" t="n">
        <v>422671015.5028</v>
      </c>
      <c r="BA238" s="17" t="n">
        <v>60487233</v>
      </c>
      <c r="BB238" s="18" t="n">
        <v>26894757.84</v>
      </c>
      <c r="BC238" s="17" t="n">
        <v>2971663</v>
      </c>
      <c r="BD238" s="17">
        <f>1000000000-999667468.2579+55107.2172</f>
        <v/>
      </c>
      <c r="BE238" s="19">
        <f>1000000000-AZ238-BA238-BB238-BC238-BD238</f>
        <v/>
      </c>
      <c r="BF238" s="20" t="n">
        <v>238</v>
      </c>
      <c r="BG238" s="20">
        <f>BE238/1000000-BF238</f>
        <v/>
      </c>
      <c r="BH238" s="21">
        <f>BE238*44.45</f>
        <v/>
      </c>
    </row>
    <row r="239">
      <c r="A239" s="10" t="n">
        <v>45861</v>
      </c>
      <c r="B239" s="11" t="n">
        <v>13920019812</v>
      </c>
      <c r="C239" s="11" t="n"/>
      <c r="D239" s="11" t="n">
        <v>397759222</v>
      </c>
      <c r="E239" s="11" t="n"/>
      <c r="N239" s="12" t="n">
        <v>3893810</v>
      </c>
      <c r="O239" s="11" t="n"/>
      <c r="P239" s="12" t="n">
        <v>99943</v>
      </c>
      <c r="Q239" s="11" t="n"/>
      <c r="R239" s="21">
        <f>N239+O239+P239+N(Q239)</f>
        <v/>
      </c>
      <c r="S239" s="13" t="n">
        <v>0.03</v>
      </c>
      <c r="T239" s="21">
        <f>N(AC239)*S239</f>
        <v/>
      </c>
      <c r="U239" s="21">
        <f>N(AD239)*S239</f>
        <v/>
      </c>
      <c r="V239" s="21">
        <f>N(AE239)*S239</f>
        <v/>
      </c>
      <c r="W239" s="21">
        <f>IF(Q239="","",N(AF239)*S239)</f>
        <v/>
      </c>
      <c r="X239" s="12" t="n">
        <v>25342</v>
      </c>
      <c r="Y239" s="11" t="n"/>
      <c r="Z239" s="11" t="n"/>
      <c r="AA239" s="21">
        <f>T239+U239+V239+N(W239)+X239+Y239+N(Z239)</f>
        <v/>
      </c>
      <c r="AB239" s="11" t="n"/>
      <c r="AC239" s="12" t="n">
        <v>3776995</v>
      </c>
      <c r="AD239" s="21">
        <f>O239-Y239</f>
        <v/>
      </c>
      <c r="AE239" s="21">
        <f>P239-X239</f>
        <v/>
      </c>
      <c r="AF239" s="21">
        <f>IF(Q239="","",Q239-Z239)</f>
        <v/>
      </c>
      <c r="AG239" s="22">
        <f>AC239+AD239+AE239+N(AF239)</f>
        <v/>
      </c>
      <c r="AH239" s="11" t="n">
        <v>4231130.14645</v>
      </c>
      <c r="AI239" s="24">
        <f>AG239-AH239</f>
        <v/>
      </c>
      <c r="AJ239" s="14">
        <f>IF(OR(B239="",B239=0,N239=""),"",N239/B239*10000)</f>
        <v/>
      </c>
      <c r="AK239" s="14">
        <f>IF(OR(C239="",C239=0),"",O239/C239*10000)</f>
        <v/>
      </c>
      <c r="AL239" s="14">
        <f>IF(OR(D239="",D239=0),"",P239/D239*10000)</f>
        <v/>
      </c>
      <c r="AM239" s="14">
        <f>IF(OR(E239="",E239=0),"",Q239/E239*10000)</f>
        <v/>
      </c>
      <c r="AN239" s="11" t="n">
        <v>22305.80969603183</v>
      </c>
      <c r="AO239" s="11" t="n">
        <v>38252.86</v>
      </c>
      <c r="AP239" s="21">
        <f>AH239+AN239+AO239</f>
        <v/>
      </c>
      <c r="AQ239" s="21">
        <f>AH239</f>
        <v/>
      </c>
      <c r="AR239" s="15" t="n">
        <v>96327.11</v>
      </c>
      <c r="AS239" s="27" t="n">
        <v>43.92460384672601</v>
      </c>
      <c r="AT239" s="15" t="n">
        <v>26980394.04</v>
      </c>
      <c r="AU239" s="15" t="n">
        <v>26260.0077</v>
      </c>
      <c r="AV239" s="15" t="n">
        <v>1567.0252</v>
      </c>
      <c r="AW239" s="15" t="n"/>
      <c r="AX239" s="16" t="n">
        <v>425.6698110555336</v>
      </c>
      <c r="AY239" s="13">
        <f>IF(OR(AX239="",AX239=0,AU239=""),"",AU239*365/(AX239*1000000))</f>
        <v/>
      </c>
      <c r="AZ239" s="15" t="n">
        <v>422644755.4951</v>
      </c>
      <c r="BA239" s="17" t="n">
        <v>60487233</v>
      </c>
      <c r="BB239" s="18" t="n">
        <v>26980394.04</v>
      </c>
      <c r="BC239" s="17" t="n">
        <v>2971663</v>
      </c>
      <c r="BD239" s="17">
        <f>1000000000-999665901.2326+55616.6800</f>
        <v/>
      </c>
      <c r="BE239" s="19">
        <f>1000000000-AZ239-BA239-BB239-BC239-BD239</f>
        <v/>
      </c>
      <c r="BF239" s="20" t="n">
        <v>238</v>
      </c>
      <c r="BG239" s="20">
        <f>BE239/1000000-BF239</f>
        <v/>
      </c>
      <c r="BH239" s="21">
        <f>BE239*45.68</f>
        <v/>
      </c>
    </row>
    <row r="240">
      <c r="A240" s="10" t="n">
        <v>45862</v>
      </c>
      <c r="B240" s="11" t="n">
        <v>13225484310</v>
      </c>
      <c r="C240" s="11" t="n"/>
      <c r="D240" s="11" t="n">
        <v>413143280</v>
      </c>
      <c r="E240" s="11" t="n"/>
      <c r="N240" s="12" t="n">
        <v>3684454</v>
      </c>
      <c r="O240" s="11" t="n"/>
      <c r="P240" s="12" t="n">
        <v>91205</v>
      </c>
      <c r="Q240" s="11" t="n"/>
      <c r="R240" s="21">
        <f>N240+O240+P240+N(Q240)</f>
        <v/>
      </c>
      <c r="S240" s="13" t="n">
        <v>0.03</v>
      </c>
      <c r="T240" s="21">
        <f>N(AC240)*S240</f>
        <v/>
      </c>
      <c r="U240" s="21">
        <f>N(AD240)*S240</f>
        <v/>
      </c>
      <c r="V240" s="21">
        <f>N(AE240)*S240</f>
        <v/>
      </c>
      <c r="W240" s="21">
        <f>IF(Q240="","",N(AF240)*S240)</f>
        <v/>
      </c>
      <c r="X240" s="12" t="n">
        <v>24282</v>
      </c>
      <c r="Y240" s="11" t="n"/>
      <c r="Z240" s="11" t="n"/>
      <c r="AA240" s="21">
        <f>T240+U240+V240+N(W240)+X240+Y240+N(Z240)</f>
        <v/>
      </c>
      <c r="AB240" s="11" t="n"/>
      <c r="AC240" s="12" t="n">
        <v>3573921</v>
      </c>
      <c r="AD240" s="21">
        <f>O240-Y240</f>
        <v/>
      </c>
      <c r="AE240" s="21">
        <f>P240-X240</f>
        <v/>
      </c>
      <c r="AF240" s="21">
        <f>IF(Q240="","",Q240-Z240)</f>
        <v/>
      </c>
      <c r="AG240" s="22">
        <f>AC240+AD240+AE240+N(AF240)</f>
        <v/>
      </c>
      <c r="AH240" s="11" t="n">
        <v>3649361.05445</v>
      </c>
      <c r="AI240" s="24">
        <f>AG240-AH240</f>
        <v/>
      </c>
      <c r="AJ240" s="14">
        <f>IF(OR(B240="",B240=0,N240=""),"",N240/B240*10000)</f>
        <v/>
      </c>
      <c r="AK240" s="14">
        <f>IF(OR(C240="",C240=0),"",O240/C240*10000)</f>
        <v/>
      </c>
      <c r="AL240" s="14">
        <f>IF(OR(D240="",D240=0),"",P240/D240*10000)</f>
        <v/>
      </c>
      <c r="AM240" s="14">
        <f>IF(OR(E240="",E240=0),"",Q240/E240*10000)</f>
        <v/>
      </c>
      <c r="AN240" s="11" t="n">
        <v>15704.9052162658</v>
      </c>
      <c r="AO240" s="11" t="n">
        <v>61141.07</v>
      </c>
      <c r="AP240" s="21">
        <f>AH240+AN240+AO240</f>
        <v/>
      </c>
      <c r="AQ240" s="21">
        <f>AH240</f>
        <v/>
      </c>
      <c r="AR240" s="15" t="n">
        <v>85212.58</v>
      </c>
      <c r="AS240" s="27" t="n">
        <v>42.82655277483677</v>
      </c>
      <c r="AT240" s="15" t="n">
        <v>27094232.14</v>
      </c>
      <c r="AU240" s="15" t="n">
        <v>26273.1</v>
      </c>
      <c r="AV240" s="15" t="n">
        <v>1495.0699</v>
      </c>
      <c r="AW240" s="15" t="n"/>
      <c r="AX240" s="16" t="n">
        <v>426.2698780827109</v>
      </c>
      <c r="AY240" s="13">
        <f>IF(OR(AX240="",AX240=0,AU240=""),"",AU240*365/(AX240*1000000))</f>
        <v/>
      </c>
      <c r="AZ240" s="15" t="n">
        <v>422618482.3951</v>
      </c>
      <c r="BA240" s="17" t="n">
        <v>60487233</v>
      </c>
      <c r="BB240" s="18" t="n">
        <v>27094232.14</v>
      </c>
      <c r="BC240" s="17" t="n">
        <v>2971663</v>
      </c>
      <c r="BD240" s="17">
        <f>1000000000-999664406.1627+55989.4082</f>
        <v/>
      </c>
      <c r="BE240" s="19">
        <f>1000000000-AZ240-BA240-BB240-BC240-BD240</f>
        <v/>
      </c>
      <c r="BF240" s="20" t="n">
        <v>238</v>
      </c>
      <c r="BG240" s="20">
        <f>BE240/1000000-BF240</f>
        <v/>
      </c>
      <c r="BH240" s="21">
        <f>BE240*43.62</f>
        <v/>
      </c>
    </row>
    <row r="241">
      <c r="A241" s="10" t="n">
        <v>45863</v>
      </c>
      <c r="B241" s="11" t="n">
        <v>15953353063</v>
      </c>
      <c r="C241" s="11" t="n"/>
      <c r="D241" s="11" t="n">
        <v>235138334</v>
      </c>
      <c r="E241" s="11" t="n"/>
      <c r="N241" s="12" t="n">
        <v>4299874</v>
      </c>
      <c r="O241" s="11" t="n"/>
      <c r="P241" s="12" t="n">
        <v>90407</v>
      </c>
      <c r="Q241" s="11" t="n"/>
      <c r="R241" s="21">
        <f>N241+O241+P241+N(Q241)</f>
        <v/>
      </c>
      <c r="S241" s="13" t="n">
        <v>0.03</v>
      </c>
      <c r="T241" s="21">
        <f>N(AC241)*S241</f>
        <v/>
      </c>
      <c r="U241" s="21">
        <f>N(AD241)*S241</f>
        <v/>
      </c>
      <c r="V241" s="21">
        <f>N(AE241)*S241</f>
        <v/>
      </c>
      <c r="W241" s="21">
        <f>IF(Q241="","",N(AF241)*S241)</f>
        <v/>
      </c>
      <c r="X241" s="12" t="n">
        <v>42713</v>
      </c>
      <c r="Y241" s="11" t="n"/>
      <c r="Z241" s="11" t="n"/>
      <c r="AA241" s="21">
        <f>T241+U241+V241+N(W241)+X241+Y241+N(Z241)</f>
        <v/>
      </c>
      <c r="AB241" s="11" t="n"/>
      <c r="AC241" s="12" t="n">
        <v>4170878</v>
      </c>
      <c r="AD241" s="21">
        <f>O241-Y241</f>
        <v/>
      </c>
      <c r="AE241" s="21">
        <f>P241-X241</f>
        <v/>
      </c>
      <c r="AF241" s="21">
        <f>IF(Q241="","",Q241-Z241)</f>
        <v/>
      </c>
      <c r="AG241" s="22">
        <f>AC241+AD241+AE241+N(AF241)</f>
        <v/>
      </c>
      <c r="AH241" s="11" t="n">
        <v>3875969.71215</v>
      </c>
      <c r="AI241" s="24">
        <f>AG241-AH241</f>
        <v/>
      </c>
      <c r="AJ241" s="14">
        <f>IF(OR(B241="",B241=0,N241=""),"",N241/B241*10000)</f>
        <v/>
      </c>
      <c r="AK241" s="14">
        <f>IF(OR(C241="",C241=0),"",O241/C241*10000)</f>
        <v/>
      </c>
      <c r="AL241" s="14">
        <f>IF(OR(D241="",D241=0),"",P241/D241*10000)</f>
        <v/>
      </c>
      <c r="AM241" s="14">
        <f>IF(OR(E241="",E241=0),"",Q241/E241*10000)</f>
        <v/>
      </c>
      <c r="AN241" s="11" t="n">
        <v>17068.72335907222</v>
      </c>
      <c r="AO241" s="11" t="n">
        <v>0</v>
      </c>
      <c r="AP241" s="21">
        <f>AH241+AN241+AO241</f>
        <v/>
      </c>
      <c r="AQ241" s="21">
        <f>AH241</f>
        <v/>
      </c>
      <c r="AR241" s="15" t="n">
        <v>91651.09</v>
      </c>
      <c r="AS241" s="27" t="n">
        <v>42.29049225873909</v>
      </c>
      <c r="AT241" s="15" t="n">
        <v>27194423.78</v>
      </c>
      <c r="AU241" s="15" t="n">
        <v>26270.6827</v>
      </c>
      <c r="AV241" s="15" t="n">
        <v>2080.4413</v>
      </c>
      <c r="AW241" s="15" t="n"/>
      <c r="AX241" s="16" t="n">
        <v>425.3087440908123</v>
      </c>
      <c r="AY241" s="13">
        <f>IF(OR(AX241="",AX241=0,AU241=""),"",AU241*365/(AX241*1000000))</f>
        <v/>
      </c>
      <c r="AZ241" s="15" t="n">
        <v>422592211.7124</v>
      </c>
      <c r="BA241" s="17" t="n">
        <v>60487233</v>
      </c>
      <c r="BB241" s="18" t="n">
        <v>27194423.78</v>
      </c>
      <c r="BC241" s="17" t="n">
        <v>2971663</v>
      </c>
      <c r="BD241" s="17">
        <f>1000000000-999662325.7214+56392.3907</f>
        <v/>
      </c>
      <c r="BE241" s="19">
        <f>1000000000-AZ241-BA241-BB241-BC241-BD241</f>
        <v/>
      </c>
      <c r="BF241" s="20" t="n">
        <v>238</v>
      </c>
      <c r="BG241" s="20">
        <f>BE241/1000000-BF241</f>
        <v/>
      </c>
      <c r="BH241" s="21">
        <f>BE241*41.83</f>
        <v/>
      </c>
    </row>
    <row r="242">
      <c r="A242" s="10" t="n">
        <v>45864</v>
      </c>
      <c r="B242" s="11" t="n">
        <v>5698633537</v>
      </c>
      <c r="C242" s="11" t="n"/>
      <c r="D242" s="11" t="n">
        <v>277162323</v>
      </c>
      <c r="E242" s="11" t="n"/>
      <c r="N242" s="12" t="n">
        <v>1618245</v>
      </c>
      <c r="O242" s="11" t="n"/>
      <c r="P242" s="12" t="n">
        <v>51478</v>
      </c>
      <c r="Q242" s="11" t="n"/>
      <c r="R242" s="21">
        <f>N242+O242+P242+N(Q242)</f>
        <v/>
      </c>
      <c r="S242" s="13" t="n">
        <v>0.03</v>
      </c>
      <c r="T242" s="21">
        <f>N(AC242)*S242</f>
        <v/>
      </c>
      <c r="U242" s="21">
        <f>N(AD242)*S242</f>
        <v/>
      </c>
      <c r="V242" s="21">
        <f>N(AE242)*S242</f>
        <v/>
      </c>
      <c r="W242" s="21">
        <f>IF(Q242="","",N(AF242)*S242)</f>
        <v/>
      </c>
      <c r="X242" s="12" t="n">
        <v>32449</v>
      </c>
      <c r="Y242" s="11" t="n"/>
      <c r="Z242" s="11" t="n"/>
      <c r="AA242" s="21">
        <f>T242+U242+V242+N(W242)+X242+Y242+N(Z242)</f>
        <v/>
      </c>
      <c r="AB242" s="11" t="n"/>
      <c r="AC242" s="12" t="n">
        <v>1569698</v>
      </c>
      <c r="AD242" s="21">
        <f>O242-Y242</f>
        <v/>
      </c>
      <c r="AE242" s="21">
        <f>P242-X242</f>
        <v/>
      </c>
      <c r="AF242" s="21">
        <f>IF(Q242="","",Q242-Z242)</f>
        <v/>
      </c>
      <c r="AG242" s="22">
        <f>AC242+AD242+AE242+N(AF242)</f>
        <v/>
      </c>
      <c r="AH242" s="11" t="n">
        <v>2008190.47534</v>
      </c>
      <c r="AI242" s="24">
        <f>AG242-AH242</f>
        <v/>
      </c>
      <c r="AJ242" s="14">
        <f>IF(OR(B242="",B242=0,N242=""),"",N242/B242*10000)</f>
        <v/>
      </c>
      <c r="AK242" s="14">
        <f>IF(OR(C242="",C242=0),"",O242/C242*10000)</f>
        <v/>
      </c>
      <c r="AL242" s="14">
        <f>IF(OR(D242="",D242=0),"",P242/D242*10000)</f>
        <v/>
      </c>
      <c r="AM242" s="14">
        <f>IF(OR(E242="",E242=0),"",Q242/E242*10000)</f>
        <v/>
      </c>
      <c r="AN242" s="11" t="n">
        <v>9624.489324601454</v>
      </c>
      <c r="AO242" s="11" t="n">
        <v>29583.13</v>
      </c>
      <c r="AP242" s="21">
        <f>AH242+AN242+AO242</f>
        <v/>
      </c>
      <c r="AQ242" s="21">
        <f>AH242</f>
        <v/>
      </c>
      <c r="AR242" s="15" t="n">
        <v>45480.69</v>
      </c>
      <c r="AS242" s="27" t="n">
        <v>44.15479350335274</v>
      </c>
      <c r="AT242" s="15" t="n">
        <v>27257117.78</v>
      </c>
      <c r="AU242" s="15" t="n">
        <v>26267.594</v>
      </c>
      <c r="AV242" s="15" t="n">
        <v>620.5895</v>
      </c>
      <c r="AW242" s="15" t="n"/>
      <c r="AX242" s="16" t="n">
        <v>425.7660118094576</v>
      </c>
      <c r="AY242" s="13">
        <f>IF(OR(AX242="",AX242=0,AU242=""),"",AU242*365/(AX242*1000000))</f>
        <v/>
      </c>
      <c r="AZ242" s="15" t="n">
        <v>422565944.1184</v>
      </c>
      <c r="BA242" s="17" t="n">
        <v>60487233</v>
      </c>
      <c r="BB242" s="18" t="n">
        <v>27257117.78</v>
      </c>
      <c r="BC242" s="17" t="n">
        <v>2971663</v>
      </c>
      <c r="BD242" s="17">
        <f>1000000000-999661705.1319+56614.1531</f>
        <v/>
      </c>
      <c r="BE242" s="19">
        <f>1000000000-AZ242-BA242-BB242-BC242-BD242</f>
        <v/>
      </c>
      <c r="BF242" s="20" t="n">
        <v>238</v>
      </c>
      <c r="BG242" s="20">
        <f>BE242/1000000-BF242</f>
        <v/>
      </c>
      <c r="BH242" s="21">
        <f>BE242*43.94</f>
        <v/>
      </c>
    </row>
    <row r="243">
      <c r="A243" s="10" t="n">
        <v>45865</v>
      </c>
      <c r="B243" s="11" t="n">
        <v>7413250947</v>
      </c>
      <c r="C243" s="11" t="n"/>
      <c r="D243" s="11" t="n">
        <v>460399034</v>
      </c>
      <c r="E243" s="11" t="n"/>
      <c r="N243" s="12" t="n">
        <v>2096262</v>
      </c>
      <c r="O243" s="11" t="n"/>
      <c r="P243" s="12" t="n">
        <v>63428</v>
      </c>
      <c r="Q243" s="11" t="n"/>
      <c r="R243" s="21">
        <f>N243+O243+P243+N(Q243)</f>
        <v/>
      </c>
      <c r="S243" s="13" t="n">
        <v>0.03</v>
      </c>
      <c r="T243" s="21">
        <f>N(AC243)*S243</f>
        <v/>
      </c>
      <c r="U243" s="21">
        <f>N(AD243)*S243</f>
        <v/>
      </c>
      <c r="V243" s="21">
        <f>N(AE243)*S243</f>
        <v/>
      </c>
      <c r="W243" s="21">
        <f>IF(Q243="","",N(AF243)*S243)</f>
        <v/>
      </c>
      <c r="X243" s="12" t="n">
        <v>38777</v>
      </c>
      <c r="Y243" s="11" t="n"/>
      <c r="Z243" s="11" t="n"/>
      <c r="AA243" s="21">
        <f>T243+U243+V243+N(W243)+X243+Y243+N(Z243)</f>
        <v/>
      </c>
      <c r="AB243" s="11" t="n"/>
      <c r="AC243" s="12" t="n">
        <v>2033374</v>
      </c>
      <c r="AD243" s="21">
        <f>O243-Y243</f>
        <v/>
      </c>
      <c r="AE243" s="21">
        <f>P243-X243</f>
        <v/>
      </c>
      <c r="AF243" s="21">
        <f>IF(Q243="","",Q243-Z243)</f>
        <v/>
      </c>
      <c r="AG243" s="22">
        <f>AC243+AD243+AE243+N(AF243)</f>
        <v/>
      </c>
      <c r="AH243" s="11" t="n">
        <v>2122051.78256</v>
      </c>
      <c r="AI243" s="24">
        <f>AG243-AH243</f>
        <v/>
      </c>
      <c r="AJ243" s="14">
        <f>IF(OR(B243="",B243=0,N243=""),"",N243/B243*10000)</f>
        <v/>
      </c>
      <c r="AK243" s="14">
        <f>IF(OR(C243="",C243=0),"",O243/C243*10000)</f>
        <v/>
      </c>
      <c r="AL243" s="14">
        <f>IF(OR(D243="",D243=0),"",P243/D243*10000)</f>
        <v/>
      </c>
      <c r="AM243" s="14">
        <f>IF(OR(E243="",E243=0),"",Q243/E243*10000)</f>
        <v/>
      </c>
      <c r="AN243" s="11" t="n">
        <v>9811.180749259758</v>
      </c>
      <c r="AO243" s="11" t="n">
        <v>0</v>
      </c>
      <c r="AP243" s="21">
        <f>AH243+AN243+AO243</f>
        <v/>
      </c>
      <c r="AQ243" s="21">
        <f>AH243</f>
        <v/>
      </c>
      <c r="AR243" s="15" t="n">
        <v>48885.03</v>
      </c>
      <c r="AS243" s="27" t="n">
        <v>43.40903099701484</v>
      </c>
      <c r="AT243" s="15" t="n">
        <v>27288584.56</v>
      </c>
      <c r="AU243" s="15" t="n">
        <v>26273.9549</v>
      </c>
      <c r="AV243" s="15" t="n">
        <v>1027.789</v>
      </c>
      <c r="AW243" s="15" t="n"/>
      <c r="AX243" s="16" t="n">
        <v>426.4849336148513</v>
      </c>
      <c r="AY243" s="13">
        <f>IF(OR(AX243="",AX243=0,AU243=""),"",AU243*365/(AX243*1000000))</f>
        <v/>
      </c>
      <c r="AZ243" s="15" t="n">
        <v>422539670.1636</v>
      </c>
      <c r="BA243" s="17" t="n">
        <v>60487233</v>
      </c>
      <c r="BB243" s="18" t="n">
        <v>27288584.56</v>
      </c>
      <c r="BC243" s="17" t="n">
        <v>2971663</v>
      </c>
      <c r="BD243" s="17">
        <f>1000000000-999660677.3429+56839.6301</f>
        <v/>
      </c>
      <c r="BE243" s="19">
        <f>1000000000-AZ243-BA243-BB243-BC243-BD243</f>
        <v/>
      </c>
      <c r="BF243" s="20" t="n">
        <v>238</v>
      </c>
      <c r="BG243" s="20">
        <f>BE243/1000000-BF243</f>
        <v/>
      </c>
      <c r="BH243" s="21">
        <f>BE243*43.43</f>
        <v/>
      </c>
    </row>
    <row r="244">
      <c r="A244" s="10" t="n">
        <v>45866</v>
      </c>
      <c r="B244" s="11" t="n">
        <v>12436414976</v>
      </c>
      <c r="C244" s="11" t="n"/>
      <c r="D244" s="11" t="n">
        <v>429337830</v>
      </c>
      <c r="E244" s="11" t="n"/>
      <c r="N244" s="12" t="n">
        <v>3228442</v>
      </c>
      <c r="O244" s="11" t="n"/>
      <c r="P244" s="12" t="n">
        <v>95834</v>
      </c>
      <c r="Q244" s="11" t="n"/>
      <c r="R244" s="21">
        <f>N244+O244+P244+N(Q244)</f>
        <v/>
      </c>
      <c r="S244" s="13" t="n">
        <v>0.03</v>
      </c>
      <c r="T244" s="21">
        <f>N(AC244)*S244</f>
        <v/>
      </c>
      <c r="U244" s="21">
        <f>N(AD244)*S244</f>
        <v/>
      </c>
      <c r="V244" s="21">
        <f>N(AE244)*S244</f>
        <v/>
      </c>
      <c r="W244" s="21">
        <f>IF(Q244="","",N(AF244)*S244)</f>
        <v/>
      </c>
      <c r="X244" s="12" t="n">
        <v>52552</v>
      </c>
      <c r="Y244" s="11" t="n"/>
      <c r="Z244" s="11" t="n"/>
      <c r="AA244" s="21">
        <f>T244+U244+V244+N(W244)+X244+Y244+N(Z244)</f>
        <v/>
      </c>
      <c r="AB244" s="11" t="n"/>
      <c r="AC244" s="12" t="n">
        <v>3131588</v>
      </c>
      <c r="AD244" s="21">
        <f>O244-Y244</f>
        <v/>
      </c>
      <c r="AE244" s="21">
        <f>P244-X244</f>
        <v/>
      </c>
      <c r="AF244" s="21">
        <f>IF(Q244="","",Q244-Z244)</f>
        <v/>
      </c>
      <c r="AG244" s="22">
        <f>AC244+AD244+AE244+N(AF244)</f>
        <v/>
      </c>
      <c r="AH244" s="11" t="n">
        <v>3328771.12294</v>
      </c>
      <c r="AI244" s="24">
        <f>AG244-AH244</f>
        <v/>
      </c>
      <c r="AJ244" s="14">
        <f>IF(OR(B244="",B244=0,N244=""),"",N244/B244*10000)</f>
        <v/>
      </c>
      <c r="AK244" s="14">
        <f>IF(OR(C244="",C244=0),"",O244/C244*10000)</f>
        <v/>
      </c>
      <c r="AL244" s="14">
        <f>IF(OR(D244="",D244=0),"",P244/D244*10000)</f>
        <v/>
      </c>
      <c r="AM244" s="14">
        <f>IF(OR(E244="",E244=0),"",Q244/E244*10000)</f>
        <v/>
      </c>
      <c r="AN244" s="11" t="n">
        <v>41455.00848448902</v>
      </c>
      <c r="AO244" s="11" t="n">
        <v>24997.76</v>
      </c>
      <c r="AP244" s="21">
        <f>AH244+AN244+AO244</f>
        <v/>
      </c>
      <c r="AQ244" s="21">
        <f>AH244</f>
        <v/>
      </c>
      <c r="AR244" s="15" t="n">
        <v>74785.14999999999</v>
      </c>
      <c r="AS244" s="27" t="n">
        <v>44.51112450720498</v>
      </c>
      <c r="AT244" s="15" t="n">
        <v>27345959.54</v>
      </c>
      <c r="AU244" s="15" t="n">
        <v>25503.8166</v>
      </c>
      <c r="AV244" s="15" t="n">
        <v>415.4104</v>
      </c>
      <c r="AW244" s="15" t="n"/>
      <c r="AX244" s="16" t="n">
        <v>425.8488284404029</v>
      </c>
      <c r="AY244" s="13">
        <f>IF(OR(AX244="",AX244=0,AU244=""),"",AU244*365/(AX244*1000000))</f>
        <v/>
      </c>
      <c r="AZ244" s="15" t="n">
        <v>422514166.347</v>
      </c>
      <c r="BA244" s="17" t="n">
        <v>60487233</v>
      </c>
      <c r="BB244" s="18" t="n">
        <v>27345959.54</v>
      </c>
      <c r="BC244" s="17" t="n">
        <v>2971663</v>
      </c>
      <c r="BD244" s="17">
        <f>1000000000-999660261.9325+57783.4840</f>
        <v/>
      </c>
      <c r="BE244" s="19">
        <f>1000000000-AZ244-BA244-BB244-BC244-BD244</f>
        <v/>
      </c>
      <c r="BF244" s="20" t="n">
        <v>238</v>
      </c>
      <c r="BG244" s="20">
        <f>BE244/1000000-BF244</f>
        <v/>
      </c>
      <c r="BH244" s="21">
        <f>BE244*43.77</f>
        <v/>
      </c>
    </row>
    <row r="245">
      <c r="A245" s="10" t="n">
        <v>45867</v>
      </c>
      <c r="B245" s="11" t="n">
        <v>11467327117</v>
      </c>
      <c r="C245" s="11" t="n"/>
      <c r="D245" s="11" t="n">
        <v>420443328</v>
      </c>
      <c r="E245" s="11" t="n"/>
      <c r="N245" s="12" t="n">
        <v>3271151</v>
      </c>
      <c r="O245" s="11" t="n"/>
      <c r="P245" s="12" t="n">
        <v>89465</v>
      </c>
      <c r="Q245" s="11" t="n"/>
      <c r="R245" s="21">
        <f>N245+O245+P245+N(Q245)</f>
        <v/>
      </c>
      <c r="S245" s="13" t="n">
        <v>0.03</v>
      </c>
      <c r="T245" s="21">
        <f>N(AC245)*S245</f>
        <v/>
      </c>
      <c r="U245" s="21">
        <f>N(AD245)*S245</f>
        <v/>
      </c>
      <c r="V245" s="21">
        <f>N(AE245)*S245</f>
        <v/>
      </c>
      <c r="W245" s="21">
        <f>IF(Q245="","",N(AF245)*S245)</f>
        <v/>
      </c>
      <c r="X245" s="12" t="n">
        <v>40390</v>
      </c>
      <c r="Y245" s="11" t="n"/>
      <c r="Z245" s="11" t="n"/>
      <c r="AA245" s="21">
        <f>T245+U245+V245+N(W245)+X245+Y245+N(Z245)</f>
        <v/>
      </c>
      <c r="AB245" s="11" t="n"/>
      <c r="AC245" s="12" t="n">
        <v>3173017</v>
      </c>
      <c r="AD245" s="21">
        <f>O245-Y245</f>
        <v/>
      </c>
      <c r="AE245" s="21">
        <f>P245-X245</f>
        <v/>
      </c>
      <c r="AF245" s="21">
        <f>IF(Q245="","",Q245-Z245)</f>
        <v/>
      </c>
      <c r="AG245" s="22">
        <f>AC245+AD245+AE245+N(AF245)</f>
        <v/>
      </c>
      <c r="AH245" s="11" t="n">
        <v>3117194.3948</v>
      </c>
      <c r="AI245" s="24">
        <f>AG245-AH245</f>
        <v/>
      </c>
      <c r="AJ245" s="14">
        <f>IF(OR(B245="",B245=0,N245=""),"",N245/B245*10000)</f>
        <v/>
      </c>
      <c r="AK245" s="14">
        <f>IF(OR(C245="",C245=0),"",O245/C245*10000)</f>
        <v/>
      </c>
      <c r="AL245" s="14">
        <f>IF(OR(D245="",D245=0),"",P245/D245*10000)</f>
        <v/>
      </c>
      <c r="AM245" s="14">
        <f>IF(OR(E245="",E245=0),"",Q245/E245*10000)</f>
        <v/>
      </c>
      <c r="AN245" s="11" t="n">
        <v>33339.7111656936</v>
      </c>
      <c r="AO245" s="11" t="n">
        <v>30455.47</v>
      </c>
      <c r="AP245" s="21">
        <f>AH245+AN245+AO245</f>
        <v/>
      </c>
      <c r="AQ245" s="21">
        <f>AH245</f>
        <v/>
      </c>
      <c r="AR245" s="15" t="n">
        <v>71034.64999999999</v>
      </c>
      <c r="AS245" s="27" t="n">
        <v>43.88273039706679</v>
      </c>
      <c r="AT245" s="15" t="n">
        <v>27416511.56</v>
      </c>
      <c r="AU245" s="15" t="n">
        <v>26215.6556</v>
      </c>
      <c r="AV245" s="15" t="n">
        <v>1482.5447</v>
      </c>
      <c r="AW245" s="15" t="n"/>
      <c r="AX245" s="16" t="n">
        <v>427.2165555223576</v>
      </c>
      <c r="AY245" s="13">
        <f>IF(OR(AX245="",AX245=0,AU245=""),"",AU245*365/(AX245*1000000))</f>
        <v/>
      </c>
      <c r="AZ245" s="15" t="n">
        <v>422487950.6914</v>
      </c>
      <c r="BA245" s="17" t="n">
        <v>60487233</v>
      </c>
      <c r="BB245" s="18" t="n">
        <v>27416511.56</v>
      </c>
      <c r="BC245" s="17" t="n">
        <v>2971663</v>
      </c>
      <c r="BD245" s="17">
        <f>1000000000-999658779.3877+58537.5202</f>
        <v/>
      </c>
      <c r="BE245" s="19">
        <f>1000000000-AZ245-BA245-BB245-BC245-BD245</f>
        <v/>
      </c>
      <c r="BF245" s="20" t="n">
        <v>238</v>
      </c>
      <c r="BG245" s="20">
        <f>BE245/1000000-BF245</f>
        <v/>
      </c>
      <c r="BH245" s="21">
        <f>BE245*44.04</f>
        <v/>
      </c>
    </row>
    <row r="246">
      <c r="A246" s="10" t="n">
        <v>45868</v>
      </c>
      <c r="B246" s="11" t="n">
        <v>10174615683</v>
      </c>
      <c r="C246" s="11" t="n"/>
      <c r="D246" s="11" t="n">
        <v>511510492</v>
      </c>
      <c r="E246" s="11" t="n"/>
      <c r="N246" s="12" t="n">
        <v>2722709</v>
      </c>
      <c r="O246" s="11" t="n"/>
      <c r="P246" s="12" t="n">
        <v>95401</v>
      </c>
      <c r="Q246" s="11" t="n"/>
      <c r="R246" s="21">
        <f>N246+O246+P246+N(Q246)</f>
        <v/>
      </c>
      <c r="S246" s="13" t="n">
        <v>0.03</v>
      </c>
      <c r="T246" s="21">
        <f>N(AC246)*S246</f>
        <v/>
      </c>
      <c r="U246" s="21">
        <f>N(AD246)*S246</f>
        <v/>
      </c>
      <c r="V246" s="21">
        <f>N(AE246)*S246</f>
        <v/>
      </c>
      <c r="W246" s="21">
        <f>IF(Q246="","",N(AF246)*S246)</f>
        <v/>
      </c>
      <c r="X246" s="12" t="n">
        <v>44440</v>
      </c>
      <c r="Y246" s="11" t="n"/>
      <c r="Z246" s="11" t="n"/>
      <c r="AA246" s="21">
        <f>T246+U246+V246+N(W246)+X246+Y246+N(Z246)</f>
        <v/>
      </c>
      <c r="AB246" s="11" t="n"/>
      <c r="AC246" s="12" t="n">
        <v>2641027</v>
      </c>
      <c r="AD246" s="21">
        <f>O246-Y246</f>
        <v/>
      </c>
      <c r="AE246" s="21">
        <f>P246-X246</f>
        <v/>
      </c>
      <c r="AF246" s="21">
        <f>IF(Q246="","",Q246-Z246)</f>
        <v/>
      </c>
      <c r="AG246" s="22">
        <f>AC246+AD246+AE246+N(AF246)</f>
        <v/>
      </c>
      <c r="AH246" s="11" t="n">
        <v>2705475.10854</v>
      </c>
      <c r="AI246" s="24">
        <f>AG246-AH246</f>
        <v/>
      </c>
      <c r="AJ246" s="14">
        <f>IF(OR(B246="",B246=0,N246=""),"",N246/B246*10000)</f>
        <v/>
      </c>
      <c r="AK246" s="14">
        <f>IF(OR(C246="",C246=0),"",O246/C246*10000)</f>
        <v/>
      </c>
      <c r="AL246" s="14">
        <f>IF(OR(D246="",D246=0),"",P246/D246*10000)</f>
        <v/>
      </c>
      <c r="AM246" s="14">
        <f>IF(OR(E246="",E246=0),"",Q246/E246*10000)</f>
        <v/>
      </c>
      <c r="AN246" s="11" t="n">
        <v>21389.5354500557</v>
      </c>
      <c r="AO246" s="11" t="n">
        <v>33604.96</v>
      </c>
      <c r="AP246" s="21">
        <f>AH246+AN246+AO246</f>
        <v/>
      </c>
      <c r="AQ246" s="21">
        <f>AH246</f>
        <v/>
      </c>
      <c r="AR246" s="15" t="n">
        <v>63587.22</v>
      </c>
      <c r="AS246" s="27" t="n">
        <v>42.54746643334934</v>
      </c>
      <c r="AT246" s="15" t="n">
        <v>27487010.24</v>
      </c>
      <c r="AU246" s="15" t="n">
        <v>26279.9993</v>
      </c>
      <c r="AV246" s="15" t="n">
        <v>1630.932</v>
      </c>
      <c r="AW246" s="15" t="n"/>
      <c r="AX246" s="16" t="n">
        <v>429.1525584617923</v>
      </c>
      <c r="AY246" s="13">
        <f>IF(OR(AX246="",AX246=0,AU246=""),"",AU246*365/(AX246*1000000))</f>
        <v/>
      </c>
      <c r="AZ246" s="15" t="n">
        <v>422461670.6921</v>
      </c>
      <c r="BA246" s="17" t="n">
        <v>60487233</v>
      </c>
      <c r="BB246" s="18" t="n">
        <v>27487010.24</v>
      </c>
      <c r="BC246" s="17" t="n">
        <v>2971663</v>
      </c>
      <c r="BD246" s="17">
        <f>1000000000-999657148.4558+59031.9617</f>
        <v/>
      </c>
      <c r="BE246" s="19">
        <f>1000000000-AZ246-BA246-BB246-BC246-BD246</f>
        <v/>
      </c>
      <c r="BF246" s="20" t="n">
        <v>238</v>
      </c>
      <c r="BG246" s="20">
        <f>BE246/1000000-BF246</f>
        <v/>
      </c>
      <c r="BH246" s="21">
        <f>BE246*43.41</f>
        <v/>
      </c>
    </row>
    <row r="247">
      <c r="A247" s="10" t="n">
        <v>45869</v>
      </c>
      <c r="B247" s="11" t="n">
        <v>11403174319</v>
      </c>
      <c r="C247" s="11" t="n"/>
      <c r="D247" s="11" t="n">
        <v>582897038</v>
      </c>
      <c r="E247" s="11" t="n"/>
      <c r="N247" s="12" t="n">
        <v>3109607</v>
      </c>
      <c r="O247" s="11" t="n"/>
      <c r="P247" s="12" t="n">
        <v>116038</v>
      </c>
      <c r="Q247" s="11" t="n"/>
      <c r="R247" s="21">
        <f>N247+O247+P247+N(Q247)</f>
        <v/>
      </c>
      <c r="S247" s="13" t="n">
        <v>0.03</v>
      </c>
      <c r="T247" s="21">
        <f>N(AC247)*S247</f>
        <v/>
      </c>
      <c r="U247" s="21">
        <f>N(AD247)*S247</f>
        <v/>
      </c>
      <c r="V247" s="21">
        <f>N(AE247)*S247</f>
        <v/>
      </c>
      <c r="W247" s="21">
        <f>IF(Q247="","",N(AF247)*S247)</f>
        <v/>
      </c>
      <c r="X247" s="12" t="n">
        <v>52146</v>
      </c>
      <c r="Y247" s="11" t="n"/>
      <c r="Z247" s="11" t="n"/>
      <c r="AA247" s="21">
        <f>T247+U247+V247+N(W247)+X247+Y247+N(Z247)</f>
        <v/>
      </c>
      <c r="AB247" s="11" t="n"/>
      <c r="AC247" s="12" t="n">
        <v>3016319</v>
      </c>
      <c r="AD247" s="21">
        <f>O247-Y247</f>
        <v/>
      </c>
      <c r="AE247" s="21">
        <f>P247-X247</f>
        <v/>
      </c>
      <c r="AF247" s="21">
        <f>IF(Q247="","",Q247-Z247)</f>
        <v/>
      </c>
      <c r="AG247" s="22">
        <f>AC247+AD247+AE247+N(AF247)</f>
        <v/>
      </c>
      <c r="AH247" s="11" t="n">
        <v>3164904.28337</v>
      </c>
      <c r="AI247" s="24">
        <f>AG247-AH247</f>
        <v/>
      </c>
      <c r="AJ247" s="14">
        <f>IF(OR(B247="",B247=0,N247=""),"",N247/B247*10000)</f>
        <v/>
      </c>
      <c r="AK247" s="14">
        <f>IF(OR(C247="",C247=0),"",O247/C247*10000)</f>
        <v/>
      </c>
      <c r="AL247" s="14">
        <f>IF(OR(D247="",D247=0),"",P247/D247*10000)</f>
        <v/>
      </c>
      <c r="AM247" s="14">
        <f>IF(OR(E247="",E247=0),"",Q247/E247*10000)</f>
        <v/>
      </c>
      <c r="AN247" s="11" t="n">
        <v>24945.57760686527</v>
      </c>
      <c r="AO247" s="11" t="n">
        <v>0</v>
      </c>
      <c r="AP247" s="21">
        <f>AH247+AN247+AO247</f>
        <v/>
      </c>
      <c r="AQ247" s="21">
        <f>AH247</f>
        <v/>
      </c>
      <c r="AR247" s="15" t="n">
        <v>74193.64999999999</v>
      </c>
      <c r="AS247" s="27" t="n">
        <v>42.65734713644631</v>
      </c>
      <c r="AT247" s="15" t="n">
        <v>27552679.16</v>
      </c>
      <c r="AU247" s="15" t="n">
        <v>26380.5006</v>
      </c>
      <c r="AV247" s="15" t="n">
        <v>1477.7298</v>
      </c>
      <c r="AW247" s="15" t="n"/>
      <c r="AX247" s="16" t="n">
        <v>429.4361125958053</v>
      </c>
      <c r="AY247" s="13">
        <f>IF(OR(AX247="",AX247=0,AU247=""),"",AU247*365/(AX247*1000000))</f>
        <v/>
      </c>
      <c r="AZ247" s="15" t="n">
        <v>422435290.1915</v>
      </c>
      <c r="BA247" s="17" t="n">
        <v>60487233</v>
      </c>
      <c r="BB247" s="18" t="n">
        <v>27552679.16</v>
      </c>
      <c r="BC247" s="17" t="n">
        <v>2971663</v>
      </c>
      <c r="BD247" s="17">
        <f>1000000000-999655670.7259+59621.4826</f>
        <v/>
      </c>
      <c r="BE247" s="19">
        <f>1000000000-AZ247-BA247-BB247-BC247-BD247</f>
        <v/>
      </c>
      <c r="BF247" s="20" t="n">
        <v>238</v>
      </c>
      <c r="BG247" s="20">
        <f>BE247/1000000-BF247</f>
        <v/>
      </c>
      <c r="BH247" s="21">
        <f>BE247*42.21</f>
        <v/>
      </c>
    </row>
    <row r="248">
      <c r="A248" s="10" t="n">
        <v>45870</v>
      </c>
      <c r="B248" s="11" t="n">
        <v>18380818443</v>
      </c>
      <c r="C248" s="11" t="n"/>
      <c r="D248" s="11" t="n">
        <v>279006046</v>
      </c>
      <c r="E248" s="11" t="n"/>
      <c r="N248" s="12" t="n">
        <v>5744453</v>
      </c>
      <c r="O248" s="11" t="n"/>
      <c r="P248" s="12" t="n">
        <v>230825</v>
      </c>
      <c r="Q248" s="11" t="n"/>
      <c r="R248" s="21">
        <f>N248+O248+P248+N(Q248)</f>
        <v/>
      </c>
      <c r="S248" s="13" t="n">
        <v>0.03</v>
      </c>
      <c r="T248" s="21">
        <f>N(AC248)*S248</f>
        <v/>
      </c>
      <c r="U248" s="21">
        <f>N(AD248)*S248</f>
        <v/>
      </c>
      <c r="V248" s="21">
        <f>N(AE248)*S248</f>
        <v/>
      </c>
      <c r="W248" s="21">
        <f>IF(Q248="","",N(AF248)*S248)</f>
        <v/>
      </c>
      <c r="X248" s="12" t="n">
        <v>44318</v>
      </c>
      <c r="Y248" s="11" t="n"/>
      <c r="Z248" s="11" t="n"/>
      <c r="AA248" s="21">
        <f>T248+U248+V248+N(W248)+X248+Y248+N(Z248)</f>
        <v/>
      </c>
      <c r="AB248" s="11" t="n"/>
      <c r="AC248" s="12" t="n">
        <v>4875987</v>
      </c>
      <c r="AD248" s="21">
        <f>O248-Y248</f>
        <v/>
      </c>
      <c r="AE248" s="21">
        <f>P248-X248</f>
        <v/>
      </c>
      <c r="AF248" s="21">
        <f>IF(Q248="","",Q248-Z248)</f>
        <v/>
      </c>
      <c r="AG248" s="22">
        <f>AC248+AD248+AE248+N(AF248)</f>
        <v/>
      </c>
      <c r="AH248" s="11" t="n">
        <v>4693953.32472</v>
      </c>
      <c r="AI248" s="24">
        <f>AG248-AH248</f>
        <v/>
      </c>
      <c r="AJ248" s="14">
        <f>IF(OR(B248="",B248=0,N248=""),"",N248/B248*10000)</f>
        <v/>
      </c>
      <c r="AK248" s="14">
        <f>IF(OR(C248="",C248=0),"",O248/C248*10000)</f>
        <v/>
      </c>
      <c r="AL248" s="14">
        <f>IF(OR(D248="",D248=0),"",P248/D248*10000)</f>
        <v/>
      </c>
      <c r="AM248" s="14">
        <f>IF(OR(E248="",E248=0),"",Q248/E248*10000)</f>
        <v/>
      </c>
      <c r="AN248" s="11" t="n">
        <v>45397.82282918472</v>
      </c>
      <c r="AO248" s="11" t="n">
        <v>20364.87</v>
      </c>
      <c r="AP248" s="21">
        <f>AH248+AN248+AO248</f>
        <v/>
      </c>
      <c r="AQ248" s="21">
        <f>AH248</f>
        <v/>
      </c>
      <c r="AR248" s="15" t="n">
        <v>120637.42</v>
      </c>
      <c r="AS248" s="27" t="n">
        <v>38.90959641477744</v>
      </c>
      <c r="AT248" s="15" t="n">
        <v>27649852.82</v>
      </c>
      <c r="AU248" s="15" t="n">
        <v>26361.4326</v>
      </c>
      <c r="AV248" s="15" t="n">
        <v>1012.4622</v>
      </c>
      <c r="AW248" s="15" t="n"/>
      <c r="AX248" s="16" t="n">
        <v>430.2111588580001</v>
      </c>
      <c r="AY248" s="13">
        <f>IF(OR(AX248="",AX248=0,AU248=""),"",AU248*365/(AX248*1000000))</f>
        <v/>
      </c>
      <c r="AZ248" s="15" t="n">
        <v>422408928.7589</v>
      </c>
      <c r="BA248" s="17" t="n">
        <v>60487233</v>
      </c>
      <c r="BB248" s="18" t="n">
        <v>27649852.82</v>
      </c>
      <c r="BC248" s="17" t="n">
        <v>2971663</v>
      </c>
      <c r="BD248" s="17">
        <f>1000000000-999654658.2638+60734.4471</f>
        <v/>
      </c>
      <c r="BE248" s="19">
        <f>1000000000-AZ248-BA248-BB248-BC248-BD248</f>
        <v/>
      </c>
      <c r="BF248" s="20" t="n">
        <v>238</v>
      </c>
      <c r="BG248" s="20">
        <f>BE248/1000000-BF248</f>
        <v/>
      </c>
      <c r="BH248" s="21">
        <f>BE248*40.34</f>
        <v/>
      </c>
    </row>
    <row r="249">
      <c r="A249" s="10" t="n">
        <v>45871</v>
      </c>
      <c r="B249" s="11" t="n">
        <v>8441327240</v>
      </c>
      <c r="C249" s="11" t="n"/>
      <c r="D249" s="11" t="n">
        <v>209546090</v>
      </c>
      <c r="E249" s="11" t="n"/>
      <c r="N249" s="12" t="n">
        <v>2659549</v>
      </c>
      <c r="O249" s="11" t="n"/>
      <c r="P249" s="12" t="n">
        <v>114760</v>
      </c>
      <c r="Q249" s="11" t="n"/>
      <c r="R249" s="21">
        <f>N249+O249+P249+N(Q249)</f>
        <v/>
      </c>
      <c r="S249" s="13" t="n">
        <v>0.03</v>
      </c>
      <c r="T249" s="21">
        <f>N(AC249)*S249</f>
        <v/>
      </c>
      <c r="U249" s="21">
        <f>N(AD249)*S249</f>
        <v/>
      </c>
      <c r="V249" s="21">
        <f>N(AE249)*S249</f>
        <v/>
      </c>
      <c r="W249" s="21">
        <f>IF(Q249="","",N(AF249)*S249)</f>
        <v/>
      </c>
      <c r="X249" s="12" t="n">
        <v>24075</v>
      </c>
      <c r="Y249" s="11" t="n"/>
      <c r="Z249" s="11" t="n"/>
      <c r="AA249" s="21">
        <f>T249+U249+V249+N(W249)+X249+Y249+N(Z249)</f>
        <v/>
      </c>
      <c r="AB249" s="11" t="n"/>
      <c r="AC249" s="12" t="n">
        <v>2222476</v>
      </c>
      <c r="AD249" s="21">
        <f>O249-Y249</f>
        <v/>
      </c>
      <c r="AE249" s="21">
        <f>P249-X249</f>
        <v/>
      </c>
      <c r="AF249" s="21">
        <f>IF(Q249="","",Q249-Z249)</f>
        <v/>
      </c>
      <c r="AG249" s="22">
        <f>AC249+AD249+AE249+N(AF249)</f>
        <v/>
      </c>
      <c r="AH249" s="11" t="n">
        <v>2317465.07313</v>
      </c>
      <c r="AI249" s="24">
        <f>AG249-AH249</f>
        <v/>
      </c>
      <c r="AJ249" s="14">
        <f>IF(OR(B249="",B249=0,N249=""),"",N249/B249*10000)</f>
        <v/>
      </c>
      <c r="AK249" s="14">
        <f>IF(OR(C249="",C249=0),"",O249/C249*10000)</f>
        <v/>
      </c>
      <c r="AL249" s="14">
        <f>IF(OR(D249="",D249=0),"",P249/D249*10000)</f>
        <v/>
      </c>
      <c r="AM249" s="14">
        <f>IF(OR(E249="",E249=0),"",Q249/E249*10000)</f>
        <v/>
      </c>
      <c r="AN249" s="11" t="n">
        <v>14020.20642849903</v>
      </c>
      <c r="AO249" s="11" t="n">
        <v>0</v>
      </c>
      <c r="AP249" s="21">
        <f>AH249+AN249+AO249</f>
        <v/>
      </c>
      <c r="AQ249" s="21">
        <f>AH249</f>
        <v/>
      </c>
      <c r="AR249" s="15" t="n">
        <v>62168.17</v>
      </c>
      <c r="AS249" s="27" t="n">
        <v>37.27735709656565</v>
      </c>
      <c r="AT249" s="15" t="n">
        <v>27747374.36</v>
      </c>
      <c r="AU249" s="15" t="n">
        <v>26277.6015</v>
      </c>
      <c r="AV249" s="15" t="n">
        <v>1602.8112</v>
      </c>
      <c r="AW249" s="15" t="n"/>
      <c r="AX249" s="16" t="n">
        <v>430.987116318077</v>
      </c>
      <c r="AY249" s="13">
        <f>IF(OR(AX249="",AX249=0,AU249=""),"",AU249*365/(AX249*1000000))</f>
        <v/>
      </c>
      <c r="AZ249" s="15" t="n">
        <v>422382651.1574</v>
      </c>
      <c r="BA249" s="17" t="n">
        <v>60487233</v>
      </c>
      <c r="BB249" s="18" t="n">
        <v>27747374.36</v>
      </c>
      <c r="BC249" s="17" t="n">
        <v>2971663</v>
      </c>
      <c r="BD249" s="17">
        <f>1000000000-999653055.4526+61105.5582</f>
        <v/>
      </c>
      <c r="BE249" s="19">
        <f>1000000000-AZ249-BA249-BB249-BC249-BD249</f>
        <v/>
      </c>
      <c r="BF249" s="20" t="n">
        <v>238</v>
      </c>
      <c r="BG249" s="20">
        <f>BE249/1000000-BF249</f>
        <v/>
      </c>
      <c r="BH249" s="21">
        <f>BE249*37.6</f>
        <v/>
      </c>
    </row>
    <row r="250">
      <c r="A250" s="10" t="n">
        <v>45872</v>
      </c>
      <c r="B250" s="11" t="n">
        <v>5841208709</v>
      </c>
      <c r="C250" s="11" t="n"/>
      <c r="D250" s="11" t="n">
        <v>261203947</v>
      </c>
      <c r="E250" s="11" t="n"/>
      <c r="N250" s="12" t="n">
        <v>1932558</v>
      </c>
      <c r="O250" s="11" t="n"/>
      <c r="P250" s="12" t="n">
        <v>90506</v>
      </c>
      <c r="Q250" s="11" t="n"/>
      <c r="R250" s="21">
        <f>N250+O250+P250+N(Q250)</f>
        <v/>
      </c>
      <c r="S250" s="13" t="n">
        <v>0.03</v>
      </c>
      <c r="T250" s="21">
        <f>N(AC250)*S250</f>
        <v/>
      </c>
      <c r="U250" s="21">
        <f>N(AD250)*S250</f>
        <v/>
      </c>
      <c r="V250" s="21">
        <f>N(AE250)*S250</f>
        <v/>
      </c>
      <c r="W250" s="21">
        <f>IF(Q250="","",N(AF250)*S250)</f>
        <v/>
      </c>
      <c r="X250" s="12" t="n">
        <v>21534</v>
      </c>
      <c r="Y250" s="11" t="n"/>
      <c r="Z250" s="11" t="n"/>
      <c r="AA250" s="21">
        <f>T250+U250+V250+N(W250)+X250+Y250+N(Z250)</f>
        <v/>
      </c>
      <c r="AB250" s="11" t="n"/>
      <c r="AC250" s="12" t="n">
        <v>1589514</v>
      </c>
      <c r="AD250" s="21">
        <f>O250-Y250</f>
        <v/>
      </c>
      <c r="AE250" s="21">
        <f>P250-X250</f>
        <v/>
      </c>
      <c r="AF250" s="21">
        <f>IF(Q250="","",Q250-Z250)</f>
        <v/>
      </c>
      <c r="AG250" s="22">
        <f>AC250+AD250+AE250+N(AF250)</f>
        <v/>
      </c>
      <c r="AH250" s="11" t="n">
        <v>1580317.95475</v>
      </c>
      <c r="AI250" s="24">
        <f>AG250-AH250</f>
        <v/>
      </c>
      <c r="AJ250" s="14">
        <f>IF(OR(B250="",B250=0,N250=""),"",N250/B250*10000)</f>
        <v/>
      </c>
      <c r="AK250" s="14">
        <f>IF(OR(C250="",C250=0),"",O250/C250*10000)</f>
        <v/>
      </c>
      <c r="AL250" s="14">
        <f>IF(OR(D250="",D250=0),"",P250/D250*10000)</f>
        <v/>
      </c>
      <c r="AM250" s="14">
        <f>IF(OR(E250="",E250=0),"",Q250/E250*10000)</f>
        <v/>
      </c>
      <c r="AN250" s="11" t="n">
        <v>10035.7450083736</v>
      </c>
      <c r="AO250" s="11" t="n">
        <v>0</v>
      </c>
      <c r="AP250" s="21">
        <f>AH250+AN250+AO250</f>
        <v/>
      </c>
      <c r="AQ250" s="21">
        <f>AH250</f>
        <v/>
      </c>
      <c r="AR250" s="15" t="n">
        <v>41619.99</v>
      </c>
      <c r="AS250" s="27" t="n">
        <v>37.97016661344705</v>
      </c>
      <c r="AT250" s="15" t="n">
        <v>27805030.63</v>
      </c>
      <c r="AU250" s="15" t="n">
        <v>26043.8984</v>
      </c>
      <c r="AV250" s="15" t="n">
        <v>723.8625</v>
      </c>
      <c r="AW250" s="15" t="n"/>
      <c r="AX250" s="16" t="n">
        <v>430.614126653241</v>
      </c>
      <c r="AY250" s="13">
        <f>IF(OR(AX250="",AX250=0,AU250=""),"",AU250*365/(AX250*1000000))</f>
        <v/>
      </c>
      <c r="AZ250" s="15" t="n">
        <v>422356607.259</v>
      </c>
      <c r="BA250" s="17" t="n">
        <v>60487233</v>
      </c>
      <c r="BB250" s="18" t="n">
        <v>27805030.63</v>
      </c>
      <c r="BC250" s="17" t="n">
        <v>2971663</v>
      </c>
      <c r="BD250" s="17">
        <f>1000000000-999652331.5901+61379.5119</f>
        <v/>
      </c>
      <c r="BE250" s="19">
        <f>1000000000-AZ250-BA250-BB250-BC250-BD250</f>
        <v/>
      </c>
      <c r="BF250" s="20" t="n">
        <v>238</v>
      </c>
      <c r="BG250" s="20">
        <f>BE250/1000000-BF250</f>
        <v/>
      </c>
      <c r="BH250" s="21">
        <f>BE250*36.91</f>
        <v/>
      </c>
    </row>
    <row r="251">
      <c r="A251" s="10" t="n">
        <v>45873</v>
      </c>
      <c r="B251" s="11" t="n">
        <v>9314089951</v>
      </c>
      <c r="C251" s="11" t="n"/>
      <c r="D251" s="11" t="n">
        <v>291833982</v>
      </c>
      <c r="E251" s="11" t="n"/>
      <c r="N251" s="12" t="n">
        <v>2964314</v>
      </c>
      <c r="O251" s="11" t="n"/>
      <c r="P251" s="12" t="n">
        <v>106473</v>
      </c>
      <c r="Q251" s="11" t="n"/>
      <c r="R251" s="21">
        <f>N251+O251+P251+N(Q251)</f>
        <v/>
      </c>
      <c r="S251" s="13" t="n">
        <v>0.03</v>
      </c>
      <c r="T251" s="21">
        <f>N(AC251)*S251</f>
        <v/>
      </c>
      <c r="U251" s="21">
        <f>N(AD251)*S251</f>
        <v/>
      </c>
      <c r="V251" s="21">
        <f>N(AE251)*S251</f>
        <v/>
      </c>
      <c r="W251" s="21">
        <f>IF(Q251="","",N(AF251)*S251)</f>
        <v/>
      </c>
      <c r="X251" s="12" t="n">
        <v>32097</v>
      </c>
      <c r="Y251" s="11" t="n"/>
      <c r="Z251" s="11" t="n"/>
      <c r="AA251" s="21">
        <f>T251+U251+V251+N(W251)+X251+Y251+N(Z251)</f>
        <v/>
      </c>
      <c r="AB251" s="11" t="n"/>
      <c r="AC251" s="12" t="n">
        <v>2452283</v>
      </c>
      <c r="AD251" s="21">
        <f>O251-Y251</f>
        <v/>
      </c>
      <c r="AE251" s="21">
        <f>P251-X251</f>
        <v/>
      </c>
      <c r="AF251" s="21">
        <f>IF(Q251="","",Q251-Z251)</f>
        <v/>
      </c>
      <c r="AG251" s="22">
        <f>AC251+AD251+AE251+N(AF251)</f>
        <v/>
      </c>
      <c r="AH251" s="11" t="n">
        <v>2447194.85482</v>
      </c>
      <c r="AI251" s="24">
        <f>AG251-AH251</f>
        <v/>
      </c>
      <c r="AJ251" s="14">
        <f>IF(OR(B251="",B251=0,N251=""),"",N251/B251*10000)</f>
        <v/>
      </c>
      <c r="AK251" s="14">
        <f>IF(OR(C251="",C251=0),"",O251/C251*10000)</f>
        <v/>
      </c>
      <c r="AL251" s="14">
        <f>IF(OR(D251="",D251=0),"",P251/D251*10000)</f>
        <v/>
      </c>
      <c r="AM251" s="14">
        <f>IF(OR(E251="",E251=0),"",Q251/E251*10000)</f>
        <v/>
      </c>
      <c r="AN251" s="11" t="n">
        <v>27129.21538327851</v>
      </c>
      <c r="AO251" s="11" t="n">
        <v>19100.41</v>
      </c>
      <c r="AP251" s="21">
        <f>AH251+AN251+AO251</f>
        <v/>
      </c>
      <c r="AQ251" s="21">
        <f>AH251</f>
        <v/>
      </c>
      <c r="AR251" s="15" t="n">
        <v>63755.37</v>
      </c>
      <c r="AS251" s="27" t="n">
        <v>38.38413697261893</v>
      </c>
      <c r="AT251" s="15" t="n">
        <v>27844267.3</v>
      </c>
      <c r="AU251" s="15" t="n">
        <v>26395.5924</v>
      </c>
      <c r="AV251" s="15" t="n">
        <v>552.175</v>
      </c>
      <c r="AW251" s="15" t="n"/>
      <c r="AX251" s="16" t="n">
        <v>429.9019669071297</v>
      </c>
      <c r="AY251" s="13">
        <f>IF(OR(AX251="",AX251=0,AU251=""),"",AU251*365/(AX251*1000000))</f>
        <v/>
      </c>
      <c r="AZ251" s="15" t="n">
        <v>422330211.6666</v>
      </c>
      <c r="BA251" s="17" t="n">
        <v>60487233</v>
      </c>
      <c r="BB251" s="18" t="n">
        <v>27844267.3</v>
      </c>
      <c r="BC251" s="17" t="n">
        <v>2971663</v>
      </c>
      <c r="BD251" s="17">
        <f>1000000000-999651779.4151+62086.7385</f>
        <v/>
      </c>
      <c r="BE251" s="19">
        <f>1000000000-AZ251-BA251-BB251-BC251-BD251</f>
        <v/>
      </c>
      <c r="BF251" s="20" t="n">
        <v>238</v>
      </c>
      <c r="BG251" s="20">
        <f>BE251/1000000-BF251</f>
        <v/>
      </c>
      <c r="BH251" s="21">
        <f>BE251*38.11</f>
        <v/>
      </c>
    </row>
    <row r="252">
      <c r="A252" s="10" t="n">
        <v>45874</v>
      </c>
      <c r="B252" s="11" t="n">
        <v>9775208827</v>
      </c>
      <c r="C252" s="11" t="n"/>
      <c r="D252" s="11" t="n">
        <v>218660207</v>
      </c>
      <c r="E252" s="11" t="n"/>
      <c r="N252" s="12" t="n">
        <v>3247692</v>
      </c>
      <c r="O252" s="11" t="n"/>
      <c r="P252" s="12" t="n">
        <v>121622</v>
      </c>
      <c r="Q252" s="11" t="n"/>
      <c r="R252" s="21">
        <f>N252+O252+P252+N(Q252)</f>
        <v/>
      </c>
      <c r="S252" s="13" t="n">
        <v>0.03</v>
      </c>
      <c r="T252" s="21">
        <f>N(AC252)*S252</f>
        <v/>
      </c>
      <c r="U252" s="21">
        <f>N(AD252)*S252</f>
        <v/>
      </c>
      <c r="V252" s="21">
        <f>N(AE252)*S252</f>
        <v/>
      </c>
      <c r="W252" s="21">
        <f>IF(Q252="","",N(AF252)*S252)</f>
        <v/>
      </c>
      <c r="X252" s="12" t="n">
        <v>31749</v>
      </c>
      <c r="Y252" s="11" t="n"/>
      <c r="Z252" s="11" t="n"/>
      <c r="AA252" s="21">
        <f>T252+U252+V252+N(W252)+X252+Y252+N(Z252)</f>
        <v/>
      </c>
      <c r="AB252" s="11" t="n"/>
      <c r="AC252" s="12" t="n">
        <v>2702169</v>
      </c>
      <c r="AD252" s="21">
        <f>O252-Y252</f>
        <v/>
      </c>
      <c r="AE252" s="21">
        <f>P252-X252</f>
        <v/>
      </c>
      <c r="AF252" s="21">
        <f>IF(Q252="","",Q252-Z252)</f>
        <v/>
      </c>
      <c r="AG252" s="22">
        <f>AC252+AD252+AE252+N(AF252)</f>
        <v/>
      </c>
      <c r="AH252" s="11" t="n">
        <v>2546392.65031</v>
      </c>
      <c r="AI252" s="24">
        <f>AG252-AH252</f>
        <v/>
      </c>
      <c r="AJ252" s="14">
        <f>IF(OR(B252="",B252=0,N252=""),"",N252/B252*10000)</f>
        <v/>
      </c>
      <c r="AK252" s="14">
        <f>IF(OR(C252="",C252=0),"",O252/C252*10000)</f>
        <v/>
      </c>
      <c r="AL252" s="14">
        <f>IF(OR(D252="",D252=0),"",P252/D252*10000)</f>
        <v/>
      </c>
      <c r="AM252" s="14">
        <f>IF(OR(E252="",E252=0),"",Q252/E252*10000)</f>
        <v/>
      </c>
      <c r="AN252" s="11" t="n">
        <v>17386.94442128533</v>
      </c>
      <c r="AO252" s="11" t="n">
        <v>0</v>
      </c>
      <c r="AP252" s="21">
        <f>AH252+AN252+AO252</f>
        <v/>
      </c>
      <c r="AQ252" s="21">
        <f>AH252</f>
        <v/>
      </c>
      <c r="AR252" s="15" t="n">
        <v>65794.39</v>
      </c>
      <c r="AS252" s="27" t="n">
        <v>38.70227614102053</v>
      </c>
      <c r="AT252" s="15" t="n">
        <v>27913180.98</v>
      </c>
      <c r="AU252" s="15" t="n">
        <v>26389.5639</v>
      </c>
      <c r="AV252" s="15" t="n">
        <v>1060.8068</v>
      </c>
      <c r="AW252" s="15" t="n"/>
      <c r="AX252" s="16" t="n">
        <v>429.8298380414504</v>
      </c>
      <c r="AY252" s="13">
        <f>IF(OR(AX252="",AX252=0,AU252=""),"",AU252*365/(AX252*1000000))</f>
        <v/>
      </c>
      <c r="AZ252" s="15" t="n">
        <v>422303822.1027</v>
      </c>
      <c r="BA252" s="17" t="n">
        <v>60487233</v>
      </c>
      <c r="BB252" s="18" t="n">
        <v>27913180.98</v>
      </c>
      <c r="BC252" s="17" t="n">
        <v>2971663</v>
      </c>
      <c r="BD252" s="17">
        <f>1000000000-999650718.6083+62536.3273</f>
        <v/>
      </c>
      <c r="BE252" s="19">
        <f>1000000000-AZ252-BA252-BB252-BC252-BD252</f>
        <v/>
      </c>
      <c r="BF252" s="20" t="n">
        <v>238</v>
      </c>
      <c r="BG252" s="20">
        <f>BE252/1000000-BF252</f>
        <v/>
      </c>
      <c r="BH252" s="21">
        <f>BE252*38.66</f>
        <v/>
      </c>
    </row>
    <row r="253">
      <c r="A253" s="10" t="n">
        <v>45875</v>
      </c>
      <c r="B253" s="11" t="n">
        <v>7858359163</v>
      </c>
      <c r="C253" s="11" t="n"/>
      <c r="D253" s="11" t="n">
        <v>273927932</v>
      </c>
      <c r="E253" s="11" t="n"/>
      <c r="N253" s="12" t="n">
        <v>2423595</v>
      </c>
      <c r="O253" s="11" t="n"/>
      <c r="P253" s="12" t="n">
        <v>97146</v>
      </c>
      <c r="Q253" s="11" t="n"/>
      <c r="R253" s="21">
        <f>N253+O253+P253+N(Q253)</f>
        <v/>
      </c>
      <c r="S253" s="13" t="n">
        <v>0.03</v>
      </c>
      <c r="T253" s="21">
        <f>N(AC253)*S253</f>
        <v/>
      </c>
      <c r="U253" s="21">
        <f>N(AD253)*S253</f>
        <v/>
      </c>
      <c r="V253" s="21">
        <f>N(AE253)*S253</f>
        <v/>
      </c>
      <c r="W253" s="21">
        <f>IF(Q253="","",N(AF253)*S253)</f>
        <v/>
      </c>
      <c r="X253" s="12" t="n">
        <v>25830</v>
      </c>
      <c r="Y253" s="11" t="n"/>
      <c r="Z253" s="11" t="n"/>
      <c r="AA253" s="21">
        <f>T253+U253+V253+N(W253)+X253+Y253+N(Z253)</f>
        <v/>
      </c>
      <c r="AB253" s="11" t="n"/>
      <c r="AC253" s="12" t="n">
        <v>2009312</v>
      </c>
      <c r="AD253" s="21">
        <f>O253-Y253</f>
        <v/>
      </c>
      <c r="AE253" s="21">
        <f>P253-X253</f>
        <v/>
      </c>
      <c r="AF253" s="21">
        <f>IF(Q253="","",Q253-Z253)</f>
        <v/>
      </c>
      <c r="AG253" s="22">
        <f>AC253+AD253+AE253+N(AF253)</f>
        <v/>
      </c>
      <c r="AH253" s="11" t="n">
        <v>2103705.59875</v>
      </c>
      <c r="AI253" s="24">
        <f>AG253-AH253</f>
        <v/>
      </c>
      <c r="AJ253" s="14">
        <f>IF(OR(B253="",B253=0,N253=""),"",N253/B253*10000)</f>
        <v/>
      </c>
      <c r="AK253" s="14">
        <f>IF(OR(C253="",C253=0),"",O253/C253*10000)</f>
        <v/>
      </c>
      <c r="AL253" s="14">
        <f>IF(OR(D253="",D253=0),"",P253/D253*10000)</f>
        <v/>
      </c>
      <c r="AM253" s="14">
        <f>IF(OR(E253="",E253=0),"",Q253/E253*10000)</f>
        <v/>
      </c>
      <c r="AN253" s="11" t="n">
        <v>12721.08790941294</v>
      </c>
      <c r="AO253" s="11" t="n">
        <v>19574.69</v>
      </c>
      <c r="AP253" s="21">
        <f>AH253+AN253+AO253</f>
        <v/>
      </c>
      <c r="AQ253" s="21">
        <f>AH253</f>
        <v/>
      </c>
      <c r="AR253" s="15" t="n">
        <v>55381.01</v>
      </c>
      <c r="AS253" s="27" t="n">
        <v>37.98604609684799</v>
      </c>
      <c r="AT253" s="15" t="n">
        <v>27977594.07</v>
      </c>
      <c r="AU253" s="15" t="n">
        <v>26366.1775</v>
      </c>
      <c r="AV253" s="15" t="n">
        <v>684.0744999999999</v>
      </c>
      <c r="AW253" s="15" t="n"/>
      <c r="AX253" s="16" t="n">
        <v>429.6038252341934</v>
      </c>
      <c r="AY253" s="13">
        <f>IF(OR(AX253="",AX253=0,AU253=""),"",AU253*365/(AX253*1000000))</f>
        <v/>
      </c>
      <c r="AZ253" s="15" t="n">
        <v>422277455.9252</v>
      </c>
      <c r="BA253" s="17" t="n">
        <v>60487233</v>
      </c>
      <c r="BB253" s="18" t="n">
        <v>27977594.07</v>
      </c>
      <c r="BC253" s="17" t="n">
        <v>2971663</v>
      </c>
      <c r="BD253" s="17">
        <f>1000000000-999650034.5339+62867.6919</f>
        <v/>
      </c>
      <c r="BE253" s="19">
        <f>1000000000-AZ253-BA253-BB253-BC253-BD253</f>
        <v/>
      </c>
      <c r="BF253" s="20" t="n">
        <v>238</v>
      </c>
      <c r="BG253" s="20">
        <f>BE253/1000000-BF253</f>
        <v/>
      </c>
      <c r="BH253" s="21">
        <f>BE253*38.37</f>
        <v/>
      </c>
    </row>
    <row r="254">
      <c r="A254" s="10" t="n">
        <v>45876</v>
      </c>
      <c r="B254" s="11" t="n">
        <v>10373151278</v>
      </c>
      <c r="C254" s="11" t="n"/>
      <c r="D254" s="11" t="n">
        <v>280145101</v>
      </c>
      <c r="E254" s="11" t="n"/>
      <c r="N254" s="12" t="n">
        <v>3413306</v>
      </c>
      <c r="O254" s="11" t="n"/>
      <c r="P254" s="12" t="n">
        <v>115340</v>
      </c>
      <c r="Q254" s="11" t="n"/>
      <c r="R254" s="21">
        <f>N254+O254+P254+N(Q254)</f>
        <v/>
      </c>
      <c r="S254" s="13" t="n">
        <v>0.03</v>
      </c>
      <c r="T254" s="21">
        <f>N(AC254)*S254</f>
        <v/>
      </c>
      <c r="U254" s="21">
        <f>N(AD254)*S254</f>
        <v/>
      </c>
      <c r="V254" s="21">
        <f>N(AE254)*S254</f>
        <v/>
      </c>
      <c r="W254" s="21">
        <f>IF(Q254="","",N(AF254)*S254)</f>
        <v/>
      </c>
      <c r="X254" s="12" t="n">
        <v>33317</v>
      </c>
      <c r="Y254" s="11" t="n"/>
      <c r="Z254" s="11" t="n"/>
      <c r="AA254" s="21">
        <f>T254+U254+V254+N(W254)+X254+Y254+N(Z254)</f>
        <v/>
      </c>
      <c r="AB254" s="11" t="n"/>
      <c r="AC254" s="12" t="n">
        <v>2856270</v>
      </c>
      <c r="AD254" s="21">
        <f>O254-Y254</f>
        <v/>
      </c>
      <c r="AE254" s="21">
        <f>P254-X254</f>
        <v/>
      </c>
      <c r="AF254" s="21">
        <f>IF(Q254="","",Q254-Z254)</f>
        <v/>
      </c>
      <c r="AG254" s="22">
        <f>AC254+AD254+AE254+N(AF254)</f>
        <v/>
      </c>
      <c r="AH254" s="11" t="n">
        <v>2329278.74838</v>
      </c>
      <c r="AI254" s="24">
        <f>AG254-AH254</f>
        <v/>
      </c>
      <c r="AJ254" s="14">
        <f>IF(OR(B254="",B254=0,N254=""),"",N254/B254*10000)</f>
        <v/>
      </c>
      <c r="AK254" s="14">
        <f>IF(OR(C254="",C254=0),"",O254/C254*10000)</f>
        <v/>
      </c>
      <c r="AL254" s="14">
        <f>IF(OR(D254="",D254=0),"",P254/D254*10000)</f>
        <v/>
      </c>
      <c r="AM254" s="14">
        <f>IF(OR(E254="",E254=0),"",Q254/E254*10000)</f>
        <v/>
      </c>
      <c r="AN254" s="11" t="n">
        <v>13071.87321151455</v>
      </c>
      <c r="AO254" s="11" t="n">
        <v>19026.88</v>
      </c>
      <c r="AP254" s="21">
        <f>AH254+AN254+AO254</f>
        <v/>
      </c>
      <c r="AQ254" s="21">
        <f>AH254</f>
        <v/>
      </c>
      <c r="AR254" s="15" t="n">
        <v>59747.11</v>
      </c>
      <c r="AS254" s="27" t="n">
        <v>38.98563040756282</v>
      </c>
      <c r="AT254" s="15" t="n">
        <v>28025314.57</v>
      </c>
      <c r="AU254" s="15" t="n">
        <v>26362.4824</v>
      </c>
      <c r="AV254" s="15" t="n">
        <v>952.0636</v>
      </c>
      <c r="AW254" s="15" t="n"/>
      <c r="AX254" s="16" t="n">
        <v>429.7060412108635</v>
      </c>
      <c r="AY254" s="13">
        <f>IF(OR(AX254="",AX254=0,AU254=""),"",AU254*365/(AX254*1000000))</f>
        <v/>
      </c>
      <c r="AZ254" s="15" t="n">
        <v>422251093.4428</v>
      </c>
      <c r="BA254" s="17" t="n">
        <v>60487233</v>
      </c>
      <c r="BB254" s="18" t="n">
        <v>28025314.57</v>
      </c>
      <c r="BC254" s="17" t="n">
        <v>2971663</v>
      </c>
      <c r="BD254" s="17">
        <f>1000000000-999649082.4703+63211.0921</f>
        <v/>
      </c>
      <c r="BE254" s="19">
        <f>1000000000-AZ254-BA254-BB254-BC254-BD254</f>
        <v/>
      </c>
      <c r="BF254" s="20" t="n">
        <v>238</v>
      </c>
      <c r="BG254" s="20">
        <f>BE254/1000000-BF254</f>
        <v/>
      </c>
      <c r="BH254" s="21">
        <f>BE254*38.03</f>
        <v/>
      </c>
    </row>
    <row r="255">
      <c r="A255" s="10" t="n">
        <v>45877</v>
      </c>
      <c r="B255" s="11" t="n">
        <v>11308035797</v>
      </c>
      <c r="C255" s="11" t="n"/>
      <c r="D255" s="11" t="n">
        <v>343946145</v>
      </c>
      <c r="E255" s="11" t="n"/>
      <c r="N255" s="12" t="n">
        <v>3546602</v>
      </c>
      <c r="O255" s="11" t="n"/>
      <c r="P255" s="12" t="n">
        <v>116628</v>
      </c>
      <c r="Q255" s="11" t="n"/>
      <c r="R255" s="21">
        <f>N255+O255+P255+N(Q255)</f>
        <v/>
      </c>
      <c r="S255" s="13" t="n">
        <v>0.03</v>
      </c>
      <c r="T255" s="21">
        <f>N(AC255)*S255</f>
        <v/>
      </c>
      <c r="U255" s="21">
        <f>N(AD255)*S255</f>
        <v/>
      </c>
      <c r="V255" s="21">
        <f>N(AE255)*S255</f>
        <v/>
      </c>
      <c r="W255" s="21">
        <f>IF(Q255="","",N(AF255)*S255)</f>
        <v/>
      </c>
      <c r="X255" s="12" t="n">
        <v>35798</v>
      </c>
      <c r="Y255" s="11" t="n"/>
      <c r="Z255" s="11" t="n"/>
      <c r="AA255" s="21">
        <f>T255+U255+V255+N(W255)+X255+Y255+N(Z255)</f>
        <v/>
      </c>
      <c r="AB255" s="11" t="n"/>
      <c r="AC255" s="12" t="n">
        <v>2948988</v>
      </c>
      <c r="AD255" s="21">
        <f>O255-Y255</f>
        <v/>
      </c>
      <c r="AE255" s="21">
        <f>P255-X255</f>
        <v/>
      </c>
      <c r="AF255" s="21">
        <f>IF(Q255="","",Q255-Z255)</f>
        <v/>
      </c>
      <c r="AG255" s="22">
        <f>AC255+AD255+AE255+N(AF255)</f>
        <v/>
      </c>
      <c r="AH255" s="11" t="n">
        <v>3491806.81434</v>
      </c>
      <c r="AI255" s="24">
        <f>AG255-AH255</f>
        <v/>
      </c>
      <c r="AJ255" s="14">
        <f>IF(OR(B255="",B255=0,N255=""),"",N255/B255*10000)</f>
        <v/>
      </c>
      <c r="AK255" s="14">
        <f>IF(OR(C255="",C255=0),"",O255/C255*10000)</f>
        <v/>
      </c>
      <c r="AL255" s="14">
        <f>IF(OR(D255="",D255=0),"",P255/D255*10000)</f>
        <v/>
      </c>
      <c r="AM255" s="14">
        <f>IF(OR(E255="",E255=0),"",Q255/E255*10000)</f>
        <v/>
      </c>
      <c r="AN255" s="11" t="n">
        <v>11956.39401788876</v>
      </c>
      <c r="AO255" s="11" t="n">
        <v>0</v>
      </c>
      <c r="AP255" s="21">
        <f>AH255+AN255+AO255</f>
        <v/>
      </c>
      <c r="AQ255" s="21">
        <f>AH255</f>
        <v/>
      </c>
      <c r="AR255" s="15" t="n">
        <v>85296.85000000001</v>
      </c>
      <c r="AS255" s="27" t="n">
        <v>40.93711332059742</v>
      </c>
      <c r="AT255" s="15" t="n">
        <v>28111519.57</v>
      </c>
      <c r="AU255" s="15" t="n">
        <v>26396.2943</v>
      </c>
      <c r="AV255" s="15" t="n">
        <v>1277.2851</v>
      </c>
      <c r="AW255" s="15" t="n"/>
      <c r="AX255" s="16" t="n">
        <v>429.8853867847909</v>
      </c>
      <c r="AY255" s="13">
        <f>IF(OR(AX255="",AX255=0,AU255=""),"",AU255*365/(AX255*1000000))</f>
        <v/>
      </c>
      <c r="AZ255" s="15" t="n">
        <v>422224697.1485</v>
      </c>
      <c r="BA255" s="17" t="n">
        <v>60487233</v>
      </c>
      <c r="BB255" s="18" t="n">
        <v>28111519.57</v>
      </c>
      <c r="BC255" s="17" t="n">
        <v>2971663</v>
      </c>
      <c r="BD255" s="17">
        <f>1000000000-999647805.1852+63505.1572</f>
        <v/>
      </c>
      <c r="BE255" s="19">
        <f>1000000000-AZ255-BA255-BB255-BC255-BD255</f>
        <v/>
      </c>
      <c r="BF255" s="20" t="n">
        <v>238</v>
      </c>
      <c r="BG255" s="20">
        <f>BE255/1000000-BF255</f>
        <v/>
      </c>
      <c r="BH255" s="21">
        <f>BE255*40.86</f>
        <v/>
      </c>
    </row>
    <row r="256">
      <c r="A256" s="10" t="n">
        <v>45878</v>
      </c>
      <c r="B256" s="11" t="n">
        <v>10137348600</v>
      </c>
      <c r="C256" s="11" t="n"/>
      <c r="D256" s="11" t="n">
        <v>244549176</v>
      </c>
      <c r="E256" s="11" t="n"/>
      <c r="N256" s="12" t="n">
        <v>3444570</v>
      </c>
      <c r="O256" s="11" t="n"/>
      <c r="P256" s="12" t="n">
        <v>148257</v>
      </c>
      <c r="Q256" s="11" t="n"/>
      <c r="R256" s="21">
        <f>N256+O256+P256+N(Q256)</f>
        <v/>
      </c>
      <c r="S256" s="13" t="n">
        <v>0.03</v>
      </c>
      <c r="T256" s="21">
        <f>N(AC256)*S256</f>
        <v/>
      </c>
      <c r="U256" s="21">
        <f>N(AD256)*S256</f>
        <v/>
      </c>
      <c r="V256" s="21">
        <f>N(AE256)*S256</f>
        <v/>
      </c>
      <c r="W256" s="21">
        <f>IF(Q256="","",N(AF256)*S256)</f>
        <v/>
      </c>
      <c r="X256" s="12" t="n">
        <v>44635</v>
      </c>
      <c r="Y256" s="11" t="n"/>
      <c r="Z256" s="11" t="n"/>
      <c r="AA256" s="21">
        <f>T256+U256+V256+N(W256)+X256+Y256+N(Z256)</f>
        <v/>
      </c>
      <c r="AB256" s="11" t="n"/>
      <c r="AC256" s="12" t="n">
        <v>2816480</v>
      </c>
      <c r="AD256" s="21">
        <f>O256-Y256</f>
        <v/>
      </c>
      <c r="AE256" s="21">
        <f>P256-X256</f>
        <v/>
      </c>
      <c r="AF256" s="21">
        <f>IF(Q256="","",Q256-Z256)</f>
        <v/>
      </c>
      <c r="AG256" s="22">
        <f>AC256+AD256+AE256+N(AF256)</f>
        <v/>
      </c>
      <c r="AH256" s="11" t="n">
        <v>2854886.42061</v>
      </c>
      <c r="AI256" s="24">
        <f>AG256-AH256</f>
        <v/>
      </c>
      <c r="AJ256" s="14">
        <f>IF(OR(B256="",B256=0,N256=""),"",N256/B256*10000)</f>
        <v/>
      </c>
      <c r="AK256" s="14">
        <f>IF(OR(C256="",C256=0),"",O256/C256*10000)</f>
        <v/>
      </c>
      <c r="AL256" s="14">
        <f>IF(OR(D256="",D256=0),"",P256/D256*10000)</f>
        <v/>
      </c>
      <c r="AM256" s="14">
        <f>IF(OR(E256="",E256=0),"",Q256/E256*10000)</f>
        <v/>
      </c>
      <c r="AN256" s="11" t="n">
        <v>14264.23914080894</v>
      </c>
      <c r="AO256" s="11" t="n">
        <v>24958.52</v>
      </c>
      <c r="AP256" s="21">
        <f>AH256+AN256+AO256</f>
        <v/>
      </c>
      <c r="AQ256" s="21">
        <f>AH256</f>
        <v/>
      </c>
      <c r="AR256" s="15" t="n">
        <v>66407.03</v>
      </c>
      <c r="AS256" s="27" t="n">
        <v>42.99072584047201</v>
      </c>
      <c r="AT256" s="15" t="n">
        <v>28221636.38</v>
      </c>
      <c r="AU256" s="15" t="n">
        <v>26363.757</v>
      </c>
      <c r="AV256" s="15" t="n">
        <v>584.8424</v>
      </c>
      <c r="AW256" s="15" t="n"/>
      <c r="AX256" s="16" t="n">
        <v>431.1324369625422</v>
      </c>
      <c r="AY256" s="13">
        <f>IF(OR(AX256="",AX256=0,AU256=""),"",AU256*365/(AX256*1000000))</f>
        <v/>
      </c>
      <c r="AZ256" s="15" t="n">
        <v>422198333.3915</v>
      </c>
      <c r="BA256" s="17" t="n">
        <v>60487233</v>
      </c>
      <c r="BB256" s="18" t="n">
        <v>28221636.38</v>
      </c>
      <c r="BC256" s="17" t="n">
        <v>2971663</v>
      </c>
      <c r="BD256" s="17">
        <f>1000000000-999647220.3428+63855.6386</f>
        <v/>
      </c>
      <c r="BE256" s="19">
        <f>1000000000-AZ256-BA256-BB256-BC256-BD256</f>
        <v/>
      </c>
      <c r="BF256" s="20" t="n">
        <v>238</v>
      </c>
      <c r="BG256" s="20">
        <f>BE256/1000000-BF256</f>
        <v/>
      </c>
      <c r="BH256" s="21">
        <f>BE256*40.94</f>
        <v/>
      </c>
    </row>
    <row r="257">
      <c r="A257" s="10" t="n">
        <v>45879</v>
      </c>
      <c r="B257" s="11" t="n">
        <v>9805998920</v>
      </c>
      <c r="C257" s="11" t="n"/>
      <c r="D257" s="11" t="n">
        <v>427606413</v>
      </c>
      <c r="E257" s="11" t="n"/>
      <c r="N257" s="12" t="n">
        <v>3161602</v>
      </c>
      <c r="O257" s="11" t="n"/>
      <c r="P257" s="12" t="n">
        <v>121824</v>
      </c>
      <c r="Q257" s="11" t="n"/>
      <c r="R257" s="21">
        <f>N257+O257+P257+N(Q257)</f>
        <v/>
      </c>
      <c r="S257" s="13" t="n">
        <v>0.03</v>
      </c>
      <c r="T257" s="21">
        <f>N(AC257)*S257</f>
        <v/>
      </c>
      <c r="U257" s="21">
        <f>N(AD257)*S257</f>
        <v/>
      </c>
      <c r="V257" s="21">
        <f>N(AE257)*S257</f>
        <v/>
      </c>
      <c r="W257" s="21">
        <f>IF(Q257="","",N(AF257)*S257)</f>
        <v/>
      </c>
      <c r="X257" s="12" t="n">
        <v>34707</v>
      </c>
      <c r="Y257" s="11" t="n"/>
      <c r="Z257" s="11" t="n"/>
      <c r="AA257" s="21">
        <f>T257+U257+V257+N(W257)+X257+Y257+N(Z257)</f>
        <v/>
      </c>
      <c r="AB257" s="11" t="n"/>
      <c r="AC257" s="12" t="n">
        <v>2537137</v>
      </c>
      <c r="AD257" s="21">
        <f>O257-Y257</f>
        <v/>
      </c>
      <c r="AE257" s="21">
        <f>P257-X257</f>
        <v/>
      </c>
      <c r="AF257" s="21">
        <f>IF(Q257="","",Q257-Z257)</f>
        <v/>
      </c>
      <c r="AG257" s="22">
        <f>AC257+AD257+AE257+N(AF257)</f>
        <v/>
      </c>
      <c r="AH257" s="11" t="n">
        <v>2616564.70131</v>
      </c>
      <c r="AI257" s="24">
        <f>AG257-AH257</f>
        <v/>
      </c>
      <c r="AJ257" s="14">
        <f>IF(OR(B257="",B257=0,N257=""),"",N257/B257*10000)</f>
        <v/>
      </c>
      <c r="AK257" s="14">
        <f>IF(OR(C257="",C257=0),"",O257/C257*10000)</f>
        <v/>
      </c>
      <c r="AL257" s="14">
        <f>IF(OR(D257="",D257=0),"",P257/D257*10000)</f>
        <v/>
      </c>
      <c r="AM257" s="14">
        <f>IF(OR(E257="",E257=0),"",Q257/E257*10000)</f>
        <v/>
      </c>
      <c r="AN257" s="11" t="n">
        <v>8521.677875704805</v>
      </c>
      <c r="AO257" s="11" t="n">
        <v>0</v>
      </c>
      <c r="AP257" s="21">
        <f>AH257+AN257+AO257</f>
        <v/>
      </c>
      <c r="AQ257" s="21">
        <f>AH257</f>
        <v/>
      </c>
      <c r="AR257" s="15" t="n">
        <v>59071.34</v>
      </c>
      <c r="AS257" s="27" t="n">
        <v>44.2949948538496</v>
      </c>
      <c r="AT257" s="15" t="n">
        <v>28288043.41</v>
      </c>
      <c r="AU257" s="15" t="n">
        <v>26141.3602</v>
      </c>
      <c r="AV257" s="15" t="n">
        <v>1317.9291</v>
      </c>
      <c r="AW257" s="15" t="n"/>
      <c r="AX257" s="16" t="n">
        <v>431.5968139322616</v>
      </c>
      <c r="AY257" s="13">
        <f>IF(OR(AX257="",AX257=0,AU257=""),"",AU257*365/(AX257*1000000))</f>
        <v/>
      </c>
      <c r="AZ257" s="15" t="n">
        <v>422172192.0313</v>
      </c>
      <c r="BA257" s="17" t="n">
        <v>60487233</v>
      </c>
      <c r="BB257" s="18" t="n">
        <v>28288043.41</v>
      </c>
      <c r="BC257" s="17" t="n">
        <v>2971663</v>
      </c>
      <c r="BD257" s="17">
        <f>1000000000-999645902.4138+64049.9756</f>
        <v/>
      </c>
      <c r="BE257" s="19">
        <f>1000000000-AZ257-BA257-BB257-BC257-BD257</f>
        <v/>
      </c>
      <c r="BF257" s="20" t="n">
        <v>238</v>
      </c>
      <c r="BG257" s="20">
        <f>BE257/1000000-BF257</f>
        <v/>
      </c>
      <c r="BH257" s="21">
        <f>BE257*43.81</f>
        <v/>
      </c>
    </row>
    <row r="258">
      <c r="A258" s="10" t="n">
        <v>45880</v>
      </c>
      <c r="B258" s="11" t="n">
        <v>16607625784</v>
      </c>
      <c r="C258" s="11" t="n"/>
      <c r="D258" s="11" t="n">
        <v>451736527</v>
      </c>
      <c r="E258" s="11" t="n"/>
      <c r="N258" s="12" t="n">
        <v>5447443</v>
      </c>
      <c r="O258" s="11" t="n"/>
      <c r="P258" s="12" t="n">
        <v>199959</v>
      </c>
      <c r="Q258" s="11" t="n"/>
      <c r="R258" s="21">
        <f>N258+O258+P258+N(Q258)</f>
        <v/>
      </c>
      <c r="S258" s="13" t="n">
        <v>0.03</v>
      </c>
      <c r="T258" s="21">
        <f>N(AC258)*S258</f>
        <v/>
      </c>
      <c r="U258" s="21">
        <f>N(AD258)*S258</f>
        <v/>
      </c>
      <c r="V258" s="21">
        <f>N(AE258)*S258</f>
        <v/>
      </c>
      <c r="W258" s="21">
        <f>IF(Q258="","",N(AF258)*S258)</f>
        <v/>
      </c>
      <c r="X258" s="12" t="n">
        <v>51925</v>
      </c>
      <c r="Y258" s="11" t="n"/>
      <c r="Z258" s="11" t="n"/>
      <c r="AA258" s="21">
        <f>T258+U258+V258+N(W258)+X258+Y258+N(Z258)</f>
        <v/>
      </c>
      <c r="AB258" s="11" t="n"/>
      <c r="AC258" s="12" t="n">
        <v>4487199</v>
      </c>
      <c r="AD258" s="21">
        <f>O258-Y258</f>
        <v/>
      </c>
      <c r="AE258" s="21">
        <f>P258-X258</f>
        <v/>
      </c>
      <c r="AF258" s="21">
        <f>IF(Q258="","",Q258-Z258)</f>
        <v/>
      </c>
      <c r="AG258" s="22">
        <f>AC258+AD258+AE258+N(AF258)</f>
        <v/>
      </c>
      <c r="AH258" s="11" t="n">
        <v>4537056.47795</v>
      </c>
      <c r="AI258" s="24">
        <f>AG258-AH258</f>
        <v/>
      </c>
      <c r="AJ258" s="14">
        <f>IF(OR(B258="",B258=0,N258=""),"",N258/B258*10000)</f>
        <v/>
      </c>
      <c r="AK258" s="14">
        <f>IF(OR(C258="",C258=0),"",O258/C258*10000)</f>
        <v/>
      </c>
      <c r="AL258" s="14">
        <f>IF(OR(D258="",D258=0),"",P258/D258*10000)</f>
        <v/>
      </c>
      <c r="AM258" s="14">
        <f>IF(OR(E258="",E258=0),"",Q258/E258*10000)</f>
        <v/>
      </c>
      <c r="AN258" s="11" t="n">
        <v>23994.24089334988</v>
      </c>
      <c r="AO258" s="11" t="n">
        <v>23220.33</v>
      </c>
      <c r="AP258" s="21">
        <f>AH258+AN258+AO258</f>
        <v/>
      </c>
      <c r="AQ258" s="21">
        <f>AH258</f>
        <v/>
      </c>
      <c r="AR258" s="15" t="n">
        <v>101216.76</v>
      </c>
      <c r="AS258" s="27" t="n">
        <v>44.82515028094162</v>
      </c>
      <c r="AT258" s="15" t="n">
        <v>28388988.26</v>
      </c>
      <c r="AU258" s="15" t="n">
        <v>26376.4255</v>
      </c>
      <c r="AV258" s="15" t="n">
        <v>416.7786</v>
      </c>
      <c r="AW258" s="15" t="n"/>
      <c r="AX258" s="16" t="n">
        <v>431.4723717829889</v>
      </c>
      <c r="AY258" s="13">
        <f>IF(OR(AX258="",AX258=0,AU258=""),"",AU258*365/(AX258*1000000))</f>
        <v/>
      </c>
      <c r="AZ258" s="15" t="n">
        <v>422145815.6058</v>
      </c>
      <c r="BA258" s="17" t="n">
        <v>60487233</v>
      </c>
      <c r="BB258" s="18" t="n">
        <v>28388988.26</v>
      </c>
      <c r="BC258" s="17" t="n">
        <v>2971663</v>
      </c>
      <c r="BD258" s="17">
        <f>1000000000-999645485.6352+64579.5095</f>
        <v/>
      </c>
      <c r="BE258" s="19">
        <f>1000000000-AZ258-BA258-BB258-BC258-BD258</f>
        <v/>
      </c>
      <c r="BF258" s="20" t="n">
        <v>238</v>
      </c>
      <c r="BG258" s="20">
        <f>BE258/1000000-BF258</f>
        <v/>
      </c>
      <c r="BH258" s="21">
        <f>BE258*45.22</f>
        <v/>
      </c>
    </row>
    <row r="259">
      <c r="A259" s="10" t="n">
        <v>45881</v>
      </c>
      <c r="B259" s="11" t="n">
        <v>16065474194</v>
      </c>
      <c r="C259" s="11" t="n"/>
      <c r="D259" s="11" t="n">
        <v>675085879</v>
      </c>
      <c r="E259" s="11" t="n"/>
      <c r="N259" s="12" t="n">
        <v>5387523</v>
      </c>
      <c r="O259" s="11" t="n"/>
      <c r="P259" s="12" t="n">
        <v>233886</v>
      </c>
      <c r="Q259" s="11" t="n"/>
      <c r="R259" s="21">
        <f>N259+O259+P259+N(Q259)</f>
        <v/>
      </c>
      <c r="S259" s="13" t="n">
        <v>0.03</v>
      </c>
      <c r="T259" s="21">
        <f>N(AC259)*S259</f>
        <v/>
      </c>
      <c r="U259" s="21">
        <f>N(AD259)*S259</f>
        <v/>
      </c>
      <c r="V259" s="21">
        <f>N(AE259)*S259</f>
        <v/>
      </c>
      <c r="W259" s="21">
        <f>IF(Q259="","",N(AF259)*S259)</f>
        <v/>
      </c>
      <c r="X259" s="12" t="n">
        <v>63563</v>
      </c>
      <c r="Y259" s="11" t="n"/>
      <c r="Z259" s="11" t="n"/>
      <c r="AA259" s="21">
        <f>T259+U259+V259+N(W259)+X259+Y259+N(Z259)</f>
        <v/>
      </c>
      <c r="AB259" s="11" t="n"/>
      <c r="AC259" s="12" t="n">
        <v>4387517</v>
      </c>
      <c r="AD259" s="21">
        <f>O259-Y259</f>
        <v/>
      </c>
      <c r="AE259" s="21">
        <f>P259-X259</f>
        <v/>
      </c>
      <c r="AF259" s="21">
        <f>IF(Q259="","",Q259-Z259)</f>
        <v/>
      </c>
      <c r="AG259" s="22">
        <f>AC259+AD259+AE259+N(AF259)</f>
        <v/>
      </c>
      <c r="AH259" s="11" t="n">
        <v>4441446.21351</v>
      </c>
      <c r="AI259" s="24">
        <f>AG259-AH259</f>
        <v/>
      </c>
      <c r="AJ259" s="14">
        <f>IF(OR(B259="",B259=0,N259=""),"",N259/B259*10000)</f>
        <v/>
      </c>
      <c r="AK259" s="14">
        <f>IF(OR(C259="",C259=0),"",O259/C259*10000)</f>
        <v/>
      </c>
      <c r="AL259" s="14">
        <f>IF(OR(D259="",D259=0),"",P259/D259*10000)</f>
        <v/>
      </c>
      <c r="AM259" s="14">
        <f>IF(OR(E259="",E259=0),"",Q259/E259*10000)</f>
        <v/>
      </c>
      <c r="AN259" s="11" t="n">
        <v>30295.03824612782</v>
      </c>
      <c r="AO259" s="11" t="n">
        <v>22162.84</v>
      </c>
      <c r="AP259" s="21">
        <f>AH259+AN259+AO259</f>
        <v/>
      </c>
      <c r="AQ259" s="21">
        <f>AH259</f>
        <v/>
      </c>
      <c r="AR259" s="15" t="n">
        <v>100791.05</v>
      </c>
      <c r="AS259" s="27" t="n">
        <v>44.06587899927622</v>
      </c>
      <c r="AT259" s="15" t="n">
        <v>28489779.31</v>
      </c>
      <c r="AU259" s="15" t="n">
        <v>26426.8902</v>
      </c>
      <c r="AV259" s="15" t="n">
        <v>1293.1775</v>
      </c>
      <c r="AW259" s="15" t="n"/>
      <c r="AX259" s="16" t="n">
        <v>431.9406485526941</v>
      </c>
      <c r="AY259" s="13">
        <f>IF(OR(AX259="",AX259=0,AU259=""),"",AU259*365/(AX259*1000000))</f>
        <v/>
      </c>
      <c r="AZ259" s="15" t="n">
        <v>422119388.7156</v>
      </c>
      <c r="BA259" s="17" t="n">
        <v>60487233</v>
      </c>
      <c r="BB259" s="18" t="n">
        <v>28489779.31</v>
      </c>
      <c r="BC259" s="17" t="n">
        <v>2971663</v>
      </c>
      <c r="BD259" s="17">
        <f>1000000000-999644192.4577+65279.2286</f>
        <v/>
      </c>
      <c r="BE259" s="19">
        <f>1000000000-AZ259-BA259-BB259-BC259-BD259</f>
        <v/>
      </c>
      <c r="BF259" s="20" t="n">
        <v>238</v>
      </c>
      <c r="BG259" s="20">
        <f>BE259/1000000-BF259</f>
        <v/>
      </c>
      <c r="BH259" s="21">
        <f>BE259*43.15</f>
        <v/>
      </c>
    </row>
    <row r="260">
      <c r="A260" s="10" t="n">
        <v>45882</v>
      </c>
      <c r="B260" s="11" t="n">
        <v>19919714585</v>
      </c>
      <c r="C260" s="11" t="n"/>
      <c r="D260" s="11" t="n">
        <v>773925538</v>
      </c>
      <c r="E260" s="11" t="n"/>
      <c r="N260" s="12" t="n">
        <v>6609729</v>
      </c>
      <c r="O260" s="11" t="n"/>
      <c r="P260" s="12" t="n">
        <v>335687</v>
      </c>
      <c r="Q260" s="11" t="n"/>
      <c r="R260" s="21">
        <f>N260+O260+P260+N(Q260)</f>
        <v/>
      </c>
      <c r="S260" s="13" t="n">
        <v>0.03</v>
      </c>
      <c r="T260" s="21">
        <f>N(AC260)*S260</f>
        <v/>
      </c>
      <c r="U260" s="21">
        <f>N(AD260)*S260</f>
        <v/>
      </c>
      <c r="V260" s="21">
        <f>N(AE260)*S260</f>
        <v/>
      </c>
      <c r="W260" s="21">
        <f>IF(Q260="","",N(AF260)*S260)</f>
        <v/>
      </c>
      <c r="X260" s="12" t="n">
        <v>72046</v>
      </c>
      <c r="Y260" s="11" t="n"/>
      <c r="Z260" s="11" t="n"/>
      <c r="AA260" s="21">
        <f>T260+U260+V260+N(W260)+X260+Y260+N(Z260)</f>
        <v/>
      </c>
      <c r="AB260" s="11" t="n"/>
      <c r="AC260" s="12" t="n">
        <v>5290274</v>
      </c>
      <c r="AD260" s="21">
        <f>O260-Y260</f>
        <v/>
      </c>
      <c r="AE260" s="21">
        <f>P260-X260</f>
        <v/>
      </c>
      <c r="AF260" s="21">
        <f>IF(Q260="","",Q260-Z260)</f>
        <v/>
      </c>
      <c r="AG260" s="22">
        <f>AC260+AD260+AE260+N(AF260)</f>
        <v/>
      </c>
      <c r="AH260" s="11" t="n">
        <v>4994057.16026</v>
      </c>
      <c r="AI260" s="24">
        <f>AG260-AH260</f>
        <v/>
      </c>
      <c r="AJ260" s="14">
        <f>IF(OR(B260="",B260=0,N260=""),"",N260/B260*10000)</f>
        <v/>
      </c>
      <c r="AK260" s="14">
        <f>IF(OR(C260="",C260=0),"",O260/C260*10000)</f>
        <v/>
      </c>
      <c r="AL260" s="14">
        <f>IF(OR(D260="",D260=0),"",P260/D260*10000)</f>
        <v/>
      </c>
      <c r="AM260" s="14">
        <f>IF(OR(E260="",E260=0),"",Q260/E260*10000)</f>
        <v/>
      </c>
      <c r="AN260" s="11" t="n">
        <v>38220.9158051252</v>
      </c>
      <c r="AO260" s="11" t="n">
        <v>24755.72</v>
      </c>
      <c r="AP260" s="21">
        <f>AH260+AN260+AO260</f>
        <v/>
      </c>
      <c r="AQ260" s="21">
        <f>AH260</f>
        <v/>
      </c>
      <c r="AR260" s="15" t="n">
        <v>109111.69</v>
      </c>
      <c r="AS260" s="27" t="n">
        <v>45.77013847242216</v>
      </c>
      <c r="AT260" s="15" t="n">
        <v>28599162.91</v>
      </c>
      <c r="AU260" s="15" t="n">
        <v>26337.768</v>
      </c>
      <c r="AV260" s="15" t="n">
        <v>1319.473</v>
      </c>
      <c r="AW260" s="15" t="n"/>
      <c r="AX260" s="16" t="n">
        <v>430.8786039760201</v>
      </c>
      <c r="AY260" s="13">
        <f>IF(OR(AX260="",AX260=0,AU260=""),"",AU260*365/(AX260*1000000))</f>
        <v/>
      </c>
      <c r="AZ260" s="15" t="n">
        <v>422093050.9476</v>
      </c>
      <c r="BA260" s="17" t="n">
        <v>60487233</v>
      </c>
      <c r="BB260" s="18" t="n">
        <v>28599162.91</v>
      </c>
      <c r="BC260" s="17" t="n">
        <v>2971663</v>
      </c>
      <c r="BD260" s="17">
        <f>1000000000-999642872.9847+66128.0353</f>
        <v/>
      </c>
      <c r="BE260" s="19">
        <f>1000000000-AZ260-BA260-BB260-BC260-BD260</f>
        <v/>
      </c>
      <c r="BF260" s="20" t="n">
        <v>238</v>
      </c>
      <c r="BG260" s="20">
        <f>BE260/1000000-BF260</f>
        <v/>
      </c>
      <c r="BH260" s="21">
        <f>BE260*44.87</f>
        <v/>
      </c>
    </row>
    <row r="261">
      <c r="A261" s="10" t="n">
        <v>45883</v>
      </c>
      <c r="B261" s="11" t="n">
        <v>27376439346</v>
      </c>
      <c r="C261" s="11" t="n"/>
      <c r="D261" s="11" t="n">
        <v>569025735</v>
      </c>
      <c r="E261" s="11" t="n"/>
      <c r="N261" s="12" t="n">
        <v>8956335</v>
      </c>
      <c r="O261" s="11" t="n"/>
      <c r="P261" s="12" t="n">
        <v>352410</v>
      </c>
      <c r="Q261" s="11" t="n"/>
      <c r="R261" s="21">
        <f>N261+O261+P261+N(Q261)</f>
        <v/>
      </c>
      <c r="S261" s="13" t="n">
        <v>0.03</v>
      </c>
      <c r="T261" s="21">
        <f>N(AC261)*S261</f>
        <v/>
      </c>
      <c r="U261" s="21">
        <f>N(AD261)*S261</f>
        <v/>
      </c>
      <c r="V261" s="21">
        <f>N(AE261)*S261</f>
        <v/>
      </c>
      <c r="W261" s="21">
        <f>IF(Q261="","",N(AF261)*S261)</f>
        <v/>
      </c>
      <c r="X261" s="12" t="n">
        <v>52589</v>
      </c>
      <c r="Y261" s="11" t="n"/>
      <c r="Z261" s="11" t="n"/>
      <c r="AA261" s="21">
        <f>T261+U261+V261+N(W261)+X261+Y261+N(Z261)</f>
        <v/>
      </c>
      <c r="AB261" s="11" t="n"/>
      <c r="AC261" s="12" t="n">
        <v>7314770</v>
      </c>
      <c r="AD261" s="21">
        <f>O261-Y261</f>
        <v/>
      </c>
      <c r="AE261" s="21">
        <f>P261-X261</f>
        <v/>
      </c>
      <c r="AF261" s="21">
        <f>IF(Q261="","",Q261-Z261)</f>
        <v/>
      </c>
      <c r="AG261" s="22">
        <f>AC261+AD261+AE261+N(AF261)</f>
        <v/>
      </c>
      <c r="AH261" s="11" t="n">
        <v>7723090.9907</v>
      </c>
      <c r="AI261" s="24">
        <f>AG261-AH261</f>
        <v/>
      </c>
      <c r="AJ261" s="14">
        <f>IF(OR(B261="",B261=0,N261=""),"",N261/B261*10000)</f>
        <v/>
      </c>
      <c r="AK261" s="14">
        <f>IF(OR(C261="",C261=0),"",O261/C261*10000)</f>
        <v/>
      </c>
      <c r="AL261" s="14">
        <f>IF(OR(D261="",D261=0),"",P261/D261*10000)</f>
        <v/>
      </c>
      <c r="AM261" s="14">
        <f>IF(OR(E261="",E261=0),"",Q261/E261*10000)</f>
        <v/>
      </c>
      <c r="AN261" s="11" t="n">
        <v>65478.198585568</v>
      </c>
      <c r="AO261" s="11" t="n">
        <v>0</v>
      </c>
      <c r="AP261" s="21">
        <f>AH261+AN261+AO261</f>
        <v/>
      </c>
      <c r="AQ261" s="21">
        <f>AH261</f>
        <v/>
      </c>
      <c r="AR261" s="15" t="n">
        <v>167809.16</v>
      </c>
      <c r="AS261" s="27" t="n">
        <v>46.02305971080482</v>
      </c>
      <c r="AT261" s="15" t="n">
        <v>28764050.72</v>
      </c>
      <c r="AU261" s="15" t="n">
        <v>26365.7818</v>
      </c>
      <c r="AV261" s="15" t="n">
        <v>1863.2942</v>
      </c>
      <c r="AW261" s="15" t="n"/>
      <c r="AX261" s="16" t="n">
        <v>429.6383358733253</v>
      </c>
      <c r="AY261" s="13">
        <f>IF(OR(AX261="",AX261=0,AU261=""),"",AU261*365/(AX261*1000000))</f>
        <v/>
      </c>
      <c r="AZ261" s="15" t="n">
        <v>422066685.1658</v>
      </c>
      <c r="BA261" s="17" t="n">
        <v>60487233</v>
      </c>
      <c r="BB261" s="18" t="n">
        <v>28764050.72</v>
      </c>
      <c r="BC261" s="17" t="n">
        <v>2971663</v>
      </c>
      <c r="BD261" s="17">
        <f>1000000000-999641009.6905+67496.9843</f>
        <v/>
      </c>
      <c r="BE261" s="19">
        <f>1000000000-AZ261-BA261-BB261-BC261-BD261</f>
        <v/>
      </c>
      <c r="BF261" s="20" t="n">
        <v>238</v>
      </c>
      <c r="BG261" s="20">
        <f>BE261/1000000-BF261</f>
        <v/>
      </c>
      <c r="BH261" s="21">
        <f>BE261*47.77</f>
        <v/>
      </c>
    </row>
    <row r="262">
      <c r="A262" s="10" t="n">
        <v>45884</v>
      </c>
      <c r="B262" s="11" t="n">
        <v>13585090719</v>
      </c>
      <c r="C262" s="11" t="n"/>
      <c r="D262" s="11" t="n">
        <v>196663923</v>
      </c>
      <c r="E262" s="11" t="n"/>
      <c r="N262" s="12" t="n">
        <v>4660027</v>
      </c>
      <c r="O262" s="11" t="n"/>
      <c r="P262" s="12" t="n">
        <v>277797</v>
      </c>
      <c r="Q262" s="11" t="n"/>
      <c r="R262" s="21">
        <f>N262+O262+P262+N(Q262)</f>
        <v/>
      </c>
      <c r="S262" s="13" t="n">
        <v>0.03</v>
      </c>
      <c r="T262" s="21">
        <f>N(AC262)*S262</f>
        <v/>
      </c>
      <c r="U262" s="21">
        <f>N(AD262)*S262</f>
        <v/>
      </c>
      <c r="V262" s="21">
        <f>N(AE262)*S262</f>
        <v/>
      </c>
      <c r="W262" s="21">
        <f>IF(Q262="","",N(AF262)*S262)</f>
        <v/>
      </c>
      <c r="X262" s="12" t="n">
        <v>37720</v>
      </c>
      <c r="Y262" s="11" t="n"/>
      <c r="Z262" s="11" t="n"/>
      <c r="AA262" s="21">
        <f>T262+U262+V262+N(W262)+X262+Y262+N(Z262)</f>
        <v/>
      </c>
      <c r="AB262" s="11" t="n"/>
      <c r="AC262" s="12" t="n">
        <v>3680409</v>
      </c>
      <c r="AD262" s="21">
        <f>O262-Y262</f>
        <v/>
      </c>
      <c r="AE262" s="21">
        <f>P262-X262</f>
        <v/>
      </c>
      <c r="AF262" s="21">
        <f>IF(Q262="","",Q262-Z262)</f>
        <v/>
      </c>
      <c r="AG262" s="22">
        <f>AC262+AD262+AE262+N(AF262)</f>
        <v/>
      </c>
      <c r="AH262" s="11" t="n">
        <v>3656083.60376</v>
      </c>
      <c r="AI262" s="24">
        <f>AG262-AH262</f>
        <v/>
      </c>
      <c r="AJ262" s="14">
        <f>IF(OR(B262="",B262=0,N262=""),"",N262/B262*10000)</f>
        <v/>
      </c>
      <c r="AK262" s="14">
        <f>IF(OR(C262="",C262=0),"",O262/C262*10000)</f>
        <v/>
      </c>
      <c r="AL262" s="14">
        <f>IF(OR(D262="",D262=0),"",P262/D262*10000)</f>
        <v/>
      </c>
      <c r="AM262" s="14">
        <f>IF(OR(E262="",E262=0),"",Q262/E262*10000)</f>
        <v/>
      </c>
      <c r="AN262" s="11" t="n">
        <v>38781.46603555471</v>
      </c>
      <c r="AO262" s="11" t="n">
        <v>27973.26</v>
      </c>
      <c r="AP262" s="21">
        <f>AH262+AN262+AO262</f>
        <v/>
      </c>
      <c r="AQ262" s="21">
        <f>AH262</f>
        <v/>
      </c>
      <c r="AR262" s="15" t="n">
        <v>77150.31</v>
      </c>
      <c r="AS262" s="27" t="n">
        <v>47.38909803162165</v>
      </c>
      <c r="AT262" s="15" t="n">
        <v>28843895.32</v>
      </c>
      <c r="AU262" s="15" t="n">
        <v>26256.5939</v>
      </c>
      <c r="AV262" s="15" t="n">
        <v>1373.4081</v>
      </c>
      <c r="AW262" s="15" t="n"/>
      <c r="AX262" s="16" t="n">
        <v>429.6178480627805</v>
      </c>
      <c r="AY262" s="13">
        <f>IF(OR(AX262="",AX262=0,AU262=""),"",AU262*365/(AX262*1000000))</f>
        <v/>
      </c>
      <c r="AZ262" s="15" t="n">
        <v>422040428.5719</v>
      </c>
      <c r="BA262" s="17" t="n">
        <v>60487233</v>
      </c>
      <c r="BB262" s="18" t="n">
        <v>28843895.32</v>
      </c>
      <c r="BC262" s="17" t="n">
        <v>2971663</v>
      </c>
      <c r="BD262" s="17">
        <f>1000000000-999639636.2825+68340.9402</f>
        <v/>
      </c>
      <c r="BE262" s="19">
        <f>1000000000-AZ262-BA262-BB262-BC262-BD262</f>
        <v/>
      </c>
      <c r="BF262" s="20" t="n">
        <v>238</v>
      </c>
      <c r="BG262" s="20">
        <f>BE262/1000000-BF262</f>
        <v/>
      </c>
      <c r="BH262" s="21">
        <f>BE262*46</f>
        <v/>
      </c>
    </row>
    <row r="263">
      <c r="A263" s="10" t="n">
        <v>45885</v>
      </c>
      <c r="B263" s="11" t="n">
        <v>4928430305</v>
      </c>
      <c r="C263" s="11" t="n"/>
      <c r="D263" s="11" t="n">
        <v>251740971</v>
      </c>
      <c r="E263" s="11" t="n"/>
      <c r="N263" s="12" t="n">
        <v>1720255</v>
      </c>
      <c r="O263" s="11" t="n"/>
      <c r="P263" s="12" t="n">
        <v>119204</v>
      </c>
      <c r="Q263" s="11" t="n"/>
      <c r="R263" s="21">
        <f>N263+O263+P263+N(Q263)</f>
        <v/>
      </c>
      <c r="S263" s="13" t="n">
        <v>0.03</v>
      </c>
      <c r="T263" s="21">
        <f>N(AC263)*S263</f>
        <v/>
      </c>
      <c r="U263" s="21">
        <f>N(AD263)*S263</f>
        <v/>
      </c>
      <c r="V263" s="21">
        <f>N(AE263)*S263</f>
        <v/>
      </c>
      <c r="W263" s="21">
        <f>IF(Q263="","",N(AF263)*S263)</f>
        <v/>
      </c>
      <c r="X263" s="12" t="n">
        <v>30890</v>
      </c>
      <c r="Y263" s="11" t="n"/>
      <c r="Z263" s="11" t="n"/>
      <c r="AA263" s="21">
        <f>T263+U263+V263+N(W263)+X263+Y263+N(Z263)</f>
        <v/>
      </c>
      <c r="AB263" s="11" t="n"/>
      <c r="AC263" s="12" t="n">
        <v>1347943</v>
      </c>
      <c r="AD263" s="21">
        <f>O263-Y263</f>
        <v/>
      </c>
      <c r="AE263" s="21">
        <f>P263-X263</f>
        <v/>
      </c>
      <c r="AF263" s="21">
        <f>IF(Q263="","",Q263-Z263)</f>
        <v/>
      </c>
      <c r="AG263" s="22">
        <f>AC263+AD263+AE263+N(AF263)</f>
        <v/>
      </c>
      <c r="AH263" s="11" t="n">
        <v>1365202.03208</v>
      </c>
      <c r="AI263" s="24">
        <f>AG263-AH263</f>
        <v/>
      </c>
      <c r="AJ263" s="14">
        <f>IF(OR(B263="",B263=0,N263=""),"",N263/B263*10000)</f>
        <v/>
      </c>
      <c r="AK263" s="14">
        <f>IF(OR(C263="",C263=0),"",O263/C263*10000)</f>
        <v/>
      </c>
      <c r="AL263" s="14">
        <f>IF(OR(D263="",D263=0),"",P263/D263*10000)</f>
        <v/>
      </c>
      <c r="AM263" s="14">
        <f>IF(OR(E263="",E263=0),"",Q263/E263*10000)</f>
        <v/>
      </c>
      <c r="AN263" s="11" t="n">
        <v>7912.454579992197</v>
      </c>
      <c r="AO263" s="11" t="n">
        <v>29808.92</v>
      </c>
      <c r="AP263" s="21">
        <f>AH263+AN263+AO263</f>
        <v/>
      </c>
      <c r="AQ263" s="21">
        <f>AH263</f>
        <v/>
      </c>
      <c r="AR263" s="15" t="n">
        <v>28971.85</v>
      </c>
      <c r="AS263" s="27" t="n">
        <v>47.121672660876</v>
      </c>
      <c r="AT263" s="15" t="n">
        <v>28873094.23</v>
      </c>
      <c r="AU263" s="15" t="n">
        <v>26182.6599</v>
      </c>
      <c r="AV263" s="15" t="n">
        <v>1709.1627</v>
      </c>
      <c r="AW263" s="15" t="n"/>
      <c r="AX263" s="16" t="n">
        <v>429.8573092244902</v>
      </c>
      <c r="AY263" s="13">
        <f>IF(OR(AX263="",AX263=0,AU263=""),"",AU263*365/(AX263*1000000))</f>
        <v/>
      </c>
      <c r="AZ263" s="15" t="n">
        <v>422014245.912</v>
      </c>
      <c r="BA263" s="17" t="n">
        <v>60487233</v>
      </c>
      <c r="BB263" s="18" t="n">
        <v>28873094.23</v>
      </c>
      <c r="BC263" s="17" t="n">
        <v>2971663</v>
      </c>
      <c r="BD263" s="17">
        <f>1000000000-999637927.1197+68505.3173</f>
        <v/>
      </c>
      <c r="BE263" s="19">
        <f>1000000000-AZ263-BA263-BB263-BC263-BD263</f>
        <v/>
      </c>
      <c r="BF263" s="20" t="n">
        <v>238</v>
      </c>
      <c r="BG263" s="20">
        <f>BE263/1000000-BF263</f>
        <v/>
      </c>
      <c r="BH263" s="21">
        <f>BE263*48.24</f>
        <v/>
      </c>
    </row>
    <row r="264">
      <c r="A264" s="10" t="n">
        <v>45886</v>
      </c>
      <c r="B264" s="11" t="n">
        <v>6272412053</v>
      </c>
      <c r="C264" s="11" t="n"/>
      <c r="D264" s="11" t="n">
        <v>367201250</v>
      </c>
      <c r="E264" s="11" t="n"/>
      <c r="N264" s="11" t="n">
        <v>1538885.77</v>
      </c>
      <c r="O264" s="11" t="n"/>
      <c r="P264" s="11" t="n">
        <v>99538.98</v>
      </c>
      <c r="Q264" s="11" t="n"/>
      <c r="R264" s="21">
        <f>N264+O264+P264+N(Q264)</f>
        <v/>
      </c>
      <c r="S264" s="13" t="n">
        <v>0.03</v>
      </c>
      <c r="T264" s="21">
        <f>N(AC264)*S264</f>
        <v/>
      </c>
      <c r="U264" s="21">
        <f>N(AD264)*S264</f>
        <v/>
      </c>
      <c r="V264" s="21">
        <f>N(AE264)*S264</f>
        <v/>
      </c>
      <c r="W264" s="21">
        <f>IF(Q264="","",N(AF264)*S264)</f>
        <v/>
      </c>
      <c r="X264" s="11" t="n">
        <v>17155.51</v>
      </c>
      <c r="Y264" s="11" t="n"/>
      <c r="Z264" s="11" t="n"/>
      <c r="AA264" s="21">
        <f>T264+U264+V264+N(W264)+X264+Y264+N(Z264)</f>
        <v/>
      </c>
      <c r="AB264" s="11" t="n"/>
      <c r="AC264" s="11" t="n">
        <v>1538885.77</v>
      </c>
      <c r="AD264" s="21">
        <f>O264-Y264</f>
        <v/>
      </c>
      <c r="AE264" s="21">
        <f>P264-X264</f>
        <v/>
      </c>
      <c r="AF264" s="21">
        <f>IF(Q264="","",Q264-Z264)</f>
        <v/>
      </c>
      <c r="AG264" s="22">
        <f>AC264+AD264+AE264+N(AF264)</f>
        <v/>
      </c>
      <c r="AH264" s="11" t="n">
        <v>1699981.19394</v>
      </c>
      <c r="AI264" s="24">
        <f>AG264-AH264</f>
        <v/>
      </c>
      <c r="AJ264" s="14">
        <f>IF(OR(B264="",B264=0,N264=""),"",N264/B264*10000)</f>
        <v/>
      </c>
      <c r="AK264" s="14">
        <f>IF(OR(C264="",C264=0),"",O264/C264*10000)</f>
        <v/>
      </c>
      <c r="AL264" s="14">
        <f>IF(OR(D264="",D264=0),"",P264/D264*10000)</f>
        <v/>
      </c>
      <c r="AM264" s="14">
        <f>IF(OR(E264="",E264=0),"",Q264/E264*10000)</f>
        <v/>
      </c>
      <c r="AN264" s="11" t="n">
        <v>7181.022759360754</v>
      </c>
      <c r="AO264" s="11" t="n">
        <v>0</v>
      </c>
      <c r="AP264" s="21">
        <f>AH264+AN264+AO264</f>
        <v/>
      </c>
      <c r="AQ264" s="21">
        <f>AH264</f>
        <v/>
      </c>
      <c r="AR264" s="15" t="n">
        <v>36315.48</v>
      </c>
      <c r="AS264" s="27" t="n">
        <v>46.81147527005013</v>
      </c>
      <c r="AT264" s="15" t="n">
        <v>28909605.98</v>
      </c>
      <c r="AU264" s="15" t="n">
        <v>26168.0725</v>
      </c>
      <c r="AV264" s="15" t="n">
        <v>924.1917999999999</v>
      </c>
      <c r="AW264" s="15" t="n"/>
      <c r="AX264" s="16" t="n">
        <v>429.6694268615651</v>
      </c>
      <c r="AY264" s="13">
        <f>IF(OR(AX264="",AX264=0,AU264=""),"",AU264*365/(AX264*1000000))</f>
        <v/>
      </c>
      <c r="AZ264" s="15" t="n">
        <v>421988077.8395</v>
      </c>
      <c r="BA264" s="17" t="n">
        <v>60487233</v>
      </c>
      <c r="BB264" s="18" t="n">
        <v>28909605.98</v>
      </c>
      <c r="BC264" s="17" t="n">
        <v>2971663</v>
      </c>
      <c r="BD264" s="17">
        <f>1000000000-999637002.9279+68661.0271</f>
        <v/>
      </c>
      <c r="BE264" s="19">
        <f>1000000000-AZ264-BA264-BB264-BC264-BD264</f>
        <v/>
      </c>
      <c r="BF264" s="20" t="n">
        <v>238</v>
      </c>
      <c r="BG264" s="20">
        <f>BE264/1000000-BF264</f>
        <v/>
      </c>
      <c r="BH264" s="21">
        <f>BE264*46.32</f>
        <v/>
      </c>
    </row>
    <row r="265">
      <c r="A265" s="10" t="n">
        <v>45887</v>
      </c>
      <c r="B265" s="11" t="n">
        <v>15278357612</v>
      </c>
      <c r="C265" s="11" t="n"/>
      <c r="D265" s="11" t="n">
        <v>390244912</v>
      </c>
      <c r="E265" s="11" t="n"/>
      <c r="N265" s="11" t="n">
        <v>3304767.24</v>
      </c>
      <c r="O265" s="11" t="n"/>
      <c r="P265" s="11" t="n">
        <v>106088.82</v>
      </c>
      <c r="Q265" s="11" t="n"/>
      <c r="R265" s="21">
        <f>N265+O265+P265+N(Q265)</f>
        <v/>
      </c>
      <c r="S265" s="13" t="n">
        <v>0.03</v>
      </c>
      <c r="T265" s="21">
        <f>N(AC265)*S265</f>
        <v/>
      </c>
      <c r="U265" s="21">
        <f>N(AD265)*S265</f>
        <v/>
      </c>
      <c r="V265" s="21">
        <f>N(AE265)*S265</f>
        <v/>
      </c>
      <c r="W265" s="21">
        <f>IF(Q265="","",N(AF265)*S265)</f>
        <v/>
      </c>
      <c r="X265" s="11" t="n">
        <v>16350.71</v>
      </c>
      <c r="Y265" s="11" t="n"/>
      <c r="Z265" s="11" t="n"/>
      <c r="AA265" s="21">
        <f>T265+U265+V265+N(W265)+X265+Y265+N(Z265)</f>
        <v/>
      </c>
      <c r="AB265" s="11" t="n"/>
      <c r="AC265" s="11" t="n">
        <v>3304767.24</v>
      </c>
      <c r="AD265" s="21">
        <f>O265-Y265</f>
        <v/>
      </c>
      <c r="AE265" s="21">
        <f>P265-X265</f>
        <v/>
      </c>
      <c r="AF265" s="21">
        <f>IF(Q265="","",Q265-Z265)</f>
        <v/>
      </c>
      <c r="AG265" s="22">
        <f>AC265+AD265+AE265+N(AF265)</f>
        <v/>
      </c>
      <c r="AH265" s="11" t="n">
        <v>4068407.79645</v>
      </c>
      <c r="AI265" s="24">
        <f>AG265-AH265</f>
        <v/>
      </c>
      <c r="AJ265" s="14">
        <f>IF(OR(B265="",B265=0,N265=""),"",N265/B265*10000)</f>
        <v/>
      </c>
      <c r="AK265" s="14">
        <f>IF(OR(C265="",C265=0),"",O265/C265*10000)</f>
        <v/>
      </c>
      <c r="AL265" s="14">
        <f>IF(OR(D265="",D265=0),"",P265/D265*10000)</f>
        <v/>
      </c>
      <c r="AM265" s="14">
        <f>IF(OR(E265="",E265=0),"",Q265/E265*10000)</f>
        <v/>
      </c>
      <c r="AN265" s="11" t="n">
        <v>14146.97794252994</v>
      </c>
      <c r="AO265" s="11" t="n">
        <v>0</v>
      </c>
      <c r="AP265" s="21">
        <f>AH265+AN265+AO265</f>
        <v/>
      </c>
      <c r="AQ265" s="21">
        <f>AH265</f>
        <v/>
      </c>
      <c r="AR265" s="15" t="n">
        <v>92598.72</v>
      </c>
      <c r="AS265" s="27" t="n">
        <v>43.93589669976</v>
      </c>
      <c r="AT265" s="15" t="n">
        <v>29002008.43</v>
      </c>
      <c r="AU265" s="15" t="n">
        <v>26239.5597</v>
      </c>
      <c r="AV265" s="15" t="n">
        <v>413.5272</v>
      </c>
      <c r="AW265" s="15" t="n"/>
      <c r="AX265" s="16" t="n">
        <v>429.7747677294525</v>
      </c>
      <c r="AY265" s="13">
        <f>IF(OR(AX265="",AX265=0,AU265=""),"",AU265*365/(AX265*1000000))</f>
        <v/>
      </c>
      <c r="AZ265" s="15" t="n">
        <v>421961838.2798</v>
      </c>
      <c r="BA265" s="17" t="n">
        <v>60487233</v>
      </c>
      <c r="BB265" s="18" t="n">
        <v>29002008.43</v>
      </c>
      <c r="BC265" s="17" t="n">
        <v>2971663</v>
      </c>
      <c r="BD265" s="17">
        <f>1000000000-999636589.4007+68967.6901</f>
        <v/>
      </c>
      <c r="BE265" s="19">
        <f>1000000000-AZ265-BA265-BB265-BC265-BD265</f>
        <v/>
      </c>
      <c r="BF265" s="20" t="n">
        <v>238</v>
      </c>
      <c r="BG265" s="20">
        <f>BE265/1000000-BF265</f>
        <v/>
      </c>
      <c r="BH265" s="21">
        <f>BE265*46.04</f>
        <v/>
      </c>
    </row>
    <row r="266">
      <c r="A266" s="10" t="n">
        <v>45888</v>
      </c>
      <c r="B266" s="11" t="n">
        <v>16655285033</v>
      </c>
      <c r="C266" s="11" t="n"/>
      <c r="D266" s="11" t="n">
        <v>542977582</v>
      </c>
      <c r="E266" s="11" t="n"/>
      <c r="N266" s="11" t="n">
        <v>4649556.12</v>
      </c>
      <c r="O266" s="11" t="n"/>
      <c r="P266" s="11" t="n">
        <v>153945.53</v>
      </c>
      <c r="Q266" s="11" t="n"/>
      <c r="R266" s="21">
        <f>N266+O266+P266+N(Q266)</f>
        <v/>
      </c>
      <c r="S266" s="13" t="n">
        <v>0.03</v>
      </c>
      <c r="T266" s="21">
        <f>N(AC266)*S266</f>
        <v/>
      </c>
      <c r="U266" s="21">
        <f>N(AD266)*S266</f>
        <v/>
      </c>
      <c r="V266" s="21">
        <f>N(AE266)*S266</f>
        <v/>
      </c>
      <c r="W266" s="21">
        <f>IF(Q266="","",N(AF266)*S266)</f>
        <v/>
      </c>
      <c r="X266" s="11" t="n">
        <v>22399.77</v>
      </c>
      <c r="Y266" s="11" t="n"/>
      <c r="Z266" s="11" t="n"/>
      <c r="AA266" s="21">
        <f>T266+U266+V266+N(W266)+X266+Y266+N(Z266)</f>
        <v/>
      </c>
      <c r="AB266" s="11" t="n"/>
      <c r="AC266" s="11" t="n">
        <v>4649556.12</v>
      </c>
      <c r="AD266" s="21">
        <f>O266-Y266</f>
        <v/>
      </c>
      <c r="AE266" s="21">
        <f>P266-X266</f>
        <v/>
      </c>
      <c r="AF266" s="21">
        <f>IF(Q266="","",Q266-Z266)</f>
        <v/>
      </c>
      <c r="AG266" s="22">
        <f>AC266+AD266+AE266+N(AF266)</f>
        <v/>
      </c>
      <c r="AH266" s="11" t="n">
        <v>4196894.61651</v>
      </c>
      <c r="AI266" s="24">
        <f>AG266-AH266</f>
        <v/>
      </c>
      <c r="AJ266" s="14">
        <f>IF(OR(B266="",B266=0,N266=""),"",N266/B266*10000)</f>
        <v/>
      </c>
      <c r="AK266" s="14">
        <f>IF(OR(C266="",C266=0),"",O266/C266*10000)</f>
        <v/>
      </c>
      <c r="AL266" s="14">
        <f>IF(OR(D266="",D266=0),"",P266/D266*10000)</f>
        <v/>
      </c>
      <c r="AM266" s="14">
        <f>IF(OR(E266="",E266=0),"",Q266/E266*10000)</f>
        <v/>
      </c>
      <c r="AN266" s="11" t="n">
        <v>21535.53296781837</v>
      </c>
      <c r="AO266" s="11" t="n">
        <v>21658.47</v>
      </c>
      <c r="AP266" s="21">
        <f>AH266+AN266+AO266</f>
        <v/>
      </c>
      <c r="AQ266" s="21">
        <f>AH266</f>
        <v/>
      </c>
      <c r="AR266" s="15" t="n">
        <v>98671.67</v>
      </c>
      <c r="AS266" s="27" t="n">
        <v>42.53393721328524</v>
      </c>
      <c r="AT266" s="15" t="n">
        <v>29100680.1</v>
      </c>
      <c r="AU266" s="15" t="n">
        <v>26295.1059</v>
      </c>
      <c r="AV266" s="15" t="n">
        <v>731.1435</v>
      </c>
      <c r="AW266" s="15" t="n"/>
      <c r="AX266" s="16" t="n">
        <v>430.2410143941494</v>
      </c>
      <c r="AY266" s="13">
        <f>IF(OR(AX266="",AX266=0,AU266=""),"",AU266*365/(AX266*1000000))</f>
        <v/>
      </c>
      <c r="AZ266" s="15" t="n">
        <v>421935543.1739</v>
      </c>
      <c r="BA266" s="17" t="n">
        <v>60487233</v>
      </c>
      <c r="BB266" s="18" t="n">
        <v>29100680.1</v>
      </c>
      <c r="BC266" s="17" t="n">
        <v>2971663</v>
      </c>
      <c r="BD266" s="17">
        <f>1000000000-999635858.2573+69469.2980</f>
        <v/>
      </c>
      <c r="BE266" s="19">
        <f>1000000000-AZ266-BA266-BB266-BC266-BD266</f>
        <v/>
      </c>
      <c r="BF266" s="20" t="n">
        <v>238</v>
      </c>
      <c r="BG266" s="20">
        <f>BE266/1000000-BF266</f>
        <v/>
      </c>
      <c r="BH266" s="21">
        <f>BE266*43.21</f>
        <v/>
      </c>
    </row>
    <row r="267">
      <c r="A267" s="10" t="n">
        <v>45889</v>
      </c>
      <c r="B267" s="11" t="n">
        <v>15135209638</v>
      </c>
      <c r="C267" s="11" t="n"/>
      <c r="D267" s="11" t="n">
        <v>923204692</v>
      </c>
      <c r="E267" s="11" t="n"/>
      <c r="N267" s="11" t="n">
        <v>2882297.96</v>
      </c>
      <c r="O267" s="11" t="n"/>
      <c r="P267" s="11" t="n">
        <v>163173.34</v>
      </c>
      <c r="Q267" s="11" t="n"/>
      <c r="R267" s="21">
        <f>N267+O267+P267+N(Q267)</f>
        <v/>
      </c>
      <c r="S267" s="13" t="n">
        <v>0.03</v>
      </c>
      <c r="T267" s="21">
        <f>N(AC267)*S267</f>
        <v/>
      </c>
      <c r="U267" s="21">
        <f>N(AD267)*S267</f>
        <v/>
      </c>
      <c r="V267" s="21">
        <f>N(AE267)*S267</f>
        <v/>
      </c>
      <c r="W267" s="21">
        <f>IF(Q267="","",N(AF267)*S267)</f>
        <v/>
      </c>
      <c r="X267" s="11" t="n">
        <v>36544.64</v>
      </c>
      <c r="Y267" s="11" t="n"/>
      <c r="Z267" s="11" t="n"/>
      <c r="AA267" s="21">
        <f>T267+U267+V267+N(W267)+X267+Y267+N(Z267)</f>
        <v/>
      </c>
      <c r="AB267" s="11" t="n"/>
      <c r="AC267" s="11" t="n">
        <v>2882297.96</v>
      </c>
      <c r="AD267" s="21">
        <f>O267-Y267</f>
        <v/>
      </c>
      <c r="AE267" s="21">
        <f>P267-X267</f>
        <v/>
      </c>
      <c r="AF267" s="21">
        <f>IF(Q267="","",Q267-Z267)</f>
        <v/>
      </c>
      <c r="AG267" s="22">
        <f>AC267+AD267+AE267+N(AF267)</f>
        <v/>
      </c>
      <c r="AH267" s="11" t="n">
        <v>3873066.94455</v>
      </c>
      <c r="AI267" s="24">
        <f>AG267-AH267</f>
        <v/>
      </c>
      <c r="AJ267" s="14">
        <f>IF(OR(B267="",B267=0,N267=""),"",N267/B267*10000)</f>
        <v/>
      </c>
      <c r="AK267" s="14">
        <f>IF(OR(C267="",C267=0),"",O267/C267*10000)</f>
        <v/>
      </c>
      <c r="AL267" s="14">
        <f>IF(OR(D267="",D267=0),"",P267/D267*10000)</f>
        <v/>
      </c>
      <c r="AM267" s="14">
        <f>IF(OR(E267="",E267=0),"",Q267/E267*10000)</f>
        <v/>
      </c>
      <c r="AN267" s="11" t="n">
        <v>19695.56386351544</v>
      </c>
      <c r="AO267" s="11" t="n">
        <v>35928.38</v>
      </c>
      <c r="AP267" s="21">
        <f>AH267+AN267+AO267</f>
        <v/>
      </c>
      <c r="AQ267" s="21">
        <f>AH267</f>
        <v/>
      </c>
      <c r="AR267" s="15" t="n">
        <v>92180.89</v>
      </c>
      <c r="AS267" s="27" t="n">
        <v>42.01594218226793</v>
      </c>
      <c r="AT267" s="15" t="n">
        <v>29193133.72</v>
      </c>
      <c r="AU267" s="15" t="n">
        <v>26302.267</v>
      </c>
      <c r="AV267" s="15" t="n">
        <v>1238.6553</v>
      </c>
      <c r="AW267" s="15" t="n"/>
      <c r="AX267" s="16" t="n">
        <v>429.6872904106175</v>
      </c>
      <c r="AY267" s="13">
        <f>IF(OR(AX267="",AX267=0,AU267=""),"",AU267*365/(AX267*1000000))</f>
        <v/>
      </c>
      <c r="AZ267" s="15" t="n">
        <v>421909240.9069</v>
      </c>
      <c r="BA267" s="17" t="n">
        <v>60487233</v>
      </c>
      <c r="BB267" s="18" t="n">
        <v>29193133.72</v>
      </c>
      <c r="BC267" s="17" t="n">
        <v>2971663</v>
      </c>
      <c r="BD267" s="17">
        <f>1000000000-999634619.602+69945.2547</f>
        <v/>
      </c>
      <c r="BE267" s="19">
        <f>1000000000-AZ267-BA267-BB267-BC267-BD267</f>
        <v/>
      </c>
      <c r="BF267" s="20" t="n">
        <v>238</v>
      </c>
      <c r="BG267" s="20">
        <f>BE267/1000000-BF267</f>
        <v/>
      </c>
      <c r="BH267" s="21">
        <f>BE267*41.52</f>
        <v/>
      </c>
    </row>
    <row r="268">
      <c r="A268" s="10" t="n">
        <v>45890</v>
      </c>
      <c r="B268" s="11" t="n">
        <v>11826851576</v>
      </c>
      <c r="C268" s="11" t="n"/>
      <c r="D268" s="11" t="n">
        <v>1392685685</v>
      </c>
      <c r="E268" s="11" t="n"/>
      <c r="N268" s="11" t="n">
        <v>3104055.64</v>
      </c>
      <c r="O268" s="11" t="n"/>
      <c r="P268" s="11" t="n">
        <v>241343.79</v>
      </c>
      <c r="Q268" s="11" t="n"/>
      <c r="R268" s="21">
        <f>N268+O268+P268+N(Q268)</f>
        <v/>
      </c>
      <c r="S268" s="13" t="n">
        <v>0.03</v>
      </c>
      <c r="T268" s="21">
        <f>N(AC268)*S268</f>
        <v/>
      </c>
      <c r="U268" s="21">
        <f>N(AD268)*S268</f>
        <v/>
      </c>
      <c r="V268" s="21">
        <f>N(AE268)*S268</f>
        <v/>
      </c>
      <c r="W268" s="21">
        <f>IF(Q268="","",N(AF268)*S268)</f>
        <v/>
      </c>
      <c r="X268" s="11" t="n">
        <v>63186.71</v>
      </c>
      <c r="Y268" s="11" t="n"/>
      <c r="Z268" s="11" t="n"/>
      <c r="AA268" s="21">
        <f>T268+U268+V268+N(W268)+X268+Y268+N(Z268)</f>
        <v/>
      </c>
      <c r="AB268" s="11" t="n"/>
      <c r="AC268" s="11" t="n">
        <v>3104055.64</v>
      </c>
      <c r="AD268" s="21">
        <f>O268-Y268</f>
        <v/>
      </c>
      <c r="AE268" s="21">
        <f>P268-X268</f>
        <v/>
      </c>
      <c r="AF268" s="21">
        <f>IF(Q268="","",Q268-Z268)</f>
        <v/>
      </c>
      <c r="AG268" s="22">
        <f>AC268+AD268+AE268+N(AF268)</f>
        <v/>
      </c>
      <c r="AH268" s="11" t="n">
        <v>3184206.25233</v>
      </c>
      <c r="AI268" s="24">
        <f>AG268-AH268</f>
        <v/>
      </c>
      <c r="AJ268" s="14">
        <f>IF(OR(B268="",B268=0,N268=""),"",N268/B268*10000)</f>
        <v/>
      </c>
      <c r="AK268" s="14">
        <f>IF(OR(C268="",C268=0),"",O268/C268*10000)</f>
        <v/>
      </c>
      <c r="AL268" s="14">
        <f>IF(OR(D268="",D268=0),"",P268/D268*10000)</f>
        <v/>
      </c>
      <c r="AM268" s="14">
        <f>IF(OR(E268="",E268=0),"",Q268/E268*10000)</f>
        <v/>
      </c>
      <c r="AN268" s="11" t="n">
        <v>10986.34043925129</v>
      </c>
      <c r="AO268" s="11" t="n">
        <v>0</v>
      </c>
      <c r="AP268" s="21">
        <f>AH268+AN268+AO268</f>
        <v/>
      </c>
      <c r="AQ268" s="21">
        <f>AH268</f>
        <v/>
      </c>
      <c r="AR268" s="15" t="n">
        <v>76866.14999999999</v>
      </c>
      <c r="AS268" s="27" t="n">
        <v>41.4253381017522</v>
      </c>
      <c r="AT268" s="15" t="n">
        <v>29269478.54</v>
      </c>
      <c r="AU268" s="15" t="n">
        <v>26232.6918</v>
      </c>
      <c r="AV268" s="15" t="n">
        <v>2110.2162</v>
      </c>
      <c r="AW268" s="15" t="n"/>
      <c r="AX268" s="16" t="n">
        <v>429.991929635283</v>
      </c>
      <c r="AY268" s="13">
        <f>IF(OR(AX268="",AX268=0,AU268=""),"",AU268*365/(AX268*1000000))</f>
        <v/>
      </c>
      <c r="AZ268" s="15" t="n">
        <v>421883008.2151</v>
      </c>
      <c r="BA268" s="17" t="n">
        <v>60487233</v>
      </c>
      <c r="BB268" s="18" t="n">
        <v>29269478.54</v>
      </c>
      <c r="BC268" s="17" t="n">
        <v>2971663</v>
      </c>
      <c r="BD268" s="17">
        <f>1000000000-999632509.3858+70202.7330</f>
        <v/>
      </c>
      <c r="BE268" s="19">
        <f>1000000000-AZ268-BA268-BB268-BC268-BD268</f>
        <v/>
      </c>
      <c r="BF268" s="20" t="n">
        <v>238</v>
      </c>
      <c r="BG268" s="20">
        <f>BE268/1000000-BF268</f>
        <v/>
      </c>
      <c r="BH268" s="21">
        <f>BE268*43.03</f>
        <v/>
      </c>
    </row>
    <row r="269">
      <c r="A269" s="10" t="n">
        <v>45891</v>
      </c>
      <c r="B269" s="11" t="n">
        <v>21155470263</v>
      </c>
      <c r="C269" s="11" t="n"/>
      <c r="D269" s="11" t="n">
        <v>1292052219</v>
      </c>
      <c r="E269" s="11" t="n"/>
      <c r="N269" s="11" t="n">
        <v>5928607.48</v>
      </c>
      <c r="O269" s="11" t="n"/>
      <c r="P269" s="11" t="n">
        <v>707453.4299999999</v>
      </c>
      <c r="Q269" s="11" t="n"/>
      <c r="R269" s="21">
        <f>N269+O269+P269+N(Q269)</f>
        <v/>
      </c>
      <c r="S269" s="13" t="n">
        <v>0.03</v>
      </c>
      <c r="T269" s="21">
        <f>N(AC269)*S269</f>
        <v/>
      </c>
      <c r="U269" s="21">
        <f>N(AD269)*S269</f>
        <v/>
      </c>
      <c r="V269" s="21">
        <f>N(AE269)*S269</f>
        <v/>
      </c>
      <c r="W269" s="21">
        <f>IF(Q269="","",N(AF269)*S269)</f>
        <v/>
      </c>
      <c r="X269" s="11" t="n">
        <v>207745.33</v>
      </c>
      <c r="Y269" s="11" t="n"/>
      <c r="Z269" s="11" t="n"/>
      <c r="AA269" s="21">
        <f>T269+U269+V269+N(W269)+X269+Y269+N(Z269)</f>
        <v/>
      </c>
      <c r="AB269" s="11" t="n"/>
      <c r="AC269" s="11" t="n">
        <v>5928607.48</v>
      </c>
      <c r="AD269" s="21">
        <f>O269-Y269</f>
        <v/>
      </c>
      <c r="AE269" s="21">
        <f>P269-X269</f>
        <v/>
      </c>
      <c r="AF269" s="21">
        <f>IF(Q269="","",Q269-Z269)</f>
        <v/>
      </c>
      <c r="AG269" s="22">
        <f>AC269+AD269+AE269+N(AF269)</f>
        <v/>
      </c>
      <c r="AH269" s="11" t="n">
        <v>5659586.13195</v>
      </c>
      <c r="AI269" s="24">
        <f>AG269-AH269</f>
        <v/>
      </c>
      <c r="AJ269" s="14">
        <f>IF(OR(B269="",B269=0,N269=""),"",N269/B269*10000)</f>
        <v/>
      </c>
      <c r="AK269" s="14">
        <f>IF(OR(C269="",C269=0),"",O269/C269*10000)</f>
        <v/>
      </c>
      <c r="AL269" s="14">
        <f>IF(OR(D269="",D269=0),"",P269/D269*10000)</f>
        <v/>
      </c>
      <c r="AM269" s="14">
        <f>IF(OR(E269="",E269=0),"",Q269/E269*10000)</f>
        <v/>
      </c>
      <c r="AN269" s="11" t="n">
        <v>41408.25254683449</v>
      </c>
      <c r="AO269" s="11" t="n">
        <v>43389.63</v>
      </c>
      <c r="AP269" s="21">
        <f>AH269+AN269+AO269</f>
        <v/>
      </c>
      <c r="AQ269" s="21">
        <f>AH269</f>
        <v/>
      </c>
      <c r="AR269" s="15" t="n">
        <v>130153.58</v>
      </c>
      <c r="AS269" s="27" t="n">
        <v>43.4839067196615</v>
      </c>
      <c r="AT269" s="15" t="n">
        <v>29399880.72</v>
      </c>
      <c r="AU269" s="15" t="n">
        <v>26316.9537</v>
      </c>
      <c r="AV269" s="15" t="n">
        <v>476.4692</v>
      </c>
      <c r="AW269" s="15" t="n"/>
      <c r="AX269" s="16" t="n">
        <v>431.4311029826637</v>
      </c>
      <c r="AY269" s="13">
        <f>IF(OR(AX269="",AX269=0,AU269=""),"",AU269*365/(AX269*1000000))</f>
        <v/>
      </c>
      <c r="AZ269" s="15" t="n">
        <v>421856691.2614</v>
      </c>
      <c r="BA269" s="17" t="n">
        <v>60487233</v>
      </c>
      <c r="BB269" s="18" t="n">
        <v>29399880.72</v>
      </c>
      <c r="BC269" s="17" t="n">
        <v>2971663</v>
      </c>
      <c r="BD269" s="17">
        <f>1000000000-999632032.9166+71217.8153</f>
        <v/>
      </c>
      <c r="BE269" s="19">
        <f>1000000000-AZ269-BA269-BB269-BC269-BD269</f>
        <v/>
      </c>
      <c r="BF269" s="20" t="n">
        <v>238</v>
      </c>
      <c r="BG269" s="20">
        <f>BE269/1000000-BF269</f>
        <v/>
      </c>
      <c r="BH269" s="21">
        <f>BE269*40.63</f>
        <v/>
      </c>
    </row>
    <row r="270">
      <c r="A270" s="10" t="n">
        <v>45892</v>
      </c>
      <c r="B270" s="11" t="n">
        <v>8356300448</v>
      </c>
      <c r="C270" s="11" t="n"/>
      <c r="D270" s="11" t="n">
        <v>3357923728</v>
      </c>
      <c r="E270" s="11" t="n"/>
      <c r="N270" s="11" t="n">
        <v>2482611.19</v>
      </c>
      <c r="O270" s="11" t="n"/>
      <c r="P270" s="11" t="n">
        <v>480020.25</v>
      </c>
      <c r="Q270" s="11" t="n"/>
      <c r="R270" s="21">
        <f>N270+O270+P270+N(Q270)</f>
        <v/>
      </c>
      <c r="S270" s="13" t="n">
        <v>0.03</v>
      </c>
      <c r="T270" s="21">
        <f>N(AC270)*S270</f>
        <v/>
      </c>
      <c r="U270" s="21">
        <f>N(AD270)*S270</f>
        <v/>
      </c>
      <c r="V270" s="21">
        <f>N(AE270)*S270</f>
        <v/>
      </c>
      <c r="W270" s="21">
        <f>IF(Q270="","",N(AF270)*S270)</f>
        <v/>
      </c>
      <c r="X270" s="11" t="n">
        <v>164513.88</v>
      </c>
      <c r="Y270" s="11" t="n"/>
      <c r="Z270" s="11" t="n"/>
      <c r="AA270" s="21">
        <f>T270+U270+V270+N(W270)+X270+Y270+N(Z270)</f>
        <v/>
      </c>
      <c r="AB270" s="11" t="n"/>
      <c r="AC270" s="11" t="n">
        <v>2482611.19</v>
      </c>
      <c r="AD270" s="21">
        <f>O270-Y270</f>
        <v/>
      </c>
      <c r="AE270" s="21">
        <f>P270-X270</f>
        <v/>
      </c>
      <c r="AF270" s="21">
        <f>IF(Q270="","",Q270-Z270)</f>
        <v/>
      </c>
      <c r="AG270" s="22">
        <f>AC270+AD270+AE270+N(AF270)</f>
        <v/>
      </c>
      <c r="AH270" s="11" t="n">
        <v>2555181.64434</v>
      </c>
      <c r="AI270" s="24">
        <f>AG270-AH270</f>
        <v/>
      </c>
      <c r="AJ270" s="14">
        <f>IF(OR(B270="",B270=0,N270=""),"",N270/B270*10000)</f>
        <v/>
      </c>
      <c r="AK270" s="14">
        <f>IF(OR(C270="",C270=0),"",O270/C270*10000)</f>
        <v/>
      </c>
      <c r="AL270" s="14">
        <f>IF(OR(D270="",D270=0),"",P270/D270*10000)</f>
        <v/>
      </c>
      <c r="AM270" s="14">
        <f>IF(OR(E270="",E270=0),"",Q270/E270*10000)</f>
        <v/>
      </c>
      <c r="AN270" s="11" t="n">
        <v>12653.39209463229</v>
      </c>
      <c r="AO270" s="11" t="n">
        <v>0</v>
      </c>
      <c r="AP270" s="21">
        <f>AH270+AN270+AO270</f>
        <v/>
      </c>
      <c r="AQ270" s="21">
        <f>AH270</f>
        <v/>
      </c>
      <c r="AR270" s="15" t="n">
        <v>57895.64</v>
      </c>
      <c r="AS270" s="27" t="n">
        <v>44.13426718039563</v>
      </c>
      <c r="AT270" s="15" t="n">
        <v>29457776.36</v>
      </c>
      <c r="AU270" s="15" t="n">
        <v>26337.2215</v>
      </c>
      <c r="AV270" s="15" t="n">
        <v>2213.6907</v>
      </c>
      <c r="AW270" s="15" t="n"/>
      <c r="AX270" s="16" t="n">
        <v>431.609115769424</v>
      </c>
      <c r="AY270" s="13">
        <f>IF(OR(AX270="",AX270=0,AU270=""),"",AU270*365/(AX270*1000000))</f>
        <v/>
      </c>
      <c r="AZ270" s="15" t="n">
        <v>421830354.0399</v>
      </c>
      <c r="BA270" s="17" t="n">
        <v>60487233</v>
      </c>
      <c r="BB270" s="18" t="n">
        <v>29457776.36</v>
      </c>
      <c r="BC270" s="17" t="n">
        <v>2971663</v>
      </c>
      <c r="BD270" s="17">
        <f>1000000000-999629819.2258+71498.7708</f>
        <v/>
      </c>
      <c r="BE270" s="19">
        <f>1000000000-AZ270-BA270-BB270-BC270-BD270</f>
        <v/>
      </c>
      <c r="BF270" s="20" t="n">
        <v>238</v>
      </c>
      <c r="BG270" s="20">
        <f>BE270/1000000-BF270</f>
        <v/>
      </c>
      <c r="BH270" s="21">
        <f>BE270*44.98</f>
        <v/>
      </c>
    </row>
    <row r="271">
      <c r="A271" s="10" t="n">
        <v>45893</v>
      </c>
      <c r="B271" s="11" t="n">
        <v>17185841113</v>
      </c>
      <c r="C271" s="11" t="n"/>
      <c r="D271" s="11" t="n">
        <v>3442644556</v>
      </c>
      <c r="E271" s="11" t="n"/>
      <c r="N271" s="11" t="n">
        <v>4902268.21</v>
      </c>
      <c r="O271" s="11" t="n"/>
      <c r="P271" s="11" t="n">
        <v>1522305.95</v>
      </c>
      <c r="Q271" s="11" t="n"/>
      <c r="R271" s="21">
        <f>N271+O271+P271+N(Q271)</f>
        <v/>
      </c>
      <c r="S271" s="13" t="n">
        <v>0.03</v>
      </c>
      <c r="T271" s="21">
        <f>N(AC271)*S271</f>
        <v/>
      </c>
      <c r="U271" s="21">
        <f>N(AD271)*S271</f>
        <v/>
      </c>
      <c r="V271" s="21">
        <f>N(AE271)*S271</f>
        <v/>
      </c>
      <c r="W271" s="21">
        <f>IF(Q271="","",N(AF271)*S271)</f>
        <v/>
      </c>
      <c r="X271" s="11" t="n">
        <v>542084.8100000001</v>
      </c>
      <c r="Y271" s="11" t="n"/>
      <c r="Z271" s="11" t="n"/>
      <c r="AA271" s="21">
        <f>T271+U271+V271+N(W271)+X271+Y271+N(Z271)</f>
        <v/>
      </c>
      <c r="AB271" s="11" t="n"/>
      <c r="AC271" s="11" t="n">
        <v>4902268.21</v>
      </c>
      <c r="AD271" s="21">
        <f>O271-Y271</f>
        <v/>
      </c>
      <c r="AE271" s="21">
        <f>P271-X271</f>
        <v/>
      </c>
      <c r="AF271" s="21">
        <f>IF(Q271="","",Q271-Z271)</f>
        <v/>
      </c>
      <c r="AG271" s="22">
        <f>AC271+AD271+AE271+N(AF271)</f>
        <v/>
      </c>
      <c r="AH271" s="11" t="n">
        <v>5298039.79658</v>
      </c>
      <c r="AI271" s="24">
        <f>AG271-AH271</f>
        <v/>
      </c>
      <c r="AJ271" s="14">
        <f>IF(OR(B271="",B271=0,N271=""),"",N271/B271*10000)</f>
        <v/>
      </c>
      <c r="AK271" s="14">
        <f>IF(OR(C271="",C271=0),"",O271/C271*10000)</f>
        <v/>
      </c>
      <c r="AL271" s="14">
        <f>IF(OR(D271="",D271=0),"",P271/D271*10000)</f>
        <v/>
      </c>
      <c r="AM271" s="14">
        <f>IF(OR(E271="",E271=0),"",Q271/E271*10000)</f>
        <v/>
      </c>
      <c r="AN271" s="11" t="n">
        <v>52789.30337214888</v>
      </c>
      <c r="AO271" s="11" t="n">
        <v>95363.92</v>
      </c>
      <c r="AP271" s="21">
        <f>AH271+AN271+AO271</f>
        <v/>
      </c>
      <c r="AQ271" s="21">
        <f>AH271</f>
        <v/>
      </c>
      <c r="AR271" s="15" t="n">
        <v>117446.82</v>
      </c>
      <c r="AS271" s="27" t="n">
        <v>45.11011704344144</v>
      </c>
      <c r="AT271" s="15" t="n">
        <v>29575440.54</v>
      </c>
      <c r="AU271" s="15" t="n">
        <v>25925.0993</v>
      </c>
      <c r="AV271" s="15" t="n">
        <v>374.1172</v>
      </c>
      <c r="AW271" s="15" t="n"/>
      <c r="AX271" s="16" t="n">
        <v>432.0085502504356</v>
      </c>
      <c r="AY271" s="13">
        <f>IF(OR(AX271="",AX271=0,AU271=""),"",AU271*365/(AX271*1000000))</f>
        <v/>
      </c>
      <c r="AZ271" s="15" t="n">
        <v>421804428.9406</v>
      </c>
      <c r="BA271" s="17" t="n">
        <v>60487233</v>
      </c>
      <c r="BB271" s="18" t="n">
        <v>29575440.54</v>
      </c>
      <c r="BC271" s="17" t="n">
        <v>2971663</v>
      </c>
      <c r="BD271" s="17">
        <f>1000000000-999629445.1086+72675.8160</f>
        <v/>
      </c>
      <c r="BE271" s="19">
        <f>1000000000-AZ271-BA271-BB271-BC271-BD271</f>
        <v/>
      </c>
      <c r="BF271" s="20" t="n">
        <v>238</v>
      </c>
      <c r="BG271" s="20">
        <f>BE271/1000000-BF271</f>
        <v/>
      </c>
      <c r="BH271" s="21">
        <f>BE271*44.83</f>
        <v/>
      </c>
    </row>
    <row r="272">
      <c r="A272" s="10" t="n">
        <v>45894</v>
      </c>
      <c r="B272" s="11" t="n">
        <v>20948854171</v>
      </c>
      <c r="C272" s="11" t="n"/>
      <c r="D272" s="12" t="n">
        <v>1534795396</v>
      </c>
      <c r="E272" s="11" t="n"/>
      <c r="N272" s="11" t="n">
        <v>5860121.72</v>
      </c>
      <c r="O272" s="11" t="n"/>
      <c r="P272" s="11" t="n">
        <v>451734.97</v>
      </c>
      <c r="Q272" s="11" t="n"/>
      <c r="R272" s="21">
        <f>N272+O272+P272+N(Q272)</f>
        <v/>
      </c>
      <c r="S272" s="13" t="n">
        <v>0.03</v>
      </c>
      <c r="T272" s="21">
        <f>N(AC272)*S272</f>
        <v/>
      </c>
      <c r="U272" s="21">
        <f>N(AD272)*S272</f>
        <v/>
      </c>
      <c r="V272" s="21">
        <f>N(AE272)*S272</f>
        <v/>
      </c>
      <c r="W272" s="21">
        <f>IF(Q272="","",N(AF272)*S272)</f>
        <v/>
      </c>
      <c r="X272" s="11" t="n">
        <v>127806.87</v>
      </c>
      <c r="Y272" s="11" t="n"/>
      <c r="Z272" s="11" t="n"/>
      <c r="AA272" s="21">
        <f>T272+U272+V272+N(W272)+X272+Y272+N(Z272)</f>
        <v/>
      </c>
      <c r="AB272" s="11" t="n"/>
      <c r="AC272" s="11" t="n">
        <v>5860121.72</v>
      </c>
      <c r="AD272" s="21">
        <f>O272-Y272</f>
        <v/>
      </c>
      <c r="AE272" s="21">
        <f>P272-X272</f>
        <v/>
      </c>
      <c r="AF272" s="21">
        <f>IF(Q272="","",Q272-Z272)</f>
        <v/>
      </c>
      <c r="AG272" s="22">
        <f>AC272+AD272+AE272+N(AF272)</f>
        <v/>
      </c>
      <c r="AH272" s="11" t="n">
        <v>5591022.73503</v>
      </c>
      <c r="AI272" s="24">
        <f>AG272-AH272</f>
        <v/>
      </c>
      <c r="AJ272" s="14">
        <f>IF(OR(B272="",B272=0,N272=""),"",N272/B272*10000)</f>
        <v/>
      </c>
      <c r="AK272" s="14">
        <f>IF(OR(C272="",C272=0),"",O272/C272*10000)</f>
        <v/>
      </c>
      <c r="AL272" s="14">
        <f>IF(OR(D272="",D272=0),"",P272/D272*10000)</f>
        <v/>
      </c>
      <c r="AM272" s="14">
        <f>IF(OR(E272="",E272=0),"",Q272/E272*10000)</f>
        <v/>
      </c>
      <c r="AN272" s="11" t="n">
        <v>57416.9308421625</v>
      </c>
      <c r="AO272" s="11" t="n">
        <v>0</v>
      </c>
      <c r="AP272" s="21">
        <f>AH272+AN272+AO272</f>
        <v/>
      </c>
      <c r="AQ272" s="21">
        <f>AH272</f>
        <v/>
      </c>
      <c r="AR272" s="15" t="n">
        <v>124431.35</v>
      </c>
      <c r="AS272" s="27" t="n">
        <v>44.93258921509732</v>
      </c>
      <c r="AT272" s="15" t="n">
        <v>29699945.26</v>
      </c>
      <c r="AU272" s="15" t="n">
        <v>26363.9334</v>
      </c>
      <c r="AV272" s="15" t="n">
        <v>2861.0986</v>
      </c>
      <c r="AW272" s="15" t="n"/>
      <c r="AX272" s="16" t="n">
        <v>432.7841906599742</v>
      </c>
      <c r="AY272" s="13">
        <f>IF(OR(AX272="",AX272=0,AU272=""),"",AU272*365/(AX272*1000000))</f>
        <v/>
      </c>
      <c r="AZ272" s="15" t="n">
        <v>421778065.0072</v>
      </c>
      <c r="BA272" s="17" t="n">
        <v>60487233</v>
      </c>
      <c r="BB272" s="18" t="n">
        <v>29699945.26</v>
      </c>
      <c r="BC272" s="17" t="n">
        <v>2971663</v>
      </c>
      <c r="BD272" s="17">
        <f>1000000000-999626584.0101+73921.4918</f>
        <v/>
      </c>
      <c r="BE272" s="19">
        <f>1000000000-AZ272-BA272-BB272-BC272-BD272</f>
        <v/>
      </c>
      <c r="BF272" s="20" t="n">
        <v>238</v>
      </c>
      <c r="BG272" s="20">
        <f>BE272/1000000-BF272</f>
        <v/>
      </c>
      <c r="BH272" s="21">
        <f>BE272*46.28</f>
        <v/>
      </c>
    </row>
    <row r="273">
      <c r="A273" s="10" t="n">
        <v>45895</v>
      </c>
      <c r="B273" s="11" t="n">
        <v>15388541326</v>
      </c>
      <c r="C273" s="11" t="n"/>
      <c r="D273" s="12" t="n">
        <v>1653313077</v>
      </c>
      <c r="E273" s="11" t="n"/>
      <c r="N273" s="11" t="n">
        <v>4431143.28</v>
      </c>
      <c r="O273" s="11" t="n"/>
      <c r="P273" s="11" t="n">
        <v>618368.71</v>
      </c>
      <c r="Q273" s="11" t="n"/>
      <c r="R273" s="21">
        <f>N273+O273+P273+N(Q273)</f>
        <v/>
      </c>
      <c r="S273" s="13" t="n">
        <v>0.03</v>
      </c>
      <c r="T273" s="21">
        <f>N(AC273)*S273</f>
        <v/>
      </c>
      <c r="U273" s="21">
        <f>N(AD273)*S273</f>
        <v/>
      </c>
      <c r="V273" s="21">
        <f>N(AE273)*S273</f>
        <v/>
      </c>
      <c r="W273" s="21">
        <f>IF(Q273="","",N(AF273)*S273)</f>
        <v/>
      </c>
      <c r="X273" s="11" t="n">
        <v>177524.6</v>
      </c>
      <c r="Y273" s="11" t="n"/>
      <c r="Z273" s="11" t="n"/>
      <c r="AA273" s="21">
        <f>T273+U273+V273+N(W273)+X273+Y273+N(Z273)</f>
        <v/>
      </c>
      <c r="AB273" s="11" t="n"/>
      <c r="AC273" s="11" t="n">
        <v>4431143.28</v>
      </c>
      <c r="AD273" s="21">
        <f>O273-Y273</f>
        <v/>
      </c>
      <c r="AE273" s="21">
        <f>P273-X273</f>
        <v/>
      </c>
      <c r="AF273" s="21">
        <f>IF(Q273="","",Q273-Z273)</f>
        <v/>
      </c>
      <c r="AG273" s="22">
        <f>AC273+AD273+AE273+N(AF273)</f>
        <v/>
      </c>
      <c r="AH273" s="11" t="n">
        <v>5812626.00916</v>
      </c>
      <c r="AI273" s="24">
        <f>AG273-AH273</f>
        <v/>
      </c>
      <c r="AJ273" s="14">
        <f>IF(OR(B273="",B273=0,N273=""),"",N273/B273*10000)</f>
        <v/>
      </c>
      <c r="AK273" s="14">
        <f>IF(OR(C273="",C273=0),"",O273/C273*10000)</f>
        <v/>
      </c>
      <c r="AL273" s="14">
        <f>IF(OR(D273="",D273=0),"",P273/D273*10000)</f>
        <v/>
      </c>
      <c r="AM273" s="14">
        <f>IF(OR(E273="",E273=0),"",Q273/E273*10000)</f>
        <v/>
      </c>
      <c r="AN273" s="11" t="n">
        <v>43508.11539426938</v>
      </c>
      <c r="AO273" s="11" t="n">
        <v>49640.27</v>
      </c>
      <c r="AP273" s="21">
        <f>AH273+AN273+AO273</f>
        <v/>
      </c>
      <c r="AQ273" s="21">
        <f>AH273</f>
        <v/>
      </c>
      <c r="AR273" s="15" t="n">
        <v>124468.22</v>
      </c>
      <c r="AS273" s="27" t="n">
        <v>46.69967971872659</v>
      </c>
      <c r="AT273" s="15" t="n">
        <v>29824454.1</v>
      </c>
      <c r="AU273" s="15" t="n">
        <v>26366.0098</v>
      </c>
      <c r="AV273" s="15" t="n">
        <v>1538.1765</v>
      </c>
      <c r="AW273" s="15" t="n"/>
      <c r="AX273" s="16" t="n">
        <v>432.4009595294015</v>
      </c>
      <c r="AY273" s="13">
        <f>IF(OR(AX273="",AX273=0,AU273=""),"",AU273*365/(AX273*1000000))</f>
        <v/>
      </c>
      <c r="AZ273" s="15" t="n">
        <v>421751698.9974</v>
      </c>
      <c r="BA273" s="17" t="n">
        <v>60487233</v>
      </c>
      <c r="BB273" s="18" t="n">
        <v>29824454.1</v>
      </c>
      <c r="BC273" s="17" t="n">
        <v>2971663</v>
      </c>
      <c r="BD273" s="17">
        <f>1000000000-999625045.8336+74935.7852</f>
        <v/>
      </c>
      <c r="BE273" s="19">
        <f>1000000000-AZ273-BA273-BB273-BC273-BD273</f>
        <v/>
      </c>
      <c r="BF273" s="20" t="n">
        <v>238</v>
      </c>
      <c r="BG273" s="20">
        <f>BE273/1000000-BF273</f>
        <v/>
      </c>
      <c r="BH273" s="21">
        <f>BE273*42.81</f>
        <v/>
      </c>
    </row>
    <row r="274">
      <c r="A274" s="10" t="n">
        <v>45896</v>
      </c>
      <c r="B274" s="11" t="n">
        <v>13058401010</v>
      </c>
      <c r="C274" s="11" t="n"/>
      <c r="D274" s="12" t="n">
        <v>567526114</v>
      </c>
      <c r="E274" s="11" t="n"/>
      <c r="N274" s="11" t="n">
        <v>3918367.82</v>
      </c>
      <c r="O274" s="11" t="n"/>
      <c r="P274" s="11" t="n">
        <v>205430.64</v>
      </c>
      <c r="Q274" s="11" t="n"/>
      <c r="R274" s="21">
        <f>N274+O274+P274+N(Q274)</f>
        <v/>
      </c>
      <c r="S274" s="13" t="n">
        <v>0.03</v>
      </c>
      <c r="T274" s="21">
        <f>N(AC274)*S274</f>
        <v/>
      </c>
      <c r="U274" s="21">
        <f>N(AD274)*S274</f>
        <v/>
      </c>
      <c r="V274" s="21">
        <f>N(AE274)*S274</f>
        <v/>
      </c>
      <c r="W274" s="21">
        <f>IF(Q274="","",N(AF274)*S274)</f>
        <v/>
      </c>
      <c r="X274" s="11" t="n">
        <v>25194.18</v>
      </c>
      <c r="Y274" s="11" t="n"/>
      <c r="Z274" s="11" t="n"/>
      <c r="AA274" s="21">
        <f>T274+U274+V274+N(W274)+X274+Y274+N(Z274)</f>
        <v/>
      </c>
      <c r="AB274" s="11" t="n"/>
      <c r="AC274" s="11" t="n">
        <v>3918367.82</v>
      </c>
      <c r="AD274" s="21">
        <f>O274-Y274</f>
        <v/>
      </c>
      <c r="AE274" s="21">
        <f>P274-X274</f>
        <v/>
      </c>
      <c r="AF274" s="21">
        <f>IF(Q274="","",Q274-Z274)</f>
        <v/>
      </c>
      <c r="AG274" s="22">
        <f>AC274+AD274+AE274+N(AF274)</f>
        <v/>
      </c>
      <c r="AH274" s="11" t="n">
        <v>3645666.39599</v>
      </c>
      <c r="AI274" s="24">
        <f>AG274-AH274</f>
        <v/>
      </c>
      <c r="AJ274" s="14">
        <f>IF(OR(B274="",B274=0,N274=""),"",N274/B274*10000)</f>
        <v/>
      </c>
      <c r="AK274" s="14">
        <f>IF(OR(C274="",C274=0),"",O274/C274*10000)</f>
        <v/>
      </c>
      <c r="AL274" s="14">
        <f>IF(OR(D274="",D274=0),"",P274/D274*10000)</f>
        <v/>
      </c>
      <c r="AM274" s="14">
        <f>IF(OR(E274="",E274=0),"",Q274/E274*10000)</f>
        <v/>
      </c>
      <c r="AN274" s="11" t="n">
        <v>52325.08759990281</v>
      </c>
      <c r="AO274" s="11" t="n">
        <v>68993.61</v>
      </c>
      <c r="AP274" s="21">
        <f>AH274+AN274+AO274</f>
        <v/>
      </c>
      <c r="AQ274" s="21">
        <f>AH274</f>
        <v/>
      </c>
      <c r="AR274" s="15" t="n">
        <v>73824.09</v>
      </c>
      <c r="AS274" s="27" t="n">
        <v>49.38315387280765</v>
      </c>
      <c r="AT274" s="15" t="n">
        <v>29897946.84</v>
      </c>
      <c r="AU274" s="15" t="n">
        <v>26403.5722</v>
      </c>
      <c r="AV274" s="15" t="n">
        <v>2522.4986</v>
      </c>
      <c r="AW274" s="15" t="n"/>
      <c r="AX274" s="16" t="n">
        <v>433.2140545284113</v>
      </c>
      <c r="AY274" s="13">
        <f>IF(OR(AX274="",AX274=0,AU274=""),"",AU274*365/(AX274*1000000))</f>
        <v/>
      </c>
      <c r="AZ274" s="15" t="n">
        <v>421725295.4252</v>
      </c>
      <c r="BA274" s="17" t="n">
        <v>60487233</v>
      </c>
      <c r="BB274" s="18" t="n">
        <v>29897946.84</v>
      </c>
      <c r="BC274" s="17" t="n">
        <v>2971663</v>
      </c>
      <c r="BD274" s="17">
        <f>1000000000-999622523.335+76007.4715</f>
        <v/>
      </c>
      <c r="BE274" s="19">
        <f>1000000000-AZ274-BA274-BB274-BC274-BD274</f>
        <v/>
      </c>
      <c r="BF274" s="20" t="n">
        <v>238</v>
      </c>
      <c r="BG274" s="20">
        <f>BE274/1000000-BF274</f>
        <v/>
      </c>
      <c r="BH274" s="21">
        <f>BE274*48.58</f>
        <v/>
      </c>
    </row>
    <row r="275">
      <c r="A275" s="10" t="n">
        <v>45897</v>
      </c>
      <c r="B275" s="11" t="n">
        <v>10282718689</v>
      </c>
      <c r="C275" s="11" t="n"/>
      <c r="D275" s="12" t="n">
        <v>420001260</v>
      </c>
      <c r="E275" s="11" t="n"/>
      <c r="N275" s="11" t="n">
        <v>3040043.34</v>
      </c>
      <c r="O275" s="11" t="n"/>
      <c r="P275" s="11" t="n">
        <v>196610.9</v>
      </c>
      <c r="Q275" s="11" t="n"/>
      <c r="R275" s="21">
        <f>N275+O275+P275+N(Q275)</f>
        <v/>
      </c>
      <c r="S275" s="13" t="n">
        <v>0.03</v>
      </c>
      <c r="T275" s="21">
        <f>N(AC275)*S275</f>
        <v/>
      </c>
      <c r="U275" s="21">
        <f>N(AD275)*S275</f>
        <v/>
      </c>
      <c r="V275" s="21">
        <f>N(AE275)*S275</f>
        <v/>
      </c>
      <c r="W275" s="21">
        <f>IF(Q275="","",N(AF275)*S275)</f>
        <v/>
      </c>
      <c r="X275" s="11" t="n">
        <v>25638.66</v>
      </c>
      <c r="Y275" s="11" t="n"/>
      <c r="Z275" s="11" t="n"/>
      <c r="AA275" s="21">
        <f>T275+U275+V275+N(W275)+X275+Y275+N(Z275)</f>
        <v/>
      </c>
      <c r="AB275" s="11" t="n"/>
      <c r="AC275" s="11" t="n">
        <v>3040043.34</v>
      </c>
      <c r="AD275" s="21">
        <f>O275-Y275</f>
        <v/>
      </c>
      <c r="AE275" s="21">
        <f>P275-X275</f>
        <v/>
      </c>
      <c r="AF275" s="21">
        <f>IF(Q275="","",Q275-Z275)</f>
        <v/>
      </c>
      <c r="AG275" s="22">
        <f>AC275+AD275+AE275+N(AF275)</f>
        <v/>
      </c>
      <c r="AH275" s="11" t="n">
        <v>2852918.43232</v>
      </c>
      <c r="AI275" s="24">
        <f>AG275-AH275</f>
        <v/>
      </c>
      <c r="AJ275" s="14">
        <f>IF(OR(B275="",B275=0,N275=""),"",N275/B275*10000)</f>
        <v/>
      </c>
      <c r="AK275" s="14">
        <f>IF(OR(C275="",C275=0),"",O275/C275*10000)</f>
        <v/>
      </c>
      <c r="AL275" s="14">
        <f>IF(OR(D275="",D275=0),"",P275/D275*10000)</f>
        <v/>
      </c>
      <c r="AM275" s="14">
        <f>IF(OR(E275="",E275=0),"",Q275/E275*10000)</f>
        <v/>
      </c>
      <c r="AN275" s="11" t="n">
        <v>26936.35459954765</v>
      </c>
      <c r="AO275" s="11" t="n">
        <v>0</v>
      </c>
      <c r="AP275" s="21">
        <f>AH275+AN275+AO275</f>
        <v/>
      </c>
      <c r="AQ275" s="21">
        <f>AH275</f>
        <v/>
      </c>
      <c r="AR275" s="15" t="n">
        <v>59964.64</v>
      </c>
      <c r="AS275" s="27" t="n">
        <v>47.57667906152693</v>
      </c>
      <c r="AT275" s="15" t="n">
        <v>29957492.26</v>
      </c>
      <c r="AU275" s="15" t="n">
        <v>26384</v>
      </c>
      <c r="AV275" s="15" t="n">
        <v>2596.5887</v>
      </c>
      <c r="AW275" s="15" t="n"/>
      <c r="AX275" s="16" t="n">
        <v>433.7442915932997</v>
      </c>
      <c r="AY275" s="13">
        <f>IF(OR(AX275="",AX275=0,AU275=""),"",AU275*365/(AX275*1000000))</f>
        <v/>
      </c>
      <c r="AZ275" s="15" t="n">
        <v>421698911.4252</v>
      </c>
      <c r="BA275" s="17" t="n">
        <v>60487233</v>
      </c>
      <c r="BB275" s="18" t="n">
        <v>29957492.26</v>
      </c>
      <c r="BC275" s="17" t="n">
        <v>2971663</v>
      </c>
      <c r="BD275" s="17">
        <f>1000000000-999619926.7463+76583.6010</f>
        <v/>
      </c>
      <c r="BE275" s="19">
        <f>1000000000-AZ275-BA275-BB275-BC275-BD275</f>
        <v/>
      </c>
      <c r="BF275" s="20" t="n">
        <v>238</v>
      </c>
      <c r="BG275" s="20">
        <f>BE275/1000000-BF275</f>
        <v/>
      </c>
      <c r="BH275" s="21">
        <f>BE275*47.12</f>
        <v/>
      </c>
    </row>
    <row r="276">
      <c r="A276" s="10" t="n">
        <v>45898</v>
      </c>
      <c r="B276" s="11" t="n">
        <v>16727206705</v>
      </c>
      <c r="C276" s="11" t="n"/>
      <c r="D276" s="12" t="n">
        <v>1187391721</v>
      </c>
      <c r="E276" s="11" t="n"/>
      <c r="N276" s="11" t="n">
        <v>4661506.81</v>
      </c>
      <c r="O276" s="11" t="n"/>
      <c r="P276" s="11" t="n">
        <v>495475.64</v>
      </c>
      <c r="Q276" s="11" t="n"/>
      <c r="R276" s="21">
        <f>N276+O276+P276+N(Q276)</f>
        <v/>
      </c>
      <c r="S276" s="13" t="n">
        <v>0.03</v>
      </c>
      <c r="T276" s="21">
        <f>N(AC276)*S276</f>
        <v/>
      </c>
      <c r="U276" s="21">
        <f>N(AD276)*S276</f>
        <v/>
      </c>
      <c r="V276" s="21">
        <f>N(AE276)*S276</f>
        <v/>
      </c>
      <c r="W276" s="21">
        <f>IF(Q276="","",N(AF276)*S276)</f>
        <v/>
      </c>
      <c r="X276" s="11" t="n">
        <v>146023.43</v>
      </c>
      <c r="Y276" s="11" t="n"/>
      <c r="Z276" s="11" t="n"/>
      <c r="AA276" s="21">
        <f>T276+U276+V276+N(W276)+X276+Y276+N(Z276)</f>
        <v/>
      </c>
      <c r="AB276" s="11" t="n"/>
      <c r="AC276" s="11" t="n">
        <v>4661506.81</v>
      </c>
      <c r="AD276" s="21">
        <f>O276-Y276</f>
        <v/>
      </c>
      <c r="AE276" s="21">
        <f>P276-X276</f>
        <v/>
      </c>
      <c r="AF276" s="21">
        <f>IF(Q276="","",Q276-Z276)</f>
        <v/>
      </c>
      <c r="AG276" s="22">
        <f>AC276+AD276+AE276+N(AF276)</f>
        <v/>
      </c>
      <c r="AH276" s="11" t="n">
        <v>4517739.09553</v>
      </c>
      <c r="AI276" s="24">
        <f>AG276-AH276</f>
        <v/>
      </c>
      <c r="AJ276" s="14">
        <f>IF(OR(B276="",B276=0,N276=""),"",N276/B276*10000)</f>
        <v/>
      </c>
      <c r="AK276" s="14">
        <f>IF(OR(C276="",C276=0),"",O276/C276*10000)</f>
        <v/>
      </c>
      <c r="AL276" s="14">
        <f>IF(OR(D276="",D276=0),"",P276/D276*10000)</f>
        <v/>
      </c>
      <c r="AM276" s="14">
        <f>IF(OR(E276="",E276=0),"",Q276/E276*10000)</f>
        <v/>
      </c>
      <c r="AN276" s="11" t="n">
        <v>28057.99142478528</v>
      </c>
      <c r="AO276" s="11" t="n">
        <v>34711.86</v>
      </c>
      <c r="AP276" s="21">
        <f>AH276+AN276+AO276</f>
        <v/>
      </c>
      <c r="AQ276" s="21">
        <f>AH276</f>
        <v/>
      </c>
      <c r="AR276" s="15" t="n">
        <v>101222.13</v>
      </c>
      <c r="AS276" s="27" t="n">
        <v>44.63193074014546</v>
      </c>
      <c r="AT276" s="15" t="n">
        <v>30059183.69</v>
      </c>
      <c r="AU276" s="15" t="n">
        <v>26324.2015</v>
      </c>
      <c r="AV276" s="15" t="n">
        <v>775.6297</v>
      </c>
      <c r="AW276" s="15" t="n"/>
      <c r="AX276" s="16" t="n">
        <v>434.2715365864815</v>
      </c>
      <c r="AY276" s="13">
        <f>IF(OR(AX276="",AX276=0,AU276=""),"",AU276*365/(AX276*1000000))</f>
        <v/>
      </c>
      <c r="AZ276" s="15" t="n">
        <v>421672587.2237</v>
      </c>
      <c r="BA276" s="17" t="n">
        <v>60487233</v>
      </c>
      <c r="BB276" s="18" t="n">
        <v>30059183.69</v>
      </c>
      <c r="BC276" s="17" t="n">
        <v>2971663</v>
      </c>
      <c r="BD276" s="17">
        <f>1000000000-999619151.1166+77198.5571</f>
        <v/>
      </c>
      <c r="BE276" s="19">
        <f>1000000000-AZ276-BA276-BB276-BC276-BD276</f>
        <v/>
      </c>
      <c r="BF276" s="20" t="n">
        <v>238</v>
      </c>
      <c r="BG276" s="20">
        <f>BE276/1000000-BF276</f>
        <v/>
      </c>
      <c r="BH276" s="21">
        <f>BE276*45.57</f>
        <v/>
      </c>
    </row>
    <row r="277">
      <c r="A277" s="10" t="n">
        <v>45899</v>
      </c>
      <c r="B277" s="11" t="n">
        <v>6799419658</v>
      </c>
      <c r="C277" s="11" t="n"/>
      <c r="D277" s="12" t="n">
        <v>815965664</v>
      </c>
      <c r="E277" s="11" t="n"/>
      <c r="N277" s="11" t="n">
        <v>1897302.17</v>
      </c>
      <c r="O277" s="11" t="n"/>
      <c r="P277" s="11" t="n">
        <v>280905.36</v>
      </c>
      <c r="Q277" s="11" t="n"/>
      <c r="R277" s="21">
        <f>N277+O277+P277+N(Q277)</f>
        <v/>
      </c>
      <c r="S277" s="13" t="n">
        <v>0.01</v>
      </c>
      <c r="T277" s="21">
        <f>N(AC277)*S277</f>
        <v/>
      </c>
      <c r="U277" s="21">
        <f>N(AD277)*S277</f>
        <v/>
      </c>
      <c r="V277" s="21">
        <f>N(AE277)*S277</f>
        <v/>
      </c>
      <c r="W277" s="21">
        <f>IF(Q277="","",N(AF277)*S277)</f>
        <v/>
      </c>
      <c r="X277" s="11" t="n">
        <v>84094.22</v>
      </c>
      <c r="Y277" s="11" t="n"/>
      <c r="Z277" s="11" t="n"/>
      <c r="AA277" s="21">
        <f>T277+U277+V277+N(W277)+X277+Y277+N(Z277)</f>
        <v/>
      </c>
      <c r="AB277" s="11" t="n"/>
      <c r="AC277" s="11" t="n">
        <v>1897302.17</v>
      </c>
      <c r="AD277" s="21">
        <f>O277-Y277</f>
        <v/>
      </c>
      <c r="AE277" s="21">
        <f>P277-X277</f>
        <v/>
      </c>
      <c r="AF277" s="21">
        <f>IF(Q277="","",Q277-Z277)</f>
        <v/>
      </c>
      <c r="AG277" s="22">
        <f>AC277+AD277+AE277+N(AF277)</f>
        <v/>
      </c>
      <c r="AH277" s="11" t="n">
        <v>1903289.33744</v>
      </c>
      <c r="AI277" s="24">
        <f>AG277-AH277</f>
        <v/>
      </c>
      <c r="AJ277" s="14">
        <f>IF(OR(B277="",B277=0,N277=""),"",N277/B277*10000)</f>
        <v/>
      </c>
      <c r="AK277" s="14">
        <f>IF(OR(C277="",C277=0),"",O277/C277*10000)</f>
        <v/>
      </c>
      <c r="AL277" s="14">
        <f>IF(OR(D277="",D277=0),"",P277/D277*10000)</f>
        <v/>
      </c>
      <c r="AM277" s="14">
        <f>IF(OR(E277="",E277=0),"",Q277/E277*10000)</f>
        <v/>
      </c>
      <c r="AN277" s="11" t="n">
        <v>7760.110163731015</v>
      </c>
      <c r="AO277" s="11" t="n">
        <v>34696.84</v>
      </c>
      <c r="AP277" s="21">
        <f>AH277+AN277+AO277</f>
        <v/>
      </c>
      <c r="AQ277" s="21">
        <f>AH277</f>
        <v/>
      </c>
      <c r="AR277" s="15" t="n">
        <v>43251.17</v>
      </c>
      <c r="AS277" s="27" t="n">
        <v>44.00549944521732</v>
      </c>
      <c r="AT277" s="15" t="n">
        <v>30102384.78</v>
      </c>
      <c r="AU277" s="15" t="n">
        <v>26261.8781</v>
      </c>
      <c r="AV277" s="15" t="n">
        <v>1515.4212</v>
      </c>
      <c r="AW277" s="15" t="n"/>
      <c r="AX277" s="16" t="n">
        <v>435.0266212593537</v>
      </c>
      <c r="AY277" s="13">
        <f>IF(OR(AX277="",AX277=0,AU277=""),"",AU277*365/(AX277*1000000))</f>
        <v/>
      </c>
      <c r="AZ277" s="15" t="n">
        <v>421646325.3456</v>
      </c>
      <c r="BA277" s="17" t="n">
        <v>60487233</v>
      </c>
      <c r="BB277" s="18" t="n">
        <v>30102384.78</v>
      </c>
      <c r="BC277" s="17" t="n">
        <v>2971663</v>
      </c>
      <c r="BD277" s="17">
        <f>1000000000-999617635.6954+77373.0750</f>
        <v/>
      </c>
      <c r="BE277" s="19">
        <f>1000000000-AZ277-BA277-BB277-BC277-BD277</f>
        <v/>
      </c>
      <c r="BF277" s="20" t="n">
        <v>238</v>
      </c>
      <c r="BG277" s="20">
        <f>BE277/1000000-BF277</f>
        <v/>
      </c>
      <c r="BH277" s="21">
        <f>BE277*44.41</f>
        <v/>
      </c>
    </row>
    <row r="278">
      <c r="A278" s="10" t="n">
        <v>45900</v>
      </c>
      <c r="B278" s="11" t="n">
        <v>5766508405</v>
      </c>
      <c r="C278" s="11" t="n"/>
      <c r="D278" s="12" t="n">
        <v>1224472730</v>
      </c>
      <c r="E278" s="11" t="n"/>
      <c r="N278" s="11" t="n">
        <v>1721646.99</v>
      </c>
      <c r="O278" s="11" t="n"/>
      <c r="P278" s="11" t="n">
        <v>365389.59</v>
      </c>
      <c r="Q278" s="11" t="n"/>
      <c r="R278" s="21">
        <f>N278+O278+P278+N(Q278)</f>
        <v/>
      </c>
      <c r="S278" s="13" t="n">
        <v>0.01</v>
      </c>
      <c r="T278" s="21">
        <f>N(AC278)*S278</f>
        <v/>
      </c>
      <c r="U278" s="21">
        <f>N(AD278)*S278</f>
        <v/>
      </c>
      <c r="V278" s="21">
        <f>N(AE278)*S278</f>
        <v/>
      </c>
      <c r="W278" s="21">
        <f>IF(Q278="","",N(AF278)*S278)</f>
        <v/>
      </c>
      <c r="X278" s="11" t="n">
        <v>127159.72</v>
      </c>
      <c r="Y278" s="11" t="n"/>
      <c r="Z278" s="11" t="n"/>
      <c r="AA278" s="21">
        <f>T278+U278+V278+N(W278)+X278+Y278+N(Z278)</f>
        <v/>
      </c>
      <c r="AB278" s="11" t="n"/>
      <c r="AC278" s="11" t="n">
        <v>1721646.99</v>
      </c>
      <c r="AD278" s="21">
        <f>O278-Y278</f>
        <v/>
      </c>
      <c r="AE278" s="21">
        <f>P278-X278</f>
        <v/>
      </c>
      <c r="AF278" s="21">
        <f>IF(Q278="","",Q278-Z278)</f>
        <v/>
      </c>
      <c r="AG278" s="22">
        <f>AC278+AD278+AE278+N(AF278)</f>
        <v/>
      </c>
      <c r="AH278" s="11" t="n">
        <v>1781642.51828</v>
      </c>
      <c r="AI278" s="24">
        <f>AG278-AH278</f>
        <v/>
      </c>
      <c r="AJ278" s="14">
        <f>IF(OR(B278="",B278=0,N278=""),"",N278/B278*10000)</f>
        <v/>
      </c>
      <c r="AK278" s="14">
        <f>IF(OR(C278="",C278=0),"",O278/C278*10000)</f>
        <v/>
      </c>
      <c r="AL278" s="14">
        <f>IF(OR(D278="",D278=0),"",P278/D278*10000)</f>
        <v/>
      </c>
      <c r="AM278" s="14">
        <f>IF(OR(E278="",E278=0),"",Q278/E278*10000)</f>
        <v/>
      </c>
      <c r="AN278" s="11" t="n">
        <v>6506.938058085145</v>
      </c>
      <c r="AO278" s="11" t="n">
        <v>28429.93</v>
      </c>
      <c r="AP278" s="21">
        <f>AH278+AN278+AO278</f>
        <v/>
      </c>
      <c r="AQ278" s="21">
        <f>AH278</f>
        <v/>
      </c>
      <c r="AR278" s="15" t="n">
        <v>39932.11</v>
      </c>
      <c r="AS278" s="27" t="n">
        <v>44.61678880179385</v>
      </c>
      <c r="AT278" s="15" t="n">
        <v>30142542.9</v>
      </c>
      <c r="AU278" s="15" t="n">
        <v>26548.2562</v>
      </c>
      <c r="AV278" s="15" t="n">
        <v>1051.6584</v>
      </c>
      <c r="AW278" s="15" t="n"/>
      <c r="AX278" s="16" t="n">
        <v>434.9258531938793</v>
      </c>
      <c r="AY278" s="13">
        <f>IF(OR(AX278="",AX278=0,AU278=""),"",AU278*365/(AX278*1000000))</f>
        <v/>
      </c>
      <c r="AZ278" s="15" t="n">
        <v>421619777.0895</v>
      </c>
      <c r="BA278" s="17" t="n">
        <v>60487233</v>
      </c>
      <c r="BB278" s="18" t="n">
        <v>30142542.9</v>
      </c>
      <c r="BC278" s="17" t="n">
        <v>2971663</v>
      </c>
      <c r="BD278" s="17">
        <f>1000000000-999616584.037+77520.3241</f>
        <v/>
      </c>
      <c r="BE278" s="19">
        <f>1000000000-AZ278-BA278-BB278-BC278-BD278</f>
        <v/>
      </c>
      <c r="BF278" s="20" t="n">
        <v>238</v>
      </c>
      <c r="BG278" s="20">
        <f>BE278/1000000-BF278</f>
        <v/>
      </c>
      <c r="BH278" s="21">
        <f>BE278*44.1</f>
        <v/>
      </c>
    </row>
    <row r="279">
      <c r="A279" s="10" t="n">
        <v>45901</v>
      </c>
      <c r="B279" s="11" t="n">
        <v>11587932834</v>
      </c>
      <c r="C279" s="11" t="n"/>
      <c r="D279" s="12" t="n">
        <v>830260769</v>
      </c>
      <c r="E279" s="11" t="n"/>
      <c r="N279" s="11" t="n">
        <v>3166730.77</v>
      </c>
      <c r="O279" s="11" t="n"/>
      <c r="P279" s="11" t="n">
        <v>240555.46</v>
      </c>
      <c r="Q279" s="11" t="n"/>
      <c r="R279" s="21">
        <f>N279+O279+P279+N(Q279)</f>
        <v/>
      </c>
      <c r="S279" s="13" t="n">
        <v>0.01</v>
      </c>
      <c r="T279" s="21">
        <f>N(AC279)*S279</f>
        <v/>
      </c>
      <c r="U279" s="21">
        <f>N(AD279)*S279</f>
        <v/>
      </c>
      <c r="V279" s="21">
        <f>N(AE279)*S279</f>
        <v/>
      </c>
      <c r="W279" s="21">
        <f>IF(Q279="","",N(AF279)*S279)</f>
        <v/>
      </c>
      <c r="X279" s="11" t="n">
        <v>63544.73</v>
      </c>
      <c r="Y279" s="11" t="n"/>
      <c r="Z279" s="11" t="n"/>
      <c r="AA279" s="21">
        <f>T279+U279+V279+N(W279)+X279+Y279+N(Z279)</f>
        <v/>
      </c>
      <c r="AB279" s="11" t="n"/>
      <c r="AC279" s="11" t="n">
        <v>3166730.77</v>
      </c>
      <c r="AD279" s="21">
        <f>O279-Y279</f>
        <v/>
      </c>
      <c r="AE279" s="21">
        <f>P279-X279</f>
        <v/>
      </c>
      <c r="AF279" s="21">
        <f>IF(Q279="","",Q279-Z279)</f>
        <v/>
      </c>
      <c r="AG279" s="22">
        <f>AC279+AD279+AE279+N(AF279)</f>
        <v/>
      </c>
      <c r="AH279" s="11" t="n">
        <v>3002689.84027</v>
      </c>
      <c r="AI279" s="24">
        <f>AG279-AH279</f>
        <v/>
      </c>
      <c r="AJ279" s="14">
        <f>IF(OR(B279="",B279=0,N279=""),"",N279/B279*10000)</f>
        <v/>
      </c>
      <c r="AK279" s="14">
        <f>IF(OR(C279="",C279=0),"",O279/C279*10000)</f>
        <v/>
      </c>
      <c r="AL279" s="14">
        <f>IF(OR(D279="",D279=0),"",P279/D279*10000)</f>
        <v/>
      </c>
      <c r="AM279" s="14">
        <f>IF(OR(E279="",E279=0),"",Q279/E279*10000)</f>
        <v/>
      </c>
      <c r="AN279" s="11" t="n">
        <v>18424.96866774533</v>
      </c>
      <c r="AO279" s="11" t="n">
        <v>0</v>
      </c>
      <c r="AP279" s="21">
        <f>AH279+AN279+AO279</f>
        <v/>
      </c>
      <c r="AQ279" s="21">
        <f>AH279</f>
        <v/>
      </c>
      <c r="AR279" s="15" t="n">
        <v>68021.86</v>
      </c>
      <c r="AS279" s="27" t="n">
        <v>44.143012853074</v>
      </c>
      <c r="AT279" s="15" t="n">
        <v>30210338.75</v>
      </c>
      <c r="AU279" s="15" t="n">
        <v>26680.4789</v>
      </c>
      <c r="AV279" s="15" t="n">
        <v>996.2214</v>
      </c>
      <c r="AW279" s="15" t="n"/>
      <c r="AX279" s="16" t="n">
        <v>433.9471313458666</v>
      </c>
      <c r="AY279" s="13">
        <f>IF(OR(AX279="",AX279=0,AU279=""),"",AU279*365/(AX279*1000000))</f>
        <v/>
      </c>
      <c r="AZ279" s="15" t="n">
        <v>421593096.6106</v>
      </c>
      <c r="BA279" s="17" t="n">
        <v>60487233</v>
      </c>
      <c r="BB279" s="18" t="n">
        <v>30210338.75</v>
      </c>
      <c r="BC279" s="17" t="n">
        <v>2971663</v>
      </c>
      <c r="BD279" s="17">
        <f>1000000000-999615587.8156+77939.3591</f>
        <v/>
      </c>
      <c r="BE279" s="19">
        <f>1000000000-AZ279-BA279-BB279-BC279-BD279</f>
        <v/>
      </c>
      <c r="BF279" s="20" t="n">
        <v>238</v>
      </c>
      <c r="BG279" s="20">
        <f>BE279/1000000-BF279</f>
        <v/>
      </c>
      <c r="BH279" s="21">
        <f>BE279*44.2</f>
        <v/>
      </c>
    </row>
    <row r="280">
      <c r="A280" s="10" t="n">
        <v>45902</v>
      </c>
      <c r="B280" s="11" t="n">
        <v>11422881300</v>
      </c>
      <c r="C280" s="11" t="n"/>
      <c r="D280" s="12" t="n">
        <v>374820537</v>
      </c>
      <c r="E280" s="11" t="n"/>
      <c r="N280" s="11" t="n">
        <v>3167331.73</v>
      </c>
      <c r="O280" s="11" t="n"/>
      <c r="P280" s="11" t="n">
        <v>134150.33</v>
      </c>
      <c r="Q280" s="11" t="n"/>
      <c r="R280" s="21">
        <f>N280+O280+P280+N(Q280)</f>
        <v/>
      </c>
      <c r="S280" s="13" t="n">
        <v>0.01</v>
      </c>
      <c r="T280" s="21">
        <f>N(AC280)*S280</f>
        <v/>
      </c>
      <c r="U280" s="21">
        <f>N(AD280)*S280</f>
        <v/>
      </c>
      <c r="V280" s="21">
        <f>N(AE280)*S280</f>
        <v/>
      </c>
      <c r="W280" s="21">
        <f>IF(Q280="","",N(AF280)*S280)</f>
        <v/>
      </c>
      <c r="X280" s="11" t="n">
        <v>26412.51</v>
      </c>
      <c r="Y280" s="11" t="n"/>
      <c r="Z280" s="11" t="n"/>
      <c r="AA280" s="21">
        <f>T280+U280+V280+N(W280)+X280+Y280+N(Z280)</f>
        <v/>
      </c>
      <c r="AB280" s="11" t="n"/>
      <c r="AC280" s="11" t="n">
        <v>3167331.73</v>
      </c>
      <c r="AD280" s="21">
        <f>O280-Y280</f>
        <v/>
      </c>
      <c r="AE280" s="21">
        <f>P280-X280</f>
        <v/>
      </c>
      <c r="AF280" s="21">
        <f>IF(Q280="","",Q280-Z280)</f>
        <v/>
      </c>
      <c r="AG280" s="22">
        <f>AC280+AD280+AE280+N(AF280)</f>
        <v/>
      </c>
      <c r="AH280" s="11" t="n">
        <v>3058785.56673</v>
      </c>
      <c r="AI280" s="24">
        <f>AG280-AH280</f>
        <v/>
      </c>
      <c r="AJ280" s="14">
        <f>IF(OR(B280="",B280=0,N280=""),"",N280/B280*10000)</f>
        <v/>
      </c>
      <c r="AK280" s="14">
        <f>IF(OR(C280="",C280=0),"",O280/C280*10000)</f>
        <v/>
      </c>
      <c r="AL280" s="14">
        <f>IF(OR(D280="",D280=0),"",P280/D280*10000)</f>
        <v/>
      </c>
      <c r="AM280" s="14">
        <f>IF(OR(E280="",E280=0),"",Q280/E280*10000)</f>
        <v/>
      </c>
      <c r="AN280" s="11" t="n">
        <v>17147.42827030919</v>
      </c>
      <c r="AO280" s="11" t="n">
        <v>58373.17</v>
      </c>
      <c r="AP280" s="21">
        <f>AH280+AN280+AO280</f>
        <v/>
      </c>
      <c r="AQ280" s="21">
        <f>AH280</f>
        <v/>
      </c>
      <c r="AR280" s="15" t="n">
        <v>69292.78</v>
      </c>
      <c r="AS280" s="27" t="n">
        <v>44.14291888317946</v>
      </c>
      <c r="AT280" s="15" t="n">
        <v>30279631.53</v>
      </c>
      <c r="AU280" s="15" t="n">
        <v>26649.846</v>
      </c>
      <c r="AV280" s="15" t="n">
        <v>470.2765</v>
      </c>
      <c r="AW280" s="15" t="n"/>
      <c r="AX280" s="16" t="n">
        <v>431.2876551678836</v>
      </c>
      <c r="AY280" s="13">
        <f>IF(OR(AX280="",AX280=0,AU280=""),"",AU280*365/(AX280*1000000))</f>
        <v/>
      </c>
      <c r="AZ280" s="15" t="n">
        <v>421566446.7646</v>
      </c>
      <c r="BA280" s="17" t="n">
        <v>60487233</v>
      </c>
      <c r="BB280" s="18" t="n">
        <v>30279631.53</v>
      </c>
      <c r="BC280" s="17" t="n">
        <v>2971663</v>
      </c>
      <c r="BD280" s="17">
        <f>1000000000-999615117.5391+78335.8498</f>
        <v/>
      </c>
      <c r="BE280" s="19">
        <f>1000000000-AZ280-BA280-BB280-BC280-BD280</f>
        <v/>
      </c>
      <c r="BF280" s="20" t="n">
        <v>238</v>
      </c>
      <c r="BG280" s="20">
        <f>BE280/1000000-BF280</f>
        <v/>
      </c>
      <c r="BH280" s="21">
        <f>BE280*42.98</f>
        <v/>
      </c>
    </row>
    <row r="281">
      <c r="A281" s="10" t="n">
        <v>45903</v>
      </c>
      <c r="B281" s="11" t="n">
        <v>8200160965</v>
      </c>
      <c r="C281" s="11" t="n"/>
      <c r="D281" s="12" t="n">
        <v>304761980</v>
      </c>
      <c r="E281" s="11" t="n"/>
      <c r="N281" s="11" t="n">
        <v>2341088.57</v>
      </c>
      <c r="O281" s="11" t="n"/>
      <c r="P281" s="11" t="n">
        <v>133347.02</v>
      </c>
      <c r="Q281" s="11" t="n"/>
      <c r="R281" s="21">
        <f>N281+O281+P281+N(Q281)</f>
        <v/>
      </c>
      <c r="S281" s="13" t="n">
        <v>0.01</v>
      </c>
      <c r="T281" s="21">
        <f>N(AC281)*S281</f>
        <v/>
      </c>
      <c r="U281" s="21">
        <f>N(AD281)*S281</f>
        <v/>
      </c>
      <c r="V281" s="21">
        <f>N(AE281)*S281</f>
        <v/>
      </c>
      <c r="W281" s="21">
        <f>IF(Q281="","",N(AF281)*S281)</f>
        <v/>
      </c>
      <c r="X281" s="11" t="n">
        <v>21100.66</v>
      </c>
      <c r="Y281" s="11" t="n"/>
      <c r="Z281" s="11" t="n"/>
      <c r="AA281" s="21">
        <f>T281+U281+V281+N(W281)+X281+Y281+N(Z281)</f>
        <v/>
      </c>
      <c r="AB281" s="11" t="n"/>
      <c r="AC281" s="11" t="n">
        <v>2341088.57</v>
      </c>
      <c r="AD281" s="21">
        <f>O281-Y281</f>
        <v/>
      </c>
      <c r="AE281" s="21">
        <f>P281-X281</f>
        <v/>
      </c>
      <c r="AF281" s="21">
        <f>IF(Q281="","",Q281-Z281)</f>
        <v/>
      </c>
      <c r="AG281" s="22">
        <f>AC281+AD281+AE281+N(AF281)</f>
        <v/>
      </c>
      <c r="AH281" s="11" t="n">
        <v>2259297.54066</v>
      </c>
      <c r="AI281" s="24">
        <f>AG281-AH281</f>
        <v/>
      </c>
      <c r="AJ281" s="14">
        <f>IF(OR(B281="",B281=0,N281=""),"",N281/B281*10000)</f>
        <v/>
      </c>
      <c r="AK281" s="14">
        <f>IF(OR(C281="",C281=0),"",O281/C281*10000)</f>
        <v/>
      </c>
      <c r="AL281" s="14">
        <f>IF(OR(D281="",D281=0),"",P281/D281*10000)</f>
        <v/>
      </c>
      <c r="AM281" s="14">
        <f>IF(OR(E281="",E281=0),"",Q281/E281*10000)</f>
        <v/>
      </c>
      <c r="AN281" s="11" t="n">
        <v>22000.40336266438</v>
      </c>
      <c r="AO281" s="11" t="n">
        <v>0</v>
      </c>
      <c r="AP281" s="21">
        <f>AH281+AN281+AO281</f>
        <v/>
      </c>
      <c r="AQ281" s="21">
        <f>AH281</f>
        <v/>
      </c>
      <c r="AR281" s="15" t="n">
        <v>49663.71</v>
      </c>
      <c r="AS281" s="27" t="n">
        <v>45.49192037123284</v>
      </c>
      <c r="AT281" s="15" t="n">
        <v>30329295.24</v>
      </c>
      <c r="AU281" s="15" t="n">
        <v>26600.4145</v>
      </c>
      <c r="AV281" s="15" t="n">
        <v>1849.0277</v>
      </c>
      <c r="AW281" s="15" t="n"/>
      <c r="AX281" s="16" t="n">
        <v>431.6109943398349</v>
      </c>
      <c r="AY281" s="13">
        <f>IF(OR(AX281="",AX281=0,AU281=""),"",AU281*365/(AX281*1000000))</f>
        <v/>
      </c>
      <c r="AZ281" s="15" t="n">
        <v>421539846.3501</v>
      </c>
      <c r="BA281" s="17" t="n">
        <v>60487233</v>
      </c>
      <c r="BB281" s="18" t="n">
        <v>30329295.24</v>
      </c>
      <c r="BC281" s="17" t="n">
        <v>2971663</v>
      </c>
      <c r="BD281" s="17">
        <f>1000000000-999613268.5114+78824.7585</f>
        <v/>
      </c>
      <c r="BE281" s="19">
        <f>1000000000-AZ281-BA281-BB281-BC281-BD281</f>
        <v/>
      </c>
      <c r="BF281" s="20" t="n">
        <v>238</v>
      </c>
      <c r="BG281" s="20">
        <f>BE281/1000000-BF281</f>
        <v/>
      </c>
      <c r="BH281" s="21">
        <f>BE281*44.99</f>
        <v/>
      </c>
    </row>
    <row r="282">
      <c r="A282" s="10" t="n">
        <v>45904</v>
      </c>
      <c r="B282" s="11" t="n">
        <v>9353334459</v>
      </c>
      <c r="C282" s="11" t="n"/>
      <c r="D282" s="12" t="n">
        <v>304771297</v>
      </c>
      <c r="E282" s="11" t="n"/>
      <c r="N282" s="11" t="n">
        <v>2710244.47</v>
      </c>
      <c r="O282" s="11" t="n"/>
      <c r="P282" s="11" t="n">
        <v>129808.14</v>
      </c>
      <c r="Q282" s="11" t="n"/>
      <c r="R282" s="21">
        <f>N282+O282+P282+N(Q282)</f>
        <v/>
      </c>
      <c r="S282" s="13" t="n">
        <v>0.01</v>
      </c>
      <c r="T282" s="21">
        <f>N(AC282)*S282</f>
        <v/>
      </c>
      <c r="U282" s="21">
        <f>N(AD282)*S282</f>
        <v/>
      </c>
      <c r="V282" s="21">
        <f>N(AE282)*S282</f>
        <v/>
      </c>
      <c r="W282" s="21">
        <f>IF(Q282="","",N(AF282)*S282)</f>
        <v/>
      </c>
      <c r="X282" s="11" t="n">
        <v>21806.99</v>
      </c>
      <c r="Y282" s="11" t="n"/>
      <c r="Z282" s="11" t="n"/>
      <c r="AA282" s="21">
        <f>T282+U282+V282+N(W282)+X282+Y282+N(Z282)</f>
        <v/>
      </c>
      <c r="AB282" s="11" t="n"/>
      <c r="AC282" s="11" t="n">
        <v>2710244.47</v>
      </c>
      <c r="AD282" s="21">
        <f>O282-Y282</f>
        <v/>
      </c>
      <c r="AE282" s="21">
        <f>P282-X282</f>
        <v/>
      </c>
      <c r="AF282" s="21">
        <f>IF(Q282="","",Q282-Z282)</f>
        <v/>
      </c>
      <c r="AG282" s="22">
        <f>AC282+AD282+AE282+N(AF282)</f>
        <v/>
      </c>
      <c r="AH282" s="11" t="n">
        <v>2588476.63511</v>
      </c>
      <c r="AI282" s="24">
        <f>AG282-AH282</f>
        <v/>
      </c>
      <c r="AJ282" s="14">
        <f>IF(OR(B282="",B282=0,N282=""),"",N282/B282*10000)</f>
        <v/>
      </c>
      <c r="AK282" s="14">
        <f>IF(OR(C282="",C282=0),"",O282/C282*10000)</f>
        <v/>
      </c>
      <c r="AL282" s="14">
        <f>IF(OR(D282="",D282=0),"",P282/D282*10000)</f>
        <v/>
      </c>
      <c r="AM282" s="14">
        <f>IF(OR(E282="",E282=0),"",Q282/E282*10000)</f>
        <v/>
      </c>
      <c r="AN282" s="11" t="n">
        <v>20973.83293150495</v>
      </c>
      <c r="AO282" s="11" t="n">
        <v>23462.32</v>
      </c>
      <c r="AP282" s="21">
        <f>AH282+AN282+AO282</f>
        <v/>
      </c>
      <c r="AQ282" s="21">
        <f>AH282</f>
        <v/>
      </c>
      <c r="AR282" s="15" t="n">
        <v>56982.19</v>
      </c>
      <c r="AS282" s="27" t="n">
        <v>45.42606444417107</v>
      </c>
      <c r="AT282" s="15" t="n">
        <v>30386453.73</v>
      </c>
      <c r="AU282" s="15" t="n">
        <v>26579.8812</v>
      </c>
      <c r="AV282" s="15" t="n">
        <v>500.6941</v>
      </c>
      <c r="AW282" s="15" t="n"/>
      <c r="AX282" s="16" t="n">
        <v>430.5215475963968</v>
      </c>
      <c r="AY282" s="13">
        <f>IF(OR(AX282="",AX282=0,AU282=""),"",AU282*365/(AX282*1000000))</f>
        <v/>
      </c>
      <c r="AZ282" s="15" t="n">
        <v>421513266.469</v>
      </c>
      <c r="BA282" s="17" t="n">
        <v>60487233</v>
      </c>
      <c r="BB282" s="18" t="n">
        <v>30386453.73</v>
      </c>
      <c r="BC282" s="17" t="n">
        <v>2971663</v>
      </c>
      <c r="BD282" s="17">
        <f>1000000000-999612767.8173+79280.1866</f>
        <v/>
      </c>
      <c r="BE282" s="19">
        <f>1000000000-AZ282-BA282-BB282-BC282-BD282</f>
        <v/>
      </c>
      <c r="BF282" s="20" t="n">
        <v>238</v>
      </c>
      <c r="BG282" s="20">
        <f>BE282/1000000-BF282</f>
        <v/>
      </c>
      <c r="BH282" s="21">
        <f>BE282*45.78</f>
        <v/>
      </c>
    </row>
    <row r="283">
      <c r="A283" s="10" t="n">
        <v>45905</v>
      </c>
      <c r="B283" s="11" t="n">
        <v>13297495997</v>
      </c>
      <c r="C283" s="11" t="n"/>
      <c r="D283" s="12" t="n">
        <v>461258458</v>
      </c>
      <c r="E283" s="11" t="n"/>
      <c r="N283" s="11" t="n">
        <v>3618401.51</v>
      </c>
      <c r="O283" s="11" t="n"/>
      <c r="P283" s="11" t="n">
        <v>180060.32</v>
      </c>
      <c r="Q283" s="11" t="n"/>
      <c r="R283" s="21">
        <f>N283+O283+P283+N(Q283)</f>
        <v/>
      </c>
      <c r="S283" s="13" t="n">
        <v>0.01</v>
      </c>
      <c r="T283" s="21">
        <f>N(AC283)*S283</f>
        <v/>
      </c>
      <c r="U283" s="21">
        <f>N(AD283)*S283</f>
        <v/>
      </c>
      <c r="V283" s="21">
        <f>N(AE283)*S283</f>
        <v/>
      </c>
      <c r="W283" s="21">
        <f>IF(Q283="","",N(AF283)*S283)</f>
        <v/>
      </c>
      <c r="X283" s="11" t="n">
        <v>32002.4</v>
      </c>
      <c r="Y283" s="11" t="n"/>
      <c r="Z283" s="11" t="n"/>
      <c r="AA283" s="21">
        <f>T283+U283+V283+N(W283)+X283+Y283+N(Z283)</f>
        <v/>
      </c>
      <c r="AB283" s="11" t="n"/>
      <c r="AC283" s="11" t="n">
        <v>3618401.51</v>
      </c>
      <c r="AD283" s="21">
        <f>O283-Y283</f>
        <v/>
      </c>
      <c r="AE283" s="21">
        <f>P283-X283</f>
        <v/>
      </c>
      <c r="AF283" s="21">
        <f>IF(Q283="","",Q283-Z283)</f>
        <v/>
      </c>
      <c r="AG283" s="22">
        <f>AC283+AD283+AE283+N(AF283)</f>
        <v/>
      </c>
      <c r="AH283" s="11" t="n">
        <v>3390576.2696</v>
      </c>
      <c r="AI283" s="24">
        <f>AG283-AH283</f>
        <v/>
      </c>
      <c r="AJ283" s="14">
        <f>IF(OR(B283="",B283=0,N283=""),"",N283/B283*10000)</f>
        <v/>
      </c>
      <c r="AK283" s="14">
        <f>IF(OR(C283="",C283=0),"",O283/C283*10000)</f>
        <v/>
      </c>
      <c r="AL283" s="14">
        <f>IF(OR(D283="",D283=0),"",P283/D283*10000)</f>
        <v/>
      </c>
      <c r="AM283" s="14">
        <f>IF(OR(E283="",E283=0),"",Q283/E283*10000)</f>
        <v/>
      </c>
      <c r="AN283" s="11" t="n">
        <v>33820.50239822755</v>
      </c>
      <c r="AO283" s="11" t="n">
        <v>0</v>
      </c>
      <c r="AP283" s="21">
        <f>AH283+AN283+AO283</f>
        <v/>
      </c>
      <c r="AQ283" s="21">
        <f>AH283</f>
        <v/>
      </c>
      <c r="AR283" s="15" t="n">
        <v>72961.84</v>
      </c>
      <c r="AS283" s="27" t="n">
        <v>46.47054226702616</v>
      </c>
      <c r="AT283" s="15" t="n">
        <v>30459239.27</v>
      </c>
      <c r="AU283" s="15" t="n">
        <v>26477.5564</v>
      </c>
      <c r="AV283" s="15" t="n">
        <v>922.0321</v>
      </c>
      <c r="AW283" s="15" t="n"/>
      <c r="AX283" s="16" t="n">
        <v>430.2896574823366</v>
      </c>
      <c r="AY283" s="13">
        <f>IF(OR(AX283="",AX283=0,AU283=""),"",AU283*365/(AX283*1000000))</f>
        <v/>
      </c>
      <c r="AZ283" s="15" t="n">
        <v>421486788.9126</v>
      </c>
      <c r="BA283" s="17" t="n">
        <v>60487233</v>
      </c>
      <c r="BB283" s="18" t="n">
        <v>30459239.27</v>
      </c>
      <c r="BC283" s="17" t="n">
        <v>2971663</v>
      </c>
      <c r="BD283" s="17">
        <f>1000000000-999611845.7852+80025.3286</f>
        <v/>
      </c>
      <c r="BE283" s="19">
        <f>1000000000-AZ283-BA283-BB283-BC283-BD283</f>
        <v/>
      </c>
      <c r="BF283" s="20" t="n">
        <v>238</v>
      </c>
      <c r="BG283" s="20">
        <f>BE283/1000000-BF283</f>
        <v/>
      </c>
      <c r="BH283" s="21">
        <f>BE283*45.37</f>
        <v/>
      </c>
    </row>
    <row r="284">
      <c r="A284" s="10" t="n">
        <v>45906</v>
      </c>
      <c r="B284" s="11" t="n">
        <v>3331797735</v>
      </c>
      <c r="C284" s="11" t="n"/>
      <c r="D284" s="11" t="n">
        <v>228441598</v>
      </c>
      <c r="E284" s="11" t="n"/>
      <c r="N284" s="11" t="n">
        <v>1068220.63</v>
      </c>
      <c r="O284" s="11" t="n"/>
      <c r="P284" s="11" t="n">
        <v>108316.29</v>
      </c>
      <c r="Q284" s="11" t="n"/>
      <c r="R284" s="21">
        <f>N284+O284+P284+N(Q284)</f>
        <v/>
      </c>
      <c r="S284" s="13" t="n">
        <v>0.01</v>
      </c>
      <c r="T284" s="21">
        <f>N(AC284)*S284</f>
        <v/>
      </c>
      <c r="U284" s="21">
        <f>N(AD284)*S284</f>
        <v/>
      </c>
      <c r="V284" s="21">
        <f>N(AE284)*S284</f>
        <v/>
      </c>
      <c r="W284" s="21">
        <f>IF(Q284="","",N(AF284)*S284)</f>
        <v/>
      </c>
      <c r="X284" s="11" t="n">
        <v>19014.75</v>
      </c>
      <c r="Y284" s="11" t="n"/>
      <c r="Z284" s="11" t="n"/>
      <c r="AA284" s="21">
        <f>T284+U284+V284+N(W284)+X284+Y284+N(Z284)</f>
        <v/>
      </c>
      <c r="AB284" s="11" t="n"/>
      <c r="AC284" s="11" t="n">
        <v>1068220.63</v>
      </c>
      <c r="AD284" s="21">
        <f>O284-Y284</f>
        <v/>
      </c>
      <c r="AE284" s="21">
        <f>P284-X284</f>
        <v/>
      </c>
      <c r="AF284" s="21">
        <f>IF(Q284="","",Q284-Z284)</f>
        <v/>
      </c>
      <c r="AG284" s="22">
        <f>AC284+AD284+AE284+N(AF284)</f>
        <v/>
      </c>
      <c r="AH284" s="11" t="n">
        <v>996785.99767</v>
      </c>
      <c r="AI284" s="24">
        <f>AG284-AH284</f>
        <v/>
      </c>
      <c r="AJ284" s="14">
        <f>IF(OR(B284="",B284=0,N284=""),"",N284/B284*10000)</f>
        <v/>
      </c>
      <c r="AK284" s="14">
        <f>IF(OR(C284="",C284=0),"",O284/C284*10000)</f>
        <v/>
      </c>
      <c r="AL284" s="14">
        <f>IF(OR(D284="",D284=0),"",P284/D284*10000)</f>
        <v/>
      </c>
      <c r="AM284" s="14">
        <f>IF(OR(E284="",E284=0),"",Q284/E284*10000)</f>
        <v/>
      </c>
      <c r="AN284" s="11" t="n">
        <v>9924.966067739862</v>
      </c>
      <c r="AO284" s="11" t="n">
        <v>26613.93</v>
      </c>
      <c r="AP284" s="21">
        <f>AH284+AN284+AO284</f>
        <v/>
      </c>
      <c r="AQ284" s="21">
        <f>AH284</f>
        <v/>
      </c>
      <c r="AR284" s="15" t="n">
        <v>21417.47</v>
      </c>
      <c r="AS284" s="27" t="n">
        <v>46.54079112378819</v>
      </c>
      <c r="AT284" s="15" t="n">
        <v>30480656.74</v>
      </c>
      <c r="AU284" s="15" t="n">
        <v>26466.1282</v>
      </c>
      <c r="AV284" s="15" t="n">
        <v>660.0802</v>
      </c>
      <c r="AW284" s="15" t="n"/>
      <c r="AX284" s="16" t="n">
        <v>432.4253322695328</v>
      </c>
      <c r="AY284" s="13">
        <f>IF(OR(AX284="",AX284=0,AU284=""),"",AU284*365/(AX284*1000000))</f>
        <v/>
      </c>
      <c r="AZ284" s="15" t="n">
        <v>421460322.7843</v>
      </c>
      <c r="BA284" s="17" t="n">
        <v>60487233</v>
      </c>
      <c r="BB284" s="18" t="n">
        <v>30480656.74</v>
      </c>
      <c r="BC284" s="17" t="n">
        <v>2971663</v>
      </c>
      <c r="BD284" s="17">
        <f>1000000000-999611185.705+80234.5659</f>
        <v/>
      </c>
      <c r="BE284" s="19">
        <f>1000000000-AZ284-BA284-BB284-BC284-BD284</f>
        <v/>
      </c>
      <c r="BF284" s="20" t="n">
        <v>238</v>
      </c>
      <c r="BG284" s="20">
        <f>BE284/1000000-BF284</f>
        <v/>
      </c>
      <c r="BH284" s="21">
        <f>BE284*47.44</f>
        <v/>
      </c>
    </row>
    <row r="285">
      <c r="A285" s="10" t="n">
        <v>45907</v>
      </c>
      <c r="B285" s="11" t="n">
        <v>3844405859</v>
      </c>
      <c r="C285" s="11" t="n"/>
      <c r="D285" s="11" t="n">
        <v>560130865</v>
      </c>
      <c r="E285" s="11" t="n"/>
      <c r="N285" s="11" t="n">
        <v>1156796.77</v>
      </c>
      <c r="O285" s="11" t="n"/>
      <c r="P285" s="11" t="n">
        <v>130909.57</v>
      </c>
      <c r="Q285" s="11" t="n"/>
      <c r="R285" s="21">
        <f>N285+O285+P285+N(Q285)</f>
        <v/>
      </c>
      <c r="S285" s="13" t="n">
        <v>0.01</v>
      </c>
      <c r="T285" s="21">
        <f>N(AC285)*S285</f>
        <v/>
      </c>
      <c r="U285" s="21">
        <f>N(AD285)*S285</f>
        <v/>
      </c>
      <c r="V285" s="21">
        <f>N(AE285)*S285</f>
        <v/>
      </c>
      <c r="W285" s="21">
        <f>IF(Q285="","",N(AF285)*S285)</f>
        <v/>
      </c>
      <c r="X285" s="11" t="n">
        <v>22617.83</v>
      </c>
      <c r="Y285" s="11" t="n"/>
      <c r="Z285" s="11" t="n"/>
      <c r="AA285" s="21">
        <f>T285+U285+V285+N(W285)+X285+Y285+N(Z285)</f>
        <v/>
      </c>
      <c r="AB285" s="11" t="n"/>
      <c r="AC285" s="11" t="n">
        <v>1156796.77</v>
      </c>
      <c r="AD285" s="21">
        <f>O285-Y285</f>
        <v/>
      </c>
      <c r="AE285" s="21">
        <f>P285-X285</f>
        <v/>
      </c>
      <c r="AF285" s="21">
        <f>IF(Q285="","",Q285-Z285)</f>
        <v/>
      </c>
      <c r="AG285" s="22">
        <f>AC285+AD285+AE285+N(AF285)</f>
        <v/>
      </c>
      <c r="AH285" s="11" t="n">
        <v>1076047.8964</v>
      </c>
      <c r="AI285" s="24">
        <f>AG285-AH285</f>
        <v/>
      </c>
      <c r="AJ285" s="14">
        <f>IF(OR(B285="",B285=0,N285=""),"",N285/B285*10000)</f>
        <v/>
      </c>
      <c r="AK285" s="14">
        <f>IF(OR(C285="",C285=0),"",O285/C285*10000)</f>
        <v/>
      </c>
      <c r="AL285" s="14">
        <f>IF(OR(D285="",D285=0),"",P285/D285*10000)</f>
        <v/>
      </c>
      <c r="AM285" s="14">
        <f>IF(OR(E285="",E285=0),"",Q285/E285*10000)</f>
        <v/>
      </c>
      <c r="AN285" s="11" t="n">
        <v>10078.66332137398</v>
      </c>
      <c r="AO285" s="11" t="n">
        <v>0</v>
      </c>
      <c r="AP285" s="21">
        <f>AH285+AN285+AO285</f>
        <v/>
      </c>
      <c r="AQ285" s="21">
        <f>AH285</f>
        <v/>
      </c>
      <c r="AR285" s="15" t="n">
        <v>22861.04</v>
      </c>
      <c r="AS285" s="27" t="n">
        <v>47.06907019103242</v>
      </c>
      <c r="AT285" s="15" t="n">
        <v>30503517.78</v>
      </c>
      <c r="AU285" s="15" t="n">
        <v>26495.0245</v>
      </c>
      <c r="AV285" s="15" t="n">
        <v>869.383</v>
      </c>
      <c r="AW285" s="15" t="n"/>
      <c r="AX285" s="16" t="n">
        <v>432.5190954382447</v>
      </c>
      <c r="AY285" s="13">
        <f>IF(OR(AX285="",AX285=0,AU285=""),"",AU285*365/(AX285*1000000))</f>
        <v/>
      </c>
      <c r="AZ285" s="15" t="n">
        <v>421433827.7598</v>
      </c>
      <c r="BA285" s="17" t="n">
        <v>60487233</v>
      </c>
      <c r="BB285" s="18" t="n">
        <v>30503517.78</v>
      </c>
      <c r="BC285" s="17" t="n">
        <v>2971663</v>
      </c>
      <c r="BD285" s="17">
        <f>1000000000-999610316.322+80452.2994</f>
        <v/>
      </c>
      <c r="BE285" s="19">
        <f>1000000000-AZ285-BA285-BB285-BC285-BD285</f>
        <v/>
      </c>
      <c r="BF285" s="20" t="n">
        <v>238</v>
      </c>
      <c r="BG285" s="20">
        <f>BE285/1000000-BF285</f>
        <v/>
      </c>
      <c r="BH285" s="21">
        <f>BE285*46.2</f>
        <v/>
      </c>
    </row>
    <row r="286">
      <c r="A286" s="10" t="n">
        <v>45908</v>
      </c>
      <c r="B286" s="11" t="n">
        <v>9243638471</v>
      </c>
      <c r="C286" s="11" t="n"/>
      <c r="D286" s="11" t="n">
        <v>699243945</v>
      </c>
      <c r="E286" s="11" t="n"/>
      <c r="N286" s="11" t="n">
        <v>2820284.41</v>
      </c>
      <c r="O286" s="11" t="n"/>
      <c r="P286" s="11" t="n">
        <v>281505.13</v>
      </c>
      <c r="Q286" s="11" t="n"/>
      <c r="R286" s="21">
        <f>N286+O286+P286+N(Q286)</f>
        <v/>
      </c>
      <c r="S286" s="13" t="n">
        <v>0.01</v>
      </c>
      <c r="T286" s="21">
        <f>N(AC286)*S286</f>
        <v/>
      </c>
      <c r="U286" s="21">
        <f>N(AD286)*S286</f>
        <v/>
      </c>
      <c r="V286" s="21">
        <f>N(AE286)*S286</f>
        <v/>
      </c>
      <c r="W286" s="21">
        <f>IF(Q286="","",N(AF286)*S286)</f>
        <v/>
      </c>
      <c r="X286" s="11" t="n">
        <v>37489.55</v>
      </c>
      <c r="Y286" s="11" t="n"/>
      <c r="Z286" s="11" t="n"/>
      <c r="AA286" s="21">
        <f>T286+U286+V286+N(W286)+X286+Y286+N(Z286)</f>
        <v/>
      </c>
      <c r="AB286" s="11" t="n"/>
      <c r="AC286" s="11" t="n">
        <v>2820284.41</v>
      </c>
      <c r="AD286" s="21">
        <f>O286-Y286</f>
        <v/>
      </c>
      <c r="AE286" s="21">
        <f>P286-X286</f>
        <v/>
      </c>
      <c r="AF286" s="21">
        <f>IF(Q286="","",Q286-Z286)</f>
        <v/>
      </c>
      <c r="AG286" s="22">
        <f>AC286+AD286+AE286+N(AF286)</f>
        <v/>
      </c>
      <c r="AH286" s="11" t="n">
        <v>2646828.64244</v>
      </c>
      <c r="AI286" s="24">
        <f>AG286-AH286</f>
        <v/>
      </c>
      <c r="AJ286" s="14">
        <f>IF(OR(B286="",B286=0,N286=""),"",N286/B286*10000)</f>
        <v/>
      </c>
      <c r="AK286" s="14">
        <f>IF(OR(C286="",C286=0),"",O286/C286*10000)</f>
        <v/>
      </c>
      <c r="AL286" s="14">
        <f>IF(OR(D286="",D286=0),"",P286/D286*10000)</f>
        <v/>
      </c>
      <c r="AM286" s="14">
        <f>IF(OR(E286="",E286=0),"",Q286/E286*10000)</f>
        <v/>
      </c>
      <c r="AN286" s="11" t="n">
        <v>30522.43348773765</v>
      </c>
      <c r="AO286" s="11" t="n">
        <v>23537.22</v>
      </c>
      <c r="AP286" s="21">
        <f>AH286+AN286+AO286</f>
        <v/>
      </c>
      <c r="AQ286" s="21">
        <f>AH286</f>
        <v/>
      </c>
      <c r="AR286" s="15" t="n">
        <v>52527.18</v>
      </c>
      <c r="AS286" s="27" t="n">
        <v>50.3896961999483</v>
      </c>
      <c r="AT286" s="15" t="n">
        <v>30556044.96</v>
      </c>
      <c r="AU286" s="15" t="n">
        <v>26585.8381</v>
      </c>
      <c r="AV286" s="15" t="n">
        <v>393.8362</v>
      </c>
      <c r="AW286" s="15" t="n"/>
      <c r="AX286" s="16" t="n">
        <v>432.9869773736834</v>
      </c>
      <c r="AY286" s="13">
        <f>IF(OR(AX286="",AX286=0,AU286=""),"",AU286*365/(AX286*1000000))</f>
        <v/>
      </c>
      <c r="AZ286" s="15" t="n">
        <v>421407241.9218</v>
      </c>
      <c r="BA286" s="17" t="n">
        <v>60487233</v>
      </c>
      <c r="BB286" s="18" t="n">
        <v>30556044.96</v>
      </c>
      <c r="BC286" s="17" t="n">
        <v>2971663</v>
      </c>
      <c r="BD286" s="17">
        <f>1000000000-999609922.4858+81099.6057</f>
        <v/>
      </c>
      <c r="BE286" s="19">
        <f>1000000000-AZ286-BA286-BB286-BC286-BD286</f>
        <v/>
      </c>
      <c r="BF286" s="20" t="n">
        <v>238</v>
      </c>
      <c r="BG286" s="20">
        <f>BE286/1000000-BF286</f>
        <v/>
      </c>
      <c r="BH286" s="21">
        <f>BE286*47.08</f>
        <v/>
      </c>
    </row>
    <row r="287">
      <c r="A287" s="10" t="n">
        <v>45909</v>
      </c>
      <c r="B287" s="11" t="n">
        <v>10021381732</v>
      </c>
      <c r="C287" s="11" t="n"/>
      <c r="D287" s="11" t="n">
        <v>719104547</v>
      </c>
      <c r="E287" s="11" t="n"/>
      <c r="N287" s="11" t="n">
        <v>3085044.82</v>
      </c>
      <c r="O287" s="11" t="n"/>
      <c r="P287" s="11" t="n">
        <v>386052.91</v>
      </c>
      <c r="Q287" s="11" t="n"/>
      <c r="R287" s="21">
        <f>N287+O287+P287+N(Q287)</f>
        <v/>
      </c>
      <c r="S287" s="13" t="n">
        <v>0.01</v>
      </c>
      <c r="T287" s="21">
        <f>N(AC287)*S287</f>
        <v/>
      </c>
      <c r="U287" s="21">
        <f>N(AD287)*S287</f>
        <v/>
      </c>
      <c r="V287" s="21">
        <f>N(AE287)*S287</f>
        <v/>
      </c>
      <c r="W287" s="21">
        <f>IF(Q287="","",N(AF287)*S287)</f>
        <v/>
      </c>
      <c r="X287" s="11" t="n">
        <v>51420.06</v>
      </c>
      <c r="Y287" s="11" t="n"/>
      <c r="Z287" s="11" t="n"/>
      <c r="AA287" s="21">
        <f>T287+U287+V287+N(W287)+X287+Y287+N(Z287)</f>
        <v/>
      </c>
      <c r="AB287" s="11" t="n"/>
      <c r="AC287" s="11" t="n">
        <v>3085044.82</v>
      </c>
      <c r="AD287" s="21">
        <f>O287-Y287</f>
        <v/>
      </c>
      <c r="AE287" s="21">
        <f>P287-X287</f>
        <v/>
      </c>
      <c r="AF287" s="21">
        <f>IF(Q287="","",Q287-Z287)</f>
        <v/>
      </c>
      <c r="AG287" s="22">
        <f>AC287+AD287+AE287+N(AF287)</f>
        <v/>
      </c>
      <c r="AH287" s="11" t="n">
        <v>2868805.13371</v>
      </c>
      <c r="AI287" s="24">
        <f>AG287-AH287</f>
        <v/>
      </c>
      <c r="AJ287" s="14">
        <f>IF(OR(B287="",B287=0,N287=""),"",N287/B287*10000)</f>
        <v/>
      </c>
      <c r="AK287" s="14">
        <f>IF(OR(C287="",C287=0),"",O287/C287*10000)</f>
        <v/>
      </c>
      <c r="AL287" s="14">
        <f>IF(OR(D287="",D287=0),"",P287/D287*10000)</f>
        <v/>
      </c>
      <c r="AM287" s="14">
        <f>IF(OR(E287="",E287=0),"",Q287/E287*10000)</f>
        <v/>
      </c>
      <c r="AN287" s="11" t="n">
        <v>44114.14466879104</v>
      </c>
      <c r="AO287" s="11" t="n">
        <v>32628.51</v>
      </c>
      <c r="AP287" s="21">
        <f>AH287+AN287+AO287</f>
        <v/>
      </c>
      <c r="AQ287" s="21">
        <f>AH287</f>
        <v/>
      </c>
      <c r="AR287" s="15" t="n">
        <v>53818.18</v>
      </c>
      <c r="AS287" s="27" t="n">
        <v>53.30550259614874</v>
      </c>
      <c r="AT287" s="15" t="n">
        <v>30609863.14</v>
      </c>
      <c r="AU287" s="15" t="n">
        <v>26573.7835</v>
      </c>
      <c r="AV287" s="15" t="n">
        <v>1758.4763</v>
      </c>
      <c r="AW287" s="15" t="n"/>
      <c r="AX287" s="16" t="n">
        <v>431.8131011103935</v>
      </c>
      <c r="AY287" s="13">
        <f>IF(OR(AX287="",AX287=0,AU287=""),"",AU287*365/(AX287*1000000))</f>
        <v/>
      </c>
      <c r="AZ287" s="15" t="n">
        <v>421380668.1382</v>
      </c>
      <c r="BA287" s="17" t="n">
        <v>60487233</v>
      </c>
      <c r="BB287" s="18" t="n">
        <v>30609863.14</v>
      </c>
      <c r="BC287" s="17" t="n">
        <v>2971663</v>
      </c>
      <c r="BD287" s="17">
        <f>1000000000-999608164.0095+81970.4285</f>
        <v/>
      </c>
      <c r="BE287" s="19">
        <f>1000000000-AZ287-BA287-BB287-BC287-BD287</f>
        <v/>
      </c>
      <c r="BF287" s="20" t="n">
        <v>238</v>
      </c>
      <c r="BG287" s="20">
        <f>BE287/1000000-BF287</f>
        <v/>
      </c>
      <c r="BH287" s="21">
        <f>BE287*50.83</f>
        <v/>
      </c>
    </row>
    <row r="288">
      <c r="A288" s="10" t="n">
        <v>45910</v>
      </c>
      <c r="B288" s="11" t="n">
        <v>10548513641</v>
      </c>
      <c r="C288" s="11" t="n"/>
      <c r="D288" s="11" t="n">
        <v>1094741476</v>
      </c>
      <c r="E288" s="11" t="n"/>
      <c r="N288" s="11" t="n">
        <v>3292952.19</v>
      </c>
      <c r="O288" s="11" t="n"/>
      <c r="P288" s="11" t="n">
        <v>416098.93</v>
      </c>
      <c r="Q288" s="11" t="n"/>
      <c r="R288" s="21">
        <f>N288+O288+P288+N(Q288)</f>
        <v/>
      </c>
      <c r="S288" s="13" t="n">
        <v>0.01</v>
      </c>
      <c r="T288" s="21">
        <f>N(AC288)*S288</f>
        <v/>
      </c>
      <c r="U288" s="21">
        <f>N(AD288)*S288</f>
        <v/>
      </c>
      <c r="V288" s="21">
        <f>N(AE288)*S288</f>
        <v/>
      </c>
      <c r="W288" s="21">
        <f>IF(Q288="","",N(AF288)*S288)</f>
        <v/>
      </c>
      <c r="X288" s="11" t="n">
        <v>69112.37</v>
      </c>
      <c r="Y288" s="11" t="n"/>
      <c r="Z288" s="11" t="n"/>
      <c r="AA288" s="21">
        <f>T288+U288+V288+N(W288)+X288+Y288+N(Z288)</f>
        <v/>
      </c>
      <c r="AB288" s="11" t="n"/>
      <c r="AC288" s="11" t="n">
        <v>3292952.19</v>
      </c>
      <c r="AD288" s="21">
        <f>O288-Y288</f>
        <v/>
      </c>
      <c r="AE288" s="21">
        <f>P288-X288</f>
        <v/>
      </c>
      <c r="AF288" s="21">
        <f>IF(Q288="","",Q288-Z288)</f>
        <v/>
      </c>
      <c r="AG288" s="22">
        <f>AC288+AD288+AE288+N(AF288)</f>
        <v/>
      </c>
      <c r="AH288" s="11" t="n">
        <v>3110976.397</v>
      </c>
      <c r="AI288" s="24">
        <f>AG288-AH288</f>
        <v/>
      </c>
      <c r="AJ288" s="14">
        <f>IF(OR(B288="",B288=0,N288=""),"",N288/B288*10000)</f>
        <v/>
      </c>
      <c r="AK288" s="14">
        <f>IF(OR(C288="",C288=0),"",O288/C288*10000)</f>
        <v/>
      </c>
      <c r="AL288" s="14">
        <f>IF(OR(D288="",D288=0),"",P288/D288*10000)</f>
        <v/>
      </c>
      <c r="AM288" s="14">
        <f>IF(OR(E288="",E288=0),"",Q288/E288*10000)</f>
        <v/>
      </c>
      <c r="AN288" s="11" t="n">
        <v>64920.65873867489</v>
      </c>
      <c r="AO288" s="11" t="n">
        <v>0</v>
      </c>
      <c r="AP288" s="21">
        <f>AH288+AN288+AO288</f>
        <v/>
      </c>
      <c r="AQ288" s="21">
        <f>AH288</f>
        <v/>
      </c>
      <c r="AR288" s="15" t="n">
        <v>56960.36</v>
      </c>
      <c r="AS288" s="27" t="n">
        <v>54.61651571373496</v>
      </c>
      <c r="AT288" s="15" t="n">
        <v>30667003.89</v>
      </c>
      <c r="AU288" s="15" t="n">
        <v>26497.9912</v>
      </c>
      <c r="AV288" s="15" t="n">
        <v>1883.9013</v>
      </c>
      <c r="AW288" s="15" t="n"/>
      <c r="AX288" s="16" t="n">
        <v>433.9676124076906</v>
      </c>
      <c r="AY288" s="13">
        <f>IF(OR(AX288="",AX288=0,AU288=""),"",AU288*365/(AX288*1000000))</f>
        <v/>
      </c>
      <c r="AZ288" s="15" t="n">
        <v>421354170.147</v>
      </c>
      <c r="BA288" s="17" t="n">
        <v>60487233</v>
      </c>
      <c r="BB288" s="18" t="n">
        <v>30667003.89</v>
      </c>
      <c r="BC288" s="17" t="n">
        <v>2971663</v>
      </c>
      <c r="BD288" s="17">
        <f>1000000000-999606280.1082+83204.3801</f>
        <v/>
      </c>
      <c r="BE288" s="19">
        <f>1000000000-AZ288-BA288-BB288-BC288-BD288</f>
        <v/>
      </c>
      <c r="BF288" s="20" t="n">
        <v>238</v>
      </c>
      <c r="BG288" s="20">
        <f>BE288/1000000-BF288</f>
        <v/>
      </c>
      <c r="BH288" s="21">
        <f>BE288*53</f>
        <v/>
      </c>
    </row>
    <row r="289">
      <c r="A289" s="10" t="n">
        <v>45911</v>
      </c>
      <c r="B289" s="11" t="n">
        <v>10439854515</v>
      </c>
      <c r="C289" s="11" t="n"/>
      <c r="D289" s="11" t="n">
        <v>1094479776</v>
      </c>
      <c r="E289" s="11" t="n"/>
      <c r="N289" s="11" t="n">
        <v>3287580.94</v>
      </c>
      <c r="O289" s="11" t="n"/>
      <c r="P289" s="11" t="n">
        <v>801493.59</v>
      </c>
      <c r="Q289" s="11" t="n"/>
      <c r="R289" s="21">
        <f>N289+O289+P289+N(Q289)</f>
        <v/>
      </c>
      <c r="S289" s="13" t="n">
        <v>0.01</v>
      </c>
      <c r="T289" s="21">
        <f>N(AC289)*S289</f>
        <v/>
      </c>
      <c r="U289" s="21">
        <f>N(AD289)*S289</f>
        <v/>
      </c>
      <c r="V289" s="21">
        <f>N(AE289)*S289</f>
        <v/>
      </c>
      <c r="W289" s="21">
        <f>IF(Q289="","",N(AF289)*S289)</f>
        <v/>
      </c>
      <c r="X289" s="11" t="n">
        <v>133352.12</v>
      </c>
      <c r="Y289" s="11" t="n"/>
      <c r="Z289" s="11" t="n"/>
      <c r="AA289" s="21">
        <f>T289+U289+V289+N(W289)+X289+Y289+N(Z289)</f>
        <v/>
      </c>
      <c r="AB289" s="11" t="n"/>
      <c r="AC289" s="11" t="n">
        <v>3287580.94</v>
      </c>
      <c r="AD289" s="21">
        <f>O289-Y289</f>
        <v/>
      </c>
      <c r="AE289" s="21">
        <f>P289-X289</f>
        <v/>
      </c>
      <c r="AF289" s="21">
        <f>IF(Q289="","",Q289-Z289)</f>
        <v/>
      </c>
      <c r="AG289" s="22">
        <f>AC289+AD289+AE289+N(AF289)</f>
        <v/>
      </c>
      <c r="AH289" s="11" t="n">
        <v>2776718.36674</v>
      </c>
      <c r="AI289" s="24">
        <f>AG289-AH289</f>
        <v/>
      </c>
      <c r="AJ289" s="14">
        <f>IF(OR(B289="",B289=0,N289=""),"",N289/B289*10000)</f>
        <v/>
      </c>
      <c r="AK289" s="14">
        <f>IF(OR(C289="",C289=0),"",O289/C289*10000)</f>
        <v/>
      </c>
      <c r="AL289" s="14">
        <f>IF(OR(D289="",D289=0),"",P289/D289*10000)</f>
        <v/>
      </c>
      <c r="AM289" s="14">
        <f>IF(OR(E289="",E289=0),"",Q289/E289*10000)</f>
        <v/>
      </c>
      <c r="AN289" s="11" t="n">
        <v>49875.71239998075</v>
      </c>
      <c r="AO289" s="11" t="n">
        <v>38614.53</v>
      </c>
      <c r="AP289" s="21">
        <f>AH289+AN289+AO289</f>
        <v/>
      </c>
      <c r="AQ289" s="21">
        <f>AH289</f>
        <v/>
      </c>
      <c r="AR289" s="15" t="n">
        <v>50755.36</v>
      </c>
      <c r="AS289" s="27" t="n">
        <v>54.70788438383651</v>
      </c>
      <c r="AT289" s="15" t="n">
        <v>30717578.86</v>
      </c>
      <c r="AU289" s="15" t="n">
        <v>26585.6629</v>
      </c>
      <c r="AV289" s="15" t="n">
        <v>962.3786</v>
      </c>
      <c r="AW289" s="15" t="n"/>
      <c r="AX289" s="16" t="n">
        <v>432.8191832770952</v>
      </c>
      <c r="AY289" s="13">
        <f>IF(OR(AX289="",AX289=0,AU289=""),"",AU289*365/(AX289*1000000))</f>
        <v/>
      </c>
      <c r="AZ289" s="15" t="n">
        <v>421327584.4842</v>
      </c>
      <c r="BA289" s="17" t="n">
        <v>60487233</v>
      </c>
      <c r="BB289" s="18" t="n">
        <v>30717578.86</v>
      </c>
      <c r="BC289" s="17" t="n">
        <v>2971663</v>
      </c>
      <c r="BD289" s="17">
        <f>1000000000-999605317.7296+84096.6430</f>
        <v/>
      </c>
      <c r="BE289" s="19">
        <f>1000000000-AZ289-BA289-BB289-BC289-BD289</f>
        <v/>
      </c>
      <c r="BF289" s="20" t="n">
        <v>238</v>
      </c>
      <c r="BG289" s="20">
        <f>BE289/1000000-BF289</f>
        <v/>
      </c>
      <c r="BH289" s="21">
        <f>BE289*55.69</f>
        <v/>
      </c>
    </row>
    <row r="290">
      <c r="A290" s="10" t="n">
        <v>45912</v>
      </c>
      <c r="B290" s="11" t="n">
        <v>11233080580</v>
      </c>
      <c r="C290" s="11" t="n"/>
      <c r="D290" s="11" t="n">
        <v>938167076</v>
      </c>
      <c r="E290" s="11" t="n"/>
      <c r="N290" s="11" t="n">
        <v>3681889.13</v>
      </c>
      <c r="O290" s="11" t="n"/>
      <c r="P290" s="11" t="n">
        <v>860531.41</v>
      </c>
      <c r="Q290" s="11" t="n"/>
      <c r="R290" s="21">
        <f>N290+O290+P290+N(Q290)</f>
        <v/>
      </c>
      <c r="S290" s="13" t="n">
        <v>0.01</v>
      </c>
      <c r="T290" s="21">
        <f>N(AC290)*S290</f>
        <v/>
      </c>
      <c r="U290" s="21">
        <f>N(AD290)*S290</f>
        <v/>
      </c>
      <c r="V290" s="21">
        <f>N(AE290)*S290</f>
        <v/>
      </c>
      <c r="W290" s="21">
        <f>IF(Q290="","",N(AF290)*S290)</f>
        <v/>
      </c>
      <c r="X290" s="11" t="n">
        <v>142470.73</v>
      </c>
      <c r="Y290" s="11" t="n"/>
      <c r="Z290" s="11" t="n"/>
      <c r="AA290" s="21">
        <f>T290+U290+V290+N(W290)+X290+Y290+N(Z290)</f>
        <v/>
      </c>
      <c r="AB290" s="11" t="n"/>
      <c r="AC290" s="11" t="n">
        <v>3681889.13</v>
      </c>
      <c r="AD290" s="21">
        <f>O290-Y290</f>
        <v/>
      </c>
      <c r="AE290" s="21">
        <f>P290-X290</f>
        <v/>
      </c>
      <c r="AF290" s="21">
        <f>IF(Q290="","",Q290-Z290)</f>
        <v/>
      </c>
      <c r="AG290" s="22">
        <f>AC290+AD290+AE290+N(AF290)</f>
        <v/>
      </c>
      <c r="AH290" s="11" t="n">
        <v>3886527.32367</v>
      </c>
      <c r="AI290" s="24">
        <f>AG290-AH290</f>
        <v/>
      </c>
      <c r="AJ290" s="14">
        <f>IF(OR(B290="",B290=0,N290=""),"",N290/B290*10000)</f>
        <v/>
      </c>
      <c r="AK290" s="14">
        <f>IF(OR(C290="",C290=0),"",O290/C290*10000)</f>
        <v/>
      </c>
      <c r="AL290" s="14">
        <f>IF(OR(D290="",D290=0),"",P290/D290*10000)</f>
        <v/>
      </c>
      <c r="AM290" s="14">
        <f>IF(OR(E290="",E290=0),"",Q290/E290*10000)</f>
        <v/>
      </c>
      <c r="AN290" s="11" t="n">
        <v>27942.40777418232</v>
      </c>
      <c r="AO290" s="11" t="n">
        <v>40305.45</v>
      </c>
      <c r="AP290" s="21">
        <f>AH290+AN290+AO290</f>
        <v/>
      </c>
      <c r="AQ290" s="21">
        <f>AH290</f>
        <v/>
      </c>
      <c r="AR290" s="15" t="n">
        <v>69085.89999999999</v>
      </c>
      <c r="AS290" s="27" t="n">
        <v>56.25644775084352</v>
      </c>
      <c r="AT290" s="15" t="n">
        <v>30786664.76</v>
      </c>
      <c r="AU290" s="15" t="n">
        <v>26596.9858</v>
      </c>
      <c r="AV290" s="15" t="n">
        <v>1764.2211</v>
      </c>
      <c r="AW290" s="15" t="n"/>
      <c r="AX290" s="16" t="n">
        <v>433.8444504818268</v>
      </c>
      <c r="AY290" s="13">
        <f>IF(OR(AX290="",AX290=0,AU290=""),"",AU290*365/(AX290*1000000))</f>
        <v/>
      </c>
      <c r="AZ290" s="15" t="n">
        <v>421300987.4983</v>
      </c>
      <c r="BA290" s="17" t="n">
        <v>60487233</v>
      </c>
      <c r="BB290" s="18" t="n">
        <v>30786664.76</v>
      </c>
      <c r="BC290" s="17" t="n">
        <v>2971663</v>
      </c>
      <c r="BD290" s="17">
        <f>1000000000-999603553.5085+84585.4714</f>
        <v/>
      </c>
      <c r="BE290" s="19">
        <f>1000000000-AZ290-BA290-BB290-BC290-BD290</f>
        <v/>
      </c>
      <c r="BF290" s="20" t="n">
        <v>238</v>
      </c>
      <c r="BG290" s="20">
        <f>BE290/1000000-BF290</f>
        <v/>
      </c>
      <c r="BH290" s="21">
        <f>BE290*56.93</f>
        <v/>
      </c>
    </row>
    <row r="291">
      <c r="A291" s="10" t="n">
        <v>45913</v>
      </c>
      <c r="B291" s="11" t="n">
        <v>7135097960</v>
      </c>
      <c r="C291" s="11" t="n"/>
      <c r="D291" s="11" t="n">
        <v>1437490569</v>
      </c>
      <c r="E291" s="11" t="n"/>
      <c r="N291" s="11" t="n">
        <v>2403171.88</v>
      </c>
      <c r="O291" s="11" t="n"/>
      <c r="P291" s="11" t="n">
        <v>807622.95</v>
      </c>
      <c r="Q291" s="11" t="n"/>
      <c r="R291" s="21">
        <f>N291+O291+P291+N(Q291)</f>
        <v/>
      </c>
      <c r="S291" s="13" t="n">
        <v>0.01</v>
      </c>
      <c r="T291" s="21">
        <f>N(AC291)*S291</f>
        <v/>
      </c>
      <c r="U291" s="21">
        <f>N(AD291)*S291</f>
        <v/>
      </c>
      <c r="V291" s="21">
        <f>N(AE291)*S291</f>
        <v/>
      </c>
      <c r="W291" s="21">
        <f>IF(Q291="","",N(AF291)*S291)</f>
        <v/>
      </c>
      <c r="X291" s="11" t="n">
        <v>131264.06</v>
      </c>
      <c r="Y291" s="11" t="n"/>
      <c r="Z291" s="11" t="n"/>
      <c r="AA291" s="21">
        <f>T291+U291+V291+N(W291)+X291+Y291+N(Z291)</f>
        <v/>
      </c>
      <c r="AB291" s="11" t="n">
        <v>316437.5275</v>
      </c>
      <c r="AC291" s="11" t="n">
        <v>2403171.88</v>
      </c>
      <c r="AD291" s="21">
        <f>O291-Y291</f>
        <v/>
      </c>
      <c r="AE291" s="21">
        <f>P291-X291</f>
        <v/>
      </c>
      <c r="AF291" s="21">
        <f>IF(Q291="","",Q291-Z291)</f>
        <v/>
      </c>
      <c r="AG291" s="22">
        <f>AC291+AD291+AE291+N(AF291)</f>
        <v/>
      </c>
      <c r="AH291" s="11" t="n">
        <v>2341465.7437</v>
      </c>
      <c r="AI291" s="24">
        <f>AG291-AH291</f>
        <v/>
      </c>
      <c r="AJ291" s="14">
        <f>IF(OR(B291="",B291=0,N291=""),"",N291/B291*10000)</f>
        <v/>
      </c>
      <c r="AK291" s="14">
        <f>IF(OR(C291="",C291=0),"",O291/C291*10000)</f>
        <v/>
      </c>
      <c r="AL291" s="14">
        <f>IF(OR(D291="",D291=0),"",P291/D291*10000)</f>
        <v/>
      </c>
      <c r="AM291" s="14">
        <f>IF(OR(E291="",E291=0),"",Q291/E291*10000)</f>
        <v/>
      </c>
      <c r="AN291" s="11" t="n">
        <v>27236.9357225555</v>
      </c>
      <c r="AO291" s="11" t="n">
        <v>35314.59</v>
      </c>
      <c r="AP291" s="21">
        <f>AH291+AN291+AO291</f>
        <v/>
      </c>
      <c r="AQ291" s="21">
        <f>AH291</f>
        <v/>
      </c>
      <c r="AR291" s="15" t="n">
        <v>42254.53</v>
      </c>
      <c r="AS291" s="27" t="n">
        <v>55.41336618109349</v>
      </c>
      <c r="AT291" s="15" t="n">
        <v>30828919.29</v>
      </c>
      <c r="AU291" s="15" t="n">
        <v>26610.6412</v>
      </c>
      <c r="AV291" s="15" t="n">
        <v>1590.6385</v>
      </c>
      <c r="AW291" s="15" t="n"/>
      <c r="AX291" s="16" t="n">
        <v>433.62049140261</v>
      </c>
      <c r="AY291" s="13">
        <f>IF(OR(AX291="",AX291=0,AU291=""),"",AU291*365/(AX291*1000000))</f>
        <v/>
      </c>
      <c r="AZ291" s="15" t="n">
        <v>421274376.8571</v>
      </c>
      <c r="BA291" s="17" t="n">
        <v>60487233</v>
      </c>
      <c r="BB291" s="18" t="n">
        <v>30828919.29</v>
      </c>
      <c r="BC291" s="17" t="n">
        <v>2971663</v>
      </c>
      <c r="BD291" s="17">
        <f>1000000000-999601962.8699+85078.8494</f>
        <v/>
      </c>
      <c r="BE291" s="19">
        <f>1000000000-AZ291-BA291-BB291-BC291-BD291</f>
        <v/>
      </c>
      <c r="BF291" s="20" t="n">
        <v>238</v>
      </c>
      <c r="BG291" s="20">
        <f>BE291/1000000-BF291</f>
        <v/>
      </c>
      <c r="BH291" s="21">
        <f>BE291*55.25</f>
        <v/>
      </c>
    </row>
    <row r="292">
      <c r="A292" s="10" t="n">
        <v>45914</v>
      </c>
      <c r="B292" s="11" t="n">
        <v>7351240468</v>
      </c>
      <c r="C292" s="11" t="n"/>
      <c r="D292" s="11" t="n">
        <v>827742711</v>
      </c>
      <c r="E292" s="11" t="n"/>
      <c r="N292" s="11" t="n">
        <v>2430787.18</v>
      </c>
      <c r="O292" s="11" t="n"/>
      <c r="P292" s="11" t="n">
        <v>1372655.07</v>
      </c>
      <c r="Q292" s="11" t="n"/>
      <c r="R292" s="21">
        <f>N292+O292+P292+N(Q292)</f>
        <v/>
      </c>
      <c r="S292" s="13" t="n">
        <v>0.01</v>
      </c>
      <c r="T292" s="21">
        <f>N(AC292)*S292</f>
        <v/>
      </c>
      <c r="U292" s="21">
        <f>N(AD292)*S292</f>
        <v/>
      </c>
      <c r="V292" s="21">
        <f>N(AE292)*S292</f>
        <v/>
      </c>
      <c r="W292" s="21">
        <f>IF(Q292="","",N(AF292)*S292)</f>
        <v/>
      </c>
      <c r="X292" s="11" t="n">
        <v>199022.6</v>
      </c>
      <c r="Y292" s="11" t="n"/>
      <c r="Z292" s="11" t="n"/>
      <c r="AA292" s="21">
        <f>T292+U292+V292+N(W292)+X292+Y292+N(Z292)</f>
        <v/>
      </c>
      <c r="AB292" s="11" t="n">
        <v>982990.2657</v>
      </c>
      <c r="AC292" s="11" t="n">
        <v>2430787.18</v>
      </c>
      <c r="AD292" s="21">
        <f>O292-Y292</f>
        <v/>
      </c>
      <c r="AE292" s="21">
        <f>P292-X292</f>
        <v/>
      </c>
      <c r="AF292" s="21">
        <f>IF(Q292="","",Q292-Z292)</f>
        <v/>
      </c>
      <c r="AG292" s="22">
        <f>AC292+AD292+AE292+N(AF292)</f>
        <v/>
      </c>
      <c r="AH292" s="11" t="n">
        <v>2440513.66345</v>
      </c>
      <c r="AI292" s="24">
        <f>AG292-AH292</f>
        <v/>
      </c>
      <c r="AJ292" s="14">
        <f>IF(OR(B292="",B292=0,N292=""),"",N292/B292*10000)</f>
        <v/>
      </c>
      <c r="AK292" s="14">
        <f>IF(OR(C292="",C292=0),"",O292/C292*10000)</f>
        <v/>
      </c>
      <c r="AL292" s="14">
        <f>IF(OR(D292="",D292=0),"",P292/D292*10000)</f>
        <v/>
      </c>
      <c r="AM292" s="14">
        <f>IF(OR(E292="",E292=0),"",Q292/E292*10000)</f>
        <v/>
      </c>
      <c r="AN292" s="11" t="n">
        <v>25193.24964935426</v>
      </c>
      <c r="AO292" s="11" t="n">
        <v>69584.46000000001</v>
      </c>
      <c r="AP292" s="21">
        <f>AH292+AN292+AO292</f>
        <v/>
      </c>
      <c r="AQ292" s="21">
        <f>AH292</f>
        <v/>
      </c>
      <c r="AR292" s="15" t="n">
        <v>44985.96</v>
      </c>
      <c r="AS292" s="27" t="n">
        <v>54.25056314125563</v>
      </c>
      <c r="AT292" s="15" t="n">
        <v>30873905.25</v>
      </c>
      <c r="AU292" s="15" t="n">
        <v>26575.8632</v>
      </c>
      <c r="AV292" s="15" t="n">
        <v>1322.6154</v>
      </c>
      <c r="AW292" s="15" t="n"/>
      <c r="AX292" s="16" t="n">
        <v>433.9853905068979</v>
      </c>
      <c r="AY292" s="13">
        <f>IF(OR(AX292="",AX292=0,AU292=""),"",AU292*365/(AX292*1000000))</f>
        <v/>
      </c>
      <c r="AZ292" s="15" t="n">
        <v>421247800.994</v>
      </c>
      <c r="BA292" s="17" t="n">
        <v>60487233</v>
      </c>
      <c r="BB292" s="18" t="n">
        <v>30873905.25</v>
      </c>
      <c r="BC292" s="17" t="n">
        <v>2971663</v>
      </c>
      <c r="BD292" s="17">
        <f>1000000000-999600640.2546+85539.5134</f>
        <v/>
      </c>
      <c r="BE292" s="19">
        <f>1000000000-AZ292-BA292-BB292-BC292-BD292</f>
        <v/>
      </c>
      <c r="BF292" s="20" t="n">
        <v>238</v>
      </c>
      <c r="BG292" s="20">
        <f>BE292/1000000-BF292</f>
        <v/>
      </c>
      <c r="BH292" s="21">
        <f>BE292*54.8</f>
        <v/>
      </c>
    </row>
    <row r="293">
      <c r="A293" s="10" t="n">
        <v>45915</v>
      </c>
      <c r="B293" s="11" t="n">
        <v>10569922364</v>
      </c>
      <c r="C293" s="11" t="n"/>
      <c r="D293" s="11" t="n">
        <v>683449994</v>
      </c>
      <c r="E293" s="11" t="n"/>
      <c r="N293" s="11" t="n">
        <v>3373141.88</v>
      </c>
      <c r="O293" s="11" t="n"/>
      <c r="P293" s="11" t="n">
        <v>512282.46</v>
      </c>
      <c r="Q293" s="11" t="n"/>
      <c r="R293" s="21">
        <f>N293+O293+P293+N(Q293)</f>
        <v/>
      </c>
      <c r="S293" s="13" t="n">
        <v>0.01</v>
      </c>
      <c r="T293" s="21">
        <f>N(AC293)*S293</f>
        <v/>
      </c>
      <c r="U293" s="21">
        <f>N(AD293)*S293</f>
        <v/>
      </c>
      <c r="V293" s="21">
        <f>N(AE293)*S293</f>
        <v/>
      </c>
      <c r="W293" s="21">
        <f>IF(Q293="","",N(AF293)*S293)</f>
        <v/>
      </c>
      <c r="X293" s="11" t="n">
        <v>55269.34</v>
      </c>
      <c r="Y293" s="11" t="n"/>
      <c r="Z293" s="11" t="n"/>
      <c r="AA293" s="21">
        <f>T293+U293+V293+N(W293)+X293+Y293+N(Z293)</f>
        <v/>
      </c>
      <c r="AB293" s="11" t="n">
        <v>479501.1024</v>
      </c>
      <c r="AC293" s="11" t="n">
        <v>3373141.88</v>
      </c>
      <c r="AD293" s="21">
        <f>O293-Y293</f>
        <v/>
      </c>
      <c r="AE293" s="21">
        <f>P293-X293</f>
        <v/>
      </c>
      <c r="AF293" s="21">
        <f>IF(Q293="","",Q293-Z293)</f>
        <v/>
      </c>
      <c r="AG293" s="22">
        <f>AC293+AD293+AE293+N(AF293)</f>
        <v/>
      </c>
      <c r="AH293" s="11" t="n">
        <v>3082934.90493</v>
      </c>
      <c r="AI293" s="24">
        <f>AG293-AH293</f>
        <v/>
      </c>
      <c r="AJ293" s="14">
        <f>IF(OR(B293="",B293=0,N293=""),"",N293/B293*10000)</f>
        <v/>
      </c>
      <c r="AK293" s="14">
        <f>IF(OR(C293="",C293=0),"",O293/C293*10000)</f>
        <v/>
      </c>
      <c r="AL293" s="14">
        <f>IF(OR(D293="",D293=0),"",P293/D293*10000)</f>
        <v/>
      </c>
      <c r="AM293" s="14">
        <f>IF(OR(E293="",E293=0),"",Q293/E293*10000)</f>
        <v/>
      </c>
      <c r="AN293" s="11" t="n">
        <v>39378.16982671492</v>
      </c>
      <c r="AO293" s="11" t="n">
        <v>137098.79</v>
      </c>
      <c r="AP293" s="21">
        <f>AH293+AN293+AO293</f>
        <v/>
      </c>
      <c r="AQ293" s="21">
        <f>AH293</f>
        <v/>
      </c>
      <c r="AR293" s="15" t="n">
        <v>57922.8</v>
      </c>
      <c r="AS293" s="27" t="n">
        <v>53.22489425459405</v>
      </c>
      <c r="AT293" s="15" t="n">
        <v>30933107.91</v>
      </c>
      <c r="AU293" s="15" t="n">
        <v>26579.8241</v>
      </c>
      <c r="AV293" s="15" t="n">
        <v>2114.4975</v>
      </c>
      <c r="AW293" s="15" t="n"/>
      <c r="AX293" s="16" t="n">
        <v>431.9810640823432</v>
      </c>
      <c r="AY293" s="13">
        <f>IF(OR(AX293="",AX293=0,AU293=""),"",AU293*365/(AX293*1000000))</f>
        <v/>
      </c>
      <c r="AZ293" s="15" t="n">
        <v>421221221.1699</v>
      </c>
      <c r="BA293" s="17" t="n">
        <v>60487233</v>
      </c>
      <c r="BB293" s="18" t="n">
        <v>30933107.91</v>
      </c>
      <c r="BC293" s="17" t="n">
        <v>2971663</v>
      </c>
      <c r="BD293" s="17">
        <f>1000000000-999598525.757+86269.8342</f>
        <v/>
      </c>
      <c r="BE293" s="19">
        <f>1000000000-AZ293-BA293-BB293-BC293-BD293</f>
        <v/>
      </c>
      <c r="BF293" s="20" t="n">
        <v>238</v>
      </c>
      <c r="BG293" s="20">
        <f>BE293/1000000-BF293</f>
        <v/>
      </c>
      <c r="BH293" s="21">
        <f>BE293*53.92</f>
        <v/>
      </c>
    </row>
    <row r="294">
      <c r="A294" s="10" t="n">
        <v>45916</v>
      </c>
      <c r="B294" s="11" t="n">
        <v>8683442696</v>
      </c>
      <c r="C294" s="11" t="n"/>
      <c r="D294" s="11" t="n">
        <v>969217221</v>
      </c>
      <c r="E294" s="11" t="n"/>
      <c r="N294" s="11" t="n">
        <v>2673593.08</v>
      </c>
      <c r="O294" s="11" t="n"/>
      <c r="P294" s="11" t="n">
        <v>487564.45</v>
      </c>
      <c r="Q294" s="11" t="n"/>
      <c r="R294" s="21">
        <f>N294+O294+P294+N(Q294)</f>
        <v/>
      </c>
      <c r="S294" s="13" t="n">
        <v>0.01</v>
      </c>
      <c r="T294" s="21">
        <f>N(AC294)*S294</f>
        <v/>
      </c>
      <c r="U294" s="21">
        <f>N(AD294)*S294</f>
        <v/>
      </c>
      <c r="V294" s="21">
        <f>N(AE294)*S294</f>
        <v/>
      </c>
      <c r="W294" s="21">
        <f>IF(Q294="","",N(AF294)*S294)</f>
        <v/>
      </c>
      <c r="X294" s="11" t="n">
        <v>46011.37</v>
      </c>
      <c r="Y294" s="11" t="n"/>
      <c r="Z294" s="11" t="n"/>
      <c r="AA294" s="21">
        <f>T294+U294+V294+N(W294)+X294+Y294+N(Z294)</f>
        <v/>
      </c>
      <c r="AB294" s="11" t="n">
        <v>414473.5631000001</v>
      </c>
      <c r="AC294" s="11" t="n">
        <v>2673593.08</v>
      </c>
      <c r="AD294" s="21">
        <f>O294-Y294</f>
        <v/>
      </c>
      <c r="AE294" s="21">
        <f>P294-X294</f>
        <v/>
      </c>
      <c r="AF294" s="21">
        <f>IF(Q294="","",Q294-Z294)</f>
        <v/>
      </c>
      <c r="AG294" s="22">
        <f>AC294+AD294+AE294+N(AF294)</f>
        <v/>
      </c>
      <c r="AH294" s="11" t="n">
        <v>2594690.27346</v>
      </c>
      <c r="AI294" s="24">
        <f>AG294-AH294</f>
        <v/>
      </c>
      <c r="AJ294" s="14">
        <f>IF(OR(B294="",B294=0,N294=""),"",N294/B294*10000)</f>
        <v/>
      </c>
      <c r="AK294" s="14">
        <f>IF(OR(C294="",C294=0),"",O294/C294*10000)</f>
        <v/>
      </c>
      <c r="AL294" s="14">
        <f>IF(OR(D294="",D294=0),"",P294/D294*10000)</f>
        <v/>
      </c>
      <c r="AM294" s="14">
        <f>IF(OR(E294="",E294=0),"",Q294/E294*10000)</f>
        <v/>
      </c>
      <c r="AN294" s="11" t="n">
        <v>40156.33760806473</v>
      </c>
      <c r="AO294" s="11" t="n">
        <v>0</v>
      </c>
      <c r="AP294" s="21">
        <f>AH294+AN294+AO294</f>
        <v/>
      </c>
      <c r="AQ294" s="21">
        <f>AH294</f>
        <v/>
      </c>
      <c r="AR294" s="15" t="n">
        <v>48484.79</v>
      </c>
      <c r="AS294" s="27" t="n">
        <v>53.51555144324642</v>
      </c>
      <c r="AT294" s="15" t="n">
        <v>30980292.85</v>
      </c>
      <c r="AU294" s="15" t="n">
        <v>26544.4866</v>
      </c>
      <c r="AV294" s="15" t="n">
        <v>3313.2701</v>
      </c>
      <c r="AW294" s="15" t="n"/>
      <c r="AX294" s="16" t="n">
        <v>431.3801492790979</v>
      </c>
      <c r="AY294" s="13">
        <f>IF(OR(AX294="",AX294=0,AU294=""),"",AU294*365/(AX294*1000000))</f>
        <v/>
      </c>
      <c r="AZ294" s="15" t="n">
        <v>421194676.6833</v>
      </c>
      <c r="BA294" s="17" t="n">
        <v>60487233</v>
      </c>
      <c r="BB294" s="18" t="n">
        <v>30980292.85</v>
      </c>
      <c r="BC294" s="17" t="n">
        <v>2971663</v>
      </c>
      <c r="BD294" s="17">
        <f>1000000000-999595212.487+87017.4853</f>
        <v/>
      </c>
      <c r="BE294" s="19">
        <f>1000000000-AZ294-BA294-BB294-BC294-BD294</f>
        <v/>
      </c>
      <c r="BF294" s="20" t="n">
        <v>238</v>
      </c>
      <c r="BG294" s="20">
        <f>BE294/1000000-BF294</f>
        <v/>
      </c>
      <c r="BH294" s="21">
        <f>BE294*53.85</f>
        <v/>
      </c>
    </row>
    <row r="295">
      <c r="A295" s="10" t="n">
        <v>45917</v>
      </c>
      <c r="B295" s="11" t="n">
        <v>12223979385</v>
      </c>
      <c r="C295" s="11" t="n"/>
      <c r="D295" s="11" t="n">
        <v>850496679</v>
      </c>
      <c r="E295" s="11" t="n"/>
      <c r="N295" s="11" t="n">
        <v>3803345.15</v>
      </c>
      <c r="O295" s="11" t="n"/>
      <c r="P295" s="11" t="n">
        <v>689204.05</v>
      </c>
      <c r="Q295" s="11" t="n"/>
      <c r="R295" s="21">
        <f>N295+O295+P295+N(Q295)</f>
        <v/>
      </c>
      <c r="S295" s="13" t="n">
        <v>0.01</v>
      </c>
      <c r="T295" s="21">
        <f>N(AC295)*S295</f>
        <v/>
      </c>
      <c r="U295" s="21">
        <f>N(AD295)*S295</f>
        <v/>
      </c>
      <c r="V295" s="21">
        <f>N(AE295)*S295</f>
        <v/>
      </c>
      <c r="W295" s="21">
        <f>IF(Q295="","",N(AF295)*S295)</f>
        <v/>
      </c>
      <c r="X295" s="11" t="n">
        <v>62287.26</v>
      </c>
      <c r="Y295" s="11" t="n"/>
      <c r="Z295" s="11" t="n"/>
      <c r="AA295" s="21">
        <f>T295+U295+V295+N(W295)+X295+Y295+N(Z295)</f>
        <v/>
      </c>
      <c r="AB295" s="11" t="n">
        <v>620611.98</v>
      </c>
      <c r="AC295" s="11" t="n">
        <v>3803345.15</v>
      </c>
      <c r="AD295" s="21">
        <f>O295-Y295</f>
        <v/>
      </c>
      <c r="AE295" s="21">
        <f>P295-X295</f>
        <v/>
      </c>
      <c r="AF295" s="21">
        <f>IF(Q295="","",Q295-Z295)</f>
        <v/>
      </c>
      <c r="AG295" s="22">
        <f>AC295+AD295+AE295+N(AF295)</f>
        <v/>
      </c>
      <c r="AH295" s="11" t="n">
        <v>3503801.88959</v>
      </c>
      <c r="AI295" s="24">
        <f>AG295-AH295</f>
        <v/>
      </c>
      <c r="AJ295" s="14">
        <f>IF(OR(B295="",B295=0,N295=""),"",N295/B295*10000)</f>
        <v/>
      </c>
      <c r="AK295" s="14">
        <f>IF(OR(C295="",C295=0),"",O295/C295*10000)</f>
        <v/>
      </c>
      <c r="AL295" s="14">
        <f>IF(OR(D295="",D295=0),"",P295/D295*10000)</f>
        <v/>
      </c>
      <c r="AM295" s="14">
        <f>IF(OR(E295="",E295=0),"",Q295/E295*10000)</f>
        <v/>
      </c>
      <c r="AN295" s="11" t="n">
        <v>37998.55017001093</v>
      </c>
      <c r="AO295" s="11" t="n">
        <v>40771.54</v>
      </c>
      <c r="AP295" s="21">
        <f>AH295+AN295+AO295</f>
        <v/>
      </c>
      <c r="AQ295" s="21">
        <f>AH295</f>
        <v/>
      </c>
      <c r="AR295" s="15" t="n">
        <v>63294.81</v>
      </c>
      <c r="AS295" s="27" t="n">
        <v>55.35685926839815</v>
      </c>
      <c r="AT295" s="15" t="n">
        <v>31042329.24</v>
      </c>
      <c r="AU295" s="15" t="n">
        <v>26519.9032</v>
      </c>
      <c r="AV295" s="15" t="n">
        <v>697.1051</v>
      </c>
      <c r="AW295" s="15" t="n"/>
      <c r="AX295" s="16" t="n">
        <v>430.520330093872</v>
      </c>
      <c r="AY295" s="13">
        <f>IF(OR(AX295="",AX295=0,AU295=""),"",AU295*365/(AX295*1000000))</f>
        <v/>
      </c>
      <c r="AZ295" s="15" t="n">
        <v>421168156.7801</v>
      </c>
      <c r="BA295" s="17" t="n">
        <v>60487233</v>
      </c>
      <c r="BB295" s="18" t="n">
        <v>31042329.24</v>
      </c>
      <c r="BC295" s="17" t="n">
        <v>2971663</v>
      </c>
      <c r="BD295" s="17">
        <f>1000000000-999594515.3819+87717.5194</f>
        <v/>
      </c>
      <c r="BE295" s="19">
        <f>1000000000-AZ295-BA295-BB295-BC295-BD295</f>
        <v/>
      </c>
      <c r="BF295" s="20" t="n">
        <v>238</v>
      </c>
      <c r="BG295" s="20">
        <f>BE295/1000000-BF295</f>
        <v/>
      </c>
      <c r="BH295" s="21">
        <f>BE295*54.08</f>
        <v/>
      </c>
    </row>
    <row r="296">
      <c r="A296" s="10" t="n">
        <v>45918</v>
      </c>
      <c r="B296" s="11" t="n">
        <v>9613850552</v>
      </c>
      <c r="C296" s="11" t="n"/>
      <c r="D296" s="11" t="n">
        <v>595975324</v>
      </c>
      <c r="E296" s="11" t="n"/>
      <c r="N296" s="11" t="n">
        <v>3119353.77</v>
      </c>
      <c r="O296" s="11" t="n"/>
      <c r="P296" s="11" t="n">
        <v>562143.4</v>
      </c>
      <c r="Q296" s="11" t="n"/>
      <c r="R296" s="21">
        <f>N296+O296+P296+N(Q296)</f>
        <v/>
      </c>
      <c r="S296" s="13" t="n">
        <v>0.01</v>
      </c>
      <c r="T296" s="21">
        <f>N(AC296)*S296</f>
        <v/>
      </c>
      <c r="U296" s="21">
        <f>N(AD296)*S296</f>
        <v/>
      </c>
      <c r="V296" s="21">
        <f>N(AE296)*S296</f>
        <v/>
      </c>
      <c r="W296" s="21">
        <f>IF(Q296="","",N(AF296)*S296)</f>
        <v/>
      </c>
      <c r="X296" s="11" t="n">
        <v>43992.09</v>
      </c>
      <c r="Y296" s="11" t="n"/>
      <c r="Z296" s="11" t="n"/>
      <c r="AA296" s="21">
        <f>T296+U296+V296+N(W296)+X296+Y296+N(Z296)</f>
        <v/>
      </c>
      <c r="AB296" s="11" t="n">
        <v>517879.4115</v>
      </c>
      <c r="AC296" s="11" t="n">
        <v>3119353.77</v>
      </c>
      <c r="AD296" s="21">
        <f>O296-Y296</f>
        <v/>
      </c>
      <c r="AE296" s="21">
        <f>P296-X296</f>
        <v/>
      </c>
      <c r="AF296" s="21">
        <f>IF(Q296="","",Q296-Z296)</f>
        <v/>
      </c>
      <c r="AG296" s="22">
        <f>AC296+AD296+AE296+N(AF296)</f>
        <v/>
      </c>
      <c r="AH296" s="11" t="n">
        <v>2978630.80127</v>
      </c>
      <c r="AI296" s="24">
        <f>AG296-AH296</f>
        <v/>
      </c>
      <c r="AJ296" s="14">
        <f>IF(OR(B296="",B296=0,N296=""),"",N296/B296*10000)</f>
        <v/>
      </c>
      <c r="AK296" s="14">
        <f>IF(OR(C296="",C296=0),"",O296/C296*10000)</f>
        <v/>
      </c>
      <c r="AL296" s="14">
        <f>IF(OR(D296="",D296=0),"",P296/D296*10000)</f>
        <v/>
      </c>
      <c r="AM296" s="14">
        <f>IF(OR(E296="",E296=0),"",Q296/E296*10000)</f>
        <v/>
      </c>
      <c r="AN296" s="11" t="n">
        <v>40751.90259362283</v>
      </c>
      <c r="AO296" s="11" t="n">
        <v>40404.16</v>
      </c>
      <c r="AP296" s="21">
        <f>AH296+AN296+AO296</f>
        <v/>
      </c>
      <c r="AQ296" s="21">
        <f>AH296</f>
        <v/>
      </c>
      <c r="AR296" s="15" t="n">
        <v>51082.94</v>
      </c>
      <c r="AS296" s="27" t="n">
        <v>58.3096979396644</v>
      </c>
      <c r="AT296" s="15" t="n">
        <v>31094690.59</v>
      </c>
      <c r="AU296" s="15" t="n">
        <v>26535.3939</v>
      </c>
      <c r="AV296" s="15" t="n">
        <v>1522.8477</v>
      </c>
      <c r="AW296" s="15" t="n"/>
      <c r="AX296" s="16" t="n">
        <v>430.9627753865126</v>
      </c>
      <c r="AY296" s="13">
        <f>IF(OR(AX296="",AX296=0,AU296=""),"",AU296*365/(AX296*1000000))</f>
        <v/>
      </c>
      <c r="AZ296" s="15" t="n">
        <v>421141621.3862</v>
      </c>
      <c r="BA296" s="17" t="n">
        <v>60487233</v>
      </c>
      <c r="BB296" s="18" t="n">
        <v>31094690.59</v>
      </c>
      <c r="BC296" s="17" t="n">
        <v>2971663</v>
      </c>
      <c r="BD296" s="17">
        <f>1000000000-999592992.5341+88417.5675</f>
        <v/>
      </c>
      <c r="BE296" s="19">
        <f>1000000000-AZ296-BA296-BB296-BC296-BD296</f>
        <v/>
      </c>
      <c r="BF296" s="20" t="n">
        <v>238</v>
      </c>
      <c r="BG296" s="20">
        <f>BE296/1000000-BF296</f>
        <v/>
      </c>
      <c r="BH296" s="21">
        <f>BE296*57.9</f>
        <v/>
      </c>
    </row>
    <row r="297">
      <c r="A297" s="10" t="n">
        <v>45919</v>
      </c>
      <c r="B297" s="11" t="n">
        <v>9088388320</v>
      </c>
      <c r="C297" s="11" t="n"/>
      <c r="D297" s="11" t="n">
        <v>462163180</v>
      </c>
      <c r="E297" s="11" t="n"/>
      <c r="N297" s="11" t="n">
        <v>2867690.63</v>
      </c>
      <c r="O297" s="11" t="n"/>
      <c r="P297" s="11" t="n">
        <v>366155.12</v>
      </c>
      <c r="Q297" s="11" t="n"/>
      <c r="R297" s="21">
        <f>N297+O297+P297+N(Q297)</f>
        <v/>
      </c>
      <c r="S297" s="13" t="n">
        <v>0.01</v>
      </c>
      <c r="T297" s="21">
        <f>N(AC297)*S297</f>
        <v/>
      </c>
      <c r="U297" s="21">
        <f>N(AD297)*S297</f>
        <v/>
      </c>
      <c r="V297" s="21">
        <f>N(AE297)*S297</f>
        <v/>
      </c>
      <c r="W297" s="21">
        <f>IF(Q297="","",N(AF297)*S297)</f>
        <v/>
      </c>
      <c r="X297" s="11" t="n">
        <v>38534.68</v>
      </c>
      <c r="Y297" s="11" t="n"/>
      <c r="Z297" s="11" t="n"/>
      <c r="AA297" s="21">
        <f>T297+U297+V297+N(W297)+X297+Y297+N(Z297)</f>
        <v/>
      </c>
      <c r="AB297" s="11" t="n">
        <v>342236.2519000001</v>
      </c>
      <c r="AC297" s="11" t="n">
        <v>2867690.63</v>
      </c>
      <c r="AD297" s="21">
        <f>O297-Y297</f>
        <v/>
      </c>
      <c r="AE297" s="21">
        <f>P297-X297</f>
        <v/>
      </c>
      <c r="AF297" s="21">
        <f>IF(Q297="","",Q297-Z297)</f>
        <v/>
      </c>
      <c r="AG297" s="22">
        <f>AC297+AD297+AE297+N(AF297)</f>
        <v/>
      </c>
      <c r="AH297" s="11" t="n">
        <v>2702384.64833</v>
      </c>
      <c r="AI297" s="24">
        <f>AG297-AH297</f>
        <v/>
      </c>
      <c r="AJ297" s="14">
        <f>IF(OR(B297="",B297=0,N297=""),"",N297/B297*10000)</f>
        <v/>
      </c>
      <c r="AK297" s="14">
        <f>IF(OR(C297="",C297=0),"",O297/C297*10000)</f>
        <v/>
      </c>
      <c r="AL297" s="14">
        <f>IF(OR(D297="",D297=0),"",P297/D297*10000)</f>
        <v/>
      </c>
      <c r="AM297" s="14">
        <f>IF(OR(E297="",E297=0),"",Q297/E297*10000)</f>
        <v/>
      </c>
      <c r="AN297" s="11" t="n">
        <v>38873.93532871858</v>
      </c>
      <c r="AO297" s="11" t="n">
        <v>61922.8</v>
      </c>
      <c r="AP297" s="21">
        <f>AH297+AN297+AO297</f>
        <v/>
      </c>
      <c r="AQ297" s="21">
        <f>AH297</f>
        <v/>
      </c>
      <c r="AR297" s="15" t="n">
        <v>47875.75</v>
      </c>
      <c r="AS297" s="27" t="n">
        <v>56.4457924592304</v>
      </c>
      <c r="AT297" s="15" t="n">
        <v>31142566.34</v>
      </c>
      <c r="AU297" s="15" t="n">
        <v>26519.1483</v>
      </c>
      <c r="AV297" s="15" t="n">
        <v>1422.2344</v>
      </c>
      <c r="AW297" s="15" t="n"/>
      <c r="AX297" s="16" t="n">
        <v>430.7765209056828</v>
      </c>
      <c r="AY297" s="13">
        <f>IF(OR(AX297="",AX297=0,AU297=""),"",AU297*365/(AX297*1000000))</f>
        <v/>
      </c>
      <c r="AZ297" s="15" t="n">
        <v>421115102.238</v>
      </c>
      <c r="BA297" s="17" t="n">
        <v>60487233</v>
      </c>
      <c r="BB297" s="18" t="n">
        <v>31142566.34</v>
      </c>
      <c r="BC297" s="17" t="n">
        <v>2971663</v>
      </c>
      <c r="BD297" s="17">
        <f>1000000000-999591570.2998+89079.7249</f>
        <v/>
      </c>
      <c r="BE297" s="19">
        <f>1000000000-AZ297-BA297-BB297-BC297-BD297</f>
        <v/>
      </c>
      <c r="BF297" s="20" t="n">
        <v>238</v>
      </c>
      <c r="BG297" s="20">
        <f>BE297/1000000-BF297</f>
        <v/>
      </c>
      <c r="BH297" s="21">
        <f>BE297*58.79</f>
        <v/>
      </c>
    </row>
    <row r="298">
      <c r="A298" s="10" t="n">
        <v>45920</v>
      </c>
      <c r="B298" s="11" t="n">
        <v>4219380098</v>
      </c>
      <c r="C298" s="11" t="n"/>
      <c r="D298" s="11" t="n">
        <v>486691901</v>
      </c>
      <c r="E298" s="11" t="n"/>
      <c r="N298" s="11" t="n">
        <v>1527138.58</v>
      </c>
      <c r="O298" s="11" t="n"/>
      <c r="P298" s="11" t="n">
        <v>318367.3</v>
      </c>
      <c r="Q298" s="11" t="n"/>
      <c r="R298" s="21">
        <f>N298+O298+P298+N(Q298)</f>
        <v/>
      </c>
      <c r="S298" s="13" t="n">
        <v>0.01</v>
      </c>
      <c r="T298" s="21">
        <f>N(AC298)*S298</f>
        <v/>
      </c>
      <c r="U298" s="21">
        <f>N(AD298)*S298</f>
        <v/>
      </c>
      <c r="V298" s="21">
        <f>N(AE298)*S298</f>
        <v/>
      </c>
      <c r="W298" s="21">
        <f>IF(Q298="","",N(AF298)*S298)</f>
        <v/>
      </c>
      <c r="X298" s="11" t="n">
        <v>35028.7</v>
      </c>
      <c r="Y298" s="11" t="n"/>
      <c r="Z298" s="11" t="n"/>
      <c r="AA298" s="21">
        <f>T298+U298+V298+N(W298)+X298+Y298+N(Z298)</f>
        <v/>
      </c>
      <c r="AB298" s="11" t="n">
        <v>287022.2349999999</v>
      </c>
      <c r="AC298" s="11" t="n">
        <v>1527138.58</v>
      </c>
      <c r="AD298" s="21">
        <f>O298-Y298</f>
        <v/>
      </c>
      <c r="AE298" s="21">
        <f>P298-X298</f>
        <v/>
      </c>
      <c r="AF298" s="21">
        <f>IF(Q298="","",Q298-Z298)</f>
        <v/>
      </c>
      <c r="AG298" s="22">
        <f>AC298+AD298+AE298+N(AF298)</f>
        <v/>
      </c>
      <c r="AH298" s="11" t="n">
        <v>1449428.03146</v>
      </c>
      <c r="AI298" s="24">
        <f>AG298-AH298</f>
        <v/>
      </c>
      <c r="AJ298" s="14">
        <f>IF(OR(B298="",B298=0,N298=""),"",N298/B298*10000)</f>
        <v/>
      </c>
      <c r="AK298" s="14">
        <f>IF(OR(C298="",C298=0),"",O298/C298*10000)</f>
        <v/>
      </c>
      <c r="AL298" s="14">
        <f>IF(OR(D298="",D298=0),"",P298/D298*10000)</f>
        <v/>
      </c>
      <c r="AM298" s="14">
        <f>IF(OR(E298="",E298=0),"",Q298/E298*10000)</f>
        <v/>
      </c>
      <c r="AN298" s="11" t="n">
        <v>20787.05471263842</v>
      </c>
      <c r="AO298" s="11" t="n">
        <v>0</v>
      </c>
      <c r="AP298" s="21">
        <f>AH298+AN298+AO298</f>
        <v/>
      </c>
      <c r="AQ298" s="21">
        <f>AH298</f>
        <v/>
      </c>
      <c r="AR298" s="15" t="n">
        <v>26174.58</v>
      </c>
      <c r="AS298" s="27" t="n">
        <v>55.3754074166615</v>
      </c>
      <c r="AT298" s="15" t="n">
        <v>31168740.92</v>
      </c>
      <c r="AU298" s="15" t="n">
        <v>26520.645</v>
      </c>
      <c r="AV298" s="15" t="n">
        <v>1487.1558</v>
      </c>
      <c r="AW298" s="15" t="n"/>
      <c r="AX298" s="16" t="n">
        <v>430.7886172031418</v>
      </c>
      <c r="AY298" s="13">
        <f>IF(OR(AX298="",AX298=0,AU298=""),"",AU298*365/(AX298*1000000))</f>
        <v/>
      </c>
      <c r="AZ298" s="15" t="n">
        <v>421088581.5929</v>
      </c>
      <c r="BA298" s="17" t="n">
        <v>60487233</v>
      </c>
      <c r="BB298" s="18" t="n">
        <v>31168740.92</v>
      </c>
      <c r="BC298" s="17" t="n">
        <v>2971663</v>
      </c>
      <c r="BD298" s="17">
        <f>1000000000-999590083.144+89450.6110</f>
        <v/>
      </c>
      <c r="BE298" s="19">
        <f>1000000000-AZ298-BA298-BB298-BC298-BD298</f>
        <v/>
      </c>
      <c r="BF298" s="20" t="n">
        <v>238</v>
      </c>
      <c r="BG298" s="20">
        <f>BE298/1000000-BF298</f>
        <v/>
      </c>
      <c r="BH298" s="21">
        <f>BE298*56.09</f>
        <v/>
      </c>
    </row>
    <row r="299">
      <c r="A299" s="10" t="n">
        <v>45921</v>
      </c>
      <c r="B299" s="11" t="n">
        <v>5311897299</v>
      </c>
      <c r="C299" s="11" t="n"/>
      <c r="D299" s="11" t="n">
        <v>800897189</v>
      </c>
      <c r="E299" s="11" t="n"/>
      <c r="N299" s="11" t="n">
        <v>1846069.39</v>
      </c>
      <c r="O299" s="11" t="n"/>
      <c r="P299" s="11" t="n">
        <v>258297.99</v>
      </c>
      <c r="Q299" s="11" t="n"/>
      <c r="R299" s="21">
        <f>N299+O299+P299+N(Q299)</f>
        <v/>
      </c>
      <c r="S299" s="13" t="n">
        <v>0.01</v>
      </c>
      <c r="T299" s="21">
        <f>N(AC299)*S299</f>
        <v/>
      </c>
      <c r="U299" s="21">
        <f>N(AD299)*S299</f>
        <v/>
      </c>
      <c r="V299" s="21">
        <f>N(AE299)*S299</f>
        <v/>
      </c>
      <c r="W299" s="21">
        <f>IF(Q299="","",N(AF299)*S299)</f>
        <v/>
      </c>
      <c r="X299" s="11" t="n">
        <v>25575.22</v>
      </c>
      <c r="Y299" s="11" t="n"/>
      <c r="Z299" s="11" t="n"/>
      <c r="AA299" s="21">
        <f>T299+U299+V299+N(W299)+X299+Y299+N(Z299)</f>
        <v/>
      </c>
      <c r="AB299" s="11" t="n">
        <v>219475.6855000001</v>
      </c>
      <c r="AC299" s="11" t="n">
        <v>1846069.39</v>
      </c>
      <c r="AD299" s="21">
        <f>O299-Y299</f>
        <v/>
      </c>
      <c r="AE299" s="21">
        <f>P299-X299</f>
        <v/>
      </c>
      <c r="AF299" s="21">
        <f>IF(Q299="","",Q299-Z299)</f>
        <v/>
      </c>
      <c r="AG299" s="22">
        <f>AC299+AD299+AE299+N(AF299)</f>
        <v/>
      </c>
      <c r="AH299" s="11" t="n">
        <v>1731316.00493</v>
      </c>
      <c r="AI299" s="24">
        <f>AG299-AH299</f>
        <v/>
      </c>
      <c r="AJ299" s="14">
        <f>IF(OR(B299="",B299=0,N299=""),"",N299/B299*10000)</f>
        <v/>
      </c>
      <c r="AK299" s="14">
        <f>IF(OR(C299="",C299=0),"",O299/C299*10000)</f>
        <v/>
      </c>
      <c r="AL299" s="14">
        <f>IF(OR(D299="",D299=0),"",P299/D299*10000)</f>
        <v/>
      </c>
      <c r="AM299" s="14">
        <f>IF(OR(E299="",E299=0),"",Q299/E299*10000)</f>
        <v/>
      </c>
      <c r="AN299" s="11" t="n">
        <v>24836.7330250279</v>
      </c>
      <c r="AO299" s="11" t="n">
        <v>53397.8</v>
      </c>
      <c r="AP299" s="21">
        <f>AH299+AN299+AO299</f>
        <v/>
      </c>
      <c r="AQ299" s="21">
        <f>AH299</f>
        <v/>
      </c>
      <c r="AR299" s="15" t="n">
        <v>32969.48</v>
      </c>
      <c r="AS299" s="27" t="n">
        <v>52.51268764111536</v>
      </c>
      <c r="AT299" s="15" t="n">
        <v>31202104.65</v>
      </c>
      <c r="AU299" s="15" t="n">
        <v>26520.6144</v>
      </c>
      <c r="AV299" s="15" t="n">
        <v>379.3241</v>
      </c>
      <c r="AW299" s="15" t="n"/>
      <c r="AX299" s="16" t="n">
        <v>430.8575655146319</v>
      </c>
      <c r="AY299" s="13">
        <f>IF(OR(AX299="",AX299=0,AU299=""),"",AU299*365/(AX299*1000000))</f>
        <v/>
      </c>
      <c r="AZ299" s="15" t="n">
        <v>421062060.9786</v>
      </c>
      <c r="BA299" s="17" t="n">
        <v>60487233</v>
      </c>
      <c r="BB299" s="18" t="n">
        <v>31202104.65</v>
      </c>
      <c r="BC299" s="17" t="n">
        <v>2971663</v>
      </c>
      <c r="BD299" s="17">
        <f>1000000000-999589703.8199+89908.7772</f>
        <v/>
      </c>
      <c r="BE299" s="19">
        <f>1000000000-AZ299-BA299-BB299-BC299-BD299</f>
        <v/>
      </c>
      <c r="BF299" s="20" t="n">
        <v>238</v>
      </c>
      <c r="BG299" s="20">
        <f>BE299/1000000-BF299</f>
        <v/>
      </c>
      <c r="BH299" s="21">
        <f>BE299*54.19</f>
        <v/>
      </c>
    </row>
    <row r="300">
      <c r="A300" s="10" t="n">
        <v>45922</v>
      </c>
      <c r="B300" s="11" t="n">
        <v>16410899804</v>
      </c>
      <c r="C300" s="11" t="n"/>
      <c r="D300" s="11" t="n">
        <v>525141560</v>
      </c>
      <c r="E300" s="11" t="n"/>
      <c r="N300" s="11" t="n">
        <v>5027749.43</v>
      </c>
      <c r="O300" s="11" t="n"/>
      <c r="P300" s="11" t="n">
        <v>347578.12</v>
      </c>
      <c r="Q300" s="11" t="n"/>
      <c r="R300" s="21">
        <f>N300+O300+P300+N(Q300)</f>
        <v/>
      </c>
      <c r="S300" s="13" t="n">
        <v>0.01</v>
      </c>
      <c r="T300" s="21">
        <f>N(AC300)*S300</f>
        <v/>
      </c>
      <c r="U300" s="21">
        <f>N(AD300)*S300</f>
        <v/>
      </c>
      <c r="V300" s="21">
        <f>N(AE300)*S300</f>
        <v/>
      </c>
      <c r="W300" s="21">
        <f>IF(Q300="","",N(AF300)*S300)</f>
        <v/>
      </c>
      <c r="X300" s="11" t="n">
        <v>47527.46</v>
      </c>
      <c r="Y300" s="11" t="n"/>
      <c r="Z300" s="11" t="n"/>
      <c r="AA300" s="21">
        <f>T300+U300+V300+N(W300)+X300+Y300+N(Z300)</f>
        <v/>
      </c>
      <c r="AB300" s="11" t="n">
        <v>236648.3454</v>
      </c>
      <c r="AC300" s="11" t="n">
        <v>5027749.43</v>
      </c>
      <c r="AD300" s="21">
        <f>O300-Y300</f>
        <v/>
      </c>
      <c r="AE300" s="21">
        <f>P300-X300</f>
        <v/>
      </c>
      <c r="AF300" s="21">
        <f>IF(Q300="","",Q300-Z300)</f>
        <v/>
      </c>
      <c r="AG300" s="22">
        <f>AC300+AD300+AE300+N(AF300)</f>
        <v/>
      </c>
      <c r="AH300" s="11" t="n">
        <v>4825143.11409</v>
      </c>
      <c r="AI300" s="24">
        <f>AG300-AH300</f>
        <v/>
      </c>
      <c r="AJ300" s="14">
        <f>IF(OR(B300="",B300=0,N300=""),"",N300/B300*10000)</f>
        <v/>
      </c>
      <c r="AK300" s="14">
        <f>IF(OR(C300="",C300=0),"",O300/C300*10000)</f>
        <v/>
      </c>
      <c r="AL300" s="14">
        <f>IF(OR(D300="",D300=0),"",P300/D300*10000)</f>
        <v/>
      </c>
      <c r="AM300" s="14">
        <f>IF(OR(E300="",E300=0),"",Q300/E300*10000)</f>
        <v/>
      </c>
      <c r="AN300" s="11" t="n">
        <v>83905.0267348721</v>
      </c>
      <c r="AO300" s="11" t="n">
        <v>31837.61</v>
      </c>
      <c r="AP300" s="21">
        <f>AH300+AN300+AO300</f>
        <v/>
      </c>
      <c r="AQ300" s="21">
        <f>AH300</f>
        <v/>
      </c>
      <c r="AR300" s="15" t="n">
        <v>99115.08</v>
      </c>
      <c r="AS300" s="27" t="n">
        <v>48.68222992999653</v>
      </c>
      <c r="AT300" s="15" t="n">
        <v>31301565.54</v>
      </c>
      <c r="AU300" s="15" t="n">
        <v>26481.2514</v>
      </c>
      <c r="AV300" s="15" t="n">
        <v>1654.3808</v>
      </c>
      <c r="AW300" s="15" t="n"/>
      <c r="AX300" s="16" t="n">
        <v>430.4544338380568</v>
      </c>
      <c r="AY300" s="13">
        <f>IF(OR(AX300="",AX300=0,AU300=""),"",AU300*365/(AX300*1000000))</f>
        <v/>
      </c>
      <c r="AZ300" s="15" t="n">
        <v>421035579.7271</v>
      </c>
      <c r="BA300" s="17" t="n">
        <v>60487233</v>
      </c>
      <c r="BB300" s="18" t="n">
        <v>31301565.54</v>
      </c>
      <c r="BC300" s="17" t="n">
        <v>2971663</v>
      </c>
      <c r="BD300" s="17">
        <f>1000000000-999588049.4392+91568.4225</f>
        <v/>
      </c>
      <c r="BE300" s="19">
        <f>1000000000-AZ300-BA300-BB300-BC300-BD300</f>
        <v/>
      </c>
      <c r="BF300" s="20" t="n">
        <v>238</v>
      </c>
      <c r="BG300" s="20">
        <f>BE300/1000000-BF300</f>
        <v/>
      </c>
      <c r="BH300" s="21">
        <f>BE300*50.96</f>
        <v/>
      </c>
    </row>
    <row r="301">
      <c r="A301" s="10" t="n">
        <v>45923</v>
      </c>
      <c r="B301" s="11" t="n">
        <v>9710818917</v>
      </c>
      <c r="C301" s="11" t="n"/>
      <c r="D301" s="11" t="n">
        <v>548805475</v>
      </c>
      <c r="E301" s="11" t="n"/>
      <c r="N301" s="11" t="n">
        <v>2987860.82</v>
      </c>
      <c r="O301" s="11" t="n"/>
      <c r="P301" s="11" t="n">
        <v>211422.77</v>
      </c>
      <c r="Q301" s="11" t="n"/>
      <c r="R301" s="21">
        <f>N301+O301+P301+N(Q301)</f>
        <v/>
      </c>
      <c r="S301" s="13" t="n">
        <v>0.01</v>
      </c>
      <c r="T301" s="21">
        <f>N(AC301)*S301</f>
        <v/>
      </c>
      <c r="U301" s="21">
        <f>N(AD301)*S301</f>
        <v/>
      </c>
      <c r="V301" s="21">
        <f>N(AE301)*S301</f>
        <v/>
      </c>
      <c r="W301" s="21">
        <f>IF(Q301="","",N(AF301)*S301)</f>
        <v/>
      </c>
      <c r="X301" s="11" t="n">
        <v>27310.41</v>
      </c>
      <c r="Y301" s="11" t="n"/>
      <c r="Z301" s="11" t="n"/>
      <c r="AA301" s="21">
        <f>T301+U301+V301+N(W301)+X301+Y301+N(Z301)</f>
        <v/>
      </c>
      <c r="AB301" s="11" t="n">
        <v>186310.5875</v>
      </c>
      <c r="AC301" s="11" t="n">
        <v>2987860.82</v>
      </c>
      <c r="AD301" s="21">
        <f>O301-Y301</f>
        <v/>
      </c>
      <c r="AE301" s="21">
        <f>P301-X301</f>
        <v/>
      </c>
      <c r="AF301" s="21">
        <f>IF(Q301="","",Q301-Z301)</f>
        <v/>
      </c>
      <c r="AG301" s="22">
        <f>AC301+AD301+AE301+N(AF301)</f>
        <v/>
      </c>
      <c r="AH301" s="11" t="n">
        <v>2814059.09028</v>
      </c>
      <c r="AI301" s="24">
        <f>AG301-AH301</f>
        <v/>
      </c>
      <c r="AJ301" s="14">
        <f>IF(OR(B301="",B301=0,N301=""),"",N301/B301*10000)</f>
        <v/>
      </c>
      <c r="AK301" s="14">
        <f>IF(OR(C301="",C301=0),"",O301/C301*10000)</f>
        <v/>
      </c>
      <c r="AL301" s="14">
        <f>IF(OR(D301="",D301=0),"",P301/D301*10000)</f>
        <v/>
      </c>
      <c r="AM301" s="14">
        <f>IF(OR(E301="",E301=0),"",Q301/E301*10000)</f>
        <v/>
      </c>
      <c r="AN301" s="11" t="n">
        <v>53833.42766994093</v>
      </c>
      <c r="AO301" s="11" t="n">
        <v>0</v>
      </c>
      <c r="AP301" s="21">
        <f>AH301+AN301+AO301</f>
        <v/>
      </c>
      <c r="AQ301" s="21">
        <f>AH301</f>
        <v/>
      </c>
      <c r="AR301" s="15" t="n">
        <v>60343.93</v>
      </c>
      <c r="AS301" s="27" t="n">
        <v>46.63367285292821</v>
      </c>
      <c r="AT301" s="15" t="n">
        <v>31361169.41</v>
      </c>
      <c r="AU301" s="15" t="n">
        <v>26550.3898</v>
      </c>
      <c r="AV301" s="15" t="n">
        <v>1779.5668</v>
      </c>
      <c r="AW301" s="15" t="n"/>
      <c r="AX301" s="16" t="n">
        <v>431.42200933392</v>
      </c>
      <c r="AY301" s="13">
        <f>IF(OR(AX301="",AX301=0,AU301=""),"",AU301*365/(AX301*1000000))</f>
        <v/>
      </c>
      <c r="AZ301" s="15" t="n">
        <v>421009029.3374</v>
      </c>
      <c r="BA301" s="17" t="n">
        <v>60487233</v>
      </c>
      <c r="BB301" s="18" t="n">
        <v>31361169.41</v>
      </c>
      <c r="BC301" s="17" t="n">
        <v>2971663</v>
      </c>
      <c r="BD301" s="17">
        <f>1000000000-999586269.8724+92716.5261</f>
        <v/>
      </c>
      <c r="BE301" s="19">
        <f>1000000000-AZ301-BA301-BB301-BC301-BD301</f>
        <v/>
      </c>
      <c r="BF301" s="20" t="n">
        <v>238</v>
      </c>
      <c r="BG301" s="20">
        <f>BE301/1000000-BF301</f>
        <v/>
      </c>
      <c r="BH301" s="21">
        <f>BE301*46.88</f>
        <v/>
      </c>
    </row>
    <row r="302">
      <c r="A302" s="10" t="n">
        <v>45924</v>
      </c>
      <c r="B302" s="11" t="n">
        <v>9364843438</v>
      </c>
      <c r="C302" s="11" t="n"/>
      <c r="D302" s="11" t="n">
        <v>1272071931</v>
      </c>
      <c r="E302" s="11" t="n"/>
      <c r="N302" s="11" t="n">
        <v>2832885.55</v>
      </c>
      <c r="O302" s="11" t="n"/>
      <c r="P302" s="11" t="n">
        <v>214095.5</v>
      </c>
      <c r="Q302" s="11" t="n"/>
      <c r="R302" s="21">
        <f>N302+O302+P302+N(Q302)</f>
        <v/>
      </c>
      <c r="S302" s="13" t="n">
        <v>0.01</v>
      </c>
      <c r="T302" s="21">
        <f>N(AC302)*S302</f>
        <v/>
      </c>
      <c r="U302" s="21">
        <f>N(AD302)*S302</f>
        <v/>
      </c>
      <c r="V302" s="21">
        <f>N(AE302)*S302</f>
        <v/>
      </c>
      <c r="W302" s="21">
        <f>IF(Q302="","",N(AF302)*S302)</f>
        <v/>
      </c>
      <c r="X302" s="11" t="n">
        <v>25309.18</v>
      </c>
      <c r="Y302" s="11" t="n"/>
      <c r="Z302" s="11" t="n"/>
      <c r="AA302" s="21">
        <f>T302+U302+V302+N(W302)+X302+Y302+N(Z302)</f>
        <v/>
      </c>
      <c r="AB302" s="11" t="n">
        <v>169719.3368</v>
      </c>
      <c r="AC302" s="11" t="n">
        <v>2832885.55</v>
      </c>
      <c r="AD302" s="21">
        <f>O302-Y302</f>
        <v/>
      </c>
      <c r="AE302" s="21">
        <f>P302-X302</f>
        <v/>
      </c>
      <c r="AF302" s="21">
        <f>IF(Q302="","",Q302-Z302)</f>
        <v/>
      </c>
      <c r="AG302" s="22">
        <f>AC302+AD302+AE302+N(AF302)</f>
        <v/>
      </c>
      <c r="AH302" s="11" t="n">
        <v>2663425.83059</v>
      </c>
      <c r="AI302" s="24">
        <f>AG302-AH302</f>
        <v/>
      </c>
      <c r="AJ302" s="14">
        <f>IF(OR(B302="",B302=0,N302=""),"",N302/B302*10000)</f>
        <v/>
      </c>
      <c r="AK302" s="14">
        <f>IF(OR(C302="",C302=0),"",O302/C302*10000)</f>
        <v/>
      </c>
      <c r="AL302" s="14">
        <f>IF(OR(D302="",D302=0),"",P302/D302*10000)</f>
        <v/>
      </c>
      <c r="AM302" s="14">
        <f>IF(OR(E302="",E302=0),"",Q302/E302*10000)</f>
        <v/>
      </c>
      <c r="AN302" s="11" t="n">
        <v>145666.6182970873</v>
      </c>
      <c r="AO302" s="11" t="n">
        <v>26262.08</v>
      </c>
      <c r="AP302" s="21">
        <f>AH302+AN302+AO302</f>
        <v/>
      </c>
      <c r="AQ302" s="21">
        <f>AH302</f>
        <v/>
      </c>
      <c r="AR302" s="15" t="n">
        <v>59159.16</v>
      </c>
      <c r="AS302" s="27" t="n">
        <v>45.02135984672534</v>
      </c>
      <c r="AT302" s="15" t="n">
        <v>31420547.02</v>
      </c>
      <c r="AU302" s="15" t="n">
        <v>26333.996</v>
      </c>
      <c r="AV302" s="15" t="n">
        <v>1059.8152</v>
      </c>
      <c r="AW302" s="15" t="n"/>
      <c r="AX302" s="16" t="n">
        <v>430.5364078984844</v>
      </c>
      <c r="AY302" s="13">
        <f>IF(OR(AX302="",AX302=0,AU302=""),"",AU302*365/(AX302*1000000))</f>
        <v/>
      </c>
      <c r="AZ302" s="15" t="n">
        <v>420982695.3413</v>
      </c>
      <c r="BA302" s="17" t="n">
        <v>60487233</v>
      </c>
      <c r="BB302" s="18" t="n">
        <v>31420547.02</v>
      </c>
      <c r="BC302" s="17" t="n">
        <v>2971663</v>
      </c>
      <c r="BD302" s="17">
        <f>1000000000-999585210.0572+95951.9802</f>
        <v/>
      </c>
      <c r="BE302" s="19">
        <f>1000000000-AZ302-BA302-BB302-BC302-BD302</f>
        <v/>
      </c>
      <c r="BF302" s="20" t="n">
        <v>238</v>
      </c>
      <c r="BG302" s="20">
        <f>BE302/1000000-BF302</f>
        <v/>
      </c>
      <c r="BH302" s="21">
        <f>BE302*44.74</f>
        <v/>
      </c>
    </row>
    <row r="303">
      <c r="A303" s="10" t="n">
        <v>45925</v>
      </c>
      <c r="B303" s="11" t="n">
        <v>17338409015</v>
      </c>
      <c r="C303" s="11" t="n"/>
      <c r="D303" s="11" t="n">
        <v>1070183296</v>
      </c>
      <c r="E303" s="11" t="n"/>
      <c r="N303" s="11" t="n">
        <v>5101196.34</v>
      </c>
      <c r="O303" s="11" t="n"/>
      <c r="P303" s="11" t="n">
        <v>530829.6</v>
      </c>
      <c r="Q303" s="11" t="n"/>
      <c r="R303" s="21">
        <f>N303+O303+P303+N(Q303)</f>
        <v/>
      </c>
      <c r="S303" s="13" t="n">
        <v>0.01</v>
      </c>
      <c r="T303" s="21">
        <f>N(AC303)*S303</f>
        <v/>
      </c>
      <c r="U303" s="21">
        <f>N(AD303)*S303</f>
        <v/>
      </c>
      <c r="V303" s="21">
        <f>N(AE303)*S303</f>
        <v/>
      </c>
      <c r="W303" s="21">
        <f>IF(Q303="","",N(AF303)*S303)</f>
        <v/>
      </c>
      <c r="X303" s="11" t="n">
        <v>72227.92999999999</v>
      </c>
      <c r="Y303" s="11" t="n"/>
      <c r="Z303" s="11" t="n"/>
      <c r="AA303" s="21">
        <f>T303+U303+V303+N(W303)+X303+Y303+N(Z303)</f>
        <v/>
      </c>
      <c r="AB303" s="11" t="n">
        <v>230754.8779</v>
      </c>
      <c r="AC303" s="11" t="n">
        <v>5101196.34</v>
      </c>
      <c r="AD303" s="21">
        <f>O303-Y303</f>
        <v/>
      </c>
      <c r="AE303" s="21">
        <f>P303-X303</f>
        <v/>
      </c>
      <c r="AF303" s="21">
        <f>IF(Q303="","",Q303-Z303)</f>
        <v/>
      </c>
      <c r="AG303" s="22">
        <f>AC303+AD303+AE303+N(AF303)</f>
        <v/>
      </c>
      <c r="AH303" s="11" t="n">
        <v>5027352.35541</v>
      </c>
      <c r="AI303" s="24">
        <f>AG303-AH303</f>
        <v/>
      </c>
      <c r="AJ303" s="14">
        <f>IF(OR(B303="",B303=0,N303=""),"",N303/B303*10000)</f>
        <v/>
      </c>
      <c r="AK303" s="14">
        <f>IF(OR(C303="",C303=0),"",O303/C303*10000)</f>
        <v/>
      </c>
      <c r="AL303" s="14">
        <f>IF(OR(D303="",D303=0),"",P303/D303*10000)</f>
        <v/>
      </c>
      <c r="AM303" s="14">
        <f>IF(OR(E303="",E303=0),"",Q303/E303*10000)</f>
        <v/>
      </c>
      <c r="AN303" s="11" t="n">
        <v>111412.3042617545</v>
      </c>
      <c r="AO303" s="11" t="n">
        <v>32497.54</v>
      </c>
      <c r="AP303" s="21">
        <f>AH303+AN303+AO303</f>
        <v/>
      </c>
      <c r="AQ303" s="21">
        <f>AH303</f>
        <v/>
      </c>
      <c r="AR303" s="15" t="n">
        <v>119037.7</v>
      </c>
      <c r="AS303" s="27" t="n">
        <v>42.23327866222214</v>
      </c>
      <c r="AT303" s="15" t="n">
        <v>31539671.17</v>
      </c>
      <c r="AU303" s="15" t="n">
        <v>26490.2406</v>
      </c>
      <c r="AV303" s="15" t="n">
        <v>1835.6658</v>
      </c>
      <c r="AW303" s="15" t="n"/>
      <c r="AX303" s="16" t="n">
        <v>429.4105004039782</v>
      </c>
      <c r="AY303" s="13">
        <f>IF(OR(AX303="",AX303=0,AU303=""),"",AU303*365/(AX303*1000000))</f>
        <v/>
      </c>
      <c r="AZ303" s="15" t="n">
        <v>420956205.1007</v>
      </c>
      <c r="BA303" s="17" t="n">
        <v>60487233</v>
      </c>
      <c r="BB303" s="18" t="n">
        <v>31539671.17</v>
      </c>
      <c r="BC303" s="17" t="n">
        <v>2971663</v>
      </c>
      <c r="BD303" s="17">
        <f>1000000000-999583374.3914+98395.1790</f>
        <v/>
      </c>
      <c r="BE303" s="19">
        <f>1000000000-AZ303-BA303-BB303-BC303-BD303</f>
        <v/>
      </c>
      <c r="BF303" s="20" t="n">
        <v>238</v>
      </c>
      <c r="BG303" s="20">
        <f>BE303/1000000-BF303</f>
        <v/>
      </c>
      <c r="BH303" s="21">
        <f>BE303*45.8</f>
        <v/>
      </c>
    </row>
    <row r="304">
      <c r="A304" s="10" t="n">
        <v>45926</v>
      </c>
      <c r="B304" s="11" t="n">
        <v>9099654715</v>
      </c>
      <c r="C304" s="11" t="n"/>
      <c r="D304" s="11" t="n">
        <v>655504682</v>
      </c>
      <c r="E304" s="11" t="n"/>
      <c r="N304" s="11" t="n">
        <v>2989687.02</v>
      </c>
      <c r="O304" s="11" t="n"/>
      <c r="P304" s="11" t="n">
        <v>383389.36</v>
      </c>
      <c r="Q304" s="11" t="n"/>
      <c r="R304" s="21">
        <f>N304+O304+P304+N(Q304)</f>
        <v/>
      </c>
      <c r="S304" s="13" t="n">
        <v>0.01</v>
      </c>
      <c r="T304" s="21">
        <f>N(AC304)*S304</f>
        <v/>
      </c>
      <c r="U304" s="21">
        <f>N(AD304)*S304</f>
        <v/>
      </c>
      <c r="V304" s="21">
        <f>N(AE304)*S304</f>
        <v/>
      </c>
      <c r="W304" s="21">
        <f>IF(Q304="","",N(AF304)*S304)</f>
        <v/>
      </c>
      <c r="X304" s="11" t="n">
        <v>58272.57</v>
      </c>
      <c r="Y304" s="11" t="n"/>
      <c r="Z304" s="11" t="n"/>
      <c r="AA304" s="21">
        <f>T304+U304+V304+N(W304)+X304+Y304+N(Z304)</f>
        <v/>
      </c>
      <c r="AB304" s="11" t="n">
        <v>193052.8886000001</v>
      </c>
      <c r="AC304" s="11" t="n">
        <v>2989687.02</v>
      </c>
      <c r="AD304" s="21">
        <f>O304-Y304</f>
        <v/>
      </c>
      <c r="AE304" s="21">
        <f>P304-X304</f>
        <v/>
      </c>
      <c r="AF304" s="21">
        <f>IF(Q304="","",Q304-Z304)</f>
        <v/>
      </c>
      <c r="AG304" s="22">
        <f>AC304+AD304+AE304+N(AF304)</f>
        <v/>
      </c>
      <c r="AH304" s="11" t="n">
        <v>2846935.39964</v>
      </c>
      <c r="AI304" s="24">
        <f>AG304-AH304</f>
        <v/>
      </c>
      <c r="AJ304" s="14">
        <f>IF(OR(B304="",B304=0,N304=""),"",N304/B304*10000)</f>
        <v/>
      </c>
      <c r="AK304" s="14">
        <f>IF(OR(C304="",C304=0),"",O304/C304*10000)</f>
        <v/>
      </c>
      <c r="AL304" s="14">
        <f>IF(OR(D304="",D304=0),"",P304/D304*10000)</f>
        <v/>
      </c>
      <c r="AM304" s="14">
        <f>IF(OR(E304="",E304=0),"",Q304/E304*10000)</f>
        <v/>
      </c>
      <c r="AN304" s="11" t="n">
        <v>95150.7246555686</v>
      </c>
      <c r="AO304" s="11" t="n">
        <v>0</v>
      </c>
      <c r="AP304" s="21">
        <f>AH304+AN304+AO304</f>
        <v/>
      </c>
      <c r="AQ304" s="21">
        <f>AH304</f>
        <v/>
      </c>
      <c r="AR304" s="15" t="n">
        <v>65870.34</v>
      </c>
      <c r="AS304" s="27" t="n">
        <v>43.22029307333164</v>
      </c>
      <c r="AT304" s="15" t="n">
        <v>31605236.61</v>
      </c>
      <c r="AU304" s="15" t="n">
        <v>26434.0542</v>
      </c>
      <c r="AV304" s="15" t="n">
        <v>2653.1531</v>
      </c>
      <c r="AW304" s="15" t="n"/>
      <c r="AX304" s="16" t="n">
        <v>427.3928995537549</v>
      </c>
      <c r="AY304" s="13">
        <f>IF(OR(AX304="",AX304=0,AU304=""),"",AU304*365/(AX304*1000000))</f>
        <v/>
      </c>
      <c r="AZ304" s="15" t="n">
        <v>420929771.0465</v>
      </c>
      <c r="BA304" s="17" t="n">
        <v>60487233</v>
      </c>
      <c r="BB304" s="18" t="n">
        <v>31605236.61</v>
      </c>
      <c r="BC304" s="17" t="n">
        <v>2971663</v>
      </c>
      <c r="BD304" s="17">
        <f>1000000000-999580721.2383+100690.5671</f>
        <v/>
      </c>
      <c r="BE304" s="19">
        <f>1000000000-AZ304-BA304-BB304-BC304-BD304</f>
        <v/>
      </c>
      <c r="BF304" s="20" t="n">
        <v>238</v>
      </c>
      <c r="BG304" s="20">
        <f>BE304/1000000-BF304</f>
        <v/>
      </c>
      <c r="BH304" s="21">
        <f>BE304*41.15</f>
        <v/>
      </c>
    </row>
    <row r="305">
      <c r="A305" s="10" t="n">
        <v>45927</v>
      </c>
      <c r="B305" s="11" t="n">
        <v>4181427582</v>
      </c>
      <c r="C305" s="11" t="n"/>
      <c r="D305" s="11" t="n">
        <v>529511395</v>
      </c>
      <c r="E305" s="11" t="n"/>
      <c r="N305" s="11" t="n">
        <v>1422988.81</v>
      </c>
      <c r="O305" s="11" t="n"/>
      <c r="P305" s="11" t="n">
        <v>211794.07</v>
      </c>
      <c r="Q305" s="11" t="n"/>
      <c r="R305" s="21">
        <f>N305+O305+P305+N(Q305)</f>
        <v/>
      </c>
      <c r="S305" s="13" t="n">
        <v>0.01</v>
      </c>
      <c r="T305" s="21">
        <f>N(AC305)*S305</f>
        <v/>
      </c>
      <c r="U305" s="21">
        <f>N(AD305)*S305</f>
        <v/>
      </c>
      <c r="V305" s="21">
        <f>N(AE305)*S305</f>
        <v/>
      </c>
      <c r="W305" s="21">
        <f>IF(Q305="","",N(AF305)*S305)</f>
        <v/>
      </c>
      <c r="X305" s="11" t="n">
        <v>31308.99</v>
      </c>
      <c r="Y305" s="11" t="n"/>
      <c r="Z305" s="11" t="n"/>
      <c r="AA305" s="21">
        <f>T305+U305+V305+N(W305)+X305+Y305+N(Z305)</f>
        <v/>
      </c>
      <c r="AB305" s="11" t="n">
        <v>96119.5779</v>
      </c>
      <c r="AC305" s="11" t="n">
        <v>1422988.81</v>
      </c>
      <c r="AD305" s="21">
        <f>O305-Y305</f>
        <v/>
      </c>
      <c r="AE305" s="21">
        <f>P305-X305</f>
        <v/>
      </c>
      <c r="AF305" s="21">
        <f>IF(Q305="","",Q305-Z305)</f>
        <v/>
      </c>
      <c r="AG305" s="22">
        <f>AC305+AD305+AE305+N(AF305)</f>
        <v/>
      </c>
      <c r="AH305" s="11" t="n">
        <v>1460827.72403</v>
      </c>
      <c r="AI305" s="24">
        <f>AG305-AH305</f>
        <v/>
      </c>
      <c r="AJ305" s="14">
        <f>IF(OR(B305="",B305=0,N305=""),"",N305/B305*10000)</f>
        <v/>
      </c>
      <c r="AK305" s="14">
        <f>IF(OR(C305="",C305=0),"",O305/C305*10000)</f>
        <v/>
      </c>
      <c r="AL305" s="14">
        <f>IF(OR(D305="",D305=0),"",P305/D305*10000)</f>
        <v/>
      </c>
      <c r="AM305" s="14">
        <f>IF(OR(E305="",E305=0),"",Q305/E305*10000)</f>
        <v/>
      </c>
      <c r="AN305" s="11" t="n">
        <v>34516.32436584814</v>
      </c>
      <c r="AO305" s="11" t="n">
        <v>22423.3</v>
      </c>
      <c r="AP305" s="21">
        <f>AH305+AN305+AO305</f>
        <v/>
      </c>
      <c r="AQ305" s="21">
        <f>AH305</f>
        <v/>
      </c>
      <c r="AR305" s="15" t="n">
        <v>32624.52</v>
      </c>
      <c r="AS305" s="27" t="n">
        <v>44.77698749376236</v>
      </c>
      <c r="AT305" s="15" t="n">
        <v>31675614.22</v>
      </c>
      <c r="AU305" s="15" t="n">
        <v>26395.275</v>
      </c>
      <c r="AV305" s="15" t="n">
        <v>1489.1978</v>
      </c>
      <c r="AW305" s="15" t="n"/>
      <c r="AX305" s="16" t="n">
        <v>425.6149930809867</v>
      </c>
      <c r="AY305" s="13">
        <f>IF(OR(AX305="",AX305=0,AU305=""),"",AU305*365/(AX305*1000000))</f>
        <v/>
      </c>
      <c r="AZ305" s="15" t="n">
        <v>420903375.7715</v>
      </c>
      <c r="BA305" s="17" t="n">
        <v>60487233</v>
      </c>
      <c r="BB305" s="18" t="n">
        <v>31675614.22</v>
      </c>
      <c r="BC305" s="17" t="n">
        <v>2971663</v>
      </c>
      <c r="BD305" s="17">
        <f>1000000000-999579232.0404+101458.3302</f>
        <v/>
      </c>
      <c r="BE305" s="19">
        <f>1000000000-AZ305-BA305-BB305-BC305-BD305</f>
        <v/>
      </c>
      <c r="BF305" s="20" t="n">
        <v>238</v>
      </c>
      <c r="BG305" s="20">
        <f>BE305/1000000-BF305</f>
        <v/>
      </c>
      <c r="BH305" s="21">
        <f>BE305*44.89</f>
        <v/>
      </c>
    </row>
    <row r="306">
      <c r="A306" s="10" t="n">
        <v>45928</v>
      </c>
      <c r="B306" s="11" t="n">
        <v>5697862969</v>
      </c>
      <c r="C306" s="11" t="n"/>
      <c r="D306" s="11" t="n">
        <v>704831792</v>
      </c>
      <c r="E306" s="11" t="n"/>
      <c r="N306" s="11" t="n">
        <v>1837676.84</v>
      </c>
      <c r="O306" s="11" t="n"/>
      <c r="P306" s="11" t="n">
        <v>176353.28</v>
      </c>
      <c r="Q306" s="11" t="n"/>
      <c r="R306" s="21">
        <f>N306+O306+P306+N(Q306)</f>
        <v/>
      </c>
      <c r="S306" s="13" t="n">
        <v>0.01</v>
      </c>
      <c r="T306" s="21">
        <f>N(AC306)*S306</f>
        <v/>
      </c>
      <c r="U306" s="21">
        <f>N(AD306)*S306</f>
        <v/>
      </c>
      <c r="V306" s="21">
        <f>N(AE306)*S306</f>
        <v/>
      </c>
      <c r="W306" s="21">
        <f>IF(Q306="","",N(AF306)*S306)</f>
        <v/>
      </c>
      <c r="X306" s="11" t="n">
        <v>22781.41</v>
      </c>
      <c r="Y306" s="11" t="n"/>
      <c r="Z306" s="11" t="n"/>
      <c r="AA306" s="21">
        <f>T306+U306+V306+N(W306)+X306+Y306+N(Z306)</f>
        <v/>
      </c>
      <c r="AB306" s="11" t="n">
        <v>112039.829</v>
      </c>
      <c r="AC306" s="11" t="n">
        <v>1837676.84</v>
      </c>
      <c r="AD306" s="21">
        <f>O306-Y306</f>
        <v/>
      </c>
      <c r="AE306" s="21">
        <f>P306-X306</f>
        <v/>
      </c>
      <c r="AF306" s="21">
        <f>IF(Q306="","",Q306-Z306)</f>
        <v/>
      </c>
      <c r="AG306" s="22">
        <f>AC306+AD306+AE306+N(AF306)</f>
        <v/>
      </c>
      <c r="AH306" s="11" t="n">
        <v>1713778.62968</v>
      </c>
      <c r="AI306" s="24">
        <f>AG306-AH306</f>
        <v/>
      </c>
      <c r="AJ306" s="14">
        <f>IF(OR(B306="",B306=0,N306=""),"",N306/B306*10000)</f>
        <v/>
      </c>
      <c r="AK306" s="14">
        <f>IF(OR(C306="",C306=0),"",O306/C306*10000)</f>
        <v/>
      </c>
      <c r="AL306" s="14">
        <f>IF(OR(D306="",D306=0),"",P306/D306*10000)</f>
        <v/>
      </c>
      <c r="AM306" s="14">
        <f>IF(OR(E306="",E306=0),"",Q306/E306*10000)</f>
        <v/>
      </c>
      <c r="AN306" s="11" t="n">
        <v>42291.04119373473</v>
      </c>
      <c r="AO306" s="11" t="n">
        <v>0</v>
      </c>
      <c r="AP306" s="21">
        <f>AH306+AN306+AO306</f>
        <v/>
      </c>
      <c r="AQ306" s="21">
        <f>AH306</f>
        <v/>
      </c>
      <c r="AR306" s="15" t="n">
        <v>37753.09</v>
      </c>
      <c r="AS306" s="27" t="n">
        <v>45.39439366896856</v>
      </c>
      <c r="AT306" s="15" t="n">
        <v>31675614.22</v>
      </c>
      <c r="AU306" s="15" t="n">
        <v>26313.7776</v>
      </c>
      <c r="AV306" s="15" t="n">
        <v>1177.5401</v>
      </c>
      <c r="AW306" s="15" t="n"/>
      <c r="AX306" s="16" t="n">
        <v>425.5168231555895</v>
      </c>
      <c r="AY306" s="13">
        <f>IF(OR(AX306="",AX306=0,AU306=""),"",AU306*365/(AX306*1000000))</f>
        <v/>
      </c>
      <c r="AZ306" s="15" t="n">
        <v>420877061.9938</v>
      </c>
      <c r="BA306" s="17" t="n">
        <v>60487233</v>
      </c>
      <c r="BB306" s="18" t="n">
        <v>31675614.22</v>
      </c>
      <c r="BC306" s="17" t="n">
        <v>2971663</v>
      </c>
      <c r="BD306" s="17">
        <f>1000000000-999578054.5003+102380.8291</f>
        <v/>
      </c>
      <c r="BE306" s="19">
        <f>1000000000-AZ306-BA306-BB306-BC306-BD306</f>
        <v/>
      </c>
      <c r="BF306" s="20" t="n">
        <v>238</v>
      </c>
      <c r="BG306" s="20">
        <f>BE306/1000000-BF306</f>
        <v/>
      </c>
      <c r="BH306" s="21">
        <f>BE306*45.62</f>
        <v/>
      </c>
    </row>
    <row r="307">
      <c r="A307" s="10" t="n">
        <v>45929</v>
      </c>
      <c r="B307" s="11" t="n">
        <v>7934780754</v>
      </c>
      <c r="C307" s="11" t="n"/>
      <c r="D307" s="12" t="n">
        <v>548722349</v>
      </c>
      <c r="E307" s="11" t="n"/>
      <c r="N307" s="11" t="n">
        <v>2544183.39</v>
      </c>
      <c r="O307" s="11" t="n"/>
      <c r="P307" s="11" t="n">
        <v>231192.84</v>
      </c>
      <c r="Q307" s="11" t="n"/>
      <c r="R307" s="21">
        <f>N307+O307+P307+N(Q307)</f>
        <v/>
      </c>
      <c r="S307" s="13" t="n">
        <v>0.01</v>
      </c>
      <c r="T307" s="21">
        <f>N(AC307)*S307</f>
        <v/>
      </c>
      <c r="U307" s="21">
        <f>N(AD307)*S307</f>
        <v/>
      </c>
      <c r="V307" s="21">
        <f>N(AE307)*S307</f>
        <v/>
      </c>
      <c r="W307" s="21">
        <f>IF(Q307="","",N(AF307)*S307)</f>
        <v/>
      </c>
      <c r="X307" s="11" t="n">
        <v>38720.09</v>
      </c>
      <c r="Y307" s="11" t="n"/>
      <c r="Z307" s="11" t="n"/>
      <c r="AA307" s="21">
        <f>T307+U307+V307+N(W307)+X307+Y307+N(Z307)</f>
        <v/>
      </c>
      <c r="AB307" s="11" t="n">
        <v>161408.0436</v>
      </c>
      <c r="AC307" s="11" t="n">
        <v>2544183.39</v>
      </c>
      <c r="AD307" s="21">
        <f>O307-Y307</f>
        <v/>
      </c>
      <c r="AE307" s="21">
        <f>P307-X307</f>
        <v/>
      </c>
      <c r="AF307" s="21">
        <f>IF(Q307="","",Q307-Z307)</f>
        <v/>
      </c>
      <c r="AG307" s="22">
        <f>AC307+AD307+AE307+N(AF307)</f>
        <v/>
      </c>
      <c r="AH307" s="11" t="n">
        <v>2482196.62762</v>
      </c>
      <c r="AI307" s="24">
        <f>AG307-AH307</f>
        <v/>
      </c>
      <c r="AJ307" s="14">
        <f>IF(OR(B307="",B307=0,N307=""),"",N307/B307*10000)</f>
        <v/>
      </c>
      <c r="AK307" s="14">
        <f>IF(OR(C307="",C307=0),"",O307/C307*10000)</f>
        <v/>
      </c>
      <c r="AL307" s="14">
        <f>IF(OR(D307="",D307=0),"",P307/D307*10000)</f>
        <v/>
      </c>
      <c r="AM307" s="14">
        <f>IF(OR(E307="",E307=0),"",Q307/E307*10000)</f>
        <v/>
      </c>
      <c r="AN307" s="11" t="n">
        <v>62226.71507096495</v>
      </c>
      <c r="AO307" s="11" t="n">
        <v>31773.84</v>
      </c>
      <c r="AP307" s="21">
        <f>AH307+AN307+AO307</f>
        <v/>
      </c>
      <c r="AQ307" s="21">
        <f>AH307</f>
        <v/>
      </c>
      <c r="AR307" s="15" t="n">
        <v>53114.97</v>
      </c>
      <c r="AS307" s="27" t="n">
        <v>46.73252432638105</v>
      </c>
      <c r="AT307" s="15" t="n">
        <v>31728729.19</v>
      </c>
      <c r="AU307" s="15" t="n">
        <v>26353.2422</v>
      </c>
      <c r="AV307" s="15" t="n">
        <v>1419.9657</v>
      </c>
      <c r="AW307" s="15" t="n"/>
      <c r="AX307" s="16" t="n">
        <v>425.5670442359591</v>
      </c>
      <c r="AY307" s="13">
        <f>IF(OR(AX307="",AX307=0,AU307=""),"",AU307*365/(AX307*1000000))</f>
        <v/>
      </c>
      <c r="AZ307" s="15" t="n">
        <v>420850708.7516</v>
      </c>
      <c r="BA307" s="17" t="n">
        <v>60487233</v>
      </c>
      <c r="BB307" s="18" t="n">
        <v>31728729.19</v>
      </c>
      <c r="BC307" s="17" t="n">
        <v>2971663</v>
      </c>
      <c r="BD307" s="17">
        <f>1000000000-999576634.5346+103711.3695</f>
        <v/>
      </c>
      <c r="BE307" s="19">
        <f>1000000000-AZ307-BA307-BB307-BC307-BD307</f>
        <v/>
      </c>
      <c r="BF307" s="20" t="n">
        <v>238</v>
      </c>
      <c r="BG307" s="20">
        <f>BE307/1000000-BF307</f>
        <v/>
      </c>
      <c r="BH307" s="21">
        <f>BE307*46.84</f>
        <v/>
      </c>
    </row>
    <row r="308">
      <c r="A308" s="10" t="n">
        <v>45930</v>
      </c>
      <c r="B308" s="11" t="n">
        <v>8498007774</v>
      </c>
      <c r="C308" s="11" t="n"/>
      <c r="D308" s="11" t="n">
        <v>631435672</v>
      </c>
      <c r="E308" s="11" t="n"/>
      <c r="N308" s="11" t="n">
        <v>2655725.97</v>
      </c>
      <c r="O308" s="11" t="n"/>
      <c r="P308" s="11" t="n">
        <v>238482.17</v>
      </c>
      <c r="Q308" s="11" t="n"/>
      <c r="R308" s="21">
        <f>N308+O308+P308+N(Q308)</f>
        <v/>
      </c>
      <c r="S308" s="13" t="n">
        <v>0.01</v>
      </c>
      <c r="T308" s="21">
        <f>N(AC308)*S308</f>
        <v/>
      </c>
      <c r="U308" s="21">
        <f>N(AD308)*S308</f>
        <v/>
      </c>
      <c r="V308" s="21">
        <f>N(AE308)*S308</f>
        <v/>
      </c>
      <c r="W308" s="21">
        <f>IF(Q308="","",N(AF308)*S308)</f>
        <v/>
      </c>
      <c r="X308" s="11" t="n">
        <v>39862.64</v>
      </c>
      <c r="Y308" s="11" t="n"/>
      <c r="Z308" s="11" t="n"/>
      <c r="AA308" s="21">
        <f>T308+U308+V308+N(W308)+X308+Y308+N(Z308)</f>
        <v/>
      </c>
      <c r="AB308" s="11" t="n">
        <v>160837.6728</v>
      </c>
      <c r="AC308" s="11" t="n">
        <v>2655725.97</v>
      </c>
      <c r="AD308" s="21">
        <f>O308-Y308</f>
        <v/>
      </c>
      <c r="AE308" s="21">
        <f>P308-X308</f>
        <v/>
      </c>
      <c r="AF308" s="21">
        <f>IF(Q308="","",Q308-Z308)</f>
        <v/>
      </c>
      <c r="AG308" s="22">
        <f>AC308+AD308+AE308+N(AF308)</f>
        <v/>
      </c>
      <c r="AH308" s="11" t="n">
        <v>2530245.33311</v>
      </c>
      <c r="AI308" s="24">
        <f>AG308-AH308</f>
        <v/>
      </c>
      <c r="AJ308" s="14">
        <f>IF(OR(B308="",B308=0,N308=""),"",N308/B308*10000)</f>
        <v/>
      </c>
      <c r="AK308" s="14">
        <f>IF(OR(C308="",C308=0),"",O308/C308*10000)</f>
        <v/>
      </c>
      <c r="AL308" s="14">
        <f>IF(OR(D308="",D308=0),"",P308/D308*10000)</f>
        <v/>
      </c>
      <c r="AM308" s="14">
        <f>IF(OR(E308="",E308=0),"",Q308/E308*10000)</f>
        <v/>
      </c>
      <c r="AN308" s="11" t="n">
        <v>52354.82103129055</v>
      </c>
      <c r="AO308" s="11" t="n">
        <v>36039.14</v>
      </c>
      <c r="AP308" s="21">
        <f>AH308+AN308+AO308</f>
        <v/>
      </c>
      <c r="AQ308" s="21">
        <f>AH308</f>
        <v/>
      </c>
      <c r="AR308" s="15" t="n">
        <v>56329.96</v>
      </c>
      <c r="AS308" s="27" t="n">
        <v>44.91828741064258</v>
      </c>
      <c r="AT308" s="15" t="n">
        <v>31785059.15</v>
      </c>
      <c r="AU308" s="15" t="n">
        <v>26353.0446</v>
      </c>
      <c r="AV308" s="15" t="n">
        <v>1560.4482</v>
      </c>
      <c r="AW308" s="15" t="n"/>
      <c r="AX308" s="16" t="n">
        <v>425.4931002978349</v>
      </c>
      <c r="AY308" s="13">
        <f>IF(OR(AX308="",AX308=0,AU308=""),"",AU308*365/(AX308*1000000))</f>
        <v/>
      </c>
      <c r="AZ308" s="15" t="n">
        <v>420824355.7069</v>
      </c>
      <c r="BA308" s="17" t="n">
        <v>60487233</v>
      </c>
      <c r="BB308" s="18" t="n">
        <v>31785059.15</v>
      </c>
      <c r="BC308" s="17" t="n">
        <v>2971663</v>
      </c>
      <c r="BD308" s="17">
        <f>1000000000-999575074.0864+104851.2524</f>
        <v/>
      </c>
      <c r="BE308" s="19">
        <f>1000000000-AZ308-BA308-BB308-BC308-BD308</f>
        <v/>
      </c>
      <c r="BF308" s="20" t="n">
        <v>238</v>
      </c>
      <c r="BG308" s="20">
        <f>BE308/1000000-BF308</f>
        <v/>
      </c>
      <c r="BH308" s="21">
        <f>BE308*46.11</f>
        <v/>
      </c>
    </row>
    <row r="309">
      <c r="A309" s="10" t="n">
        <v>45931</v>
      </c>
      <c r="B309" s="11" t="n">
        <v>9824233176</v>
      </c>
      <c r="C309" s="11" t="n"/>
      <c r="D309" s="12" t="n">
        <v>558541161</v>
      </c>
      <c r="E309" s="11" t="n"/>
      <c r="N309" s="11" t="n">
        <v>3087265.91</v>
      </c>
      <c r="O309" s="11" t="n"/>
      <c r="P309" s="11" t="n">
        <v>217248.88</v>
      </c>
      <c r="Q309" s="11" t="n"/>
      <c r="R309" s="21">
        <f>N309+O309+P309+N(Q309)</f>
        <v/>
      </c>
      <c r="S309" s="13" t="n">
        <v>0.01</v>
      </c>
      <c r="T309" s="21">
        <f>N(AC309)*S309</f>
        <v/>
      </c>
      <c r="U309" s="21">
        <f>N(AD309)*S309</f>
        <v/>
      </c>
      <c r="V309" s="21">
        <f>N(AE309)*S309</f>
        <v/>
      </c>
      <c r="W309" s="21">
        <f>IF(Q309="","",N(AF309)*S309)</f>
        <v/>
      </c>
      <c r="X309" s="11" t="n">
        <v>45205.94</v>
      </c>
      <c r="Y309" s="11" t="n"/>
      <c r="Z309" s="11" t="n"/>
      <c r="AA309" s="21">
        <f>T309+U309+V309+N(W309)+X309+Y309+N(Z309)</f>
        <v/>
      </c>
      <c r="AB309" s="11" t="n">
        <v>179772.1251</v>
      </c>
      <c r="AC309" s="11" t="n">
        <v>3087265.91</v>
      </c>
      <c r="AD309" s="21">
        <f>O309-Y309</f>
        <v/>
      </c>
      <c r="AE309" s="21">
        <f>P309-X309</f>
        <v/>
      </c>
      <c r="AF309" s="21">
        <f>IF(Q309="","",Q309-Z309)</f>
        <v/>
      </c>
      <c r="AG309" s="22">
        <f>AC309+AD309+AE309+N(AF309)</f>
        <v/>
      </c>
      <c r="AH309" s="11" t="n">
        <v>2829098.65173</v>
      </c>
      <c r="AI309" s="24">
        <f>AG309-AH309</f>
        <v/>
      </c>
      <c r="AJ309" s="14">
        <f>IF(OR(B309="",B309=0,N309=""),"",N309/B309*10000)</f>
        <v/>
      </c>
      <c r="AK309" s="14">
        <f>IF(OR(C309="",C309=0),"",O309/C309*10000)</f>
        <v/>
      </c>
      <c r="AL309" s="14">
        <f>IF(OR(D309="",D309=0),"",P309/D309*10000)</f>
        <v/>
      </c>
      <c r="AM309" s="14">
        <f>IF(OR(E309="",E309=0),"",Q309/E309*10000)</f>
        <v/>
      </c>
      <c r="AN309" s="11" t="n">
        <v>51778.88643826536</v>
      </c>
      <c r="AO309" s="11" t="n">
        <v>40225.35</v>
      </c>
      <c r="AP309" s="21">
        <f>AH309+AN309+AO309</f>
        <v/>
      </c>
      <c r="AQ309" s="21">
        <f>AH309</f>
        <v/>
      </c>
      <c r="AR309" s="15" t="n">
        <v>60619.99</v>
      </c>
      <c r="AS309" s="27" t="n">
        <v>46.66940149165317</v>
      </c>
      <c r="AT309" s="15" t="n">
        <v>31845679.14</v>
      </c>
      <c r="AU309" s="15" t="n">
        <v>26351.695</v>
      </c>
      <c r="AV309" s="15" t="n">
        <v>1559.708</v>
      </c>
      <c r="AW309" s="15" t="n"/>
      <c r="AX309" s="16" t="n">
        <v>425.4817815440682</v>
      </c>
      <c r="AY309" s="13">
        <f>IF(OR(AX309="",AX309=0,AU309=""),"",AU309*365/(AX309*1000000))</f>
        <v/>
      </c>
      <c r="AZ309" s="15" t="n">
        <v>420798004.012</v>
      </c>
      <c r="BA309" s="17" t="n">
        <v>60487233</v>
      </c>
      <c r="BB309" s="18" t="n">
        <v>31845679.14</v>
      </c>
      <c r="BC309" s="17" t="n">
        <v>2971663</v>
      </c>
      <c r="BD309" s="17">
        <f>1000000000-999573514.3785+105999.9034</f>
        <v/>
      </c>
      <c r="BE309" s="19">
        <f>1000000000-AZ309-BA309-BB309-BC309-BD309</f>
        <v/>
      </c>
      <c r="BF309" s="20" t="n">
        <v>238</v>
      </c>
      <c r="BG309" s="20">
        <f>BE309/1000000-BF309</f>
        <v/>
      </c>
      <c r="BH309" s="21">
        <f>BE309*45.26</f>
        <v/>
      </c>
    </row>
    <row r="310">
      <c r="A310" s="10" t="n">
        <v>45932</v>
      </c>
      <c r="B310" s="11" t="n">
        <v>10644493010</v>
      </c>
      <c r="C310" s="11" t="n"/>
      <c r="D310" s="12" t="n">
        <v>490069503</v>
      </c>
      <c r="E310" s="11" t="n"/>
      <c r="N310" s="11" t="n">
        <v>3423768.93</v>
      </c>
      <c r="O310" s="11" t="n"/>
      <c r="P310" s="11" t="n">
        <v>215929.67</v>
      </c>
      <c r="Q310" s="11" t="n"/>
      <c r="R310" s="21">
        <f>N310+O310+P310+N(Q310)</f>
        <v/>
      </c>
      <c r="S310" s="13" t="n">
        <v>0.01</v>
      </c>
      <c r="T310" s="21">
        <f>N(AC310)*S310</f>
        <v/>
      </c>
      <c r="U310" s="21">
        <f>N(AD310)*S310</f>
        <v/>
      </c>
      <c r="V310" s="21">
        <f>N(AE310)*S310</f>
        <v/>
      </c>
      <c r="W310" s="21">
        <f>IF(Q310="","",N(AF310)*S310)</f>
        <v/>
      </c>
      <c r="X310" s="11" t="n">
        <v>33542.87</v>
      </c>
      <c r="Y310" s="11" t="n"/>
      <c r="Z310" s="11" t="n"/>
      <c r="AA310" s="21">
        <f>T310+U310+V310+N(W310)+X310+Y310+N(Z310)</f>
        <v/>
      </c>
      <c r="AB310" s="11" t="n">
        <v>219390.2203</v>
      </c>
      <c r="AC310" s="11" t="n">
        <v>3423768.93</v>
      </c>
      <c r="AD310" s="21">
        <f>O310-Y310</f>
        <v/>
      </c>
      <c r="AE310" s="21">
        <f>P310-X310</f>
        <v/>
      </c>
      <c r="AF310" s="21">
        <f>IF(Q310="","",Q310-Z310)</f>
        <v/>
      </c>
      <c r="AG310" s="22">
        <f>AC310+AD310+AE310+N(AF310)</f>
        <v/>
      </c>
      <c r="AH310" s="11" t="n">
        <v>3179744.99493</v>
      </c>
      <c r="AI310" s="24">
        <f>AG310-AH310</f>
        <v/>
      </c>
      <c r="AJ310" s="14">
        <f>IF(OR(B310="",B310=0,N310=""),"",N310/B310*10000)</f>
        <v/>
      </c>
      <c r="AK310" s="14">
        <f>IF(OR(C310="",C310=0),"",O310/C310*10000)</f>
        <v/>
      </c>
      <c r="AL310" s="14">
        <f>IF(OR(D310="",D310=0),"",P310/D310*10000)</f>
        <v/>
      </c>
      <c r="AM310" s="14">
        <f>IF(OR(E310="",E310=0),"",Q310/E310*10000)</f>
        <v/>
      </c>
      <c r="AN310" s="11" t="n">
        <v>59032.67923597377</v>
      </c>
      <c r="AO310" s="11" t="n">
        <v>0</v>
      </c>
      <c r="AP310" s="21">
        <f>AH310+AN310+AO310</f>
        <v/>
      </c>
      <c r="AQ310" s="21">
        <f>AH310</f>
        <v/>
      </c>
      <c r="AR310" s="15" t="n">
        <v>64602.58</v>
      </c>
      <c r="AS310" s="27" t="n">
        <v>49.22009298901065</v>
      </c>
      <c r="AT310" s="15" t="n">
        <v>31910281.72</v>
      </c>
      <c r="AU310" s="15" t="n">
        <v>26326.8913</v>
      </c>
      <c r="AV310" s="15" t="n">
        <v>2228.7202</v>
      </c>
      <c r="AW310" s="15" t="n"/>
      <c r="AX310" s="16" t="n">
        <v>425.7535660032553</v>
      </c>
      <c r="AY310" s="13">
        <f>IF(OR(AX310="",AX310=0,AU310=""),"",AU310*365/(AX310*1000000))</f>
        <v/>
      </c>
      <c r="AZ310" s="15" t="n">
        <v>420771677.1207</v>
      </c>
      <c r="BA310" s="17" t="n">
        <v>60487233</v>
      </c>
      <c r="BB310" s="18" t="n">
        <v>31910281.72</v>
      </c>
      <c r="BC310" s="17" t="n">
        <v>2971663</v>
      </c>
      <c r="BD310" s="17">
        <f>1000000000-999571285.6582+107242.6966</f>
        <v/>
      </c>
      <c r="BE310" s="19">
        <f>1000000000-AZ310-BA310-BB310-BC310-BD310</f>
        <v/>
      </c>
      <c r="BF310" s="20" t="n">
        <v>238</v>
      </c>
      <c r="BG310" s="20">
        <f>BE310/1000000-BF310</f>
        <v/>
      </c>
      <c r="BH310" s="21">
        <f>BE310*47.92</f>
        <v/>
      </c>
    </row>
    <row r="311">
      <c r="A311" s="10" t="n">
        <v>45933</v>
      </c>
      <c r="B311" s="11" t="n">
        <v>10408189866</v>
      </c>
      <c r="C311" s="11" t="n"/>
      <c r="D311" s="12" t="n">
        <v>447594957</v>
      </c>
      <c r="E311" s="11" t="n"/>
      <c r="N311" s="11" t="n">
        <v>3310091.84</v>
      </c>
      <c r="O311" s="11" t="n"/>
      <c r="P311" s="11" t="n">
        <v>225358.18</v>
      </c>
      <c r="Q311" s="11" t="n"/>
      <c r="R311" s="21">
        <f>N311+O311+P311+N(Q311)</f>
        <v/>
      </c>
      <c r="S311" s="13" t="n">
        <v>0.01</v>
      </c>
      <c r="T311" s="21">
        <f>N(AC311)*S311</f>
        <v/>
      </c>
      <c r="U311" s="21">
        <f>N(AD311)*S311</f>
        <v/>
      </c>
      <c r="V311" s="21">
        <f>N(AE311)*S311</f>
        <v/>
      </c>
      <c r="W311" s="21">
        <f>IF(Q311="","",N(AF311)*S311)</f>
        <v/>
      </c>
      <c r="X311" s="11" t="n">
        <v>36478.63</v>
      </c>
      <c r="Y311" s="11" t="n"/>
      <c r="Z311" s="11" t="n"/>
      <c r="AA311" s="21">
        <f>T311+U311+V311+N(W311)+X311+Y311+N(Z311)</f>
        <v/>
      </c>
      <c r="AB311" s="11" t="n">
        <v>210295.3982</v>
      </c>
      <c r="AC311" s="11" t="n">
        <v>3310091.84</v>
      </c>
      <c r="AD311" s="21">
        <f>O311-Y311</f>
        <v/>
      </c>
      <c r="AE311" s="21">
        <f>P311-X311</f>
        <v/>
      </c>
      <c r="AF311" s="21">
        <f>IF(Q311="","",Q311-Z311)</f>
        <v/>
      </c>
      <c r="AG311" s="22">
        <f>AC311+AD311+AE311+N(AF311)</f>
        <v/>
      </c>
      <c r="AH311" s="11" t="n">
        <v>3194278.76779</v>
      </c>
      <c r="AI311" s="24">
        <f>AG311-AH311</f>
        <v/>
      </c>
      <c r="AJ311" s="14">
        <f>IF(OR(B311="",B311=0,N311=""),"",N311/B311*10000)</f>
        <v/>
      </c>
      <c r="AK311" s="14">
        <f>IF(OR(C311="",C311=0),"",O311/C311*10000)</f>
        <v/>
      </c>
      <c r="AL311" s="14">
        <f>IF(OR(D311="",D311=0),"",P311/D311*10000)</f>
        <v/>
      </c>
      <c r="AM311" s="14">
        <f>IF(OR(E311="",E311=0),"",Q311/E311*10000)</f>
        <v/>
      </c>
      <c r="AN311" s="11" t="n">
        <v>37391.42507013019</v>
      </c>
      <c r="AO311" s="11" t="n">
        <v>34703.6</v>
      </c>
      <c r="AP311" s="21">
        <f>AH311+AN311+AO311</f>
        <v/>
      </c>
      <c r="AQ311" s="21">
        <f>AH311</f>
        <v/>
      </c>
      <c r="AR311" s="15" t="n">
        <v>63968.63</v>
      </c>
      <c r="AS311" s="27" t="n">
        <v>49.93508173912745</v>
      </c>
      <c r="AT311" s="15" t="n">
        <v>31974250.35</v>
      </c>
      <c r="AU311" s="15" t="n">
        <v>26375.1157</v>
      </c>
      <c r="AV311" s="15" t="n">
        <v>2052.1029</v>
      </c>
      <c r="AW311" s="15" t="n"/>
      <c r="AX311" s="16" t="n">
        <v>427.0962438723454</v>
      </c>
      <c r="AY311" s="13">
        <f>IF(OR(AX311="",AX311=0,AU311=""),"",AU311*365/(AX311*1000000))</f>
        <v/>
      </c>
      <c r="AZ311" s="15" t="n">
        <v>420745302.005</v>
      </c>
      <c r="BA311" s="17" t="n">
        <v>60487233</v>
      </c>
      <c r="BB311" s="18" t="n">
        <v>31974250.35</v>
      </c>
      <c r="BC311" s="17" t="n">
        <v>2971663</v>
      </c>
      <c r="BD311" s="17">
        <f>1000000000-999569233.5553+107980.3601</f>
        <v/>
      </c>
      <c r="BE311" s="19">
        <f>1000000000-AZ311-BA311-BB311-BC311-BD311</f>
        <v/>
      </c>
      <c r="BF311" s="20" t="n">
        <v>238</v>
      </c>
      <c r="BG311" s="20">
        <f>BE311/1000000-BF311</f>
        <v/>
      </c>
      <c r="BH311" s="21">
        <f>BE311*50.45</f>
        <v/>
      </c>
    </row>
    <row r="312">
      <c r="A312" s="10" t="n">
        <v>45934</v>
      </c>
      <c r="B312" s="11" t="n">
        <v>4766544219</v>
      </c>
      <c r="C312" s="11" t="n"/>
      <c r="D312" s="12" t="n">
        <v>290369030</v>
      </c>
      <c r="E312" s="11" t="n"/>
      <c r="N312" s="11" t="n">
        <v>1601109.08</v>
      </c>
      <c r="O312" s="11" t="n"/>
      <c r="P312" s="11" t="n">
        <v>163351.93</v>
      </c>
      <c r="Q312" s="11" t="n"/>
      <c r="R312" s="21">
        <f>N312+O312+P312+N(Q312)</f>
        <v/>
      </c>
      <c r="S312" s="13" t="n">
        <v>0.01</v>
      </c>
      <c r="T312" s="21">
        <f>N(AC312)*S312</f>
        <v/>
      </c>
      <c r="U312" s="21">
        <f>N(AD312)*S312</f>
        <v/>
      </c>
      <c r="V312" s="21">
        <f>N(AE312)*S312</f>
        <v/>
      </c>
      <c r="W312" s="21">
        <f>IF(Q312="","",N(AF312)*S312)</f>
        <v/>
      </c>
      <c r="X312" s="11" t="n">
        <v>25100.23</v>
      </c>
      <c r="Y312" s="11" t="n"/>
      <c r="Z312" s="11" t="n"/>
      <c r="AA312" s="21">
        <f>T312+U312+V312+N(W312)+X312+Y312+N(Z312)</f>
        <v/>
      </c>
      <c r="AB312" s="11" t="n">
        <v>183191.2137</v>
      </c>
      <c r="AC312" s="11" t="n">
        <v>1601109.08</v>
      </c>
      <c r="AD312" s="21">
        <f>O312-Y312</f>
        <v/>
      </c>
      <c r="AE312" s="21">
        <f>P312-X312</f>
        <v/>
      </c>
      <c r="AF312" s="21">
        <f>IF(Q312="","",Q312-Z312)</f>
        <v/>
      </c>
      <c r="AG312" s="22">
        <f>AC312+AD312+AE312+N(AF312)</f>
        <v/>
      </c>
      <c r="AH312" s="11" t="n">
        <v>1423501.12628</v>
      </c>
      <c r="AI312" s="24">
        <f>AG312-AH312</f>
        <v/>
      </c>
      <c r="AJ312" s="14">
        <f>IF(OR(B312="",B312=0,N312=""),"",N312/B312*10000)</f>
        <v/>
      </c>
      <c r="AK312" s="14">
        <f>IF(OR(C312="",C312=0),"",O312/C312*10000)</f>
        <v/>
      </c>
      <c r="AL312" s="14">
        <f>IF(OR(D312="",D312=0),"",P312/D312*10000)</f>
        <v/>
      </c>
      <c r="AM312" s="14">
        <f>IF(OR(E312="",E312=0),"",Q312/E312*10000)</f>
        <v/>
      </c>
      <c r="AN312" s="11" t="n">
        <v>18861.85493815149</v>
      </c>
      <c r="AO312" s="11" t="n">
        <v>44339.89</v>
      </c>
      <c r="AP312" s="21">
        <f>AH312+AN312+AO312</f>
        <v/>
      </c>
      <c r="AQ312" s="21">
        <f>AH312</f>
        <v/>
      </c>
      <c r="AR312" s="15" t="n">
        <v>29332</v>
      </c>
      <c r="AS312" s="27" t="n">
        <v>48.53065342561025</v>
      </c>
      <c r="AT312" s="15" t="n">
        <v>32003582.35</v>
      </c>
      <c r="AU312" s="15" t="n">
        <v>26401.1862</v>
      </c>
      <c r="AV312" s="15" t="n">
        <v>1300.9188</v>
      </c>
      <c r="AW312" s="15" t="n"/>
      <c r="AX312" s="16" t="n">
        <v>427.0327563601593</v>
      </c>
      <c r="AY312" s="13">
        <f>IF(OR(AX312="",AX312=0,AU312=""),"",AU312*365/(AX312*1000000))</f>
        <v/>
      </c>
      <c r="AZ312" s="15" t="n">
        <v>420718900.8188</v>
      </c>
      <c r="BA312" s="17" t="n">
        <v>60487233</v>
      </c>
      <c r="BB312" s="18" t="n">
        <v>32003582.35</v>
      </c>
      <c r="BC312" s="17" t="n">
        <v>2971663</v>
      </c>
      <c r="BD312" s="17">
        <f>1000000000-999567932.6365+108364.2695</f>
        <v/>
      </c>
      <c r="BE312" s="19">
        <f>1000000000-AZ312-BA312-BB312-BC312-BD312</f>
        <v/>
      </c>
      <c r="BF312" s="20" t="n">
        <v>238</v>
      </c>
      <c r="BG312" s="20">
        <f>BE312/1000000-BF312</f>
        <v/>
      </c>
      <c r="BH312" s="21">
        <f>BE312*49.28</f>
        <v/>
      </c>
    </row>
    <row r="313">
      <c r="A313" s="10" t="n">
        <v>45935</v>
      </c>
      <c r="B313" s="11" t="n">
        <v>9544080331</v>
      </c>
      <c r="C313" s="11" t="n"/>
      <c r="D313" s="12" t="n">
        <v>388743024</v>
      </c>
      <c r="E313" s="11" t="n"/>
      <c r="N313" s="11" t="n">
        <v>3081203.99</v>
      </c>
      <c r="O313" s="11" t="n"/>
      <c r="P313" s="11" t="n">
        <v>174727.86</v>
      </c>
      <c r="Q313" s="11" t="n"/>
      <c r="R313" s="21">
        <f>N313+O313+P313+N(Q313)</f>
        <v/>
      </c>
      <c r="S313" s="13" t="n">
        <v>0.01</v>
      </c>
      <c r="T313" s="21">
        <f>N(AC313)*S313</f>
        <v/>
      </c>
      <c r="U313" s="21">
        <f>N(AD313)*S313</f>
        <v/>
      </c>
      <c r="V313" s="21">
        <f>N(AE313)*S313</f>
        <v/>
      </c>
      <c r="W313" s="21">
        <f>IF(Q313="","",N(AF313)*S313)</f>
        <v/>
      </c>
      <c r="X313" s="11" t="n">
        <v>40037.63</v>
      </c>
      <c r="Y313" s="11" t="n"/>
      <c r="Z313" s="11" t="n"/>
      <c r="AA313" s="21">
        <f>T313+U313+V313+N(W313)+X313+Y313+N(Z313)</f>
        <v/>
      </c>
      <c r="AB313" s="11" t="n">
        <v>246019.1876</v>
      </c>
      <c r="AC313" s="11" t="n">
        <v>3081203.99</v>
      </c>
      <c r="AD313" s="21">
        <f>O313-Y313</f>
        <v/>
      </c>
      <c r="AE313" s="21">
        <f>P313-X313</f>
        <v/>
      </c>
      <c r="AF313" s="21">
        <f>IF(Q313="","",Q313-Z313)</f>
        <v/>
      </c>
      <c r="AG313" s="22">
        <f>AC313+AD313+AE313+N(AF313)</f>
        <v/>
      </c>
      <c r="AH313" s="11" t="n">
        <v>2806654.38617</v>
      </c>
      <c r="AI313" s="24">
        <f>AG313-AH313</f>
        <v/>
      </c>
      <c r="AJ313" s="14">
        <f>IF(OR(B313="",B313=0,N313=""),"",N313/B313*10000)</f>
        <v/>
      </c>
      <c r="AK313" s="14">
        <f>IF(OR(C313="",C313=0),"",O313/C313*10000)</f>
        <v/>
      </c>
      <c r="AL313" s="14">
        <f>IF(OR(D313="",D313=0),"",P313/D313*10000)</f>
        <v/>
      </c>
      <c r="AM313" s="14">
        <f>IF(OR(E313="",E313=0),"",Q313/E313*10000)</f>
        <v/>
      </c>
      <c r="AN313" s="11" t="n">
        <v>26824.58424227848</v>
      </c>
      <c r="AO313" s="11" t="n">
        <v>40217.98</v>
      </c>
      <c r="AP313" s="21">
        <f>AH313+AN313+AO313</f>
        <v/>
      </c>
      <c r="AQ313" s="21">
        <f>AH313</f>
        <v/>
      </c>
      <c r="AR313" s="15" t="n">
        <v>56599.12</v>
      </c>
      <c r="AS313" s="27" t="n">
        <v>49.5883043087949</v>
      </c>
      <c r="AT313" s="15" t="n">
        <v>32060736.7</v>
      </c>
      <c r="AU313" s="15" t="n">
        <v>26408.6283</v>
      </c>
      <c r="AV313" s="15" t="n">
        <v>1245.0727</v>
      </c>
      <c r="AW313" s="15" t="n"/>
      <c r="AX313" s="16" t="n">
        <v>427.4837163925635</v>
      </c>
      <c r="AY313" s="13">
        <f>IF(OR(AX313="",AX313=0,AU313=""),"",AU313*365/(AX313*1000000))</f>
        <v/>
      </c>
      <c r="AZ313" s="15" t="n">
        <v>420692492.1905</v>
      </c>
      <c r="BA313" s="17" t="n">
        <v>60487233</v>
      </c>
      <c r="BB313" s="18" t="n">
        <v>32060736.7</v>
      </c>
      <c r="BC313" s="17" t="n">
        <v>2971663</v>
      </c>
      <c r="BD313" s="17">
        <f>1000000000-999566687.5639+108903.8585</f>
        <v/>
      </c>
      <c r="BE313" s="19">
        <f>1000000000-AZ313-BA313-BB313-BC313-BD313</f>
        <v/>
      </c>
      <c r="BF313" s="20" t="n">
        <v>238</v>
      </c>
      <c r="BG313" s="20">
        <f>BE313/1000000-BF313</f>
        <v/>
      </c>
      <c r="BH313" s="21">
        <f>BE313*49.46</f>
        <v/>
      </c>
    </row>
    <row r="314">
      <c r="A314" s="10" t="n">
        <v>45936</v>
      </c>
      <c r="B314" s="11" t="n">
        <v>10603772427</v>
      </c>
      <c r="C314" s="11" t="n"/>
      <c r="D314" s="12" t="n">
        <v>538793113</v>
      </c>
      <c r="E314" s="11" t="n"/>
      <c r="N314" s="11" t="n">
        <v>3319585.79</v>
      </c>
      <c r="O314" s="11" t="n"/>
      <c r="P314" s="11" t="n">
        <v>351725.42</v>
      </c>
      <c r="Q314" s="11" t="n"/>
      <c r="R314" s="21">
        <f>N314+O314+P314+N(Q314)</f>
        <v/>
      </c>
      <c r="S314" s="13" t="n">
        <v>0.01</v>
      </c>
      <c r="T314" s="21">
        <f>N(AC314)*S314</f>
        <v/>
      </c>
      <c r="U314" s="21">
        <f>N(AD314)*S314</f>
        <v/>
      </c>
      <c r="V314" s="21">
        <f>N(AE314)*S314</f>
        <v/>
      </c>
      <c r="W314" s="21">
        <f>IF(Q314="","",N(AF314)*S314)</f>
        <v/>
      </c>
      <c r="X314" s="11" t="n">
        <v>54775.19</v>
      </c>
      <c r="Y314" s="11" t="n"/>
      <c r="Z314" s="11" t="n"/>
      <c r="AA314" s="21">
        <f>T314+U314+V314+N(W314)+X314+Y314+N(Z314)</f>
        <v/>
      </c>
      <c r="AB314" s="11" t="n">
        <v>300565.8054</v>
      </c>
      <c r="AC314" s="11" t="n">
        <v>3319585.79</v>
      </c>
      <c r="AD314" s="21">
        <f>O314-Y314</f>
        <v/>
      </c>
      <c r="AE314" s="21">
        <f>P314-X314</f>
        <v/>
      </c>
      <c r="AF314" s="21">
        <f>IF(Q314="","",Q314-Z314)</f>
        <v/>
      </c>
      <c r="AG314" s="22">
        <f>AC314+AD314+AE314+N(AF314)</f>
        <v/>
      </c>
      <c r="AH314" s="11" t="n">
        <v>3123698.85575</v>
      </c>
      <c r="AI314" s="24">
        <f>AG314-AH314</f>
        <v/>
      </c>
      <c r="AJ314" s="14">
        <f>IF(OR(B314="",B314=0,N314=""),"",N314/B314*10000)</f>
        <v/>
      </c>
      <c r="AK314" s="14">
        <f>IF(OR(C314="",C314=0),"",O314/C314*10000)</f>
        <v/>
      </c>
      <c r="AL314" s="14">
        <f>IF(OR(D314="",D314=0),"",P314/D314*10000)</f>
        <v/>
      </c>
      <c r="AM314" s="14">
        <f>IF(OR(E314="",E314=0),"",Q314/E314*10000)</f>
        <v/>
      </c>
      <c r="AN314" s="11" t="n">
        <v>25002.13914833654</v>
      </c>
      <c r="AO314" s="11" t="n">
        <v>0</v>
      </c>
      <c r="AP314" s="21">
        <f>AH314+AN314+AO314</f>
        <v/>
      </c>
      <c r="AQ314" s="21">
        <f>AH314</f>
        <v/>
      </c>
      <c r="AR314" s="15" t="n">
        <v>64194.16</v>
      </c>
      <c r="AS314" s="27" t="n">
        <v>48.6601718248202</v>
      </c>
      <c r="AT314" s="15" t="n">
        <v>32124587.41</v>
      </c>
      <c r="AU314" s="15" t="n">
        <v>26412.4511</v>
      </c>
      <c r="AV314" s="15" t="n">
        <v>1265.7452</v>
      </c>
      <c r="AW314" s="15" t="n"/>
      <c r="AX314" s="16" t="n">
        <v>427.3428584863598</v>
      </c>
      <c r="AY314" s="13">
        <f>IF(OR(AX314="",AX314=0,AU314=""),"",AU314*365/(AX314*1000000))</f>
        <v/>
      </c>
      <c r="AZ314" s="15" t="n">
        <v>420666079.7394</v>
      </c>
      <c r="BA314" s="17" t="n">
        <v>60487233</v>
      </c>
      <c r="BB314" s="18" t="n">
        <v>32124587.41</v>
      </c>
      <c r="BC314" s="17" t="n">
        <v>2971663</v>
      </c>
      <c r="BD314" s="17">
        <f>1000000000-999565421.8186+109420.9551</f>
        <v/>
      </c>
      <c r="BE314" s="19">
        <f>1000000000-AZ314-BA314-BB314-BC314-BD314</f>
        <v/>
      </c>
      <c r="BF314" s="20" t="n">
        <v>238</v>
      </c>
      <c r="BG314" s="20">
        <f>BE314/1000000-BF314</f>
        <v/>
      </c>
      <c r="BH314" s="21">
        <f>BE314*48.21</f>
        <v/>
      </c>
    </row>
    <row r="315">
      <c r="A315" s="10" t="n">
        <v>45937</v>
      </c>
      <c r="B315" s="11" t="n">
        <v>14676247652</v>
      </c>
      <c r="C315" s="11" t="n"/>
      <c r="D315" s="12" t="n">
        <v>738528778</v>
      </c>
      <c r="E315" s="11" t="n"/>
      <c r="N315" s="11" t="n">
        <v>4550639.64</v>
      </c>
      <c r="O315" s="11" t="n"/>
      <c r="P315" s="11" t="n">
        <v>384890.57</v>
      </c>
      <c r="Q315" s="11" t="n"/>
      <c r="R315" s="21">
        <f>N315+O315+P315+N(Q315)</f>
        <v/>
      </c>
      <c r="S315" s="13" t="n">
        <v>0.01</v>
      </c>
      <c r="T315" s="21">
        <f>N(AC315)*S315</f>
        <v/>
      </c>
      <c r="U315" s="21">
        <f>N(AD315)*S315</f>
        <v/>
      </c>
      <c r="V315" s="21">
        <f>N(AE315)*S315</f>
        <v/>
      </c>
      <c r="W315" s="21">
        <f>IF(Q315="","",N(AF315)*S315)</f>
        <v/>
      </c>
      <c r="X315" s="11" t="n">
        <v>55578.87</v>
      </c>
      <c r="Y315" s="11" t="n"/>
      <c r="Z315" s="11" t="n"/>
      <c r="AA315" s="21">
        <f>T315+U315+V315+N(W315)+X315+Y315+N(Z315)</f>
        <v/>
      </c>
      <c r="AB315" s="11" t="n">
        <v>306200.9726</v>
      </c>
      <c r="AC315" s="11" t="n">
        <v>4550639.64</v>
      </c>
      <c r="AD315" s="21">
        <f>O315-Y315</f>
        <v/>
      </c>
      <c r="AE315" s="21">
        <f>P315-X315</f>
        <v/>
      </c>
      <c r="AF315" s="21">
        <f>IF(Q315="","",Q315-Z315)</f>
        <v/>
      </c>
      <c r="AG315" s="22">
        <f>AC315+AD315+AE315+N(AF315)</f>
        <v/>
      </c>
      <c r="AH315" s="11" t="n">
        <v>4300251.97199</v>
      </c>
      <c r="AI315" s="24">
        <f>AG315-AH315</f>
        <v/>
      </c>
      <c r="AJ315" s="14">
        <f>IF(OR(B315="",B315=0,N315=""),"",N315/B315*10000)</f>
        <v/>
      </c>
      <c r="AK315" s="14">
        <f>IF(OR(C315="",C315=0),"",O315/C315*10000)</f>
        <v/>
      </c>
      <c r="AL315" s="14">
        <f>IF(OR(D315="",D315=0),"",P315/D315*10000)</f>
        <v/>
      </c>
      <c r="AM315" s="14">
        <f>IF(OR(E315="",E315=0),"",Q315/E315*10000)</f>
        <v/>
      </c>
      <c r="AN315" s="11" t="n">
        <v>36955.93164683355</v>
      </c>
      <c r="AO315" s="11" t="n">
        <v>23719.19</v>
      </c>
      <c r="AP315" s="21">
        <f>AH315+AN315+AO315</f>
        <v/>
      </c>
      <c r="AQ315" s="21">
        <f>AH315</f>
        <v/>
      </c>
      <c r="AR315" s="15" t="n">
        <v>94377.52</v>
      </c>
      <c r="AS315" s="27" t="n">
        <v>45.56436715003743</v>
      </c>
      <c r="AT315" s="15" t="n">
        <v>32218974.67</v>
      </c>
      <c r="AU315" s="15" t="n">
        <v>26417.4115</v>
      </c>
      <c r="AV315" s="15" t="n">
        <v>488.5721</v>
      </c>
      <c r="AW315" s="15" t="n"/>
      <c r="AX315" s="16" t="n">
        <v>427.4653912335101</v>
      </c>
      <c r="AY315" s="13">
        <f>IF(OR(AX315="",AX315=0,AU315=""),"",AU315*365/(AX315*1000000))</f>
        <v/>
      </c>
      <c r="AZ315" s="15" t="n">
        <v>420639662.3278</v>
      </c>
      <c r="BA315" s="17" t="n">
        <v>60487233</v>
      </c>
      <c r="BB315" s="18" t="n">
        <v>32218974.67</v>
      </c>
      <c r="BC315" s="17" t="n">
        <v>2971663</v>
      </c>
      <c r="BD315" s="17">
        <f>1000000000-999564933.2465+110197.6992</f>
        <v/>
      </c>
      <c r="BE315" s="19">
        <f>1000000000-AZ315-BA315-BB315-BC315-BD315</f>
        <v/>
      </c>
      <c r="BF315" s="20" t="n">
        <v>238</v>
      </c>
      <c r="BG315" s="20">
        <f>BE315/1000000-BF315</f>
        <v/>
      </c>
      <c r="BH315" s="21">
        <f>BE315*47.59</f>
        <v/>
      </c>
    </row>
    <row r="316">
      <c r="A316" s="10" t="n">
        <v>45938</v>
      </c>
      <c r="B316" s="11" t="n">
        <v>8887739221</v>
      </c>
      <c r="C316" s="11" t="n"/>
      <c r="D316" s="12" t="n">
        <v>654600179</v>
      </c>
      <c r="E316" s="11" t="n"/>
      <c r="N316" s="11" t="n">
        <v>2824578.39</v>
      </c>
      <c r="O316" s="11" t="n"/>
      <c r="P316" s="11" t="n">
        <v>297618.26</v>
      </c>
      <c r="Q316" s="11" t="n"/>
      <c r="R316" s="21">
        <f>N316+O316+P316+N(Q316)</f>
        <v/>
      </c>
      <c r="S316" s="13" t="n">
        <v>0.01</v>
      </c>
      <c r="T316" s="21">
        <f>N(AC316)*S316</f>
        <v/>
      </c>
      <c r="U316" s="21">
        <f>N(AD316)*S316</f>
        <v/>
      </c>
      <c r="V316" s="21">
        <f>N(AE316)*S316</f>
        <v/>
      </c>
      <c r="W316" s="21">
        <f>IF(Q316="","",N(AF316)*S316)</f>
        <v/>
      </c>
      <c r="X316" s="11" t="n">
        <v>42505.03</v>
      </c>
      <c r="Y316" s="11" t="n"/>
      <c r="Z316" s="11" t="n"/>
      <c r="AA316" s="21">
        <f>T316+U316+V316+N(W316)+X316+Y316+N(Z316)</f>
        <v/>
      </c>
      <c r="AB316" s="11" t="n">
        <v>233159.9896</v>
      </c>
      <c r="AC316" s="11" t="n">
        <v>2824578.39</v>
      </c>
      <c r="AD316" s="21">
        <f>O316-Y316</f>
        <v/>
      </c>
      <c r="AE316" s="21">
        <f>P316-X316</f>
        <v/>
      </c>
      <c r="AF316" s="21">
        <f>IF(Q316="","",Q316-Z316)</f>
        <v/>
      </c>
      <c r="AG316" s="22">
        <f>AC316+AD316+AE316+N(AF316)</f>
        <v/>
      </c>
      <c r="AH316" s="11" t="n">
        <v>2673956.65827</v>
      </c>
      <c r="AI316" s="24">
        <f>AG316-AH316</f>
        <v/>
      </c>
      <c r="AJ316" s="14">
        <f>IF(OR(B316="",B316=0,N316=""),"",N316/B316*10000)</f>
        <v/>
      </c>
      <c r="AK316" s="14">
        <f>IF(OR(C316="",C316=0),"",O316/C316*10000)</f>
        <v/>
      </c>
      <c r="AL316" s="14">
        <f>IF(OR(D316="",D316=0),"",P316/D316*10000)</f>
        <v/>
      </c>
      <c r="AM316" s="14">
        <f>IF(OR(E316="",E316=0),"",Q316/E316*10000)</f>
        <v/>
      </c>
      <c r="AN316" s="11" t="n">
        <v>23104.13737393813</v>
      </c>
      <c r="AO316" s="11" t="n">
        <v>0</v>
      </c>
      <c r="AP316" s="21">
        <f>AH316+AN316+AO316</f>
        <v/>
      </c>
      <c r="AQ316" s="21">
        <f>AH316</f>
        <v/>
      </c>
      <c r="AR316" s="15" t="n">
        <v>57969.57</v>
      </c>
      <c r="AS316" s="27" t="n">
        <v>46.12690172223117</v>
      </c>
      <c r="AT316" s="15" t="n">
        <v>32235953.87</v>
      </c>
      <c r="AU316" s="15" t="n">
        <v>26421.9418</v>
      </c>
      <c r="AV316" s="15" t="n">
        <v>1239.5163</v>
      </c>
      <c r="AW316" s="15" t="n"/>
      <c r="AX316" s="16" t="n">
        <v>427.965363679471</v>
      </c>
      <c r="AY316" s="13">
        <f>IF(OR(AX316="",AX316=0,AU316=""),"",AU316*365/(AX316*1000000))</f>
        <v/>
      </c>
      <c r="AZ316" s="15" t="n">
        <v>420613240.386</v>
      </c>
      <c r="BA316" s="17" t="n">
        <v>60487233</v>
      </c>
      <c r="BB316" s="18" t="n">
        <v>32235953.87</v>
      </c>
      <c r="BC316" s="17" t="n">
        <v>2971663</v>
      </c>
      <c r="BD316" s="17">
        <f>1000000000-999563693.7302+110710.4750</f>
        <v/>
      </c>
      <c r="BE316" s="19">
        <f>1000000000-AZ316-BA316-BB316-BC316-BD316</f>
        <v/>
      </c>
      <c r="BF316" s="20" t="n">
        <v>238</v>
      </c>
      <c r="BG316" s="20">
        <f>BE316/1000000-BF316</f>
        <v/>
      </c>
      <c r="BH316" s="21">
        <f>BE316*44.97</f>
        <v/>
      </c>
    </row>
    <row r="317">
      <c r="A317" s="10" t="n">
        <v>45939</v>
      </c>
      <c r="B317" s="11" t="n">
        <v>12273094487</v>
      </c>
      <c r="C317" s="11" t="n"/>
      <c r="D317" s="12" t="n">
        <v>454122989</v>
      </c>
      <c r="E317" s="11" t="n"/>
      <c r="N317" s="11" t="n">
        <v>3747815.75</v>
      </c>
      <c r="O317" s="11" t="n"/>
      <c r="P317" s="11" t="n">
        <v>255954.24</v>
      </c>
      <c r="Q317" s="11" t="n"/>
      <c r="R317" s="21">
        <f>N317+O317+P317+N(Q317)</f>
        <v/>
      </c>
      <c r="S317" s="13" t="n">
        <v>0.01</v>
      </c>
      <c r="T317" s="21">
        <f>N(AC317)*S317</f>
        <v/>
      </c>
      <c r="U317" s="21">
        <f>N(AD317)*S317</f>
        <v/>
      </c>
      <c r="V317" s="21">
        <f>N(AE317)*S317</f>
        <v/>
      </c>
      <c r="W317" s="21">
        <f>IF(Q317="","",N(AF317)*S317)</f>
        <v/>
      </c>
      <c r="X317" s="11" t="n">
        <v>42196.46</v>
      </c>
      <c r="Y317" s="11" t="n"/>
      <c r="Z317" s="11" t="n"/>
      <c r="AA317" s="21">
        <f>T317+U317+V317+N(W317)+X317+Y317+N(Z317)</f>
        <v/>
      </c>
      <c r="AB317" s="11" t="n">
        <v>264087.7299</v>
      </c>
      <c r="AC317" s="11" t="n">
        <v>3747815.75</v>
      </c>
      <c r="AD317" s="21">
        <f>O317-Y317</f>
        <v/>
      </c>
      <c r="AE317" s="21">
        <f>P317-X317</f>
        <v/>
      </c>
      <c r="AF317" s="21">
        <f>IF(Q317="","",Q317-Z317)</f>
        <v/>
      </c>
      <c r="AG317" s="22">
        <f>AC317+AD317+AE317+N(AF317)</f>
        <v/>
      </c>
      <c r="AH317" s="11" t="n">
        <v>3500214.9785</v>
      </c>
      <c r="AI317" s="24">
        <f>AG317-AH317</f>
        <v/>
      </c>
      <c r="AJ317" s="14">
        <f>IF(OR(B317="",B317=0,N317=""),"",N317/B317*10000)</f>
        <v/>
      </c>
      <c r="AK317" s="14">
        <f>IF(OR(C317="",C317=0),"",O317/C317*10000)</f>
        <v/>
      </c>
      <c r="AL317" s="14">
        <f>IF(OR(D317="",D317=0),"",P317/D317*10000)</f>
        <v/>
      </c>
      <c r="AM317" s="14">
        <f>IF(OR(E317="",E317=0),"",Q317/E317*10000)</f>
        <v/>
      </c>
      <c r="AN317" s="11" t="n">
        <v>37636.68705437952</v>
      </c>
      <c r="AO317" s="11" t="n">
        <v>23241.29</v>
      </c>
      <c r="AP317" s="21">
        <f>AH317+AN317+AO317</f>
        <v/>
      </c>
      <c r="AQ317" s="21">
        <f>AH317</f>
        <v/>
      </c>
      <c r="AR317" s="15" t="n">
        <v>79211.56</v>
      </c>
      <c r="AS317" s="27" t="n">
        <v>44.18818387745426</v>
      </c>
      <c r="AT317" s="15" t="n">
        <v>32294369.12</v>
      </c>
      <c r="AU317" s="15" t="n">
        <v>26430.8063</v>
      </c>
      <c r="AV317" s="15" t="n">
        <v>400.0284</v>
      </c>
      <c r="AW317" s="15" t="n"/>
      <c r="AX317" s="16" t="n">
        <v>428.0791716261718</v>
      </c>
      <c r="AY317" s="13">
        <f>IF(OR(AX317="",AX317=0,AU317=""),"",AU317*365/(AX317*1000000))</f>
        <v/>
      </c>
      <c r="AZ317" s="15" t="n">
        <v>420586809.5797</v>
      </c>
      <c r="BA317" s="17" t="n">
        <v>60487233</v>
      </c>
      <c r="BB317" s="18" t="n">
        <v>32294369.12</v>
      </c>
      <c r="BC317" s="17" t="n">
        <v>2971663</v>
      </c>
      <c r="BD317" s="17">
        <f>1000000000-999563293.7018+111521.5231</f>
        <v/>
      </c>
      <c r="BE317" s="19">
        <f>1000000000-AZ317-BA317-BB317-BC317-BD317</f>
        <v/>
      </c>
      <c r="BF317" s="20" t="n">
        <v>238</v>
      </c>
      <c r="BG317" s="20">
        <f>BE317/1000000-BF317</f>
        <v/>
      </c>
      <c r="BH317" s="21">
        <f>BE317*46.6</f>
        <v/>
      </c>
    </row>
    <row r="318">
      <c r="A318" s="10" t="n">
        <v>45940</v>
      </c>
      <c r="B318" s="11" t="n">
        <v>28724586157</v>
      </c>
      <c r="C318" s="11" t="n"/>
      <c r="D318" s="12" t="n">
        <v>984610585</v>
      </c>
      <c r="E318" s="11" t="n"/>
      <c r="N318" s="11" t="n">
        <v>8871516.460000001</v>
      </c>
      <c r="O318" s="11" t="n"/>
      <c r="P318" s="11" t="n">
        <v>483012.67</v>
      </c>
      <c r="Q318" s="11" t="n"/>
      <c r="R318" s="21">
        <f>N318+O318+P318+N(Q318)</f>
        <v/>
      </c>
      <c r="S318" s="13" t="n">
        <v>0.01</v>
      </c>
      <c r="T318" s="21">
        <f>N(AC318)*S318</f>
        <v/>
      </c>
      <c r="U318" s="21">
        <f>N(AD318)*S318</f>
        <v/>
      </c>
      <c r="V318" s="21">
        <f>N(AE318)*S318</f>
        <v/>
      </c>
      <c r="W318" s="21">
        <f>IF(Q318="","",N(AF318)*S318)</f>
        <v/>
      </c>
      <c r="X318" s="11" t="n">
        <v>107586.33</v>
      </c>
      <c r="Y318" s="11" t="n"/>
      <c r="Z318" s="11" t="n"/>
      <c r="AA318" s="21">
        <f>T318+U318+V318+N(W318)+X318+Y318+N(Z318)</f>
        <v/>
      </c>
      <c r="AB318" s="11" t="n">
        <v>434914.3616</v>
      </c>
      <c r="AC318" s="11" t="n">
        <v>8871516.460000001</v>
      </c>
      <c r="AD318" s="21">
        <f>O318-Y318</f>
        <v/>
      </c>
      <c r="AE318" s="21">
        <f>P318-X318</f>
        <v/>
      </c>
      <c r="AF318" s="21">
        <f>IF(Q318="","",Q318-Z318)</f>
        <v/>
      </c>
      <c r="AG318" s="22">
        <f>AC318+AD318+AE318+N(AF318)</f>
        <v/>
      </c>
      <c r="AH318" s="11" t="n">
        <v>20134654.76808</v>
      </c>
      <c r="AI318" s="24">
        <f>AG318-AH318</f>
        <v/>
      </c>
      <c r="AJ318" s="14">
        <f>IF(OR(B318="",B318=0,N318=""),"",N318/B318*10000)</f>
        <v/>
      </c>
      <c r="AK318" s="14">
        <f>IF(OR(C318="",C318=0),"",O318/C318*10000)</f>
        <v/>
      </c>
      <c r="AL318" s="14">
        <f>IF(OR(D318="",D318=0),"",P318/D318*10000)</f>
        <v/>
      </c>
      <c r="AM318" s="14">
        <f>IF(OR(E318="",E318=0),"",Q318/E318*10000)</f>
        <v/>
      </c>
      <c r="AN318" s="11" t="n">
        <v>391730.1730758382</v>
      </c>
      <c r="AO318" s="11" t="n">
        <v>0</v>
      </c>
      <c r="AP318" s="21">
        <f>AH318+AN318+AO318</f>
        <v/>
      </c>
      <c r="AQ318" s="21">
        <f>AH318</f>
        <v/>
      </c>
      <c r="AR318" s="15" t="n">
        <v>507262.99</v>
      </c>
      <c r="AS318" s="27" t="n">
        <v>39.6927336805707</v>
      </c>
      <c r="AT318" s="15" t="n">
        <v>32371984.13</v>
      </c>
      <c r="AU318" s="15" t="n">
        <v>26390.5465</v>
      </c>
      <c r="AV318" s="15" t="n">
        <v>1105.4204</v>
      </c>
      <c r="AW318" s="15" t="n"/>
      <c r="AX318" s="16" t="n">
        <v>426.3086488292074</v>
      </c>
      <c r="AY318" s="13">
        <f>IF(OR(AX318="",AX318=0,AU318=""),"",AU318*365/(AX318*1000000))</f>
        <v/>
      </c>
      <c r="AZ318" s="15" t="n">
        <v>420560419.0333</v>
      </c>
      <c r="BA318" s="17" t="n">
        <v>60487233</v>
      </c>
      <c r="BB318" s="18" t="n">
        <v>32371984.13</v>
      </c>
      <c r="BC318" s="17" t="n">
        <v>2971663</v>
      </c>
      <c r="BD318" s="17">
        <f>1000000000-999562188.2814+120408.9286</f>
        <v/>
      </c>
      <c r="BE318" s="19">
        <f>1000000000-AZ318-BA318-BB318-BC318-BD318</f>
        <v/>
      </c>
      <c r="BF318" s="20" t="n">
        <v>238</v>
      </c>
      <c r="BG318" s="20">
        <f>BE318/1000000-BF318</f>
        <v/>
      </c>
      <c r="BH318" s="21">
        <f>BE318*44.08</f>
        <v/>
      </c>
    </row>
    <row r="319">
      <c r="A319" s="10" t="n">
        <v>45941</v>
      </c>
      <c r="B319" s="11" t="n">
        <v>10333348904</v>
      </c>
      <c r="C319" s="11" t="n"/>
      <c r="D319" s="12" t="n">
        <v>704628551</v>
      </c>
      <c r="E319" s="11" t="n"/>
      <c r="N319" s="11" t="n">
        <v>2885530.39</v>
      </c>
      <c r="O319" s="11" t="n"/>
      <c r="P319" s="11" t="n">
        <v>309237.8</v>
      </c>
      <c r="Q319" s="11" t="n"/>
      <c r="R319" s="21">
        <f>N319+O319+P319+N(Q319)</f>
        <v/>
      </c>
      <c r="S319" s="13" t="n">
        <v>0.01</v>
      </c>
      <c r="T319" s="21">
        <f>N(AC319)*S319</f>
        <v/>
      </c>
      <c r="U319" s="21">
        <f>N(AD319)*S319</f>
        <v/>
      </c>
      <c r="V319" s="21">
        <f>N(AE319)*S319</f>
        <v/>
      </c>
      <c r="W319" s="21">
        <f>IF(Q319="","",N(AF319)*S319)</f>
        <v/>
      </c>
      <c r="X319" s="11" t="n">
        <v>53423.02</v>
      </c>
      <c r="Y319" s="11" t="n"/>
      <c r="Z319" s="11" t="n"/>
      <c r="AA319" s="21">
        <f>T319+U319+V319+N(W319)+X319+Y319+N(Z319)</f>
        <v/>
      </c>
      <c r="AB319" s="11" t="n">
        <v>216111.4217</v>
      </c>
      <c r="AC319" s="11" t="n">
        <v>2885530.39</v>
      </c>
      <c r="AD319" s="21">
        <f>O319-Y319</f>
        <v/>
      </c>
      <c r="AE319" s="21">
        <f>P319-X319</f>
        <v/>
      </c>
      <c r="AF319" s="21">
        <f>IF(Q319="","",Q319-Z319)</f>
        <v/>
      </c>
      <c r="AG319" s="22">
        <f>AC319+AD319+AE319+N(AF319)</f>
        <v/>
      </c>
      <c r="AH319" s="11" t="n">
        <v>2999479.48806</v>
      </c>
      <c r="AI319" s="24">
        <f>AG319-AH319</f>
        <v/>
      </c>
      <c r="AJ319" s="14">
        <f>IF(OR(B319="",B319=0,N319=""),"",N319/B319*10000)</f>
        <v/>
      </c>
      <c r="AK319" s="14">
        <f>IF(OR(C319="",C319=0),"",O319/C319*10000)</f>
        <v/>
      </c>
      <c r="AL319" s="14">
        <f>IF(OR(D319="",D319=0),"",P319/D319*10000)</f>
        <v/>
      </c>
      <c r="AM319" s="14">
        <f>IF(OR(E319="",E319=0),"",Q319/E319*10000)</f>
        <v/>
      </c>
      <c r="AN319" s="11" t="n">
        <v>105794.8433546484</v>
      </c>
      <c r="AO319" s="11" t="n">
        <v>28908.72</v>
      </c>
      <c r="AP319" s="21">
        <f>AH319+AN319+AO319</f>
        <v/>
      </c>
      <c r="AQ319" s="21">
        <f>AH319</f>
        <v/>
      </c>
      <c r="AR319" s="15" t="n">
        <v>78616.25</v>
      </c>
      <c r="AS319" s="27" t="n">
        <v>38.15342868758049</v>
      </c>
      <c r="AT319" s="15" t="n">
        <v>32894296</v>
      </c>
      <c r="AU319" s="15" t="n">
        <v>26366.7242</v>
      </c>
      <c r="AV319" s="15" t="n">
        <v>1896.0689</v>
      </c>
      <c r="AW319" s="15" t="n"/>
      <c r="AX319" s="16" t="n">
        <v>425.6300310562639</v>
      </c>
      <c r="AY319" s="13">
        <f>IF(OR(AX319="",AX319=0,AU319=""),"",AU319*365/(AX319*1000000))</f>
        <v/>
      </c>
      <c r="AZ319" s="15" t="n">
        <v>420534052.309</v>
      </c>
      <c r="BA319" s="17" t="n">
        <v>60487233</v>
      </c>
      <c r="BB319" s="18" t="n">
        <v>32894296</v>
      </c>
      <c r="BC319" s="17" t="n">
        <v>2971663</v>
      </c>
      <c r="BD319" s="17">
        <f>1000000000-999560292.2125+123281.8368</f>
        <v/>
      </c>
      <c r="BE319" s="19">
        <f>1000000000-AZ319-BA319-BB319-BC319-BD319</f>
        <v/>
      </c>
      <c r="BF319" s="20" t="n">
        <v>238</v>
      </c>
      <c r="BG319" s="20">
        <f>BE319/1000000-BF319</f>
        <v/>
      </c>
      <c r="BH319" s="21">
        <f>BE319*38.23</f>
        <v/>
      </c>
    </row>
    <row r="320">
      <c r="A320" s="10" t="n">
        <v>45942</v>
      </c>
      <c r="B320" s="11" t="n">
        <v>11787564657</v>
      </c>
      <c r="C320" s="11" t="n"/>
      <c r="D320" s="12" t="n">
        <v>484211693</v>
      </c>
      <c r="E320" s="11" t="n"/>
      <c r="N320" s="11" t="n">
        <v>3589240.17</v>
      </c>
      <c r="O320" s="11" t="n"/>
      <c r="P320" s="11" t="n">
        <v>242549.54</v>
      </c>
      <c r="Q320" s="11" t="n"/>
      <c r="R320" s="21">
        <f>N320+O320+P320+N(Q320)</f>
        <v/>
      </c>
      <c r="S320" s="13" t="n">
        <v>0.01</v>
      </c>
      <c r="T320" s="21">
        <f>N(AC320)*S320</f>
        <v/>
      </c>
      <c r="U320" s="21">
        <f>N(AD320)*S320</f>
        <v/>
      </c>
      <c r="V320" s="21">
        <f>N(AE320)*S320</f>
        <v/>
      </c>
      <c r="W320" s="21">
        <f>IF(Q320="","",N(AF320)*S320)</f>
        <v/>
      </c>
      <c r="X320" s="11" t="n">
        <v>56496.42</v>
      </c>
      <c r="Y320" s="11" t="n"/>
      <c r="Z320" s="11" t="n"/>
      <c r="AA320" s="21">
        <f>T320+U320+V320+N(W320)+X320+Y320+N(Z320)</f>
        <v/>
      </c>
      <c r="AB320" s="11" t="n">
        <v>288561.5093</v>
      </c>
      <c r="AC320" s="11" t="n">
        <v>3589240.17</v>
      </c>
      <c r="AD320" s="21">
        <f>O320-Y320</f>
        <v/>
      </c>
      <c r="AE320" s="21">
        <f>P320-X320</f>
        <v/>
      </c>
      <c r="AF320" s="21">
        <f>IF(Q320="","",Q320-Z320)</f>
        <v/>
      </c>
      <c r="AG320" s="22">
        <f>AC320+AD320+AE320+N(AF320)</f>
        <v/>
      </c>
      <c r="AH320" s="11" t="n">
        <v>3279132.39735</v>
      </c>
      <c r="AI320" s="24">
        <f>AG320-AH320</f>
        <v/>
      </c>
      <c r="AJ320" s="14">
        <f>IF(OR(B320="",B320=0,N320=""),"",N320/B320*10000)</f>
        <v/>
      </c>
      <c r="AK320" s="14">
        <f>IF(OR(C320="",C320=0),"",O320/C320*10000)</f>
        <v/>
      </c>
      <c r="AL320" s="14">
        <f>IF(OR(D320="",D320=0),"",P320/D320*10000)</f>
        <v/>
      </c>
      <c r="AM320" s="14">
        <f>IF(OR(E320="",E320=0),"",Q320/E320*10000)</f>
        <v/>
      </c>
      <c r="AN320" s="11" t="n">
        <v>49128.07455342344</v>
      </c>
      <c r="AO320" s="11" t="n">
        <v>0</v>
      </c>
      <c r="AP320" s="21">
        <f>AH320+AN320+AO320</f>
        <v/>
      </c>
      <c r="AQ320" s="21">
        <f>AH320</f>
        <v/>
      </c>
      <c r="AR320" s="15" t="n">
        <v>84192.56</v>
      </c>
      <c r="AS320" s="27" t="n">
        <v>38.94800677577687</v>
      </c>
      <c r="AT320" s="15" t="n">
        <v>32964950.57</v>
      </c>
      <c r="AU320" s="15" t="n">
        <v>26327.2198</v>
      </c>
      <c r="AV320" s="15" t="n">
        <v>2730.5779</v>
      </c>
      <c r="AW320" s="15" t="n"/>
      <c r="AX320" s="16" t="n">
        <v>424.1699421944982</v>
      </c>
      <c r="AY320" s="13">
        <f>IF(OR(AX320="",AX320=0,AU320=""),"",AU320*365/(AX320*1000000))</f>
        <v/>
      </c>
      <c r="AZ320" s="15" t="n">
        <v>420507725.0892</v>
      </c>
      <c r="BA320" s="17" t="n">
        <v>60487233</v>
      </c>
      <c r="BB320" s="18" t="n">
        <v>32964950.57</v>
      </c>
      <c r="BC320" s="17" t="n">
        <v>2971663</v>
      </c>
      <c r="BD320" s="17">
        <f>1000000000-999557561.6346+124521.9437</f>
        <v/>
      </c>
      <c r="BE320" s="19">
        <f>1000000000-AZ320-BA320-BB320-BC320-BD320</f>
        <v/>
      </c>
      <c r="BF320" s="20" t="n">
        <v>238</v>
      </c>
      <c r="BG320" s="20">
        <f>BE320/1000000-BF320</f>
        <v/>
      </c>
      <c r="BH320" s="21">
        <f>BE320*36.72</f>
        <v/>
      </c>
    </row>
    <row r="321">
      <c r="A321" s="10" t="n">
        <v>45943</v>
      </c>
      <c r="B321" s="11" t="n">
        <v>9594655311</v>
      </c>
      <c r="C321" s="11" t="n">
        <v>24047820</v>
      </c>
      <c r="D321" s="12" t="n">
        <v>433769946</v>
      </c>
      <c r="E321" s="11" t="n"/>
      <c r="F321" s="12" t="n"/>
      <c r="G321" s="12" t="n"/>
      <c r="H321" s="12" t="n"/>
      <c r="I321" s="12" t="n">
        <v>24047820</v>
      </c>
      <c r="J321" s="12" t="n"/>
      <c r="K321" s="12" t="n"/>
      <c r="L321" s="21">
        <f>SUM(F321:K321)</f>
        <v/>
      </c>
      <c r="M321" s="28" t="n">
        <v>1.000904073996174</v>
      </c>
      <c r="N321" s="11" t="n">
        <v>2951264.33</v>
      </c>
      <c r="O321" s="11" t="n">
        <v>28736.64</v>
      </c>
      <c r="P321" s="11" t="n">
        <v>230749.44</v>
      </c>
      <c r="Q321" s="11" t="n"/>
      <c r="R321" s="21">
        <f>N321+O321+P321+N(Q321)</f>
        <v/>
      </c>
      <c r="S321" s="13" t="n">
        <v>0.01</v>
      </c>
      <c r="T321" s="21">
        <f>N(AC321)*S321</f>
        <v/>
      </c>
      <c r="U321" s="21">
        <f>N(AD321)*S321</f>
        <v/>
      </c>
      <c r="V321" s="21">
        <f>N(AE321)*S321</f>
        <v/>
      </c>
      <c r="W321" s="21">
        <f>IF(Q321="","",N(AF321)*S321)</f>
        <v/>
      </c>
      <c r="X321" s="11" t="n">
        <v>40068.3</v>
      </c>
      <c r="Y321" s="11" t="n">
        <v>14368.32</v>
      </c>
      <c r="Z321" s="11" t="n"/>
      <c r="AA321" s="21">
        <f>T321+U321+V321+N(W321)+X321+Y321+N(Z321)</f>
        <v/>
      </c>
      <c r="AB321" s="11" t="n">
        <v>249712.7871</v>
      </c>
      <c r="AC321" s="11" t="n">
        <v>2951264.33</v>
      </c>
      <c r="AD321" s="21">
        <f>O321-Y321</f>
        <v/>
      </c>
      <c r="AE321" s="21">
        <f>P321-X321</f>
        <v/>
      </c>
      <c r="AF321" s="21">
        <f>IF(Q321="","",Q321-Z321)</f>
        <v/>
      </c>
      <c r="AG321" s="22">
        <f>AC321+AD321+AE321+N(AF321)</f>
        <v/>
      </c>
      <c r="AH321" s="11" t="n">
        <v>2737513.05481</v>
      </c>
      <c r="AI321" s="24">
        <f>AG321-AH321</f>
        <v/>
      </c>
      <c r="AJ321" s="14">
        <f>IF(OR(B321="",B321=0,N321=""),"",N321/B321*10000)</f>
        <v/>
      </c>
      <c r="AK321" s="14">
        <f>IF(OR(C321="",C321=0),"",O321/C321*10000)</f>
        <v/>
      </c>
      <c r="AL321" s="14">
        <f>IF(OR(D321="",D321=0),"",P321/D321*10000)</f>
        <v/>
      </c>
      <c r="AM321" s="14">
        <f>IF(OR(E321="",E321=0),"",Q321/E321*10000)</f>
        <v/>
      </c>
      <c r="AN321" s="11" t="n">
        <v>54909.7571754914</v>
      </c>
      <c r="AO321" s="11" t="n">
        <v>0</v>
      </c>
      <c r="AP321" s="21">
        <f>AH321+AN321+AO321</f>
        <v/>
      </c>
      <c r="AQ321" s="21">
        <f>AH321</f>
        <v/>
      </c>
      <c r="AR321" s="15" t="n">
        <v>66844.14</v>
      </c>
      <c r="AS321" s="27" t="n">
        <v>40.95367304912592</v>
      </c>
      <c r="AT321" s="15" t="n">
        <v>33052999.62</v>
      </c>
      <c r="AU321" s="15" t="n">
        <v>26292.3723</v>
      </c>
      <c r="AV321" s="15" t="n">
        <v>1146.203</v>
      </c>
      <c r="AW321" s="15" t="n"/>
      <c r="AX321" s="16" t="n">
        <v>423.485869293869</v>
      </c>
      <c r="AY321" s="13">
        <f>IF(OR(AX321="",AX321=0,AU321=""),"",AU321*365/(AX321*1000000))</f>
        <v/>
      </c>
      <c r="AZ321" s="15" t="n">
        <v>420481432.7169</v>
      </c>
      <c r="BA321" s="17" t="n">
        <v>60487233</v>
      </c>
      <c r="BB321" s="18" t="n">
        <v>33052999.62</v>
      </c>
      <c r="BC321" s="17" t="n">
        <v>2971663</v>
      </c>
      <c r="BD321" s="17">
        <f>1000000000-999556415.4316+125816.2830</f>
        <v/>
      </c>
      <c r="BE321" s="19">
        <f>1000000000-AZ321-BA321-BB321-BC321-BD321</f>
        <v/>
      </c>
      <c r="BF321" s="20" t="n">
        <v>238</v>
      </c>
      <c r="BG321" s="20">
        <f>BE321/1000000-BF321</f>
        <v/>
      </c>
      <c r="BH321" s="21">
        <f>BE321*39.64</f>
        <v/>
      </c>
    </row>
    <row r="322">
      <c r="A322" s="10" t="n">
        <v>45944</v>
      </c>
      <c r="B322" s="11" t="n">
        <v>16153886831</v>
      </c>
      <c r="C322" s="11" t="n">
        <v>21857347</v>
      </c>
      <c r="D322" s="12" t="n">
        <v>421373162</v>
      </c>
      <c r="E322" s="11" t="n"/>
      <c r="F322" s="12" t="n"/>
      <c r="G322" s="12" t="n"/>
      <c r="H322" s="12" t="n"/>
      <c r="I322" s="12" t="n">
        <v>21857347</v>
      </c>
      <c r="J322" s="12" t="n"/>
      <c r="K322" s="12" t="n"/>
      <c r="L322" s="21">
        <f>SUM(F322:K322)</f>
        <v/>
      </c>
      <c r="M322" s="28" t="n">
        <v>0.9986462387952443</v>
      </c>
      <c r="N322" s="11" t="n">
        <v>2386676.44</v>
      </c>
      <c r="O322" s="11" t="n">
        <v>13367.96</v>
      </c>
      <c r="P322" s="11" t="n">
        <v>104715.67</v>
      </c>
      <c r="Q322" s="11" t="n"/>
      <c r="R322" s="21">
        <f>N322+O322+P322+N(Q322)</f>
        <v/>
      </c>
      <c r="S322" s="13" t="n">
        <v>0.01</v>
      </c>
      <c r="T322" s="21">
        <f>N(AC322)*S322</f>
        <v/>
      </c>
      <c r="U322" s="21">
        <f>N(AD322)*S322</f>
        <v/>
      </c>
      <c r="V322" s="21">
        <f>N(AE322)*S322</f>
        <v/>
      </c>
      <c r="W322" s="21">
        <f>IF(Q322="","",N(AF322)*S322)</f>
        <v/>
      </c>
      <c r="X322" s="11" t="n">
        <v>18403.95</v>
      </c>
      <c r="Y322" s="11" t="n">
        <v>6683.98</v>
      </c>
      <c r="Z322" s="11" t="n"/>
      <c r="AA322" s="21">
        <f>T322+U322+V322+N(W322)+X322+Y322+N(Z322)</f>
        <v/>
      </c>
      <c r="AB322" s="11" t="n">
        <v>326781.9410999999</v>
      </c>
      <c r="AC322" s="11" t="n">
        <v>2386676.44</v>
      </c>
      <c r="AD322" s="21">
        <f>O322-Y322</f>
        <v/>
      </c>
      <c r="AE322" s="21">
        <f>P322-X322</f>
        <v/>
      </c>
      <c r="AF322" s="21">
        <f>IF(Q322="","",Q322-Z322)</f>
        <v/>
      </c>
      <c r="AG322" s="22">
        <f>AC322+AD322+AE322+N(AF322)</f>
        <v/>
      </c>
      <c r="AH322" s="11" t="n">
        <v>4368313.10851</v>
      </c>
      <c r="AI322" s="24">
        <f>AG322-AH322</f>
        <v/>
      </c>
      <c r="AJ322" s="14">
        <f>IF(OR(B322="",B322=0,N322=""),"",N322/B322*10000)</f>
        <v/>
      </c>
      <c r="AK322" s="14">
        <f>IF(OR(C322="",C322=0),"",O322/C322*10000)</f>
        <v/>
      </c>
      <c r="AL322" s="14">
        <f>IF(OR(D322="",D322=0),"",P322/D322*10000)</f>
        <v/>
      </c>
      <c r="AM322" s="14">
        <f>IF(OR(E322="",E322=0),"",Q322/E322*10000)</f>
        <v/>
      </c>
      <c r="AN322" s="11" t="n">
        <v>50001.73301025721</v>
      </c>
      <c r="AO322" s="11" t="n">
        <v>0</v>
      </c>
      <c r="AP322" s="21">
        <f>AH322+AN322+AO322</f>
        <v/>
      </c>
      <c r="AQ322" s="21">
        <f>AH322</f>
        <v/>
      </c>
      <c r="AR322" s="15" t="n">
        <v>110239.28</v>
      </c>
      <c r="AS322" s="27" t="n">
        <v>39.6257405573585</v>
      </c>
      <c r="AT322" s="15" t="n">
        <v>33139257.46</v>
      </c>
      <c r="AU322" s="15" t="n">
        <v>26269.2748</v>
      </c>
      <c r="AV322" s="15" t="n">
        <v>1747.98</v>
      </c>
      <c r="AW322" s="15" t="n"/>
      <c r="AX322" s="16" t="n">
        <v>422.7004358030554</v>
      </c>
      <c r="AY322" s="13">
        <f>IF(OR(AX322="",AX322=0,AU322=""),"",AU322*365/(AX322*1000000))</f>
        <v/>
      </c>
      <c r="AZ322" s="15" t="n">
        <v>420455163.4421</v>
      </c>
      <c r="BA322" s="17" t="n">
        <v>60487233</v>
      </c>
      <c r="BB322" s="18" t="n">
        <v>33139257.46</v>
      </c>
      <c r="BC322" s="17" t="n">
        <v>2971663</v>
      </c>
      <c r="BD322" s="17">
        <f>1000000000-999554667.4516+127060.5405</f>
        <v/>
      </c>
      <c r="BE322" s="19">
        <f>1000000000-AZ322-BA322-BB322-BC322-BD322</f>
        <v/>
      </c>
      <c r="BF322" s="20" t="n">
        <v>238</v>
      </c>
      <c r="BG322" s="20">
        <f>BE322/1000000-BF322</f>
        <v/>
      </c>
      <c r="BH322" s="21">
        <f>BE322*42.57</f>
        <v/>
      </c>
    </row>
    <row r="323">
      <c r="A323" s="10" t="n">
        <v>45945</v>
      </c>
      <c r="B323" s="11" t="n">
        <v>10747314916</v>
      </c>
      <c r="C323" s="11" t="n">
        <v>20629520</v>
      </c>
      <c r="D323" s="12" t="n">
        <v>285617603</v>
      </c>
      <c r="E323" s="11" t="n"/>
      <c r="F323" s="12" t="n"/>
      <c r="G323" s="12" t="n"/>
      <c r="H323" s="12" t="n"/>
      <c r="I323" s="12" t="n">
        <v>20629520</v>
      </c>
      <c r="J323" s="12" t="n"/>
      <c r="K323" s="12" t="n"/>
      <c r="L323" s="21">
        <f>SUM(F323:K323)</f>
        <v/>
      </c>
      <c r="M323" s="28" t="n">
        <v>0.9994668901488259</v>
      </c>
      <c r="N323" s="11" t="n">
        <v>3235886.22</v>
      </c>
      <c r="O323" s="11" t="n">
        <v>24999.14</v>
      </c>
      <c r="P323" s="11" t="n">
        <v>177780.86</v>
      </c>
      <c r="Q323" s="11" t="n"/>
      <c r="R323" s="21">
        <f>N323+O323+P323+N(Q323)</f>
        <v/>
      </c>
      <c r="S323" s="13" t="n">
        <v>0.01</v>
      </c>
      <c r="T323" s="21">
        <f>N(AC323)*S323</f>
        <v/>
      </c>
      <c r="U323" s="21">
        <f>N(AD323)*S323</f>
        <v/>
      </c>
      <c r="V323" s="21">
        <f>N(AE323)*S323</f>
        <v/>
      </c>
      <c r="W323" s="21">
        <f>IF(Q323="","",N(AF323)*S323)</f>
        <v/>
      </c>
      <c r="X323" s="11" t="n">
        <v>29915.23</v>
      </c>
      <c r="Y323" s="11" t="n">
        <v>12499.57</v>
      </c>
      <c r="Z323" s="11" t="n"/>
      <c r="AA323" s="21">
        <f>T323+U323+V323+N(W323)+X323+Y323+N(Z323)</f>
        <v/>
      </c>
      <c r="AB323" s="11" t="n">
        <v>239303.0005</v>
      </c>
      <c r="AC323" s="11" t="n">
        <v>3235886.22</v>
      </c>
      <c r="AD323" s="21">
        <f>O323-Y323</f>
        <v/>
      </c>
      <c r="AE323" s="21">
        <f>P323-X323</f>
        <v/>
      </c>
      <c r="AF323" s="21">
        <f>IF(Q323="","",Q323-Z323)</f>
        <v/>
      </c>
      <c r="AG323" s="22">
        <f>AC323+AD323+AE323+N(AF323)</f>
        <v/>
      </c>
      <c r="AH323" s="11" t="n">
        <v>2972554.26511</v>
      </c>
      <c r="AI323" s="24">
        <f>AG323-AH323</f>
        <v/>
      </c>
      <c r="AJ323" s="14">
        <f>IF(OR(B323="",B323=0,N323=""),"",N323/B323*10000)</f>
        <v/>
      </c>
      <c r="AK323" s="14">
        <f>IF(OR(C323="",C323=0),"",O323/C323*10000)</f>
        <v/>
      </c>
      <c r="AL323" s="14">
        <f>IF(OR(D323="",D323=0),"",P323/D323*10000)</f>
        <v/>
      </c>
      <c r="AM323" s="14">
        <f>IF(OR(E323="",E323=0),"",Q323/E323*10000)</f>
        <v/>
      </c>
      <c r="AN323" s="11" t="n">
        <v>32231.03163678108</v>
      </c>
      <c r="AO323" s="11" t="n">
        <v>19753.05</v>
      </c>
      <c r="AP323" s="21">
        <f>AH323+AN323+AO323</f>
        <v/>
      </c>
      <c r="AQ323" s="21">
        <f>AH323</f>
        <v/>
      </c>
      <c r="AR323" s="15" t="n">
        <v>75913.64999999999</v>
      </c>
      <c r="AS323" s="27" t="n">
        <v>39.15704573696562</v>
      </c>
      <c r="AT323" s="15" t="n">
        <v>33225824.74</v>
      </c>
      <c r="AU323" s="15" t="n">
        <v>32330.6166</v>
      </c>
      <c r="AV323" s="15" t="n">
        <v>1658.0976</v>
      </c>
      <c r="AW323" s="15" t="n"/>
      <c r="AX323" s="16" t="n">
        <v>422.4604013236334</v>
      </c>
      <c r="AY323" s="13">
        <f>IF(OR(AX323="",AX323=0,AU323=""),"",AU323*365/(AX323*1000000))</f>
        <v/>
      </c>
      <c r="AZ323" s="15" t="n">
        <v>420422832.8255</v>
      </c>
      <c r="BA323" s="17" t="n">
        <v>60487233</v>
      </c>
      <c r="BB323" s="18" t="n">
        <v>33225824.74</v>
      </c>
      <c r="BC323" s="17" t="n">
        <v>2971663</v>
      </c>
      <c r="BD323" s="17">
        <f>1000000000-999553009.354+127922.1485</f>
        <v/>
      </c>
      <c r="BE323" s="19">
        <f>1000000000-AZ323-BA323-BB323-BC323-BD323</f>
        <v/>
      </c>
      <c r="BF323" s="20" t="n">
        <v>238</v>
      </c>
      <c r="BG323" s="20">
        <f>BE323/1000000-BF323</f>
        <v/>
      </c>
      <c r="BH323" s="21">
        <f>BE323*39.08</f>
        <v/>
      </c>
    </row>
    <row r="324">
      <c r="A324" s="10" t="n">
        <v>45946</v>
      </c>
      <c r="B324" s="11" t="n">
        <v>11475520240</v>
      </c>
      <c r="C324" s="11" t="n">
        <v>19168299</v>
      </c>
      <c r="D324" s="12" t="n">
        <v>366551346</v>
      </c>
      <c r="E324" s="11" t="n"/>
      <c r="F324" s="12" t="n"/>
      <c r="G324" s="12" t="n"/>
      <c r="H324" s="12" t="n"/>
      <c r="I324" s="12" t="n">
        <v>19168299</v>
      </c>
      <c r="J324" s="12" t="n"/>
      <c r="K324" s="12" t="n"/>
      <c r="L324" s="21">
        <f>SUM(F324:K324)</f>
        <v/>
      </c>
      <c r="M324" s="28" t="n">
        <v>1.006156518005298</v>
      </c>
      <c r="N324" s="11" t="n">
        <v>3447655.82</v>
      </c>
      <c r="O324" s="11" t="n">
        <v>23088.06</v>
      </c>
      <c r="P324" s="11" t="n">
        <v>183779.5</v>
      </c>
      <c r="Q324" s="11" t="n"/>
      <c r="R324" s="21">
        <f>N324+O324+P324+N(Q324)</f>
        <v/>
      </c>
      <c r="S324" s="13" t="n">
        <v>0.01</v>
      </c>
      <c r="T324" s="21">
        <f>N(AC324)*S324</f>
        <v/>
      </c>
      <c r="U324" s="21">
        <f>N(AD324)*S324</f>
        <v/>
      </c>
      <c r="V324" s="21">
        <f>N(AE324)*S324</f>
        <v/>
      </c>
      <c r="W324" s="21">
        <f>IF(Q324="","",N(AF324)*S324)</f>
        <v/>
      </c>
      <c r="X324" s="11" t="n">
        <v>38268</v>
      </c>
      <c r="Y324" s="11" t="n">
        <v>11544.03</v>
      </c>
      <c r="Z324" s="11" t="n"/>
      <c r="AA324" s="21">
        <f>T324+U324+V324+N(W324)+X324+Y324+N(Z324)</f>
        <v/>
      </c>
      <c r="AB324" s="11" t="n">
        <v>229678.862</v>
      </c>
      <c r="AC324" s="11" t="n">
        <v>3447655.82</v>
      </c>
      <c r="AD324" s="21">
        <f>O324-Y324</f>
        <v/>
      </c>
      <c r="AE324" s="21">
        <f>P324-X324</f>
        <v/>
      </c>
      <c r="AF324" s="21">
        <f>IF(Q324="","",Q324-Z324)</f>
        <v/>
      </c>
      <c r="AG324" s="22">
        <f>AC324+AD324+AE324+N(AF324)</f>
        <v/>
      </c>
      <c r="AH324" s="11" t="n">
        <v>3135849.89117</v>
      </c>
      <c r="AI324" s="24">
        <f>AG324-AH324</f>
        <v/>
      </c>
      <c r="AJ324" s="14">
        <f>IF(OR(B324="",B324=0,N324=""),"",N324/B324*10000)</f>
        <v/>
      </c>
      <c r="AK324" s="14">
        <f>IF(OR(C324="",C324=0),"",O324/C324*10000)</f>
        <v/>
      </c>
      <c r="AL324" s="14">
        <f>IF(OR(D324="",D324=0),"",P324/D324*10000)</f>
        <v/>
      </c>
      <c r="AM324" s="14">
        <f>IF(OR(E324="",E324=0),"",Q324/E324*10000)</f>
        <v/>
      </c>
      <c r="AN324" s="11" t="n">
        <v>33093.78849591841</v>
      </c>
      <c r="AO324" s="11" t="n">
        <v>28051.04</v>
      </c>
      <c r="AP324" s="21">
        <f>AH324+AN324+AO324</f>
        <v/>
      </c>
      <c r="AQ324" s="21">
        <f>AH324</f>
        <v/>
      </c>
      <c r="AR324" s="15" t="n">
        <v>83220.56</v>
      </c>
      <c r="AS324" s="27" t="n">
        <v>37.68119189741093</v>
      </c>
      <c r="AT324" s="15" t="n">
        <v>33297567.25</v>
      </c>
      <c r="AU324" s="15" t="n">
        <v>30483.492</v>
      </c>
      <c r="AV324" s="15" t="n">
        <v>869.1431</v>
      </c>
      <c r="AW324" s="15" t="n"/>
      <c r="AX324" s="16" t="n">
        <v>421.8817692929202</v>
      </c>
      <c r="AY324" s="13">
        <f>IF(OR(AX324="",AX324=0,AU324=""),"",AU324*365/(AX324*1000000))</f>
        <v/>
      </c>
      <c r="AZ324" s="15" t="n">
        <v>420392349.3334</v>
      </c>
      <c r="BA324" s="17" t="n">
        <v>60487233</v>
      </c>
      <c r="BB324" s="18" t="n">
        <v>33297567.25</v>
      </c>
      <c r="BC324" s="17" t="n">
        <v>2971663</v>
      </c>
      <c r="BD324" s="17">
        <f>1000000000-999552140.2109+128821.1187</f>
        <v/>
      </c>
      <c r="BE324" s="19">
        <f>1000000000-AZ324-BA324-BB324-BC324-BD324</f>
        <v/>
      </c>
      <c r="BF324" s="20" t="n">
        <v>238</v>
      </c>
      <c r="BG324" s="20">
        <f>BE324/1000000-BF324</f>
        <v/>
      </c>
      <c r="BH324" s="21">
        <f>BE324*37.3</f>
        <v/>
      </c>
    </row>
    <row r="325">
      <c r="A325" s="10" t="n">
        <v>45947</v>
      </c>
      <c r="B325" s="11" t="n">
        <v>11953817621</v>
      </c>
      <c r="C325" s="11" t="n">
        <v>15072187</v>
      </c>
      <c r="D325" s="12" t="n">
        <v>440603237</v>
      </c>
      <c r="E325" s="11" t="n"/>
      <c r="F325" s="12" t="n"/>
      <c r="G325" s="12" t="n"/>
      <c r="H325" s="12" t="n"/>
      <c r="I325" s="12" t="n">
        <v>15072187</v>
      </c>
      <c r="J325" s="12" t="n"/>
      <c r="K325" s="12" t="n"/>
      <c r="L325" s="21">
        <f>SUM(F325:K325)</f>
        <v/>
      </c>
      <c r="M325" s="28" t="n">
        <v>0.9901829102410197</v>
      </c>
      <c r="N325" s="11" t="n">
        <v>3307421.9</v>
      </c>
      <c r="O325" s="11" t="n">
        <v>17524.54</v>
      </c>
      <c r="P325" s="11" t="n">
        <v>225790.62</v>
      </c>
      <c r="Q325" s="11" t="n"/>
      <c r="R325" s="21">
        <f>N325+O325+P325+N(Q325)</f>
        <v/>
      </c>
      <c r="S325" s="13" t="n">
        <v>0.01</v>
      </c>
      <c r="T325" s="21">
        <f>N(AC325)*S325</f>
        <v/>
      </c>
      <c r="U325" s="21">
        <f>N(AD325)*S325</f>
        <v/>
      </c>
      <c r="V325" s="21">
        <f>N(AE325)*S325</f>
        <v/>
      </c>
      <c r="W325" s="21">
        <f>IF(Q325="","",N(AF325)*S325)</f>
        <v/>
      </c>
      <c r="X325" s="11" t="n">
        <v>44168.28</v>
      </c>
      <c r="Y325" s="11" t="n">
        <v>8762.27</v>
      </c>
      <c r="Z325" s="11" t="n"/>
      <c r="AA325" s="21">
        <f>T325+U325+V325+N(W325)+X325+Y325+N(Z325)</f>
        <v/>
      </c>
      <c r="AB325" s="11" t="n">
        <v>279423.2183</v>
      </c>
      <c r="AC325" s="11" t="n">
        <v>3307421.9</v>
      </c>
      <c r="AD325" s="21">
        <f>O325-Y325</f>
        <v/>
      </c>
      <c r="AE325" s="21">
        <f>P325-X325</f>
        <v/>
      </c>
      <c r="AF325" s="21">
        <f>IF(Q325="","",Q325-Z325)</f>
        <v/>
      </c>
      <c r="AG325" s="22">
        <f>AC325+AD325+AE325+N(AF325)</f>
        <v/>
      </c>
      <c r="AH325" s="11" t="n">
        <v>3355088.34083</v>
      </c>
      <c r="AI325" s="24">
        <f>AG325-AH325</f>
        <v/>
      </c>
      <c r="AJ325" s="14">
        <f>IF(OR(B325="",B325=0,N325=""),"",N325/B325*10000)</f>
        <v/>
      </c>
      <c r="AK325" s="14">
        <f>IF(OR(C325="",C325=0),"",O325/C325*10000)</f>
        <v/>
      </c>
      <c r="AL325" s="14">
        <f>IF(OR(D325="",D325=0),"",P325/D325*10000)</f>
        <v/>
      </c>
      <c r="AM325" s="14">
        <f>IF(OR(E325="",E325=0),"",Q325/E325*10000)</f>
        <v/>
      </c>
      <c r="AN325" s="11" t="n">
        <v>60611.98977499304</v>
      </c>
      <c r="AO325" s="11" t="n">
        <v>0</v>
      </c>
      <c r="AP325" s="21">
        <f>AH325+AN325+AO325</f>
        <v/>
      </c>
      <c r="AQ325" s="21">
        <f>AH325</f>
        <v/>
      </c>
      <c r="AR325" s="15" t="n">
        <v>95672.62</v>
      </c>
      <c r="AS325" s="27" t="n">
        <v>35.0684275274368</v>
      </c>
      <c r="AT325" s="15" t="n">
        <v>33399150.81</v>
      </c>
      <c r="AU325" s="15" t="n">
        <v>24464.4903</v>
      </c>
      <c r="AV325" s="15" t="n">
        <v>1905.645</v>
      </c>
      <c r="AW325" s="15" t="n"/>
      <c r="AX325" s="16" t="n">
        <v>418.7057102023577</v>
      </c>
      <c r="AY325" s="13">
        <f>IF(OR(AX325="",AX325=0,AU325=""),"",AU325*365/(AX325*1000000))</f>
        <v/>
      </c>
      <c r="AZ325" s="15" t="n">
        <v>420367884.8431</v>
      </c>
      <c r="BA325" s="17" t="n">
        <v>60487233</v>
      </c>
      <c r="BB325" s="18" t="n">
        <v>33399150.81</v>
      </c>
      <c r="BC325" s="17" t="n">
        <v>2971663</v>
      </c>
      <c r="BD325" s="17">
        <f>1000000000-999550234.5658+130528.6910</f>
        <v/>
      </c>
      <c r="BE325" s="19">
        <f>1000000000-AZ325-BA325-BB325-BC325-BD325</f>
        <v/>
      </c>
      <c r="BF325" s="20" t="n">
        <v>238</v>
      </c>
      <c r="BG325" s="20">
        <f>BE325/1000000-BF325</f>
        <v/>
      </c>
      <c r="BH325" s="21">
        <f>BE325*34.08</f>
        <v/>
      </c>
    </row>
    <row r="326">
      <c r="A326" s="10" t="n">
        <v>45948</v>
      </c>
      <c r="B326" s="11" t="n">
        <v>3467672712</v>
      </c>
      <c r="C326" s="11" t="n">
        <v>6244622</v>
      </c>
      <c r="D326" s="12" t="n">
        <v>175437722</v>
      </c>
      <c r="E326" s="11" t="n"/>
      <c r="F326" s="12" t="n"/>
      <c r="G326" s="12" t="n"/>
      <c r="H326" s="12" t="n"/>
      <c r="I326" s="12" t="n">
        <v>6244622</v>
      </c>
      <c r="J326" s="12" t="n"/>
      <c r="K326" s="12" t="n"/>
      <c r="L326" s="21">
        <f>SUM(F326:K326)</f>
        <v/>
      </c>
      <c r="M326" s="28" t="n">
        <v>1.000077020921624</v>
      </c>
      <c r="N326" s="11" t="n">
        <v>1134554.44</v>
      </c>
      <c r="O326" s="11" t="n">
        <v>8080.92</v>
      </c>
      <c r="P326" s="11" t="n">
        <v>122635.78</v>
      </c>
      <c r="Q326" s="11" t="n"/>
      <c r="R326" s="21">
        <f>N326+O326+P326+N(Q326)</f>
        <v/>
      </c>
      <c r="S326" s="13" t="n">
        <v>0.01</v>
      </c>
      <c r="T326" s="21">
        <f>N(AC326)*S326</f>
        <v/>
      </c>
      <c r="U326" s="21">
        <f>N(AD326)*S326</f>
        <v/>
      </c>
      <c r="V326" s="21">
        <f>N(AE326)*S326</f>
        <v/>
      </c>
      <c r="W326" s="21">
        <f>IF(Q326="","",N(AF326)*S326)</f>
        <v/>
      </c>
      <c r="X326" s="11" t="n">
        <v>22350.94</v>
      </c>
      <c r="Y326" s="11" t="n">
        <v>4040.46</v>
      </c>
      <c r="Z326" s="11" t="n"/>
      <c r="AA326" s="21">
        <f>T326+U326+V326+N(W326)+X326+Y326+N(Z326)</f>
        <v/>
      </c>
      <c r="AB326" s="11" t="n">
        <v>137452.339</v>
      </c>
      <c r="AC326" s="11" t="n">
        <v>1134554.44</v>
      </c>
      <c r="AD326" s="21">
        <f>O326-Y326</f>
        <v/>
      </c>
      <c r="AE326" s="21">
        <f>P326-X326</f>
        <v/>
      </c>
      <c r="AF326" s="21">
        <f>IF(Q326="","",Q326-Z326)</f>
        <v/>
      </c>
      <c r="AG326" s="22">
        <f>AC326+AD326+AE326+N(AF326)</f>
        <v/>
      </c>
      <c r="AH326" s="11" t="n">
        <v>993444.0729</v>
      </c>
      <c r="AI326" s="24">
        <f>AG326-AH326</f>
        <v/>
      </c>
      <c r="AJ326" s="14">
        <f>IF(OR(B326="",B326=0,N326=""),"",N326/B326*10000)</f>
        <v/>
      </c>
      <c r="AK326" s="14">
        <f>IF(OR(C326="",C326=0),"",O326/C326*10000)</f>
        <v/>
      </c>
      <c r="AL326" s="14">
        <f>IF(OR(D326="",D326=0),"",P326/D326*10000)</f>
        <v/>
      </c>
      <c r="AM326" s="14">
        <f>IF(OR(E326="",E326=0),"",Q326/E326*10000)</f>
        <v/>
      </c>
      <c r="AN326" s="11" t="n">
        <v>15340.98794640204</v>
      </c>
      <c r="AO326" s="11" t="n">
        <v>23289.36</v>
      </c>
      <c r="AP326" s="21">
        <f>AH326+AN326+AO326</f>
        <v/>
      </c>
      <c r="AQ326" s="21">
        <f>AH326</f>
        <v/>
      </c>
      <c r="AR326" s="15" t="n">
        <v>27890.23</v>
      </c>
      <c r="AS326" s="27" t="n">
        <v>35.61978775004724</v>
      </c>
      <c r="AT326" s="15" t="n">
        <v>33470022.26</v>
      </c>
      <c r="AU326" s="15" t="n">
        <v>18294.0242</v>
      </c>
      <c r="AV326" s="15" t="n">
        <v>715.6541999999999</v>
      </c>
      <c r="AW326" s="15" t="n"/>
      <c r="AX326" s="16" t="n">
        <v>419.7188635083657</v>
      </c>
      <c r="AY326" s="13">
        <f>IF(OR(AX326="",AX326=0,AU326=""),"",AU326*365/(AX326*1000000))</f>
        <v/>
      </c>
      <c r="AZ326" s="15" t="n">
        <v>420349590.8189</v>
      </c>
      <c r="BA326" s="17" t="n">
        <v>60487233</v>
      </c>
      <c r="BB326" s="18" t="n">
        <v>33470022.26</v>
      </c>
      <c r="BC326" s="17" t="n">
        <v>2971663</v>
      </c>
      <c r="BD326" s="17">
        <f>1000000000-999549518.9116+130944.6276</f>
        <v/>
      </c>
      <c r="BE326" s="19">
        <f>1000000000-AZ326-BA326-BB326-BC326-BD326</f>
        <v/>
      </c>
      <c r="BF326" s="20" t="n">
        <v>238</v>
      </c>
      <c r="BG326" s="20">
        <f>BE326/1000000-BF326</f>
        <v/>
      </c>
      <c r="BH326" s="21">
        <f>BE326*35.21</f>
        <v/>
      </c>
    </row>
    <row r="327">
      <c r="A327" s="10" t="n">
        <v>45949</v>
      </c>
      <c r="B327" s="11" t="n">
        <v>5254604470</v>
      </c>
      <c r="C327" s="11" t="n">
        <v>7839092</v>
      </c>
      <c r="D327" s="12" t="n">
        <v>196378165</v>
      </c>
      <c r="E327" s="11" t="n"/>
      <c r="F327" s="12" t="n"/>
      <c r="G327" s="12" t="n"/>
      <c r="H327" s="12" t="n"/>
      <c r="I327" s="12" t="n">
        <v>7839092.000000001</v>
      </c>
      <c r="J327" s="12" t="n"/>
      <c r="K327" s="12" t="n"/>
      <c r="L327" s="21">
        <f>SUM(F327:K327)</f>
        <v/>
      </c>
      <c r="M327" s="28" t="n">
        <v>1.000636252052835</v>
      </c>
      <c r="N327" s="11" t="n">
        <v>1670827.32</v>
      </c>
      <c r="O327" s="11" t="n">
        <v>11149.52</v>
      </c>
      <c r="P327" s="11" t="n">
        <v>114242.63</v>
      </c>
      <c r="Q327" s="11" t="n"/>
      <c r="R327" s="21">
        <f>N327+O327+P327+N(Q327)</f>
        <v/>
      </c>
      <c r="S327" s="13" t="n">
        <v>0.01</v>
      </c>
      <c r="T327" s="21">
        <f>N(AC327)*S327</f>
        <v/>
      </c>
      <c r="U327" s="21">
        <f>N(AD327)*S327</f>
        <v/>
      </c>
      <c r="V327" s="21">
        <f>N(AE327)*S327</f>
        <v/>
      </c>
      <c r="W327" s="21">
        <f>IF(Q327="","",N(AF327)*S327)</f>
        <v/>
      </c>
      <c r="X327" s="11" t="n">
        <v>21221.74</v>
      </c>
      <c r="Y327" s="11" t="n">
        <v>5574.76</v>
      </c>
      <c r="Z327" s="11" t="n"/>
      <c r="AA327" s="21">
        <f>T327+U327+V327+N(W327)+X327+Y327+N(Z327)</f>
        <v/>
      </c>
      <c r="AB327" s="11" t="n">
        <v>162204.1257</v>
      </c>
      <c r="AC327" s="11" t="n">
        <v>1670827.32</v>
      </c>
      <c r="AD327" s="21">
        <f>O327-Y327</f>
        <v/>
      </c>
      <c r="AE327" s="21">
        <f>P327-X327</f>
        <v/>
      </c>
      <c r="AF327" s="21">
        <f>IF(Q327="","",Q327-Z327)</f>
        <v/>
      </c>
      <c r="AG327" s="22">
        <f>AC327+AD327+AE327+N(AF327)</f>
        <v/>
      </c>
      <c r="AH327" s="11" t="n">
        <v>1540345.58896</v>
      </c>
      <c r="AI327" s="24">
        <f>AG327-AH327</f>
        <v/>
      </c>
      <c r="AJ327" s="14">
        <f>IF(OR(B327="",B327=0,N327=""),"",N327/B327*10000)</f>
        <v/>
      </c>
      <c r="AK327" s="14">
        <f>IF(OR(C327="",C327=0),"",O327/C327*10000)</f>
        <v/>
      </c>
      <c r="AL327" s="14">
        <f>IF(OR(D327="",D327=0),"",P327/D327*10000)</f>
        <v/>
      </c>
      <c r="AM327" s="14">
        <f>IF(OR(E327="",E327=0),"",Q327/E327*10000)</f>
        <v/>
      </c>
      <c r="AN327" s="11" t="n">
        <v>13247.19389161772</v>
      </c>
      <c r="AO327" s="11" t="n">
        <v>0</v>
      </c>
      <c r="AP327" s="21">
        <f>AH327+AN327+AO327</f>
        <v/>
      </c>
      <c r="AQ327" s="21">
        <f>AH327</f>
        <v/>
      </c>
      <c r="AR327" s="15" t="n">
        <v>41256.26</v>
      </c>
      <c r="AS327" s="27" t="n">
        <v>37.33604521980422</v>
      </c>
      <c r="AT327" s="15" t="n">
        <v>33495735.45</v>
      </c>
      <c r="AU327" s="15" t="n">
        <v>26082.6342</v>
      </c>
      <c r="AV327" s="15" t="n">
        <v>1077.1714</v>
      </c>
      <c r="AW327" s="15" t="n"/>
      <c r="AX327" s="16" t="n">
        <v>418.7820788921995</v>
      </c>
      <c r="AY327" s="13">
        <f>IF(OR(AX327="",AX327=0,AU327=""),"",AU327*365/(AX327*1000000))</f>
        <v/>
      </c>
      <c r="AZ327" s="15" t="n">
        <v>420323508.1847</v>
      </c>
      <c r="BA327" s="17" t="n">
        <v>60487233</v>
      </c>
      <c r="BB327" s="18" t="n">
        <v>33495735.45</v>
      </c>
      <c r="BC327" s="17" t="n">
        <v>2971663</v>
      </c>
      <c r="BD327" s="17">
        <f>1000000000-999548441.7402+131298.9254</f>
        <v/>
      </c>
      <c r="BE327" s="19">
        <f>1000000000-AZ327-BA327-BB327-BC327-BD327</f>
        <v/>
      </c>
      <c r="BF327" s="20" t="n">
        <v>238</v>
      </c>
      <c r="BG327" s="20">
        <f>BE327/1000000-BF327</f>
        <v/>
      </c>
      <c r="BH327" s="21">
        <f>BE327*36.48</f>
        <v/>
      </c>
    </row>
    <row r="328">
      <c r="A328" s="10" t="n">
        <v>45950</v>
      </c>
      <c r="B328" s="11" t="n">
        <v>8373540529</v>
      </c>
      <c r="C328" s="11" t="n">
        <v>10611401</v>
      </c>
      <c r="D328" s="12" t="n">
        <v>262337970</v>
      </c>
      <c r="E328" s="11" t="n"/>
      <c r="F328" s="12" t="n"/>
      <c r="G328" s="12" t="n"/>
      <c r="H328" s="12" t="n"/>
      <c r="I328" s="12" t="n">
        <v>10611401</v>
      </c>
      <c r="J328" s="12" t="n"/>
      <c r="K328" s="12" t="n"/>
      <c r="L328" s="21">
        <f>SUM(F328:K328)</f>
        <v/>
      </c>
      <c r="M328" s="28" t="n">
        <v>0.9954792015356059</v>
      </c>
      <c r="N328" s="11" t="n">
        <v>2573622.31</v>
      </c>
      <c r="O328" s="11" t="n">
        <v>14081.86</v>
      </c>
      <c r="P328" s="11" t="n">
        <v>156332.53</v>
      </c>
      <c r="Q328" s="11" t="n"/>
      <c r="R328" s="21">
        <f>N328+O328+P328+N(Q328)</f>
        <v/>
      </c>
      <c r="S328" s="13" t="n">
        <v>0.01</v>
      </c>
      <c r="T328" s="21">
        <f>N(AC328)*S328</f>
        <v/>
      </c>
      <c r="U328" s="21">
        <f>N(AD328)*S328</f>
        <v/>
      </c>
      <c r="V328" s="21">
        <f>N(AE328)*S328</f>
        <v/>
      </c>
      <c r="W328" s="21">
        <f>IF(Q328="","",N(AF328)*S328)</f>
        <v/>
      </c>
      <c r="X328" s="11" t="n">
        <v>27946.43</v>
      </c>
      <c r="Y328" s="11" t="n">
        <v>7040.93</v>
      </c>
      <c r="Z328" s="11" t="n"/>
      <c r="AA328" s="21">
        <f>T328+U328+V328+N(W328)+X328+Y328+N(Z328)</f>
        <v/>
      </c>
      <c r="AB328" s="11" t="n">
        <v>190412.4084</v>
      </c>
      <c r="AC328" s="11" t="n">
        <v>2573622.31</v>
      </c>
      <c r="AD328" s="21">
        <f>O328-Y328</f>
        <v/>
      </c>
      <c r="AE328" s="21">
        <f>P328-X328</f>
        <v/>
      </c>
      <c r="AF328" s="21">
        <f>IF(Q328="","",Q328-Z328)</f>
        <v/>
      </c>
      <c r="AG328" s="22">
        <f>AC328+AD328+AE328+N(AF328)</f>
        <v/>
      </c>
      <c r="AH328" s="11" t="n">
        <v>2356209.44585</v>
      </c>
      <c r="AI328" s="24">
        <f>AG328-AH328</f>
        <v/>
      </c>
      <c r="AJ328" s="14">
        <f>IF(OR(B328="",B328=0,N328=""),"",N328/B328*10000)</f>
        <v/>
      </c>
      <c r="AK328" s="14">
        <f>IF(OR(C328="",C328=0),"",O328/C328*10000)</f>
        <v/>
      </c>
      <c r="AL328" s="14">
        <f>IF(OR(D328="",D328=0),"",P328/D328*10000)</f>
        <v/>
      </c>
      <c r="AM328" s="14">
        <f>IF(OR(E328="",E328=0),"",Q328/E328*10000)</f>
        <v/>
      </c>
      <c r="AN328" s="11" t="n">
        <v>31866.82552081789</v>
      </c>
      <c r="AO328" s="11" t="n">
        <v>0</v>
      </c>
      <c r="AP328" s="21">
        <f>AH328+AN328+AO328</f>
        <v/>
      </c>
      <c r="AQ328" s="21">
        <f>AH328</f>
        <v/>
      </c>
      <c r="AR328" s="15" t="n">
        <v>61726.58</v>
      </c>
      <c r="AS328" s="27" t="n">
        <v>38.17171542389032</v>
      </c>
      <c r="AT328" s="15" t="n">
        <v>33552212.8</v>
      </c>
      <c r="AU328" s="15" t="n">
        <v>26081.3967</v>
      </c>
      <c r="AV328" s="15" t="n">
        <v>412.6558</v>
      </c>
      <c r="AW328" s="15" t="n"/>
      <c r="AX328" s="16" t="n">
        <v>418.3291959399481</v>
      </c>
      <c r="AY328" s="13">
        <f>IF(OR(AX328="",AX328=0,AU328=""),"",AU328*365/(AX328*1000000))</f>
        <v/>
      </c>
      <c r="AZ328" s="15" t="n">
        <v>420297426.788</v>
      </c>
      <c r="BA328" s="17" t="n">
        <v>60487233</v>
      </c>
      <c r="BB328" s="18" t="n">
        <v>33552212.8</v>
      </c>
      <c r="BC328" s="17" t="n">
        <v>2971663</v>
      </c>
      <c r="BD328" s="17">
        <f>1000000000-999548029.0844+132138.8080</f>
        <v/>
      </c>
      <c r="BE328" s="19">
        <f>1000000000-AZ328-BA328-BB328-BC328-BD328</f>
        <v/>
      </c>
      <c r="BF328" s="20" t="n">
        <v>238</v>
      </c>
      <c r="BG328" s="20">
        <f>BE328/1000000-BF328</f>
        <v/>
      </c>
      <c r="BH328" s="21">
        <f>BE328*37.23</f>
        <v/>
      </c>
    </row>
    <row r="329">
      <c r="A329" s="10" t="n">
        <v>45951</v>
      </c>
      <c r="B329" s="11" t="n">
        <v>14652836609</v>
      </c>
      <c r="C329" s="11" t="n">
        <v>23310245</v>
      </c>
      <c r="D329" s="12" t="n">
        <v>354661810</v>
      </c>
      <c r="E329" s="11" t="n"/>
      <c r="F329" s="12" t="n"/>
      <c r="G329" s="12" t="n"/>
      <c r="H329" s="12" t="n"/>
      <c r="I329" s="12" t="n">
        <v>23310245</v>
      </c>
      <c r="J329" s="12" t="n"/>
      <c r="K329" s="12" t="n"/>
      <c r="L329" s="21">
        <f>SUM(F329:K329)</f>
        <v/>
      </c>
      <c r="M329" s="28" t="n">
        <v>1.001496849066799</v>
      </c>
      <c r="N329" s="11" t="n">
        <v>4325916.57</v>
      </c>
      <c r="O329" s="11" t="n">
        <v>28537.64</v>
      </c>
      <c r="P329" s="11" t="n">
        <v>193176.78</v>
      </c>
      <c r="Q329" s="11" t="n"/>
      <c r="R329" s="21">
        <f>N329+O329+P329+N(Q329)</f>
        <v/>
      </c>
      <c r="S329" s="13" t="n">
        <v>0.01</v>
      </c>
      <c r="T329" s="21">
        <f>N(AC329)*S329</f>
        <v/>
      </c>
      <c r="U329" s="21">
        <f>N(AD329)*S329</f>
        <v/>
      </c>
      <c r="V329" s="21">
        <f>N(AE329)*S329</f>
        <v/>
      </c>
      <c r="W329" s="21">
        <f>IF(Q329="","",N(AF329)*S329)</f>
        <v/>
      </c>
      <c r="X329" s="11" t="n">
        <v>35981.25</v>
      </c>
      <c r="Y329" s="11" t="n">
        <v>14268.82</v>
      </c>
      <c r="Z329" s="11" t="n"/>
      <c r="AA329" s="21">
        <f>T329+U329+V329+N(W329)+X329+Y329+N(Z329)</f>
        <v/>
      </c>
      <c r="AB329" s="11" t="n">
        <v>289308.7502</v>
      </c>
      <c r="AC329" s="11" t="n">
        <v>4325916.57</v>
      </c>
      <c r="AD329" s="21">
        <f>O329-Y329</f>
        <v/>
      </c>
      <c r="AE329" s="21">
        <f>P329-X329</f>
        <v/>
      </c>
      <c r="AF329" s="21">
        <f>IF(Q329="","",Q329-Z329)</f>
        <v/>
      </c>
      <c r="AG329" s="22">
        <f>AC329+AD329+AE329+N(AF329)</f>
        <v/>
      </c>
      <c r="AH329" s="11" t="n">
        <v>3988911.60609</v>
      </c>
      <c r="AI329" s="24">
        <f>AG329-AH329</f>
        <v/>
      </c>
      <c r="AJ329" s="14">
        <f>IF(OR(B329="",B329=0,N329=""),"",N329/B329*10000)</f>
        <v/>
      </c>
      <c r="AK329" s="14">
        <f>IF(OR(C329="",C329=0),"",O329/C329*10000)</f>
        <v/>
      </c>
      <c r="AL329" s="14">
        <f>IF(OR(D329="",D329=0),"",P329/D329*10000)</f>
        <v/>
      </c>
      <c r="AM329" s="14">
        <f>IF(OR(E329="",E329=0),"",Q329/E329*10000)</f>
        <v/>
      </c>
      <c r="AN329" s="11" t="n">
        <v>28143.9850891633</v>
      </c>
      <c r="AO329" s="11" t="n">
        <v>0</v>
      </c>
      <c r="AP329" s="21">
        <f>AH329+AN329+AO329</f>
        <v/>
      </c>
      <c r="AQ329" s="21">
        <f>AH329</f>
        <v/>
      </c>
      <c r="AR329" s="15" t="n">
        <v>108263.5</v>
      </c>
      <c r="AS329" s="27" t="n">
        <v>36.84447303190826</v>
      </c>
      <c r="AT329" s="15" t="n">
        <v>33610247.32</v>
      </c>
      <c r="AU329" s="15" t="n">
        <v>26075.5151</v>
      </c>
      <c r="AV329" s="15" t="n">
        <v>1955.7853</v>
      </c>
      <c r="AW329" s="15" t="n"/>
      <c r="AX329" s="16" t="n">
        <v>418.5148580107726</v>
      </c>
      <c r="AY329" s="13">
        <f>IF(OR(AX329="",AX329=0,AU329=""),"",AU329*365/(AX329*1000000))</f>
        <v/>
      </c>
      <c r="AZ329" s="15" t="n">
        <v>420271351.2729</v>
      </c>
      <c r="BA329" s="17" t="n">
        <v>60487233</v>
      </c>
      <c r="BB329" s="18" t="n">
        <v>33610247.32</v>
      </c>
      <c r="BC329" s="17" t="n">
        <v>2971663</v>
      </c>
      <c r="BD329" s="17">
        <f>1000000000-999546073.2991+132934.1728</f>
        <v/>
      </c>
      <c r="BE329" s="19">
        <f>1000000000-AZ329-BA329-BB329-BC329-BD329</f>
        <v/>
      </c>
      <c r="BF329" s="20" t="n">
        <v>238</v>
      </c>
      <c r="BG329" s="20">
        <f>BE329/1000000-BF329</f>
        <v/>
      </c>
      <c r="BH329" s="21">
        <f>BE329*38.01</f>
        <v/>
      </c>
    </row>
    <row r="330">
      <c r="A330" s="10" t="n">
        <v>45952</v>
      </c>
      <c r="B330" s="11" t="n">
        <v>11769029272</v>
      </c>
      <c r="C330" s="11" t="n">
        <v>36699372</v>
      </c>
      <c r="D330" s="12" t="n">
        <v>292734754</v>
      </c>
      <c r="E330" s="11" t="n"/>
      <c r="F330" s="12" t="n"/>
      <c r="G330" s="12" t="n"/>
      <c r="H330" s="12" t="n"/>
      <c r="I330" s="12" t="n">
        <v>36699372</v>
      </c>
      <c r="J330" s="12" t="n"/>
      <c r="K330" s="12" t="n"/>
      <c r="L330" s="21">
        <f>SUM(F330:K330)</f>
        <v/>
      </c>
      <c r="M330" s="28" t="n">
        <v>1.002516893416471</v>
      </c>
      <c r="N330" s="11" t="n">
        <v>3410884.02</v>
      </c>
      <c r="O330" s="11" t="n">
        <v>43235.42</v>
      </c>
      <c r="P330" s="11" t="n">
        <v>154625.79</v>
      </c>
      <c r="Q330" s="11" t="n"/>
      <c r="R330" s="21">
        <f>N330+O330+P330+N(Q330)</f>
        <v/>
      </c>
      <c r="S330" s="13" t="n">
        <v>0.01</v>
      </c>
      <c r="T330" s="21">
        <f>N(AC330)*S330</f>
        <v/>
      </c>
      <c r="U330" s="21">
        <f>N(AD330)*S330</f>
        <v/>
      </c>
      <c r="V330" s="21">
        <f>N(AE330)*S330</f>
        <v/>
      </c>
      <c r="W330" s="21">
        <f>IF(Q330="","",N(AF330)*S330)</f>
        <v/>
      </c>
      <c r="X330" s="11" t="n">
        <v>26706.23</v>
      </c>
      <c r="Y330" s="11" t="n">
        <v>21617.71</v>
      </c>
      <c r="Z330" s="11" t="n"/>
      <c r="AA330" s="21">
        <f>T330+U330+V330+N(W330)+X330+Y330+N(Z330)</f>
        <v/>
      </c>
      <c r="AB330" s="11" t="n">
        <v>175325.8373</v>
      </c>
      <c r="AC330" s="11" t="n">
        <v>3410884.02</v>
      </c>
      <c r="AD330" s="21">
        <f>O330-Y330</f>
        <v/>
      </c>
      <c r="AE330" s="21">
        <f>P330-X330</f>
        <v/>
      </c>
      <c r="AF330" s="21">
        <f>IF(Q330="","",Q330-Z330)</f>
        <v/>
      </c>
      <c r="AG330" s="22">
        <f>AC330+AD330+AE330+N(AF330)</f>
        <v/>
      </c>
      <c r="AH330" s="11" t="n">
        <v>3088332.67687</v>
      </c>
      <c r="AI330" s="24">
        <f>AG330-AH330</f>
        <v/>
      </c>
      <c r="AJ330" s="14">
        <f>IF(OR(B330="",B330=0,N330=""),"",N330/B330*10000)</f>
        <v/>
      </c>
      <c r="AK330" s="14">
        <f>IF(OR(C330="",C330=0),"",O330/C330*10000)</f>
        <v/>
      </c>
      <c r="AL330" s="14">
        <f>IF(OR(D330="",D330=0),"",P330/D330*10000)</f>
        <v/>
      </c>
      <c r="AM330" s="14">
        <f>IF(OR(E330="",E330=0),"",Q330/E330*10000)</f>
        <v/>
      </c>
      <c r="AN330" s="11" t="n">
        <v>34572.3584359891</v>
      </c>
      <c r="AO330" s="11" t="n">
        <v>0</v>
      </c>
      <c r="AP330" s="21">
        <f>AH330+AN330+AO330</f>
        <v/>
      </c>
      <c r="AQ330" s="21">
        <f>AH330</f>
        <v/>
      </c>
      <c r="AR330" s="15" t="n">
        <v>86754.64999999999</v>
      </c>
      <c r="AS330" s="27" t="n">
        <v>35.59846851863272</v>
      </c>
      <c r="AT330" s="15" t="n">
        <v>33714407.27</v>
      </c>
      <c r="AU330" s="15" t="n">
        <v>26042.0374</v>
      </c>
      <c r="AV330" s="15" t="n">
        <v>852.7009</v>
      </c>
      <c r="AW330" s="15" t="n"/>
      <c r="AX330" s="16" t="n">
        <v>418.0992026550668</v>
      </c>
      <c r="AY330" s="13">
        <f>IF(OR(AX330="",AX330=0,AU330=""),"",AU330*365/(AX330*1000000))</f>
        <v/>
      </c>
      <c r="AZ330" s="15" t="n">
        <v>420245309.2355</v>
      </c>
      <c r="BA330" s="17" t="n">
        <v>60487233</v>
      </c>
      <c r="BB330" s="18" t="n">
        <v>33714407.27</v>
      </c>
      <c r="BC330" s="17" t="n">
        <v>2971663</v>
      </c>
      <c r="BD330" s="17">
        <f>1000000000-999545220.5981+133913.2824</f>
        <v/>
      </c>
      <c r="BE330" s="19">
        <f>1000000000-AZ330-BA330-BB330-BC330-BD330</f>
        <v/>
      </c>
      <c r="BF330" s="20" t="n">
        <v>238</v>
      </c>
      <c r="BG330" s="20">
        <f>BE330/1000000-BF330</f>
        <v/>
      </c>
      <c r="BH330" s="21">
        <f>BE330*34.9</f>
        <v/>
      </c>
    </row>
    <row r="331">
      <c r="A331" s="10" t="n">
        <v>45953</v>
      </c>
      <c r="B331" s="11" t="n">
        <v>8799210965</v>
      </c>
      <c r="C331" s="11" t="n">
        <v>30172562</v>
      </c>
      <c r="D331" s="12" t="n">
        <v>277126381</v>
      </c>
      <c r="E331" s="11" t="n"/>
      <c r="F331" s="12" t="n"/>
      <c r="G331" s="12" t="n"/>
      <c r="H331" s="12" t="n"/>
      <c r="I331" s="12" t="n">
        <v>30172562</v>
      </c>
      <c r="J331" s="12" t="n"/>
      <c r="K331" s="12" t="n"/>
      <c r="L331" s="21">
        <f>SUM(F331:K331)</f>
        <v/>
      </c>
      <c r="M331" s="28" t="n">
        <v>0.9937381461255518</v>
      </c>
      <c r="N331" s="11" t="n">
        <v>2652339.12</v>
      </c>
      <c r="O331" s="11" t="n">
        <v>35686.58</v>
      </c>
      <c r="P331" s="11" t="n">
        <v>168001.79</v>
      </c>
      <c r="Q331" s="11" t="n"/>
      <c r="R331" s="21">
        <f>N331+O331+P331+N(Q331)</f>
        <v/>
      </c>
      <c r="S331" s="13" t="n">
        <v>0.01</v>
      </c>
      <c r="T331" s="21">
        <f>N(AC331)*S331</f>
        <v/>
      </c>
      <c r="U331" s="21">
        <f>N(AD331)*S331</f>
        <v/>
      </c>
      <c r="V331" s="21">
        <f>N(AE331)*S331</f>
        <v/>
      </c>
      <c r="W331" s="21">
        <f>IF(Q331="","",N(AF331)*S331)</f>
        <v/>
      </c>
      <c r="X331" s="11" t="n">
        <v>23576.65</v>
      </c>
      <c r="Y331" s="11" t="n">
        <v>17843.29</v>
      </c>
      <c r="Z331" s="11" t="n"/>
      <c r="AA331" s="21">
        <f>T331+U331+V331+N(W331)+X331+Y331+N(Z331)</f>
        <v/>
      </c>
      <c r="AB331" s="11" t="n">
        <v>185231.7706</v>
      </c>
      <c r="AC331" s="11" t="n">
        <v>2652339.12</v>
      </c>
      <c r="AD331" s="21">
        <f>O331-Y331</f>
        <v/>
      </c>
      <c r="AE331" s="21">
        <f>P331-X331</f>
        <v/>
      </c>
      <c r="AF331" s="21">
        <f>IF(Q331="","",Q331-Z331)</f>
        <v/>
      </c>
      <c r="AG331" s="22">
        <f>AC331+AD331+AE331+N(AF331)</f>
        <v/>
      </c>
      <c r="AH331" s="11" t="n">
        <v>2477734.27137</v>
      </c>
      <c r="AI331" s="24">
        <f>AG331-AH331</f>
        <v/>
      </c>
      <c r="AJ331" s="14">
        <f>IF(OR(B331="",B331=0,N331=""),"",N331/B331*10000)</f>
        <v/>
      </c>
      <c r="AK331" s="14">
        <f>IF(OR(C331="",C331=0),"",O331/C331*10000)</f>
        <v/>
      </c>
      <c r="AL331" s="14">
        <f>IF(OR(D331="",D331=0),"",P331/D331*10000)</f>
        <v/>
      </c>
      <c r="AM331" s="14">
        <f>IF(OR(E331="",E331=0),"",Q331/E331*10000)</f>
        <v/>
      </c>
      <c r="AN331" s="11" t="n">
        <v>119622.5094301594</v>
      </c>
      <c r="AO331" s="11" t="n">
        <v>23626.25</v>
      </c>
      <c r="AP331" s="21">
        <f>AH331+AN331+AO331</f>
        <v/>
      </c>
      <c r="AQ331" s="21">
        <f>AH331</f>
        <v/>
      </c>
      <c r="AR331" s="15" t="n">
        <v>63430.91</v>
      </c>
      <c r="AS331" s="27" t="n">
        <v>39.06193796321069</v>
      </c>
      <c r="AT331" s="15" t="n">
        <v>33798678.78</v>
      </c>
      <c r="AU331" s="15" t="n">
        <v>26080.1532</v>
      </c>
      <c r="AV331" s="15" t="n">
        <v>2114.4851</v>
      </c>
      <c r="AW331" s="15" t="n"/>
      <c r="AX331" s="16" t="n">
        <v>417.8276510994119</v>
      </c>
      <c r="AY331" s="13">
        <f>IF(OR(AX331="",AX331=0,AU331=""),"",AU331*365/(AX331*1000000))</f>
        <v/>
      </c>
      <c r="AZ331" s="15" t="n">
        <v>420219229.0823</v>
      </c>
      <c r="BA331" s="17" t="n">
        <v>60487233</v>
      </c>
      <c r="BB331" s="18" t="n">
        <v>33798678.78</v>
      </c>
      <c r="BC331" s="17" t="n">
        <v>2971663</v>
      </c>
      <c r="BD331" s="17">
        <f>1000000000-999543106.113+136885.3440</f>
        <v/>
      </c>
      <c r="BE331" s="19">
        <f>1000000000-AZ331-BA331-BB331-BC331-BD331</f>
        <v/>
      </c>
      <c r="BF331" s="20" t="n">
        <v>238</v>
      </c>
      <c r="BG331" s="20">
        <f>BE331/1000000-BF331</f>
        <v/>
      </c>
      <c r="BH331" s="21">
        <f>BE331*36.79</f>
        <v/>
      </c>
    </row>
    <row r="332">
      <c r="A332" s="10" t="n">
        <v>45954</v>
      </c>
      <c r="B332" s="11" t="n">
        <v>6800341602</v>
      </c>
      <c r="C332" s="11" t="n">
        <v>27345918</v>
      </c>
      <c r="D332" s="12" t="n">
        <v>183360265</v>
      </c>
      <c r="E332" s="11" t="n"/>
      <c r="F332" s="12" t="n"/>
      <c r="G332" s="12" t="n"/>
      <c r="H332" s="12" t="n"/>
      <c r="I332" s="12" t="n">
        <v>27345918</v>
      </c>
      <c r="J332" s="12" t="n"/>
      <c r="K332" s="12" t="n"/>
      <c r="L332" s="21">
        <f>SUM(F332:K332)</f>
        <v/>
      </c>
      <c r="M332" s="28" t="n">
        <v>0.998361806732417</v>
      </c>
      <c r="N332" s="11" t="n">
        <v>2089041.3</v>
      </c>
      <c r="O332" s="11" t="n">
        <v>31009.12</v>
      </c>
      <c r="P332" s="11" t="n">
        <v>105082.31</v>
      </c>
      <c r="Q332" s="11" t="n"/>
      <c r="R332" s="21">
        <f>N332+O332+P332+N(Q332)</f>
        <v/>
      </c>
      <c r="S332" s="13" t="n">
        <v>0.01</v>
      </c>
      <c r="T332" s="21">
        <f>N(AC332)*S332</f>
        <v/>
      </c>
      <c r="U332" s="21">
        <f>N(AD332)*S332</f>
        <v/>
      </c>
      <c r="V332" s="21">
        <f>N(AE332)*S332</f>
        <v/>
      </c>
      <c r="W332" s="21">
        <f>IF(Q332="","",N(AF332)*S332)</f>
        <v/>
      </c>
      <c r="X332" s="11" t="n">
        <v>21361.45</v>
      </c>
      <c r="Y332" s="11" t="n">
        <v>15504.56</v>
      </c>
      <c r="Z332" s="11" t="n"/>
      <c r="AA332" s="21">
        <f>T332+U332+V332+N(W332)+X332+Y332+N(Z332)</f>
        <v/>
      </c>
      <c r="AB332" s="11" t="n">
        <v>191444.3642</v>
      </c>
      <c r="AC332" s="11" t="n">
        <v>2089041.3</v>
      </c>
      <c r="AD332" s="21">
        <f>O332-Y332</f>
        <v/>
      </c>
      <c r="AE332" s="21">
        <f>P332-X332</f>
        <v/>
      </c>
      <c r="AF332" s="21">
        <f>IF(Q332="","",Q332-Z332)</f>
        <v/>
      </c>
      <c r="AG332" s="22">
        <f>AC332+AD332+AE332+N(AF332)</f>
        <v/>
      </c>
      <c r="AH332" s="11" t="n">
        <v>2006758.3182</v>
      </c>
      <c r="AI332" s="24">
        <f>AG332-AH332</f>
        <v/>
      </c>
      <c r="AJ332" s="14">
        <f>IF(OR(B332="",B332=0,N332=""),"",N332/B332*10000)</f>
        <v/>
      </c>
      <c r="AK332" s="14">
        <f>IF(OR(C332="",C332=0),"",O332/C332*10000)</f>
        <v/>
      </c>
      <c r="AL332" s="14">
        <f>IF(OR(D332="",D332=0),"",P332/D332*10000)</f>
        <v/>
      </c>
      <c r="AM332" s="14">
        <f>IF(OR(E332="",E332=0),"",Q332/E332*10000)</f>
        <v/>
      </c>
      <c r="AN332" s="11" t="n">
        <v>16159.27581826643</v>
      </c>
      <c r="AO332" s="11" t="n">
        <v>0</v>
      </c>
      <c r="AP332" s="21">
        <f>AH332+AN332+AO332</f>
        <v/>
      </c>
      <c r="AQ332" s="21">
        <f>AH332</f>
        <v/>
      </c>
      <c r="AR332" s="15" t="n">
        <v>50463.82</v>
      </c>
      <c r="AS332" s="27" t="n">
        <v>39.7662784585075</v>
      </c>
      <c r="AT332" s="15" t="n">
        <v>33858352.09</v>
      </c>
      <c r="AU332" s="15" t="n">
        <v>26111.7184</v>
      </c>
      <c r="AV332" s="15" t="n">
        <v>1712.4665</v>
      </c>
      <c r="AW332" s="15" t="n"/>
      <c r="AX332" s="16" t="n">
        <v>417.7683751393521</v>
      </c>
      <c r="AY332" s="13">
        <f>IF(OR(AX332="",AX332=0,AU332=""),"",AU332*365/(AX332*1000000))</f>
        <v/>
      </c>
      <c r="AZ332" s="15" t="n">
        <v>420193117.3638</v>
      </c>
      <c r="BA332" s="17" t="n">
        <v>60487233</v>
      </c>
      <c r="BB332" s="18" t="n">
        <v>33858352.09</v>
      </c>
      <c r="BC332" s="17" t="n">
        <v>2971663</v>
      </c>
      <c r="BD332" s="17">
        <f>1000000000-999541393.6465+137296.2601</f>
        <v/>
      </c>
      <c r="BE332" s="19">
        <f>1000000000-AZ332-BA332-BB332-BC332-BD332</f>
        <v/>
      </c>
      <c r="BF332" s="20" t="n">
        <v>238</v>
      </c>
      <c r="BG332" s="20">
        <f>BE332/1000000-BF332</f>
        <v/>
      </c>
      <c r="BH332" s="21">
        <f>BE332*40.28</f>
        <v/>
      </c>
    </row>
    <row r="333">
      <c r="A333" s="10" t="n">
        <v>45955</v>
      </c>
      <c r="B333" s="11" t="n">
        <v>3249386503</v>
      </c>
      <c r="C333" s="11" t="n">
        <v>48997606</v>
      </c>
      <c r="D333" s="12" t="n">
        <v>174559654</v>
      </c>
      <c r="E333" s="11" t="n"/>
      <c r="F333" s="12" t="n"/>
      <c r="G333" s="12" t="n"/>
      <c r="H333" s="12" t="n"/>
      <c r="I333" s="12" t="n">
        <v>48997606</v>
      </c>
      <c r="J333" s="12" t="n"/>
      <c r="K333" s="12" t="n"/>
      <c r="L333" s="21">
        <f>SUM(F333:K333)</f>
        <v/>
      </c>
      <c r="M333" s="28" t="n">
        <v>1.000333482836825</v>
      </c>
      <c r="N333" s="11" t="n">
        <v>1074441.72</v>
      </c>
      <c r="O333" s="11" t="n">
        <v>55163.38</v>
      </c>
      <c r="P333" s="11" t="n">
        <v>103153.95</v>
      </c>
      <c r="Q333" s="11" t="n"/>
      <c r="R333" s="21">
        <f>N333+O333+P333+N(Q333)</f>
        <v/>
      </c>
      <c r="S333" s="13" t="n">
        <v>0.01</v>
      </c>
      <c r="T333" s="21">
        <f>N(AC333)*S333</f>
        <v/>
      </c>
      <c r="U333" s="21">
        <f>N(AD333)*S333</f>
        <v/>
      </c>
      <c r="V333" s="21">
        <f>N(AE333)*S333</f>
        <v/>
      </c>
      <c r="W333" s="21">
        <f>IF(Q333="","",N(AF333)*S333)</f>
        <v/>
      </c>
      <c r="X333" s="11" t="n">
        <v>16959.6</v>
      </c>
      <c r="Y333" s="11" t="n">
        <v>27581.69</v>
      </c>
      <c r="Z333" s="11" t="n"/>
      <c r="AA333" s="21">
        <f>T333+U333+V333+N(W333)+X333+Y333+N(Z333)</f>
        <v/>
      </c>
      <c r="AB333" s="11" t="n">
        <v>112960.774</v>
      </c>
      <c r="AC333" s="11" t="n">
        <v>1074441.72</v>
      </c>
      <c r="AD333" s="21">
        <f>O333-Y333</f>
        <v/>
      </c>
      <c r="AE333" s="21">
        <f>P333-X333</f>
        <v/>
      </c>
      <c r="AF333" s="21">
        <f>IF(Q333="","",Q333-Z333)</f>
        <v/>
      </c>
      <c r="AG333" s="22">
        <f>AC333+AD333+AE333+N(AF333)</f>
        <v/>
      </c>
      <c r="AH333" s="11" t="n">
        <v>989708.01429</v>
      </c>
      <c r="AI333" s="24">
        <f>AG333-AH333</f>
        <v/>
      </c>
      <c r="AJ333" s="14">
        <f>IF(OR(B333="",B333=0,N333=""),"",N333/B333*10000)</f>
        <v/>
      </c>
      <c r="AK333" s="14">
        <f>IF(OR(C333="",C333=0),"",O333/C333*10000)</f>
        <v/>
      </c>
      <c r="AL333" s="14">
        <f>IF(OR(D333="",D333=0),"",P333/D333*10000)</f>
        <v/>
      </c>
      <c r="AM333" s="14">
        <f>IF(OR(E333="",E333=0),"",Q333/E333*10000)</f>
        <v/>
      </c>
      <c r="AN333" s="11" t="n">
        <v>18716.72102899493</v>
      </c>
      <c r="AO333" s="11" t="n">
        <v>28822.11</v>
      </c>
      <c r="AP333" s="21">
        <f>AH333+AN333+AO333</f>
        <v/>
      </c>
      <c r="AQ333" s="21">
        <f>AH333</f>
        <v/>
      </c>
      <c r="AR333" s="15" t="n">
        <v>23900.16</v>
      </c>
      <c r="AS333" s="27" t="n">
        <v>41.4100999445192</v>
      </c>
      <c r="AT333" s="15" t="n">
        <v>33906947.56</v>
      </c>
      <c r="AU333" s="15" t="n">
        <v>26119.6365</v>
      </c>
      <c r="AV333" s="15" t="n">
        <v>1123.6321</v>
      </c>
      <c r="AW333" s="15" t="n"/>
      <c r="AX333" s="16" t="n">
        <v>417.4827391003871</v>
      </c>
      <c r="AY333" s="13">
        <f>IF(OR(AX333="",AX333=0,AU333=""),"",AU333*365/(AX333*1000000))</f>
        <v/>
      </c>
      <c r="AZ333" s="15" t="n">
        <v>420166997.7274</v>
      </c>
      <c r="BA333" s="17" t="n">
        <v>60487233</v>
      </c>
      <c r="BB333" s="18" t="n">
        <v>33906947.56</v>
      </c>
      <c r="BC333" s="17" t="n">
        <v>2971663</v>
      </c>
      <c r="BD333" s="17">
        <f>1000000000-999540270.0144+137719.0076</f>
        <v/>
      </c>
      <c r="BE333" s="19">
        <f>1000000000-AZ333-BA333-BB333-BC333-BD333</f>
        <v/>
      </c>
      <c r="BF333" s="20" t="n">
        <v>238</v>
      </c>
      <c r="BG333" s="20">
        <f>BE333/1000000-BF333</f>
        <v/>
      </c>
      <c r="BH333" s="21">
        <f>BE333*38.98</f>
        <v/>
      </c>
    </row>
    <row r="334">
      <c r="A334" s="10" t="n">
        <v>45956</v>
      </c>
      <c r="B334" s="11" t="n">
        <v>6198381579</v>
      </c>
      <c r="C334" s="11" t="n">
        <v>47016155</v>
      </c>
      <c r="D334" s="12" t="n">
        <v>250980235</v>
      </c>
      <c r="E334" s="11" t="n"/>
      <c r="F334" s="12" t="n"/>
      <c r="G334" s="12" t="n"/>
      <c r="H334" s="12" t="n"/>
      <c r="I334" s="12" t="n">
        <v>47016155</v>
      </c>
      <c r="J334" s="12" t="n"/>
      <c r="K334" s="12" t="n"/>
      <c r="L334" s="21">
        <f>SUM(F334:K334)</f>
        <v/>
      </c>
      <c r="M334" s="28" t="n">
        <v>0.9958288758311178</v>
      </c>
      <c r="N334" s="11" t="n">
        <v>1955665.44</v>
      </c>
      <c r="O334" s="11" t="n">
        <v>50033.74</v>
      </c>
      <c r="P334" s="11" t="n">
        <v>131638.81</v>
      </c>
      <c r="Q334" s="11" t="n"/>
      <c r="R334" s="21">
        <f>N334+O334+P334+N(Q334)</f>
        <v/>
      </c>
      <c r="S334" s="13" t="n">
        <v>0.01</v>
      </c>
      <c r="T334" s="21">
        <f>N(AC334)*S334</f>
        <v/>
      </c>
      <c r="U334" s="21">
        <f>N(AD334)*S334</f>
        <v/>
      </c>
      <c r="V334" s="21">
        <f>N(AE334)*S334</f>
        <v/>
      </c>
      <c r="W334" s="21">
        <f>IF(Q334="","",N(AF334)*S334)</f>
        <v/>
      </c>
      <c r="X334" s="11" t="n">
        <v>17581.06</v>
      </c>
      <c r="Y334" s="11" t="n">
        <v>25016.87</v>
      </c>
      <c r="Z334" s="11" t="n"/>
      <c r="AA334" s="21">
        <f>T334+U334+V334+N(W334)+X334+Y334+N(Z334)</f>
        <v/>
      </c>
      <c r="AB334" s="11" t="n">
        <v>175760.0794</v>
      </c>
      <c r="AC334" s="11" t="n">
        <v>1955665.44</v>
      </c>
      <c r="AD334" s="21">
        <f>O334-Y334</f>
        <v/>
      </c>
      <c r="AE334" s="21">
        <f>P334-X334</f>
        <v/>
      </c>
      <c r="AF334" s="21">
        <f>IF(Q334="","",Q334-Z334)</f>
        <v/>
      </c>
      <c r="AG334" s="22">
        <f>AC334+AD334+AE334+N(AF334)</f>
        <v/>
      </c>
      <c r="AH334" s="11" t="n">
        <v>1881476.25411</v>
      </c>
      <c r="AI334" s="24">
        <f>AG334-AH334</f>
        <v/>
      </c>
      <c r="AJ334" s="14">
        <f>IF(OR(B334="",B334=0,N334=""),"",N334/B334*10000)</f>
        <v/>
      </c>
      <c r="AK334" s="14">
        <f>IF(OR(C334="",C334=0),"",O334/C334*10000)</f>
        <v/>
      </c>
      <c r="AL334" s="14">
        <f>IF(OR(D334="",D334=0),"",P334/D334*10000)</f>
        <v/>
      </c>
      <c r="AM334" s="14">
        <f>IF(OR(E334="",E334=0),"",Q334/E334*10000)</f>
        <v/>
      </c>
      <c r="AN334" s="11" t="n">
        <v>34682.10361590769</v>
      </c>
      <c r="AO334" s="11" t="n">
        <v>42638.05</v>
      </c>
      <c r="AP334" s="21">
        <f>AH334+AN334+AO334</f>
        <v/>
      </c>
      <c r="AQ334" s="21">
        <f>AH334</f>
        <v/>
      </c>
      <c r="AR334" s="15" t="n">
        <v>40200.85</v>
      </c>
      <c r="AS334" s="27" t="n">
        <v>46.80190230082199</v>
      </c>
      <c r="AT334" s="15" t="n">
        <v>33930325.96</v>
      </c>
      <c r="AU334" s="15" t="n">
        <v>26119.244</v>
      </c>
      <c r="AV334" s="15" t="n">
        <v>1153.0696</v>
      </c>
      <c r="AW334" s="15" t="n"/>
      <c r="AX334" s="16" t="n">
        <v>417.7311095112392</v>
      </c>
      <c r="AY334" s="13">
        <f>IF(OR(AX334="",AX334=0,AU334=""),"",AU334*365/(AX334*1000000))</f>
        <v/>
      </c>
      <c r="AZ334" s="15" t="n">
        <v>420140878.4834</v>
      </c>
      <c r="BA334" s="17" t="n">
        <v>60487233</v>
      </c>
      <c r="BB334" s="18" t="n">
        <v>33930325.96</v>
      </c>
      <c r="BC334" s="17" t="n">
        <v>2971663</v>
      </c>
      <c r="BD334" s="17">
        <f>1000000000-999539116.9448+138451.7333</f>
        <v/>
      </c>
      <c r="BE334" s="19">
        <f>1000000000-AZ334-BA334-BB334-BC334-BD334</f>
        <v/>
      </c>
      <c r="BF334" s="20" t="n">
        <v>238</v>
      </c>
      <c r="BG334" s="20">
        <f>BE334/1000000-BF334</f>
        <v/>
      </c>
      <c r="BH334" s="21">
        <f>BE334*44.21</f>
        <v/>
      </c>
    </row>
    <row r="335">
      <c r="A335" s="10" t="n">
        <v>45957</v>
      </c>
      <c r="B335" s="11" t="n">
        <v>8411267596</v>
      </c>
      <c r="C335" s="11" t="n">
        <v>65446643</v>
      </c>
      <c r="D335" s="12" t="n">
        <v>299657027</v>
      </c>
      <c r="E335" s="11" t="n"/>
      <c r="F335" s="12" t="n"/>
      <c r="G335" s="12" t="n"/>
      <c r="H335" s="12" t="n"/>
      <c r="I335" s="12" t="n">
        <v>65446643</v>
      </c>
      <c r="J335" s="12" t="n"/>
      <c r="K335" s="12" t="n"/>
      <c r="L335" s="21">
        <f>SUM(F335:K335)</f>
        <v/>
      </c>
      <c r="M335" s="28" t="n">
        <v>0.9953000107588647</v>
      </c>
      <c r="N335" s="11" t="n">
        <v>2470047.2</v>
      </c>
      <c r="O335" s="11" t="n">
        <v>65939.10000000001</v>
      </c>
      <c r="P335" s="11" t="n">
        <v>157767.85</v>
      </c>
      <c r="Q335" s="11" t="n"/>
      <c r="R335" s="21">
        <f>N335+O335+P335+N(Q335)</f>
        <v/>
      </c>
      <c r="S335" s="13" t="n">
        <v>0.01</v>
      </c>
      <c r="T335" s="21">
        <f>N(AC335)*S335</f>
        <v/>
      </c>
      <c r="U335" s="21">
        <f>N(AD335)*S335</f>
        <v/>
      </c>
      <c r="V335" s="21">
        <f>N(AE335)*S335</f>
        <v/>
      </c>
      <c r="W335" s="21">
        <f>IF(Q335="","",N(AF335)*S335)</f>
        <v/>
      </c>
      <c r="X335" s="11" t="n">
        <v>24013.61</v>
      </c>
      <c r="Y335" s="11" t="n">
        <v>32969.55</v>
      </c>
      <c r="Z335" s="11" t="n"/>
      <c r="AA335" s="21">
        <f>T335+U335+V335+N(W335)+X335+Y335+N(Z335)</f>
        <v/>
      </c>
      <c r="AB335" s="11" t="n">
        <v>223909.5333</v>
      </c>
      <c r="AC335" s="11" t="n">
        <v>2470047.2</v>
      </c>
      <c r="AD335" s="21">
        <f>O335-Y335</f>
        <v/>
      </c>
      <c r="AE335" s="21">
        <f>P335-X335</f>
        <v/>
      </c>
      <c r="AF335" s="21">
        <f>IF(Q335="","",Q335-Z335)</f>
        <v/>
      </c>
      <c r="AG335" s="22">
        <f>AC335+AD335+AE335+N(AF335)</f>
        <v/>
      </c>
      <c r="AH335" s="11" t="n">
        <v>2485119.65814</v>
      </c>
      <c r="AI335" s="24">
        <f>AG335-AH335</f>
        <v/>
      </c>
      <c r="AJ335" s="14">
        <f>IF(OR(B335="",B335=0,N335=""),"",N335/B335*10000)</f>
        <v/>
      </c>
      <c r="AK335" s="14">
        <f>IF(OR(C335="",C335=0),"",O335/C335*10000)</f>
        <v/>
      </c>
      <c r="AL335" s="14">
        <f>IF(OR(D335="",D335=0),"",P335/D335*10000)</f>
        <v/>
      </c>
      <c r="AM335" s="14">
        <f>IF(OR(E335="",E335=0),"",Q335/E335*10000)</f>
        <v/>
      </c>
      <c r="AN335" s="11" t="n">
        <v>53328.08633295984</v>
      </c>
      <c r="AO335" s="11" t="n">
        <v>0</v>
      </c>
      <c r="AP335" s="21">
        <f>AH335+AN335+AO335</f>
        <v/>
      </c>
      <c r="AQ335" s="21">
        <f>AH335</f>
        <v/>
      </c>
      <c r="AR335" s="15" t="n">
        <v>52411.15</v>
      </c>
      <c r="AS335" s="27" t="n">
        <v>47.41585823131147</v>
      </c>
      <c r="AT335" s="15" t="n">
        <v>33981239.81</v>
      </c>
      <c r="AU335" s="15" t="n">
        <v>30771.3676</v>
      </c>
      <c r="AV335" s="15" t="n">
        <v>1937.3233</v>
      </c>
      <c r="AW335" s="15" t="n"/>
      <c r="AX335" s="16" t="n">
        <v>417.8275312463771</v>
      </c>
      <c r="AY335" s="13">
        <f>IF(OR(AX335="",AX335=0,AU335=""),"",AU335*365/(AX335*1000000))</f>
        <v/>
      </c>
      <c r="AZ335" s="15" t="n">
        <v>420110107.1157</v>
      </c>
      <c r="BA335" s="17" t="n">
        <v>60487233</v>
      </c>
      <c r="BB335" s="18" t="n">
        <v>33981239.81</v>
      </c>
      <c r="BC335" s="17" t="n">
        <v>2971663</v>
      </c>
      <c r="BD335" s="17">
        <f>1000000000-999537179.6215+139596.0146</f>
        <v/>
      </c>
      <c r="BE335" s="19">
        <f>1000000000-AZ335-BA335-BB335-BC335-BD335</f>
        <v/>
      </c>
      <c r="BF335" s="20" t="n">
        <v>238</v>
      </c>
      <c r="BG335" s="20">
        <f>BE335/1000000-BF335</f>
        <v/>
      </c>
      <c r="BH335" s="21">
        <f>BE335*49.16</f>
        <v/>
      </c>
    </row>
    <row r="336">
      <c r="A336" s="10" t="n">
        <v>45958</v>
      </c>
      <c r="B336" s="11" t="n">
        <v>9800694355</v>
      </c>
      <c r="C336" s="11" t="n">
        <v>80478854</v>
      </c>
      <c r="D336" s="12" t="n">
        <v>309914355</v>
      </c>
      <c r="E336" s="11" t="n"/>
      <c r="F336" s="12" t="n"/>
      <c r="G336" s="12" t="n"/>
      <c r="H336" s="12" t="n"/>
      <c r="I336" s="12" t="n">
        <v>80478854</v>
      </c>
      <c r="J336" s="12" t="n"/>
      <c r="K336" s="12" t="n"/>
      <c r="L336" s="21">
        <f>SUM(F336:K336)</f>
        <v/>
      </c>
      <c r="M336" s="28" t="n">
        <v>0.9959071661169884</v>
      </c>
      <c r="N336" s="11" t="n">
        <v>3023627.58</v>
      </c>
      <c r="O336" s="11" t="n">
        <v>86648.8</v>
      </c>
      <c r="P336" s="11" t="n">
        <v>179189.58</v>
      </c>
      <c r="Q336" s="11" t="n"/>
      <c r="R336" s="21">
        <f>N336+O336+P336+N(Q336)</f>
        <v/>
      </c>
      <c r="S336" s="13" t="n">
        <v>0.01</v>
      </c>
      <c r="T336" s="21">
        <f>N(AC336)*S336</f>
        <v/>
      </c>
      <c r="U336" s="21">
        <f>N(AD336)*S336</f>
        <v/>
      </c>
      <c r="V336" s="21">
        <f>N(AE336)*S336</f>
        <v/>
      </c>
      <c r="W336" s="21">
        <f>IF(Q336="","",N(AF336)*S336)</f>
        <v/>
      </c>
      <c r="X336" s="11" t="n">
        <v>34557.87</v>
      </c>
      <c r="Y336" s="11" t="n">
        <v>43324.4</v>
      </c>
      <c r="Z336" s="11" t="n"/>
      <c r="AA336" s="21">
        <f>T336+U336+V336+N(W336)+X336+Y336+N(Z336)</f>
        <v/>
      </c>
      <c r="AB336" s="11" t="n">
        <v>282229.5419</v>
      </c>
      <c r="AC336" s="11" t="n">
        <v>3023627.58</v>
      </c>
      <c r="AD336" s="21">
        <f>O336-Y336</f>
        <v/>
      </c>
      <c r="AE336" s="21">
        <f>P336-X336</f>
        <v/>
      </c>
      <c r="AF336" s="21">
        <f>IF(Q336="","",Q336-Z336)</f>
        <v/>
      </c>
      <c r="AG336" s="22">
        <f>AC336+AD336+AE336+N(AF336)</f>
        <v/>
      </c>
      <c r="AH336" s="11" t="n">
        <v>2746596.55191</v>
      </c>
      <c r="AI336" s="24">
        <f>AG336-AH336</f>
        <v/>
      </c>
      <c r="AJ336" s="14">
        <f>IF(OR(B336="",B336=0,N336=""),"",N336/B336*10000)</f>
        <v/>
      </c>
      <c r="AK336" s="14">
        <f>IF(OR(C336="",C336=0),"",O336/C336*10000)</f>
        <v/>
      </c>
      <c r="AL336" s="14">
        <f>IF(OR(D336="",D336=0),"",P336/D336*10000)</f>
        <v/>
      </c>
      <c r="AM336" s="14">
        <f>IF(OR(E336="",E336=0),"",Q336/E336*10000)</f>
        <v/>
      </c>
      <c r="AN336" s="11" t="n">
        <v>41219.04381132712</v>
      </c>
      <c r="AO336" s="11" t="n">
        <v>0</v>
      </c>
      <c r="AP336" s="21">
        <f>AH336+AN336+AO336</f>
        <v/>
      </c>
      <c r="AQ336" s="21">
        <f>AH336</f>
        <v/>
      </c>
      <c r="AR336" s="15" t="n">
        <v>57848.3</v>
      </c>
      <c r="AS336" s="27" t="n">
        <v>47.47929588095069</v>
      </c>
      <c r="AT336" s="15" t="n">
        <v>34026899.08</v>
      </c>
      <c r="AU336" s="15" t="n">
        <v>21505.2152</v>
      </c>
      <c r="AV336" s="15" t="n">
        <v>2987.1464</v>
      </c>
      <c r="AW336" s="15" t="n"/>
      <c r="AX336" s="16" t="n">
        <v>417.6905724916415</v>
      </c>
      <c r="AY336" s="13">
        <f>IF(OR(AX336="",AX336=0,AU336=""),"",AU336*365/(AX336*1000000))</f>
        <v/>
      </c>
      <c r="AZ336" s="15" t="n">
        <v>420088601.9005</v>
      </c>
      <c r="BA336" s="17" t="n">
        <v>60487233</v>
      </c>
      <c r="BB336" s="18" t="n">
        <v>34026899.08</v>
      </c>
      <c r="BC336" s="17" t="n">
        <v>2971663</v>
      </c>
      <c r="BD336" s="17">
        <f>1000000000-999534192.4751+140460.7074</f>
        <v/>
      </c>
      <c r="BE336" s="19">
        <f>1000000000-AZ336-BA336-BB336-BC336-BD336</f>
        <v/>
      </c>
      <c r="BF336" s="20" t="n">
        <v>238</v>
      </c>
      <c r="BG336" s="20">
        <f>BE336/1000000-BF336</f>
        <v/>
      </c>
      <c r="BH336" s="21">
        <f>BE336*46.81</f>
        <v/>
      </c>
    </row>
    <row r="337">
      <c r="A337" s="10" t="n">
        <v>45959</v>
      </c>
      <c r="B337" s="11" t="n">
        <v>11021600474</v>
      </c>
      <c r="C337" s="11" t="n">
        <v>94293418</v>
      </c>
      <c r="D337" s="12" t="n">
        <v>299660704</v>
      </c>
      <c r="E337" s="11" t="n"/>
      <c r="F337" s="12" t="n"/>
      <c r="G337" s="12" t="n"/>
      <c r="H337" s="12" t="n"/>
      <c r="I337" s="12" t="n">
        <v>94293418</v>
      </c>
      <c r="J337" s="12" t="n"/>
      <c r="K337" s="12" t="n"/>
      <c r="L337" s="21">
        <f>SUM(F337:K337)</f>
        <v/>
      </c>
      <c r="M337" s="28" t="n">
        <v>0.9995424984908858</v>
      </c>
      <c r="N337" s="11" t="n">
        <v>3305880.37</v>
      </c>
      <c r="O337" s="11" t="n">
        <v>96796.96000000001</v>
      </c>
      <c r="P337" s="11" t="n">
        <v>182332.19</v>
      </c>
      <c r="Q337" s="11" t="n"/>
      <c r="R337" s="21">
        <f>N337+O337+P337+N(Q337)</f>
        <v/>
      </c>
      <c r="S337" s="13" t="n">
        <v>0.01</v>
      </c>
      <c r="T337" s="21">
        <f>N(AC337)*S337</f>
        <v/>
      </c>
      <c r="U337" s="21">
        <f>N(AD337)*S337</f>
        <v/>
      </c>
      <c r="V337" s="21">
        <f>N(AE337)*S337</f>
        <v/>
      </c>
      <c r="W337" s="21">
        <f>IF(Q337="","",N(AF337)*S337)</f>
        <v/>
      </c>
      <c r="X337" s="11" t="n">
        <v>33627.61</v>
      </c>
      <c r="Y337" s="11" t="n">
        <v>48398.48</v>
      </c>
      <c r="Z337" s="11" t="n"/>
      <c r="AA337" s="21">
        <f>T337+U337+V337+N(W337)+X337+Y337+N(Z337)</f>
        <v/>
      </c>
      <c r="AB337" s="11" t="n">
        <v>273926.6648</v>
      </c>
      <c r="AC337" s="11" t="n">
        <v>3305880.37</v>
      </c>
      <c r="AD337" s="21">
        <f>O337-Y337</f>
        <v/>
      </c>
      <c r="AE337" s="21">
        <f>P337-X337</f>
        <v/>
      </c>
      <c r="AF337" s="21">
        <f>IF(Q337="","",Q337-Z337)</f>
        <v/>
      </c>
      <c r="AG337" s="22">
        <f>AC337+AD337+AE337+N(AF337)</f>
        <v/>
      </c>
      <c r="AH337" s="11" t="n">
        <v>3030139.75</v>
      </c>
      <c r="AI337" s="24">
        <f>AG337-AH337</f>
        <v/>
      </c>
      <c r="AJ337" s="14">
        <f>IF(OR(B337="",B337=0,N337=""),"",N337/B337*10000)</f>
        <v/>
      </c>
      <c r="AK337" s="14">
        <f>IF(OR(C337="",C337=0),"",O337/C337*10000)</f>
        <v/>
      </c>
      <c r="AL337" s="14">
        <f>IF(OR(D337="",D337=0),"",P337/D337*10000)</f>
        <v/>
      </c>
      <c r="AM337" s="14">
        <f>IF(OR(E337="",E337=0),"",Q337/E337*10000)</f>
        <v/>
      </c>
      <c r="AN337" s="11" t="n">
        <v>64687.93868420767</v>
      </c>
      <c r="AO337" s="11" t="n">
        <v>0</v>
      </c>
      <c r="AP337" s="21">
        <f>AH337+AN337+AO337</f>
        <v/>
      </c>
      <c r="AQ337" s="21">
        <f>AH337</f>
        <v/>
      </c>
      <c r="AR337" s="15" t="n">
        <v>63421.84</v>
      </c>
      <c r="AS337" s="27" t="n">
        <v>47.777544</v>
      </c>
      <c r="AT337" s="15" t="n">
        <v>34136793.69</v>
      </c>
      <c r="AU337" s="15" t="n">
        <v>26132.4928</v>
      </c>
      <c r="AV337" s="15" t="n">
        <v>643.3239</v>
      </c>
      <c r="AW337" s="15" t="n"/>
      <c r="AX337" s="16" t="n">
        <v>417.4678485374287</v>
      </c>
      <c r="AY337" s="13">
        <f>IF(OR(AX337="",AX337=0,AU337=""),"",AU337*365/(AX337*1000000))</f>
        <v/>
      </c>
      <c r="AZ337" s="15" t="n">
        <v>420062469.4077</v>
      </c>
      <c r="BA337" s="17" t="n">
        <v>60487233</v>
      </c>
      <c r="BB337" s="18" t="n">
        <v>34136793.69</v>
      </c>
      <c r="BC337" s="17" t="n">
        <v>2971663</v>
      </c>
      <c r="BD337" s="17">
        <f>1000000000-999533549.1512+141806.6063</f>
        <v/>
      </c>
      <c r="BE337" s="19">
        <f>1000000000-AZ337-BA337-BB337-BC337-BD337</f>
        <v/>
      </c>
      <c r="BF337" s="20" t="n">
        <v>238</v>
      </c>
      <c r="BG337" s="20">
        <f>BE337/1000000-BF337</f>
        <v/>
      </c>
      <c r="BH337" s="21">
        <f>BE337*47.54</f>
        <v/>
      </c>
    </row>
    <row r="338">
      <c r="A338" s="10" t="n">
        <v>45960</v>
      </c>
      <c r="B338" s="11" t="n">
        <v>12251475490</v>
      </c>
      <c r="C338" s="11" t="n">
        <v>116073044</v>
      </c>
      <c r="D338" s="12" t="n">
        <v>433695347</v>
      </c>
      <c r="E338" s="11" t="n"/>
      <c r="F338" s="12" t="n"/>
      <c r="G338" s="12" t="n"/>
      <c r="H338" s="12" t="n"/>
      <c r="I338" s="12" t="n">
        <v>116073044</v>
      </c>
      <c r="J338" s="12" t="n"/>
      <c r="K338" s="12" t="n"/>
      <c r="L338" s="21">
        <f>SUM(F338:K338)</f>
        <v/>
      </c>
      <c r="M338" s="28" t="n">
        <v>0.9997470199345203</v>
      </c>
      <c r="N338" s="11" t="n">
        <v>3827493.75</v>
      </c>
      <c r="O338" s="11" t="n">
        <v>112508.32</v>
      </c>
      <c r="P338" s="11" t="n">
        <v>230283.34</v>
      </c>
      <c r="Q338" s="11" t="n"/>
      <c r="R338" s="21">
        <f>N338+O338+P338+N(Q338)</f>
        <v/>
      </c>
      <c r="S338" s="13" t="n">
        <v>0.01</v>
      </c>
      <c r="T338" s="21">
        <f>N(AC338)*S338</f>
        <v/>
      </c>
      <c r="U338" s="21">
        <f>N(AD338)*S338</f>
        <v/>
      </c>
      <c r="V338" s="21">
        <f>N(AE338)*S338</f>
        <v/>
      </c>
      <c r="W338" s="21">
        <f>IF(Q338="","",N(AF338)*S338)</f>
        <v/>
      </c>
      <c r="X338" s="11" t="n">
        <v>32780.64</v>
      </c>
      <c r="Y338" s="11" t="n">
        <v>56254.16</v>
      </c>
      <c r="Z338" s="11" t="n"/>
      <c r="AA338" s="21">
        <f>T338+U338+V338+N(W338)+X338+Y338+N(Z338)</f>
        <v/>
      </c>
      <c r="AB338" s="11" t="n">
        <v>317220.8975</v>
      </c>
      <c r="AC338" s="11" t="n">
        <v>3827493.75</v>
      </c>
      <c r="AD338" s="21">
        <f>O338-Y338</f>
        <v/>
      </c>
      <c r="AE338" s="21">
        <f>P338-X338</f>
        <v/>
      </c>
      <c r="AF338" s="21">
        <f>IF(Q338="","",Q338-Z338)</f>
        <v/>
      </c>
      <c r="AG338" s="22">
        <f>AC338+AD338+AE338+N(AF338)</f>
        <v/>
      </c>
      <c r="AH338" s="11" t="n">
        <v>3350689.9</v>
      </c>
      <c r="AI338" s="24">
        <f>AG338-AH338</f>
        <v/>
      </c>
      <c r="AJ338" s="14">
        <f>IF(OR(B338="",B338=0,N338=""),"",N338/B338*10000)</f>
        <v/>
      </c>
      <c r="AK338" s="14">
        <f>IF(OR(C338="",C338=0),"",O338/C338*10000)</f>
        <v/>
      </c>
      <c r="AL338" s="14">
        <f>IF(OR(D338="",D338=0),"",P338/D338*10000)</f>
        <v/>
      </c>
      <c r="AM338" s="14">
        <f>IF(OR(E338="",E338=0),"",Q338/E338*10000)</f>
        <v/>
      </c>
      <c r="AN338" s="11" t="n">
        <v>77902.03054013161</v>
      </c>
      <c r="AO338" s="11" t="n">
        <v>49061.95</v>
      </c>
      <c r="AP338" s="21">
        <f>AH338+AN338+AO338</f>
        <v/>
      </c>
      <c r="AQ338" s="21">
        <f>AH338</f>
        <v/>
      </c>
      <c r="AR338" s="15" t="n">
        <v>72418.74000000001</v>
      </c>
      <c r="AS338" s="27" t="n">
        <v>46.268271</v>
      </c>
      <c r="AT338" s="15" t="n">
        <v>34207883.32</v>
      </c>
      <c r="AU338" s="15" t="n">
        <v>25584.5234</v>
      </c>
      <c r="AV338" s="15" t="n">
        <v>777.1475</v>
      </c>
      <c r="AW338" s="15" t="n"/>
      <c r="AX338" s="16" t="n">
        <v>417.9138046767949</v>
      </c>
      <c r="AY338" s="13">
        <f>IF(OR(AX338="",AX338=0,AU338=""),"",AU338*365/(AX338*1000000))</f>
        <v/>
      </c>
      <c r="AZ338" s="15" t="n">
        <v>420036884.8843</v>
      </c>
      <c r="BA338" s="17" t="n">
        <v>60487233</v>
      </c>
      <c r="BB338" s="18" t="n">
        <v>34207883.32</v>
      </c>
      <c r="BC338" s="17" t="n">
        <v>2971663</v>
      </c>
      <c r="BD338" s="17">
        <f>1000000000-999532772.0037+143437.2429</f>
        <v/>
      </c>
      <c r="BE338" s="19">
        <f>1000000000-AZ338-BA338-BB338-BC338-BD338</f>
        <v/>
      </c>
      <c r="BF338" s="20" t="n">
        <v>238</v>
      </c>
      <c r="BG338" s="20">
        <f>BE338/1000000-BF338</f>
        <v/>
      </c>
      <c r="BH338" s="21">
        <f>BE338*47.76</f>
        <v/>
      </c>
    </row>
    <row r="339">
      <c r="A339" s="10" t="n">
        <v>45961</v>
      </c>
      <c r="B339" s="11" t="n">
        <v>7199511724</v>
      </c>
      <c r="C339" s="11" t="n">
        <v>60260348</v>
      </c>
      <c r="D339" s="12" t="n">
        <v>271790520</v>
      </c>
      <c r="E339" s="11" t="n"/>
      <c r="F339" s="12" t="n"/>
      <c r="G339" s="12" t="n"/>
      <c r="H339" s="12" t="n"/>
      <c r="I339" s="12" t="n">
        <v>60260348</v>
      </c>
      <c r="J339" s="12" t="n"/>
      <c r="K339" s="12" t="n"/>
      <c r="L339" s="21">
        <f>SUM(F339:K339)</f>
        <v/>
      </c>
      <c r="M339" s="28" t="n">
        <v>1.005231036069929</v>
      </c>
      <c r="N339" s="11" t="n">
        <v>2282078.79</v>
      </c>
      <c r="O339" s="11" t="n">
        <v>61422.3</v>
      </c>
      <c r="P339" s="11" t="n">
        <v>142073.97</v>
      </c>
      <c r="Q339" s="11" t="n"/>
      <c r="R339" s="21">
        <f>N339+O339+P339+N(Q339)</f>
        <v/>
      </c>
      <c r="S339" s="13" t="n">
        <v>0.01</v>
      </c>
      <c r="T339" s="21">
        <f>N(AC339)*S339</f>
        <v/>
      </c>
      <c r="U339" s="21">
        <f>N(AD339)*S339</f>
        <v/>
      </c>
      <c r="V339" s="21">
        <f>N(AE339)*S339</f>
        <v/>
      </c>
      <c r="W339" s="21">
        <f>IF(Q339="","",N(AF339)*S339)</f>
        <v/>
      </c>
      <c r="X339" s="11" t="n">
        <v>20761.89</v>
      </c>
      <c r="Y339" s="11" t="n">
        <v>30711.15</v>
      </c>
      <c r="Z339" s="11" t="n"/>
      <c r="AA339" s="21">
        <f>T339+U339+V339+N(W339)+X339+Y339+N(Z339)</f>
        <v/>
      </c>
      <c r="AB339" s="11" t="n">
        <v>206207.6213</v>
      </c>
      <c r="AC339" s="11" t="n">
        <v>2282078.79</v>
      </c>
      <c r="AD339" s="21">
        <f>O339-Y339</f>
        <v/>
      </c>
      <c r="AE339" s="21">
        <f>P339-X339</f>
        <v/>
      </c>
      <c r="AF339" s="21">
        <f>IF(Q339="","",Q339-Z339)</f>
        <v/>
      </c>
      <c r="AG339" s="22">
        <f>AC339+AD339+AE339+N(AF339)</f>
        <v/>
      </c>
      <c r="AH339" s="11" t="n">
        <v>2259013.3</v>
      </c>
      <c r="AI339" s="24">
        <f>AG339-AH339</f>
        <v/>
      </c>
      <c r="AJ339" s="14">
        <f>IF(OR(B339="",B339=0,N339=""),"",N339/B339*10000)</f>
        <v/>
      </c>
      <c r="AK339" s="14">
        <f>IF(OR(C339="",C339=0),"",O339/C339*10000)</f>
        <v/>
      </c>
      <c r="AL339" s="14">
        <f>IF(OR(D339="",D339=0),"",P339/D339*10000)</f>
        <v/>
      </c>
      <c r="AM339" s="14">
        <f>IF(OR(E339="",E339=0),"",Q339/E339*10000)</f>
        <v/>
      </c>
      <c r="AN339" s="11" t="n">
        <v>40723.51198512119</v>
      </c>
      <c r="AO339" s="11" t="n">
        <v>29671.19</v>
      </c>
      <c r="AP339" s="21">
        <f>AH339+AN339+AO339</f>
        <v/>
      </c>
      <c r="AQ339" s="21">
        <f>AH339</f>
        <v/>
      </c>
      <c r="AR339" s="15" t="n">
        <v>50976.52</v>
      </c>
      <c r="AS339" s="27" t="n">
        <v>44.314781</v>
      </c>
      <c r="AT339" s="15" t="n">
        <v>34259513.44</v>
      </c>
      <c r="AU339" s="15" t="n">
        <v>26132.0917</v>
      </c>
      <c r="AV339" s="15" t="n">
        <v>2710.6255</v>
      </c>
      <c r="AW339" s="15" t="n"/>
      <c r="AX339" s="16" t="n">
        <v>417.6769943968747</v>
      </c>
      <c r="AY339" s="13">
        <f>IF(OR(AX339="",AX339=0,AU339=""),"",AU339*365/(AX339*1000000))</f>
        <v/>
      </c>
      <c r="AZ339" s="15" t="n">
        <v>420010752.7926</v>
      </c>
      <c r="BA339" s="17" t="n">
        <v>60487233</v>
      </c>
      <c r="BB339" s="18" t="n">
        <v>34259513.44</v>
      </c>
      <c r="BC339" s="17" t="n">
        <v>2971663</v>
      </c>
      <c r="BD339" s="17">
        <f>1000000000-999530061.3782+144331.3612</f>
        <v/>
      </c>
      <c r="BE339" s="19">
        <f>1000000000-AZ339-BA339-BB339-BC339-BD339</f>
        <v/>
      </c>
      <c r="BF339" s="20" t="n">
        <v>238</v>
      </c>
      <c r="BG339" s="20">
        <f>BE339/1000000-BF339</f>
        <v/>
      </c>
      <c r="BH339" s="21">
        <f>BE339*45.53</f>
        <v/>
      </c>
    </row>
    <row r="340">
      <c r="A340" s="10" t="n">
        <v>45962</v>
      </c>
      <c r="B340" s="11" t="n">
        <v>2965686251</v>
      </c>
      <c r="C340" s="11" t="n">
        <v>44942141</v>
      </c>
      <c r="D340" s="12" t="n">
        <v>160757118</v>
      </c>
      <c r="E340" s="11" t="n"/>
      <c r="F340" s="12" t="n"/>
      <c r="G340" s="12" t="n"/>
      <c r="H340" s="12" t="n"/>
      <c r="I340" s="12" t="n">
        <v>44942141</v>
      </c>
      <c r="J340" s="12" t="n"/>
      <c r="K340" s="12" t="n"/>
      <c r="L340" s="21">
        <f>SUM(F340:K340)</f>
        <v/>
      </c>
      <c r="M340" s="28" t="n">
        <v>1.00005509507464</v>
      </c>
      <c r="N340" s="11" t="n">
        <v>1009191</v>
      </c>
      <c r="O340" s="11" t="n">
        <v>48459.86</v>
      </c>
      <c r="P340" s="11" t="n">
        <v>94055.35000000001</v>
      </c>
      <c r="Q340" s="11" t="n"/>
      <c r="R340" s="21">
        <f>N340+O340+P340+N(Q340)</f>
        <v/>
      </c>
      <c r="S340" s="13" t="n">
        <v>0.01</v>
      </c>
      <c r="T340" s="21">
        <f>N(AC340)*S340</f>
        <v/>
      </c>
      <c r="U340" s="21">
        <f>N(AD340)*S340</f>
        <v/>
      </c>
      <c r="V340" s="21">
        <f>N(AE340)*S340</f>
        <v/>
      </c>
      <c r="W340" s="21">
        <f>IF(Q340="","",N(AF340)*S340)</f>
        <v/>
      </c>
      <c r="X340" s="11" t="n">
        <v>13397.52</v>
      </c>
      <c r="Y340" s="11" t="n">
        <v>24229.93</v>
      </c>
      <c r="Z340" s="11" t="n"/>
      <c r="AA340" s="21">
        <f>T340+U340+V340+N(W340)+X340+Y340+N(Z340)</f>
        <v/>
      </c>
      <c r="AB340" s="11" t="n">
        <v>133458.9975</v>
      </c>
      <c r="AC340" s="11" t="n">
        <v>1009191</v>
      </c>
      <c r="AD340" s="21">
        <f>O340-Y340</f>
        <v/>
      </c>
      <c r="AE340" s="21">
        <f>P340-X340</f>
        <v/>
      </c>
      <c r="AF340" s="21">
        <f>IF(Q340="","",Q340-Z340)</f>
        <v/>
      </c>
      <c r="AG340" s="22">
        <f>AC340+AD340+AE340+N(AF340)</f>
        <v/>
      </c>
      <c r="AH340" s="11" t="n">
        <v>905975.09</v>
      </c>
      <c r="AI340" s="24">
        <f>AG340-AH340</f>
        <v/>
      </c>
      <c r="AJ340" s="14">
        <f>IF(OR(B340="",B340=0,N340=""),"",N340/B340*10000)</f>
        <v/>
      </c>
      <c r="AK340" s="14">
        <f>IF(OR(C340="",C340=0),"",O340/C340*10000)</f>
        <v/>
      </c>
      <c r="AL340" s="14">
        <f>IF(OR(D340="",D340=0),"",P340/D340*10000)</f>
        <v/>
      </c>
      <c r="AM340" s="14">
        <f>IF(OR(E340="",E340=0),"",Q340/E340*10000)</f>
        <v/>
      </c>
      <c r="AN340" s="11" t="n">
        <v>20884.86685340289</v>
      </c>
      <c r="AO340" s="11" t="n">
        <v>27212.54</v>
      </c>
      <c r="AP340" s="21">
        <f>AH340+AN340+AO340</f>
        <v/>
      </c>
      <c r="AQ340" s="21">
        <f>AH340</f>
        <v/>
      </c>
      <c r="AR340" s="15" t="n">
        <v>20798.35</v>
      </c>
      <c r="AS340" s="27" t="n">
        <v>43.55995</v>
      </c>
      <c r="AT340" s="15" t="n">
        <v>34280139.13</v>
      </c>
      <c r="AU340" s="15" t="n">
        <v>26112.4247</v>
      </c>
      <c r="AV340" s="15" t="n">
        <v>1407.0012</v>
      </c>
      <c r="AW340" s="15" t="n"/>
      <c r="AX340" s="16" t="n">
        <v>418.4444318237478</v>
      </c>
      <c r="AY340" s="13">
        <f>IF(OR(AX340="",AX340=0,AU340=""),"",AU340*365/(AX340*1000000))</f>
        <v/>
      </c>
      <c r="AZ340" s="15" t="n">
        <v>419984640.3678</v>
      </c>
      <c r="BA340" s="17" t="n">
        <v>60487233</v>
      </c>
      <c r="BB340" s="18" t="n">
        <v>34280139.13</v>
      </c>
      <c r="BC340" s="17" t="n">
        <v>2971663</v>
      </c>
      <c r="BD340" s="17">
        <f>1000000000-999528654.377+144811.8928</f>
        <v/>
      </c>
      <c r="BE340" s="19">
        <f>1000000000-AZ340-BA340-BB340-BC340-BD340</f>
        <v/>
      </c>
      <c r="BF340" s="20" t="n">
        <v>238</v>
      </c>
      <c r="BG340" s="20">
        <f>BE340/1000000-BF340</f>
        <v/>
      </c>
      <c r="BH340" s="21">
        <f>BE340*43.43</f>
        <v/>
      </c>
    </row>
    <row r="341">
      <c r="A341" s="10" t="n">
        <v>45963</v>
      </c>
      <c r="B341" s="11" t="n">
        <v>4109923136</v>
      </c>
      <c r="C341" s="11" t="n">
        <v>32898300</v>
      </c>
      <c r="D341" s="12" t="n">
        <v>182378150</v>
      </c>
      <c r="E341" s="11" t="n"/>
      <c r="F341" s="12" t="n"/>
      <c r="G341" s="12" t="n"/>
      <c r="H341" s="12" t="n"/>
      <c r="I341" s="12" t="n">
        <v>32898300</v>
      </c>
      <c r="J341" s="12" t="n"/>
      <c r="K341" s="12" t="n"/>
      <c r="L341" s="21">
        <f>SUM(F341:K341)</f>
        <v/>
      </c>
      <c r="M341" s="28" t="n">
        <v>0.9971155367719426</v>
      </c>
      <c r="N341" s="11" t="n">
        <v>1391731.13</v>
      </c>
      <c r="O341" s="11" t="n">
        <v>37050.5</v>
      </c>
      <c r="P341" s="11" t="n">
        <v>113693.68</v>
      </c>
      <c r="Q341" s="11" t="n"/>
      <c r="R341" s="21">
        <f>N341+O341+P341+N(Q341)</f>
        <v/>
      </c>
      <c r="S341" s="13" t="n">
        <v>0.01</v>
      </c>
      <c r="T341" s="21">
        <f>N(AC341)*S341</f>
        <v/>
      </c>
      <c r="U341" s="21">
        <f>N(AD341)*S341</f>
        <v/>
      </c>
      <c r="V341" s="21">
        <f>N(AE341)*S341</f>
        <v/>
      </c>
      <c r="W341" s="21">
        <f>IF(Q341="","",N(AF341)*S341)</f>
        <v/>
      </c>
      <c r="X341" s="11" t="n">
        <v>20933.78</v>
      </c>
      <c r="Y341" s="11" t="n">
        <v>18525.25</v>
      </c>
      <c r="Z341" s="11" t="n"/>
      <c r="AA341" s="21">
        <f>T341+U341+V341+N(W341)+X341+Y341+N(Z341)</f>
        <v/>
      </c>
      <c r="AB341" s="11" t="n">
        <v>157349.3785</v>
      </c>
      <c r="AC341" s="11" t="n">
        <v>1391731.13</v>
      </c>
      <c r="AD341" s="21">
        <f>O341-Y341</f>
        <v/>
      </c>
      <c r="AE341" s="21">
        <f>P341-X341</f>
        <v/>
      </c>
      <c r="AF341" s="21">
        <f>IF(Q341="","",Q341-Z341)</f>
        <v/>
      </c>
      <c r="AG341" s="22">
        <f>AC341+AD341+AE341+N(AF341)</f>
        <v/>
      </c>
      <c r="AH341" s="11" t="n">
        <v>1131973.02</v>
      </c>
      <c r="AI341" s="24">
        <f>AG341-AH341</f>
        <v/>
      </c>
      <c r="AJ341" s="14">
        <f>IF(OR(B341="",B341=0,N341=""),"",N341/B341*10000)</f>
        <v/>
      </c>
      <c r="AK341" s="14">
        <f>IF(OR(C341="",C341=0),"",O341/C341*10000)</f>
        <v/>
      </c>
      <c r="AL341" s="14">
        <f>IF(OR(D341="",D341=0),"",P341/D341*10000)</f>
        <v/>
      </c>
      <c r="AM341" s="14">
        <f>IF(OR(E341="",E341=0),"",Q341/E341*10000)</f>
        <v/>
      </c>
      <c r="AN341" s="11" t="n">
        <v>21561.40035412545</v>
      </c>
      <c r="AO341" s="11" t="n">
        <v>0</v>
      </c>
      <c r="AP341" s="21">
        <f>AH341+AN341+AO341</f>
        <v/>
      </c>
      <c r="AQ341" s="21">
        <f>AH341</f>
        <v/>
      </c>
      <c r="AR341" s="15" t="n">
        <v>26840.13</v>
      </c>
      <c r="AS341" s="27" t="n">
        <v>42.174647</v>
      </c>
      <c r="AT341" s="15" t="n">
        <v>34310312.42</v>
      </c>
      <c r="AU341" s="15" t="n">
        <v>26085.2116</v>
      </c>
      <c r="AV341" s="15" t="n">
        <v>1000.5355</v>
      </c>
      <c r="AW341" s="15" t="n"/>
      <c r="AX341" s="16" t="n">
        <v>418.082104497409</v>
      </c>
      <c r="AY341" s="13">
        <f>IF(OR(AX341="",AX341=0,AU341=""),"",AU341*365/(AX341*1000000))</f>
        <v/>
      </c>
      <c r="AZ341" s="15" t="n">
        <v>419958555.1562</v>
      </c>
      <c r="BA341" s="17" t="n">
        <v>60487233</v>
      </c>
      <c r="BB341" s="18" t="n">
        <v>34310312.42</v>
      </c>
      <c r="BC341" s="17" t="n">
        <v>2971663</v>
      </c>
      <c r="BD341" s="17">
        <f>1000000000-999527653.8415+145318.3143</f>
        <v/>
      </c>
      <c r="BE341" s="19">
        <f>1000000000-AZ341-BA341-BB341-BC341-BD341</f>
        <v/>
      </c>
      <c r="BF341" s="20" t="n">
        <v>238</v>
      </c>
      <c r="BG341" s="20">
        <f>BE341/1000000-BF341</f>
        <v/>
      </c>
      <c r="BH341" s="21">
        <f>BE341*42.59</f>
        <v/>
      </c>
    </row>
    <row r="342">
      <c r="A342" s="10" t="n">
        <v>45964</v>
      </c>
      <c r="B342" s="11" t="n">
        <v>12395113798</v>
      </c>
      <c r="C342" s="11" t="n">
        <v>76786337</v>
      </c>
      <c r="D342" s="12" t="n">
        <v>372136175</v>
      </c>
      <c r="E342" s="11" t="n"/>
      <c r="F342" s="12" t="n"/>
      <c r="G342" s="12" t="n"/>
      <c r="H342" s="12" t="n"/>
      <c r="I342" s="12" t="n">
        <v>76786336.99999999</v>
      </c>
      <c r="J342" s="12" t="n"/>
      <c r="K342" s="12" t="n"/>
      <c r="L342" s="21">
        <f>SUM(F342:K342)</f>
        <v/>
      </c>
      <c r="M342" s="28" t="n">
        <v>1.002474411084887</v>
      </c>
      <c r="N342" s="11" t="n">
        <v>3734788.88</v>
      </c>
      <c r="O342" s="11" t="n">
        <v>69945.3</v>
      </c>
      <c r="P342" s="11" t="n">
        <v>196356.67</v>
      </c>
      <c r="Q342" s="11" t="n"/>
      <c r="R342" s="21">
        <f>N342+O342+P342+N(Q342)</f>
        <v/>
      </c>
      <c r="S342" s="13" t="n">
        <v>0.01</v>
      </c>
      <c r="T342" s="21">
        <f>N(AC342)*S342</f>
        <v/>
      </c>
      <c r="U342" s="21">
        <f>N(AD342)*S342</f>
        <v/>
      </c>
      <c r="V342" s="21">
        <f>N(AE342)*S342</f>
        <v/>
      </c>
      <c r="W342" s="21">
        <f>IF(Q342="","",N(AF342)*S342)</f>
        <v/>
      </c>
      <c r="X342" s="11" t="n">
        <v>39124.86</v>
      </c>
      <c r="Y342" s="11" t="n">
        <v>34972.65</v>
      </c>
      <c r="Z342" s="11" t="n"/>
      <c r="AA342" s="21">
        <f>T342+U342+V342+N(W342)+X342+Y342+N(Z342)</f>
        <v/>
      </c>
      <c r="AB342" s="11" t="n">
        <v>328361.6911999999</v>
      </c>
      <c r="AC342" s="11" t="n">
        <v>3734788.88</v>
      </c>
      <c r="AD342" s="21">
        <f>O342-Y342</f>
        <v/>
      </c>
      <c r="AE342" s="21">
        <f>P342-X342</f>
        <v/>
      </c>
      <c r="AF342" s="21">
        <f>IF(Q342="","",Q342-Z342)</f>
        <v/>
      </c>
      <c r="AG342" s="22">
        <f>AC342+AD342+AE342+N(AF342)</f>
        <v/>
      </c>
      <c r="AH342" s="11" t="n">
        <v>3442991.47</v>
      </c>
      <c r="AI342" s="24">
        <f>AG342-AH342</f>
        <v/>
      </c>
      <c r="AJ342" s="14">
        <f>IF(OR(B342="",B342=0,N342=""),"",N342/B342*10000)</f>
        <v/>
      </c>
      <c r="AK342" s="14">
        <f>IF(OR(C342="",C342=0),"",O342/C342*10000)</f>
        <v/>
      </c>
      <c r="AL342" s="14">
        <f>IF(OR(D342="",D342=0),"",P342/D342*10000)</f>
        <v/>
      </c>
      <c r="AM342" s="14">
        <f>IF(OR(E342="",E342=0),"",Q342/E342*10000)</f>
        <v/>
      </c>
      <c r="AN342" s="11" t="n">
        <v>45857.57870453565</v>
      </c>
      <c r="AO342" s="11" t="n">
        <v>23998.61</v>
      </c>
      <c r="AP342" s="21">
        <f>AH342+AN342+AO342</f>
        <v/>
      </c>
      <c r="AQ342" s="21">
        <f>AH342</f>
        <v/>
      </c>
      <c r="AR342" s="15" t="n">
        <v>84946.33</v>
      </c>
      <c r="AS342" s="27" t="n">
        <v>40.531374</v>
      </c>
      <c r="AT342" s="15" t="n">
        <v>34393309.46</v>
      </c>
      <c r="AU342" s="15" t="n">
        <v>26120.7791</v>
      </c>
      <c r="AV342" s="15" t="n">
        <v>838.5616</v>
      </c>
      <c r="AW342" s="15" t="n"/>
      <c r="AX342" s="16" t="n">
        <v>418.2953305740895</v>
      </c>
      <c r="AY342" s="13">
        <f>IF(OR(AX342="",AX342=0,AU342=""),"",AU342*365/(AX342*1000000))</f>
        <v/>
      </c>
      <c r="AZ342" s="15" t="n">
        <v>419932434.3771</v>
      </c>
      <c r="BA342" s="17" t="n">
        <v>60487233</v>
      </c>
      <c r="BB342" s="18" t="n">
        <v>34393309.46</v>
      </c>
      <c r="BC342" s="17" t="n">
        <v>2971663</v>
      </c>
      <c r="BD342" s="17">
        <f>1000000000-999526815.2799+146402.8280</f>
        <v/>
      </c>
      <c r="BE342" s="19">
        <f>1000000000-AZ342-BA342-BB342-BC342-BD342</f>
        <v/>
      </c>
      <c r="BF342" s="20" t="n">
        <v>238</v>
      </c>
      <c r="BG342" s="20">
        <f>BE342/1000000-BF342</f>
        <v/>
      </c>
      <c r="BH342" s="21">
        <f>BE342*42.3</f>
        <v/>
      </c>
    </row>
    <row r="343">
      <c r="A343" s="10" t="n">
        <v>45965</v>
      </c>
      <c r="B343" s="11" t="n">
        <v>18754986135</v>
      </c>
      <c r="C343" s="11" t="n">
        <v>76973279</v>
      </c>
      <c r="D343" s="12" t="n">
        <v>621682800</v>
      </c>
      <c r="E343" s="11" t="n"/>
      <c r="F343" s="12" t="n"/>
      <c r="G343" s="12" t="n"/>
      <c r="H343" s="12" t="n"/>
      <c r="I343" s="12" t="n">
        <v>76973279</v>
      </c>
      <c r="J343" s="12" t="n"/>
      <c r="K343" s="12" t="n"/>
      <c r="L343" s="21">
        <f>SUM(F343:K343)</f>
        <v/>
      </c>
      <c r="M343" s="28" t="n">
        <v>1.008654664446349</v>
      </c>
      <c r="N343" s="11" t="n">
        <v>5591311.23</v>
      </c>
      <c r="O343" s="11" t="n">
        <v>65023.72</v>
      </c>
      <c r="P343" s="11" t="n">
        <v>328969.54</v>
      </c>
      <c r="Q343" s="11" t="n"/>
      <c r="R343" s="21">
        <f>N343+O343+P343+N(Q343)</f>
        <v/>
      </c>
      <c r="S343" s="13" t="n">
        <v>0.01</v>
      </c>
      <c r="T343" s="21">
        <f>N(AC343)*S343</f>
        <v/>
      </c>
      <c r="U343" s="21">
        <f>N(AD343)*S343</f>
        <v/>
      </c>
      <c r="V343" s="21">
        <f>N(AE343)*S343</f>
        <v/>
      </c>
      <c r="W343" s="21">
        <f>IF(Q343="","",N(AF343)*S343)</f>
        <v/>
      </c>
      <c r="X343" s="11" t="n">
        <v>61865.3</v>
      </c>
      <c r="Y343" s="11" t="n">
        <v>32511.86</v>
      </c>
      <c r="Z343" s="11" t="n"/>
      <c r="AA343" s="21">
        <f>T343+U343+V343+N(W343)+X343+Y343+N(Z343)</f>
        <v/>
      </c>
      <c r="AB343" s="11" t="n">
        <v>333368.5648</v>
      </c>
      <c r="AC343" s="11" t="n">
        <v>5591311.23</v>
      </c>
      <c r="AD343" s="21">
        <f>O343-Y343</f>
        <v/>
      </c>
      <c r="AE343" s="21">
        <f>P343-X343</f>
        <v/>
      </c>
      <c r="AF343" s="21">
        <f>IF(Q343="","",Q343-Z343)</f>
        <v/>
      </c>
      <c r="AG343" s="22">
        <f>AC343+AD343+AE343+N(AF343)</f>
        <v/>
      </c>
      <c r="AH343" s="11" t="n">
        <v>4842096.4</v>
      </c>
      <c r="AI343" s="24">
        <f>AG343-AH343</f>
        <v/>
      </c>
      <c r="AJ343" s="14">
        <f>IF(OR(B343="",B343=0,N343=""),"",N343/B343*10000)</f>
        <v/>
      </c>
      <c r="AK343" s="14">
        <f>IF(OR(C343="",C343=0),"",O343/C343*10000)</f>
        <v/>
      </c>
      <c r="AL343" s="14">
        <f>IF(OR(D343="",D343=0),"",P343/D343*10000)</f>
        <v/>
      </c>
      <c r="AM343" s="14">
        <f>IF(OR(E343="",E343=0),"",Q343/E343*10000)</f>
        <v/>
      </c>
      <c r="AN343" s="11" t="n">
        <v>86012.9127497936</v>
      </c>
      <c r="AO343" s="11" t="n">
        <v>22358.29</v>
      </c>
      <c r="AP343" s="21">
        <f>AH343+AN343+AO343</f>
        <v/>
      </c>
      <c r="AQ343" s="21">
        <f>AH343</f>
        <v/>
      </c>
      <c r="AR343" s="15" t="n">
        <v>128295.39</v>
      </c>
      <c r="AS343" s="27" t="n">
        <v>37.74178</v>
      </c>
      <c r="AT343" s="15" t="n">
        <v>34530179.1</v>
      </c>
      <c r="AU343" s="15" t="n">
        <v>26102.2179</v>
      </c>
      <c r="AV343" s="15" t="n">
        <v>1420.4197</v>
      </c>
      <c r="AW343" s="15" t="n"/>
      <c r="AX343" s="16" t="n">
        <v>416.9440736240272</v>
      </c>
      <c r="AY343" s="13">
        <f>IF(OR(AX343="",AX343=0,AU343=""),"",AU343*365/(AX343*1000000))</f>
        <v/>
      </c>
      <c r="AZ343" s="15" t="n">
        <v>419906332.1592</v>
      </c>
      <c r="BA343" s="17" t="n">
        <v>60487233</v>
      </c>
      <c r="BB343" s="18" t="n">
        <v>34530179.1</v>
      </c>
      <c r="BC343" s="17" t="n">
        <v>2971663</v>
      </c>
      <c r="BD343" s="17">
        <f>1000000000-999525394.8602+148591.6188</f>
        <v/>
      </c>
      <c r="BE343" s="19">
        <f>1000000000-AZ343-BA343-BB343-BC343-BD343</f>
        <v/>
      </c>
      <c r="BF343" s="20" t="n">
        <v>238</v>
      </c>
      <c r="BG343" s="20">
        <f>BE343/1000000-BF343</f>
        <v/>
      </c>
      <c r="BH343" s="21">
        <f>BE343*39.25</f>
        <v/>
      </c>
    </row>
    <row r="344">
      <c r="A344" s="10" t="n">
        <v>45966</v>
      </c>
      <c r="B344" s="11" t="n">
        <v>9049643783</v>
      </c>
      <c r="C344" s="11" t="n">
        <v>74172106</v>
      </c>
      <c r="D344" s="12" t="n">
        <v>297872465</v>
      </c>
      <c r="E344" s="11" t="n"/>
      <c r="F344" s="12" t="n"/>
      <c r="G344" s="12" t="n"/>
      <c r="H344" s="12" t="n"/>
      <c r="I344" s="12" t="n">
        <v>74172106</v>
      </c>
      <c r="J344" s="12" t="n"/>
      <c r="K344" s="12" t="n"/>
      <c r="L344" s="21">
        <f>SUM(F344:K344)</f>
        <v/>
      </c>
      <c r="M344" s="28" t="n">
        <v>0.9931136972337229</v>
      </c>
      <c r="N344" s="11" t="n">
        <v>2926738.9</v>
      </c>
      <c r="O344" s="11" t="n">
        <v>65163.5</v>
      </c>
      <c r="P344" s="11" t="n">
        <v>158813.77</v>
      </c>
      <c r="Q344" s="11" t="n"/>
      <c r="R344" s="21">
        <f>N344+O344+P344+N(Q344)</f>
        <v/>
      </c>
      <c r="S344" s="13" t="n">
        <v>0.01</v>
      </c>
      <c r="T344" s="21">
        <f>N(AC344)*S344</f>
        <v/>
      </c>
      <c r="U344" s="21">
        <f>N(AD344)*S344</f>
        <v/>
      </c>
      <c r="V344" s="21">
        <f>N(AE344)*S344</f>
        <v/>
      </c>
      <c r="W344" s="21">
        <f>IF(Q344="","",N(AF344)*S344)</f>
        <v/>
      </c>
      <c r="X344" s="11" t="n">
        <v>33664.61</v>
      </c>
      <c r="Y344" s="11" t="n">
        <v>32581.75</v>
      </c>
      <c r="Z344" s="11" t="n"/>
      <c r="AA344" s="21">
        <f>T344+U344+V344+N(W344)+X344+Y344+N(Z344)</f>
        <v/>
      </c>
      <c r="AB344" s="11" t="n">
        <v>242899.9701</v>
      </c>
      <c r="AC344" s="11" t="n">
        <v>2926738.9</v>
      </c>
      <c r="AD344" s="21">
        <f>O344-Y344</f>
        <v/>
      </c>
      <c r="AE344" s="21">
        <f>P344-X344</f>
        <v/>
      </c>
      <c r="AF344" s="21">
        <f>IF(Q344="","",Q344-Z344)</f>
        <v/>
      </c>
      <c r="AG344" s="22">
        <f>AC344+AD344+AE344+N(AF344)</f>
        <v/>
      </c>
      <c r="AH344" s="11" t="n">
        <v>3095161.4</v>
      </c>
      <c r="AI344" s="24">
        <f>AG344-AH344</f>
        <v/>
      </c>
      <c r="AJ344" s="14">
        <f>IF(OR(B344="",B344=0,N344=""),"",N344/B344*10000)</f>
        <v/>
      </c>
      <c r="AK344" s="14">
        <f>IF(OR(C344="",C344=0),"",O344/C344*10000)</f>
        <v/>
      </c>
      <c r="AL344" s="14">
        <f>IF(OR(D344="",D344=0),"",P344/D344*10000)</f>
        <v/>
      </c>
      <c r="AM344" s="14">
        <f>IF(OR(E344="",E344=0),"",Q344/E344*10000)</f>
        <v/>
      </c>
      <c r="AN344" s="11" t="n">
        <v>36274.73347561945</v>
      </c>
      <c r="AO344" s="11" t="n">
        <v>37119.42</v>
      </c>
      <c r="AP344" s="21">
        <f>AH344+AN344+AO344</f>
        <v/>
      </c>
      <c r="AQ344" s="21">
        <f>AH344</f>
        <v/>
      </c>
      <c r="AR344" s="15" t="n">
        <v>76813.03</v>
      </c>
      <c r="AS344" s="27" t="n">
        <v>40.294744</v>
      </c>
      <c r="AT344" s="15" t="n">
        <v>34598550</v>
      </c>
      <c r="AU344" s="15" t="n">
        <v>25985.3347</v>
      </c>
      <c r="AV344" s="15" t="n">
        <v>2903.9061</v>
      </c>
      <c r="AW344" s="15" t="n"/>
      <c r="AX344" s="16" t="n">
        <v>413.6015838953354</v>
      </c>
      <c r="AY344" s="13">
        <f>IF(OR(AX344="",AX344=0,AU344=""),"",AU344*365/(AX344*1000000))</f>
        <v/>
      </c>
      <c r="AZ344" s="15" t="n">
        <v>419880346.8245</v>
      </c>
      <c r="BA344" s="17" t="n">
        <v>60487233</v>
      </c>
      <c r="BB344" s="18" t="n">
        <v>34598550</v>
      </c>
      <c r="BC344" s="17" t="n">
        <v>2971663</v>
      </c>
      <c r="BD344" s="17">
        <f>1000000000-999522490.9541+149519.4326</f>
        <v/>
      </c>
      <c r="BE344" s="19">
        <f>1000000000-AZ344-BA344-BB344-BC344-BD344</f>
        <v/>
      </c>
      <c r="BF344" s="20" t="n">
        <v>238</v>
      </c>
      <c r="BG344" s="20">
        <f>BE344/1000000-BF344</f>
        <v/>
      </c>
      <c r="BH344" s="21">
        <f>BE344*39.09</f>
        <v/>
      </c>
    </row>
    <row r="345">
      <c r="A345" s="10" t="n">
        <v>45967</v>
      </c>
      <c r="B345" s="11" t="n">
        <v>10025511124</v>
      </c>
      <c r="C345" s="11" t="n">
        <v>72408906</v>
      </c>
      <c r="D345" s="12" t="n">
        <v>307467328</v>
      </c>
      <c r="E345" s="11" t="n"/>
      <c r="F345" s="12" t="n"/>
      <c r="G345" s="12" t="n"/>
      <c r="H345" s="12" t="n"/>
      <c r="I345" s="12" t="n">
        <v>72408906</v>
      </c>
      <c r="J345" s="12" t="n"/>
      <c r="K345" s="12" t="n"/>
      <c r="L345" s="21">
        <f>SUM(F345:K345)</f>
        <v/>
      </c>
      <c r="M345" s="28" t="n">
        <v>1.006322094654893</v>
      </c>
      <c r="N345" s="11" t="n">
        <v>3102603.61</v>
      </c>
      <c r="O345" s="11" t="n">
        <v>65246.84</v>
      </c>
      <c r="P345" s="11" t="n">
        <v>176404.93</v>
      </c>
      <c r="Q345" s="11" t="n"/>
      <c r="R345" s="21">
        <f>N345+O345+P345+N(Q345)</f>
        <v/>
      </c>
      <c r="S345" s="13" t="n">
        <v>0.01</v>
      </c>
      <c r="T345" s="21">
        <f>N(AC345)*S345</f>
        <v/>
      </c>
      <c r="U345" s="21">
        <f>N(AD345)*S345</f>
        <v/>
      </c>
      <c r="V345" s="21">
        <f>N(AE345)*S345</f>
        <v/>
      </c>
      <c r="W345" s="21">
        <f>IF(Q345="","",N(AF345)*S345)</f>
        <v/>
      </c>
      <c r="X345" s="11" t="n">
        <v>35692.53</v>
      </c>
      <c r="Y345" s="11" t="n">
        <v>32623.42</v>
      </c>
      <c r="Z345" s="11" t="n"/>
      <c r="AA345" s="21">
        <f>T345+U345+V345+N(W345)+X345+Y345+N(Z345)</f>
        <v/>
      </c>
      <c r="AB345" s="11" t="n">
        <v>281533.4171999999</v>
      </c>
      <c r="AC345" s="11" t="n">
        <v>3102603.61</v>
      </c>
      <c r="AD345" s="21">
        <f>O345-Y345</f>
        <v/>
      </c>
      <c r="AE345" s="21">
        <f>P345-X345</f>
        <v/>
      </c>
      <c r="AF345" s="21">
        <f>IF(Q345="","",Q345-Z345)</f>
        <v/>
      </c>
      <c r="AG345" s="22">
        <f>AC345+AD345+AE345+N(AF345)</f>
        <v/>
      </c>
      <c r="AH345" s="11" t="n">
        <v>2820403.43</v>
      </c>
      <c r="AI345" s="24">
        <f>AG345-AH345</f>
        <v/>
      </c>
      <c r="AJ345" s="14">
        <f>IF(OR(B345="",B345=0,N345=""),"",N345/B345*10000)</f>
        <v/>
      </c>
      <c r="AK345" s="14">
        <f>IF(OR(C345="",C345=0),"",O345/C345*10000)</f>
        <v/>
      </c>
      <c r="AL345" s="14">
        <f>IF(OR(D345="",D345=0),"",P345/D345*10000)</f>
        <v/>
      </c>
      <c r="AM345" s="14">
        <f>IF(OR(E345="",E345=0),"",Q345/E345*10000)</f>
        <v/>
      </c>
      <c r="AN345" s="11" t="n">
        <v>28589.39459381691</v>
      </c>
      <c r="AO345" s="11" t="n">
        <v>0</v>
      </c>
      <c r="AP345" s="21">
        <f>AH345+AN345+AO345</f>
        <v/>
      </c>
      <c r="AQ345" s="21">
        <f>AH345</f>
        <v/>
      </c>
      <c r="AR345" s="15" t="n">
        <v>71839.50999999999</v>
      </c>
      <c r="AS345" s="27" t="n">
        <v>39.259781</v>
      </c>
      <c r="AT345" s="15" t="n">
        <v>34669690.21</v>
      </c>
      <c r="AU345" s="15" t="n">
        <v>25961.9492</v>
      </c>
      <c r="AV345" s="15" t="n">
        <v>1791.5839</v>
      </c>
      <c r="AW345" s="15" t="n">
        <v>1745746</v>
      </c>
      <c r="AX345" s="16" t="n">
        <v>412.2916416449427</v>
      </c>
      <c r="AY345" s="13">
        <f>IF(OR(AX345="",AX345=0,AU345=""),"",AU345*365/(AX345*1000000))</f>
        <v/>
      </c>
      <c r="AZ345" s="15" t="n">
        <v>419854384.8753</v>
      </c>
      <c r="BA345" s="17" t="n">
        <v>60487233</v>
      </c>
      <c r="BB345" s="18" t="n">
        <v>34669690.21</v>
      </c>
      <c r="BC345" s="17" t="n">
        <v>2971663</v>
      </c>
      <c r="BD345" s="17">
        <f>1000000000-999520699.3702+150216.1911</f>
        <v/>
      </c>
      <c r="BE345" s="19">
        <f>1000000000-AZ345-BA345-BB345-BC345-BD345</f>
        <v/>
      </c>
      <c r="BF345" s="20" t="n">
        <v>236.254254</v>
      </c>
      <c r="BG345" s="20">
        <f>BE345/1000000-BF345</f>
        <v/>
      </c>
      <c r="BH345" s="21">
        <f>BE345*41.04</f>
        <v/>
      </c>
    </row>
    <row r="346">
      <c r="A346" s="10" t="n">
        <v>45968</v>
      </c>
      <c r="B346" s="11" t="n">
        <v>11452867117</v>
      </c>
      <c r="C346" s="11" t="n">
        <v>86339593</v>
      </c>
      <c r="D346" s="12" t="n">
        <v>269387178</v>
      </c>
      <c r="E346" s="11" t="n"/>
      <c r="F346" s="12" t="n"/>
      <c r="G346" s="12" t="n"/>
      <c r="H346" s="12" t="n"/>
      <c r="I346" s="12" t="n">
        <v>86339593</v>
      </c>
      <c r="J346" s="12" t="n"/>
      <c r="K346" s="12" t="n"/>
      <c r="L346" s="21">
        <f>SUM(F346:K346)</f>
        <v/>
      </c>
      <c r="M346" s="28" t="n">
        <v>0.9939260247035762</v>
      </c>
      <c r="N346" s="11" t="n">
        <v>3378286.83</v>
      </c>
      <c r="O346" s="11" t="n">
        <v>71780.64</v>
      </c>
      <c r="P346" s="11" t="n">
        <v>155297.42</v>
      </c>
      <c r="Q346" s="11" t="n"/>
      <c r="R346" s="21">
        <f>N346+O346+P346+N(Q346)</f>
        <v/>
      </c>
      <c r="S346" s="13" t="n">
        <v>0.01</v>
      </c>
      <c r="T346" s="21">
        <f>N(AC346)*S346</f>
        <v/>
      </c>
      <c r="U346" s="21">
        <f>N(AD346)*S346</f>
        <v/>
      </c>
      <c r="V346" s="21">
        <f>N(AE346)*S346</f>
        <v/>
      </c>
      <c r="W346" s="21">
        <f>IF(Q346="","",N(AF346)*S346)</f>
        <v/>
      </c>
      <c r="X346" s="11" t="n">
        <v>30464.46</v>
      </c>
      <c r="Y346" s="11" t="n">
        <v>35890.32</v>
      </c>
      <c r="Z346" s="11" t="n"/>
      <c r="AA346" s="21">
        <f>T346+U346+V346+N(W346)+X346+Y346+N(Z346)</f>
        <v/>
      </c>
      <c r="AB346" s="11" t="n">
        <v>232792.3189</v>
      </c>
      <c r="AC346" s="11" t="n">
        <v>3378286.83</v>
      </c>
      <c r="AD346" s="21">
        <f>O346-Y346</f>
        <v/>
      </c>
      <c r="AE346" s="21">
        <f>P346-X346</f>
        <v/>
      </c>
      <c r="AF346" s="21">
        <f>IF(Q346="","",Q346-Z346)</f>
        <v/>
      </c>
      <c r="AG346" s="22">
        <f>AC346+AD346+AE346+N(AF346)</f>
        <v/>
      </c>
      <c r="AH346" s="11" t="n">
        <v>3221804.45</v>
      </c>
      <c r="AI346" s="24">
        <f>AG346-AH346</f>
        <v/>
      </c>
      <c r="AJ346" s="14">
        <f>IF(OR(B346="",B346=0,N346=""),"",N346/B346*10000)</f>
        <v/>
      </c>
      <c r="AK346" s="14">
        <f>IF(OR(C346="",C346=0),"",O346/C346*10000)</f>
        <v/>
      </c>
      <c r="AL346" s="14">
        <f>IF(OR(D346="",D346=0),"",P346/D346*10000)</f>
        <v/>
      </c>
      <c r="AM346" s="14">
        <f>IF(OR(E346="",E346=0),"",Q346/E346*10000)</f>
        <v/>
      </c>
      <c r="AN346" s="11" t="n">
        <v>44091.68789968252</v>
      </c>
      <c r="AO346" s="11" t="n">
        <v>23098.24</v>
      </c>
      <c r="AP346" s="21">
        <f>AH346+AN346+AO346</f>
        <v/>
      </c>
      <c r="AQ346" s="21">
        <f>AH346</f>
        <v/>
      </c>
      <c r="AR346" s="15" t="n">
        <v>79550.84</v>
      </c>
      <c r="AS346" s="27" t="n">
        <v>40.499943</v>
      </c>
      <c r="AT346" s="15" t="n">
        <v>34749096.65</v>
      </c>
      <c r="AU346" s="15" t="n">
        <v>25933.0357</v>
      </c>
      <c r="AV346" s="15" t="n">
        <v>769.2206</v>
      </c>
      <c r="AW346" s="15" t="n"/>
      <c r="AX346" s="16" t="n">
        <v>412.380673958282</v>
      </c>
      <c r="AY346" s="13">
        <f>IF(OR(AX346="",AX346=0,AU346=""),"",AU346*365/(AX346*1000000))</f>
        <v/>
      </c>
      <c r="AZ346" s="15" t="n">
        <v>419828451.8396</v>
      </c>
      <c r="BA346" s="17" t="n">
        <v>60487233</v>
      </c>
      <c r="BB346" s="18" t="n">
        <v>34749096.65</v>
      </c>
      <c r="BC346" s="17" t="n">
        <v>2971663</v>
      </c>
      <c r="BD346" s="17">
        <f>1000000000-999519930.1496+151363.1875</f>
        <v/>
      </c>
      <c r="BE346" s="19">
        <f>1000000000-AZ346-BA346-BB346-BC346-BD346</f>
        <v/>
      </c>
      <c r="BF346" s="20" t="n">
        <v>236.254254</v>
      </c>
      <c r="BG346" s="20">
        <f>BE346/1000000-BF346</f>
        <v/>
      </c>
      <c r="BH346" s="21">
        <f>BE346*38.44</f>
        <v/>
      </c>
    </row>
    <row r="347">
      <c r="A347" s="10" t="n">
        <v>45969</v>
      </c>
      <c r="B347" s="11" t="n">
        <v>5598834970</v>
      </c>
      <c r="C347" s="11" t="n">
        <v>17353200</v>
      </c>
      <c r="D347" s="12" t="n">
        <v>269222630</v>
      </c>
      <c r="E347" s="11" t="n"/>
      <c r="F347" s="12" t="n"/>
      <c r="G347" s="12" t="n"/>
      <c r="H347" s="12" t="n"/>
      <c r="I347" s="12" t="n">
        <v>17353200</v>
      </c>
      <c r="J347" s="12" t="n"/>
      <c r="K347" s="12" t="n"/>
      <c r="L347" s="21">
        <f>SUM(F347:K347)</f>
        <v/>
      </c>
      <c r="M347" s="28" t="n">
        <v>1.000674783841623</v>
      </c>
      <c r="N347" s="11" t="n">
        <v>1835513.57</v>
      </c>
      <c r="O347" s="11" t="n">
        <v>19184.82</v>
      </c>
      <c r="P347" s="11" t="n">
        <v>188520.95</v>
      </c>
      <c r="Q347" s="11" t="n"/>
      <c r="R347" s="21">
        <f>N347+O347+P347+N(Q347)</f>
        <v/>
      </c>
      <c r="S347" s="13" t="n">
        <v>0.01</v>
      </c>
      <c r="T347" s="21">
        <f>N(AC347)*S347</f>
        <v/>
      </c>
      <c r="U347" s="21">
        <f>N(AD347)*S347</f>
        <v/>
      </c>
      <c r="V347" s="21">
        <f>N(AE347)*S347</f>
        <v/>
      </c>
      <c r="W347" s="21">
        <f>IF(Q347="","",N(AF347)*S347)</f>
        <v/>
      </c>
      <c r="X347" s="11" t="n">
        <v>35473.42</v>
      </c>
      <c r="Y347" s="11" t="n">
        <v>9592.41</v>
      </c>
      <c r="Z347" s="11" t="n"/>
      <c r="AA347" s="21">
        <f>T347+U347+V347+N(W347)+X347+Y347+N(Z347)</f>
        <v/>
      </c>
      <c r="AB347" s="11" t="n">
        <v>246509.0123</v>
      </c>
      <c r="AC347" s="11" t="n">
        <v>1835513.57</v>
      </c>
      <c r="AD347" s="21">
        <f>O347-Y347</f>
        <v/>
      </c>
      <c r="AE347" s="21">
        <f>P347-X347</f>
        <v/>
      </c>
      <c r="AF347" s="21">
        <f>IF(Q347="","",Q347-Z347)</f>
        <v/>
      </c>
      <c r="AG347" s="22">
        <f>AC347+AD347+AE347+N(AF347)</f>
        <v/>
      </c>
      <c r="AH347" s="11" t="n">
        <v>1626720.04</v>
      </c>
      <c r="AI347" s="24">
        <f>AG347-AH347</f>
        <v/>
      </c>
      <c r="AJ347" s="14">
        <f>IF(OR(B347="",B347=0,N347=""),"",N347/B347*10000)</f>
        <v/>
      </c>
      <c r="AK347" s="14">
        <f>IF(OR(C347="",C347=0),"",O347/C347*10000)</f>
        <v/>
      </c>
      <c r="AL347" s="14">
        <f>IF(OR(D347="",D347=0),"",P347/D347*10000)</f>
        <v/>
      </c>
      <c r="AM347" s="14">
        <f>IF(OR(E347="",E347=0),"",Q347/E347*10000)</f>
        <v/>
      </c>
      <c r="AN347" s="11" t="n">
        <v>17413.2966265166</v>
      </c>
      <c r="AO347" s="11" t="n">
        <v>21111.32</v>
      </c>
      <c r="AP347" s="21">
        <f>AH347+AN347+AO347</f>
        <v/>
      </c>
      <c r="AQ347" s="21">
        <f>AH347</f>
        <v/>
      </c>
      <c r="AR347" s="15" t="n">
        <v>39496.34</v>
      </c>
      <c r="AS347" s="27" t="n">
        <v>41.186602</v>
      </c>
      <c r="AT347" s="15" t="n">
        <v>34788699.69</v>
      </c>
      <c r="AU347" s="15" t="n">
        <v>25923.3665</v>
      </c>
      <c r="AV347" s="15" t="n">
        <v>2190.7271</v>
      </c>
      <c r="AW347" s="15" t="n"/>
      <c r="AX347" s="16" t="n">
        <v>412.4567551438001</v>
      </c>
      <c r="AY347" s="13">
        <f>IF(OR(AX347="",AX347=0,AU347=""),"",AU347*365/(AX347*1000000))</f>
        <v/>
      </c>
      <c r="AZ347" s="15" t="n">
        <v>419802528.4731</v>
      </c>
      <c r="BA347" s="17" t="n">
        <v>60487233</v>
      </c>
      <c r="BB347" s="18" t="n">
        <v>34788699.69</v>
      </c>
      <c r="BC347" s="17" t="n">
        <v>2971663</v>
      </c>
      <c r="BD347" s="17">
        <f>1000000000-999517739.4225+151776.6871</f>
        <v/>
      </c>
      <c r="BE347" s="19">
        <f>1000000000-AZ347-BA347-BB347-BC347-BD347</f>
        <v/>
      </c>
      <c r="BF347" s="20" t="n">
        <v>236.254254</v>
      </c>
      <c r="BG347" s="20">
        <f>BE347/1000000-BF347</f>
        <v/>
      </c>
      <c r="BH347" s="21">
        <f>BE347*42.09</f>
        <v/>
      </c>
    </row>
    <row r="348">
      <c r="A348" s="10" t="n">
        <v>45970</v>
      </c>
      <c r="B348" s="11" t="n">
        <v>6118478812</v>
      </c>
      <c r="C348" s="11" t="n">
        <v>35940775</v>
      </c>
      <c r="D348" s="11" t="n">
        <v>294063499</v>
      </c>
      <c r="E348" s="11" t="n"/>
      <c r="F348" s="12" t="n"/>
      <c r="G348" s="12" t="n"/>
      <c r="H348" s="12" t="n"/>
      <c r="I348" s="12" t="n">
        <v>35940775</v>
      </c>
      <c r="J348" s="12" t="n"/>
      <c r="K348" s="12" t="n"/>
      <c r="L348" s="21">
        <f>SUM(F348:K348)</f>
        <v/>
      </c>
      <c r="M348" s="28" t="n">
        <v>0.9975311803465217</v>
      </c>
      <c r="N348" s="11" t="n">
        <v>1971179.95</v>
      </c>
      <c r="O348" s="11" t="n">
        <v>34992</v>
      </c>
      <c r="P348" s="11" t="n">
        <v>105295.27</v>
      </c>
      <c r="Q348" s="11" t="n"/>
      <c r="R348" s="21">
        <f>N348+O348+P348+N(Q348)</f>
        <v/>
      </c>
      <c r="S348" s="13" t="n">
        <v>0.01</v>
      </c>
      <c r="T348" s="21">
        <f>N(AC348)*S348</f>
        <v/>
      </c>
      <c r="U348" s="21">
        <f>N(AD348)*S348</f>
        <v/>
      </c>
      <c r="V348" s="21">
        <f>N(AE348)*S348</f>
        <v/>
      </c>
      <c r="W348" s="21">
        <f>IF(Q348="","",N(AF348)*S348)</f>
        <v/>
      </c>
      <c r="X348" s="11" t="n">
        <v>20974.59</v>
      </c>
      <c r="Y348" s="11" t="n">
        <v>17496</v>
      </c>
      <c r="Z348" s="11" t="n"/>
      <c r="AA348" s="21">
        <f>T348+U348+V348+N(W348)+X348+Y348+N(Z348)</f>
        <v/>
      </c>
      <c r="AB348" s="11" t="n">
        <v>206304.4173</v>
      </c>
      <c r="AC348" s="11" t="n">
        <v>1971179.95</v>
      </c>
      <c r="AD348" s="21">
        <f>O348-Y348</f>
        <v/>
      </c>
      <c r="AE348" s="21">
        <f>P348-X348</f>
        <v/>
      </c>
      <c r="AF348" s="21">
        <f>IF(Q348="","",Q348-Z348)</f>
        <v/>
      </c>
      <c r="AG348" s="22">
        <f>AC348+AD348+AE348+N(AF348)</f>
        <v/>
      </c>
      <c r="AH348" s="11" t="n">
        <v>1728449.96</v>
      </c>
      <c r="AI348" s="24">
        <f>AG348-AH348</f>
        <v/>
      </c>
      <c r="AJ348" s="14">
        <f>IF(OR(B348="",B348=0,N348=""),"",N348/B348*10000)</f>
        <v/>
      </c>
      <c r="AK348" s="14">
        <f>IF(OR(C348="",C348=0),"",O348/C348*10000)</f>
        <v/>
      </c>
      <c r="AL348" s="14">
        <f>IF(OR(D348="",D348=0),"",P348/D348*10000)</f>
        <v/>
      </c>
      <c r="AM348" s="14">
        <f>IF(OR(E348="",E348=0),"",Q348/E348*10000)</f>
        <v/>
      </c>
      <c r="AN348" s="11" t="n">
        <v>17823.69843861972</v>
      </c>
      <c r="AO348" s="11" t="n">
        <v>0</v>
      </c>
      <c r="AP348" s="21">
        <f>AH348+AN348+AO348</f>
        <v/>
      </c>
      <c r="AQ348" s="21">
        <f>AH348</f>
        <v/>
      </c>
      <c r="AR348" s="15" t="n">
        <v>42278.57</v>
      </c>
      <c r="AS348" s="27" t="n">
        <v>40.882413</v>
      </c>
      <c r="AT348" s="15" t="n">
        <v>34831432.51</v>
      </c>
      <c r="AU348" s="15" t="n">
        <v>25894.7721</v>
      </c>
      <c r="AV348" s="15" t="n">
        <v>972.6213</v>
      </c>
      <c r="AW348" s="15" t="n"/>
      <c r="AX348" s="16" t="n">
        <v>411.8896649509837</v>
      </c>
      <c r="AY348" s="13">
        <f>IF(OR(AX348="",AX348=0,AU348=""),"",AU348*365/(AX348*1000000))</f>
        <v/>
      </c>
      <c r="AZ348" s="15" t="n">
        <v>419776633.701</v>
      </c>
      <c r="BA348" s="17" t="n">
        <v>60487233</v>
      </c>
      <c r="BB348" s="18" t="n">
        <v>34831432.51</v>
      </c>
      <c r="BC348" s="17" t="n">
        <v>2971663</v>
      </c>
      <c r="BD348" s="17">
        <f>1000000000-999516766.8012+152221.9456</f>
        <v/>
      </c>
      <c r="BE348" s="19">
        <f>1000000000-AZ348-BA348-BB348-BC348-BD348</f>
        <v/>
      </c>
      <c r="BF348" s="20" t="n">
        <v>236.254254</v>
      </c>
      <c r="BG348" s="20">
        <f>BE348/1000000-BF348</f>
        <v/>
      </c>
      <c r="BH348" s="21">
        <f>BE348*40.06</f>
        <v/>
      </c>
    </row>
    <row r="349">
      <c r="A349" s="10" t="n">
        <v>45971</v>
      </c>
      <c r="B349" s="11" t="n">
        <v>8805762772</v>
      </c>
      <c r="C349" s="11" t="n">
        <v>48277276</v>
      </c>
      <c r="D349" s="11" t="n">
        <v>336158013</v>
      </c>
      <c r="E349" s="11" t="n"/>
      <c r="F349" s="12" t="n"/>
      <c r="G349" s="12" t="n"/>
      <c r="H349" s="12" t="n"/>
      <c r="I349" s="12" t="n">
        <v>48277276</v>
      </c>
      <c r="J349" s="12" t="n"/>
      <c r="K349" s="12" t="n"/>
      <c r="L349" s="21">
        <f>SUM(F349:K349)</f>
        <v/>
      </c>
      <c r="M349" s="28" t="n">
        <v>0.9923980344882536</v>
      </c>
      <c r="N349" s="11" t="n">
        <v>2775951.2</v>
      </c>
      <c r="O349" s="11" t="n">
        <v>43486.58</v>
      </c>
      <c r="P349" s="11" t="n">
        <v>134181.22</v>
      </c>
      <c r="Q349" s="11" t="n"/>
      <c r="R349" s="21">
        <f>N349+O349+P349+N(Q349)</f>
        <v/>
      </c>
      <c r="S349" s="13" t="n">
        <v>0.01</v>
      </c>
      <c r="T349" s="21">
        <f>N(AC349)*S349</f>
        <v/>
      </c>
      <c r="U349" s="21">
        <f>N(AD349)*S349</f>
        <v/>
      </c>
      <c r="V349" s="21">
        <f>N(AE349)*S349</f>
        <v/>
      </c>
      <c r="W349" s="21">
        <f>IF(Q349="","",N(AF349)*S349)</f>
        <v/>
      </c>
      <c r="X349" s="11" t="n">
        <v>27029.87</v>
      </c>
      <c r="Y349" s="11" t="n">
        <v>21743.29</v>
      </c>
      <c r="Z349" s="11" t="n"/>
      <c r="AA349" s="21">
        <f>T349+U349+V349+N(W349)+X349+Y349+N(Z349)</f>
        <v/>
      </c>
      <c r="AB349" s="11" t="n">
        <v>253266.9706</v>
      </c>
      <c r="AC349" s="11" t="n">
        <v>2775951.2</v>
      </c>
      <c r="AD349" s="21">
        <f>O349-Y349</f>
        <v/>
      </c>
      <c r="AE349" s="21">
        <f>P349-X349</f>
        <v/>
      </c>
      <c r="AF349" s="21">
        <f>IF(Q349="","",Q349-Z349)</f>
        <v/>
      </c>
      <c r="AG349" s="22">
        <f>AC349+AD349+AE349+N(AF349)</f>
        <v/>
      </c>
      <c r="AH349" s="11" t="n">
        <v>2462236.88</v>
      </c>
      <c r="AI349" s="24">
        <f>AG349-AH349</f>
        <v/>
      </c>
      <c r="AJ349" s="14">
        <f>IF(OR(B349="",B349=0,N349=""),"",N349/B349*10000)</f>
        <v/>
      </c>
      <c r="AK349" s="14">
        <f>IF(OR(C349="",C349=0),"",O349/C349*10000)</f>
        <v/>
      </c>
      <c r="AL349" s="14">
        <f>IF(OR(D349="",D349=0),"",P349/D349*10000)</f>
        <v/>
      </c>
      <c r="AM349" s="14">
        <f>IF(OR(E349="",E349=0),"",Q349/E349*10000)</f>
        <v/>
      </c>
      <c r="AN349" s="11" t="n">
        <v>21912.36709961436</v>
      </c>
      <c r="AO349" s="11" t="n">
        <v>28690.77</v>
      </c>
      <c r="AP349" s="21">
        <f>AH349+AN349+AO349</f>
        <v/>
      </c>
      <c r="AQ349" s="21">
        <f>AH349</f>
        <v/>
      </c>
      <c r="AR349" s="15" t="n">
        <v>58760.44</v>
      </c>
      <c r="AS349" s="27" t="n">
        <v>41.902969</v>
      </c>
      <c r="AT349" s="15" t="n">
        <v>34889688.91</v>
      </c>
      <c r="AU349" s="15" t="n">
        <v>25893.8588</v>
      </c>
      <c r="AV349" s="15" t="n">
        <v>1115.504</v>
      </c>
      <c r="AW349" s="15" t="n"/>
      <c r="AX349" s="16" t="n">
        <v>411.540995850104</v>
      </c>
      <c r="AY349" s="13">
        <f>IF(OR(AX349="",AX349=0,AU349=""),"",AU349*365/(AX349*1000000))</f>
        <v/>
      </c>
      <c r="AZ349" s="15" t="n">
        <v>419750739.8422</v>
      </c>
      <c r="BA349" s="17" t="n">
        <v>60487233</v>
      </c>
      <c r="BB349" s="18" t="n">
        <v>34889688.91</v>
      </c>
      <c r="BC349" s="17" t="n">
        <v>2971663</v>
      </c>
      <c r="BD349" s="17">
        <f>1000000000-999515651.2972+152744.0540</f>
        <v/>
      </c>
      <c r="BE349" s="19">
        <f>1000000000-AZ349-BA349-BB349-BC349-BD349</f>
        <v/>
      </c>
      <c r="BF349" s="20" t="n">
        <v>236.254254</v>
      </c>
      <c r="BG349" s="20">
        <f>BE349/1000000-BF349</f>
        <v/>
      </c>
      <c r="BH349" s="21">
        <f>BE349*41.98</f>
        <v/>
      </c>
    </row>
    <row r="350">
      <c r="A350" s="10" t="n">
        <v>45972</v>
      </c>
      <c r="B350" s="11" t="n">
        <v>9377492722</v>
      </c>
      <c r="C350" s="11" t="n">
        <v>51882733</v>
      </c>
      <c r="D350" s="11" t="n">
        <v>262212552</v>
      </c>
      <c r="E350" s="11" t="n"/>
      <c r="F350" s="12" t="n"/>
      <c r="G350" s="12" t="n"/>
      <c r="H350" s="12" t="n"/>
      <c r="I350" s="12" t="n">
        <v>51882733</v>
      </c>
      <c r="J350" s="12" t="n"/>
      <c r="K350" s="12" t="n"/>
      <c r="L350" s="21">
        <f>SUM(F350:K350)</f>
        <v/>
      </c>
      <c r="M350" s="28" t="n">
        <v>0.9985754592145786</v>
      </c>
      <c r="N350" s="11" t="n">
        <v>2885985.51</v>
      </c>
      <c r="O350" s="11" t="n">
        <v>45789.72</v>
      </c>
      <c r="P350" s="11" t="n">
        <v>180129.91</v>
      </c>
      <c r="Q350" s="11" t="n"/>
      <c r="R350" s="21">
        <f>N350+O350+P350+N(Q350)</f>
        <v/>
      </c>
      <c r="S350" s="13" t="n">
        <v>0.01</v>
      </c>
      <c r="T350" s="21">
        <f>N(AC350)*S350</f>
        <v/>
      </c>
      <c r="U350" s="21">
        <f>N(AD350)*S350</f>
        <v/>
      </c>
      <c r="V350" s="21">
        <f>N(AE350)*S350</f>
        <v/>
      </c>
      <c r="W350" s="21">
        <f>IF(Q350="","",N(AF350)*S350)</f>
        <v/>
      </c>
      <c r="X350" s="11" t="n">
        <v>27742.92</v>
      </c>
      <c r="Y350" s="11" t="n">
        <v>22894.86</v>
      </c>
      <c r="Z350" s="11" t="n"/>
      <c r="AA350" s="21">
        <f>T350+U350+V350+N(W350)+X350+Y350+N(Z350)</f>
        <v/>
      </c>
      <c r="AB350" s="11" t="n">
        <v>239391.8543</v>
      </c>
      <c r="AC350" s="11" t="n">
        <v>2885985.51</v>
      </c>
      <c r="AD350" s="21">
        <f>O350-Y350</f>
        <v/>
      </c>
      <c r="AE350" s="21">
        <f>P350-X350</f>
        <v/>
      </c>
      <c r="AF350" s="21">
        <f>IF(Q350="","",Q350-Z350)</f>
        <v/>
      </c>
      <c r="AG350" s="22">
        <f>AC350+AD350+AE350+N(AF350)</f>
        <v/>
      </c>
      <c r="AH350" s="11" t="n">
        <v>2630949.04</v>
      </c>
      <c r="AI350" s="24">
        <f>AG350-AH350</f>
        <v/>
      </c>
      <c r="AJ350" s="14">
        <f>IF(OR(B350="",B350=0,N350=""),"",N350/B350*10000)</f>
        <v/>
      </c>
      <c r="AK350" s="14">
        <f>IF(OR(C350="",C350=0),"",O350/C350*10000)</f>
        <v/>
      </c>
      <c r="AL350" s="14">
        <f>IF(OR(D350="",D350=0),"",P350/D350*10000)</f>
        <v/>
      </c>
      <c r="AM350" s="14">
        <f>IF(OR(E350="",E350=0),"",Q350/E350*10000)</f>
        <v/>
      </c>
      <c r="AN350" s="11" t="n">
        <v>21951.803370227</v>
      </c>
      <c r="AO350" s="11" t="n">
        <v>0</v>
      </c>
      <c r="AP350" s="21">
        <f>AH350+AN350+AO350</f>
        <v/>
      </c>
      <c r="AQ350" s="21">
        <f>AH350</f>
        <v/>
      </c>
      <c r="AR350" s="15" t="n">
        <v>65665.92999999999</v>
      </c>
      <c r="AS350" s="27" t="n">
        <v>40.065663</v>
      </c>
      <c r="AT350" s="15" t="n">
        <v>34955480.73</v>
      </c>
      <c r="AU350" s="15" t="n">
        <v>25897.845</v>
      </c>
      <c r="AV350" s="15" t="n">
        <v>1227.8531</v>
      </c>
      <c r="AW350" s="15" t="n"/>
      <c r="AX350" s="16" t="n">
        <v>413.4302438469636</v>
      </c>
      <c r="AY350" s="13">
        <f>IF(OR(AX350="",AX350=0,AU350=""),"",AU350*365/(AX350*1000000))</f>
        <v/>
      </c>
      <c r="AZ350" s="15" t="n">
        <v>419724841.9973</v>
      </c>
      <c r="BA350" s="17" t="n">
        <v>60487233</v>
      </c>
      <c r="BB350" s="18" t="n">
        <v>34955480.73</v>
      </c>
      <c r="BC350" s="17" t="n">
        <v>2971663</v>
      </c>
      <c r="BD350" s="17">
        <f>1000000000-999514423.4441+153279.9474</f>
        <v/>
      </c>
      <c r="BE350" s="19">
        <f>1000000000-AZ350-BA350-BB350-BC350-BD350</f>
        <v/>
      </c>
      <c r="BF350" s="20" t="n">
        <v>236.254254</v>
      </c>
      <c r="BG350" s="20">
        <f>BE350/1000000-BF350</f>
        <v/>
      </c>
      <c r="BH350" s="21">
        <f>BE350*40.99</f>
        <v/>
      </c>
    </row>
    <row r="351">
      <c r="A351" s="10" t="n">
        <v>45973</v>
      </c>
      <c r="B351" s="11" t="n">
        <v>7870620922</v>
      </c>
      <c r="C351" s="11" t="n">
        <v>55323534</v>
      </c>
      <c r="D351" s="11" t="n">
        <v>296326626</v>
      </c>
      <c r="E351" s="11" t="n"/>
      <c r="F351" s="12" t="n"/>
      <c r="G351" s="12" t="n"/>
      <c r="H351" s="12" t="n"/>
      <c r="I351" s="12" t="n">
        <v>48442635.21381724</v>
      </c>
      <c r="J351" s="12" t="n"/>
      <c r="K351" s="12" t="n">
        <v>6880898.786182757</v>
      </c>
      <c r="L351" s="21">
        <f>SUM(F351:K351)</f>
        <v/>
      </c>
      <c r="M351" s="28" t="n">
        <v>1.004955560829126</v>
      </c>
      <c r="N351" s="11" t="n">
        <v>2479062.12</v>
      </c>
      <c r="O351" s="11" t="n">
        <v>49971.74</v>
      </c>
      <c r="P351" s="11" t="n">
        <v>132261.37</v>
      </c>
      <c r="Q351" s="11" t="n"/>
      <c r="R351" s="21">
        <f>N351+O351+P351+N(Q351)</f>
        <v/>
      </c>
      <c r="S351" s="13" t="n">
        <v>0.01</v>
      </c>
      <c r="T351" s="21">
        <f>N(AC351)*S351</f>
        <v/>
      </c>
      <c r="U351" s="21">
        <f>N(AD351)*S351</f>
        <v/>
      </c>
      <c r="V351" s="21">
        <f>N(AE351)*S351</f>
        <v/>
      </c>
      <c r="W351" s="21">
        <f>IF(Q351="","",N(AF351)*S351)</f>
        <v/>
      </c>
      <c r="X351" s="11" t="n">
        <v>25511.72</v>
      </c>
      <c r="Y351" s="11" t="n">
        <v>24985.87</v>
      </c>
      <c r="Z351" s="11" t="n"/>
      <c r="AA351" s="21">
        <f>T351+U351+V351+N(W351)+X351+Y351+N(Z351)</f>
        <v/>
      </c>
      <c r="AB351" s="11" t="n">
        <v>212202.5705</v>
      </c>
      <c r="AC351" s="11" t="n">
        <v>2479062.12</v>
      </c>
      <c r="AD351" s="21">
        <f>O351-Y351</f>
        <v/>
      </c>
      <c r="AE351" s="21">
        <f>P351-X351</f>
        <v/>
      </c>
      <c r="AF351" s="21">
        <f>IF(Q351="","",Q351-Z351)</f>
        <v/>
      </c>
      <c r="AG351" s="22">
        <f>AC351+AD351+AE351+N(AF351)</f>
        <v/>
      </c>
      <c r="AH351" s="11" t="n">
        <v>2222071.34</v>
      </c>
      <c r="AI351" s="24">
        <f>AG351-AH351</f>
        <v/>
      </c>
      <c r="AJ351" s="14">
        <f>IF(OR(B351="",B351=0,N351=""),"",N351/B351*10000)</f>
        <v/>
      </c>
      <c r="AK351" s="14">
        <f>IF(OR(C351="",C351=0),"",O351/C351*10000)</f>
        <v/>
      </c>
      <c r="AL351" s="14">
        <f>IF(OR(D351="",D351=0),"",P351/D351*10000)</f>
        <v/>
      </c>
      <c r="AM351" s="14">
        <f>IF(OR(E351="",E351=0),"",Q351/E351*10000)</f>
        <v/>
      </c>
      <c r="AN351" s="11" t="n">
        <v>23955.71629433637</v>
      </c>
      <c r="AO351" s="11" t="n">
        <v>19323.27</v>
      </c>
      <c r="AP351" s="21">
        <f>AH351+AN351+AO351</f>
        <v/>
      </c>
      <c r="AQ351" s="21">
        <f>AH351</f>
        <v/>
      </c>
      <c r="AR351" s="15" t="n">
        <v>57050.12</v>
      </c>
      <c r="AS351" s="27" t="n">
        <v>38.94946</v>
      </c>
      <c r="AT351" s="15" t="n">
        <v>35011836.54</v>
      </c>
      <c r="AU351" s="15" t="n">
        <v>25950.145</v>
      </c>
      <c r="AV351" s="15" t="n">
        <v>1130.4074</v>
      </c>
      <c r="AW351" s="15" t="n"/>
      <c r="AX351" s="16" t="n">
        <v>413.269868349044</v>
      </c>
      <c r="AY351" s="13">
        <f>IF(OR(AX351="",AX351=0,AU351=""),"",AU351*365/(AX351*1000000))</f>
        <v/>
      </c>
      <c r="AZ351" s="15" t="n">
        <v>419698891.8523</v>
      </c>
      <c r="BA351" s="17" t="n">
        <v>60487233</v>
      </c>
      <c r="BB351" s="18" t="n">
        <v>35011836.54</v>
      </c>
      <c r="BC351" s="17" t="n">
        <v>2971663</v>
      </c>
      <c r="BD351" s="17">
        <f>1000000000-999513293.0366+153897.9043</f>
        <v/>
      </c>
      <c r="BE351" s="19">
        <f>1000000000-AZ351-BA351-BB351-BC351-BD351</f>
        <v/>
      </c>
      <c r="BF351" s="20" t="n">
        <v>236.254254</v>
      </c>
      <c r="BG351" s="20">
        <f>BE351/1000000-BF351</f>
        <v/>
      </c>
      <c r="BH351" s="21">
        <f>BE351*38.76</f>
        <v/>
      </c>
    </row>
    <row r="352">
      <c r="A352" s="10" t="n">
        <v>45974</v>
      </c>
      <c r="B352" s="11" t="n">
        <v>13169557696</v>
      </c>
      <c r="C352" s="11" t="n">
        <v>77882779</v>
      </c>
      <c r="D352" s="12" t="n">
        <v>265738556</v>
      </c>
      <c r="E352" s="11" t="n"/>
      <c r="F352" s="12" t="n"/>
      <c r="G352" s="12" t="n"/>
      <c r="H352" s="12" t="n"/>
      <c r="I352" s="12" t="n">
        <v>48070256.58358736</v>
      </c>
      <c r="J352" s="12" t="n">
        <v>236956.2169737206</v>
      </c>
      <c r="K352" s="12" t="n">
        <v>29575566.19943892</v>
      </c>
      <c r="L352" s="21">
        <f>SUM(F352:K352)</f>
        <v/>
      </c>
      <c r="M352" s="28" t="n">
        <v>1.010980254458058</v>
      </c>
      <c r="N352" s="11" t="n">
        <v>4008874.82</v>
      </c>
      <c r="O352" s="11" t="n">
        <v>72404.58</v>
      </c>
      <c r="P352" s="11" t="n">
        <v>141531.15</v>
      </c>
      <c r="Q352" s="11" t="n"/>
      <c r="R352" s="21">
        <f>N352+O352+P352+N(Q352)</f>
        <v/>
      </c>
      <c r="S352" s="13" t="n">
        <v>0.01</v>
      </c>
      <c r="T352" s="21">
        <f>N(AC352)*S352</f>
        <v/>
      </c>
      <c r="U352" s="21">
        <f>N(AD352)*S352</f>
        <v/>
      </c>
      <c r="V352" s="21">
        <f>N(AE352)*S352</f>
        <v/>
      </c>
      <c r="W352" s="21">
        <f>IF(Q352="","",N(AF352)*S352)</f>
        <v/>
      </c>
      <c r="X352" s="11" t="n">
        <v>28753.21</v>
      </c>
      <c r="Y352" s="11" t="n">
        <v>36202.29</v>
      </c>
      <c r="Z352" s="11" t="n"/>
      <c r="AA352" s="21">
        <f>T352+U352+V352+N(W352)+X352+Y352+N(Z352)</f>
        <v/>
      </c>
      <c r="AB352" s="11" t="n">
        <v>280334.8551999999</v>
      </c>
      <c r="AC352" s="11" t="n">
        <v>4008874.82</v>
      </c>
      <c r="AD352" s="21">
        <f>O352-Y352</f>
        <v/>
      </c>
      <c r="AE352" s="21">
        <f>P352-X352</f>
        <v/>
      </c>
      <c r="AF352" s="21">
        <f>IF(Q352="","",Q352-Z352)</f>
        <v/>
      </c>
      <c r="AG352" s="22">
        <f>AC352+AD352+AE352+N(AF352)</f>
        <v/>
      </c>
      <c r="AH352" s="11" t="n">
        <v>3637329.07</v>
      </c>
      <c r="AI352" s="24">
        <f>AG352-AH352</f>
        <v/>
      </c>
      <c r="AJ352" s="14">
        <f>IF(OR(B352="",B352=0,N352=""),"",N352/B352*10000)</f>
        <v/>
      </c>
      <c r="AK352" s="14">
        <f>IF(OR(C352="",C352=0),"",O352/C352*10000)</f>
        <v/>
      </c>
      <c r="AL352" s="14">
        <f>IF(OR(D352="",D352=0),"",P352/D352*10000)</f>
        <v/>
      </c>
      <c r="AM352" s="14">
        <f>IF(OR(E352="",E352=0),"",Q352/E352*10000)</f>
        <v/>
      </c>
      <c r="AN352" s="11" t="n">
        <v>24421.98486641538</v>
      </c>
      <c r="AO352" s="11" t="n">
        <v>0</v>
      </c>
      <c r="AP352" s="21">
        <f>AH352+AN352+AO352</f>
        <v/>
      </c>
      <c r="AQ352" s="21">
        <f>AH352</f>
        <v/>
      </c>
      <c r="AR352" s="15" t="n">
        <v>95270.13</v>
      </c>
      <c r="AS352" s="27" t="n">
        <v>38.179113</v>
      </c>
      <c r="AT352" s="15" t="n">
        <v>35109691.56</v>
      </c>
      <c r="AU352" s="15" t="n">
        <v>25638.1525</v>
      </c>
      <c r="AV352" s="15" t="n">
        <v>1508.7648</v>
      </c>
      <c r="AW352" s="15" t="n"/>
      <c r="AX352" s="16" t="n">
        <v>426.4963239929122</v>
      </c>
      <c r="AY352" s="13">
        <f>IF(OR(AX352="",AX352=0,AU352=""),"",AU352*365/(AX352*1000000))</f>
        <v/>
      </c>
      <c r="AZ352" s="15" t="n">
        <v>419673253.6997</v>
      </c>
      <c r="BA352" s="17" t="n">
        <v>60487233</v>
      </c>
      <c r="BB352" s="18" t="n">
        <v>35109691.56</v>
      </c>
      <c r="BC352" s="17" t="n">
        <v>2971663</v>
      </c>
      <c r="BD352" s="17">
        <f>1000000000-999511784.2719+154537.1396</f>
        <v/>
      </c>
      <c r="BE352" s="19">
        <f>1000000000-AZ352-BA352-BB352-BC352-BD352</f>
        <v/>
      </c>
      <c r="BF352" s="20" t="n">
        <v>236.254254</v>
      </c>
      <c r="BG352" s="20">
        <f>BE352/1000000-BF352</f>
        <v/>
      </c>
      <c r="BH352" s="21">
        <f>BE352*38.17</f>
        <v/>
      </c>
    </row>
    <row r="353">
      <c r="A353" s="10" t="n">
        <v>45975</v>
      </c>
      <c r="B353" s="11" t="n">
        <v>13613954644</v>
      </c>
      <c r="C353" s="11" t="n">
        <v>82876660</v>
      </c>
      <c r="D353" s="12" t="n">
        <v>351021796</v>
      </c>
      <c r="E353" s="11" t="n"/>
      <c r="F353" s="12" t="n"/>
      <c r="G353" s="12" t="n"/>
      <c r="H353" s="12" t="n"/>
      <c r="I353" s="12" t="n">
        <v>46288744.07889286</v>
      </c>
      <c r="J353" s="12" t="n">
        <v>272048.0612174596</v>
      </c>
      <c r="K353" s="12" t="n">
        <v>36315867.85988968</v>
      </c>
      <c r="L353" s="21">
        <f>SUM(F353:K353)</f>
        <v/>
      </c>
      <c r="M353" s="28" t="n">
        <v>0.9898272079291425</v>
      </c>
      <c r="N353" s="11" t="n">
        <v>4116710.01</v>
      </c>
      <c r="O353" s="11" t="n">
        <v>72842.02</v>
      </c>
      <c r="P353" s="11" t="n">
        <v>212892.12</v>
      </c>
      <c r="Q353" s="11" t="n"/>
      <c r="R353" s="21">
        <f>N353+O353+P353+N(Q353)</f>
        <v/>
      </c>
      <c r="S353" s="13" t="n">
        <v>0.01</v>
      </c>
      <c r="T353" s="21">
        <f>N(AC353)*S353</f>
        <v/>
      </c>
      <c r="U353" s="21">
        <f>N(AD353)*S353</f>
        <v/>
      </c>
      <c r="V353" s="21">
        <f>N(AE353)*S353</f>
        <v/>
      </c>
      <c r="W353" s="21">
        <f>IF(Q353="","",N(AF353)*S353)</f>
        <v/>
      </c>
      <c r="X353" s="11" t="n">
        <v>38016.34</v>
      </c>
      <c r="Y353" s="11" t="n">
        <v>36421.01</v>
      </c>
      <c r="Z353" s="11" t="n"/>
      <c r="AA353" s="21">
        <f>T353+U353+V353+N(W353)+X353+Y353+N(Z353)</f>
        <v/>
      </c>
      <c r="AB353" s="11" t="n">
        <v>277650.5477000001</v>
      </c>
      <c r="AC353" s="11" t="n">
        <v>4116710.01</v>
      </c>
      <c r="AD353" s="21">
        <f>O353-Y353</f>
        <v/>
      </c>
      <c r="AE353" s="21">
        <f>P353-X353</f>
        <v/>
      </c>
      <c r="AF353" s="21">
        <f>IF(Q353="","",Q353-Z353)</f>
        <v/>
      </c>
      <c r="AG353" s="22">
        <f>AC353+AD353+AE353+N(AF353)</f>
        <v/>
      </c>
      <c r="AH353" s="11" t="n">
        <v>3778626.52</v>
      </c>
      <c r="AI353" s="24">
        <f>AG353-AH353</f>
        <v/>
      </c>
      <c r="AJ353" s="14">
        <f>IF(OR(B353="",B353=0,N353=""),"",N353/B353*10000)</f>
        <v/>
      </c>
      <c r="AK353" s="14">
        <f>IF(OR(C353="",C353=0),"",O353/C353*10000)</f>
        <v/>
      </c>
      <c r="AL353" s="14">
        <f>IF(OR(D353="",D353=0),"",P353/D353*10000)</f>
        <v/>
      </c>
      <c r="AM353" s="14">
        <f>IF(OR(E353="",E353=0),"",Q353/E353*10000)</f>
        <v/>
      </c>
      <c r="AN353" s="11" t="n">
        <v>27479.26514730755</v>
      </c>
      <c r="AO353" s="11" t="n">
        <v>20036.49</v>
      </c>
      <c r="AP353" s="21">
        <f>AH353+AN353+AO353</f>
        <v/>
      </c>
      <c r="AQ353" s="21">
        <f>AH353</f>
        <v/>
      </c>
      <c r="AR353" s="15" t="n">
        <v>101425.41</v>
      </c>
      <c r="AS353" s="27" t="n">
        <v>37.255225</v>
      </c>
      <c r="AT353" s="15" t="n">
        <v>35207988.45</v>
      </c>
      <c r="AU353" s="15" t="n">
        <v>25446.1864</v>
      </c>
      <c r="AV353" s="15" t="n">
        <v>705.1372</v>
      </c>
      <c r="AW353" s="15" t="n"/>
      <c r="AX353" s="16" t="n">
        <v>425.5258769824754</v>
      </c>
      <c r="AY353" s="13">
        <f>IF(OR(AX353="",AX353=0,AU353=""),"",AU353*365/(AX353*1000000))</f>
        <v/>
      </c>
      <c r="AZ353" s="15" t="n">
        <v>419647807.5133</v>
      </c>
      <c r="BA353" s="17" t="n">
        <v>60487233</v>
      </c>
      <c r="BB353" s="18" t="n">
        <v>35207988.45</v>
      </c>
      <c r="BC353" s="17" t="n">
        <v>2971663</v>
      </c>
      <c r="BD353" s="17">
        <f>1000000000-999511079.1346+155255.3640</f>
        <v/>
      </c>
      <c r="BE353" s="19">
        <f>1000000000-AZ353-BA353-BB353-BC353-BD353</f>
        <v/>
      </c>
      <c r="BF353" s="20" t="n">
        <v>236.254254</v>
      </c>
      <c r="BG353" s="20">
        <f>BE353/1000000-BF353</f>
        <v/>
      </c>
      <c r="BH353" s="21">
        <f>BE353*38.24</f>
        <v/>
      </c>
    </row>
    <row r="354">
      <c r="A354" s="10" t="n">
        <v>45976</v>
      </c>
      <c r="B354" s="11" t="n">
        <v>4625959537</v>
      </c>
      <c r="C354" s="11" t="n">
        <v>28938456</v>
      </c>
      <c r="D354" s="12" t="n">
        <v>162637502</v>
      </c>
      <c r="E354" s="11" t="n"/>
      <c r="F354" s="12" t="n"/>
      <c r="G354" s="12" t="n"/>
      <c r="H354" s="12" t="n"/>
      <c r="I354" s="12" t="n">
        <v>17794962.35278131</v>
      </c>
      <c r="J354" s="12" t="n">
        <v>266134.1367915648</v>
      </c>
      <c r="K354" s="12" t="n">
        <v>10877359.51042713</v>
      </c>
      <c r="L354" s="21">
        <f>SUM(F354:K354)</f>
        <v/>
      </c>
      <c r="M354" s="28" t="n">
        <v>0.9997176531083249</v>
      </c>
      <c r="N354" s="11" t="n">
        <v>1492781.21</v>
      </c>
      <c r="O354" s="11" t="n">
        <v>36664.1</v>
      </c>
      <c r="P354" s="11" t="n">
        <v>108216.84</v>
      </c>
      <c r="Q354" s="11" t="n"/>
      <c r="R354" s="21">
        <f>N354+O354+P354+N(Q354)</f>
        <v/>
      </c>
      <c r="S354" s="13" t="n">
        <v>0.01</v>
      </c>
      <c r="T354" s="21">
        <f>N(AC354)*S354</f>
        <v/>
      </c>
      <c r="U354" s="21">
        <f>N(AD354)*S354</f>
        <v/>
      </c>
      <c r="V354" s="21">
        <f>N(AE354)*S354</f>
        <v/>
      </c>
      <c r="W354" s="21">
        <f>IF(Q354="","",N(AF354)*S354)</f>
        <v/>
      </c>
      <c r="X354" s="11" t="n">
        <v>21280.1</v>
      </c>
      <c r="Y354" s="11" t="n">
        <v>18332.05</v>
      </c>
      <c r="Z354" s="11" t="n"/>
      <c r="AA354" s="21">
        <f>T354+U354+V354+N(W354)+X354+Y354+N(Z354)</f>
        <v/>
      </c>
      <c r="AB354" s="11" t="n">
        <v>148238.2306</v>
      </c>
      <c r="AC354" s="11" t="n">
        <v>1492781.21</v>
      </c>
      <c r="AD354" s="21">
        <f>O354-Y354</f>
        <v/>
      </c>
      <c r="AE354" s="21">
        <f>P354-X354</f>
        <v/>
      </c>
      <c r="AF354" s="21">
        <f>IF(Q354="","",Q354-Z354)</f>
        <v/>
      </c>
      <c r="AG354" s="22">
        <f>AC354+AD354+AE354+N(AF354)</f>
        <v/>
      </c>
      <c r="AH354" s="11" t="n">
        <v>1346765.12</v>
      </c>
      <c r="AI354" s="24">
        <f>AG354-AH354</f>
        <v/>
      </c>
      <c r="AJ354" s="14">
        <f>IF(OR(B354="",B354=0,N354=""),"",N354/B354*10000)</f>
        <v/>
      </c>
      <c r="AK354" s="14">
        <f>IF(OR(C354="",C354=0),"",O354/C354*10000)</f>
        <v/>
      </c>
      <c r="AL354" s="14">
        <f>IF(OR(D354="",D354=0),"",P354/D354*10000)</f>
        <v/>
      </c>
      <c r="AM354" s="14">
        <f>IF(OR(E354="",E354=0),"",Q354/E354*10000)</f>
        <v/>
      </c>
      <c r="AN354" s="11" t="n">
        <v>9172.038954276784</v>
      </c>
      <c r="AO354" s="11" t="n">
        <v>0</v>
      </c>
      <c r="AP354" s="21">
        <f>AH354+AN354+AO354</f>
        <v/>
      </c>
      <c r="AQ354" s="21">
        <f>AH354</f>
        <v/>
      </c>
      <c r="AR354" s="15" t="n">
        <v>34839.66</v>
      </c>
      <c r="AS354" s="27" t="n">
        <v>38.656093</v>
      </c>
      <c r="AT354" s="15" t="n">
        <v>35243905.51</v>
      </c>
      <c r="AU354" s="15" t="n">
        <v>25324.6023</v>
      </c>
      <c r="AV354" s="15" t="n">
        <v>2028.2638</v>
      </c>
      <c r="AW354" s="15" t="n"/>
      <c r="AX354" s="16" t="n">
        <v>422.865432834103</v>
      </c>
      <c r="AY354" s="13">
        <f>IF(OR(AX354="",AX354=0,AU354=""),"",AU354*365/(AX354*1000000))</f>
        <v/>
      </c>
      <c r="AZ354" s="15" t="n">
        <v>419622482.911</v>
      </c>
      <c r="BA354" s="17" t="n">
        <v>60487233</v>
      </c>
      <c r="BB354" s="18" t="n">
        <v>35243905.51</v>
      </c>
      <c r="BC354" s="17" t="n">
        <v>2971663</v>
      </c>
      <c r="BD354" s="17">
        <f>1000000000-999509050.8708+155498.5832</f>
        <v/>
      </c>
      <c r="BE354" s="19">
        <f>1000000000-AZ354-BA354-BB354-BC354-BD354</f>
        <v/>
      </c>
      <c r="BF354" s="20" t="n">
        <v>236.254254</v>
      </c>
      <c r="BG354" s="20">
        <f>BE354/1000000-BF354</f>
        <v/>
      </c>
      <c r="BH354" s="21">
        <f>BE354*37.67</f>
        <v/>
      </c>
    </row>
    <row r="355">
      <c r="A355" s="10" t="n">
        <v>45977</v>
      </c>
      <c r="B355" s="11" t="n">
        <v>7048418409</v>
      </c>
      <c r="C355" s="11" t="n">
        <v>39021395</v>
      </c>
      <c r="D355" s="12" t="n">
        <v>221753668</v>
      </c>
      <c r="E355" s="11" t="n"/>
      <c r="F355" s="12" t="n"/>
      <c r="G355" s="12" t="n"/>
      <c r="H355" s="12" t="n"/>
      <c r="I355" s="12" t="n">
        <v>27884667.42684814</v>
      </c>
      <c r="J355" s="12" t="n">
        <v>555716.9847462384</v>
      </c>
      <c r="K355" s="12" t="n">
        <v>10581010.58840562</v>
      </c>
      <c r="L355" s="21">
        <f>SUM(F355:K355)</f>
        <v/>
      </c>
      <c r="M355" s="28" t="n">
        <v>0.9993883952188695</v>
      </c>
      <c r="N355" s="11" t="n">
        <v>2265351.31</v>
      </c>
      <c r="O355" s="11" t="n">
        <v>45901.26</v>
      </c>
      <c r="P355" s="11" t="n">
        <v>128061.1</v>
      </c>
      <c r="Q355" s="11" t="n"/>
      <c r="R355" s="21">
        <f>N355+O355+P355+N(Q355)</f>
        <v/>
      </c>
      <c r="S355" s="13" t="n">
        <v>0.01</v>
      </c>
      <c r="T355" s="21">
        <f>N(AC355)*S355</f>
        <v/>
      </c>
      <c r="U355" s="21">
        <f>N(AD355)*S355</f>
        <v/>
      </c>
      <c r="V355" s="21">
        <f>N(AE355)*S355</f>
        <v/>
      </c>
      <c r="W355" s="21">
        <f>IF(Q355="","",N(AF355)*S355)</f>
        <v/>
      </c>
      <c r="X355" s="11" t="n">
        <v>24630.73</v>
      </c>
      <c r="Y355" s="11" t="n">
        <v>22950.63</v>
      </c>
      <c r="Z355" s="11" t="n"/>
      <c r="AA355" s="21">
        <f>T355+U355+V355+N(W355)+X355+Y355+N(Z355)</f>
        <v/>
      </c>
      <c r="AB355" s="11" t="n">
        <v>220160.1609</v>
      </c>
      <c r="AC355" s="11" t="n">
        <v>2265351.31</v>
      </c>
      <c r="AD355" s="21">
        <f>O355-Y355</f>
        <v/>
      </c>
      <c r="AE355" s="21">
        <f>P355-X355</f>
        <v/>
      </c>
      <c r="AF355" s="21">
        <f>IF(Q355="","",Q355-Z355)</f>
        <v/>
      </c>
      <c r="AG355" s="22">
        <f>AC355+AD355+AE355+N(AF355)</f>
        <v/>
      </c>
      <c r="AH355" s="11" t="n">
        <v>1936066.5</v>
      </c>
      <c r="AI355" s="24">
        <f>AG355-AH355</f>
        <v/>
      </c>
      <c r="AJ355" s="14">
        <f>IF(OR(B355="",B355=0,N355=""),"",N355/B355*10000)</f>
        <v/>
      </c>
      <c r="AK355" s="14">
        <f>IF(OR(C355="",C355=0),"",O355/C355*10000)</f>
        <v/>
      </c>
      <c r="AL355" s="14">
        <f>IF(OR(D355="",D355=0),"",P355/D355*10000)</f>
        <v/>
      </c>
      <c r="AM355" s="14">
        <f>IF(OR(E355="",E355=0),"",Q355/E355*10000)</f>
        <v/>
      </c>
      <c r="AN355" s="11" t="n">
        <v>17703.58209622724</v>
      </c>
      <c r="AO355" s="11" t="n">
        <v>0</v>
      </c>
      <c r="AP355" s="21">
        <f>AH355+AN355+AO355</f>
        <v/>
      </c>
      <c r="AQ355" s="21">
        <f>AH355</f>
        <v/>
      </c>
      <c r="AR355" s="15" t="n">
        <v>50364.81</v>
      </c>
      <c r="AS355" s="27" t="n">
        <v>38.440858</v>
      </c>
      <c r="AT355" s="15" t="n">
        <v>35296567.11</v>
      </c>
      <c r="AU355" s="15" t="n">
        <v>25348.0065</v>
      </c>
      <c r="AV355" s="15" t="n">
        <v>368.3821</v>
      </c>
      <c r="AW355" s="15" t="n"/>
      <c r="AX355" s="16" t="n">
        <v>422.6932145493237</v>
      </c>
      <c r="AY355" s="13">
        <f>IF(OR(AX355="",AX355=0,AU355=""),"",AU355*365/(AX355*1000000))</f>
        <v/>
      </c>
      <c r="AZ355" s="15" t="n">
        <v>419597134.9045</v>
      </c>
      <c r="BA355" s="17" t="n">
        <v>60487233</v>
      </c>
      <c r="BB355" s="18" t="n">
        <v>35296567.11</v>
      </c>
      <c r="BC355" s="17" t="n">
        <v>2971663</v>
      </c>
      <c r="BD355" s="17">
        <f>1000000000-999508682.4887+155959.4340</f>
        <v/>
      </c>
      <c r="BE355" s="19">
        <f>1000000000-AZ355-BA355-BB355-BC355-BD355</f>
        <v/>
      </c>
      <c r="BF355" s="20" t="n">
        <v>236.254254</v>
      </c>
      <c r="BG355" s="20">
        <f>BE355/1000000-BF355</f>
        <v/>
      </c>
      <c r="BH355" s="21">
        <f>BE355*38.39</f>
        <v/>
      </c>
    </row>
    <row r="356">
      <c r="A356" s="10" t="n">
        <v>45978</v>
      </c>
      <c r="B356" s="11" t="n">
        <v>9790644280</v>
      </c>
      <c r="C356" s="11" t="n">
        <v>124865202</v>
      </c>
      <c r="D356" s="12" t="n">
        <v>291667475</v>
      </c>
      <c r="E356" s="11" t="n"/>
      <c r="F356" s="12" t="n"/>
      <c r="G356" s="12" t="n"/>
      <c r="H356" s="12" t="n"/>
      <c r="I356" s="12" t="n">
        <v>68421418.01494202</v>
      </c>
      <c r="J356" s="12" t="n">
        <v>157299.7341693648</v>
      </c>
      <c r="K356" s="12" t="n">
        <v>56286484.2508886</v>
      </c>
      <c r="L356" s="21">
        <f>SUM(F356:K356)</f>
        <v/>
      </c>
      <c r="M356" s="28" t="n">
        <v>1.006273212160123</v>
      </c>
      <c r="N356" s="11" t="n">
        <v>3090540.87</v>
      </c>
      <c r="O356" s="11" t="n">
        <v>112938.02</v>
      </c>
      <c r="P356" s="11" t="n">
        <v>162480.57</v>
      </c>
      <c r="Q356" s="11" t="n"/>
      <c r="R356" s="21">
        <f>N356+O356+P356+N(Q356)</f>
        <v/>
      </c>
      <c r="S356" s="13" t="n">
        <v>0.01</v>
      </c>
      <c r="T356" s="21">
        <f>N(AC356)*S356</f>
        <v/>
      </c>
      <c r="U356" s="21">
        <f>N(AD356)*S356</f>
        <v/>
      </c>
      <c r="V356" s="21">
        <f>N(AE356)*S356</f>
        <v/>
      </c>
      <c r="W356" s="21">
        <f>IF(Q356="","",N(AF356)*S356)</f>
        <v/>
      </c>
      <c r="X356" s="11" t="n">
        <v>34871.29</v>
      </c>
      <c r="Y356" s="11" t="n">
        <v>56469.01</v>
      </c>
      <c r="Z356" s="11" t="n"/>
      <c r="AA356" s="21">
        <f>T356+U356+V356+N(W356)+X356+Y356+N(Z356)</f>
        <v/>
      </c>
      <c r="AB356" s="11" t="n">
        <v>267779.5672</v>
      </c>
      <c r="AC356" s="11" t="n">
        <v>3090540.87</v>
      </c>
      <c r="AD356" s="21">
        <f>O356-Y356</f>
        <v/>
      </c>
      <c r="AE356" s="21">
        <f>P356-X356</f>
        <v/>
      </c>
      <c r="AF356" s="21">
        <f>IF(Q356="","",Q356-Z356)</f>
        <v/>
      </c>
      <c r="AG356" s="22">
        <f>AC356+AD356+AE356+N(AF356)</f>
        <v/>
      </c>
      <c r="AH356" s="11" t="n">
        <v>2814222.59</v>
      </c>
      <c r="AI356" s="24">
        <f>AG356-AH356</f>
        <v/>
      </c>
      <c r="AJ356" s="14">
        <f>IF(OR(B356="",B356=0,N356=""),"",N356/B356*10000)</f>
        <v/>
      </c>
      <c r="AK356" s="14">
        <f>IF(OR(C356="",C356=0),"",O356/C356*10000)</f>
        <v/>
      </c>
      <c r="AL356" s="14">
        <f>IF(OR(D356="",D356=0),"",P356/D356*10000)</f>
        <v/>
      </c>
      <c r="AM356" s="14">
        <f>IF(OR(E356="",E356=0),"",Q356/E356*10000)</f>
        <v/>
      </c>
      <c r="AN356" s="11" t="n">
        <v>25585.71163847729</v>
      </c>
      <c r="AO356" s="11" t="n">
        <v>0</v>
      </c>
      <c r="AP356" s="21">
        <f>AH356+AN356+AO356</f>
        <v/>
      </c>
      <c r="AQ356" s="21">
        <f>AH356</f>
        <v/>
      </c>
      <c r="AR356" s="15" t="n">
        <v>73999.24000000001</v>
      </c>
      <c r="AS356" s="27" t="n">
        <v>38.030426</v>
      </c>
      <c r="AT356" s="15" t="n">
        <v>35367094.07</v>
      </c>
      <c r="AU356" s="15" t="n">
        <v>25332.2468</v>
      </c>
      <c r="AV356" s="15" t="n">
        <v>1015.1872</v>
      </c>
      <c r="AW356" s="15" t="n"/>
      <c r="AX356" s="16" t="n">
        <v>421.8867933030559</v>
      </c>
      <c r="AY356" s="13">
        <f>IF(OR(AX356="",AX356=0,AU356=""),"",AU356*365/(AX356*1000000))</f>
        <v/>
      </c>
      <c r="AZ356" s="15" t="n">
        <v>419571802.6578</v>
      </c>
      <c r="BA356" s="17" t="n">
        <v>60487233</v>
      </c>
      <c r="BB356" s="18" t="n">
        <v>35367094.07</v>
      </c>
      <c r="BC356" s="17" t="n">
        <v>2971663</v>
      </c>
      <c r="BD356" s="17">
        <f>1000000000-999507667.3015+156619.9490</f>
        <v/>
      </c>
      <c r="BE356" s="19">
        <f>1000000000-AZ356-BA356-BB356-BC356-BD356</f>
        <v/>
      </c>
      <c r="BF356" s="20" t="n">
        <v>236.254254</v>
      </c>
      <c r="BG356" s="20">
        <f>BE356/1000000-BF356</f>
        <v/>
      </c>
      <c r="BH356" s="21">
        <f>BE356*38.69</f>
        <v/>
      </c>
    </row>
    <row r="357">
      <c r="A357" s="10" t="n">
        <v>45979</v>
      </c>
      <c r="B357" s="11" t="n">
        <v>9827374789</v>
      </c>
      <c r="C357" s="11" t="n">
        <v>143664863</v>
      </c>
      <c r="D357" s="12" t="n">
        <v>249683320</v>
      </c>
      <c r="E357" s="11" t="n"/>
      <c r="F357" s="12" t="n"/>
      <c r="G357" s="12" t="n"/>
      <c r="H357" s="12" t="n"/>
      <c r="I357" s="12" t="n">
        <v>80104300.50826137</v>
      </c>
      <c r="J357" s="12" t="n">
        <v>422889.2890922908</v>
      </c>
      <c r="K357" s="12" t="n">
        <v>63137673.20264634</v>
      </c>
      <c r="L357" s="21">
        <f>SUM(F357:K357)</f>
        <v/>
      </c>
      <c r="M357" s="28" t="n">
        <v>1.005355882991436</v>
      </c>
      <c r="N357" s="11" t="n">
        <v>3083718.15</v>
      </c>
      <c r="O357" s="11" t="n">
        <v>126729.32</v>
      </c>
      <c r="P357" s="11" t="n">
        <v>173735.68</v>
      </c>
      <c r="Q357" s="11" t="n"/>
      <c r="R357" s="21">
        <f>N357+O357+P357+N(Q357)</f>
        <v/>
      </c>
      <c r="S357" s="13" t="n">
        <v>0.01</v>
      </c>
      <c r="T357" s="21">
        <f>N(AC357)*S357</f>
        <v/>
      </c>
      <c r="U357" s="21">
        <f>N(AD357)*S357</f>
        <v/>
      </c>
      <c r="V357" s="21">
        <f>N(AE357)*S357</f>
        <v/>
      </c>
      <c r="W357" s="21">
        <f>IF(Q357="","",N(AF357)*S357)</f>
        <v/>
      </c>
      <c r="X357" s="11" t="n">
        <v>37605.17</v>
      </c>
      <c r="Y357" s="11" t="n">
        <v>63364.66</v>
      </c>
      <c r="Z357" s="11" t="n"/>
      <c r="AA357" s="21">
        <f>T357+U357+V357+N(W357)+X357+Y357+N(Z357)</f>
        <v/>
      </c>
      <c r="AB357" s="11" t="n">
        <v>256189.4671</v>
      </c>
      <c r="AC357" s="11" t="n">
        <v>3083718.15</v>
      </c>
      <c r="AD357" s="21">
        <f>O357-Y357</f>
        <v/>
      </c>
      <c r="AE357" s="21">
        <f>P357-X357</f>
        <v/>
      </c>
      <c r="AF357" s="21">
        <f>IF(Q357="","",Q357-Z357)</f>
        <v/>
      </c>
      <c r="AG357" s="22">
        <f>AC357+AD357+AE357+N(AF357)</f>
        <v/>
      </c>
      <c r="AH357" s="11" t="n">
        <v>2891591.59</v>
      </c>
      <c r="AI357" s="24">
        <f>AG357-AH357</f>
        <v/>
      </c>
      <c r="AJ357" s="14">
        <f>IF(OR(B357="",B357=0,N357=""),"",N357/B357*10000)</f>
        <v/>
      </c>
      <c r="AK357" s="14">
        <f>IF(OR(C357="",C357=0),"",O357/C357*10000)</f>
        <v/>
      </c>
      <c r="AL357" s="14">
        <f>IF(OR(D357="",D357=0),"",P357/D357*10000)</f>
        <v/>
      </c>
      <c r="AM357" s="14">
        <f>IF(OR(E357="",E357=0),"",Q357/E357*10000)</f>
        <v/>
      </c>
      <c r="AN357" s="11" t="n">
        <v>48591.65624382608</v>
      </c>
      <c r="AO357" s="11" t="n">
        <v>19513.88</v>
      </c>
      <c r="AP357" s="21">
        <f>AH357+AN357+AO357</f>
        <v/>
      </c>
      <c r="AQ357" s="21">
        <f>AH357</f>
        <v/>
      </c>
      <c r="AR357" s="15" t="n">
        <v>73038.41</v>
      </c>
      <c r="AS357" s="27" t="n">
        <v>39.590013</v>
      </c>
      <c r="AT357" s="15" t="n">
        <v>35441466.6</v>
      </c>
      <c r="AU357" s="15" t="n">
        <v>25303.9953</v>
      </c>
      <c r="AV357" s="15" t="n">
        <v>689.8976</v>
      </c>
      <c r="AW357" s="15" t="n"/>
      <c r="AX357" s="16" t="n">
        <v>420.3440008971314</v>
      </c>
      <c r="AY357" s="13">
        <f>IF(OR(AX357="",AX357=0,AU357=""),"",AU357*365/(AX357*1000000))</f>
        <v/>
      </c>
      <c r="AZ357" s="15" t="n">
        <v>419546498.6625</v>
      </c>
      <c r="BA357" s="17" t="n">
        <v>60487233</v>
      </c>
      <c r="BB357" s="18" t="n">
        <v>35441466.6</v>
      </c>
      <c r="BC357" s="17" t="n">
        <v>2971663</v>
      </c>
      <c r="BD357" s="17">
        <f>1000000000-999506977.4039+157863.0839</f>
        <v/>
      </c>
      <c r="BE357" s="19">
        <f>1000000000-AZ357-BA357-BB357-BC357-BD357</f>
        <v/>
      </c>
      <c r="BF357" s="20" t="n">
        <v>236.254254</v>
      </c>
      <c r="BG357" s="20">
        <f>BE357/1000000-BF357</f>
        <v/>
      </c>
      <c r="BH357" s="21">
        <f>BE357*39.07</f>
        <v/>
      </c>
    </row>
    <row r="358">
      <c r="A358" s="10" t="n">
        <v>45980</v>
      </c>
      <c r="B358" s="11" t="n">
        <v>9741184863</v>
      </c>
      <c r="C358" s="11" t="n">
        <v>230705185</v>
      </c>
      <c r="D358" s="12" t="n">
        <v>289563221</v>
      </c>
      <c r="E358" s="11" t="n"/>
      <c r="F358" s="12" t="n"/>
      <c r="G358" s="12" t="n"/>
      <c r="H358" s="12" t="n"/>
      <c r="I358" s="12" t="n">
        <v>82006823.92842162</v>
      </c>
      <c r="J358" s="12" t="n">
        <v>731409.042328738</v>
      </c>
      <c r="K358" s="12" t="n">
        <v>147966952.0292497</v>
      </c>
      <c r="L358" s="21">
        <f>SUM(F358:K358)</f>
        <v/>
      </c>
      <c r="M358" s="28" t="n">
        <v>0.976802362903379</v>
      </c>
      <c r="N358" s="11" t="n">
        <v>3117175.69</v>
      </c>
      <c r="O358" s="11" t="n">
        <v>217524.72</v>
      </c>
      <c r="P358" s="11" t="n">
        <v>152056.53</v>
      </c>
      <c r="Q358" s="11" t="n"/>
      <c r="R358" s="21">
        <f>N358+O358+P358+N(Q358)</f>
        <v/>
      </c>
      <c r="S358" s="13" t="n">
        <v>0.01</v>
      </c>
      <c r="T358" s="21">
        <f>N(AC358)*S358</f>
        <v/>
      </c>
      <c r="U358" s="21">
        <f>N(AD358)*S358</f>
        <v/>
      </c>
      <c r="V358" s="21">
        <f>N(AE358)*S358</f>
        <v/>
      </c>
      <c r="W358" s="21">
        <f>IF(Q358="","",N(AF358)*S358)</f>
        <v/>
      </c>
      <c r="X358" s="11" t="n">
        <v>39018.63</v>
      </c>
      <c r="Y358" s="11" t="n">
        <v>108762.36</v>
      </c>
      <c r="Z358" s="11" t="n"/>
      <c r="AA358" s="21">
        <f>T358+U358+V358+N(W358)+X358+Y358+N(Z358)</f>
        <v/>
      </c>
      <c r="AB358" s="11" t="n">
        <v>300293.3346</v>
      </c>
      <c r="AC358" s="11" t="n">
        <v>3117175.69</v>
      </c>
      <c r="AD358" s="21">
        <f>O358-Y358</f>
        <v/>
      </c>
      <c r="AE358" s="21">
        <f>P358-X358</f>
        <v/>
      </c>
      <c r="AF358" s="21">
        <f>IF(Q358="","",Q358-Z358)</f>
        <v/>
      </c>
      <c r="AG358" s="22">
        <f>AC358+AD358+AE358+N(AF358)</f>
        <v/>
      </c>
      <c r="AH358" s="11" t="n">
        <v>2713751.03</v>
      </c>
      <c r="AI358" s="24">
        <f>AG358-AH358</f>
        <v/>
      </c>
      <c r="AJ358" s="14">
        <f>IF(OR(B358="",B358=0,N358=""),"",N358/B358*10000)</f>
        <v/>
      </c>
      <c r="AK358" s="14">
        <f>IF(OR(C358="",C358=0),"",O358/C358*10000)</f>
        <v/>
      </c>
      <c r="AL358" s="14">
        <f>IF(OR(D358="",D358=0),"",P358/D358*10000)</f>
        <v/>
      </c>
      <c r="AM358" s="14">
        <f>IF(OR(E358="",E358=0),"",Q358/E358*10000)</f>
        <v/>
      </c>
      <c r="AN358" s="11" t="n">
        <v>26710.85823632487</v>
      </c>
      <c r="AO358" s="11" t="n">
        <v>0</v>
      </c>
      <c r="AP358" s="21">
        <f>AH358+AN358+AO358</f>
        <v/>
      </c>
      <c r="AQ358" s="21">
        <f>AH358</f>
        <v/>
      </c>
      <c r="AR358" s="15" t="n">
        <v>71425.92999999999</v>
      </c>
      <c r="AS358" s="27" t="n">
        <v>37.993919</v>
      </c>
      <c r="AT358" s="15" t="n">
        <v>35515086.06</v>
      </c>
      <c r="AU358" s="15" t="n">
        <v>25266.5099</v>
      </c>
      <c r="AV358" s="15" t="n">
        <v>1970.3837</v>
      </c>
      <c r="AW358" s="15" t="n"/>
      <c r="AX358" s="16" t="n">
        <v>420.3240872434221</v>
      </c>
      <c r="AY358" s="13">
        <f>IF(OR(AX358="",AX358=0,AU358=""),"",AU358*365/(AX358*1000000))</f>
        <v/>
      </c>
      <c r="AZ358" s="15" t="n">
        <v>419521232.1526</v>
      </c>
      <c r="BA358" s="17" t="n">
        <v>60487233</v>
      </c>
      <c r="BB358" s="18" t="n">
        <v>35515086.06</v>
      </c>
      <c r="BC358" s="17" t="n">
        <v>2971663</v>
      </c>
      <c r="BD358" s="17">
        <f>1000000000-999505007.0202+158557.5399</f>
        <v/>
      </c>
      <c r="BE358" s="19">
        <f>1000000000-AZ358-BA358-BB358-BC358-BD358</f>
        <v/>
      </c>
      <c r="BF358" s="20" t="n">
        <v>236.254254</v>
      </c>
      <c r="BG358" s="20">
        <f>BE358/1000000-BF358</f>
        <v/>
      </c>
      <c r="BH358" s="21">
        <f>BE358*38.46</f>
        <v/>
      </c>
    </row>
    <row r="359">
      <c r="A359" s="10" t="n">
        <v>45981</v>
      </c>
      <c r="B359" s="11" t="n">
        <v>10905595007</v>
      </c>
      <c r="C359" s="11" t="n">
        <v>316335677</v>
      </c>
      <c r="D359" s="12" t="n">
        <v>314646044</v>
      </c>
      <c r="E359" s="11" t="n"/>
      <c r="F359" s="12" t="n"/>
      <c r="G359" s="12" t="n"/>
      <c r="H359" s="12" t="n"/>
      <c r="I359" s="12" t="n">
        <v>150942501.8938274</v>
      </c>
      <c r="J359" s="12" t="n">
        <v>1739421.798902973</v>
      </c>
      <c r="K359" s="12" t="n">
        <v>163653753.3072696</v>
      </c>
      <c r="L359" s="21">
        <f>SUM(F359:K359)</f>
        <v/>
      </c>
      <c r="M359" s="28" t="n">
        <v>1.034140774315759</v>
      </c>
      <c r="N359" s="11" t="n">
        <v>3435919.27</v>
      </c>
      <c r="O359" s="11" t="n">
        <v>290760.1</v>
      </c>
      <c r="P359" s="11" t="n">
        <v>189385.9</v>
      </c>
      <c r="Q359" s="11" t="n"/>
      <c r="R359" s="21">
        <f>N359+O359+P359+N(Q359)</f>
        <v/>
      </c>
      <c r="S359" s="13" t="n">
        <v>0.01</v>
      </c>
      <c r="T359" s="21">
        <f>N(AC359)*S359</f>
        <v/>
      </c>
      <c r="U359" s="21">
        <f>N(AD359)*S359</f>
        <v/>
      </c>
      <c r="V359" s="21">
        <f>N(AE359)*S359</f>
        <v/>
      </c>
      <c r="W359" s="21">
        <f>IF(Q359="","",N(AF359)*S359)</f>
        <v/>
      </c>
      <c r="X359" s="11" t="n">
        <v>48589.13</v>
      </c>
      <c r="Y359" s="11" t="n">
        <v>145380.05</v>
      </c>
      <c r="Z359" s="11" t="n"/>
      <c r="AA359" s="21">
        <f>T359+U359+V359+N(W359)+X359+Y359+N(Z359)</f>
        <v/>
      </c>
      <c r="AB359" s="11" t="n">
        <v>312210.4587</v>
      </c>
      <c r="AC359" s="11" t="n">
        <v>3435919.27</v>
      </c>
      <c r="AD359" s="21">
        <f>O359-Y359</f>
        <v/>
      </c>
      <c r="AE359" s="21">
        <f>P359-X359</f>
        <v/>
      </c>
      <c r="AF359" s="21">
        <f>IF(Q359="","",Q359-Z359)</f>
        <v/>
      </c>
      <c r="AG359" s="22">
        <f>AC359+AD359+AE359+N(AF359)</f>
        <v/>
      </c>
      <c r="AH359" s="11" t="n">
        <v>3297836.79</v>
      </c>
      <c r="AI359" s="24">
        <f>AG359-AH359</f>
        <v/>
      </c>
      <c r="AJ359" s="14">
        <f>IF(OR(B359="",B359=0,N359=""),"",N359/B359*10000)</f>
        <v/>
      </c>
      <c r="AK359" s="14">
        <f>IF(OR(C359="",C359=0),"",O359/C359*10000)</f>
        <v/>
      </c>
      <c r="AL359" s="14">
        <f>IF(OR(D359="",D359=0),"",P359/D359*10000)</f>
        <v/>
      </c>
      <c r="AM359" s="14">
        <f>IF(OR(E359="",E359=0),"",Q359/E359*10000)</f>
        <v/>
      </c>
      <c r="AN359" s="11" t="n">
        <v>21755.97247248714</v>
      </c>
      <c r="AO359" s="11" t="n">
        <v>19372.67</v>
      </c>
      <c r="AP359" s="21">
        <f>AH359+AN359+AO359</f>
        <v/>
      </c>
      <c r="AQ359" s="21">
        <f>AH359</f>
        <v/>
      </c>
      <c r="AR359" s="15" t="n">
        <v>86002.89</v>
      </c>
      <c r="AS359" s="27" t="n">
        <v>38.345651</v>
      </c>
      <c r="AT359" s="15" t="n">
        <v>35598549</v>
      </c>
      <c r="AU359" s="15" t="n">
        <v>25302.0351</v>
      </c>
      <c r="AV359" s="15" t="n">
        <v>746.9853000000001</v>
      </c>
      <c r="AW359" s="15" t="n"/>
      <c r="AX359" s="16" t="n">
        <v>420.1003872280333</v>
      </c>
      <c r="AY359" s="13">
        <f>IF(OR(AX359="",AX359=0,AU359=""),"",AU359*365/(AX359*1000000))</f>
        <v/>
      </c>
      <c r="AZ359" s="15" t="n">
        <v>419495930.1175</v>
      </c>
      <c r="BA359" s="17" t="n">
        <v>60487233</v>
      </c>
      <c r="BB359" s="18" t="n">
        <v>35598549</v>
      </c>
      <c r="BC359" s="17" t="n">
        <v>2971663</v>
      </c>
      <c r="BD359" s="17">
        <f>1000000000-999504260.0349+159118.8974</f>
        <v/>
      </c>
      <c r="BE359" s="19">
        <f>1000000000-AZ359-BA359-BB359-BC359-BD359</f>
        <v/>
      </c>
      <c r="BF359" s="20" t="n">
        <v>236.254254</v>
      </c>
      <c r="BG359" s="20">
        <f>BE359/1000000-BF359</f>
        <v/>
      </c>
      <c r="BH359" s="21">
        <f>BE359*38.76</f>
        <v/>
      </c>
    </row>
    <row r="360">
      <c r="A360" s="10" t="n">
        <v>45982</v>
      </c>
      <c r="B360" s="11" t="n">
        <v>15870077046</v>
      </c>
      <c r="C360" s="11" t="n">
        <v>320977746</v>
      </c>
      <c r="D360" s="12" t="n">
        <v>433843212</v>
      </c>
      <c r="E360" s="11" t="n"/>
      <c r="F360" s="12" t="n"/>
      <c r="G360" s="12" t="n"/>
      <c r="H360" s="12" t="n"/>
      <c r="I360" s="12" t="n">
        <v>128336309.7025885</v>
      </c>
      <c r="J360" s="12" t="n">
        <v>1704992.251616902</v>
      </c>
      <c r="K360" s="12" t="n">
        <v>190936444.0457946</v>
      </c>
      <c r="L360" s="21">
        <f>SUM(F360:K360)</f>
        <v/>
      </c>
      <c r="M360" s="28" t="n">
        <v>0.9936776101096939</v>
      </c>
      <c r="N360" s="11" t="n">
        <v>4887068.2</v>
      </c>
      <c r="O360" s="11" t="n">
        <v>262198.32</v>
      </c>
      <c r="P360" s="11" t="n">
        <v>236587.14</v>
      </c>
      <c r="Q360" s="11" t="n"/>
      <c r="R360" s="21">
        <f>N360+O360+P360+N(Q360)</f>
        <v/>
      </c>
      <c r="S360" s="13" t="n">
        <v>0.01</v>
      </c>
      <c r="T360" s="21">
        <f>N(AC360)*S360</f>
        <v/>
      </c>
      <c r="U360" s="21">
        <f>N(AD360)*S360</f>
        <v/>
      </c>
      <c r="V360" s="21">
        <f>N(AE360)*S360</f>
        <v/>
      </c>
      <c r="W360" s="21">
        <f>IF(Q360="","",N(AF360)*S360)</f>
        <v/>
      </c>
      <c r="X360" s="11" t="n">
        <v>48757</v>
      </c>
      <c r="Y360" s="11" t="n">
        <v>131099.16</v>
      </c>
      <c r="Z360" s="11" t="n"/>
      <c r="AA360" s="21">
        <f>T360+U360+V360+N(W360)+X360+Y360+N(Z360)</f>
        <v/>
      </c>
      <c r="AB360" s="11" t="n">
        <v>354913.0466</v>
      </c>
      <c r="AC360" s="11" t="n">
        <v>4887068.2</v>
      </c>
      <c r="AD360" s="21">
        <f>O360-Y360</f>
        <v/>
      </c>
      <c r="AE360" s="21">
        <f>P360-X360</f>
        <v/>
      </c>
      <c r="AF360" s="21">
        <f>IF(Q360="","",Q360-Z360)</f>
        <v/>
      </c>
      <c r="AG360" s="22">
        <f>AC360+AD360+AE360+N(AF360)</f>
        <v/>
      </c>
      <c r="AH360" s="11" t="n">
        <v>4477366.02</v>
      </c>
      <c r="AI360" s="24">
        <f>AG360-AH360</f>
        <v/>
      </c>
      <c r="AJ360" s="14">
        <f>IF(OR(B360="",B360=0,N360=""),"",N360/B360*10000)</f>
        <v/>
      </c>
      <c r="AK360" s="14">
        <f>IF(OR(C360="",C360=0),"",O360/C360*10000)</f>
        <v/>
      </c>
      <c r="AL360" s="14">
        <f>IF(OR(D360="",D360=0),"",P360/D360*10000)</f>
        <v/>
      </c>
      <c r="AM360" s="14">
        <f>IF(OR(E360="",E360=0),"",Q360/E360*10000)</f>
        <v/>
      </c>
      <c r="AN360" s="11" t="n">
        <v>139853.1428343788</v>
      </c>
      <c r="AO360" s="11" t="n">
        <v>0</v>
      </c>
      <c r="AP360" s="21">
        <f>AH360+AN360+AO360</f>
        <v/>
      </c>
      <c r="AQ360" s="21">
        <f>AH360</f>
        <v/>
      </c>
      <c r="AR360" s="15" t="n">
        <v>131495.54</v>
      </c>
      <c r="AS360" s="27" t="n">
        <v>34.049566</v>
      </c>
      <c r="AT360" s="15" t="n">
        <v>35732484.14</v>
      </c>
      <c r="AU360" s="15" t="n">
        <v>25458.281</v>
      </c>
      <c r="AV360" s="15" t="n">
        <v>1603.7265</v>
      </c>
      <c r="AW360" s="15" t="n"/>
      <c r="AX360" s="16" t="n">
        <v>420.0590312974541</v>
      </c>
      <c r="AY360" s="13">
        <f>IF(OR(AX360="",AX360=0,AU360=""),"",AU360*365/(AX360*1000000))</f>
        <v/>
      </c>
      <c r="AZ360" s="15" t="n">
        <v>419470471.8364</v>
      </c>
      <c r="BA360" s="17" t="n">
        <v>60487233</v>
      </c>
      <c r="BB360" s="18" t="n">
        <v>35732484.14</v>
      </c>
      <c r="BC360" s="17" t="n">
        <v>2971663</v>
      </c>
      <c r="BD360" s="17">
        <f>1000000000-999502656.3083+162782.2760</f>
        <v/>
      </c>
      <c r="BE360" s="19">
        <f>1000000000-AZ360-BA360-BB360-BC360-BD360</f>
        <v/>
      </c>
      <c r="BF360" s="20" t="n">
        <v>236.254254</v>
      </c>
      <c r="BG360" s="20">
        <f>BE360/1000000-BF360</f>
        <v/>
      </c>
      <c r="BH360" s="21">
        <f>BE360*38.16</f>
        <v/>
      </c>
    </row>
    <row r="361">
      <c r="A361" s="10" t="n">
        <v>45983</v>
      </c>
      <c r="B361" s="11" t="n">
        <v>4616700092</v>
      </c>
      <c r="C361" s="11" t="n">
        <v>56501925</v>
      </c>
      <c r="D361" s="12" t="n">
        <v>235858539</v>
      </c>
      <c r="E361" s="11" t="n"/>
      <c r="F361" s="12" t="n"/>
      <c r="G361" s="12" t="n"/>
      <c r="H361" s="12" t="n"/>
      <c r="I361" s="12" t="n">
        <v>34555991.29323775</v>
      </c>
      <c r="J361" s="12" t="n">
        <v>2341285.165909727</v>
      </c>
      <c r="K361" s="12" t="n">
        <v>19604648.54085252</v>
      </c>
      <c r="L361" s="21">
        <f>SUM(F361:K361)</f>
        <v/>
      </c>
      <c r="M361" s="28" t="n">
        <v>1.001552699984211</v>
      </c>
      <c r="N361" s="11" t="n">
        <v>1438881.83</v>
      </c>
      <c r="O361" s="11" t="n">
        <v>67068.7</v>
      </c>
      <c r="P361" s="11" t="n">
        <v>124278.18</v>
      </c>
      <c r="Q361" s="11" t="n"/>
      <c r="R361" s="21">
        <f>N361+O361+P361+N(Q361)</f>
        <v/>
      </c>
      <c r="S361" s="13" t="n">
        <v>0.01</v>
      </c>
      <c r="T361" s="21">
        <f>N(AC361)*S361</f>
        <v/>
      </c>
      <c r="U361" s="21">
        <f>N(AD361)*S361</f>
        <v/>
      </c>
      <c r="V361" s="21">
        <f>N(AE361)*S361</f>
        <v/>
      </c>
      <c r="W361" s="21">
        <f>IF(Q361="","",N(AF361)*S361)</f>
        <v/>
      </c>
      <c r="X361" s="11" t="n">
        <v>18393.29</v>
      </c>
      <c r="Y361" s="11" t="n">
        <v>33534.35</v>
      </c>
      <c r="Z361" s="11" t="n"/>
      <c r="AA361" s="21">
        <f>T361+U361+V361+N(W361)+X361+Y361+N(Z361)</f>
        <v/>
      </c>
      <c r="AB361" s="11" t="n">
        <v>133807.9443</v>
      </c>
      <c r="AC361" s="11" t="n">
        <v>1438881.83</v>
      </c>
      <c r="AD361" s="21">
        <f>O361-Y361</f>
        <v/>
      </c>
      <c r="AE361" s="21">
        <f>P361-X361</f>
        <v/>
      </c>
      <c r="AF361" s="21">
        <f>IF(Q361="","",Q361-Z361)</f>
        <v/>
      </c>
      <c r="AG361" s="22">
        <f>AC361+AD361+AE361+N(AF361)</f>
        <v/>
      </c>
      <c r="AH361" s="11" t="n">
        <v>1463002.28</v>
      </c>
      <c r="AI361" s="24">
        <f>AG361-AH361</f>
        <v/>
      </c>
      <c r="AJ361" s="14">
        <f>IF(OR(B361="",B361=0,N361=""),"",N361/B361*10000)</f>
        <v/>
      </c>
      <c r="AK361" s="14">
        <f>IF(OR(C361="",C361=0),"",O361/C361*10000)</f>
        <v/>
      </c>
      <c r="AL361" s="14">
        <f>IF(OR(D361="",D361=0),"",P361/D361*10000)</f>
        <v/>
      </c>
      <c r="AM361" s="14">
        <f>IF(OR(E361="",E361=0),"",Q361/E361*10000)</f>
        <v/>
      </c>
      <c r="AN361" s="11" t="n">
        <v>61625.82517037715</v>
      </c>
      <c r="AO361" s="11" t="n">
        <v>0</v>
      </c>
      <c r="AP361" s="21">
        <f>AH361+AN361+AO361</f>
        <v/>
      </c>
      <c r="AQ361" s="21">
        <f>AH361</f>
        <v/>
      </c>
      <c r="AR361" s="15" t="n">
        <v>45248.9</v>
      </c>
      <c r="AS361" s="27" t="n">
        <v>32.332328</v>
      </c>
      <c r="AT361" s="15" t="n">
        <v>35775635.35</v>
      </c>
      <c r="AU361" s="15" t="n">
        <v>26093.2751</v>
      </c>
      <c r="AV361" s="15" t="n">
        <v>1923.115</v>
      </c>
      <c r="AW361" s="15" t="n"/>
      <c r="AX361" s="16" t="n">
        <v>420.6418449110163</v>
      </c>
      <c r="AY361" s="13">
        <f>IF(OR(AX361="",AX361=0,AU361=""),"",AU361*365/(AX361*1000000))</f>
        <v/>
      </c>
      <c r="AZ361" s="15" t="n">
        <v>419444378.5613</v>
      </c>
      <c r="BA361" s="17" t="n">
        <v>60487233</v>
      </c>
      <c r="BB361" s="18" t="n">
        <v>35775635.35</v>
      </c>
      <c r="BC361" s="17" t="n">
        <v>2971663</v>
      </c>
      <c r="BD361" s="17">
        <f>1000000000-999500733.1934+164620.3714</f>
        <v/>
      </c>
      <c r="BE361" s="19">
        <f>1000000000-AZ361-BA361-BB361-BC361-BD361</f>
        <v/>
      </c>
      <c r="BF361" s="20" t="n">
        <v>236.254254</v>
      </c>
      <c r="BG361" s="20">
        <f>BE361/1000000-BF361</f>
        <v/>
      </c>
      <c r="BH361" s="21">
        <f>BE361*33.53</f>
        <v/>
      </c>
    </row>
    <row r="362">
      <c r="A362" s="10" t="n">
        <v>45984</v>
      </c>
      <c r="B362" s="11" t="n">
        <v>6272448068</v>
      </c>
      <c r="C362" s="11" t="n">
        <v>54397551</v>
      </c>
      <c r="D362" s="12" t="n">
        <v>207505994</v>
      </c>
      <c r="E362" s="11" t="n"/>
      <c r="F362" s="12" t="n"/>
      <c r="G362" s="12" t="n"/>
      <c r="H362" s="12" t="n"/>
      <c r="I362" s="12" t="n">
        <v>32400279.11141193</v>
      </c>
      <c r="J362" s="12" t="n">
        <v>1891724.229599081</v>
      </c>
      <c r="K362" s="12" t="n">
        <v>20105547.65898899</v>
      </c>
      <c r="L362" s="21">
        <f>SUM(F362:K362)</f>
        <v/>
      </c>
      <c r="M362" s="28" t="n">
        <v>0.9976134070855441</v>
      </c>
      <c r="N362" s="11" t="n">
        <v>1940719.15</v>
      </c>
      <c r="O362" s="11" t="n">
        <v>37651.98</v>
      </c>
      <c r="P362" s="11" t="n">
        <v>123344.87</v>
      </c>
      <c r="Q362" s="11" t="n"/>
      <c r="R362" s="21">
        <f>N362+O362+P362+N(Q362)</f>
        <v/>
      </c>
      <c r="S362" s="13" t="n">
        <v>0.01</v>
      </c>
      <c r="T362" s="21">
        <f>N(AC362)*S362</f>
        <v/>
      </c>
      <c r="U362" s="21">
        <f>N(AD362)*S362</f>
        <v/>
      </c>
      <c r="V362" s="21">
        <f>N(AE362)*S362</f>
        <v/>
      </c>
      <c r="W362" s="21">
        <f>IF(Q362="","",N(AF362)*S362)</f>
        <v/>
      </c>
      <c r="X362" s="11" t="n">
        <v>23032.56</v>
      </c>
      <c r="Y362" s="11" t="n">
        <v>18825.99</v>
      </c>
      <c r="Z362" s="11" t="n"/>
      <c r="AA362" s="21">
        <f>T362+U362+V362+N(W362)+X362+Y362+N(Z362)</f>
        <v/>
      </c>
      <c r="AB362" s="11" t="n">
        <v>155957.6496</v>
      </c>
      <c r="AC362" s="11" t="n">
        <v>1940719.15</v>
      </c>
      <c r="AD362" s="21">
        <f>O362-Y362</f>
        <v/>
      </c>
      <c r="AE362" s="21">
        <f>P362-X362</f>
        <v/>
      </c>
      <c r="AF362" s="21">
        <f>IF(Q362="","",Q362-Z362)</f>
        <v/>
      </c>
      <c r="AG362" s="22">
        <f>AC362+AD362+AE362+N(AF362)</f>
        <v/>
      </c>
      <c r="AH362" s="11" t="n">
        <v>1788087.04</v>
      </c>
      <c r="AI362" s="24">
        <f>AG362-AH362</f>
        <v/>
      </c>
      <c r="AJ362" s="14">
        <f>IF(OR(B362="",B362=0,N362=""),"",N362/B362*10000)</f>
        <v/>
      </c>
      <c r="AK362" s="14">
        <f>IF(OR(C362="",C362=0),"",O362/C362*10000)</f>
        <v/>
      </c>
      <c r="AL362" s="14">
        <f>IF(OR(D362="",D362=0),"",P362/D362*10000)</f>
        <v/>
      </c>
      <c r="AM362" s="14">
        <f>IF(OR(E362="",E362=0),"",Q362/E362*10000)</f>
        <v/>
      </c>
      <c r="AN362" s="11" t="n">
        <v>32712.50387890687</v>
      </c>
      <c r="AO362" s="11" t="n">
        <v>0</v>
      </c>
      <c r="AP362" s="21">
        <f>AH362+AN362+AO362</f>
        <v/>
      </c>
      <c r="AQ362" s="21">
        <f>AH362</f>
        <v/>
      </c>
      <c r="AR362" s="15" t="n">
        <v>57272.67</v>
      </c>
      <c r="AS362" s="27" t="n">
        <v>31.220599</v>
      </c>
      <c r="AT362" s="15" t="n">
        <v>35834603.26</v>
      </c>
      <c r="AU362" s="15" t="n">
        <v>25985.4196</v>
      </c>
      <c r="AV362" s="15" t="n">
        <v>996.9057</v>
      </c>
      <c r="AW362" s="15" t="n"/>
      <c r="AX362" s="16" t="n">
        <v>414.9092066622703</v>
      </c>
      <c r="AY362" s="13">
        <f>IF(OR(AX362="",AX362=0,AU362=""),"",AU362*365/(AX362*1000000))</f>
        <v/>
      </c>
      <c r="AZ362" s="15" t="n">
        <v>419418393.1417</v>
      </c>
      <c r="BA362" s="17" t="n">
        <v>60487233</v>
      </c>
      <c r="BB362" s="18" t="n">
        <v>35834603.26</v>
      </c>
      <c r="BC362" s="17" t="n">
        <v>2971663</v>
      </c>
      <c r="BD362" s="17">
        <f>1000000000-999499736.2876+165717.1128</f>
        <v/>
      </c>
      <c r="BE362" s="19">
        <f>1000000000-AZ362-BA362-BB362-BC362-BD362</f>
        <v/>
      </c>
      <c r="BF362" s="20" t="n">
        <v>236.254254</v>
      </c>
      <c r="BG362" s="20">
        <f>BE362/1000000-BF362</f>
        <v/>
      </c>
      <c r="BH362" s="21">
        <f>BE362*29.81</f>
        <v/>
      </c>
    </row>
    <row r="363">
      <c r="A363" s="10" t="n">
        <v>45985</v>
      </c>
      <c r="B363" s="11" t="n">
        <v>9833081076</v>
      </c>
      <c r="C363" s="11" t="n">
        <v>446733398</v>
      </c>
      <c r="D363" s="12" t="n">
        <v>279378464</v>
      </c>
      <c r="E363" s="11" t="n"/>
      <c r="F363" s="12" t="n"/>
      <c r="G363" s="12" t="n"/>
      <c r="H363" s="12" t="n"/>
      <c r="I363" s="12" t="n">
        <v>285903005.2423655</v>
      </c>
      <c r="J363" s="12" t="n">
        <v>3297864.362988387</v>
      </c>
      <c r="K363" s="12" t="n">
        <v>157532528.3946461</v>
      </c>
      <c r="L363" s="21">
        <f>SUM(F363:K363)</f>
        <v/>
      </c>
      <c r="M363" s="28" t="n">
        <v>0.9884566030270066</v>
      </c>
      <c r="N363" s="11" t="n">
        <v>2770525.66</v>
      </c>
      <c r="O363" s="11" t="n">
        <v>62036.26</v>
      </c>
      <c r="P363" s="11" t="n">
        <v>140587.96</v>
      </c>
      <c r="Q363" s="11" t="n"/>
      <c r="R363" s="21">
        <f>N363+O363+P363+N(Q363)</f>
        <v/>
      </c>
      <c r="S363" s="13" t="n">
        <v>0.01</v>
      </c>
      <c r="T363" s="21">
        <f>N(AC363)*S363</f>
        <v/>
      </c>
      <c r="U363" s="21">
        <f>N(AD363)*S363</f>
        <v/>
      </c>
      <c r="V363" s="21">
        <f>N(AE363)*S363</f>
        <v/>
      </c>
      <c r="W363" s="21">
        <f>IF(Q363="","",N(AF363)*S363)</f>
        <v/>
      </c>
      <c r="X363" s="11" t="n">
        <v>30998.96</v>
      </c>
      <c r="Y363" s="11" t="n">
        <v>31018.13</v>
      </c>
      <c r="Z363" s="11" t="n"/>
      <c r="AA363" s="21">
        <f>T363+U363+V363+N(W363)+X363+Y363+N(Z363)</f>
        <v/>
      </c>
      <c r="AB363" s="11" t="n">
        <v>201400.4417</v>
      </c>
      <c r="AC363" s="11" t="n">
        <v>2770525.66</v>
      </c>
      <c r="AD363" s="21">
        <f>O363-Y363</f>
        <v/>
      </c>
      <c r="AE363" s="21">
        <f>P363-X363</f>
        <v/>
      </c>
      <c r="AF363" s="21">
        <f>IF(Q363="","",Q363-Z363)</f>
        <v/>
      </c>
      <c r="AG363" s="22">
        <f>AC363+AD363+AE363+N(AF363)</f>
        <v/>
      </c>
      <c r="AH363" s="11" t="n">
        <v>2548486.51</v>
      </c>
      <c r="AI363" s="24">
        <f>AG363-AH363</f>
        <v/>
      </c>
      <c r="AJ363" s="14">
        <f>IF(OR(B363="",B363=0,N363=""),"",N363/B363*10000)</f>
        <v/>
      </c>
      <c r="AK363" s="14">
        <f>IF(OR(C363="",C363=0),"",O363/C363*10000)</f>
        <v/>
      </c>
      <c r="AL363" s="14">
        <f>IF(OR(D363="",D363=0),"",P363/D363*10000)</f>
        <v/>
      </c>
      <c r="AM363" s="14">
        <f>IF(OR(E363="",E363=0),"",Q363/E363*10000)</f>
        <v/>
      </c>
      <c r="AN363" s="11" t="n">
        <v>29059.74762739236</v>
      </c>
      <c r="AO363" s="11" t="n">
        <v>0</v>
      </c>
      <c r="AP363" s="21">
        <f>AH363+AN363+AO363</f>
        <v/>
      </c>
      <c r="AQ363" s="21">
        <f>AH363</f>
        <v/>
      </c>
      <c r="AR363" s="15" t="n">
        <v>79513.28</v>
      </c>
      <c r="AS363" s="27" t="n">
        <v>32.05108</v>
      </c>
      <c r="AT363" s="15" t="n">
        <v>35912351.16</v>
      </c>
      <c r="AU363" s="15" t="n">
        <v>25930.868</v>
      </c>
      <c r="AV363" s="15" t="n">
        <v>781.6647</v>
      </c>
      <c r="AW363" s="15" t="n"/>
      <c r="AX363" s="16" t="n">
        <v>414.0071139445824</v>
      </c>
      <c r="AY363" s="13">
        <f>IF(OR(AX363="",AX363=0,AU363=""),"",AU363*365/(AX363*1000000))</f>
        <v/>
      </c>
      <c r="AZ363" s="15" t="n">
        <v>419392462.2737</v>
      </c>
      <c r="BA363" s="17" t="n">
        <v>60487233</v>
      </c>
      <c r="BB363" s="18" t="n">
        <v>35912351.16</v>
      </c>
      <c r="BC363" s="17" t="n">
        <v>2971663</v>
      </c>
      <c r="BD363" s="17">
        <f>1000000000-999498954.623+166629.5927</f>
        <v/>
      </c>
      <c r="BE363" s="19">
        <f>1000000000-AZ363-BA363-BB363-BC363-BD363</f>
        <v/>
      </c>
      <c r="BF363" s="20" t="n">
        <v>236.254254</v>
      </c>
      <c r="BG363" s="20">
        <f>BE363/1000000-BF363</f>
        <v/>
      </c>
      <c r="BH363" s="21">
        <f>BE363*31.85</f>
        <v/>
      </c>
    </row>
    <row r="364">
      <c r="A364" s="10" t="n">
        <v>45986</v>
      </c>
      <c r="B364" s="11" t="n">
        <v>8046994889</v>
      </c>
      <c r="C364" s="11" t="n">
        <v>525535456</v>
      </c>
      <c r="D364" s="12" t="n">
        <v>253234221</v>
      </c>
      <c r="E364" s="11" t="n"/>
      <c r="F364" s="12" t="n"/>
      <c r="G364" s="12" t="n"/>
      <c r="H364" s="12" t="n"/>
      <c r="I364" s="12" t="n">
        <v>313426066.1657915</v>
      </c>
      <c r="J364" s="12" t="n">
        <v>2411733.788099534</v>
      </c>
      <c r="K364" s="12" t="n">
        <v>209697656.046109</v>
      </c>
      <c r="L364" s="21">
        <f>SUM(F364:K364)</f>
        <v/>
      </c>
      <c r="M364" s="28" t="n">
        <v>0.9915087754583514</v>
      </c>
      <c r="N364" s="11" t="n">
        <v>2375524.6</v>
      </c>
      <c r="O364" s="11" t="n">
        <v>74147.08</v>
      </c>
      <c r="P364" s="11" t="n">
        <v>135993.17</v>
      </c>
      <c r="Q364" s="11" t="n"/>
      <c r="R364" s="21">
        <f>N364+O364+P364+N(Q364)</f>
        <v/>
      </c>
      <c r="S364" s="13" t="n">
        <v>0.01</v>
      </c>
      <c r="T364" s="21">
        <f>N(AC364)*S364</f>
        <v/>
      </c>
      <c r="U364" s="21">
        <f>N(AD364)*S364</f>
        <v/>
      </c>
      <c r="V364" s="21">
        <f>N(AE364)*S364</f>
        <v/>
      </c>
      <c r="W364" s="21">
        <f>IF(Q364="","",N(AF364)*S364)</f>
        <v/>
      </c>
      <c r="X364" s="11" t="n">
        <v>28538.61</v>
      </c>
      <c r="Y364" s="11" t="n">
        <v>37073.54</v>
      </c>
      <c r="Z364" s="11" t="n"/>
      <c r="AA364" s="21">
        <f>T364+U364+V364+N(W364)+X364+Y364+N(Z364)</f>
        <v/>
      </c>
      <c r="AB364" s="11" t="n">
        <v>174724.0167</v>
      </c>
      <c r="AC364" s="11" t="n">
        <v>2375524.6</v>
      </c>
      <c r="AD364" s="21">
        <f>O364-Y364</f>
        <v/>
      </c>
      <c r="AE364" s="21">
        <f>P364-X364</f>
        <v/>
      </c>
      <c r="AF364" s="21">
        <f>IF(Q364="","",Q364-Z364)</f>
        <v/>
      </c>
      <c r="AG364" s="22">
        <f>AC364+AD364+AE364+N(AF364)</f>
        <v/>
      </c>
      <c r="AH364" s="11" t="n">
        <v>1965765.79</v>
      </c>
      <c r="AI364" s="24">
        <f>AG364-AH364</f>
        <v/>
      </c>
      <c r="AJ364" s="14">
        <f>IF(OR(B364="",B364=0,N364=""),"",N364/B364*10000)</f>
        <v/>
      </c>
      <c r="AK364" s="14">
        <f>IF(OR(C364="",C364=0),"",O364/C364*10000)</f>
        <v/>
      </c>
      <c r="AL364" s="14">
        <f>IF(OR(D364="",D364=0),"",P364/D364*10000)</f>
        <v/>
      </c>
      <c r="AM364" s="14">
        <f>IF(OR(E364="",E364=0),"",Q364/E364*10000)</f>
        <v/>
      </c>
      <c r="AN364" s="11" t="n">
        <v>40906.31853622154</v>
      </c>
      <c r="AO364" s="11" t="n">
        <v>0</v>
      </c>
      <c r="AP364" s="21">
        <f>AH364+AN364+AO364</f>
        <v/>
      </c>
      <c r="AQ364" s="21">
        <f>AH364</f>
        <v/>
      </c>
      <c r="AR364" s="15" t="n">
        <v>60402.47</v>
      </c>
      <c r="AS364" s="27" t="n">
        <v>32.54446</v>
      </c>
      <c r="AT364" s="15" t="n">
        <v>35971494.16</v>
      </c>
      <c r="AU364" s="15" t="n">
        <v>25908.1004</v>
      </c>
      <c r="AV364" s="15" t="n">
        <v>1412.2144</v>
      </c>
      <c r="AW364" s="15" t="n"/>
      <c r="AX364" s="16" t="n">
        <v>414.5299331685525</v>
      </c>
      <c r="AY364" s="13">
        <f>IF(OR(AX364="",AX364=0,AU364=""),"",AU364*365/(AX364*1000000))</f>
        <v/>
      </c>
      <c r="AZ364" s="15" t="n">
        <v>419366554.1733</v>
      </c>
      <c r="BA364" s="17" t="n">
        <v>60487233</v>
      </c>
      <c r="BB364" s="18" t="n">
        <v>35971494.16</v>
      </c>
      <c r="BC364" s="17" t="n">
        <v>2971663</v>
      </c>
      <c r="BD364" s="17">
        <f>1000000000-999497542.4085+167861.7849</f>
        <v/>
      </c>
      <c r="BE364" s="19">
        <f>1000000000-AZ364-BA364-BB364-BC364-BD364</f>
        <v/>
      </c>
      <c r="BF364" s="20" t="n">
        <v>236.254254</v>
      </c>
      <c r="BG364" s="20">
        <f>BE364/1000000-BF364</f>
        <v/>
      </c>
      <c r="BH364" s="21">
        <f>BE364*33.15</f>
        <v/>
      </c>
    </row>
    <row r="365">
      <c r="A365" s="10" t="n">
        <v>45987</v>
      </c>
      <c r="B365" s="11" t="n">
        <v>7216393410</v>
      </c>
      <c r="C365" s="11" t="n">
        <v>398953790</v>
      </c>
      <c r="D365" s="11" t="n">
        <v>292702230</v>
      </c>
      <c r="E365" s="11" t="n"/>
      <c r="F365" s="12" t="n"/>
      <c r="G365" s="12" t="n"/>
      <c r="H365" s="12" t="n"/>
      <c r="I365" s="12" t="n">
        <v>229203964.6828881</v>
      </c>
      <c r="J365" s="12" t="n">
        <v>3343927.477594167</v>
      </c>
      <c r="K365" s="12" t="n">
        <v>166405897.8395178</v>
      </c>
      <c r="L365" s="21">
        <f>SUM(F365:K365)</f>
        <v/>
      </c>
      <c r="M365" s="28" t="n">
        <v>0.9962606969442445</v>
      </c>
      <c r="N365" s="11" t="n">
        <v>2106149.41</v>
      </c>
      <c r="O365" s="11" t="n">
        <v>63161.26</v>
      </c>
      <c r="P365" s="11" t="n">
        <v>131235.18</v>
      </c>
      <c r="Q365" s="11" t="n"/>
      <c r="R365" s="21">
        <f>N365+O365+P365+N(Q365)</f>
        <v/>
      </c>
      <c r="S365" s="13" t="n">
        <v>0.01</v>
      </c>
      <c r="T365" s="21">
        <f>N(AC365)*S365</f>
        <v/>
      </c>
      <c r="U365" s="21">
        <f>N(AD365)*S365</f>
        <v/>
      </c>
      <c r="V365" s="21">
        <f>N(AE365)*S365</f>
        <v/>
      </c>
      <c r="W365" s="21">
        <f>IF(Q365="","",N(AF365)*S365)</f>
        <v/>
      </c>
      <c r="X365" s="11" t="n">
        <v>28865.39</v>
      </c>
      <c r="Y365" s="11" t="n">
        <v>31580.63</v>
      </c>
      <c r="Z365" s="11" t="n"/>
      <c r="AA365" s="21">
        <f>T365+U365+V365+N(W365)+X365+Y365+N(Z365)</f>
        <v/>
      </c>
      <c r="AB365" s="11" t="n">
        <v>181989.3844</v>
      </c>
      <c r="AC365" s="11" t="n">
        <v>2106149.41</v>
      </c>
      <c r="AD365" s="21">
        <f>O365-Y365</f>
        <v/>
      </c>
      <c r="AE365" s="21">
        <f>P365-X365</f>
        <v/>
      </c>
      <c r="AF365" s="21">
        <f>IF(Q365="","",Q365-Z365)</f>
        <v/>
      </c>
      <c r="AG365" s="22">
        <f>AC365+AD365+AE365+N(AF365)</f>
        <v/>
      </c>
      <c r="AH365" s="11" t="n">
        <v>2161625.93</v>
      </c>
      <c r="AI365" s="24">
        <f>AG365-AH365</f>
        <v/>
      </c>
      <c r="AJ365" s="14">
        <f>IF(OR(B365="",B365=0,N365=""),"",N365/B365*10000)</f>
        <v/>
      </c>
      <c r="AK365" s="14">
        <f>IF(OR(C365="",C365=0),"",O365/C365*10000)</f>
        <v/>
      </c>
      <c r="AL365" s="14">
        <f>IF(OR(D365="",D365=0),"",P365/D365*10000)</f>
        <v/>
      </c>
      <c r="AM365" s="14">
        <f>IF(OR(E365="",E365=0),"",Q365/E365*10000)</f>
        <v/>
      </c>
      <c r="AN365" s="11" t="n">
        <v>23744.54884645989</v>
      </c>
      <c r="AO365" s="11" t="n">
        <v>0</v>
      </c>
      <c r="AP365" s="21">
        <f>AH365+AN365+AO365</f>
        <v/>
      </c>
      <c r="AQ365" s="21">
        <f>AH365</f>
        <v/>
      </c>
      <c r="AR365" s="15" t="n">
        <v>62475.15</v>
      </c>
      <c r="AS365" s="27" t="n">
        <v>34.599772</v>
      </c>
      <c r="AT365" s="15" t="n">
        <v>36035251.03</v>
      </c>
      <c r="AU365" s="15" t="n">
        <v>25927.2734</v>
      </c>
      <c r="AV365" s="15" t="n">
        <v>1074.1511</v>
      </c>
      <c r="AW365" s="15" t="n"/>
      <c r="AX365" s="16" t="n">
        <v>414.6593505939679</v>
      </c>
      <c r="AY365" s="13">
        <f>IF(OR(AX365="",AX365=0,AU365=""),"",AU365*365/(AX365*1000000))</f>
        <v/>
      </c>
      <c r="AZ365" s="15" t="n">
        <v>419340626.8999</v>
      </c>
      <c r="BA365" s="17" t="n">
        <v>60487233</v>
      </c>
      <c r="BB365" s="18" t="n">
        <v>36035251.03</v>
      </c>
      <c r="BC365" s="17" t="n">
        <v>2971663</v>
      </c>
      <c r="BD365" s="17">
        <f>1000000000-999496468.2574+168561.2444</f>
        <v/>
      </c>
      <c r="BE365" s="19">
        <f>1000000000-AZ365-BA365-BB365-BC365-BD365</f>
        <v/>
      </c>
      <c r="BF365" s="20" t="n">
        <v>236.254254</v>
      </c>
      <c r="BG365" s="20">
        <f>BE365/1000000-BF365</f>
        <v/>
      </c>
      <c r="BH365" s="21">
        <f>BE365*33.94</f>
        <v/>
      </c>
    </row>
    <row r="366">
      <c r="A366" s="10" t="n">
        <v>45988</v>
      </c>
      <c r="B366" s="11" t="n">
        <v>4539272018</v>
      </c>
      <c r="C366" s="11" t="n">
        <v>188848707.05</v>
      </c>
      <c r="D366" s="11" t="n">
        <v>255721445</v>
      </c>
      <c r="E366" s="11" t="n"/>
      <c r="F366" s="24" t="n">
        <v>0</v>
      </c>
      <c r="G366" s="24" t="n">
        <v>0</v>
      </c>
      <c r="H366" s="24" t="n">
        <v>0</v>
      </c>
      <c r="I366" s="24" t="n">
        <v>139522547.6907943</v>
      </c>
      <c r="J366" s="24" t="n">
        <v>2659905.175802818</v>
      </c>
      <c r="K366" s="24" t="n">
        <v>46666254.18340286</v>
      </c>
      <c r="L366" s="21">
        <f>SUM(F366:K366)</f>
        <v/>
      </c>
      <c r="M366" s="28" t="n">
        <v>1.010572160655449</v>
      </c>
      <c r="N366" s="11" t="n">
        <v>1470547.53</v>
      </c>
      <c r="O366" s="11" t="n">
        <v>49363.72</v>
      </c>
      <c r="P366" s="11" t="n">
        <v>150485.21</v>
      </c>
      <c r="Q366" s="11" t="n"/>
      <c r="R366" s="21">
        <f>N366+O366+P366+N(Q366)</f>
        <v/>
      </c>
      <c r="S366" s="13" t="n">
        <v>0.01</v>
      </c>
      <c r="T366" s="21">
        <f>N(AC366)*S366</f>
        <v/>
      </c>
      <c r="U366" s="21">
        <f>N(AD366)*S366</f>
        <v/>
      </c>
      <c r="V366" s="21">
        <f>N(AE366)*S366</f>
        <v/>
      </c>
      <c r="W366" s="21">
        <f>IF(Q366="","",N(AF366)*S366)</f>
        <v/>
      </c>
      <c r="X366" s="11" t="n">
        <v>22157.43</v>
      </c>
      <c r="Y366" s="11" t="n">
        <v>24681.86</v>
      </c>
      <c r="Z366" s="11" t="n"/>
      <c r="AA366" s="21">
        <f>T366+U366+V366+N(W366)+X366+Y366+N(Z366)</f>
        <v/>
      </c>
      <c r="AB366" s="11" t="n">
        <v>162877.0724</v>
      </c>
      <c r="AC366" s="11" t="n">
        <v>1470547.53</v>
      </c>
      <c r="AD366" s="21">
        <f>O366-Y366</f>
        <v/>
      </c>
      <c r="AE366" s="21">
        <f>P366-X366</f>
        <v/>
      </c>
      <c r="AF366" s="21">
        <f>IF(Q366="","",Q366-Z366)</f>
        <v/>
      </c>
      <c r="AG366" s="22">
        <f>AC366+AD366+AE366+N(AF366)</f>
        <v/>
      </c>
      <c r="AH366" s="11" t="n">
        <v>1351706.04</v>
      </c>
      <c r="AI366" s="24">
        <f>AG366-AH366</f>
        <v/>
      </c>
      <c r="AJ366" s="14">
        <f>IF(OR(B366="",B366=0,N366=""),"",N366/B366*10000)</f>
        <v/>
      </c>
      <c r="AK366" s="14">
        <f>IF(OR(C366="",C366=0),"",O366/C366*10000)</f>
        <v/>
      </c>
      <c r="AL366" s="14">
        <f>IF(OR(D366="",D366=0),"",P366/D366*10000)</f>
        <v/>
      </c>
      <c r="AM366" s="14">
        <f>IF(OR(E366="",E366=0),"",Q366/E366*10000)</f>
        <v/>
      </c>
      <c r="AN366" s="11" t="n">
        <v>15709.05536838144</v>
      </c>
      <c r="AO366" s="11" t="n">
        <v>0</v>
      </c>
      <c r="AP366" s="21">
        <f>AH366+AN366+AO366</f>
        <v/>
      </c>
      <c r="AQ366" s="21">
        <f>AH366</f>
        <v/>
      </c>
      <c r="AR366" s="15" t="n">
        <v>38174.87</v>
      </c>
      <c r="AS366" s="27" t="n">
        <v>35.408268</v>
      </c>
      <c r="AT366" s="15" t="n">
        <v>36078643.78</v>
      </c>
      <c r="AU366" s="15" t="n">
        <v>25939.7711</v>
      </c>
      <c r="AV366" s="15" t="n">
        <v>1501.4621</v>
      </c>
      <c r="AW366" s="15" t="n"/>
      <c r="AX366" s="16" t="n">
        <v>415.7185117560388</v>
      </c>
      <c r="AY366" s="13">
        <f>IF(OR(AX366="",AX366=0,AU366=""),"",AU366*365/(AX366*1000000))</f>
        <v/>
      </c>
      <c r="AZ366" s="15" t="n">
        <v>419314687.1288</v>
      </c>
      <c r="BA366" s="17" t="n">
        <v>60487233</v>
      </c>
      <c r="BB366" s="18" t="n">
        <v>36078643.78</v>
      </c>
      <c r="BC366" s="17" t="n">
        <v>2971663</v>
      </c>
      <c r="BD366" s="17">
        <f>1000000000-999494966.7953+168999.3961</f>
        <v/>
      </c>
      <c r="BE366" s="19">
        <f>1000000000-AZ366-BA366-BB366-BC366-BD366</f>
        <v/>
      </c>
      <c r="BF366" s="20" t="n">
        <v>236.254254</v>
      </c>
      <c r="BG366" s="20">
        <f>BE366/1000000-BF366</f>
        <v/>
      </c>
      <c r="BH366" s="21">
        <f>BE366*35.86</f>
        <v/>
      </c>
    </row>
    <row r="367">
      <c r="A367" s="10" t="n">
        <v>45989</v>
      </c>
      <c r="B367" s="11" t="n">
        <v>5251008726</v>
      </c>
      <c r="C367" s="11" t="n">
        <v>256558055.39</v>
      </c>
      <c r="D367" s="11" t="n">
        <v>265118911</v>
      </c>
      <c r="E367" s="11" t="n"/>
      <c r="F367" s="24" t="n">
        <v>0</v>
      </c>
      <c r="G367" s="24" t="n">
        <v>0</v>
      </c>
      <c r="H367" s="24" t="n">
        <v>0</v>
      </c>
      <c r="I367" s="24" t="n">
        <v>156457324.531238</v>
      </c>
      <c r="J367" s="24" t="n">
        <v>1431816.293067309</v>
      </c>
      <c r="K367" s="24" t="n">
        <v>98668914.56569472</v>
      </c>
      <c r="L367" s="21">
        <f>SUM(F367:K367)</f>
        <v/>
      </c>
      <c r="M367" s="28" t="n">
        <v>0.9760839664066966</v>
      </c>
      <c r="N367" s="11" t="n">
        <v>1699795.37</v>
      </c>
      <c r="O367" s="11" t="n">
        <v>59174.5</v>
      </c>
      <c r="P367" s="11" t="n">
        <v>145143.76</v>
      </c>
      <c r="Q367" s="11" t="n"/>
      <c r="R367" s="21">
        <f>N367+O367+P367+N(Q367)</f>
        <v/>
      </c>
      <c r="S367" s="13" t="n">
        <v>0.01</v>
      </c>
      <c r="T367" s="21">
        <f>N(AC367)*S367</f>
        <v/>
      </c>
      <c r="U367" s="21">
        <f>N(AD367)*S367</f>
        <v/>
      </c>
      <c r="V367" s="21">
        <f>N(AE367)*S367</f>
        <v/>
      </c>
      <c r="W367" s="21">
        <f>IF(Q367="","",N(AF367)*S367)</f>
        <v/>
      </c>
      <c r="X367" s="11" t="n">
        <v>27992.71</v>
      </c>
      <c r="Y367" s="11" t="n">
        <v>29587.25</v>
      </c>
      <c r="Z367" s="11" t="n"/>
      <c r="AA367" s="21">
        <f>T367+U367+V367+N(W367)+X367+Y367+N(Z367)</f>
        <v/>
      </c>
      <c r="AB367" s="11" t="n">
        <v>205315.7418</v>
      </c>
      <c r="AC367" s="11" t="n">
        <v>1699795.37</v>
      </c>
      <c r="AD367" s="21">
        <f>O367-Y367</f>
        <v/>
      </c>
      <c r="AE367" s="21">
        <f>P367-X367</f>
        <v/>
      </c>
      <c r="AF367" s="21">
        <f>IF(Q367="","",Q367-Z367)</f>
        <v/>
      </c>
      <c r="AG367" s="22">
        <f>AC367+AD367+AE367+N(AF367)</f>
        <v/>
      </c>
      <c r="AH367" s="11" t="n">
        <v>1510697.17</v>
      </c>
      <c r="AI367" s="24">
        <f>AG367-AH367</f>
        <v/>
      </c>
      <c r="AJ367" s="14">
        <f>IF(OR(B367="",B367=0,N367=""),"",N367/B367*10000)</f>
        <v/>
      </c>
      <c r="AK367" s="14">
        <f>IF(OR(C367="",C367=0),"",O367/C367*10000)</f>
        <v/>
      </c>
      <c r="AL367" s="14">
        <f>IF(OR(D367="",D367=0),"",P367/D367*10000)</f>
        <v/>
      </c>
      <c r="AM367" s="14">
        <f>IF(OR(E367="",E367=0),"",Q367/E367*10000)</f>
        <v/>
      </c>
      <c r="AN367" s="11" t="n">
        <v>26450.57931753065</v>
      </c>
      <c r="AO367" s="11" t="n">
        <v>0</v>
      </c>
      <c r="AP367" s="21">
        <f>AH367+AN367+AO367</f>
        <v/>
      </c>
      <c r="AQ367" s="21">
        <f>AH367</f>
        <v/>
      </c>
      <c r="AR367" s="15" t="n">
        <v>42843.73</v>
      </c>
      <c r="AS367" s="27" t="n">
        <v>35.260636</v>
      </c>
      <c r="AT367" s="15" t="n">
        <v>36115330.7</v>
      </c>
      <c r="AU367" s="15" t="n">
        <v>31338.8428</v>
      </c>
      <c r="AV367" s="15" t="n">
        <v>1305.9098</v>
      </c>
      <c r="AW367" s="15" t="n"/>
      <c r="AX367" s="16" t="n">
        <v>416.0542391155838</v>
      </c>
      <c r="AY367" s="13">
        <f>IF(OR(AX367="",AX367=0,AU367=""),"",AU367*365/(AX367*1000000))</f>
        <v/>
      </c>
      <c r="AZ367" s="15" t="n">
        <v>419283348.286</v>
      </c>
      <c r="BA367" s="17" t="n">
        <v>60487233</v>
      </c>
      <c r="BB367" s="18" t="n">
        <v>36115330.7</v>
      </c>
      <c r="BC367" s="17" t="n">
        <v>2971663</v>
      </c>
      <c r="BD367" s="17">
        <f>1000000000-999493660.8855+169751.6451</f>
        <v/>
      </c>
      <c r="BE367" s="19">
        <f>1000000000-AZ367-BA367-BB367-BC367-BD367</f>
        <v/>
      </c>
      <c r="BF367" s="20" t="n">
        <v>236.254254</v>
      </c>
      <c r="BG367" s="20">
        <f>BE367/1000000-BF367</f>
        <v/>
      </c>
      <c r="BH367" s="21">
        <f>BE367*35.15</f>
        <v/>
      </c>
    </row>
    <row r="368">
      <c r="A368" s="10" t="n">
        <v>45990</v>
      </c>
      <c r="B368" s="11" t="n">
        <v>2750876746</v>
      </c>
      <c r="C368" s="11" t="n">
        <v>137966437.47</v>
      </c>
      <c r="D368" s="11" t="n">
        <v>180198119</v>
      </c>
      <c r="E368" s="11" t="n"/>
      <c r="F368" s="24" t="n">
        <v>0</v>
      </c>
      <c r="G368" s="24" t="n">
        <v>0</v>
      </c>
      <c r="H368" s="24" t="n">
        <v>0</v>
      </c>
      <c r="I368" s="24" t="n">
        <v>116152015.8264515</v>
      </c>
      <c r="J368" s="24" t="n">
        <v>1831149.840599666</v>
      </c>
      <c r="K368" s="24" t="n">
        <v>19983271.80294889</v>
      </c>
      <c r="L368" s="21">
        <f>SUM(F368:K368)</f>
        <v/>
      </c>
      <c r="M368" s="28" t="n">
        <v>0.9911874781191665</v>
      </c>
      <c r="N368" s="11" t="n">
        <v>880967.12</v>
      </c>
      <c r="O368" s="11" t="n">
        <v>32990.34</v>
      </c>
      <c r="P368" s="11" t="n">
        <v>100548.85</v>
      </c>
      <c r="Q368" s="11" t="n"/>
      <c r="R368" s="21">
        <f>N368+O368+P368+N(Q368)</f>
        <v/>
      </c>
      <c r="S368" s="13" t="n">
        <v>0.01</v>
      </c>
      <c r="T368" s="21">
        <f>N(AC368)*S368</f>
        <v/>
      </c>
      <c r="U368" s="21">
        <f>N(AD368)*S368</f>
        <v/>
      </c>
      <c r="V368" s="21">
        <f>N(AE368)*S368</f>
        <v/>
      </c>
      <c r="W368" s="21">
        <f>IF(Q368="","",N(AF368)*S368)</f>
        <v/>
      </c>
      <c r="X368" s="11" t="n">
        <v>20380.71</v>
      </c>
      <c r="Y368" s="11" t="n">
        <v>16495.17</v>
      </c>
      <c r="Z368" s="11" t="n"/>
      <c r="AA368" s="21">
        <f>T368+U368+V368+N(W368)+X368+Y368+N(Z368)</f>
        <v/>
      </c>
      <c r="AB368" s="11" t="n">
        <v>99604.13279999999</v>
      </c>
      <c r="AC368" s="11" t="n">
        <v>880967.12</v>
      </c>
      <c r="AD368" s="21">
        <f>O368-Y368</f>
        <v/>
      </c>
      <c r="AE368" s="21">
        <f>P368-X368</f>
        <v/>
      </c>
      <c r="AF368" s="21">
        <f>IF(Q368="","",Q368-Z368)</f>
        <v/>
      </c>
      <c r="AG368" s="22">
        <f>AC368+AD368+AE368+N(AF368)</f>
        <v/>
      </c>
      <c r="AH368" s="11" t="n">
        <v>804884.51</v>
      </c>
      <c r="AI368" s="24">
        <f>AG368-AH368</f>
        <v/>
      </c>
      <c r="AJ368" s="14">
        <f>IF(OR(B368="",B368=0,N368=""),"",N368/B368*10000)</f>
        <v/>
      </c>
      <c r="AK368" s="14">
        <f>IF(OR(C368="",C368=0),"",O368/C368*10000)</f>
        <v/>
      </c>
      <c r="AL368" s="14">
        <f>IF(OR(D368="",D368=0),"",P368/D368*10000)</f>
        <v/>
      </c>
      <c r="AM368" s="14">
        <f>IF(OR(E368="",E368=0),"",Q368/E368*10000)</f>
        <v/>
      </c>
      <c r="AN368" s="11" t="n">
        <v>29658.64427759316</v>
      </c>
      <c r="AO368" s="11" t="n">
        <v>0</v>
      </c>
      <c r="AP368" s="21">
        <f>AH368+AN368+AO368</f>
        <v/>
      </c>
      <c r="AQ368" s="21">
        <f>AH368</f>
        <v/>
      </c>
      <c r="AR368" s="15" t="n">
        <v>23024.51</v>
      </c>
      <c r="AS368" s="27" t="n">
        <v>34.957726</v>
      </c>
      <c r="AT368" s="15" t="n">
        <v>36138304.14</v>
      </c>
      <c r="AU368" s="15" t="n">
        <v>20590.3069</v>
      </c>
      <c r="AV368" s="15" t="n">
        <v>1064.5581</v>
      </c>
      <c r="AW368" s="15" t="n"/>
      <c r="AX368" s="16" t="n">
        <v>415.8627285408037</v>
      </c>
      <c r="AY368" s="13">
        <f>IF(OR(AX368="",AX368=0,AU368=""),"",AU368*365/(AX368*1000000))</f>
        <v/>
      </c>
      <c r="AZ368" s="15" t="n">
        <v>419262757.9791</v>
      </c>
      <c r="BA368" s="17" t="n">
        <v>60487233</v>
      </c>
      <c r="BB368" s="18" t="n">
        <v>36138304.14</v>
      </c>
      <c r="BC368" s="17" t="n">
        <v>2971663</v>
      </c>
      <c r="BD368" s="17">
        <f>1000000000-999492596.3274+170595.9232</f>
        <v/>
      </c>
      <c r="BE368" s="19">
        <f>1000000000-AZ368-BA368-BB368-BC368-BD368</f>
        <v/>
      </c>
      <c r="BF368" s="20" t="n">
        <v>236.254254</v>
      </c>
      <c r="BG368" s="20">
        <f>BE368/1000000-BF368</f>
        <v/>
      </c>
      <c r="BH368" s="21">
        <f>BE368*35.1</f>
        <v/>
      </c>
    </row>
    <row r="369">
      <c r="A369" s="10" t="n">
        <v>45991</v>
      </c>
      <c r="B369" s="11" t="n">
        <v>2624750722</v>
      </c>
      <c r="C369" s="11" t="n">
        <v>105422188.35</v>
      </c>
      <c r="D369" s="11" t="n">
        <v>189426713</v>
      </c>
      <c r="E369" s="11" t="n"/>
      <c r="F369" s="24" t="n">
        <v>0</v>
      </c>
      <c r="G369" s="24" t="n">
        <v>0</v>
      </c>
      <c r="H369" s="24" t="n">
        <v>0</v>
      </c>
      <c r="I369" s="24" t="n">
        <v>80504286.14494929</v>
      </c>
      <c r="J369" s="24" t="n">
        <v>2232015.725088749</v>
      </c>
      <c r="K369" s="24" t="n">
        <v>22685886.47996194</v>
      </c>
      <c r="L369" s="21">
        <f>SUM(F369:K369)</f>
        <v/>
      </c>
      <c r="M369" s="28" t="n">
        <v>1.106240130914826</v>
      </c>
      <c r="N369" s="11" t="n">
        <v>895541.27</v>
      </c>
      <c r="O369" s="11" t="n">
        <v>23276.32</v>
      </c>
      <c r="P369" s="11" t="n">
        <v>86771.79000000001</v>
      </c>
      <c r="Q369" s="11" t="n"/>
      <c r="R369" s="21">
        <f>N369+O369+P369+N(Q369)</f>
        <v/>
      </c>
      <c r="S369" s="13" t="n">
        <v>0.01</v>
      </c>
      <c r="T369" s="21">
        <f>N(AC369)*S369</f>
        <v/>
      </c>
      <c r="U369" s="21">
        <f>N(AD369)*S369</f>
        <v/>
      </c>
      <c r="V369" s="21">
        <f>N(AE369)*S369</f>
        <v/>
      </c>
      <c r="W369" s="21">
        <f>IF(Q369="","",N(AF369)*S369)</f>
        <v/>
      </c>
      <c r="X369" s="11" t="n">
        <v>14815.72</v>
      </c>
      <c r="Y369" s="11" t="n">
        <v>11638.16</v>
      </c>
      <c r="Z369" s="11" t="n"/>
      <c r="AA369" s="21">
        <f>T369+U369+V369+N(W369)+X369+Y369+N(Z369)</f>
        <v/>
      </c>
      <c r="AB369" s="11" t="n">
        <v>111756.9206</v>
      </c>
      <c r="AC369" s="11" t="n">
        <v>895541.27</v>
      </c>
      <c r="AD369" s="21">
        <f>O369-Y369</f>
        <v/>
      </c>
      <c r="AE369" s="21">
        <f>P369-X369</f>
        <v/>
      </c>
      <c r="AF369" s="21">
        <f>IF(Q369="","",Q369-Z369)</f>
        <v/>
      </c>
      <c r="AG369" s="22">
        <f>AC369+AD369+AE369+N(AF369)</f>
        <v/>
      </c>
      <c r="AH369" s="11" t="n">
        <v>791553.71</v>
      </c>
      <c r="AI369" s="24">
        <f>AG369-AH369</f>
        <v/>
      </c>
      <c r="AJ369" s="14">
        <f>IF(OR(B369="",B369=0,N369=""),"",N369/B369*10000)</f>
        <v/>
      </c>
      <c r="AK369" s="14">
        <f>IF(OR(C369="",C369=0),"",O369/C369*10000)</f>
        <v/>
      </c>
      <c r="AL369" s="14">
        <f>IF(OR(D369="",D369=0),"",P369/D369*10000)</f>
        <v/>
      </c>
      <c r="AM369" s="14">
        <f>IF(OR(E369="",E369=0),"",Q369/E369*10000)</f>
        <v/>
      </c>
      <c r="AN369" s="11" t="n">
        <v>11668.0672943883</v>
      </c>
      <c r="AO369" s="11" t="n">
        <v>0</v>
      </c>
      <c r="AP369" s="21">
        <f>AH369+AN369+AO369</f>
        <v/>
      </c>
      <c r="AQ369" s="21">
        <f>AH369</f>
        <v/>
      </c>
      <c r="AR369" s="15" t="n">
        <v>23691.4</v>
      </c>
      <c r="AS369" s="27" t="n">
        <v>33.411015</v>
      </c>
      <c r="AT369" s="15" t="n">
        <v>36170343.66</v>
      </c>
      <c r="AU369" s="15" t="n">
        <v>25920.7845</v>
      </c>
      <c r="AV369" s="15" t="n">
        <v>407.8315</v>
      </c>
      <c r="AW369" s="15" t="n"/>
      <c r="AX369" s="16" t="n">
        <v>417.5631673429583</v>
      </c>
      <c r="AY369" s="13">
        <f>IF(OR(AX369="",AX369=0,AU369=""),"",AU369*365/(AX369*1000000))</f>
        <v/>
      </c>
      <c r="AZ369" s="15" t="n">
        <v>419236837.1946</v>
      </c>
      <c r="BA369" s="17" t="n">
        <v>60487233</v>
      </c>
      <c r="BB369" s="18" t="n">
        <v>36170343.66</v>
      </c>
      <c r="BC369" s="17" t="n">
        <v>2971663</v>
      </c>
      <c r="BD369" s="17">
        <f>1000000000-999492188.4959+170935.1901</f>
        <v/>
      </c>
      <c r="BE369" s="19">
        <f>1000000000-AZ369-BA369-BB369-BC369-BD369</f>
        <v/>
      </c>
      <c r="BF369" s="20" t="n">
        <v>236.254254</v>
      </c>
      <c r="BG369" s="20">
        <f>BE369/1000000-BF369</f>
        <v/>
      </c>
      <c r="BH369" s="21">
        <f>BE369*34.39</f>
        <v/>
      </c>
    </row>
    <row r="370">
      <c r="A370" s="10" t="n">
        <v>45992</v>
      </c>
      <c r="B370" s="11" t="n">
        <v>10016982472</v>
      </c>
      <c r="C370" s="11" t="n">
        <v>395456166.87</v>
      </c>
      <c r="D370" s="11" t="n">
        <v>326729098</v>
      </c>
      <c r="E370" s="11" t="n"/>
      <c r="F370" s="24" t="n">
        <v>0</v>
      </c>
      <c r="G370" s="24" t="n">
        <v>0</v>
      </c>
      <c r="H370" s="24" t="n">
        <v>0</v>
      </c>
      <c r="I370" s="24" t="n">
        <v>236700738.9116379</v>
      </c>
      <c r="J370" s="24" t="n">
        <v>519421.0593428667</v>
      </c>
      <c r="K370" s="24" t="n">
        <v>158236006.8990192</v>
      </c>
      <c r="L370" s="21">
        <f>SUM(F370:K370)</f>
        <v/>
      </c>
      <c r="M370" s="28" t="n">
        <v>0.9849965089570449</v>
      </c>
      <c r="N370" s="11" t="n">
        <v>3301055.72</v>
      </c>
      <c r="O370" s="11" t="n">
        <v>59511.86</v>
      </c>
      <c r="P370" s="11" t="n">
        <v>193188.04</v>
      </c>
      <c r="Q370" s="11" t="n"/>
      <c r="R370" s="21">
        <f>N370+O370+P370+N(Q370)</f>
        <v/>
      </c>
      <c r="S370" s="13" t="n">
        <v>0.01</v>
      </c>
      <c r="T370" s="21">
        <f>N(AC370)*S370</f>
        <v/>
      </c>
      <c r="U370" s="21">
        <f>N(AD370)*S370</f>
        <v/>
      </c>
      <c r="V370" s="21">
        <f>N(AE370)*S370</f>
        <v/>
      </c>
      <c r="W370" s="21">
        <f>IF(Q370="","",N(AF370)*S370)</f>
        <v/>
      </c>
      <c r="X370" s="11" t="n">
        <v>43903.74</v>
      </c>
      <c r="Y370" s="11" t="n">
        <v>29755.93</v>
      </c>
      <c r="Z370" s="11" t="n"/>
      <c r="AA370" s="21">
        <f>T370+U370+V370+N(W370)+X370+Y370+N(Z370)</f>
        <v/>
      </c>
      <c r="AB370" s="11" t="n">
        <v>416797.153</v>
      </c>
      <c r="AC370" s="11" t="n">
        <v>3301055.72</v>
      </c>
      <c r="AD370" s="21">
        <f>O370-Y370</f>
        <v/>
      </c>
      <c r="AE370" s="21">
        <f>P370-X370</f>
        <v/>
      </c>
      <c r="AF370" s="21">
        <f>IF(Q370="","",Q370-Z370)</f>
        <v/>
      </c>
      <c r="AG370" s="22">
        <f>AC370+AD370+AE370+N(AF370)</f>
        <v/>
      </c>
      <c r="AH370" s="11" t="n">
        <v>2849206.8</v>
      </c>
      <c r="AI370" s="24">
        <f>AG370-AH370</f>
        <v/>
      </c>
      <c r="AJ370" s="14">
        <f>IF(OR(B370="",B370=0,N370=""),"",N370/B370*10000)</f>
        <v/>
      </c>
      <c r="AK370" s="14">
        <f>IF(OR(C370="",C370=0),"",O370/C370*10000)</f>
        <v/>
      </c>
      <c r="AL370" s="14">
        <f>IF(OR(D370="",D370=0),"",P370/D370*10000)</f>
        <v/>
      </c>
      <c r="AM370" s="14">
        <f>IF(OR(E370="",E370=0),"",Q370/E370*10000)</f>
        <v/>
      </c>
      <c r="AN370" s="11" t="n">
        <v>34588.228264127</v>
      </c>
      <c r="AO370" s="11" t="n">
        <v>0</v>
      </c>
      <c r="AP370" s="21">
        <f>AH370+AN370+AO370</f>
        <v/>
      </c>
      <c r="AQ370" s="21">
        <f>AH370</f>
        <v/>
      </c>
      <c r="AR370" s="15" t="n">
        <v>93343.03999999999</v>
      </c>
      <c r="AS370" s="27" t="n">
        <v>30.524041</v>
      </c>
      <c r="AT370" s="15" t="n">
        <v>36256264.96</v>
      </c>
      <c r="AU370" s="15" t="n">
        <v>26009.9969</v>
      </c>
      <c r="AV370" s="15" t="n">
        <v>1190.3492</v>
      </c>
      <c r="AW370" s="15" t="n"/>
      <c r="AX370" s="16" t="n">
        <v>417.2349624765731</v>
      </c>
      <c r="AY370" s="13">
        <f>IF(OR(AX370="",AX370=0,AU370=""),"",AU370*365/(AX370*1000000))</f>
        <v/>
      </c>
      <c r="AZ370" s="15" t="n">
        <v>419210827.1977</v>
      </c>
      <c r="BA370" s="17" t="n">
        <v>60487233</v>
      </c>
      <c r="BB370" s="18" t="n">
        <v>36256264.96</v>
      </c>
      <c r="BC370" s="17" t="n">
        <v>2971663</v>
      </c>
      <c r="BD370" s="17">
        <f>1000000000-999490998.1467+172044.1781</f>
        <v/>
      </c>
      <c r="BE370" s="19">
        <f>1000000000-AZ370-BA370-BB370-BC370-BD370</f>
        <v/>
      </c>
      <c r="BF370" s="20" t="n">
        <v>236.254254</v>
      </c>
      <c r="BG370" s="20">
        <f>BE370/1000000-BF370</f>
        <v/>
      </c>
      <c r="BH370" s="21">
        <f>BE370*31.17</f>
        <v/>
      </c>
    </row>
    <row r="371">
      <c r="A371" s="10" t="n">
        <v>45993</v>
      </c>
      <c r="B371" s="11" t="n">
        <v>7552386592</v>
      </c>
      <c r="C371" s="11" t="n">
        <v>380315270.55</v>
      </c>
      <c r="D371" s="11" t="n">
        <v>303272605</v>
      </c>
      <c r="E371" s="11" t="n"/>
      <c r="F371" s="24" t="n">
        <v>0</v>
      </c>
      <c r="G371" s="24" t="n">
        <v>0</v>
      </c>
      <c r="H371" s="24" t="n">
        <v>0</v>
      </c>
      <c r="I371" s="24" t="n">
        <v>217302104.201146</v>
      </c>
      <c r="J371" s="24" t="n">
        <v>1362889.384015526</v>
      </c>
      <c r="K371" s="24" t="n">
        <v>161650276.9648385</v>
      </c>
      <c r="L371" s="21">
        <f>SUM(F371:K371)</f>
        <v/>
      </c>
      <c r="M371" s="28" t="n">
        <v>1.004883404656886</v>
      </c>
      <c r="N371" s="11" t="n">
        <v>2461686.88</v>
      </c>
      <c r="O371" s="11" t="n">
        <v>62392.08</v>
      </c>
      <c r="P371" s="11" t="n">
        <v>148249.33</v>
      </c>
      <c r="Q371" s="11" t="n"/>
      <c r="R371" s="21">
        <f>N371+O371+P371+N(Q371)</f>
        <v/>
      </c>
      <c r="S371" s="13" t="n">
        <v>0.01</v>
      </c>
      <c r="T371" s="21">
        <f>N(AC371)*S371</f>
        <v/>
      </c>
      <c r="U371" s="21">
        <f>N(AD371)*S371</f>
        <v/>
      </c>
      <c r="V371" s="21">
        <f>N(AE371)*S371</f>
        <v/>
      </c>
      <c r="W371" s="21">
        <f>IF(Q371="","",N(AF371)*S371)</f>
        <v/>
      </c>
      <c r="X371" s="11" t="n">
        <v>35093.98</v>
      </c>
      <c r="Y371" s="11" t="n">
        <v>31196.04</v>
      </c>
      <c r="Z371" s="11" t="n"/>
      <c r="AA371" s="21">
        <f>T371+U371+V371+N(W371)+X371+Y371+N(Z371)</f>
        <v/>
      </c>
      <c r="AB371" s="11" t="n">
        <v>293970.7223</v>
      </c>
      <c r="AC371" s="11" t="n">
        <v>2461686.88</v>
      </c>
      <c r="AD371" s="21">
        <f>O371-Y371</f>
        <v/>
      </c>
      <c r="AE371" s="21">
        <f>P371-X371</f>
        <v/>
      </c>
      <c r="AF371" s="21">
        <f>IF(Q371="","",Q371-Z371)</f>
        <v/>
      </c>
      <c r="AG371" s="22">
        <f>AC371+AD371+AE371+N(AF371)</f>
        <v/>
      </c>
      <c r="AH371" s="11" t="n">
        <v>2194924.87</v>
      </c>
      <c r="AI371" s="24">
        <f>AG371-AH371</f>
        <v/>
      </c>
      <c r="AJ371" s="14">
        <f>IF(OR(B371="",B371=0,N371=""),"",N371/B371*10000)</f>
        <v/>
      </c>
      <c r="AK371" s="14">
        <f>IF(OR(C371="",C371=0),"",O371/C371*10000)</f>
        <v/>
      </c>
      <c r="AL371" s="14">
        <f>IF(OR(D371="",D371=0),"",P371/D371*10000)</f>
        <v/>
      </c>
      <c r="AM371" s="14">
        <f>IF(OR(E371="",E371=0),"",Q371/E371*10000)</f>
        <v/>
      </c>
      <c r="AN371" s="11" t="n">
        <v>37473.69830858563</v>
      </c>
      <c r="AO371" s="11" t="n">
        <v>0</v>
      </c>
      <c r="AP371" s="21">
        <f>AH371+AN371+AO371</f>
        <v/>
      </c>
      <c r="AQ371" s="21">
        <f>AH371</f>
        <v/>
      </c>
      <c r="AR371" s="15" t="n">
        <v>67716.16</v>
      </c>
      <c r="AS371" s="27" t="n">
        <v>32.413605</v>
      </c>
      <c r="AT371" s="15" t="n">
        <v>36323946.13</v>
      </c>
      <c r="AU371" s="15" t="n">
        <v>25997.6102</v>
      </c>
      <c r="AV371" s="15" t="n">
        <v>1385.634</v>
      </c>
      <c r="AW371" s="15" t="n"/>
      <c r="AX371" s="16" t="n">
        <v>416.7113185259213</v>
      </c>
      <c r="AY371" s="13">
        <f>IF(OR(AX371="",AX371=0,AU371=""),"",AU371*365/(AX371*1000000))</f>
        <v/>
      </c>
      <c r="AZ371" s="15" t="n">
        <v>419184829.5875</v>
      </c>
      <c r="BA371" s="17" t="n">
        <v>60487233</v>
      </c>
      <c r="BB371" s="18" t="n">
        <v>36323946.13</v>
      </c>
      <c r="BC371" s="17" t="n">
        <v>2971663</v>
      </c>
      <c r="BD371" s="17">
        <f>1000000000-999489612.5128+173245.4507</f>
        <v/>
      </c>
      <c r="BE371" s="19">
        <f>1000000000-AZ371-BA371-BB371-BC371-BD371</f>
        <v/>
      </c>
      <c r="BF371" s="20" t="n">
        <v>236.254254</v>
      </c>
      <c r="BG371" s="20">
        <f>BE371/1000000-BF371</f>
        <v/>
      </c>
      <c r="BH371" s="21">
        <f>BE371*31.19</f>
        <v/>
      </c>
    </row>
    <row r="372">
      <c r="A372" s="10" t="n">
        <v>45994</v>
      </c>
      <c r="B372" s="11" t="n">
        <v>6887438166</v>
      </c>
      <c r="C372" s="11" t="n">
        <v>407911152.35</v>
      </c>
      <c r="D372" s="11" t="n">
        <v>217351900</v>
      </c>
      <c r="E372" s="11" t="n"/>
      <c r="F372" s="24" t="n">
        <v>0</v>
      </c>
      <c r="G372" s="24" t="n">
        <v>91.56126748013952</v>
      </c>
      <c r="H372" s="24" t="n">
        <v>0</v>
      </c>
      <c r="I372" s="24" t="n">
        <v>244346398.3344517</v>
      </c>
      <c r="J372" s="24" t="n">
        <v>3041137.48969804</v>
      </c>
      <c r="K372" s="24" t="n">
        <v>160523524.9645827</v>
      </c>
      <c r="L372" s="21">
        <f>SUM(F372:K372)</f>
        <v/>
      </c>
      <c r="M372" s="28" t="n">
        <v>0.999137360936098</v>
      </c>
      <c r="N372" s="11" t="n">
        <v>2275868.75</v>
      </c>
      <c r="O372" s="11" t="n">
        <v>58834.94</v>
      </c>
      <c r="P372" s="11" t="n">
        <v>106887.47</v>
      </c>
      <c r="Q372" s="11" t="n"/>
      <c r="R372" s="21">
        <f>N372+O372+P372+N(Q372)</f>
        <v/>
      </c>
      <c r="S372" s="13" t="n">
        <v>0.01</v>
      </c>
      <c r="T372" s="21">
        <f>N(AC372)*S372</f>
        <v/>
      </c>
      <c r="U372" s="21">
        <f>N(AD372)*S372</f>
        <v/>
      </c>
      <c r="V372" s="21">
        <f>N(AE372)*S372</f>
        <v/>
      </c>
      <c r="W372" s="21">
        <f>IF(Q372="","",N(AF372)*S372)</f>
        <v/>
      </c>
      <c r="X372" s="11" t="n">
        <v>20585.54</v>
      </c>
      <c r="Y372" s="11" t="n">
        <v>29417.47</v>
      </c>
      <c r="Z372" s="11" t="n"/>
      <c r="AA372" s="21">
        <f>T372+U372+V372+N(W372)+X372+Y372+N(Z372)</f>
        <v/>
      </c>
      <c r="AB372" s="11" t="n">
        <v>267308.9935</v>
      </c>
      <c r="AC372" s="11" t="n">
        <v>2275868.75</v>
      </c>
      <c r="AD372" s="21">
        <f>O372-Y372</f>
        <v/>
      </c>
      <c r="AE372" s="21">
        <f>P372-X372</f>
        <v/>
      </c>
      <c r="AF372" s="21">
        <f>IF(Q372="","",Q372-Z372)</f>
        <v/>
      </c>
      <c r="AG372" s="22">
        <f>AC372+AD372+AE372+N(AF372)</f>
        <v/>
      </c>
      <c r="AH372" s="11" t="n">
        <v>2079489.72</v>
      </c>
      <c r="AI372" s="24">
        <f>AG372-AH372</f>
        <v/>
      </c>
      <c r="AJ372" s="14">
        <f>IF(OR(B372="",B372=0,N372=""),"",N372/B372*10000)</f>
        <v/>
      </c>
      <c r="AK372" s="14">
        <f>IF(OR(C372="",C372=0),"",O372/C372*10000)</f>
        <v/>
      </c>
      <c r="AL372" s="14">
        <f>IF(OR(D372="",D372=0),"",P372/D372*10000)</f>
        <v/>
      </c>
      <c r="AM372" s="14">
        <f>IF(OR(E372="",E372=0),"",Q372/E372*10000)</f>
        <v/>
      </c>
      <c r="AN372" s="11" t="n">
        <v>25092.22544406612</v>
      </c>
      <c r="AO372" s="11" t="n">
        <v>0</v>
      </c>
      <c r="AP372" s="21">
        <f>AH372+AN372+AO372</f>
        <v/>
      </c>
      <c r="AQ372" s="21">
        <f>AH372</f>
        <v/>
      </c>
      <c r="AR372" s="15" t="n">
        <v>60797.55</v>
      </c>
      <c r="AS372" s="27" t="n">
        <v>34.203512</v>
      </c>
      <c r="AT372" s="15" t="n">
        <v>36384895.82</v>
      </c>
      <c r="AU372" s="15" t="n">
        <v>25968.5244</v>
      </c>
      <c r="AV372" s="15" t="n">
        <v>1964.9548</v>
      </c>
      <c r="AW372" s="15" t="n"/>
      <c r="AX372" s="16" t="n">
        <v>415.8977621037532</v>
      </c>
      <c r="AY372" s="13">
        <f>IF(OR(AX372="",AX372=0,AU372=""),"",AU372*365/(AX372*1000000))</f>
        <v/>
      </c>
      <c r="AZ372" s="15" t="n">
        <v>419158861.0631</v>
      </c>
      <c r="BA372" s="17" t="n">
        <v>60487233</v>
      </c>
      <c r="BB372" s="18" t="n">
        <v>36384895.82</v>
      </c>
      <c r="BC372" s="17" t="n">
        <v>2971663</v>
      </c>
      <c r="BD372" s="17">
        <f>1000000000-999487647.558+173990.9341</f>
        <v/>
      </c>
      <c r="BE372" s="19">
        <f>1000000000-AZ372-BA372-BB372-BC372-BD372</f>
        <v/>
      </c>
      <c r="BF372" s="20" t="n">
        <v>236.254254</v>
      </c>
      <c r="BG372" s="20">
        <f>BE372/1000000-BF372</f>
        <v/>
      </c>
      <c r="BH372" s="21">
        <f>BE372*33.65</f>
        <v/>
      </c>
    </row>
    <row r="373">
      <c r="A373" s="10" t="n">
        <v>45995</v>
      </c>
      <c r="B373" s="11" t="n">
        <v>5796923544</v>
      </c>
      <c r="C373" s="11" t="n">
        <v>513771371.34</v>
      </c>
      <c r="D373" s="11" t="n">
        <v>189081894</v>
      </c>
      <c r="E373" s="11" t="n"/>
      <c r="F373" s="24" t="n">
        <v>0</v>
      </c>
      <c r="G373" s="24" t="n">
        <v>14.12435674946989</v>
      </c>
      <c r="H373" s="24" t="n">
        <v>0</v>
      </c>
      <c r="I373" s="24" t="n">
        <v>343529968.1340891</v>
      </c>
      <c r="J373" s="24" t="n">
        <v>1932858.002805588</v>
      </c>
      <c r="K373" s="24" t="n">
        <v>168308531.0787485</v>
      </c>
      <c r="L373" s="21">
        <f>SUM(F373:K373)</f>
        <v/>
      </c>
      <c r="M373" s="28" t="n">
        <v>1.00292240041112</v>
      </c>
      <c r="N373" s="11" t="n">
        <v>1922057.45</v>
      </c>
      <c r="O373" s="11" t="n">
        <v>74183.62</v>
      </c>
      <c r="P373" s="11" t="n">
        <v>100190.53</v>
      </c>
      <c r="Q373" s="11" t="n"/>
      <c r="R373" s="21">
        <f>N373+O373+P373+N(Q373)</f>
        <v/>
      </c>
      <c r="S373" s="13" t="n">
        <v>0.01</v>
      </c>
      <c r="T373" s="21">
        <f>N(AC373)*S373</f>
        <v/>
      </c>
      <c r="U373" s="21">
        <f>N(AD373)*S373</f>
        <v/>
      </c>
      <c r="V373" s="21">
        <f>N(AE373)*S373</f>
        <v/>
      </c>
      <c r="W373" s="21">
        <f>IF(Q373="","",N(AF373)*S373)</f>
        <v/>
      </c>
      <c r="X373" s="11" t="n">
        <v>19258.84</v>
      </c>
      <c r="Y373" s="11" t="n">
        <v>37091.81</v>
      </c>
      <c r="Z373" s="11" t="n"/>
      <c r="AA373" s="21">
        <f>T373+U373+V373+N(W373)+X373+Y373+N(Z373)</f>
        <v/>
      </c>
      <c r="AB373" s="11" t="n">
        <v>249977.533</v>
      </c>
      <c r="AC373" s="11" t="n">
        <v>1922057.45</v>
      </c>
      <c r="AD373" s="21">
        <f>O373-Y373</f>
        <v/>
      </c>
      <c r="AE373" s="21">
        <f>P373-X373</f>
        <v/>
      </c>
      <c r="AF373" s="21">
        <f>IF(Q373="","",Q373-Z373)</f>
        <v/>
      </c>
      <c r="AG373" s="22">
        <f>AC373+AD373+AE373+N(AF373)</f>
        <v/>
      </c>
      <c r="AH373" s="11" t="n">
        <v>1663937.63</v>
      </c>
      <c r="AI373" s="24">
        <f>AG373-AH373</f>
        <v/>
      </c>
      <c r="AJ373" s="14">
        <f>IF(OR(B373="",B373=0,N373=""),"",N373/B373*10000)</f>
        <v/>
      </c>
      <c r="AK373" s="14">
        <f>IF(OR(C373="",C373=0),"",O373/C373*10000)</f>
        <v/>
      </c>
      <c r="AL373" s="14">
        <f>IF(OR(D373="",D373=0),"",P373/D373*10000)</f>
        <v/>
      </c>
      <c r="AM373" s="14">
        <f>IF(OR(E373="",E373=0),"",Q373/E373*10000)</f>
        <v/>
      </c>
      <c r="AN373" s="11" t="n">
        <v>19057.2032159248</v>
      </c>
      <c r="AO373" s="11" t="n">
        <v>0</v>
      </c>
      <c r="AP373" s="21">
        <f>AH373+AN373+AO373</f>
        <v/>
      </c>
      <c r="AQ373" s="21">
        <f>AH373</f>
        <v/>
      </c>
      <c r="AR373" s="15" t="n">
        <v>48186.92</v>
      </c>
      <c r="AS373" s="27" t="n">
        <v>34.530898</v>
      </c>
      <c r="AT373" s="15" t="n">
        <v>36432787.69</v>
      </c>
      <c r="AU373" s="15" t="n">
        <v>25970.2027</v>
      </c>
      <c r="AV373" s="15" t="n">
        <v>630.4376</v>
      </c>
      <c r="AW373" s="15" t="n"/>
      <c r="AX373" s="16" t="n">
        <v>416.0798396594728</v>
      </c>
      <c r="AY373" s="13">
        <f>IF(OR(AX373="",AX373=0,AU373=""),"",AU373*365/(AX373*1000000))</f>
        <v/>
      </c>
      <c r="AZ373" s="15" t="n">
        <v>419132890.8604</v>
      </c>
      <c r="BA373" s="17" t="n">
        <v>60487233</v>
      </c>
      <c r="BB373" s="18" t="n">
        <v>36432787.69</v>
      </c>
      <c r="BC373" s="17" t="n">
        <v>2971663</v>
      </c>
      <c r="BD373" s="17">
        <f>1000000000-999487017.1204+174542.4695</f>
        <v/>
      </c>
      <c r="BE373" s="19">
        <f>1000000000-AZ373-BA373-BB373-BC373-BD373</f>
        <v/>
      </c>
      <c r="BF373" s="20" t="n">
        <v>236.254254</v>
      </c>
      <c r="BG373" s="20">
        <f>BE373/1000000-BF373</f>
        <v/>
      </c>
      <c r="BH373" s="21">
        <f>BE373*34.56</f>
        <v/>
      </c>
    </row>
    <row r="374">
      <c r="A374" s="10" t="n">
        <v>45996</v>
      </c>
      <c r="B374" s="11" t="n">
        <v>7062828513</v>
      </c>
      <c r="C374" s="11" t="n">
        <v>336262128.32</v>
      </c>
      <c r="D374" s="11" t="n">
        <v>209195208</v>
      </c>
      <c r="E374" s="11" t="n"/>
      <c r="F374" s="24" t="n">
        <v>0</v>
      </c>
      <c r="G374" s="24" t="n">
        <v>266.8088625796224</v>
      </c>
      <c r="H374" s="24" t="n">
        <v>0</v>
      </c>
      <c r="I374" s="24" t="n">
        <v>184705302.3823223</v>
      </c>
      <c r="J374" s="24" t="n">
        <v>1342960.678291296</v>
      </c>
      <c r="K374" s="24" t="n">
        <v>150213598.4505238</v>
      </c>
      <c r="L374" s="21">
        <f>SUM(F374:K374)</f>
        <v/>
      </c>
      <c r="M374" s="28" t="n">
        <v>0.9857266955870888</v>
      </c>
      <c r="N374" s="11" t="n">
        <v>2234827.25</v>
      </c>
      <c r="O374" s="11" t="n">
        <v>49265.12</v>
      </c>
      <c r="P374" s="11" t="n">
        <v>104423.05</v>
      </c>
      <c r="Q374" s="11" t="n"/>
      <c r="R374" s="21">
        <f>N374+O374+P374+N(Q374)</f>
        <v/>
      </c>
      <c r="S374" s="13" t="n">
        <v>0.01</v>
      </c>
      <c r="T374" s="21">
        <f>N(AC374)*S374</f>
        <v/>
      </c>
      <c r="U374" s="21">
        <f>N(AD374)*S374</f>
        <v/>
      </c>
      <c r="V374" s="21">
        <f>N(AE374)*S374</f>
        <v/>
      </c>
      <c r="W374" s="21">
        <f>IF(Q374="","",N(AF374)*S374)</f>
        <v/>
      </c>
      <c r="X374" s="11" t="n">
        <v>17806.82</v>
      </c>
      <c r="Y374" s="11" t="n">
        <v>24632.56</v>
      </c>
      <c r="Z374" s="11" t="n"/>
      <c r="AA374" s="21">
        <f>T374+U374+V374+N(W374)+X374+Y374+N(Z374)</f>
        <v/>
      </c>
      <c r="AB374" s="11" t="n">
        <v>225389.7421</v>
      </c>
      <c r="AC374" s="11" t="n">
        <v>2234827.25</v>
      </c>
      <c r="AD374" s="21">
        <f>O374-Y374</f>
        <v/>
      </c>
      <c r="AE374" s="21">
        <f>P374-X374</f>
        <v/>
      </c>
      <c r="AF374" s="21">
        <f>IF(Q374="","",Q374-Z374)</f>
        <v/>
      </c>
      <c r="AG374" s="22">
        <f>AC374+AD374+AE374+N(AF374)</f>
        <v/>
      </c>
      <c r="AH374" s="11" t="n">
        <v>2000314.57</v>
      </c>
      <c r="AI374" s="24">
        <f>AG374-AH374</f>
        <v/>
      </c>
      <c r="AJ374" s="14">
        <f>IF(OR(B374="",B374=0,N374=""),"",N374/B374*10000)</f>
        <v/>
      </c>
      <c r="AK374" s="14">
        <f>IF(OR(C374="",C374=0),"",O374/C374*10000)</f>
        <v/>
      </c>
      <c r="AL374" s="14">
        <f>IF(OR(D374="",D374=0),"",P374/D374*10000)</f>
        <v/>
      </c>
      <c r="AM374" s="14">
        <f>IF(OR(E374="",E374=0),"",Q374/E374*10000)</f>
        <v/>
      </c>
      <c r="AN374" s="11" t="n">
        <v>17560.31635041048</v>
      </c>
      <c r="AO374" s="11" t="n">
        <v>0</v>
      </c>
      <c r="AP374" s="21">
        <f>AH374+AN374+AO374</f>
        <v/>
      </c>
      <c r="AQ374" s="21">
        <f>AH374</f>
        <v/>
      </c>
      <c r="AR374" s="15" t="n">
        <v>63142.73</v>
      </c>
      <c r="AS374" s="27" t="n">
        <v>31.679254</v>
      </c>
      <c r="AT374" s="15" t="n">
        <v>36495511.64</v>
      </c>
      <c r="AU374" s="15" t="n">
        <v>26286.8388</v>
      </c>
      <c r="AV374" s="15" t="n">
        <v>1171.0211</v>
      </c>
      <c r="AW374" s="15" t="n"/>
      <c r="AX374" s="16" t="n">
        <v>430.724485779458</v>
      </c>
      <c r="AY374" s="13">
        <f>IF(OR(AX374="",AX374=0,AU374=""),"",AU374*365/(AX374*1000000))</f>
        <v/>
      </c>
      <c r="AZ374" s="15" t="n">
        <v>419106604.0216</v>
      </c>
      <c r="BA374" s="17" t="n">
        <v>60487233</v>
      </c>
      <c r="BB374" s="18" t="n">
        <v>36495511.64</v>
      </c>
      <c r="BC374" s="17" t="n">
        <v>2971663</v>
      </c>
      <c r="BD374" s="17">
        <f>1000000000-999485846.0993+175066.9712</f>
        <v/>
      </c>
      <c r="BE374" s="19">
        <f>1000000000-AZ374-BA374-BB374-BC374-BD374</f>
        <v/>
      </c>
      <c r="BF374" s="20" t="n">
        <v>236.254254</v>
      </c>
      <c r="BG374" s="20">
        <f>BE374/1000000-BF374</f>
        <v/>
      </c>
      <c r="BH374" s="21">
        <f>BE374*33.49</f>
        <v/>
      </c>
    </row>
    <row r="375">
      <c r="A375" s="10" t="n">
        <v>45997</v>
      </c>
      <c r="B375" s="11" t="n">
        <v>2331427886</v>
      </c>
      <c r="C375" s="11" t="n">
        <v>60203119.21</v>
      </c>
      <c r="D375" s="11" t="n">
        <v>108083988</v>
      </c>
      <c r="E375" s="11" t="n"/>
      <c r="F375" s="24" t="n">
        <v>0</v>
      </c>
      <c r="G375" s="24" t="n">
        <v>1586.170937316311</v>
      </c>
      <c r="H375" s="24" t="n">
        <v>0</v>
      </c>
      <c r="I375" s="24" t="n">
        <v>45622348.88012771</v>
      </c>
      <c r="J375" s="24" t="n">
        <v>1629536.496580523</v>
      </c>
      <c r="K375" s="24" t="n">
        <v>12949647.66235446</v>
      </c>
      <c r="L375" s="21">
        <f>SUM(F375:K375)</f>
        <v/>
      </c>
      <c r="M375" s="28" t="n">
        <v>0.9646847612595689</v>
      </c>
      <c r="N375" s="11" t="n">
        <v>785801.63</v>
      </c>
      <c r="O375" s="11" t="n">
        <v>13793.02</v>
      </c>
      <c r="P375" s="11" t="n">
        <v>59517.19</v>
      </c>
      <c r="Q375" s="11" t="n"/>
      <c r="R375" s="21">
        <f>N375+O375+P375+N(Q375)</f>
        <v/>
      </c>
      <c r="S375" s="13" t="n">
        <v>0.01</v>
      </c>
      <c r="T375" s="21">
        <f>N(AC375)*S375</f>
        <v/>
      </c>
      <c r="U375" s="21">
        <f>N(AD375)*S375</f>
        <v/>
      </c>
      <c r="V375" s="21">
        <f>N(AE375)*S375</f>
        <v/>
      </c>
      <c r="W375" s="21">
        <f>IF(Q375="","",N(AF375)*S375)</f>
        <v/>
      </c>
      <c r="X375" s="11" t="n">
        <v>12647.57</v>
      </c>
      <c r="Y375" s="11" t="n">
        <v>6896.51</v>
      </c>
      <c r="Z375" s="11" t="n"/>
      <c r="AA375" s="21">
        <f>T375+U375+V375+N(W375)+X375+Y375+N(Z375)</f>
        <v/>
      </c>
      <c r="AB375" s="11" t="n">
        <v>100599.7903</v>
      </c>
      <c r="AC375" s="11" t="n">
        <v>785801.63</v>
      </c>
      <c r="AD375" s="21">
        <f>O375-Y375</f>
        <v/>
      </c>
      <c r="AE375" s="21">
        <f>P375-X375</f>
        <v/>
      </c>
      <c r="AF375" s="21">
        <f>IF(Q375="","",Q375-Z375)</f>
        <v/>
      </c>
      <c r="AG375" s="22">
        <f>AC375+AD375+AE375+N(AF375)</f>
        <v/>
      </c>
      <c r="AH375" s="11" t="n">
        <v>673471.5</v>
      </c>
      <c r="AI375" s="24">
        <f>AG375-AH375</f>
        <v/>
      </c>
      <c r="AJ375" s="14">
        <f>IF(OR(B375="",B375=0,N375=""),"",N375/B375*10000)</f>
        <v/>
      </c>
      <c r="AK375" s="14">
        <f>IF(OR(C375="",C375=0),"",O375/C375*10000)</f>
        <v/>
      </c>
      <c r="AL375" s="14">
        <f>IF(OR(D375="",D375=0),"",P375/D375*10000)</f>
        <v/>
      </c>
      <c r="AM375" s="14">
        <f>IF(OR(E375="",E375=0),"",Q375/E375*10000)</f>
        <v/>
      </c>
      <c r="AN375" s="11" t="n">
        <v>6180.491115620589</v>
      </c>
      <c r="AO375" s="11" t="n">
        <v>0</v>
      </c>
      <c r="AP375" s="21">
        <f>AH375+AN375+AO375</f>
        <v/>
      </c>
      <c r="AQ375" s="21">
        <f>AH375</f>
        <v/>
      </c>
      <c r="AR375" s="15" t="n">
        <v>21702.43</v>
      </c>
      <c r="AS375" s="27" t="n">
        <v>31.032078</v>
      </c>
      <c r="AT375" s="15" t="n">
        <v>36516646.11</v>
      </c>
      <c r="AU375" s="15" t="n">
        <v>26453.3853</v>
      </c>
      <c r="AV375" s="15" t="n">
        <v>1209.6382</v>
      </c>
      <c r="AW375" s="15" t="n">
        <v>0</v>
      </c>
      <c r="AX375" s="16" t="n">
        <v>431.3697353216838</v>
      </c>
      <c r="AY375" s="13">
        <f>IF(OR(AX375="",AX375=0,AU375=""),"",AU375*365/(AX375*1000000))</f>
        <v/>
      </c>
      <c r="AZ375" s="15" t="n">
        <v>419080150.6363</v>
      </c>
      <c r="BA375" s="17" t="n">
        <v>60487233</v>
      </c>
      <c r="BB375" s="18" t="n">
        <v>36516646.11</v>
      </c>
      <c r="BC375" s="17" t="n">
        <v>2971663</v>
      </c>
      <c r="BD375" s="17">
        <f>1000000000-999484636.4611+175268.6120</f>
        <v/>
      </c>
      <c r="BE375" s="19">
        <f>1000000000-AZ375-BA375-BB375-BC375-BD375</f>
        <v/>
      </c>
      <c r="BF375" s="20" t="n">
        <v>236.254254</v>
      </c>
      <c r="BG375" s="20">
        <f>BE375/1000000-BF375</f>
        <v/>
      </c>
      <c r="BH375" s="21">
        <f>BE375*30.66</f>
        <v/>
      </c>
    </row>
    <row r="376">
      <c r="A376" s="10" t="n">
        <v>45998</v>
      </c>
      <c r="B376" s="11" t="n">
        <v>6050637351</v>
      </c>
      <c r="C376" s="11" t="n">
        <v>102735686.84</v>
      </c>
      <c r="D376" s="11" t="n">
        <v>179695169</v>
      </c>
      <c r="E376" s="11" t="n"/>
      <c r="F376" s="24" t="n">
        <v>0</v>
      </c>
      <c r="G376" s="24" t="n">
        <v>105.9747420871936</v>
      </c>
      <c r="H376" s="24" t="n">
        <v>0</v>
      </c>
      <c r="I376" s="24" t="n">
        <v>89218263.89983381</v>
      </c>
      <c r="J376" s="24" t="n">
        <v>791616.9866355207</v>
      </c>
      <c r="K376" s="24" t="n">
        <v>12725699.97878856</v>
      </c>
      <c r="L376" s="21">
        <f>SUM(F376:K376)</f>
        <v/>
      </c>
      <c r="M376" s="28" t="n">
        <v>1.052049783019539</v>
      </c>
      <c r="N376" s="11" t="n">
        <v>2132672.38</v>
      </c>
      <c r="O376" s="11" t="n">
        <v>23116.68</v>
      </c>
      <c r="P376" s="11" t="n">
        <v>102958.27</v>
      </c>
      <c r="Q376" s="11" t="n"/>
      <c r="R376" s="21">
        <f>N376+O376+P376+N(Q376)</f>
        <v/>
      </c>
      <c r="S376" s="13" t="n">
        <v>0.01</v>
      </c>
      <c r="T376" s="21">
        <f>N(AC376)*S376</f>
        <v/>
      </c>
      <c r="U376" s="21">
        <f>N(AD376)*S376</f>
        <v/>
      </c>
      <c r="V376" s="21">
        <f>N(AE376)*S376</f>
        <v/>
      </c>
      <c r="W376" s="21">
        <f>IF(Q376="","",N(AF376)*S376)</f>
        <v/>
      </c>
      <c r="X376" s="11" t="n">
        <v>12808.95</v>
      </c>
      <c r="Y376" s="11" t="n">
        <v>11558.34</v>
      </c>
      <c r="Z376" s="11" t="n"/>
      <c r="AA376" s="21">
        <f>T376+U376+V376+N(W376)+X376+Y376+N(Z376)</f>
        <v/>
      </c>
      <c r="AB376" s="11" t="n">
        <v>167923.6147</v>
      </c>
      <c r="AC376" s="11" t="n">
        <v>2132672.38</v>
      </c>
      <c r="AD376" s="21">
        <f>O376-Y376</f>
        <v/>
      </c>
      <c r="AE376" s="21">
        <f>P376-X376</f>
        <v/>
      </c>
      <c r="AF376" s="21">
        <f>IF(Q376="","",Q376-Z376)</f>
        <v/>
      </c>
      <c r="AG376" s="22">
        <f>AC376+AD376+AE376+N(AF376)</f>
        <v/>
      </c>
      <c r="AH376" s="11" t="n">
        <v>1720821.46</v>
      </c>
      <c r="AI376" s="24">
        <f>AG376-AH376</f>
        <v/>
      </c>
      <c r="AJ376" s="14">
        <f>IF(OR(B376="",B376=0,N376=""),"",N376/B376*10000)</f>
        <v/>
      </c>
      <c r="AK376" s="14">
        <f>IF(OR(C376="",C376=0),"",O376/C376*10000)</f>
        <v/>
      </c>
      <c r="AL376" s="14">
        <f>IF(OR(D376="",D376=0),"",P376/D376*10000)</f>
        <v/>
      </c>
      <c r="AM376" s="14">
        <f>IF(OR(E376="",E376=0),"",Q376/E376*10000)</f>
        <v/>
      </c>
      <c r="AN376" s="11" t="n">
        <v>25409.58117023863</v>
      </c>
      <c r="AO376" s="11" t="n">
        <v>0</v>
      </c>
      <c r="AP376" s="21">
        <f>AH376+AN376+AO376</f>
        <v/>
      </c>
      <c r="AQ376" s="21">
        <f>AH376</f>
        <v/>
      </c>
      <c r="AR376" s="15" t="n">
        <v>58504.27</v>
      </c>
      <c r="AS376" s="27" t="n">
        <v>29.413604</v>
      </c>
      <c r="AT376" s="15" t="n">
        <v>36575096.92</v>
      </c>
      <c r="AU376" s="15" t="n">
        <v>26424.9266</v>
      </c>
      <c r="AV376" s="15" t="n">
        <v>969.9399</v>
      </c>
      <c r="AW376" s="15" t="n"/>
      <c r="AX376" s="16" t="n">
        <v>431.4079183757278</v>
      </c>
      <c r="AY376" s="13">
        <f>IF(OR(AX376="",AX376=0,AU376=""),"",AU376*365/(AX376*1000000))</f>
        <v/>
      </c>
      <c r="AZ376" s="15" t="n">
        <v>419053725.7097</v>
      </c>
      <c r="BA376" s="17" t="n">
        <v>60487233</v>
      </c>
      <c r="BB376" s="18" t="n">
        <v>36575096.92</v>
      </c>
      <c r="BC376" s="17" t="n">
        <v>2971663</v>
      </c>
      <c r="BD376" s="17">
        <f>1000000000-999483666.5211+176084.7219</f>
        <v/>
      </c>
      <c r="BE376" s="19">
        <f>1000000000-AZ376-BA376-BB376-BC376-BD376</f>
        <v/>
      </c>
      <c r="BF376" s="20" t="n">
        <v>236.254254</v>
      </c>
      <c r="BG376" s="20">
        <f>BE376/1000000-BF376</f>
        <v/>
      </c>
      <c r="BH376" s="21">
        <f>BE376*31.12</f>
        <v/>
      </c>
    </row>
    <row r="377">
      <c r="A377" s="10" t="n">
        <v>45999</v>
      </c>
      <c r="B377" s="11" t="n">
        <v>6029441636</v>
      </c>
      <c r="C377" s="11" t="n">
        <v>301730454.9</v>
      </c>
      <c r="D377" s="11" t="n">
        <v>277300000</v>
      </c>
      <c r="E377" s="11" t="n"/>
      <c r="F377" s="24" t="n">
        <v>0</v>
      </c>
      <c r="G377" s="24" t="n">
        <v>6219.173428614415</v>
      </c>
      <c r="H377" s="24" t="n">
        <v>0</v>
      </c>
      <c r="I377" s="24" t="n">
        <v>172652531.3266094</v>
      </c>
      <c r="J377" s="24" t="n">
        <v>458718.2971227961</v>
      </c>
      <c r="K377" s="24" t="n">
        <v>128612986.1028392</v>
      </c>
      <c r="L377" s="21">
        <f>SUM(F377:K377)</f>
        <v/>
      </c>
      <c r="M377" s="28" t="n">
        <v>1.006999630811816</v>
      </c>
      <c r="N377" s="11" t="n">
        <v>1961447.32</v>
      </c>
      <c r="O377" s="11" t="n">
        <v>38271.62</v>
      </c>
      <c r="P377" s="11" t="n">
        <v>91389.07000000001</v>
      </c>
      <c r="Q377" s="11" t="n"/>
      <c r="R377" s="21">
        <f>N377+O377+P377+N(Q377)</f>
        <v/>
      </c>
      <c r="S377" s="13" t="n">
        <v>0.01</v>
      </c>
      <c r="T377" s="21">
        <f>N(AC377)*S377</f>
        <v/>
      </c>
      <c r="U377" s="21">
        <f>N(AD377)*S377</f>
        <v/>
      </c>
      <c r="V377" s="21">
        <f>N(AE377)*S377</f>
        <v/>
      </c>
      <c r="W377" s="21">
        <f>IF(Q377="","",N(AF377)*S377)</f>
        <v/>
      </c>
      <c r="X377" s="11" t="n">
        <v>14581.54</v>
      </c>
      <c r="Y377" s="11" t="n">
        <v>19135.81</v>
      </c>
      <c r="Z377" s="11" t="n"/>
      <c r="AA377" s="21">
        <f>T377+U377+V377+N(W377)+X377+Y377+N(Z377)</f>
        <v/>
      </c>
      <c r="AB377" s="11" t="n">
        <v>213820.0219</v>
      </c>
      <c r="AC377" s="11" t="n">
        <v>1961447.32</v>
      </c>
      <c r="AD377" s="21">
        <f>O377-Y377</f>
        <v/>
      </c>
      <c r="AE377" s="21">
        <f>P377-X377</f>
        <v/>
      </c>
      <c r="AF377" s="21">
        <f>IF(Q377="","",Q377-Z377)</f>
        <v/>
      </c>
      <c r="AG377" s="22">
        <f>AC377+AD377+AE377+N(AF377)</f>
        <v/>
      </c>
      <c r="AH377" s="11" t="n">
        <v>1747203.22</v>
      </c>
      <c r="AI377" s="24">
        <f>AG377-AH377</f>
        <v/>
      </c>
      <c r="AJ377" s="14">
        <f>IF(OR(B377="",B377=0,N377=""),"",N377/B377*10000)</f>
        <v/>
      </c>
      <c r="AK377" s="14">
        <f>IF(OR(C377="",C377=0),"",O377/C377*10000)</f>
        <v/>
      </c>
      <c r="AL377" s="14">
        <f>IF(OR(D377="",D377=0),"",P377/D377*10000)</f>
        <v/>
      </c>
      <c r="AM377" s="14">
        <f>IF(OR(E377="",E377=0),"",Q377/E377*10000)</f>
        <v/>
      </c>
      <c r="AN377" s="11" t="n">
        <v>15677.35813674252</v>
      </c>
      <c r="AO377" s="11" t="n">
        <v>0</v>
      </c>
      <c r="AP377" s="21">
        <f>AH377+AN377+AO377</f>
        <v/>
      </c>
      <c r="AQ377" s="21">
        <f>AH377</f>
        <v/>
      </c>
      <c r="AR377" s="15" t="n">
        <v>58433.15</v>
      </c>
      <c r="AS377" s="27" t="n">
        <v>29.900891</v>
      </c>
      <c r="AT377" s="15" t="n">
        <v>36821105.39</v>
      </c>
      <c r="AU377" s="15" t="n">
        <v>0</v>
      </c>
      <c r="AV377" s="15" t="n">
        <v>-4131.1617</v>
      </c>
      <c r="AW377" s="15" t="n"/>
      <c r="AX377" s="16" t="n">
        <v>430.9794309419825</v>
      </c>
      <c r="AY377" s="13">
        <f>IF(OR(AX377="",AX377=0,AU377=""),"",AU377*365/(AX377*1000000))</f>
        <v/>
      </c>
      <c r="AZ377" s="15" t="n">
        <v>419027266.0316</v>
      </c>
      <c r="BA377" s="17" t="n">
        <v>60487233</v>
      </c>
      <c r="BB377" s="18" t="n">
        <v>36821105.39</v>
      </c>
      <c r="BC377" s="17" t="n">
        <v>2971663</v>
      </c>
      <c r="BD377" s="17">
        <f>1000000000-999482193.398+176609.0833</f>
        <v/>
      </c>
      <c r="BE377" s="19">
        <f>1000000000-AZ377-BA377-BB377-BC377-BD377</f>
        <v/>
      </c>
      <c r="BF377" s="20" t="n">
        <v>236.254254</v>
      </c>
      <c r="BG377" s="20">
        <f>BE377/1000000-BF377</f>
        <v/>
      </c>
      <c r="BH377" s="21">
        <f>BE377*29.91</f>
        <v/>
      </c>
    </row>
    <row r="378">
      <c r="A378" s="10" t="n">
        <v>46000</v>
      </c>
      <c r="B378" s="11" t="n">
        <v>8400921013</v>
      </c>
      <c r="C378" s="11" t="n">
        <v>288232283.6</v>
      </c>
      <c r="D378" s="11" t="n">
        <v>236600000</v>
      </c>
      <c r="E378" s="11" t="n"/>
      <c r="F378" s="24" t="n">
        <v>0</v>
      </c>
      <c r="G378" s="24" t="n">
        <v>14446293.10331675</v>
      </c>
      <c r="H378" s="24" t="n">
        <v>0</v>
      </c>
      <c r="I378" s="24" t="n">
        <v>158828864.6276332</v>
      </c>
      <c r="J378" s="24" t="n">
        <v>624734.5225314957</v>
      </c>
      <c r="K378" s="24" t="n">
        <v>114332391.3465187</v>
      </c>
      <c r="L378" s="21">
        <f>SUM(F378:K378)</f>
        <v/>
      </c>
      <c r="M378" s="28" t="n">
        <v>0.9885924541978306</v>
      </c>
      <c r="N378" s="11" t="n">
        <v>2735933.17</v>
      </c>
      <c r="O378" s="11" t="n">
        <v>51522.26</v>
      </c>
      <c r="P378" s="11" t="n">
        <v>137017.64</v>
      </c>
      <c r="Q378" s="11" t="n"/>
      <c r="R378" s="21">
        <f>N378+O378+P378+N(Q378)</f>
        <v/>
      </c>
      <c r="S378" s="13" t="n">
        <v>0.01</v>
      </c>
      <c r="T378" s="21">
        <f>N(AC378)*S378</f>
        <v/>
      </c>
      <c r="U378" s="21">
        <f>N(AD378)*S378</f>
        <v/>
      </c>
      <c r="V378" s="21">
        <f>N(AE378)*S378</f>
        <v/>
      </c>
      <c r="W378" s="21">
        <f>IF(Q378="","",N(AF378)*S378)</f>
        <v/>
      </c>
      <c r="X378" s="11" t="n">
        <v>25396.93</v>
      </c>
      <c r="Y378" s="11" t="n">
        <v>25761.13</v>
      </c>
      <c r="Z378" s="11" t="n"/>
      <c r="AA378" s="21">
        <f>T378+U378+V378+N(W378)+X378+Y378+N(Z378)</f>
        <v/>
      </c>
      <c r="AB378" s="11" t="n">
        <v>219032.6815</v>
      </c>
      <c r="AC378" s="11" t="n">
        <v>2735933.17</v>
      </c>
      <c r="AD378" s="21">
        <f>O378-Y378</f>
        <v/>
      </c>
      <c r="AE378" s="21">
        <f>P378-X378</f>
        <v/>
      </c>
      <c r="AF378" s="21">
        <f>IF(Q378="","",Q378-Z378)</f>
        <v/>
      </c>
      <c r="AG378" s="22">
        <f>AC378+AD378+AE378+N(AF378)</f>
        <v/>
      </c>
      <c r="AH378" s="11" t="n">
        <v>2415499.24</v>
      </c>
      <c r="AI378" s="24">
        <f>AG378-AH378</f>
        <v/>
      </c>
      <c r="AJ378" s="14">
        <f>IF(OR(B378="",B378=0,N378=""),"",N378/B378*10000)</f>
        <v/>
      </c>
      <c r="AK378" s="14">
        <f>IF(OR(C378="",C378=0),"",O378/C378*10000)</f>
        <v/>
      </c>
      <c r="AL378" s="14">
        <f>IF(OR(D378="",D378=0),"",P378/D378*10000)</f>
        <v/>
      </c>
      <c r="AM378" s="14">
        <f>IF(OR(E378="",E378=0),"",Q378/E378*10000)</f>
        <v/>
      </c>
      <c r="AN378" s="11" t="n">
        <v>34351.51835478158</v>
      </c>
      <c r="AO378" s="11" t="n">
        <v>0</v>
      </c>
      <c r="AP378" s="21">
        <f>AH378+AN378+AO378</f>
        <v/>
      </c>
      <c r="AQ378" s="21">
        <f>AH378</f>
        <v/>
      </c>
      <c r="AR378" s="15" t="n">
        <v>84868.58</v>
      </c>
      <c r="AS378" s="27" t="n">
        <v>28.461643</v>
      </c>
      <c r="AT378" s="15" t="n">
        <v>36821105.39</v>
      </c>
      <c r="AU378" s="15" t="n">
        <v>88711.8459</v>
      </c>
      <c r="AV378" s="15" t="n">
        <v>4131.1617</v>
      </c>
      <c r="AW378" s="15" t="n"/>
      <c r="AX378" s="16" t="n">
        <v>431.0351833386007</v>
      </c>
      <c r="AY378" s="13">
        <f>IF(OR(AX378="",AX378=0,AU378=""),"",AU378*365/(AX378*1000000))</f>
        <v/>
      </c>
      <c r="AZ378" s="15" t="n">
        <v>418938554.1857</v>
      </c>
      <c r="BA378" s="17" t="n">
        <v>60487233</v>
      </c>
      <c r="BB378" s="18" t="n">
        <v>36821105.39</v>
      </c>
      <c r="BC378" s="17" t="n">
        <v>2971663</v>
      </c>
      <c r="BD378" s="17">
        <f>1000000000-999478062.2363+177839.7030</f>
        <v/>
      </c>
      <c r="BE378" s="19">
        <f>1000000000-AZ378-BA378-BB378-BC378-BD378</f>
        <v/>
      </c>
      <c r="BF378" s="20" t="n">
        <v>236.254254</v>
      </c>
      <c r="BG378" s="20">
        <f>BE378/1000000-BF378</f>
        <v/>
      </c>
      <c r="BH378" s="21">
        <f>BE378*27.95</f>
        <v/>
      </c>
    </row>
    <row r="379">
      <c r="A379" s="10" t="n">
        <v>46001</v>
      </c>
      <c r="B379" s="11" t="n">
        <v>7965257027</v>
      </c>
      <c r="C379" s="11" t="n">
        <v>398003137.94</v>
      </c>
      <c r="D379" s="11" t="n">
        <v>248371283</v>
      </c>
      <c r="E379" s="11" t="n"/>
      <c r="F379" s="24" t="n">
        <v>0</v>
      </c>
      <c r="G379" s="24" t="n">
        <v>20790371.18774257</v>
      </c>
      <c r="H379" s="24" t="n">
        <v>0</v>
      </c>
      <c r="I379" s="24" t="n">
        <v>214243613.1147202</v>
      </c>
      <c r="J379" s="24" t="n">
        <v>1125419.807102837</v>
      </c>
      <c r="K379" s="24" t="n">
        <v>161843733.8304344</v>
      </c>
      <c r="L379" s="21">
        <f>SUM(F379:K379)</f>
        <v/>
      </c>
      <c r="M379" s="28" t="n">
        <v>1.003751772446155</v>
      </c>
      <c r="N379" s="11" t="n">
        <v>2641120.97</v>
      </c>
      <c r="O379" s="11" t="n">
        <v>64372.82</v>
      </c>
      <c r="P379" s="11" t="n">
        <v>133588.01</v>
      </c>
      <c r="Q379" s="11" t="n"/>
      <c r="R379" s="21">
        <f>N379+O379+P379+N(Q379)</f>
        <v/>
      </c>
      <c r="S379" s="13" t="n">
        <v>0.01</v>
      </c>
      <c r="T379" s="21">
        <f>N(AC379)*S379</f>
        <v/>
      </c>
      <c r="U379" s="21">
        <f>N(AD379)*S379</f>
        <v/>
      </c>
      <c r="V379" s="21">
        <f>N(AE379)*S379</f>
        <v/>
      </c>
      <c r="W379" s="21">
        <f>IF(Q379="","",N(AF379)*S379)</f>
        <v/>
      </c>
      <c r="X379" s="11" t="n">
        <v>50495.72</v>
      </c>
      <c r="Y379" s="11" t="n">
        <v>32186.41</v>
      </c>
      <c r="Z379" s="11" t="n"/>
      <c r="AA379" s="21">
        <f>T379+U379+V379+N(W379)+X379+Y379+N(Z379)</f>
        <v/>
      </c>
      <c r="AB379" s="11" t="n">
        <v>220282.4162</v>
      </c>
      <c r="AC379" s="11" t="n">
        <v>2641120.97</v>
      </c>
      <c r="AD379" s="21">
        <f>O379-Y379</f>
        <v/>
      </c>
      <c r="AE379" s="21">
        <f>P379-X379</f>
        <v/>
      </c>
      <c r="AF379" s="21">
        <f>IF(Q379="","",Q379-Z379)</f>
        <v/>
      </c>
      <c r="AG379" s="22">
        <f>AC379+AD379+AE379+N(AF379)</f>
        <v/>
      </c>
      <c r="AH379" s="11" t="n">
        <v>2249508.93</v>
      </c>
      <c r="AI379" s="24">
        <f>AG379-AH379</f>
        <v/>
      </c>
      <c r="AJ379" s="14">
        <f>IF(OR(B379="",B379=0,N379=""),"",N379/B379*10000)</f>
        <v/>
      </c>
      <c r="AK379" s="14">
        <f>IF(OR(C379="",C379=0),"",O379/C379*10000)</f>
        <v/>
      </c>
      <c r="AL379" s="14">
        <f>IF(OR(D379="",D379=0),"",P379/D379*10000)</f>
        <v/>
      </c>
      <c r="AM379" s="14">
        <f>IF(OR(E379="",E379=0),"",Q379/E379*10000)</f>
        <v/>
      </c>
      <c r="AN379" s="11" t="n">
        <v>21105.4547747176</v>
      </c>
      <c r="AO379" s="11" t="n">
        <v>0</v>
      </c>
      <c r="AP379" s="21">
        <f>AH379+AN379+AO379</f>
        <v/>
      </c>
      <c r="AQ379" s="21">
        <f>AH379</f>
        <v/>
      </c>
      <c r="AR379" s="15" t="n">
        <v>77372.82000000001</v>
      </c>
      <c r="AS379" s="27" t="n">
        <v>29.073632</v>
      </c>
      <c r="AT379" s="15" t="n">
        <v>36819849.91</v>
      </c>
      <c r="AU379" s="15" t="n">
        <v>275.58</v>
      </c>
      <c r="AV379" s="15" t="n">
        <v>0.5085</v>
      </c>
      <c r="AW379" s="15" t="n"/>
      <c r="AX379" s="16" t="n">
        <v>431.0351833386007</v>
      </c>
      <c r="AY379" s="13">
        <f>IF(OR(AX379="",AX379=0,AU379=""),"",AU379*365/(AX379*1000000))</f>
        <v/>
      </c>
      <c r="AZ379" s="15" t="n">
        <v>418938278.6057</v>
      </c>
      <c r="BA379" s="17" t="n">
        <v>60487233</v>
      </c>
      <c r="BB379" s="18" t="n">
        <v>36819849.91</v>
      </c>
      <c r="BC379" s="17" t="n">
        <v>2971663</v>
      </c>
      <c r="BD379" s="17">
        <f>1000000000-999478061.7279+178571.4388</f>
        <v/>
      </c>
      <c r="BE379" s="19">
        <f>1000000000-AZ379-BA379-BB379-BC379-BD379</f>
        <v/>
      </c>
      <c r="BF379" s="20" t="n">
        <v>236.254254</v>
      </c>
      <c r="BG379" s="20">
        <f>BE379/1000000-BF379</f>
        <v/>
      </c>
      <c r="BH379" s="21">
        <f>BE379*27.9</f>
        <v/>
      </c>
    </row>
    <row r="380">
      <c r="A380" s="10" t="n">
        <v>46002</v>
      </c>
      <c r="B380" s="11" t="n">
        <v>7713018416</v>
      </c>
      <c r="C380" s="11" t="n">
        <v>476177396.06</v>
      </c>
      <c r="D380" s="11" t="n">
        <v>194008244</v>
      </c>
      <c r="E380" s="11" t="n"/>
      <c r="F380" s="24" t="n">
        <v>0</v>
      </c>
      <c r="G380" s="24" t="n">
        <v>20267217.35856166</v>
      </c>
      <c r="H380" s="24" t="n">
        <v>0</v>
      </c>
      <c r="I380" s="24" t="n">
        <v>320360505.5258331</v>
      </c>
      <c r="J380" s="24" t="n">
        <v>252136.1767418123</v>
      </c>
      <c r="K380" s="24" t="n">
        <v>135297536.9988634</v>
      </c>
      <c r="L380" s="21">
        <f>SUM(F380:K380)</f>
        <v/>
      </c>
      <c r="M380" s="28" t="n">
        <v>1.019230248605199</v>
      </c>
      <c r="N380" s="11" t="n">
        <v>2495346.17</v>
      </c>
      <c r="O380" s="11" t="n">
        <v>61648.36</v>
      </c>
      <c r="P380" s="11" t="n">
        <v>91781.98</v>
      </c>
      <c r="Q380" s="11" t="n"/>
      <c r="R380" s="21">
        <f>N380+O380+P380+N(Q380)</f>
        <v/>
      </c>
      <c r="S380" s="13" t="n">
        <v>0.01</v>
      </c>
      <c r="T380" s="21">
        <f>N(AC380)*S380</f>
        <v/>
      </c>
      <c r="U380" s="21">
        <f>N(AD380)*S380</f>
        <v/>
      </c>
      <c r="V380" s="21">
        <f>N(AE380)*S380</f>
        <v/>
      </c>
      <c r="W380" s="21">
        <f>IF(Q380="","",N(AF380)*S380)</f>
        <v/>
      </c>
      <c r="X380" s="11" t="n">
        <v>22267.94</v>
      </c>
      <c r="Y380" s="11" t="n">
        <v>30824.18</v>
      </c>
      <c r="Z380" s="11" t="n"/>
      <c r="AA380" s="21">
        <f>T380+U380+V380+N(W380)+X380+Y380+N(Z380)</f>
        <v/>
      </c>
      <c r="AB380" s="11" t="n">
        <v>209175.5295</v>
      </c>
      <c r="AC380" s="11" t="n">
        <v>2495346.17</v>
      </c>
      <c r="AD380" s="21">
        <f>O380-Y380</f>
        <v/>
      </c>
      <c r="AE380" s="21">
        <f>P380-X380</f>
        <v/>
      </c>
      <c r="AF380" s="21">
        <f>IF(Q380="","",Q380-Z380)</f>
        <v/>
      </c>
      <c r="AG380" s="22">
        <f>AC380+AD380+AE380+N(AF380)</f>
        <v/>
      </c>
      <c r="AH380" s="11" t="n">
        <v>2154234.31</v>
      </c>
      <c r="AI380" s="24">
        <f>AG380-AH380</f>
        <v/>
      </c>
      <c r="AJ380" s="14">
        <f>IF(OR(B380="",B380=0,N380=""),"",N380/B380*10000)</f>
        <v/>
      </c>
      <c r="AK380" s="14">
        <f>IF(OR(C380="",C380=0),"",O380/C380*10000)</f>
        <v/>
      </c>
      <c r="AL380" s="14">
        <f>IF(OR(D380="",D380=0),"",P380/D380*10000)</f>
        <v/>
      </c>
      <c r="AM380" s="14">
        <f>IF(OR(E380="",E380=0),"",Q380/E380*10000)</f>
        <v/>
      </c>
      <c r="AN380" s="11" t="n">
        <v>21132.65177463231</v>
      </c>
      <c r="AO380" s="11" t="n">
        <v>0</v>
      </c>
      <c r="AP380" s="21">
        <f>AH380+AN380+AO380</f>
        <v/>
      </c>
      <c r="AQ380" s="21">
        <f>AH380</f>
        <v/>
      </c>
      <c r="AR380" s="15" t="n">
        <v>76238.06</v>
      </c>
      <c r="AS380" s="27" t="n">
        <v>28.256678</v>
      </c>
      <c r="AT380" s="15" t="n">
        <v>36874341.05</v>
      </c>
      <c r="AU380" s="15" t="n">
        <v>0</v>
      </c>
      <c r="AV380" s="15" t="n">
        <v>-4.9549</v>
      </c>
      <c r="AW380" s="15" t="n"/>
      <c r="AX380" s="16" t="n">
        <v>431.0374261893566</v>
      </c>
      <c r="AY380" s="13">
        <f>IF(OR(AX380="",AX380=0,AU380=""),"",AU380*365/(AX380*1000000))</f>
        <v/>
      </c>
      <c r="AZ380" s="15" t="n">
        <v>418939527.9029</v>
      </c>
      <c r="BA380" s="17" t="n">
        <v>60487233</v>
      </c>
      <c r="BB380" s="18" t="n">
        <v>36874341.05</v>
      </c>
      <c r="BC380" s="17" t="n">
        <v>2971663</v>
      </c>
      <c r="BD380" s="17">
        <f>1000000000-999478066.6827+179325.0459</f>
        <v/>
      </c>
      <c r="BE380" s="19">
        <f>1000000000-AZ380-BA380-BB380-BC380-BD380</f>
        <v/>
      </c>
      <c r="BF380" s="20" t="n">
        <v>236.254254</v>
      </c>
      <c r="BG380" s="20">
        <f>BE380/1000000-BF380</f>
        <v/>
      </c>
      <c r="BH380" s="21">
        <f>BE380*28.03</f>
        <v/>
      </c>
    </row>
    <row r="381">
      <c r="A381" s="10" t="n">
        <v>46003</v>
      </c>
      <c r="B381" s="11" t="n">
        <v>5894675307</v>
      </c>
      <c r="C381" s="11" t="n">
        <v>487185771.69</v>
      </c>
      <c r="D381" s="11" t="n">
        <v>166999844</v>
      </c>
      <c r="E381" s="11" t="n"/>
      <c r="F381" s="24" t="n">
        <v>474511.3837703381</v>
      </c>
      <c r="G381" s="24" t="n">
        <v>15672771.81246297</v>
      </c>
      <c r="H381" s="24" t="n">
        <v>0</v>
      </c>
      <c r="I381" s="24" t="n">
        <v>343362367.2523299</v>
      </c>
      <c r="J381" s="24" t="n">
        <v>216165.5582373426</v>
      </c>
      <c r="K381" s="24" t="n">
        <v>127459955.6831994</v>
      </c>
      <c r="L381" s="21">
        <f>SUM(F381:K381)</f>
        <v/>
      </c>
      <c r="M381" s="28" t="n">
        <v>0.9740470290501346</v>
      </c>
      <c r="N381" s="11" t="n">
        <v>1881590.62</v>
      </c>
      <c r="O381" s="11" t="n">
        <v>57187.16</v>
      </c>
      <c r="P381" s="11" t="n">
        <v>80397.72</v>
      </c>
      <c r="Q381" s="11" t="n"/>
      <c r="R381" s="21">
        <f>N381+O381+P381+N(Q381)</f>
        <v/>
      </c>
      <c r="S381" s="13" t="n">
        <v>0.01</v>
      </c>
      <c r="T381" s="21">
        <f>N(AC381)*S381</f>
        <v/>
      </c>
      <c r="U381" s="21">
        <f>N(AD381)*S381</f>
        <v/>
      </c>
      <c r="V381" s="21">
        <f>N(AE381)*S381</f>
        <v/>
      </c>
      <c r="W381" s="21">
        <f>IF(Q381="","",N(AF381)*S381)</f>
        <v/>
      </c>
      <c r="X381" s="11" t="n">
        <v>15615.8</v>
      </c>
      <c r="Y381" s="11" t="n">
        <v>28593.58</v>
      </c>
      <c r="Z381" s="11" t="n"/>
      <c r="AA381" s="21">
        <f>T381+U381+V381+N(W381)+X381+Y381+N(Z381)</f>
        <v/>
      </c>
      <c r="AB381" s="11" t="n">
        <v>159088.2066</v>
      </c>
      <c r="AC381" s="11" t="n">
        <v>1881590.62</v>
      </c>
      <c r="AD381" s="21">
        <f>O381-Y381</f>
        <v/>
      </c>
      <c r="AE381" s="21">
        <f>P381-X381</f>
        <v/>
      </c>
      <c r="AF381" s="21">
        <f>IF(Q381="","",Q381-Z381)</f>
        <v/>
      </c>
      <c r="AG381" s="22">
        <f>AC381+AD381+AE381+N(AF381)</f>
        <v/>
      </c>
      <c r="AH381" s="11" t="n">
        <v>1718146.17</v>
      </c>
      <c r="AI381" s="24">
        <f>AG381-AH381</f>
        <v/>
      </c>
      <c r="AJ381" s="14">
        <f>IF(OR(B381="",B381=0,N381=""),"",N381/B381*10000)</f>
        <v/>
      </c>
      <c r="AK381" s="14">
        <f>IF(OR(C381="",C381=0),"",O381/C381*10000)</f>
        <v/>
      </c>
      <c r="AL381" s="14">
        <f>IF(OR(D381="",D381=0),"",P381/D381*10000)</f>
        <v/>
      </c>
      <c r="AM381" s="14">
        <f>IF(OR(E381="",E381=0),"",Q381/E381*10000)</f>
        <v/>
      </c>
      <c r="AN381" s="11" t="n">
        <v>25152.25706671428</v>
      </c>
      <c r="AO381" s="11" t="n">
        <v>0</v>
      </c>
      <c r="AP381" s="21">
        <f>AH381+AN381+AO381</f>
        <v/>
      </c>
      <c r="AQ381" s="21">
        <f>AH381</f>
        <v/>
      </c>
      <c r="AR381" s="15" t="n">
        <v>58888.81</v>
      </c>
      <c r="AS381" s="27" t="n">
        <v>29.176106</v>
      </c>
      <c r="AT381" s="15" t="n">
        <v>36931525.93</v>
      </c>
      <c r="AU381" s="15" t="n">
        <v>18059.735</v>
      </c>
      <c r="AV381" s="15" t="n">
        <v>1445.5575</v>
      </c>
      <c r="AW381" s="15" t="n"/>
      <c r="AX381" s="16" t="n">
        <v>431.048620397282</v>
      </c>
      <c r="AY381" s="13">
        <f>IF(OR(AX381="",AX381=0,AU381=""),"",AU381*365/(AX381*1000000))</f>
        <v/>
      </c>
      <c r="AZ381" s="15" t="n">
        <v>418921468.1678</v>
      </c>
      <c r="BA381" s="17" t="n">
        <v>60487233</v>
      </c>
      <c r="BB381" s="18" t="n">
        <v>36931525.93</v>
      </c>
      <c r="BC381" s="17" t="n">
        <v>2971663</v>
      </c>
      <c r="BD381" s="17">
        <f>1000000000-999476621.1252+180188.6724</f>
        <v/>
      </c>
      <c r="BE381" s="19">
        <f>1000000000-AZ381-BA381-BB381-BC381-BD381</f>
        <v/>
      </c>
      <c r="BF381" s="20" t="n">
        <v>236.254254</v>
      </c>
      <c r="BG381" s="20">
        <f>BE381/1000000-BF381</f>
        <v/>
      </c>
      <c r="BH381" s="21">
        <f>BE381*29.13</f>
        <v/>
      </c>
    </row>
    <row r="382">
      <c r="A382" s="10" t="n">
        <v>46004</v>
      </c>
      <c r="B382" s="11" t="n">
        <v>1446059017</v>
      </c>
      <c r="C382" s="11" t="n">
        <v>45758915.15</v>
      </c>
      <c r="D382" s="11" t="n">
        <v>91510944</v>
      </c>
      <c r="E382" s="11" t="n"/>
      <c r="F382" s="24" t="n">
        <v>194619.6718070345</v>
      </c>
      <c r="G382" s="24" t="n">
        <v>8106131.926654086</v>
      </c>
      <c r="H382" s="24" t="n">
        <v>0</v>
      </c>
      <c r="I382" s="24" t="n">
        <v>31258563.97370856</v>
      </c>
      <c r="J382" s="24" t="n">
        <v>179468.0843173655</v>
      </c>
      <c r="K382" s="24" t="n">
        <v>6020131.493512955</v>
      </c>
      <c r="L382" s="21">
        <f>SUM(F382:K382)</f>
        <v/>
      </c>
      <c r="M382" s="28" t="n">
        <v>0.9888587462226845</v>
      </c>
      <c r="N382" s="11" t="n">
        <v>522060.1</v>
      </c>
      <c r="O382" s="11" t="n">
        <v>16808.5</v>
      </c>
      <c r="P382" s="11" t="n">
        <v>49109.35000000001</v>
      </c>
      <c r="Q382" s="11" t="n"/>
      <c r="R382" s="21">
        <f>N382+O382+P382+N(Q382)</f>
        <v/>
      </c>
      <c r="S382" s="13" t="n">
        <v>0.01</v>
      </c>
      <c r="T382" s="21">
        <f>N(AC382)*S382</f>
        <v/>
      </c>
      <c r="U382" s="21">
        <f>N(AD382)*S382</f>
        <v/>
      </c>
      <c r="V382" s="21">
        <f>N(AE382)*S382</f>
        <v/>
      </c>
      <c r="W382" s="21">
        <f>IF(Q382="","",N(AF382)*S382)</f>
        <v/>
      </c>
      <c r="X382" s="11" t="n">
        <v>11564.41</v>
      </c>
      <c r="Y382" s="11" t="n">
        <v>8404.25</v>
      </c>
      <c r="Z382" s="11" t="n"/>
      <c r="AA382" s="21">
        <f>T382+U382+V382+N(W382)+X382+Y382+N(Z382)</f>
        <v/>
      </c>
      <c r="AB382" s="11" t="n">
        <v>67215.93190000001</v>
      </c>
      <c r="AC382" s="11" t="n">
        <v>522060.1</v>
      </c>
      <c r="AD382" s="21">
        <f>O382-Y382</f>
        <v/>
      </c>
      <c r="AE382" s="21">
        <f>P382-X382</f>
        <v/>
      </c>
      <c r="AF382" s="21">
        <f>IF(Q382="","",Q382-Z382)</f>
        <v/>
      </c>
      <c r="AG382" s="22">
        <f>AC382+AD382+AE382+N(AF382)</f>
        <v/>
      </c>
      <c r="AH382" s="11" t="n">
        <v>439809.46</v>
      </c>
      <c r="AI382" s="24">
        <f>AG382-AH382</f>
        <v/>
      </c>
      <c r="AJ382" s="14">
        <f>IF(OR(B382="",B382=0,N382=""),"",N382/B382*10000)</f>
        <v/>
      </c>
      <c r="AK382" s="14">
        <f>IF(OR(C382="",C382=0),"",O382/C382*10000)</f>
        <v/>
      </c>
      <c r="AL382" s="14">
        <f>IF(OR(D382="",D382=0),"",P382/D382*10000)</f>
        <v/>
      </c>
      <c r="AM382" s="14">
        <f>IF(OR(E382="",E382=0),"",Q382/E382*10000)</f>
        <v/>
      </c>
      <c r="AN382" s="11" t="n">
        <v>12208.76308990984</v>
      </c>
      <c r="AO382" s="11" t="n">
        <v>0</v>
      </c>
      <c r="AP382" s="21">
        <f>AH382+AN382+AO382</f>
        <v/>
      </c>
      <c r="AQ382" s="21">
        <f>AH382</f>
        <v/>
      </c>
      <c r="AR382" s="15" t="n">
        <v>15306.92</v>
      </c>
      <c r="AS382" s="27" t="n">
        <v>28.732721</v>
      </c>
      <c r="AT382" s="15" t="n">
        <v>36946205.26</v>
      </c>
      <c r="AU382" s="15" t="n">
        <v>26452.1468</v>
      </c>
      <c r="AV382" s="15" t="n">
        <v>480.8023</v>
      </c>
      <c r="AW382" s="15" t="n"/>
      <c r="AX382" s="16" t="n">
        <v>431.2246396194931</v>
      </c>
      <c r="AY382" s="13">
        <f>IF(OR(AX382="",AX382=0,AU382=""),"",AU382*365/(AX382*1000000))</f>
        <v/>
      </c>
      <c r="AZ382" s="15" t="n">
        <v>418895016.021</v>
      </c>
      <c r="BA382" s="17" t="n">
        <v>60487233</v>
      </c>
      <c r="BB382" s="18" t="n">
        <v>36946205.26</v>
      </c>
      <c r="BC382" s="17" t="n">
        <v>2971663</v>
      </c>
      <c r="BD382" s="17">
        <f>1000000000-999476140.3229+180613.3841</f>
        <v/>
      </c>
      <c r="BE382" s="19">
        <f>1000000000-AZ382-BA382-BB382-BC382-BD382</f>
        <v/>
      </c>
      <c r="BF382" s="20" t="n">
        <v>236.254254</v>
      </c>
      <c r="BG382" s="20">
        <f>BE382/1000000-BF382</f>
        <v/>
      </c>
      <c r="BH382" s="21">
        <f>BE382*28.74</f>
        <v/>
      </c>
    </row>
    <row r="383">
      <c r="A383" s="10" t="n">
        <v>46005</v>
      </c>
      <c r="B383" s="11" t="n">
        <v>3164834142</v>
      </c>
      <c r="C383" s="11" t="n">
        <v>143586776.17</v>
      </c>
      <c r="D383" s="11" t="n">
        <v>149228127</v>
      </c>
      <c r="E383" s="11" t="n"/>
      <c r="F383" s="24" t="n">
        <v>151036.1093107164</v>
      </c>
      <c r="G383" s="24" t="n">
        <v>13352987.63599257</v>
      </c>
      <c r="H383" s="24" t="n">
        <v>0</v>
      </c>
      <c r="I383" s="24" t="n">
        <v>117539899.6614818</v>
      </c>
      <c r="J383" s="24" t="n">
        <v>740554.0426628152</v>
      </c>
      <c r="K383" s="24" t="n">
        <v>11802298.72055211</v>
      </c>
      <c r="L383" s="21">
        <f>SUM(F383:K383)</f>
        <v/>
      </c>
      <c r="M383" s="28" t="n">
        <v>1.104824406614708</v>
      </c>
      <c r="N383" s="11" t="n">
        <v>1092787.11</v>
      </c>
      <c r="O383" s="11" t="n">
        <v>29419.76</v>
      </c>
      <c r="P383" s="11" t="n">
        <v>82260.85000000001</v>
      </c>
      <c r="Q383" s="11" t="n"/>
      <c r="R383" s="21">
        <f>N383+O383+P383+N(Q383)</f>
        <v/>
      </c>
      <c r="S383" s="13" t="n">
        <v>0.01</v>
      </c>
      <c r="T383" s="21">
        <f>N(AC383)*S383</f>
        <v/>
      </c>
      <c r="U383" s="21">
        <f>N(AD383)*S383</f>
        <v/>
      </c>
      <c r="V383" s="21">
        <f>N(AE383)*S383</f>
        <v/>
      </c>
      <c r="W383" s="21">
        <f>IF(Q383="","",N(AF383)*S383)</f>
        <v/>
      </c>
      <c r="X383" s="11" t="n">
        <v>17870.52</v>
      </c>
      <c r="Y383" s="11" t="n">
        <v>14709.88</v>
      </c>
      <c r="Z383" s="11" t="n"/>
      <c r="AA383" s="21">
        <f>T383+U383+V383+N(W383)+X383+Y383+N(Z383)</f>
        <v/>
      </c>
      <c r="AB383" s="11" t="n">
        <v>135858.9849</v>
      </c>
      <c r="AC383" s="11" t="n">
        <v>1092787.11</v>
      </c>
      <c r="AD383" s="21">
        <f>O383-Y383</f>
        <v/>
      </c>
      <c r="AE383" s="21">
        <f>P383-X383</f>
        <v/>
      </c>
      <c r="AF383" s="21">
        <f>IF(Q383="","",Q383-Z383)</f>
        <v/>
      </c>
      <c r="AG383" s="22">
        <f>AC383+AD383+AE383+N(AF383)</f>
        <v/>
      </c>
      <c r="AH383" s="11" t="n">
        <v>952893.99</v>
      </c>
      <c r="AI383" s="24">
        <f>AG383-AH383</f>
        <v/>
      </c>
      <c r="AJ383" s="14">
        <f>IF(OR(B383="",B383=0,N383=""),"",N383/B383*10000)</f>
        <v/>
      </c>
      <c r="AK383" s="14">
        <f>IF(OR(C383="",C383=0),"",O383/C383*10000)</f>
        <v/>
      </c>
      <c r="AL383" s="14">
        <f>IF(OR(D383="",D383=0),"",P383/D383*10000)</f>
        <v/>
      </c>
      <c r="AM383" s="14">
        <f>IF(OR(E383="",E383=0),"",Q383/E383*10000)</f>
        <v/>
      </c>
      <c r="AN383" s="11" t="n">
        <v>17200.14176166897</v>
      </c>
      <c r="AO383" s="11" t="n">
        <v>0</v>
      </c>
      <c r="AP383" s="21">
        <f>AH383+AN383+AO383</f>
        <v/>
      </c>
      <c r="AQ383" s="21">
        <f>AH383</f>
        <v/>
      </c>
      <c r="AR383" s="15" t="n">
        <v>32806.2</v>
      </c>
      <c r="AS383" s="27" t="n">
        <v>29.046156</v>
      </c>
      <c r="AT383" s="15" t="n">
        <v>36980133.74</v>
      </c>
      <c r="AU383" s="15" t="n">
        <v>26457.3222</v>
      </c>
      <c r="AV383" s="15" t="n">
        <v>1187.8446</v>
      </c>
      <c r="AW383" s="15" t="n"/>
      <c r="AX383" s="16" t="n">
        <v>431.1772955906875</v>
      </c>
      <c r="AY383" s="13">
        <f>IF(OR(AX383="",AX383=0,AU383=""),"",AU383*365/(AX383*1000000))</f>
        <v/>
      </c>
      <c r="AZ383" s="15" t="n">
        <v>418868558.6989</v>
      </c>
      <c r="BA383" s="17" t="n">
        <v>60487233</v>
      </c>
      <c r="BB383" s="18" t="n">
        <v>36980133.74</v>
      </c>
      <c r="BC383" s="17" t="n">
        <v>2971663</v>
      </c>
      <c r="BD383" s="17">
        <f>1000000000-999474952.4783+181189.6419</f>
        <v/>
      </c>
      <c r="BE383" s="19">
        <f>1000000000-AZ383-BA383-BB383-BC383-BD383</f>
        <v/>
      </c>
      <c r="BF383" s="20" t="n">
        <v>236.254254</v>
      </c>
      <c r="BG383" s="20">
        <f>BE383/1000000-BF383</f>
        <v/>
      </c>
      <c r="BH383" s="21">
        <f>BE383*29.82</f>
        <v/>
      </c>
    </row>
    <row r="384">
      <c r="A384" s="10" t="n">
        <v>46006</v>
      </c>
      <c r="B384" s="11" t="n">
        <v>7487679745</v>
      </c>
      <c r="C384" s="11" t="n">
        <v>343728284.26</v>
      </c>
      <c r="D384" s="11" t="n">
        <v>204867473</v>
      </c>
      <c r="E384" s="11" t="n"/>
      <c r="F384" s="24" t="n">
        <v>896442.3906137705</v>
      </c>
      <c r="G384" s="24" t="n">
        <v>17851194.41694805</v>
      </c>
      <c r="H384" s="24" t="n">
        <v>0</v>
      </c>
      <c r="I384" s="24" t="n">
        <v>228425182.2934731</v>
      </c>
      <c r="J384" s="24" t="n">
        <v>331889.3883620943</v>
      </c>
      <c r="K384" s="24" t="n">
        <v>96223575.77060297</v>
      </c>
      <c r="L384" s="21">
        <f>SUM(F384:K384)</f>
        <v/>
      </c>
      <c r="M384" s="28" t="n">
        <v>0.9978170866144636</v>
      </c>
      <c r="N384" s="11" t="n">
        <v>2345609.98</v>
      </c>
      <c r="O384" s="11" t="n">
        <v>46273.22</v>
      </c>
      <c r="P384" s="11" t="n">
        <v>103979.33</v>
      </c>
      <c r="Q384" s="11" t="n"/>
      <c r="R384" s="21">
        <f>N384+O384+P384+N(Q384)</f>
        <v/>
      </c>
      <c r="S384" s="13" t="n">
        <v>0.01</v>
      </c>
      <c r="T384" s="21">
        <f>N(AC384)*S384</f>
        <v/>
      </c>
      <c r="U384" s="21">
        <f>N(AD384)*S384</f>
        <v/>
      </c>
      <c r="V384" s="21">
        <f>N(AE384)*S384</f>
        <v/>
      </c>
      <c r="W384" s="21">
        <f>IF(Q384="","",N(AF384)*S384)</f>
        <v/>
      </c>
      <c r="X384" s="11" t="n">
        <v>20614.73</v>
      </c>
      <c r="Y384" s="11" t="n">
        <v>23136.61</v>
      </c>
      <c r="Z384" s="11" t="n"/>
      <c r="AA384" s="21">
        <f>T384+U384+V384+N(W384)+X384+Y384+N(Z384)</f>
        <v/>
      </c>
      <c r="AB384" s="11" t="n">
        <v>203199.476</v>
      </c>
      <c r="AC384" s="11" t="n">
        <v>2345609.98</v>
      </c>
      <c r="AD384" s="21">
        <f>O384-Y384</f>
        <v/>
      </c>
      <c r="AE384" s="21">
        <f>P384-X384</f>
        <v/>
      </c>
      <c r="AF384" s="21">
        <f>IF(Q384="","",Q384-Z384)</f>
        <v/>
      </c>
      <c r="AG384" s="22">
        <f>AC384+AD384+AE384+N(AF384)</f>
        <v/>
      </c>
      <c r="AH384" s="11" t="n">
        <v>2085901.23</v>
      </c>
      <c r="AI384" s="24">
        <f>AG384-AH384</f>
        <v/>
      </c>
      <c r="AJ384" s="14">
        <f>IF(OR(B384="",B384=0,N384=""),"",N384/B384*10000)</f>
        <v/>
      </c>
      <c r="AK384" s="14">
        <f>IF(OR(C384="",C384=0),"",O384/C384*10000)</f>
        <v/>
      </c>
      <c r="AL384" s="14">
        <f>IF(OR(D384="",D384=0),"",P384/D384*10000)</f>
        <v/>
      </c>
      <c r="AM384" s="14">
        <f>IF(OR(E384="",E384=0),"",Q384/E384*10000)</f>
        <v/>
      </c>
      <c r="AN384" s="11" t="n">
        <v>24348.31314929279</v>
      </c>
      <c r="AO384" s="11" t="n">
        <v>0</v>
      </c>
      <c r="AP384" s="21">
        <f>AH384+AN384+AO384</f>
        <v/>
      </c>
      <c r="AQ384" s="21">
        <f>AH384</f>
        <v/>
      </c>
      <c r="AR384" s="15" t="n">
        <v>73873.39</v>
      </c>
      <c r="AS384" s="27" t="n">
        <v>28.236165</v>
      </c>
      <c r="AT384" s="15" t="n">
        <v>37054037.49</v>
      </c>
      <c r="AU384" s="15" t="n">
        <v>26379.9452</v>
      </c>
      <c r="AV384" s="15" t="n">
        <v>1342.3667</v>
      </c>
      <c r="AW384" s="15" t="n"/>
      <c r="AX384" s="16" t="n">
        <v>431.2121131411208</v>
      </c>
      <c r="AY384" s="13">
        <f>IF(OR(AX384="",AX384=0,AU384=""),"",AU384*365/(AX384*1000000))</f>
        <v/>
      </c>
      <c r="AZ384" s="15" t="n">
        <v>418842178.7536</v>
      </c>
      <c r="BA384" s="17" t="n">
        <v>60487233</v>
      </c>
      <c r="BB384" s="18" t="n">
        <v>37054037.49</v>
      </c>
      <c r="BC384" s="17" t="n">
        <v>2971663</v>
      </c>
      <c r="BD384" s="17">
        <f>1000000000-999473610.1116+182027.7361</f>
        <v/>
      </c>
      <c r="BE384" s="19">
        <f>1000000000-AZ384-BA384-BB384-BC384-BD384</f>
        <v/>
      </c>
      <c r="BF384" s="20" t="n">
        <v>236.254254</v>
      </c>
      <c r="BG384" s="20">
        <f>BE384/1000000-BF384</f>
        <v/>
      </c>
      <c r="BH384" s="21">
        <f>BE384*29.04</f>
        <v/>
      </c>
    </row>
    <row r="385">
      <c r="A385" s="10" t="n">
        <v>46007</v>
      </c>
      <c r="B385" s="11" t="n">
        <v>5155244183</v>
      </c>
      <c r="C385" s="11" t="n">
        <v>376409388.01</v>
      </c>
      <c r="D385" s="11" t="n">
        <v>239600242</v>
      </c>
      <c r="E385" s="11" t="n"/>
      <c r="F385" s="24" t="n">
        <v>1466261.250627493</v>
      </c>
      <c r="G385" s="24" t="n">
        <v>14419593.89757006</v>
      </c>
      <c r="H385" s="24" t="n">
        <v>0</v>
      </c>
      <c r="I385" s="24" t="n">
        <v>249648617.6355782</v>
      </c>
      <c r="J385" s="24" t="n">
        <v>136730.568603837</v>
      </c>
      <c r="K385" s="24" t="n">
        <v>110738184.6576204</v>
      </c>
      <c r="L385" s="21">
        <f>SUM(F385:K385)</f>
        <v/>
      </c>
      <c r="M385" s="28" t="n">
        <v>1.005628452593512</v>
      </c>
      <c r="N385" s="11" t="n">
        <v>1670540.86</v>
      </c>
      <c r="O385" s="11" t="n">
        <v>51417.7</v>
      </c>
      <c r="P385" s="11" t="n">
        <v>121874.73</v>
      </c>
      <c r="Q385" s="11" t="n"/>
      <c r="R385" s="21">
        <f>N385+O385+P385+N(Q385)</f>
        <v/>
      </c>
      <c r="S385" s="13" t="n">
        <v>0.01</v>
      </c>
      <c r="T385" s="21">
        <f>N(AC385)*S385</f>
        <v/>
      </c>
      <c r="U385" s="21">
        <f>N(AD385)*S385</f>
        <v/>
      </c>
      <c r="V385" s="21">
        <f>N(AE385)*S385</f>
        <v/>
      </c>
      <c r="W385" s="21">
        <f>IF(Q385="","",N(AF385)*S385)</f>
        <v/>
      </c>
      <c r="X385" s="11" t="n">
        <v>27194.73</v>
      </c>
      <c r="Y385" s="11" t="n">
        <v>25708.85</v>
      </c>
      <c r="Z385" s="11" t="n"/>
      <c r="AA385" s="21">
        <f>T385+U385+V385+N(W385)+X385+Y385+N(Z385)</f>
        <v/>
      </c>
      <c r="AB385" s="11" t="n">
        <v>169103.1054</v>
      </c>
      <c r="AC385" s="11" t="n">
        <v>1670540.86</v>
      </c>
      <c r="AD385" s="21">
        <f>O385-Y385</f>
        <v/>
      </c>
      <c r="AE385" s="21">
        <f>P385-X385</f>
        <v/>
      </c>
      <c r="AF385" s="21">
        <f>IF(Q385="","",Q385-Z385)</f>
        <v/>
      </c>
      <c r="AG385" s="22">
        <f>AC385+AD385+AE385+N(AF385)</f>
        <v/>
      </c>
      <c r="AH385" s="11" t="n">
        <v>1517389.42</v>
      </c>
      <c r="AI385" s="24">
        <f>AG385-AH385</f>
        <v/>
      </c>
      <c r="AJ385" s="14">
        <f>IF(OR(B385="",B385=0,N385=""),"",N385/B385*10000)</f>
        <v/>
      </c>
      <c r="AK385" s="14">
        <f>IF(OR(C385="",C385=0),"",O385/C385*10000)</f>
        <v/>
      </c>
      <c r="AL385" s="14">
        <f>IF(OR(D385="",D385=0),"",P385/D385*10000)</f>
        <v/>
      </c>
      <c r="AM385" s="14">
        <f>IF(OR(E385="",E385=0),"",Q385/E385*10000)</f>
        <v/>
      </c>
      <c r="AN385" s="11" t="n">
        <v>21083.93819740886</v>
      </c>
      <c r="AO385" s="11" t="n">
        <v>0</v>
      </c>
      <c r="AP385" s="21">
        <f>AH385+AN385+AO385</f>
        <v/>
      </c>
      <c r="AQ385" s="21">
        <f>AH385</f>
        <v/>
      </c>
      <c r="AR385" s="15" t="n">
        <v>56352.5</v>
      </c>
      <c r="AS385" s="27" t="n">
        <v>26.926745</v>
      </c>
      <c r="AT385" s="15" t="n">
        <v>37110589.78</v>
      </c>
      <c r="AU385" s="15" t="n">
        <v>26460.0854</v>
      </c>
      <c r="AV385" s="15" t="n">
        <v>1653.3904</v>
      </c>
      <c r="AW385" s="15" t="n"/>
      <c r="AX385" s="16" t="n">
        <v>431.091367182632</v>
      </c>
      <c r="AY385" s="13">
        <f>IF(OR(AX385="",AX385=0,AU385=""),"",AU385*365/(AX385*1000000))</f>
        <v/>
      </c>
      <c r="AZ385" s="15" t="n">
        <v>418815718.6682</v>
      </c>
      <c r="BA385" s="17" t="n">
        <v>60487233</v>
      </c>
      <c r="BB385" s="18" t="n">
        <v>37110589.78</v>
      </c>
      <c r="BC385" s="17" t="n">
        <v>2971663</v>
      </c>
      <c r="BD385" s="17">
        <f>1000000000-999471956.7212+182794.1461</f>
        <v/>
      </c>
      <c r="BE385" s="19">
        <f>1000000000-AZ385-BA385-BB385-BC385-BD385</f>
        <v/>
      </c>
      <c r="BF385" s="20" t="n">
        <v>236.254254</v>
      </c>
      <c r="BG385" s="20">
        <f>BE385/1000000-BF385</f>
        <v/>
      </c>
      <c r="BH385" s="21">
        <f>BE385*27.49</f>
        <v/>
      </c>
    </row>
    <row r="386">
      <c r="A386" s="10" t="n">
        <v>46008</v>
      </c>
      <c r="B386" s="11" t="n">
        <v>7761393850</v>
      </c>
      <c r="C386" s="11" t="n">
        <v>375523264.2</v>
      </c>
      <c r="D386" s="11" t="n">
        <v>333119055</v>
      </c>
      <c r="E386" s="11" t="n"/>
      <c r="F386" s="24" t="n">
        <v>1758723.712846745</v>
      </c>
      <c r="G386" s="24" t="n">
        <v>18976521.05521749</v>
      </c>
      <c r="H386" s="24" t="n">
        <v>0</v>
      </c>
      <c r="I386" s="24" t="n">
        <v>213351948.1952213</v>
      </c>
      <c r="J386" s="24" t="n">
        <v>260998.541155268</v>
      </c>
      <c r="K386" s="24" t="n">
        <v>141175072.6955592</v>
      </c>
      <c r="L386" s="21">
        <f>SUM(F386:K386)</f>
        <v/>
      </c>
      <c r="M386" s="28" t="n">
        <v>0.9817416354675716</v>
      </c>
      <c r="N386" s="11" t="n">
        <v>2436868.86</v>
      </c>
      <c r="O386" s="11" t="n">
        <v>56309.16</v>
      </c>
      <c r="P386" s="11" t="n">
        <v>180678.8</v>
      </c>
      <c r="Q386" s="11" t="n"/>
      <c r="R386" s="21">
        <f>N386+O386+P386+N(Q386)</f>
        <v/>
      </c>
      <c r="S386" s="13" t="n">
        <v>0.01</v>
      </c>
      <c r="T386" s="21">
        <f>N(AC386)*S386</f>
        <v/>
      </c>
      <c r="U386" s="21">
        <f>N(AD386)*S386</f>
        <v/>
      </c>
      <c r="V386" s="21">
        <f>N(AE386)*S386</f>
        <v/>
      </c>
      <c r="W386" s="21">
        <f>IF(Q386="","",N(AF386)*S386)</f>
        <v/>
      </c>
      <c r="X386" s="11" t="n">
        <v>21416</v>
      </c>
      <c r="Y386" s="11" t="n">
        <v>28154.58</v>
      </c>
      <c r="Z386" s="11" t="n"/>
      <c r="AA386" s="21">
        <f>T386+U386+V386+N(W386)+X386+Y386+N(Z386)</f>
        <v/>
      </c>
      <c r="AB386" s="11" t="n">
        <v>229048.7411</v>
      </c>
      <c r="AC386" s="11" t="n">
        <v>2436868.86</v>
      </c>
      <c r="AD386" s="21">
        <f>O386-Y386</f>
        <v/>
      </c>
      <c r="AE386" s="21">
        <f>P386-X386</f>
        <v/>
      </c>
      <c r="AF386" s="21">
        <f>IF(Q386="","",Q386-Z386)</f>
        <v/>
      </c>
      <c r="AG386" s="22">
        <f>AC386+AD386+AE386+N(AF386)</f>
        <v/>
      </c>
      <c r="AH386" s="11" t="n">
        <v>2218531.25</v>
      </c>
      <c r="AI386" s="24">
        <f>AG386-AH386</f>
        <v/>
      </c>
      <c r="AJ386" s="14">
        <f>IF(OR(B386="",B386=0,N386=""),"",N386/B386*10000)</f>
        <v/>
      </c>
      <c r="AK386" s="14">
        <f>IF(OR(C386="",C386=0),"",O386/C386*10000)</f>
        <v/>
      </c>
      <c r="AL386" s="14">
        <f>IF(OR(D386="",D386=0),"",P386/D386*10000)</f>
        <v/>
      </c>
      <c r="AM386" s="14">
        <f>IF(OR(E386="",E386=0),"",Q386/E386*10000)</f>
        <v/>
      </c>
      <c r="AN386" s="11" t="n">
        <v>50748.68770302065</v>
      </c>
      <c r="AO386" s="11" t="n">
        <v>13390.12</v>
      </c>
      <c r="AP386" s="21">
        <f>AH386+AN386+AO386</f>
        <v/>
      </c>
      <c r="AQ386" s="21">
        <f>AH386</f>
        <v/>
      </c>
      <c r="AR386" s="15" t="n">
        <v>84365.17</v>
      </c>
      <c r="AS386" s="27" t="n">
        <v>26.296767</v>
      </c>
      <c r="AT386" s="15" t="n">
        <v>37194424.76</v>
      </c>
      <c r="AU386" s="15" t="n">
        <v>26428.4254</v>
      </c>
      <c r="AV386" s="15" t="n">
        <v>1593.7829</v>
      </c>
      <c r="AW386" s="15" t="n"/>
      <c r="AX386" s="16" t="n">
        <v>431.7032016494678</v>
      </c>
      <c r="AY386" s="13">
        <f>IF(OR(AX386="",AX386=0,AU386=""),"",AU386*365/(AX386*1000000))</f>
        <v/>
      </c>
      <c r="AZ386" s="15" t="n">
        <v>418789290.2429</v>
      </c>
      <c r="BA386" s="17" t="n">
        <v>60487233</v>
      </c>
      <c r="BB386" s="18" t="n">
        <v>37194424.76</v>
      </c>
      <c r="BC386" s="17" t="n">
        <v>2971663</v>
      </c>
      <c r="BD386" s="17">
        <f>1000000000-999470362.9383+184710.7820</f>
        <v/>
      </c>
      <c r="BE386" s="19">
        <f>1000000000-AZ386-BA386-BB386-BC386-BD386</f>
        <v/>
      </c>
      <c r="BF386" s="20" t="n">
        <v>236.254254</v>
      </c>
      <c r="BG386" s="20">
        <f>BE386/1000000-BF386</f>
        <v/>
      </c>
      <c r="BH386" s="21">
        <f>BE386*26.45</f>
        <v/>
      </c>
    </row>
    <row r="387">
      <c r="A387" s="10" t="n">
        <v>46009</v>
      </c>
      <c r="B387" s="11" t="n">
        <v>8258496359</v>
      </c>
      <c r="C387" s="11" t="n">
        <v>381511519.33</v>
      </c>
      <c r="D387" s="11" t="n">
        <v>324184203</v>
      </c>
      <c r="E387" s="11" t="n"/>
      <c r="F387" s="24" t="n">
        <v>5653540.597664528</v>
      </c>
      <c r="G387" s="24" t="n">
        <v>16612582.93703976</v>
      </c>
      <c r="H387" s="24" t="n">
        <v>0</v>
      </c>
      <c r="I387" s="24" t="n">
        <v>238384062.2414836</v>
      </c>
      <c r="J387" s="24" t="n">
        <v>251889.3681172734</v>
      </c>
      <c r="K387" s="24" t="n">
        <v>120609444.1856949</v>
      </c>
      <c r="L387" s="21">
        <f>SUM(F387:K387)</f>
        <v/>
      </c>
      <c r="M387" s="28" t="n">
        <v>1.011420858296832</v>
      </c>
      <c r="N387" s="11" t="n">
        <v>2646336.29</v>
      </c>
      <c r="O387" s="11" t="n">
        <v>71040.64</v>
      </c>
      <c r="P387" s="11" t="n">
        <v>158884.06</v>
      </c>
      <c r="Q387" s="11" t="n"/>
      <c r="R387" s="21">
        <f>N387+O387+P387+N(Q387)</f>
        <v/>
      </c>
      <c r="S387" s="13" t="n">
        <v>0.01</v>
      </c>
      <c r="T387" s="21">
        <f>N(AC387)*S387</f>
        <v/>
      </c>
      <c r="U387" s="21">
        <f>N(AD387)*S387</f>
        <v/>
      </c>
      <c r="V387" s="21">
        <f>N(AE387)*S387</f>
        <v/>
      </c>
      <c r="W387" s="21">
        <f>IF(Q387="","",N(AF387)*S387)</f>
        <v/>
      </c>
      <c r="X387" s="11" t="n">
        <v>30653.53</v>
      </c>
      <c r="Y387" s="11" t="n">
        <v>35520.32</v>
      </c>
      <c r="Z387" s="11" t="n"/>
      <c r="AA387" s="21">
        <f>T387+U387+V387+N(W387)+X387+Y387+N(Z387)</f>
        <v/>
      </c>
      <c r="AB387" s="11" t="n">
        <v>234498.5361</v>
      </c>
      <c r="AC387" s="11" t="n">
        <v>2646336.29</v>
      </c>
      <c r="AD387" s="21">
        <f>O387-Y387</f>
        <v/>
      </c>
      <c r="AE387" s="21">
        <f>P387-X387</f>
        <v/>
      </c>
      <c r="AF387" s="21">
        <f>IF(Q387="","",Q387-Z387)</f>
        <v/>
      </c>
      <c r="AG387" s="22">
        <f>AC387+AD387+AE387+N(AF387)</f>
        <v/>
      </c>
      <c r="AH387" s="11" t="n">
        <v>2410570.41</v>
      </c>
      <c r="AI387" s="24">
        <f>AG387-AH387</f>
        <v/>
      </c>
      <c r="AJ387" s="14">
        <f>IF(OR(B387="",B387=0,N387=""),"",N387/B387*10000)</f>
        <v/>
      </c>
      <c r="AK387" s="14">
        <f>IF(OR(C387="",C387=0),"",O387/C387*10000)</f>
        <v/>
      </c>
      <c r="AL387" s="14">
        <f>IF(OR(D387="",D387=0),"",P387/D387*10000)</f>
        <v/>
      </c>
      <c r="AM387" s="14">
        <f>IF(OR(E387="",E387=0),"",Q387/E387*10000)</f>
        <v/>
      </c>
      <c r="AN387" s="11" t="n">
        <v>46706.36835189165</v>
      </c>
      <c r="AO387" s="11" t="n">
        <v>0</v>
      </c>
      <c r="AP387" s="21">
        <f>AH387+AN387+AO387</f>
        <v/>
      </c>
      <c r="AQ387" s="21">
        <f>AH387</f>
        <v/>
      </c>
      <c r="AR387" s="15" t="n">
        <v>100632.9</v>
      </c>
      <c r="AS387" s="27" t="n">
        <v>23.954099</v>
      </c>
      <c r="AT387" s="15" t="n">
        <v>37295349.99</v>
      </c>
      <c r="AU387" s="15" t="n">
        <v>26437.1583</v>
      </c>
      <c r="AV387" s="15" t="n">
        <v>2179.0652</v>
      </c>
      <c r="AW387" s="15" t="n"/>
      <c r="AX387" s="16" t="n">
        <v>433.3603724425507</v>
      </c>
      <c r="AY387" s="13">
        <f>IF(OR(AX387="",AX387=0,AU387=""),"",AU387*365/(AX387*1000000))</f>
        <v/>
      </c>
      <c r="AZ387" s="15" t="n">
        <v>418762853.0846</v>
      </c>
      <c r="BA387" s="17" t="n">
        <v>60487233</v>
      </c>
      <c r="BB387" s="18" t="n">
        <v>37295349.99</v>
      </c>
      <c r="BC387" s="17" t="n">
        <v>2971663</v>
      </c>
      <c r="BD387" s="17">
        <f>1000000000-999468183.8731+186612.7395</f>
        <v/>
      </c>
      <c r="BE387" s="19">
        <f>1000000000-AZ387-BA387-BB387-BC387-BD387</f>
        <v/>
      </c>
      <c r="BF387" s="20" t="n">
        <v>236.254254</v>
      </c>
      <c r="BG387" s="20">
        <f>BE387/1000000-BF387</f>
        <v/>
      </c>
      <c r="BH387" s="21">
        <f>BE387*24.56</f>
        <v/>
      </c>
    </row>
    <row r="388">
      <c r="A388" s="10" t="n">
        <v>46010</v>
      </c>
      <c r="B388" s="11" t="n">
        <v>7043735255</v>
      </c>
      <c r="C388" s="11" t="n">
        <v>275904390.1</v>
      </c>
      <c r="D388" s="11" t="n">
        <v>175131503</v>
      </c>
      <c r="E388" s="11" t="n"/>
      <c r="F388" s="24" t="n">
        <v>5422057.420966937</v>
      </c>
      <c r="G388" s="24" t="n">
        <v>12090312.48275137</v>
      </c>
      <c r="H388" s="24" t="n">
        <v>0</v>
      </c>
      <c r="I388" s="24" t="n">
        <v>169752639.875113</v>
      </c>
      <c r="J388" s="24" t="n">
        <v>262363.2288825894</v>
      </c>
      <c r="K388" s="24" t="n">
        <v>88377017.09228614</v>
      </c>
      <c r="L388" s="21">
        <f>SUM(F388:K388)</f>
        <v/>
      </c>
      <c r="M388" s="28" t="n">
        <v>0.9538492573215992</v>
      </c>
      <c r="N388" s="11" t="n">
        <v>2202157.1</v>
      </c>
      <c r="O388" s="11" t="n">
        <v>63494.48</v>
      </c>
      <c r="P388" s="11" t="n">
        <v>95150</v>
      </c>
      <c r="Q388" s="11" t="n"/>
      <c r="R388" s="21">
        <f>N388+O388+P388+N(Q388)</f>
        <v/>
      </c>
      <c r="S388" s="13" t="n">
        <v>0.01</v>
      </c>
      <c r="T388" s="21">
        <f>N(AC388)*S388</f>
        <v/>
      </c>
      <c r="U388" s="21">
        <f>N(AD388)*S388</f>
        <v/>
      </c>
      <c r="V388" s="21">
        <f>N(AE388)*S388</f>
        <v/>
      </c>
      <c r="W388" s="21">
        <f>IF(Q388="","",N(AF388)*S388)</f>
        <v/>
      </c>
      <c r="X388" s="11" t="n">
        <v>22250.26</v>
      </c>
      <c r="Y388" s="11" t="n">
        <v>31747.24</v>
      </c>
      <c r="Z388" s="11" t="n"/>
      <c r="AA388" s="21">
        <f>T388+U388+V388+N(W388)+X388+Y388+N(Z388)</f>
        <v/>
      </c>
      <c r="AB388" s="11" t="n">
        <v>202550.5723</v>
      </c>
      <c r="AC388" s="11" t="n">
        <v>2202157.1</v>
      </c>
      <c r="AD388" s="21">
        <f>O388-Y388</f>
        <v/>
      </c>
      <c r="AE388" s="21">
        <f>P388-X388</f>
        <v/>
      </c>
      <c r="AF388" s="21">
        <f>IF(Q388="","",Q388-Z388)</f>
        <v/>
      </c>
      <c r="AG388" s="22">
        <f>AC388+AD388+AE388+N(AF388)</f>
        <v/>
      </c>
      <c r="AH388" s="11" t="n">
        <v>1974369.74</v>
      </c>
      <c r="AI388" s="24">
        <f>AG388-AH388</f>
        <v/>
      </c>
      <c r="AJ388" s="14">
        <f>IF(OR(B388="",B388=0,N388=""),"",N388/B388*10000)</f>
        <v/>
      </c>
      <c r="AK388" s="14">
        <f>IF(OR(C388="",C388=0),"",O388/C388*10000)</f>
        <v/>
      </c>
      <c r="AL388" s="14">
        <f>IF(OR(D388="",D388=0),"",P388/D388*10000)</f>
        <v/>
      </c>
      <c r="AM388" s="14">
        <f>IF(OR(E388="",E388=0),"",Q388/E388*10000)</f>
        <v/>
      </c>
      <c r="AN388" s="11" t="n">
        <v>17739.36918162803</v>
      </c>
      <c r="AO388" s="11" t="n">
        <v>0</v>
      </c>
      <c r="AP388" s="21">
        <f>AH388+AN388+AO388</f>
        <v/>
      </c>
      <c r="AQ388" s="21">
        <f>AH388</f>
        <v/>
      </c>
      <c r="AR388" s="15" t="n">
        <v>82489.64999999999</v>
      </c>
      <c r="AS388" s="27" t="n">
        <v>23.934757</v>
      </c>
      <c r="AT388" s="15" t="n">
        <v>37378176.69</v>
      </c>
      <c r="AU388" s="15" t="n">
        <v>26418.9396</v>
      </c>
      <c r="AV388" s="15" t="n">
        <v>2138.5104</v>
      </c>
      <c r="AW388" s="15" t="n"/>
      <c r="AX388" s="16" t="n">
        <v>433.8697908615033</v>
      </c>
      <c r="AY388" s="13">
        <f>IF(OR(AX388="",AX388=0,AU388=""),"",AU388*365/(AX388*1000000))</f>
        <v/>
      </c>
      <c r="AZ388" s="15" t="n">
        <v>418736434.145</v>
      </c>
      <c r="BA388" s="17" t="n">
        <v>60487233</v>
      </c>
      <c r="BB388" s="18" t="n">
        <v>37378176.69</v>
      </c>
      <c r="BC388" s="17" t="n">
        <v>2971663</v>
      </c>
      <c r="BD388" s="17">
        <f>1000000000-999466045.3627+187403.7927</f>
        <v/>
      </c>
      <c r="BE388" s="19">
        <f>1000000000-AZ388-BA388-BB388-BC388-BD388</f>
        <v/>
      </c>
      <c r="BF388" s="20" t="n">
        <v>236.254254</v>
      </c>
      <c r="BG388" s="20">
        <f>BE388/1000000-BF388</f>
        <v/>
      </c>
      <c r="BH388" s="21">
        <f>BE388*22.42</f>
        <v/>
      </c>
    </row>
    <row r="389">
      <c r="A389" s="10" t="n">
        <v>46011</v>
      </c>
      <c r="B389" s="11" t="n">
        <v>1595882244</v>
      </c>
      <c r="C389" s="11" t="n">
        <v>63203884.55</v>
      </c>
      <c r="D389" s="11" t="n">
        <v>80232171</v>
      </c>
      <c r="E389" s="11" t="n"/>
      <c r="F389" s="24" t="n">
        <v>335417.0610496982</v>
      </c>
      <c r="G389" s="24" t="n">
        <v>15790355.84846392</v>
      </c>
      <c r="H389" s="24" t="n">
        <v>0</v>
      </c>
      <c r="I389" s="24" t="n">
        <v>33577586.09746124</v>
      </c>
      <c r="J389" s="24" t="n">
        <v>1441997.379614947</v>
      </c>
      <c r="K389" s="24" t="n">
        <v>12058528.16341019</v>
      </c>
      <c r="L389" s="21">
        <f>SUM(F389:K389)</f>
        <v/>
      </c>
      <c r="M389" s="28" t="n">
        <v>1.010164024090535</v>
      </c>
      <c r="N389" s="11" t="n">
        <v>540655.88</v>
      </c>
      <c r="O389" s="11" t="n">
        <v>24101</v>
      </c>
      <c r="P389" s="11" t="n">
        <v>56594.06</v>
      </c>
      <c r="Q389" s="11" t="n"/>
      <c r="R389" s="21">
        <f>N389+O389+P389+N(Q389)</f>
        <v/>
      </c>
      <c r="S389" s="13" t="n">
        <v>0.01</v>
      </c>
      <c r="T389" s="21">
        <f>N(AC389)*S389</f>
        <v/>
      </c>
      <c r="U389" s="21">
        <f>N(AD389)*S389</f>
        <v/>
      </c>
      <c r="V389" s="21">
        <f>N(AE389)*S389</f>
        <v/>
      </c>
      <c r="W389" s="21">
        <f>IF(Q389="","",N(AF389)*S389)</f>
        <v/>
      </c>
      <c r="X389" s="11" t="n">
        <v>12174.41</v>
      </c>
      <c r="Y389" s="11" t="n">
        <v>12050.5</v>
      </c>
      <c r="Z389" s="11" t="n"/>
      <c r="AA389" s="21">
        <f>T389+U389+V389+N(W389)+X389+Y389+N(Z389)</f>
        <v/>
      </c>
      <c r="AB389" s="11" t="n">
        <v>76049.83290000001</v>
      </c>
      <c r="AC389" s="11" t="n">
        <v>540655.88</v>
      </c>
      <c r="AD389" s="21">
        <f>O389-Y389</f>
        <v/>
      </c>
      <c r="AE389" s="21">
        <f>P389-X389</f>
        <v/>
      </c>
      <c r="AF389" s="21">
        <f>IF(Q389="","",Q389-Z389)</f>
        <v/>
      </c>
      <c r="AG389" s="22">
        <f>AC389+AD389+AE389+N(AF389)</f>
        <v/>
      </c>
      <c r="AH389" s="11" t="n">
        <v>498643.46</v>
      </c>
      <c r="AI389" s="24">
        <f>AG389-AH389</f>
        <v/>
      </c>
      <c r="AJ389" s="14">
        <f>IF(OR(B389="",B389=0,N389=""),"",N389/B389*10000)</f>
        <v/>
      </c>
      <c r="AK389" s="14">
        <f>IF(OR(C389="",C389=0),"",O389/C389*10000)</f>
        <v/>
      </c>
      <c r="AL389" s="14">
        <f>IF(OR(D389="",D389=0),"",P389/D389*10000)</f>
        <v/>
      </c>
      <c r="AM389" s="14">
        <f>IF(OR(E389="",E389=0),"",Q389/E389*10000)</f>
        <v/>
      </c>
      <c r="AN389" s="11" t="n">
        <v>9913.665501002995</v>
      </c>
      <c r="AO389" s="11" t="n">
        <v>0</v>
      </c>
      <c r="AP389" s="21">
        <f>AH389+AN389+AO389</f>
        <v/>
      </c>
      <c r="AQ389" s="21">
        <f>AH389</f>
        <v/>
      </c>
      <c r="AR389" s="15" t="n">
        <v>20165.54</v>
      </c>
      <c r="AS389" s="27" t="n">
        <v>24.727503</v>
      </c>
      <c r="AT389" s="15" t="n">
        <v>37397363.99255512</v>
      </c>
      <c r="AU389" s="15" t="n">
        <v>26487.66</v>
      </c>
      <c r="AV389" s="15" t="n">
        <v>1719.494</v>
      </c>
      <c r="AW389" s="15" t="n"/>
      <c r="AX389" s="16" t="n">
        <v>433.3818294790907</v>
      </c>
      <c r="AY389" s="13">
        <f>IF(OR(AX389="",AX389=0,AU389=""),"",AU389*365/(AX389*1000000))</f>
        <v/>
      </c>
      <c r="AZ389" s="15" t="n">
        <v>418709946.485</v>
      </c>
      <c r="BA389" s="17" t="n">
        <v>60487233</v>
      </c>
      <c r="BB389" s="18" t="n">
        <v>37397363.99255512</v>
      </c>
      <c r="BC389" s="17" t="n">
        <v>2971663</v>
      </c>
      <c r="BD389" s="17">
        <f>1000000000-999464325.8687+187803.6663</f>
        <v/>
      </c>
      <c r="BE389" s="19">
        <f>1000000000-AZ389-BA389-BB389-BC389-BD389</f>
        <v/>
      </c>
      <c r="BF389" s="20" t="n">
        <v>236.254254</v>
      </c>
      <c r="BG389" s="20">
        <f>BE389/1000000-BF389</f>
        <v/>
      </c>
      <c r="BH389" s="21">
        <f>BE389*24.8</f>
        <v/>
      </c>
    </row>
    <row r="390">
      <c r="A390" s="10" t="n">
        <v>46012</v>
      </c>
      <c r="B390" s="11" t="n">
        <v>2410566326</v>
      </c>
      <c r="C390" s="11" t="n">
        <v>58000536.24</v>
      </c>
      <c r="D390" s="11" t="n">
        <v>82086140</v>
      </c>
      <c r="E390" s="11" t="n"/>
      <c r="F390" s="24" t="n">
        <v>1089357.153620385</v>
      </c>
      <c r="G390" s="24" t="n">
        <v>13260676.19452315</v>
      </c>
      <c r="H390" s="24" t="n">
        <v>0</v>
      </c>
      <c r="I390" s="24" t="n">
        <v>38161858.87808596</v>
      </c>
      <c r="J390" s="24" t="n">
        <v>1110870.459887976</v>
      </c>
      <c r="K390" s="24" t="n">
        <v>4377773.553882529</v>
      </c>
      <c r="L390" s="21">
        <f>SUM(F390:K390)</f>
        <v/>
      </c>
      <c r="M390" s="28" t="n">
        <v>1.044619842100377</v>
      </c>
      <c r="N390" s="11" t="n">
        <v>798820.35</v>
      </c>
      <c r="O390" s="11" t="n">
        <v>22197.8</v>
      </c>
      <c r="P390" s="11" t="n">
        <v>52495.53</v>
      </c>
      <c r="Q390" s="11" t="n"/>
      <c r="R390" s="21">
        <f>N390+O390+P390+N(Q390)</f>
        <v/>
      </c>
      <c r="S390" s="13" t="n">
        <v>0.01</v>
      </c>
      <c r="T390" s="21">
        <f>N(AC390)*S390</f>
        <v/>
      </c>
      <c r="U390" s="21">
        <f>N(AD390)*S390</f>
        <v/>
      </c>
      <c r="V390" s="21">
        <f>N(AE390)*S390</f>
        <v/>
      </c>
      <c r="W390" s="21">
        <f>IF(Q390="","",N(AF390)*S390)</f>
        <v/>
      </c>
      <c r="X390" s="11" t="n">
        <v>10942.97</v>
      </c>
      <c r="Y390" s="11" t="n">
        <v>11098.9</v>
      </c>
      <c r="Z390" s="11" t="n"/>
      <c r="AA390" s="21">
        <f>T390+U390+V390+N(W390)+X390+Y390+N(Z390)</f>
        <v/>
      </c>
      <c r="AB390" s="11" t="n">
        <v>94897.20139999999</v>
      </c>
      <c r="AC390" s="11" t="n">
        <v>798820.35</v>
      </c>
      <c r="AD390" s="21">
        <f>O390-Y390</f>
        <v/>
      </c>
      <c r="AE390" s="21">
        <f>P390-X390</f>
        <v/>
      </c>
      <c r="AF390" s="21">
        <f>IF(Q390="","",Q390-Z390)</f>
        <v/>
      </c>
      <c r="AG390" s="22">
        <f>AC390+AD390+AE390+N(AF390)</f>
        <v/>
      </c>
      <c r="AH390" s="11" t="n">
        <v>614571.29</v>
      </c>
      <c r="AI390" s="24">
        <f>AG390-AH390</f>
        <v/>
      </c>
      <c r="AJ390" s="14">
        <f>IF(OR(B390="",B390=0,N390=""),"",N390/B390*10000)</f>
        <v/>
      </c>
      <c r="AK390" s="14">
        <f>IF(OR(C390="",C390=0),"",O390/C390*10000)</f>
        <v/>
      </c>
      <c r="AL390" s="14">
        <f>IF(OR(D390="",D390=0),"",P390/D390*10000)</f>
        <v/>
      </c>
      <c r="AM390" s="14">
        <f>IF(OR(E390="",E390=0),"",Q390/E390*10000)</f>
        <v/>
      </c>
      <c r="AN390" s="11" t="n">
        <v>8537.996374191149</v>
      </c>
      <c r="AO390" s="11" t="n">
        <v>0</v>
      </c>
      <c r="AP390" s="21">
        <f>AH390+AN390+AO390</f>
        <v/>
      </c>
      <c r="AQ390" s="21">
        <f>AH390</f>
        <v/>
      </c>
      <c r="AR390" s="15" t="n">
        <v>25490.35</v>
      </c>
      <c r="AS390" s="27" t="n">
        <v>24.109959</v>
      </c>
      <c r="AT390" s="15" t="n">
        <v>37430045.18255512</v>
      </c>
      <c r="AU390" s="15" t="n">
        <v>26425.3695</v>
      </c>
      <c r="AV390" s="15" t="n">
        <v>257.2716</v>
      </c>
      <c r="AW390" s="15" t="n"/>
      <c r="AX390" s="16" t="n">
        <v>433.3675164952436</v>
      </c>
      <c r="AY390" s="13">
        <f>IF(OR(AX390="",AX390=0,AU390=""),"",AU390*365/(AX390*1000000))</f>
        <v/>
      </c>
      <c r="AZ390" s="15" t="n">
        <v>418683521.1156</v>
      </c>
      <c r="BA390" s="17" t="n">
        <v>60487233</v>
      </c>
      <c r="BB390" s="18" t="n">
        <v>37430045.18255512</v>
      </c>
      <c r="BC390" s="17" t="n">
        <v>2971663</v>
      </c>
      <c r="BD390" s="17">
        <f>1000000000-999464068.5971+188158.1459</f>
        <v/>
      </c>
      <c r="BE390" s="19">
        <f>1000000000-AZ390-BA390-BB390-BC390-BD390</f>
        <v/>
      </c>
      <c r="BF390" s="20" t="n">
        <v>236.254254</v>
      </c>
      <c r="BG390" s="20">
        <f>BE390/1000000-BF390</f>
        <v/>
      </c>
      <c r="BH390" s="21">
        <f>BE390*24.07</f>
        <v/>
      </c>
    </row>
    <row r="391">
      <c r="A391" s="10" t="n">
        <v>46013</v>
      </c>
      <c r="B391" s="11" t="n">
        <v>6062565800</v>
      </c>
      <c r="C391" s="11" t="n">
        <v>200135146.57</v>
      </c>
      <c r="D391" s="11" t="n">
        <v>131313939</v>
      </c>
      <c r="E391" s="11" t="n"/>
      <c r="F391" s="24" t="n">
        <v>6279140.64512</v>
      </c>
      <c r="G391" s="24" t="n">
        <v>17607695.18520144</v>
      </c>
      <c r="H391" s="24" t="n">
        <v>0</v>
      </c>
      <c r="I391" s="24" t="n">
        <v>98752046.94269305</v>
      </c>
      <c r="J391" s="24" t="n">
        <v>238454.3033456927</v>
      </c>
      <c r="K391" s="24" t="n">
        <v>77257809.49363978</v>
      </c>
      <c r="L391" s="21">
        <f>SUM(F391:K391)</f>
        <v/>
      </c>
      <c r="M391" s="28" t="n">
        <v>0.9932976499495126</v>
      </c>
      <c r="N391" s="11" t="n">
        <v>1919310.31</v>
      </c>
      <c r="O391" s="11" t="n">
        <v>54593.2</v>
      </c>
      <c r="P391" s="11" t="n">
        <v>71336.3</v>
      </c>
      <c r="Q391" s="11" t="n"/>
      <c r="R391" s="21">
        <f>N391+O391+P391+N(Q391)</f>
        <v/>
      </c>
      <c r="S391" s="13" t="n">
        <v>0.01</v>
      </c>
      <c r="T391" s="21">
        <f>N(AC391)*S391</f>
        <v/>
      </c>
      <c r="U391" s="21">
        <f>N(AD391)*S391</f>
        <v/>
      </c>
      <c r="V391" s="21">
        <f>N(AE391)*S391</f>
        <v/>
      </c>
      <c r="W391" s="21">
        <f>IF(Q391="","",N(AF391)*S391)</f>
        <v/>
      </c>
      <c r="X391" s="11" t="n">
        <v>14875.83</v>
      </c>
      <c r="Y391" s="11" t="n">
        <v>27296.6</v>
      </c>
      <c r="Z391" s="11" t="n"/>
      <c r="AA391" s="21">
        <f>T391+U391+V391+N(W391)+X391+Y391+N(Z391)</f>
        <v/>
      </c>
      <c r="AB391" s="11" t="n">
        <v>195006.7221</v>
      </c>
      <c r="AC391" s="11" t="n">
        <v>1919310.31</v>
      </c>
      <c r="AD391" s="21">
        <f>O391-Y391</f>
        <v/>
      </c>
      <c r="AE391" s="21">
        <f>P391-X391</f>
        <v/>
      </c>
      <c r="AF391" s="21">
        <f>IF(Q391="","",Q391-Z391)</f>
        <v/>
      </c>
      <c r="AG391" s="22">
        <f>AC391+AD391+AE391+N(AF391)</f>
        <v/>
      </c>
      <c r="AH391" s="11" t="n">
        <v>1753928.69</v>
      </c>
      <c r="AI391" s="24">
        <f>AG391-AH391</f>
        <v/>
      </c>
      <c r="AJ391" s="14">
        <f>IF(OR(B391="",B391=0,N391=""),"",N391/B391*10000)</f>
        <v/>
      </c>
      <c r="AK391" s="14">
        <f>IF(OR(C391="",C391=0),"",O391/C391*10000)</f>
        <v/>
      </c>
      <c r="AL391" s="14">
        <f>IF(OR(D391="",D391=0),"",P391/D391*10000)</f>
        <v/>
      </c>
      <c r="AM391" s="14">
        <f>IF(OR(E391="",E391=0),"",Q391/E391*10000)</f>
        <v/>
      </c>
      <c r="AN391" s="11" t="n">
        <v>12155.06679695004</v>
      </c>
      <c r="AO391" s="11" t="n">
        <v>23635.93</v>
      </c>
      <c r="AP391" s="21">
        <f>AH391+AN391+AO391</f>
        <v/>
      </c>
      <c r="AQ391" s="21">
        <f>AH391</f>
        <v/>
      </c>
      <c r="AR391" s="15" t="n">
        <v>70611.64</v>
      </c>
      <c r="AS391" s="27" t="n">
        <v>24.839087</v>
      </c>
      <c r="AT391" s="15" t="n">
        <v>37494236.91255512</v>
      </c>
      <c r="AU391" s="15" t="n">
        <v>26443.411</v>
      </c>
      <c r="AV391" s="15" t="n">
        <v>1666.3489</v>
      </c>
      <c r="AW391" s="15" t="n"/>
      <c r="AX391" s="16" t="n">
        <v>433.2813015584726</v>
      </c>
      <c r="AY391" s="13">
        <f>IF(OR(AX391="",AX391=0,AU391=""),"",AU391*365/(AX391*1000000))</f>
        <v/>
      </c>
      <c r="AZ391" s="15" t="n">
        <v>418657077.7045</v>
      </c>
      <c r="BA391" s="17" t="n">
        <v>60487233</v>
      </c>
      <c r="BB391" s="18" t="n">
        <v>37494236.91255512</v>
      </c>
      <c r="BC391" s="17" t="n">
        <v>2971663</v>
      </c>
      <c r="BD391" s="17">
        <f>1000000000-999462402.2482+188651.8329</f>
        <v/>
      </c>
      <c r="BE391" s="19">
        <f>1000000000-AZ391-BA391-BB391-BC391-BD391</f>
        <v/>
      </c>
      <c r="BF391" s="20" t="n">
        <v>236.254254</v>
      </c>
      <c r="BG391" s="20">
        <f>BE391/1000000-BF391</f>
        <v/>
      </c>
      <c r="BH391" s="21">
        <f>BE391*24.62</f>
        <v/>
      </c>
    </row>
    <row r="392">
      <c r="A392" s="10" t="n">
        <v>46014</v>
      </c>
      <c r="B392" s="11" t="n">
        <v>5129999887</v>
      </c>
      <c r="C392" s="11" t="n">
        <v>273953290.24</v>
      </c>
      <c r="D392" s="11" t="n">
        <v>114039289</v>
      </c>
      <c r="E392" s="11" t="n"/>
      <c r="F392" s="24" t="n">
        <v>8697649.792939896</v>
      </c>
      <c r="G392" s="24" t="n">
        <v>15644600.90461962</v>
      </c>
      <c r="H392" s="24" t="n">
        <v>720827.6899194123</v>
      </c>
      <c r="I392" s="24" t="n">
        <v>187248020.5682203</v>
      </c>
      <c r="J392" s="24" t="n">
        <v>876791.3042971781</v>
      </c>
      <c r="K392" s="24" t="n">
        <v>60765399.9800036</v>
      </c>
      <c r="L392" s="21">
        <f>SUM(F392:K392)</f>
        <v/>
      </c>
      <c r="M392" s="28" t="n">
        <v>0.9974572790489217</v>
      </c>
      <c r="N392" s="11" t="n">
        <v>1703136.33</v>
      </c>
      <c r="O392" s="11" t="n">
        <v>61952.14</v>
      </c>
      <c r="P392" s="11" t="n">
        <v>73192.52</v>
      </c>
      <c r="Q392" s="11" t="n"/>
      <c r="R392" s="21">
        <f>N392+O392+P392+N(Q392)</f>
        <v/>
      </c>
      <c r="S392" s="13" t="n">
        <v>0.01</v>
      </c>
      <c r="T392" s="21">
        <f>N(AC392)*S392</f>
        <v/>
      </c>
      <c r="U392" s="21">
        <f>N(AD392)*S392</f>
        <v/>
      </c>
      <c r="V392" s="21">
        <f>N(AE392)*S392</f>
        <v/>
      </c>
      <c r="W392" s="21">
        <f>IF(Q392="","",N(AF392)*S392)</f>
        <v/>
      </c>
      <c r="X392" s="11" t="n">
        <v>12865.09</v>
      </c>
      <c r="Y392" s="11" t="n">
        <v>30976.07</v>
      </c>
      <c r="Z392" s="11" t="n"/>
      <c r="AA392" s="21">
        <f>T392+U392+V392+N(W392)+X392+Y392+N(Z392)</f>
        <v/>
      </c>
      <c r="AB392" s="11" t="n">
        <v>169671.1402</v>
      </c>
      <c r="AC392" s="11" t="n">
        <v>1703136.33</v>
      </c>
      <c r="AD392" s="21">
        <f>O392-Y392</f>
        <v/>
      </c>
      <c r="AE392" s="21">
        <f>P392-X392</f>
        <v/>
      </c>
      <c r="AF392" s="21">
        <f>IF(Q392="","",Q392-Z392)</f>
        <v/>
      </c>
      <c r="AG392" s="22">
        <f>AC392+AD392+AE392+N(AF392)</f>
        <v/>
      </c>
      <c r="AH392" s="11" t="n">
        <v>1416162.2</v>
      </c>
      <c r="AI392" s="24">
        <f>AG392-AH392</f>
        <v/>
      </c>
      <c r="AJ392" s="14">
        <f>IF(OR(B392="",B392=0,N392=""),"",N392/B392*10000)</f>
        <v/>
      </c>
      <c r="AK392" s="14">
        <f>IF(OR(C392="",C392=0),"",O392/C392*10000)</f>
        <v/>
      </c>
      <c r="AL392" s="14">
        <f>IF(OR(D392="",D392=0),"",P392/D392*10000)</f>
        <v/>
      </c>
      <c r="AM392" s="14">
        <f>IF(OR(E392="",E392=0),"",Q392/E392*10000)</f>
        <v/>
      </c>
      <c r="AN392" s="11" t="n">
        <v>10662.8543444044</v>
      </c>
      <c r="AO392" s="11" t="n">
        <v>0</v>
      </c>
      <c r="AP392" s="21">
        <f>AH392+AN392+AO392</f>
        <v/>
      </c>
      <c r="AQ392" s="21">
        <f>AH392</f>
        <v/>
      </c>
      <c r="AR392" s="15" t="n">
        <v>58235.51</v>
      </c>
      <c r="AS392" s="27" t="n">
        <v>24.317847</v>
      </c>
      <c r="AT392" s="15" t="n">
        <v>37552103.11255512</v>
      </c>
      <c r="AU392" s="15" t="n">
        <v>26422.6463</v>
      </c>
      <c r="AV392" s="15" t="n">
        <v>3692.6652</v>
      </c>
      <c r="AW392" s="15" t="n"/>
      <c r="AX392" s="16" t="n">
        <v>434.5489863539383</v>
      </c>
      <c r="AY392" s="13">
        <f>IF(OR(AX392="",AX392=0,AU392=""),"",AU392*365/(AX392*1000000))</f>
        <v/>
      </c>
      <c r="AZ392" s="15" t="n">
        <v>418630655.0582</v>
      </c>
      <c r="BA392" s="17" t="n">
        <v>60487233</v>
      </c>
      <c r="BB392" s="18" t="n">
        <v>37552103.11255512</v>
      </c>
      <c r="BC392" s="17" t="n">
        <v>2971663</v>
      </c>
      <c r="BD392" s="17">
        <f>1000000000-999458709.583+189080.8698</f>
        <v/>
      </c>
      <c r="BE392" s="19">
        <f>1000000000-AZ392-BA392-BB392-BC392-BD392</f>
        <v/>
      </c>
      <c r="BF392" s="20" t="n">
        <v>236.254254</v>
      </c>
      <c r="BG392" s="20">
        <f>BE392/1000000-BF392</f>
        <v/>
      </c>
      <c r="BH392" s="21">
        <f>BE392*24.85</f>
        <v/>
      </c>
    </row>
    <row r="393">
      <c r="A393" s="10" t="n">
        <v>46015</v>
      </c>
      <c r="B393" s="11" t="n">
        <v>3387920830</v>
      </c>
      <c r="C393" s="11" t="n">
        <v>153561537.58</v>
      </c>
      <c r="D393" s="11" t="n">
        <v>82508878</v>
      </c>
      <c r="E393" s="11" t="n"/>
      <c r="F393" s="24" t="n">
        <v>8505750.537126223</v>
      </c>
      <c r="G393" s="24" t="n">
        <v>9353767.327344028</v>
      </c>
      <c r="H393" s="24" t="n">
        <v>986656.6412897988</v>
      </c>
      <c r="I393" s="24" t="n">
        <v>78806173.87552243</v>
      </c>
      <c r="J393" s="24" t="n">
        <v>606333.6670540702</v>
      </c>
      <c r="K393" s="24" t="n">
        <v>55302855.53166347</v>
      </c>
      <c r="L393" s="21">
        <f>SUM(F393:K393)</f>
        <v/>
      </c>
      <c r="M393" s="28" t="n">
        <v>1.000595878667516</v>
      </c>
      <c r="N393" s="11" t="n">
        <v>1049992.36</v>
      </c>
      <c r="O393" s="11" t="n">
        <v>33875.46</v>
      </c>
      <c r="P393" s="11" t="n">
        <v>49347.94</v>
      </c>
      <c r="Q393" s="11" t="n"/>
      <c r="R393" s="21">
        <f>N393+O393+P393+N(Q393)</f>
        <v/>
      </c>
      <c r="S393" s="13" t="n">
        <v>0.01</v>
      </c>
      <c r="T393" s="21">
        <f>N(AC393)*S393</f>
        <v/>
      </c>
      <c r="U393" s="21">
        <f>N(AD393)*S393</f>
        <v/>
      </c>
      <c r="V393" s="21">
        <f>N(AE393)*S393</f>
        <v/>
      </c>
      <c r="W393" s="21">
        <f>IF(Q393="","",N(AF393)*S393)</f>
        <v/>
      </c>
      <c r="X393" s="11" t="n">
        <v>10255.34</v>
      </c>
      <c r="Y393" s="11" t="n">
        <v>16937.73</v>
      </c>
      <c r="Z393" s="11" t="n"/>
      <c r="AA393" s="21">
        <f>T393+U393+V393+N(W393)+X393+Y393+N(Z393)</f>
        <v/>
      </c>
      <c r="AB393" s="11" t="n">
        <v>105350.633</v>
      </c>
      <c r="AC393" s="11" t="n">
        <v>1049992.36</v>
      </c>
      <c r="AD393" s="21">
        <f>O393-Y393</f>
        <v/>
      </c>
      <c r="AE393" s="21">
        <f>P393-X393</f>
        <v/>
      </c>
      <c r="AF393" s="21">
        <f>IF(Q393="","",Q393-Z393)</f>
        <v/>
      </c>
      <c r="AG393" s="22">
        <f>AC393+AD393+AE393+N(AF393)</f>
        <v/>
      </c>
      <c r="AH393" s="11" t="n">
        <v>871000.51</v>
      </c>
      <c r="AI393" s="24">
        <f>AG393-AH393</f>
        <v/>
      </c>
      <c r="AJ393" s="14">
        <f>IF(OR(B393="",B393=0,N393=""),"",N393/B393*10000)</f>
        <v/>
      </c>
      <c r="AK393" s="14">
        <f>IF(OR(C393="",C393=0),"",O393/C393*10000)</f>
        <v/>
      </c>
      <c r="AL393" s="14">
        <f>IF(OR(D393="",D393=0),"",P393/D393*10000)</f>
        <v/>
      </c>
      <c r="AM393" s="14">
        <f>IF(OR(E393="",E393=0),"",Q393/E393*10000)</f>
        <v/>
      </c>
      <c r="AN393" s="11" t="n">
        <v>7482.605158871794</v>
      </c>
      <c r="AO393" s="11" t="n">
        <v>0</v>
      </c>
      <c r="AP393" s="21">
        <f>AH393+AN393+AO393</f>
        <v/>
      </c>
      <c r="AQ393" s="21">
        <f>AH393</f>
        <v/>
      </c>
      <c r="AR393" s="15" t="n">
        <v>36158.16</v>
      </c>
      <c r="AS393" s="27" t="n">
        <v>24.088629</v>
      </c>
      <c r="AT393" s="15" t="n">
        <v>37591271.92255512</v>
      </c>
      <c r="AU393" s="15" t="n">
        <v>26479.0906</v>
      </c>
      <c r="AV393" s="15" t="n">
        <v>315.6238</v>
      </c>
      <c r="AW393" s="15" t="n"/>
      <c r="AX393" s="16" t="n">
        <v>434.0328176583972</v>
      </c>
      <c r="AY393" s="13">
        <f>IF(OR(AX393="",AX393=0,AU393=""),"",AU393*365/(AX393*1000000))</f>
        <v/>
      </c>
      <c r="AZ393" s="15" t="n">
        <v>418604175.9676</v>
      </c>
      <c r="BA393" s="17" t="n">
        <v>60487233</v>
      </c>
      <c r="BB393" s="18" t="n">
        <v>37591271.92255512</v>
      </c>
      <c r="BC393" s="17" t="n">
        <v>2971663</v>
      </c>
      <c r="BD393" s="17">
        <f>1000000000-999458393.9592+189392.6710</f>
        <v/>
      </c>
      <c r="BE393" s="19">
        <f>1000000000-AZ393-BA393-BB393-BC393-BD393</f>
        <v/>
      </c>
      <c r="BF393" s="20" t="n">
        <v>236.254254</v>
      </c>
      <c r="BG393" s="20">
        <f>BE393/1000000-BF393</f>
        <v/>
      </c>
      <c r="BH393" s="21">
        <f>BE393*24</f>
        <v/>
      </c>
    </row>
    <row r="394">
      <c r="A394" s="10" t="n">
        <v>46016</v>
      </c>
      <c r="B394" s="11" t="n">
        <v>2451148344</v>
      </c>
      <c r="C394" s="11" t="n">
        <v>62808152.68</v>
      </c>
      <c r="D394" s="11" t="n">
        <v>71520234</v>
      </c>
      <c r="E394" s="11" t="n"/>
      <c r="F394" s="24" t="n">
        <v>2876114.367146091</v>
      </c>
      <c r="G394" s="24" t="n">
        <v>12887980.26552375</v>
      </c>
      <c r="H394" s="24" t="n">
        <v>284842.9756509244</v>
      </c>
      <c r="I394" s="24" t="n">
        <v>36179546.99786773</v>
      </c>
      <c r="J394" s="24" t="n">
        <v>1680969.492620258</v>
      </c>
      <c r="K394" s="24" t="n">
        <v>8898698.581191249</v>
      </c>
      <c r="L394" s="21">
        <f>SUM(F394:K394)</f>
        <v/>
      </c>
      <c r="M394" s="28" t="n">
        <v>1.08753607130042</v>
      </c>
      <c r="N394" s="11" t="n">
        <v>738396</v>
      </c>
      <c r="O394" s="11" t="n">
        <v>25572.88</v>
      </c>
      <c r="P394" s="11" t="n">
        <v>51400.9</v>
      </c>
      <c r="Q394" s="11" t="n"/>
      <c r="R394" s="21">
        <f>N394+O394+P394+N(Q394)</f>
        <v/>
      </c>
      <c r="S394" s="13" t="n">
        <v>0.01</v>
      </c>
      <c r="T394" s="21">
        <f>N(AC394)*S394</f>
        <v/>
      </c>
      <c r="U394" s="21">
        <f>N(AD394)*S394</f>
        <v/>
      </c>
      <c r="V394" s="21">
        <f>N(AE394)*S394</f>
        <v/>
      </c>
      <c r="W394" s="21">
        <f>IF(Q394="","",N(AF394)*S394)</f>
        <v/>
      </c>
      <c r="X394" s="11" t="n">
        <v>11613.6</v>
      </c>
      <c r="Y394" s="11" t="n">
        <v>12786.44</v>
      </c>
      <c r="Z394" s="11" t="n"/>
      <c r="AA394" s="21">
        <f>T394+U394+V394+N(W394)+X394+Y394+N(Z394)</f>
        <v/>
      </c>
      <c r="AB394" s="11" t="n">
        <v>82763.1767</v>
      </c>
      <c r="AC394" s="11" t="n">
        <v>738396</v>
      </c>
      <c r="AD394" s="21">
        <f>O394-Y394</f>
        <v/>
      </c>
      <c r="AE394" s="21">
        <f>P394-X394</f>
        <v/>
      </c>
      <c r="AF394" s="21">
        <f>IF(Q394="","",Q394-Z394)</f>
        <v/>
      </c>
      <c r="AG394" s="22">
        <f>AC394+AD394+AE394+N(AF394)</f>
        <v/>
      </c>
      <c r="AH394" s="11" t="n">
        <v>733221.58</v>
      </c>
      <c r="AI394" s="24">
        <f>AG394-AH394</f>
        <v/>
      </c>
      <c r="AJ394" s="14">
        <f>IF(OR(B394="",B394=0,N394=""),"",N394/B394*10000)</f>
        <v/>
      </c>
      <c r="AK394" s="14">
        <f>IF(OR(C394="",C394=0),"",O394/C394*10000)</f>
        <v/>
      </c>
      <c r="AL394" s="14">
        <f>IF(OR(D394="",D394=0),"",P394/D394*10000)</f>
        <v/>
      </c>
      <c r="AM394" s="14">
        <f>IF(OR(E394="",E394=0),"",Q394/E394*10000)</f>
        <v/>
      </c>
      <c r="AN394" s="11" t="n">
        <v>6447.799693485053</v>
      </c>
      <c r="AO394" s="11" t="n">
        <v>13148.67</v>
      </c>
      <c r="AP394" s="21">
        <f>AH394+AN394+AO394</f>
        <v/>
      </c>
      <c r="AQ394" s="21">
        <f>AH394</f>
        <v/>
      </c>
      <c r="AR394" s="15" t="n">
        <v>29555.9</v>
      </c>
      <c r="AS394" s="27" t="n">
        <v>24.80796</v>
      </c>
      <c r="AT394" s="15" t="n">
        <v>37617994.68255512</v>
      </c>
      <c r="AU394" s="15" t="n">
        <v>26460.759</v>
      </c>
      <c r="AV394" s="15" t="n">
        <v>1101.0662</v>
      </c>
      <c r="AW394" s="15" t="n"/>
      <c r="AX394" s="16" t="n">
        <v>433.8464377179373</v>
      </c>
      <c r="AY394" s="13">
        <f>IF(OR(AX394="",AX394=0,AU394=""),"",AU394*365/(AX394*1000000))</f>
        <v/>
      </c>
      <c r="AZ394" s="15" t="n">
        <v>418577715.2085</v>
      </c>
      <c r="BA394" s="17" t="n">
        <v>60487233</v>
      </c>
      <c r="BB394" s="18" t="n">
        <v>37617994.68255512</v>
      </c>
      <c r="BC394" s="17" t="n">
        <v>2971663</v>
      </c>
      <c r="BD394" s="17">
        <f>1000000000-999457292.893+189652.5581</f>
        <v/>
      </c>
      <c r="BE394" s="19">
        <f>1000000000-AZ394-BA394-BB394-BC394-BD394</f>
        <v/>
      </c>
      <c r="BF394" s="20" t="n">
        <v>236.254254</v>
      </c>
      <c r="BG394" s="20">
        <f>BE394/1000000-BF394</f>
        <v/>
      </c>
      <c r="BH394" s="21">
        <f>BE394*24.81</f>
        <v/>
      </c>
    </row>
    <row r="395">
      <c r="A395" s="10" t="n">
        <v>46017</v>
      </c>
      <c r="B395" s="11" t="n">
        <v>4703285597</v>
      </c>
      <c r="C395" s="11" t="n">
        <v>229032647.81</v>
      </c>
      <c r="D395" s="11" t="n">
        <v>122485182</v>
      </c>
      <c r="E395" s="11" t="n"/>
      <c r="F395" s="24" t="n">
        <v>24123552.57657219</v>
      </c>
      <c r="G395" s="24" t="n">
        <v>13707308.30386767</v>
      </c>
      <c r="H395" s="24" t="n">
        <v>515137.6014060344</v>
      </c>
      <c r="I395" s="24" t="n">
        <v>149822033.9841918</v>
      </c>
      <c r="J395" s="24" t="n">
        <v>867595.9789131409</v>
      </c>
      <c r="K395" s="24" t="n">
        <v>39997019.36504915</v>
      </c>
      <c r="L395" s="21">
        <f>SUM(F395:K395)</f>
        <v/>
      </c>
      <c r="M395" s="28" t="n">
        <v>0.9808535706212297</v>
      </c>
      <c r="N395" s="11" t="n">
        <v>1494305.62</v>
      </c>
      <c r="O395" s="11" t="n">
        <v>58340.34</v>
      </c>
      <c r="P395" s="11" t="n">
        <v>90579.13</v>
      </c>
      <c r="Q395" s="11" t="n"/>
      <c r="R395" s="21">
        <f>N395+O395+P395+N(Q395)</f>
        <v/>
      </c>
      <c r="S395" s="13" t="n">
        <v>0.01</v>
      </c>
      <c r="T395" s="21">
        <f>N(AC395)*S395</f>
        <v/>
      </c>
      <c r="U395" s="21">
        <f>N(AD395)*S395</f>
        <v/>
      </c>
      <c r="V395" s="21">
        <f>N(AE395)*S395</f>
        <v/>
      </c>
      <c r="W395" s="21">
        <f>IF(Q395="","",N(AF395)*S395)</f>
        <v/>
      </c>
      <c r="X395" s="11" t="n">
        <v>20733.91</v>
      </c>
      <c r="Y395" s="11" t="n">
        <v>29170.17</v>
      </c>
      <c r="Z395" s="11" t="n"/>
      <c r="AA395" s="21">
        <f>T395+U395+V395+N(W395)+X395+Y395+N(Z395)</f>
        <v/>
      </c>
      <c r="AB395" s="11" t="n">
        <v>151732.0948</v>
      </c>
      <c r="AC395" s="11" t="n">
        <v>1494305.62</v>
      </c>
      <c r="AD395" s="21">
        <f>O395-Y395</f>
        <v/>
      </c>
      <c r="AE395" s="21">
        <f>P395-X395</f>
        <v/>
      </c>
      <c r="AF395" s="21">
        <f>IF(Q395="","",Q395-Z395)</f>
        <v/>
      </c>
      <c r="AG395" s="22">
        <f>AC395+AD395+AE395+N(AF395)</f>
        <v/>
      </c>
      <c r="AH395" s="11" t="n">
        <v>1214449.59</v>
      </c>
      <c r="AI395" s="24">
        <f>AG395-AH395</f>
        <v/>
      </c>
      <c r="AJ395" s="14">
        <f>IF(OR(B395="",B395=0,N395=""),"",N395/B395*10000)</f>
        <v/>
      </c>
      <c r="AK395" s="14">
        <f>IF(OR(C395="",C395=0),"",O395/C395*10000)</f>
        <v/>
      </c>
      <c r="AL395" s="14">
        <f>IF(OR(D395="",D395=0),"",P395/D395*10000)</f>
        <v/>
      </c>
      <c r="AM395" s="14">
        <f>IF(OR(E395="",E395=0),"",Q395/E395*10000)</f>
        <v/>
      </c>
      <c r="AN395" s="11" t="n">
        <v>7434.633291901378</v>
      </c>
      <c r="AO395" s="11" t="n">
        <v>12191.14</v>
      </c>
      <c r="AP395" s="21">
        <f>AH395+AN395+AO395</f>
        <v/>
      </c>
      <c r="AQ395" s="21">
        <f>AH395</f>
        <v/>
      </c>
      <c r="AR395" s="15" t="n">
        <v>48626.65</v>
      </c>
      <c r="AS395" s="27" t="n">
        <v>24.974979</v>
      </c>
      <c r="AT395" s="15" t="n">
        <v>37668066.45255512</v>
      </c>
      <c r="AU395" s="15" t="n">
        <v>26461.3247</v>
      </c>
      <c r="AV395" s="15" t="n">
        <v>1906.2574</v>
      </c>
      <c r="AW395" s="15" t="n"/>
      <c r="AX395" s="16" t="n">
        <v>433.7860021564215</v>
      </c>
      <c r="AY395" s="13">
        <f>IF(OR(AX395="",AX395=0,AU395=""),"",AU395*365/(AX395*1000000))</f>
        <v/>
      </c>
      <c r="AZ395" s="15" t="n">
        <v>418551253.8839</v>
      </c>
      <c r="BA395" s="17" t="n">
        <v>60487233</v>
      </c>
      <c r="BB395" s="18" t="n">
        <v>37668066.45255512</v>
      </c>
      <c r="BC395" s="17" t="n">
        <v>2971663</v>
      </c>
      <c r="BD395" s="17">
        <f>1000000000-999455386.6356+189954.6562</f>
        <v/>
      </c>
      <c r="BE395" s="19">
        <f>1000000000-AZ395-BA395-BB395-BC395-BD395</f>
        <v/>
      </c>
      <c r="BF395" s="20" t="n">
        <v>236.254254</v>
      </c>
      <c r="BG395" s="20">
        <f>BE395/1000000-BF395</f>
        <v/>
      </c>
      <c r="BH395" s="21">
        <f>BE395*24.6</f>
        <v/>
      </c>
    </row>
    <row r="396">
      <c r="A396" s="10" t="n">
        <v>46018</v>
      </c>
      <c r="B396" s="11" t="n">
        <v>1337033522</v>
      </c>
      <c r="C396" s="11" t="n">
        <v>63480687.54</v>
      </c>
      <c r="D396" s="11" t="n">
        <v>84032700</v>
      </c>
      <c r="E396" s="11" t="n"/>
      <c r="F396" s="24" t="n">
        <v>10030232.87184334</v>
      </c>
      <c r="G396" s="24" t="n">
        <v>14289763.02989626</v>
      </c>
      <c r="H396" s="24" t="n">
        <v>79503.2182092186</v>
      </c>
      <c r="I396" s="24" t="n">
        <v>31348046.13833666</v>
      </c>
      <c r="J396" s="24" t="n">
        <v>880963.5435870428</v>
      </c>
      <c r="K396" s="24" t="n">
        <v>6852178.738127477</v>
      </c>
      <c r="L396" s="21">
        <f>SUM(F396:K396)</f>
        <v/>
      </c>
      <c r="M396" s="28" t="n">
        <v>1.006491026536021</v>
      </c>
      <c r="N396" s="11" t="n">
        <v>463938.63</v>
      </c>
      <c r="O396" s="11" t="n">
        <v>29373.94</v>
      </c>
      <c r="P396" s="11" t="n">
        <v>64624.11</v>
      </c>
      <c r="Q396" s="11" t="n"/>
      <c r="R396" s="21">
        <f>N396+O396+P396+N(Q396)</f>
        <v/>
      </c>
      <c r="S396" s="13" t="n">
        <v>0.01</v>
      </c>
      <c r="T396" s="21">
        <f>N(AC396)*S396</f>
        <v/>
      </c>
      <c r="U396" s="21">
        <f>N(AD396)*S396</f>
        <v/>
      </c>
      <c r="V396" s="21">
        <f>N(AE396)*S396</f>
        <v/>
      </c>
      <c r="W396" s="21">
        <f>IF(Q396="","",N(AF396)*S396)</f>
        <v/>
      </c>
      <c r="X396" s="11" t="n">
        <v>12834.45</v>
      </c>
      <c r="Y396" s="11" t="n">
        <v>14686.97</v>
      </c>
      <c r="Z396" s="11" t="n"/>
      <c r="AA396" s="21">
        <f>T396+U396+V396+N(W396)+X396+Y396+N(Z396)</f>
        <v/>
      </c>
      <c r="AB396" s="11" t="n">
        <v>63318.39640000001</v>
      </c>
      <c r="AC396" s="11" t="n">
        <v>463938.63</v>
      </c>
      <c r="AD396" s="21">
        <f>O396-Y396</f>
        <v/>
      </c>
      <c r="AE396" s="21">
        <f>P396-X396</f>
        <v/>
      </c>
      <c r="AF396" s="21">
        <f>IF(Q396="","",Q396-Z396)</f>
        <v/>
      </c>
      <c r="AG396" s="22">
        <f>AC396+AD396+AE396+N(AF396)</f>
        <v/>
      </c>
      <c r="AH396" s="11" t="n">
        <v>442768.92</v>
      </c>
      <c r="AI396" s="24">
        <f>AG396-AH396</f>
        <v/>
      </c>
      <c r="AJ396" s="14">
        <f>IF(OR(B396="",B396=0,N396=""),"",N396/B396*10000)</f>
        <v/>
      </c>
      <c r="AK396" s="14">
        <f>IF(OR(C396="",C396=0),"",O396/C396*10000)</f>
        <v/>
      </c>
      <c r="AL396" s="14">
        <f>IF(OR(D396="",D396=0),"",P396/D396*10000)</f>
        <v/>
      </c>
      <c r="AM396" s="14">
        <f>IF(OR(E396="",E396=0),"",Q396/E396*10000)</f>
        <v/>
      </c>
      <c r="AN396" s="11" t="n">
        <v>6914.044499406487</v>
      </c>
      <c r="AO396" s="11" t="n">
        <v>0</v>
      </c>
      <c r="AP396" s="21">
        <f>AH396+AN396+AO396</f>
        <v/>
      </c>
      <c r="AQ396" s="21">
        <f>AH396</f>
        <v/>
      </c>
      <c r="AR396" s="15" t="n">
        <v>17114.12</v>
      </c>
      <c r="AS396" s="27" t="n">
        <v>25.871556</v>
      </c>
      <c r="AT396" s="15" t="n">
        <v>37683708.12255512</v>
      </c>
      <c r="AU396" s="15" t="n">
        <v>26462.3171</v>
      </c>
      <c r="AV396" s="15" t="n">
        <v>822.3167999999999</v>
      </c>
      <c r="AW396" s="15" t="n"/>
      <c r="AX396" s="16" t="n">
        <v>433.9105961718108</v>
      </c>
      <c r="AY396" s="13">
        <f>IF(OR(AX396="",AX396=0,AU396=""),"",AU396*365/(AX396*1000000))</f>
        <v/>
      </c>
      <c r="AZ396" s="15" t="n">
        <v>418524791.5668</v>
      </c>
      <c r="BA396" s="17" t="n">
        <v>60487233</v>
      </c>
      <c r="BB396" s="18" t="n">
        <v>37683708.12255512</v>
      </c>
      <c r="BC396" s="17" t="n">
        <v>2971663</v>
      </c>
      <c r="BD396" s="17">
        <f>1000000000-999454564.3189+190224.8521</f>
        <v/>
      </c>
      <c r="BE396" s="19">
        <f>1000000000-AZ396-BA396-BB396-BC396-BD396</f>
        <v/>
      </c>
      <c r="BF396" s="20" t="n">
        <v>236.254254</v>
      </c>
      <c r="BG396" s="20">
        <f>BE396/1000000-BF396</f>
        <v/>
      </c>
      <c r="BH396" s="21">
        <f>BE396*25.59</f>
        <v/>
      </c>
    </row>
    <row r="397">
      <c r="A397" s="10" t="n">
        <v>46019</v>
      </c>
      <c r="B397" s="11" t="n">
        <v>1862120382</v>
      </c>
      <c r="C397" s="11" t="n">
        <v>76443668.01000001</v>
      </c>
      <c r="D397" s="11" t="n">
        <v>109197976</v>
      </c>
      <c r="E397" s="11" t="n"/>
      <c r="F397" s="24" t="n">
        <v>21626710.90572154</v>
      </c>
      <c r="G397" s="24" t="n">
        <v>9819019.160159446</v>
      </c>
      <c r="H397" s="24" t="n">
        <v>72345.53108725084</v>
      </c>
      <c r="I397" s="24" t="n">
        <v>30935604.84247446</v>
      </c>
      <c r="J397" s="24" t="n">
        <v>89077.75465915081</v>
      </c>
      <c r="K397" s="24" t="n">
        <v>13900909.81589815</v>
      </c>
      <c r="L397" s="21">
        <f>SUM(F397:K397)</f>
        <v/>
      </c>
      <c r="M397" s="28" t="n">
        <v>1.170776111962377</v>
      </c>
      <c r="N397" s="11" t="n">
        <v>596385.9300000001</v>
      </c>
      <c r="O397" s="11" t="n">
        <v>25828.76</v>
      </c>
      <c r="P397" s="11" t="n">
        <v>76888.64</v>
      </c>
      <c r="Q397" s="11" t="n"/>
      <c r="R397" s="21">
        <f>N397+O397+P397+N(Q397)</f>
        <v/>
      </c>
      <c r="S397" s="13" t="n">
        <v>0.01</v>
      </c>
      <c r="T397" s="21">
        <f>N(AC397)*S397</f>
        <v/>
      </c>
      <c r="U397" s="21">
        <f>N(AD397)*S397</f>
        <v/>
      </c>
      <c r="V397" s="21">
        <f>N(AE397)*S397</f>
        <v/>
      </c>
      <c r="W397" s="21">
        <f>IF(Q397="","",N(AF397)*S397)</f>
        <v/>
      </c>
      <c r="X397" s="11" t="n">
        <v>19819.73</v>
      </c>
      <c r="Y397" s="11" t="n">
        <v>12914.38</v>
      </c>
      <c r="Z397" s="11" t="n"/>
      <c r="AA397" s="21">
        <f>T397+U397+V397+N(W397)+X397+Y397+N(Z397)</f>
        <v/>
      </c>
      <c r="AB397" s="11" t="n">
        <v>68190.01089999999</v>
      </c>
      <c r="AC397" s="11" t="n">
        <v>596385.9300000001</v>
      </c>
      <c r="AD397" s="21">
        <f>O397-Y397</f>
        <v/>
      </c>
      <c r="AE397" s="21">
        <f>P397-X397</f>
        <v/>
      </c>
      <c r="AF397" s="21">
        <f>IF(Q397="","",Q397-Z397)</f>
        <v/>
      </c>
      <c r="AG397" s="22">
        <f>AC397+AD397+AE397+N(AF397)</f>
        <v/>
      </c>
      <c r="AH397" s="11" t="n">
        <v>475895.45</v>
      </c>
      <c r="AI397" s="24">
        <f>AG397-AH397</f>
        <v/>
      </c>
      <c r="AJ397" s="14">
        <f>IF(OR(B397="",B397=0,N397=""),"",N397/B397*10000)</f>
        <v/>
      </c>
      <c r="AK397" s="14">
        <f>IF(OR(C397="",C397=0),"",O397/C397*10000)</f>
        <v/>
      </c>
      <c r="AL397" s="14">
        <f>IF(OR(D397="",D397=0),"",P397/D397*10000)</f>
        <v/>
      </c>
      <c r="AM397" s="14">
        <f>IF(OR(E397="",E397=0),"",Q397/E397*10000)</f>
        <v/>
      </c>
      <c r="AN397" s="11" t="n">
        <v>7072.402556906019</v>
      </c>
      <c r="AO397" s="11" t="n">
        <v>17124.9</v>
      </c>
      <c r="AP397" s="21">
        <f>AH397+AN397+AO397</f>
        <v/>
      </c>
      <c r="AQ397" s="21">
        <f>AH397</f>
        <v/>
      </c>
      <c r="AR397" s="15" t="n">
        <v>18579.37</v>
      </c>
      <c r="AS397" s="27" t="n">
        <v>25.614187</v>
      </c>
      <c r="AT397" s="15" t="n">
        <v>37705705.99255512</v>
      </c>
      <c r="AU397" s="15" t="n">
        <v>26467.9072</v>
      </c>
      <c r="AV397" s="15" t="n">
        <v>1294.7145</v>
      </c>
      <c r="AW397" s="15" t="n"/>
      <c r="AX397" s="16" t="n">
        <v>434.1243345856955</v>
      </c>
      <c r="AY397" s="13">
        <f>IF(OR(AX397="",AX397=0,AU397=""),"",AU397*365/(AX397*1000000))</f>
        <v/>
      </c>
      <c r="AZ397" s="15" t="n">
        <v>418498323.6597</v>
      </c>
      <c r="BA397" s="17" t="n">
        <v>60487233</v>
      </c>
      <c r="BB397" s="18" t="n">
        <v>37705705.99255512</v>
      </c>
      <c r="BC397" s="17" t="n">
        <v>2971663</v>
      </c>
      <c r="BD397" s="17">
        <f>1000000000-999453269.6043+190497.8125</f>
        <v/>
      </c>
      <c r="BE397" s="19">
        <f>1000000000-AZ397-BA397-BB397-BC397-BD397</f>
        <v/>
      </c>
      <c r="BF397" s="20" t="n">
        <v>236.254254</v>
      </c>
      <c r="BG397" s="20">
        <f>BE397/1000000-BF397</f>
        <v/>
      </c>
      <c r="BH397" s="21">
        <f>BE397*25.9</f>
        <v/>
      </c>
    </row>
    <row r="398">
      <c r="A398" s="10" t="n">
        <v>46020</v>
      </c>
      <c r="B398" s="11" t="n">
        <v>6669017442</v>
      </c>
      <c r="C398" s="11" t="n">
        <v>297968898.32</v>
      </c>
      <c r="D398" s="11" t="n">
        <v>138636841</v>
      </c>
      <c r="E398" s="11" t="n"/>
      <c r="F398" s="24" t="n">
        <v>93440911.02155532</v>
      </c>
      <c r="G398" s="24" t="n">
        <v>14055284.11250024</v>
      </c>
      <c r="H398" s="24" t="n">
        <v>1162617.788543887</v>
      </c>
      <c r="I398" s="24" t="n">
        <v>127932766.9773546</v>
      </c>
      <c r="J398" s="24" t="n">
        <v>71686.06394372843</v>
      </c>
      <c r="K398" s="24" t="n">
        <v>61305632.35610218</v>
      </c>
      <c r="L398" s="21">
        <f>SUM(F398:K398)</f>
        <v/>
      </c>
      <c r="M398" s="28" t="n">
        <v>0.9651754861433046</v>
      </c>
      <c r="N398" s="11" t="n">
        <v>2055082.84</v>
      </c>
      <c r="O398" s="11" t="n">
        <v>76938.58</v>
      </c>
      <c r="P398" s="11" t="n">
        <v>96697.17000000001</v>
      </c>
      <c r="Q398" s="11" t="n"/>
      <c r="R398" s="21">
        <f>N398+O398+P398+N(Q398)</f>
        <v/>
      </c>
      <c r="S398" s="13" t="n">
        <v>0.01</v>
      </c>
      <c r="T398" s="21">
        <f>N(AC398)*S398</f>
        <v/>
      </c>
      <c r="U398" s="21">
        <f>N(AD398)*S398</f>
        <v/>
      </c>
      <c r="V398" s="21">
        <f>N(AE398)*S398</f>
        <v/>
      </c>
      <c r="W398" s="21">
        <f>IF(Q398="","",N(AF398)*S398)</f>
        <v/>
      </c>
      <c r="X398" s="11" t="n">
        <v>21904.18</v>
      </c>
      <c r="Y398" s="11" t="n">
        <v>38469.29</v>
      </c>
      <c r="Z398" s="11" t="n"/>
      <c r="AA398" s="21">
        <f>T398+U398+V398+N(W398)+X398+Y398+N(Z398)</f>
        <v/>
      </c>
      <c r="AB398" s="11" t="n">
        <v>179739.6547</v>
      </c>
      <c r="AC398" s="11" t="n">
        <v>2055082.84</v>
      </c>
      <c r="AD398" s="21">
        <f>O398-Y398</f>
        <v/>
      </c>
      <c r="AE398" s="21">
        <f>P398-X398</f>
        <v/>
      </c>
      <c r="AF398" s="21">
        <f>IF(Q398="","",Q398-Z398)</f>
        <v/>
      </c>
      <c r="AG398" s="22">
        <f>AC398+AD398+AE398+N(AF398)</f>
        <v/>
      </c>
      <c r="AH398" s="11" t="n">
        <v>1939785.77</v>
      </c>
      <c r="AI398" s="24">
        <f>AG398-AH398</f>
        <v/>
      </c>
      <c r="AJ398" s="14">
        <f>IF(OR(B398="",B398=0,N398=""),"",N398/B398*10000)</f>
        <v/>
      </c>
      <c r="AK398" s="14">
        <f>IF(OR(C398="",C398=0),"",O398/C398*10000)</f>
        <v/>
      </c>
      <c r="AL398" s="14">
        <f>IF(OR(D398="",D398=0),"",P398/D398*10000)</f>
        <v/>
      </c>
      <c r="AM398" s="14">
        <f>IF(OR(E398="",E398=0),"",Q398/E398*10000)</f>
        <v/>
      </c>
      <c r="AN398" s="11" t="n">
        <v>13996.47333149521</v>
      </c>
      <c r="AO398" s="11" t="n">
        <v>18205.8</v>
      </c>
      <c r="AP398" s="21">
        <f>AH398+AN398+AO398</f>
        <v/>
      </c>
      <c r="AQ398" s="21">
        <f>AH398</f>
        <v/>
      </c>
      <c r="AR398" s="15" t="n">
        <v>75103.94</v>
      </c>
      <c r="AS398" s="27" t="n">
        <v>25.828016</v>
      </c>
      <c r="AT398" s="15" t="n">
        <v>37777472.31255512</v>
      </c>
      <c r="AU398" s="15" t="n">
        <v>26457.1114</v>
      </c>
      <c r="AV398" s="15" t="n">
        <v>2123.1129</v>
      </c>
      <c r="AW398" s="15" t="n"/>
      <c r="AX398" s="16" t="n">
        <v>432.7750798851838</v>
      </c>
      <c r="AY398" s="13">
        <f>IF(OR(AX398="",AX398=0,AU398=""),"",AU398*365/(AX398*1000000))</f>
        <v/>
      </c>
      <c r="AZ398" s="15" t="n">
        <v>418471866.5483</v>
      </c>
      <c r="BA398" s="17" t="n">
        <v>60487233</v>
      </c>
      <c r="BB398" s="18" t="n">
        <v>37777472.31255512</v>
      </c>
      <c r="BC398" s="17" t="n">
        <v>2971663</v>
      </c>
      <c r="BD398" s="17">
        <f>1000000000-999451146.4914+191043.5691</f>
        <v/>
      </c>
      <c r="BE398" s="19">
        <f>1000000000-AZ398-BA398-BB398-BC398-BD398</f>
        <v/>
      </c>
      <c r="BF398" s="20" t="n">
        <v>236.254254</v>
      </c>
      <c r="BG398" s="20">
        <f>BE398/1000000-BF398</f>
        <v/>
      </c>
      <c r="BH398" s="21">
        <f>BE398*25.59</f>
        <v/>
      </c>
    </row>
    <row r="399">
      <c r="A399" s="10" t="n">
        <v>46021</v>
      </c>
      <c r="B399" s="11" t="n">
        <v>3762294520</v>
      </c>
      <c r="C399" s="11" t="n">
        <v>317454938.76</v>
      </c>
      <c r="D399" s="11" t="n">
        <v>149349790</v>
      </c>
      <c r="E399" s="11" t="n"/>
      <c r="F399" s="24" t="n">
        <v>55934317.03021989</v>
      </c>
      <c r="G399" s="24" t="n">
        <v>12010179.53731688</v>
      </c>
      <c r="H399" s="24" t="n">
        <v>1127804.419531301</v>
      </c>
      <c r="I399" s="24" t="n">
        <v>192232576.2313919</v>
      </c>
      <c r="J399" s="24" t="n">
        <v>42030.69117431492</v>
      </c>
      <c r="K399" s="24" t="n">
        <v>56108030.85036576</v>
      </c>
      <c r="L399" s="21">
        <f>SUM(F399:K399)</f>
        <v/>
      </c>
      <c r="M399" s="28" t="n">
        <v>1.022313041630291</v>
      </c>
      <c r="N399" s="11" t="n">
        <v>1283297.95</v>
      </c>
      <c r="O399" s="11" t="n">
        <v>55231.84</v>
      </c>
      <c r="P399" s="11" t="n">
        <v>108748.98</v>
      </c>
      <c r="Q399" s="11" t="n"/>
      <c r="R399" s="21">
        <f>N399+O399+P399+N(Q399)</f>
        <v/>
      </c>
      <c r="S399" s="13" t="n">
        <v>0.01</v>
      </c>
      <c r="T399" s="21">
        <f>N(AC399)*S399</f>
        <v/>
      </c>
      <c r="U399" s="21">
        <f>N(AD399)*S399</f>
        <v/>
      </c>
      <c r="V399" s="21">
        <f>N(AE399)*S399</f>
        <v/>
      </c>
      <c r="W399" s="21">
        <f>IF(Q399="","",N(AF399)*S399)</f>
        <v/>
      </c>
      <c r="X399" s="11" t="n">
        <v>24714.72</v>
      </c>
      <c r="Y399" s="11" t="n">
        <v>27615.92</v>
      </c>
      <c r="Z399" s="11" t="n"/>
      <c r="AA399" s="21">
        <f>T399+U399+V399+N(W399)+X399+Y399+N(Z399)</f>
        <v/>
      </c>
      <c r="AB399" s="11" t="n">
        <v>144842.0403</v>
      </c>
      <c r="AC399" s="11" t="n">
        <v>1283297.95</v>
      </c>
      <c r="AD399" s="21">
        <f>O399-Y399</f>
        <v/>
      </c>
      <c r="AE399" s="21">
        <f>P399-X399</f>
        <v/>
      </c>
      <c r="AF399" s="21">
        <f>IF(Q399="","",Q399-Z399)</f>
        <v/>
      </c>
      <c r="AG399" s="22">
        <f>AC399+AD399+AE399+N(AF399)</f>
        <v/>
      </c>
      <c r="AH399" s="11" t="n">
        <v>1094242.8</v>
      </c>
      <c r="AI399" s="24">
        <f>AG399-AH399</f>
        <v/>
      </c>
      <c r="AJ399" s="14">
        <f>IF(OR(B399="",B399=0,N399=""),"",N399/B399*10000)</f>
        <v/>
      </c>
      <c r="AK399" s="14">
        <f>IF(OR(C399="",C399=0),"",O399/C399*10000)</f>
        <v/>
      </c>
      <c r="AL399" s="14">
        <f>IF(OR(D399="",D399=0),"",P399/D399*10000)</f>
        <v/>
      </c>
      <c r="AM399" s="14">
        <f>IF(OR(E399="",E399=0),"",Q399/E399*10000)</f>
        <v/>
      </c>
      <c r="AN399" s="11" t="n">
        <v>8739.876968668943</v>
      </c>
      <c r="AO399" s="11" t="n">
        <v>0</v>
      </c>
      <c r="AP399" s="21">
        <f>AH399+AN399+AO399</f>
        <v/>
      </c>
      <c r="AQ399" s="21">
        <f>AH399</f>
        <v/>
      </c>
      <c r="AR399" s="15" t="n">
        <v>42418.7</v>
      </c>
      <c r="AS399" s="27" t="n">
        <v>25.796236</v>
      </c>
      <c r="AT399" s="15" t="n">
        <v>37820327.28255512</v>
      </c>
      <c r="AU399" s="15" t="n">
        <v>26422.7486</v>
      </c>
      <c r="AV399" s="15" t="n">
        <v>2325.3605</v>
      </c>
      <c r="AW399" s="15" t="n"/>
      <c r="AX399" s="16" t="n">
        <v>432.7062509106373</v>
      </c>
      <c r="AY399" s="13">
        <f>IF(OR(AX399="",AX399=0,AU399=""),"",AU399*365/(AX399*1000000))</f>
        <v/>
      </c>
      <c r="AZ399" s="15" t="n">
        <v>418445443.7997</v>
      </c>
      <c r="BA399" s="17" t="n">
        <v>60487233</v>
      </c>
      <c r="BB399" s="18" t="n">
        <v>37820327.28255512</v>
      </c>
      <c r="BC399" s="17" t="n">
        <v>2971663</v>
      </c>
      <c r="BD399" s="17">
        <f>1000000000-999448821.1309+191383.6421</f>
        <v/>
      </c>
      <c r="BE399" s="19">
        <f>1000000000-AZ399-BA399-BB399-BC399-BD399</f>
        <v/>
      </c>
      <c r="BF399" s="20" t="n">
        <v>236.254254</v>
      </c>
      <c r="BG399" s="20">
        <f>BE399/1000000-BF399</f>
        <v/>
      </c>
      <c r="BH399" s="21">
        <f>BE399*25.73</f>
        <v/>
      </c>
    </row>
    <row r="400">
      <c r="A400" s="10" t="n">
        <v>46022</v>
      </c>
      <c r="B400" s="11" t="n">
        <v>3106935602</v>
      </c>
      <c r="C400" s="11" t="n">
        <v>232077353.71</v>
      </c>
      <c r="D400" s="11" t="n">
        <v>158618904</v>
      </c>
      <c r="E400" s="11" t="n"/>
      <c r="F400" s="24" t="n">
        <v>56566350.63936725</v>
      </c>
      <c r="G400" s="24" t="n">
        <v>8584631.905903049</v>
      </c>
      <c r="H400" s="24" t="n">
        <v>1135546.981526393</v>
      </c>
      <c r="I400" s="24" t="n">
        <v>105168864.756584</v>
      </c>
      <c r="J400" s="24" t="n">
        <v>250668.5221936395</v>
      </c>
      <c r="K400" s="24" t="n">
        <v>60371290.90442567</v>
      </c>
      <c r="L400" s="21">
        <f>SUM(F400:K400)</f>
        <v/>
      </c>
      <c r="M400" s="28" t="n">
        <v>0.968808535305287</v>
      </c>
      <c r="N400" s="11" t="n">
        <v>1043136.13</v>
      </c>
      <c r="O400" s="11" t="n">
        <v>47119.88</v>
      </c>
      <c r="P400" s="11" t="n">
        <v>117733.95</v>
      </c>
      <c r="Q400" s="11" t="n"/>
      <c r="R400" s="21">
        <f>N400+O400+P400+N(Q400)</f>
        <v/>
      </c>
      <c r="S400" s="13" t="n">
        <v>0.01</v>
      </c>
      <c r="T400" s="21">
        <f>N(AC400)*S400</f>
        <v/>
      </c>
      <c r="U400" s="21">
        <f>N(AD400)*S400</f>
        <v/>
      </c>
      <c r="V400" s="21">
        <f>N(AE400)*S400</f>
        <v/>
      </c>
      <c r="W400" s="21">
        <f>IF(Q400="","",N(AF400)*S400)</f>
        <v/>
      </c>
      <c r="X400" s="11" t="n">
        <v>24999.44</v>
      </c>
      <c r="Y400" s="11" t="n">
        <v>23559.94</v>
      </c>
      <c r="Z400" s="11" t="n"/>
      <c r="AA400" s="21">
        <f>T400+U400+V400+N(W400)+X400+Y400+N(Z400)</f>
        <v/>
      </c>
      <c r="AB400" s="11" t="n">
        <v>134476.5757</v>
      </c>
      <c r="AC400" s="11" t="n">
        <v>1043136.13</v>
      </c>
      <c r="AD400" s="21">
        <f>O400-Y400</f>
        <v/>
      </c>
      <c r="AE400" s="21">
        <f>P400-X400</f>
        <v/>
      </c>
      <c r="AF400" s="21">
        <f>IF(Q400="","",Q400-Z400)</f>
        <v/>
      </c>
      <c r="AG400" s="22">
        <f>AC400+AD400+AE400+N(AF400)</f>
        <v/>
      </c>
      <c r="AH400" s="11" t="n">
        <v>925782.04</v>
      </c>
      <c r="AI400" s="24">
        <f>AG400-AH400</f>
        <v/>
      </c>
      <c r="AJ400" s="14">
        <f>IF(OR(B400="",B400=0,N400=""),"",N400/B400*10000)</f>
        <v/>
      </c>
      <c r="AK400" s="14">
        <f>IF(OR(C400="",C400=0),"",O400/C400*10000)</f>
        <v/>
      </c>
      <c r="AL400" s="14">
        <f>IF(OR(D400="",D400=0),"",P400/D400*10000)</f>
        <v/>
      </c>
      <c r="AM400" s="14">
        <f>IF(OR(E400="",E400=0),"",Q400/E400*10000)</f>
        <v/>
      </c>
      <c r="AN400" s="11" t="n">
        <v>5715.616633279446</v>
      </c>
      <c r="AO400" s="11" t="n">
        <v>14290.87</v>
      </c>
      <c r="AP400" s="21">
        <f>AH400+AN400+AO400</f>
        <v/>
      </c>
      <c r="AQ400" s="21">
        <f>AH400</f>
        <v/>
      </c>
      <c r="AR400" s="15" t="n">
        <v>35871.89</v>
      </c>
      <c r="AS400" s="27" t="n">
        <v>25.808009</v>
      </c>
      <c r="AT400" s="15" t="n">
        <v>37855111.82255512</v>
      </c>
      <c r="AU400" s="15" t="n">
        <v>26413.0512</v>
      </c>
      <c r="AV400" s="15" t="n">
        <v>1757.3829</v>
      </c>
      <c r="AW400" s="15" t="n"/>
      <c r="AX400" s="16" t="n">
        <v>432.3216536987692</v>
      </c>
      <c r="AY400" s="13">
        <f>IF(OR(AX400="",AX400=0,AU400=""),"",AU400*365/(AX400*1000000))</f>
        <v/>
      </c>
      <c r="AZ400" s="15" t="n">
        <v>418419030.7485</v>
      </c>
      <c r="BA400" s="17" t="n">
        <v>60487233</v>
      </c>
      <c r="BB400" s="18" t="n">
        <v>37855111.82255512</v>
      </c>
      <c r="BC400" s="17" t="n">
        <v>2971663</v>
      </c>
      <c r="BD400" s="17">
        <f>1000000000-999447063.7481+191604.6038</f>
        <v/>
      </c>
      <c r="BE400" s="19">
        <f>1000000000-AZ400-BA400-BB400-BC400-BD400</f>
        <v/>
      </c>
      <c r="BF400" s="20" t="n">
        <v>236.254254</v>
      </c>
      <c r="BG400" s="20">
        <f>BE400/1000000-BF400</f>
        <v/>
      </c>
      <c r="BH400" s="21">
        <f>BE400*25.86</f>
        <v/>
      </c>
    </row>
    <row r="401">
      <c r="A401" s="10" t="n">
        <v>46023</v>
      </c>
      <c r="B401" s="11" t="n">
        <v>2213556784</v>
      </c>
      <c r="C401" s="11" t="n">
        <v>61687444.49</v>
      </c>
      <c r="D401" s="11" t="n">
        <v>150350090</v>
      </c>
      <c r="E401" s="11" t="n"/>
      <c r="F401" s="24" t="n">
        <v>7233694.592561975</v>
      </c>
      <c r="G401" s="24" t="n">
        <v>7930199.813853762</v>
      </c>
      <c r="H401" s="24" t="n">
        <v>305076.3754233224</v>
      </c>
      <c r="I401" s="24" t="n">
        <v>36196787.95499191</v>
      </c>
      <c r="J401" s="24" t="n">
        <v>137281.5717382079</v>
      </c>
      <c r="K401" s="24" t="n">
        <v>9884404.181430832</v>
      </c>
      <c r="L401" s="21">
        <f>SUM(F401:K401)</f>
        <v/>
      </c>
      <c r="M401" s="28" t="n">
        <v>1.02848547520848</v>
      </c>
      <c r="N401" s="11" t="n">
        <v>770769.55</v>
      </c>
      <c r="O401" s="11" t="n">
        <v>21964.72</v>
      </c>
      <c r="P401" s="11" t="n">
        <v>106160.57</v>
      </c>
      <c r="Q401" s="11" t="n"/>
      <c r="R401" s="21">
        <f>N401+O401+P401+N(Q401)</f>
        <v/>
      </c>
      <c r="S401" s="13" t="n">
        <v>0.01</v>
      </c>
      <c r="T401" s="21">
        <f>N(AC401)*S401</f>
        <v/>
      </c>
      <c r="U401" s="21">
        <f>N(AD401)*S401</f>
        <v/>
      </c>
      <c r="V401" s="21">
        <f>N(AE401)*S401</f>
        <v/>
      </c>
      <c r="W401" s="21">
        <f>IF(Q401="","",N(AF401)*S401)</f>
        <v/>
      </c>
      <c r="X401" s="11" t="n">
        <v>23965.87</v>
      </c>
      <c r="Y401" s="11" t="n">
        <v>10982.36</v>
      </c>
      <c r="Z401" s="11" t="n"/>
      <c r="AA401" s="21">
        <f>T401+U401+V401+N(W401)+X401+Y401+N(Z401)</f>
        <v/>
      </c>
      <c r="AB401" s="11" t="n">
        <v>91907.0785</v>
      </c>
      <c r="AC401" s="11" t="n">
        <v>770769.55</v>
      </c>
      <c r="AD401" s="21">
        <f>O401-Y401</f>
        <v/>
      </c>
      <c r="AE401" s="21">
        <f>P401-X401</f>
        <v/>
      </c>
      <c r="AF401" s="21">
        <f>IF(Q401="","",Q401-Z401)</f>
        <v/>
      </c>
      <c r="AG401" s="22">
        <f>AC401+AD401+AE401+N(AF401)</f>
        <v/>
      </c>
      <c r="AH401" s="11" t="n">
        <v>705293.7</v>
      </c>
      <c r="AI401" s="24">
        <f>AG401-AH401</f>
        <v/>
      </c>
      <c r="AJ401" s="14">
        <f>IF(OR(B401="",B401=0,N401=""),"",N401/B401*10000)</f>
        <v/>
      </c>
      <c r="AK401" s="14">
        <f>IF(OR(C401="",C401=0),"",O401/C401*10000)</f>
        <v/>
      </c>
      <c r="AL401" s="14">
        <f>IF(OR(D401="",D401=0),"",P401/D401*10000)</f>
        <v/>
      </c>
      <c r="AM401" s="14">
        <f>IF(OR(E401="",E401=0),"",Q401/E401*10000)</f>
        <v/>
      </c>
      <c r="AN401" s="11" t="n">
        <v>12253.04253594799</v>
      </c>
      <c r="AO401" s="11" t="n">
        <v>12901.52</v>
      </c>
      <c r="AP401" s="21">
        <f>AH401+AN401+AO401</f>
        <v/>
      </c>
      <c r="AQ401" s="21">
        <f>AH401</f>
        <v/>
      </c>
      <c r="AR401" s="15" t="n">
        <v>28382.23</v>
      </c>
      <c r="AS401" s="27" t="n">
        <v>24.849834</v>
      </c>
      <c r="AT401" s="15" t="n">
        <v>37884623.35255512</v>
      </c>
      <c r="AU401" s="15" t="n">
        <v>26402.7064</v>
      </c>
      <c r="AV401" s="15" t="n">
        <v>1053.6984</v>
      </c>
      <c r="AW401" s="15" t="n"/>
      <c r="AX401" s="16" t="n">
        <v>432.1448158155192</v>
      </c>
      <c r="AY401" s="13">
        <f>IF(OR(AX401="",AX401=0,AU401=""),"",AU401*365/(AX401*1000000))</f>
        <v/>
      </c>
      <c r="AZ401" s="15" t="n">
        <v>418392628.0421</v>
      </c>
      <c r="BA401" s="17" t="n">
        <v>60487233</v>
      </c>
      <c r="BB401" s="18" t="n">
        <v>37884623.35255512</v>
      </c>
      <c r="BC401" s="17" t="n">
        <v>2971663</v>
      </c>
      <c r="BD401" s="17">
        <f>1000000000-999446010.0497+192084.1937</f>
        <v/>
      </c>
      <c r="BE401" s="19">
        <f>1000000000-AZ401-BA401-BB401-BC401-BD401</f>
        <v/>
      </c>
      <c r="BF401" s="20" t="n">
        <v>236.254254</v>
      </c>
      <c r="BG401" s="20">
        <f>BE401/1000000-BF401</f>
        <v/>
      </c>
      <c r="BH401" s="21">
        <f>BE401*25.53</f>
        <v/>
      </c>
    </row>
    <row r="402">
      <c r="A402" s="10" t="n">
        <v>46024</v>
      </c>
      <c r="B402" s="11" t="n">
        <v>6739696641</v>
      </c>
      <c r="C402" s="11" t="n">
        <v>323138854.17</v>
      </c>
      <c r="D402" s="11" t="n">
        <v>167935583</v>
      </c>
      <c r="E402" s="11" t="n"/>
      <c r="F402" s="24" t="n">
        <v>41037299.44262377</v>
      </c>
      <c r="G402" s="24" t="n">
        <v>15716283.90566181</v>
      </c>
      <c r="H402" s="24" t="n">
        <v>1561988.338302823</v>
      </c>
      <c r="I402" s="24" t="n">
        <v>190020070.7248435</v>
      </c>
      <c r="J402" s="24" t="n">
        <v>83812.26959227682</v>
      </c>
      <c r="K402" s="24" t="n">
        <v>74719399.48897578</v>
      </c>
      <c r="L402" s="21">
        <f>SUM(F402:K402)</f>
        <v/>
      </c>
      <c r="M402" s="28" t="n">
        <v>0.9846887752535465</v>
      </c>
      <c r="N402" s="11" t="n">
        <v>2193543.42</v>
      </c>
      <c r="O402" s="11" t="n">
        <v>60130.42</v>
      </c>
      <c r="P402" s="11" t="n">
        <v>111337.85</v>
      </c>
      <c r="Q402" s="11" t="n"/>
      <c r="R402" s="21">
        <f>N402+O402+P402+N(Q402)</f>
        <v/>
      </c>
      <c r="S402" s="13" t="n">
        <v>0.01</v>
      </c>
      <c r="T402" s="21">
        <f>N(AC402)*S402</f>
        <v/>
      </c>
      <c r="U402" s="21">
        <f>N(AD402)*S402</f>
        <v/>
      </c>
      <c r="V402" s="21">
        <f>N(AE402)*S402</f>
        <v/>
      </c>
      <c r="W402" s="21">
        <f>IF(Q402="","",N(AF402)*S402)</f>
        <v/>
      </c>
      <c r="X402" s="11" t="n">
        <v>28412.08</v>
      </c>
      <c r="Y402" s="11" t="n">
        <v>30065.21</v>
      </c>
      <c r="Z402" s="11" t="n"/>
      <c r="AA402" s="21">
        <f>T402+U402+V402+N(W402)+X402+Y402+N(Z402)</f>
        <v/>
      </c>
      <c r="AB402" s="11" t="n">
        <v>216762.6362</v>
      </c>
      <c r="AC402" s="11" t="n">
        <v>2193543.42</v>
      </c>
      <c r="AD402" s="21">
        <f>O402-Y402</f>
        <v/>
      </c>
      <c r="AE402" s="21">
        <f>P402-X402</f>
        <v/>
      </c>
      <c r="AF402" s="21">
        <f>IF(Q402="","",Q402-Z402)</f>
        <v/>
      </c>
      <c r="AG402" s="22">
        <f>AC402+AD402+AE402+N(AF402)</f>
        <v/>
      </c>
      <c r="AH402" s="11" t="n">
        <v>1898721.29</v>
      </c>
      <c r="AI402" s="24">
        <f>AG402-AH402</f>
        <v/>
      </c>
      <c r="AJ402" s="14">
        <f>IF(OR(B402="",B402=0,N402=""),"",N402/B402*10000)</f>
        <v/>
      </c>
      <c r="AK402" s="14">
        <f>IF(OR(C402="",C402=0),"",O402/C402*10000)</f>
        <v/>
      </c>
      <c r="AL402" s="14">
        <f>IF(OR(D402="",D402=0),"",P402/D402*10000)</f>
        <v/>
      </c>
      <c r="AM402" s="14">
        <f>IF(OR(E402="",E402=0),"",Q402/E402*10000)</f>
        <v/>
      </c>
      <c r="AN402" s="11" t="n">
        <v>12554.25972530847</v>
      </c>
      <c r="AO402" s="11" t="n">
        <v>0</v>
      </c>
      <c r="AP402" s="21">
        <f>AH402+AN402+AO402</f>
        <v/>
      </c>
      <c r="AQ402" s="21">
        <f>AH402</f>
        <v/>
      </c>
      <c r="AR402" s="15" t="n">
        <v>77430.46000000001</v>
      </c>
      <c r="AS402" s="27" t="n">
        <v>24.521633</v>
      </c>
      <c r="AT402" s="15" t="n">
        <v>37961240.11255512</v>
      </c>
      <c r="AU402" s="15" t="n">
        <v>26401.8144</v>
      </c>
      <c r="AV402" s="15" t="n">
        <v>2093.0828</v>
      </c>
      <c r="AW402" s="15" t="n"/>
      <c r="AX402" s="16" t="n">
        <v>432.1400064203281</v>
      </c>
      <c r="AY402" s="13">
        <f>IF(OR(AX402="",AX402=0,AU402=""),"",AU402*365/(AX402*1000000))</f>
        <v/>
      </c>
      <c r="AZ402" s="15" t="n">
        <v>418366226.2277</v>
      </c>
      <c r="BA402" s="17" t="n">
        <v>60487233</v>
      </c>
      <c r="BB402" s="18" t="n">
        <v>37961240.11255512</v>
      </c>
      <c r="BC402" s="17" t="n">
        <v>2971663</v>
      </c>
      <c r="BD402" s="17">
        <f>1000000000-999443916.9669+192601.1065</f>
        <v/>
      </c>
      <c r="BE402" s="19">
        <f>1000000000-AZ402-BA402-BB402-BC402-BD402</f>
        <v/>
      </c>
      <c r="BF402" s="20" t="n">
        <v>236.254254</v>
      </c>
      <c r="BG402" s="20">
        <f>BE402/1000000-BF402</f>
        <v/>
      </c>
      <c r="BH402" s="21">
        <f>BE402*24.29</f>
        <v/>
      </c>
    </row>
    <row r="403">
      <c r="A403" s="10" t="n">
        <v>46025</v>
      </c>
      <c r="B403" s="11" t="n">
        <v>3230692184</v>
      </c>
      <c r="C403" s="11" t="n">
        <v>80614911.13</v>
      </c>
      <c r="D403" s="11" t="n">
        <v>118826856</v>
      </c>
      <c r="E403" s="11" t="n"/>
      <c r="F403" s="24" t="n">
        <v>8593080.46972174</v>
      </c>
      <c r="G403" s="24" t="n">
        <v>11592087.37582591</v>
      </c>
      <c r="H403" s="24" t="n">
        <v>1275346.372299792</v>
      </c>
      <c r="I403" s="24" t="n">
        <v>38129632.18606085</v>
      </c>
      <c r="J403" s="24" t="n">
        <v>91828.96404863223</v>
      </c>
      <c r="K403" s="24" t="n">
        <v>20932935.76204309</v>
      </c>
      <c r="L403" s="21">
        <f>SUM(F403:K403)</f>
        <v/>
      </c>
      <c r="M403" s="28" t="n">
        <v>1.018037103625601</v>
      </c>
      <c r="N403" s="11" t="n">
        <v>1119941.46</v>
      </c>
      <c r="O403" s="11" t="n">
        <v>27963.4</v>
      </c>
      <c r="P403" s="11" t="n">
        <v>71739.09</v>
      </c>
      <c r="Q403" s="11" t="n"/>
      <c r="R403" s="21">
        <f>N403+O403+P403+N(Q403)</f>
        <v/>
      </c>
      <c r="S403" s="13" t="n">
        <v>0.01</v>
      </c>
      <c r="T403" s="21">
        <f>N(AC403)*S403</f>
        <v/>
      </c>
      <c r="U403" s="21">
        <f>N(AD403)*S403</f>
        <v/>
      </c>
      <c r="V403" s="21">
        <f>N(AE403)*S403</f>
        <v/>
      </c>
      <c r="W403" s="21">
        <f>IF(Q403="","",N(AF403)*S403)</f>
        <v/>
      </c>
      <c r="X403" s="11" t="n">
        <v>18694.39</v>
      </c>
      <c r="Y403" s="11" t="n">
        <v>13981.7</v>
      </c>
      <c r="Z403" s="11" t="n"/>
      <c r="AA403" s="21">
        <f>T403+U403+V403+N(W403)+X403+Y403+N(Z403)</f>
        <v/>
      </c>
      <c r="AB403" s="11" t="n">
        <v>103189.9043</v>
      </c>
      <c r="AC403" s="11" t="n">
        <v>1119941.46</v>
      </c>
      <c r="AD403" s="21">
        <f>O403-Y403</f>
        <v/>
      </c>
      <c r="AE403" s="21">
        <f>P403-X403</f>
        <v/>
      </c>
      <c r="AF403" s="21">
        <f>IF(Q403="","",Q403-Z403)</f>
        <v/>
      </c>
      <c r="AG403" s="22">
        <f>AC403+AD403+AE403+N(AF403)</f>
        <v/>
      </c>
      <c r="AH403" s="11" t="n">
        <v>1002009.44</v>
      </c>
      <c r="AI403" s="24">
        <f>AG403-AH403</f>
        <v/>
      </c>
      <c r="AJ403" s="14">
        <f>IF(OR(B403="",B403=0,N403=""),"",N403/B403*10000)</f>
        <v/>
      </c>
      <c r="AK403" s="14">
        <f>IF(OR(C403="",C403=0),"",O403/C403*10000)</f>
        <v/>
      </c>
      <c r="AL403" s="14">
        <f>IF(OR(D403="",D403=0),"",P403/D403*10000)</f>
        <v/>
      </c>
      <c r="AM403" s="14">
        <f>IF(OR(E403="",E403=0),"",Q403/E403*10000)</f>
        <v/>
      </c>
      <c r="AN403" s="11" t="n">
        <v>7939.062371925124</v>
      </c>
      <c r="AO403" s="11" t="n">
        <v>12392.66</v>
      </c>
      <c r="AP403" s="21">
        <f>AH403+AN403+AO403</f>
        <v/>
      </c>
      <c r="AQ403" s="21">
        <f>AH403</f>
        <v/>
      </c>
      <c r="AR403" s="15" t="n">
        <v>40475</v>
      </c>
      <c r="AS403" s="27" t="n">
        <v>24.756256</v>
      </c>
      <c r="AT403" s="15" t="n">
        <v>38005028.39255512</v>
      </c>
      <c r="AU403" s="15" t="n">
        <v>26396.0166</v>
      </c>
      <c r="AV403" s="15" t="n">
        <v>1639.5284</v>
      </c>
      <c r="AW403" s="15" t="n"/>
      <c r="AX403" s="16" t="n">
        <v>431.7486515570541</v>
      </c>
      <c r="AY403" s="13">
        <f>IF(OR(AX403="",AX403=0,AU403=""),"",AU403*365/(AX403*1000000))</f>
        <v/>
      </c>
      <c r="AZ403" s="15" t="n">
        <v>418339830.211</v>
      </c>
      <c r="BA403" s="17" t="n">
        <v>60487233</v>
      </c>
      <c r="BB403" s="18" t="n">
        <v>38005028.39255512</v>
      </c>
      <c r="BC403" s="17" t="n">
        <v>2971663</v>
      </c>
      <c r="BD403" s="17">
        <f>1000000000-999442277.4385+192924.1083</f>
        <v/>
      </c>
      <c r="BE403" s="19">
        <f>1000000000-AZ403-BA403-BB403-BC403-BD403</f>
        <v/>
      </c>
      <c r="BF403" s="20" t="n">
        <v>236.254254</v>
      </c>
      <c r="BG403" s="20">
        <f>BE403/1000000-BF403</f>
        <v/>
      </c>
      <c r="BH403" s="21">
        <f>BE403*24.58</f>
        <v/>
      </c>
    </row>
    <row r="404">
      <c r="A404" s="10" t="n">
        <v>46026</v>
      </c>
      <c r="B404" s="11" t="n">
        <v>3511211718</v>
      </c>
      <c r="C404" s="11" t="n">
        <v>77226179.75</v>
      </c>
      <c r="D404" s="11" t="n">
        <v>88312585</v>
      </c>
      <c r="E404" s="11" t="n"/>
      <c r="F404" s="24" t="n">
        <v>8586477.378956027</v>
      </c>
      <c r="G404" s="24" t="n">
        <v>14165402.64434893</v>
      </c>
      <c r="H404" s="24" t="n">
        <v>1946714.378211393</v>
      </c>
      <c r="I404" s="24" t="n">
        <v>38231569.40314273</v>
      </c>
      <c r="J404" s="24" t="n">
        <v>45953.60350716361</v>
      </c>
      <c r="K404" s="24" t="n">
        <v>14250062.34183375</v>
      </c>
      <c r="L404" s="21">
        <f>SUM(F404:K404)</f>
        <v/>
      </c>
      <c r="M404" s="28" t="n">
        <v>1.100184728584577</v>
      </c>
      <c r="N404" s="11" t="n">
        <v>1161483.16</v>
      </c>
      <c r="O404" s="11" t="n">
        <v>26176.08</v>
      </c>
      <c r="P404" s="11" t="n">
        <v>45503.43</v>
      </c>
      <c r="Q404" s="11" t="n"/>
      <c r="R404" s="21">
        <f>N404+O404+P404+N(Q404)</f>
        <v/>
      </c>
      <c r="S404" s="13" t="n">
        <v>0.01</v>
      </c>
      <c r="T404" s="21">
        <f>N(AC404)*S404</f>
        <v/>
      </c>
      <c r="U404" s="21">
        <f>N(AD404)*S404</f>
        <v/>
      </c>
      <c r="V404" s="21">
        <f>N(AE404)*S404</f>
        <v/>
      </c>
      <c r="W404" s="21">
        <f>IF(Q404="","",N(AF404)*S404)</f>
        <v/>
      </c>
      <c r="X404" s="11" t="n">
        <v>12425.35</v>
      </c>
      <c r="Y404" s="11" t="n">
        <v>13088.04</v>
      </c>
      <c r="Z404" s="11" t="n"/>
      <c r="AA404" s="21">
        <f>T404+U404+V404+N(W404)+X404+Y404+N(Z404)</f>
        <v/>
      </c>
      <c r="AB404" s="11" t="n">
        <v>93718.3317</v>
      </c>
      <c r="AC404" s="11" t="n">
        <v>1161483.16</v>
      </c>
      <c r="AD404" s="21">
        <f>O404-Y404</f>
        <v/>
      </c>
      <c r="AE404" s="21">
        <f>P404-X404</f>
        <v/>
      </c>
      <c r="AF404" s="21">
        <f>IF(Q404="","",Q404-Z404)</f>
        <v/>
      </c>
      <c r="AG404" s="22">
        <f>AC404+AD404+AE404+N(AF404)</f>
        <v/>
      </c>
      <c r="AH404" s="11" t="n">
        <v>1024144.58</v>
      </c>
      <c r="AI404" s="24">
        <f>AG404-AH404</f>
        <v/>
      </c>
      <c r="AJ404" s="14">
        <f>IF(OR(B404="",B404=0,N404=""),"",N404/B404*10000)</f>
        <v/>
      </c>
      <c r="AK404" s="14">
        <f>IF(OR(C404="",C404=0),"",O404/C404*10000)</f>
        <v/>
      </c>
      <c r="AL404" s="14">
        <f>IF(OR(D404="",D404=0),"",P404/D404*10000)</f>
        <v/>
      </c>
      <c r="AM404" s="14">
        <f>IF(OR(E404="",E404=0),"",Q404/E404*10000)</f>
        <v/>
      </c>
      <c r="AN404" s="11" t="n">
        <v>9542.379886769841</v>
      </c>
      <c r="AO404" s="11" t="n">
        <v>12835.17</v>
      </c>
      <c r="AP404" s="21">
        <f>AH404+AN404+AO404</f>
        <v/>
      </c>
      <c r="AQ404" s="21">
        <f>AH404</f>
        <v/>
      </c>
      <c r="AR404" s="15" t="n">
        <v>39990.23</v>
      </c>
      <c r="AS404" s="27" t="n">
        <v>25.60987</v>
      </c>
      <c r="AT404" s="15" t="n">
        <v>38044332.31255512</v>
      </c>
      <c r="AU404" s="15" t="n">
        <v>26350.9539</v>
      </c>
      <c r="AV404" s="15" t="n">
        <v>2062.1422</v>
      </c>
      <c r="AW404" s="15" t="n"/>
      <c r="AX404" s="16" t="n">
        <v>431.6602049894424</v>
      </c>
      <c r="AY404" s="13">
        <f>IF(OR(AX404="",AX404=0,AU404=""),"",AU404*365/(AX404*1000000))</f>
        <v/>
      </c>
      <c r="AZ404" s="15" t="n">
        <v>418313479.2572</v>
      </c>
      <c r="BA404" s="17" t="n">
        <v>60487233</v>
      </c>
      <c r="BB404" s="18" t="n">
        <v>38044332.31255512</v>
      </c>
      <c r="BC404" s="17" t="n">
        <v>2971663</v>
      </c>
      <c r="BD404" s="17">
        <f>1000000000-999440215.2962+193303.2406</f>
        <v/>
      </c>
      <c r="BE404" s="19">
        <f>1000000000-AZ404-BA404-BB404-BC404-BD404</f>
        <v/>
      </c>
      <c r="BF404" s="20" t="n">
        <v>236.254254</v>
      </c>
      <c r="BG404" s="20">
        <f>BE404/1000000-BF404</f>
        <v/>
      </c>
      <c r="BH404" s="21">
        <f>BE404*25.18</f>
        <v/>
      </c>
    </row>
    <row r="405">
      <c r="A405" s="10" t="n">
        <v>46027</v>
      </c>
      <c r="B405" s="11" t="n">
        <v>7232345681</v>
      </c>
      <c r="C405" s="11" t="n">
        <v>331117298.01</v>
      </c>
      <c r="D405" s="11" t="n">
        <v>171744707</v>
      </c>
      <c r="E405" s="11" t="n"/>
      <c r="F405" s="24" t="n">
        <v>44196621.33304394</v>
      </c>
      <c r="G405" s="24" t="n">
        <v>22089340.37536125</v>
      </c>
      <c r="H405" s="24" t="n">
        <v>1670451.150673533</v>
      </c>
      <c r="I405" s="24" t="n">
        <v>174442111.8762472</v>
      </c>
      <c r="J405" s="24" t="n">
        <v>318018.8207966714</v>
      </c>
      <c r="K405" s="24" t="n">
        <v>88400754.45387737</v>
      </c>
      <c r="L405" s="21">
        <f>SUM(F405:K405)</f>
        <v/>
      </c>
      <c r="M405" s="28" t="n">
        <v>0.993818252349836</v>
      </c>
      <c r="N405" s="11" t="n">
        <v>2356919.82</v>
      </c>
      <c r="O405" s="11" t="n">
        <v>82181.16</v>
      </c>
      <c r="P405" s="11" t="n">
        <v>91768.52</v>
      </c>
      <c r="Q405" s="11" t="n"/>
      <c r="R405" s="21">
        <f>N405+O405+P405+N(Q405)</f>
        <v/>
      </c>
      <c r="S405" s="13" t="n">
        <v>0.01</v>
      </c>
      <c r="T405" s="21">
        <f>N(AC405)*S405</f>
        <v/>
      </c>
      <c r="U405" s="21">
        <f>N(AD405)*S405</f>
        <v/>
      </c>
      <c r="V405" s="21">
        <f>N(AE405)*S405</f>
        <v/>
      </c>
      <c r="W405" s="21">
        <f>IF(Q405="","",N(AF405)*S405)</f>
        <v/>
      </c>
      <c r="X405" s="11" t="n">
        <v>22509.42</v>
      </c>
      <c r="Y405" s="11" t="n">
        <v>41090.58</v>
      </c>
      <c r="Z405" s="11" t="n"/>
      <c r="AA405" s="21">
        <f>T405+U405+V405+N(W405)+X405+Y405+N(Z405)</f>
        <v/>
      </c>
      <c r="AB405" s="11" t="n">
        <v>163479.2466</v>
      </c>
      <c r="AC405" s="11" t="n">
        <v>2356919.82</v>
      </c>
      <c r="AD405" s="21">
        <f>O405-Y405</f>
        <v/>
      </c>
      <c r="AE405" s="21">
        <f>P405-X405</f>
        <v/>
      </c>
      <c r="AF405" s="21">
        <f>IF(Q405="","",Q405-Z405)</f>
        <v/>
      </c>
      <c r="AG405" s="22">
        <f>AC405+AD405+AE405+N(AF405)</f>
        <v/>
      </c>
      <c r="AH405" s="11" t="n">
        <v>2086165.61</v>
      </c>
      <c r="AI405" s="24">
        <f>AG405-AH405</f>
        <v/>
      </c>
      <c r="AJ405" s="14">
        <f>IF(OR(B405="",B405=0,N405=""),"",N405/B405*10000)</f>
        <v/>
      </c>
      <c r="AK405" s="14">
        <f>IF(OR(C405="",C405=0),"",O405/C405*10000)</f>
        <v/>
      </c>
      <c r="AL405" s="14">
        <f>IF(OR(D405="",D405=0),"",P405/D405*10000)</f>
        <v/>
      </c>
      <c r="AM405" s="14">
        <f>IF(OR(E405="",E405=0),"",Q405/E405*10000)</f>
        <v/>
      </c>
      <c r="AN405" s="11" t="n">
        <v>17385.42542818884</v>
      </c>
      <c r="AO405" s="11" t="n">
        <v>13634.58</v>
      </c>
      <c r="AP405" s="21">
        <f>AH405+AN405+AO405</f>
        <v/>
      </c>
      <c r="AQ405" s="21">
        <f>AH405</f>
        <v/>
      </c>
      <c r="AR405" s="15" t="n">
        <v>78485.08</v>
      </c>
      <c r="AS405" s="27" t="n">
        <v>26.58041</v>
      </c>
      <c r="AT405" s="15" t="n">
        <v>38120898.50255512</v>
      </c>
      <c r="AU405" s="15" t="n">
        <v>26387.3723</v>
      </c>
      <c r="AV405" s="15" t="n">
        <v>901.9737</v>
      </c>
      <c r="AW405" s="15" t="n"/>
      <c r="AX405" s="16" t="n">
        <v>431.8697967720277</v>
      </c>
      <c r="AY405" s="13">
        <f>IF(OR(AX405="",AX405=0,AU405=""),"",AU405*365/(AX405*1000000))</f>
        <v/>
      </c>
      <c r="AZ405" s="15" t="n">
        <v>418287091.8849</v>
      </c>
      <c r="BA405" s="17" t="n">
        <v>60487233</v>
      </c>
      <c r="BB405" s="18" t="n">
        <v>38120898.50255512</v>
      </c>
      <c r="BC405" s="17" t="n">
        <v>2971663</v>
      </c>
      <c r="BD405" s="17">
        <f>1000000000-999439313.3225+193957.4428</f>
        <v/>
      </c>
      <c r="BE405" s="19">
        <f>1000000000-AZ405-BA405-BB405-BC405-BD405</f>
        <v/>
      </c>
      <c r="BF405" s="20" t="n">
        <v>236.254254</v>
      </c>
      <c r="BG405" s="20">
        <f>BE405/1000000-BF405</f>
        <v/>
      </c>
      <c r="BH405" s="21">
        <f>BE405*26.58</f>
        <v/>
      </c>
    </row>
    <row r="406">
      <c r="A406" s="10" t="n">
        <v>46028</v>
      </c>
      <c r="B406" s="11" t="n">
        <v>7918383563</v>
      </c>
      <c r="C406" s="11" t="n">
        <v>326881050.97</v>
      </c>
      <c r="D406" s="11" t="n">
        <v>210695748</v>
      </c>
      <c r="E406" s="11" t="n"/>
      <c r="F406" s="24" t="n">
        <v>69964937.71629311</v>
      </c>
      <c r="G406" s="24" t="n">
        <v>23766910.94501915</v>
      </c>
      <c r="H406" s="24" t="n">
        <v>2295783.349377081</v>
      </c>
      <c r="I406" s="24" t="n">
        <v>154657741.6518041</v>
      </c>
      <c r="J406" s="24" t="n">
        <v>482780.0729878319</v>
      </c>
      <c r="K406" s="24" t="n">
        <v>75712897.23451868</v>
      </c>
      <c r="L406" s="21">
        <f>SUM(F406:K406)</f>
        <v/>
      </c>
      <c r="M406" s="28" t="n">
        <v>1.017271970679902</v>
      </c>
      <c r="N406" s="11" t="n">
        <v>2682231.93</v>
      </c>
      <c r="O406" s="11" t="n">
        <v>90315.42</v>
      </c>
      <c r="P406" s="11" t="n">
        <v>109433.46</v>
      </c>
      <c r="Q406" s="11" t="n"/>
      <c r="R406" s="21">
        <f>N406+O406+P406+N(Q406)</f>
        <v/>
      </c>
      <c r="S406" s="13" t="n">
        <v>0.01</v>
      </c>
      <c r="T406" s="21">
        <f>N(AC406)*S406</f>
        <v/>
      </c>
      <c r="U406" s="21">
        <f>N(AD406)*S406</f>
        <v/>
      </c>
      <c r="V406" s="21">
        <f>N(AE406)*S406</f>
        <v/>
      </c>
      <c r="W406" s="21">
        <f>IF(Q406="","",N(AF406)*S406)</f>
        <v/>
      </c>
      <c r="X406" s="11" t="n">
        <v>23238.55</v>
      </c>
      <c r="Y406" s="11" t="n">
        <v>45157.71</v>
      </c>
      <c r="Z406" s="11" t="n"/>
      <c r="AA406" s="21">
        <f>T406+U406+V406+N(W406)+X406+Y406+N(Z406)</f>
        <v/>
      </c>
      <c r="AB406" s="11" t="n">
        <v>152308.9249</v>
      </c>
      <c r="AC406" s="11" t="n">
        <v>2682231.93</v>
      </c>
      <c r="AD406" s="21">
        <f>O406-Y406</f>
        <v/>
      </c>
      <c r="AE406" s="21">
        <f>P406-X406</f>
        <v/>
      </c>
      <c r="AF406" s="21">
        <f>IF(Q406="","",Q406-Z406)</f>
        <v/>
      </c>
      <c r="AG406" s="22">
        <f>AC406+AD406+AE406+N(AF406)</f>
        <v/>
      </c>
      <c r="AH406" s="11" t="n">
        <v>2374650.41</v>
      </c>
      <c r="AI406" s="24">
        <f>AG406-AH406</f>
        <v/>
      </c>
      <c r="AJ406" s="14">
        <f>IF(OR(B406="",B406=0,N406=""),"",N406/B406*10000)</f>
        <v/>
      </c>
      <c r="AK406" s="14">
        <f>IF(OR(C406="",C406=0),"",O406/C406*10000)</f>
        <v/>
      </c>
      <c r="AL406" s="14">
        <f>IF(OR(D406="",D406=0),"",P406/D406*10000)</f>
        <v/>
      </c>
      <c r="AM406" s="14">
        <f>IF(OR(E406="",E406=0),"",Q406/E406*10000)</f>
        <v/>
      </c>
      <c r="AN406" s="11" t="n">
        <v>18797.20049602149</v>
      </c>
      <c r="AO406" s="11" t="n">
        <v>16847.19</v>
      </c>
      <c r="AP406" s="21">
        <f>AH406+AN406+AO406</f>
        <v/>
      </c>
      <c r="AQ406" s="21">
        <f>AH406</f>
        <v/>
      </c>
      <c r="AR406" s="15" t="n">
        <v>88011.81</v>
      </c>
      <c r="AS406" s="27" t="n">
        <v>26.981043</v>
      </c>
      <c r="AT406" s="15" t="n">
        <v>38212022.86255512</v>
      </c>
      <c r="AU406" s="15" t="n">
        <v>26389.3646</v>
      </c>
      <c r="AV406" s="15" t="n">
        <v>2534.2663</v>
      </c>
      <c r="AW406" s="15" t="n">
        <v>1125766</v>
      </c>
      <c r="AX406" s="16" t="n">
        <v>431.3273661347142</v>
      </c>
      <c r="AY406" s="13">
        <f>IF(OR(AX406="",AX406=0,AU406=""),"",AU406*365/(AX406*1000000))</f>
        <v/>
      </c>
      <c r="AZ406" s="15" t="n">
        <v>418260702.5203</v>
      </c>
      <c r="BA406" s="17" t="n">
        <v>60487233</v>
      </c>
      <c r="BB406" s="18" t="n">
        <v>38212022.86255512</v>
      </c>
      <c r="BC406" s="17" t="n">
        <v>2971663</v>
      </c>
      <c r="BD406" s="17">
        <f>1000000000-999436779.0563+194661.2733</f>
        <v/>
      </c>
      <c r="BE406" s="19">
        <f>1000000000-AZ406-BA406-BB406-BC406-BD406</f>
        <v/>
      </c>
      <c r="BF406" s="20" t="n">
        <v>235.128488</v>
      </c>
      <c r="BG406" s="20">
        <f>BE406/1000000-BF406</f>
        <v/>
      </c>
      <c r="BH406" s="21">
        <f>BE406*26.72</f>
        <v/>
      </c>
    </row>
    <row r="407">
      <c r="A407" s="10" t="n">
        <v>46029</v>
      </c>
      <c r="B407" s="11" t="n">
        <v>6094180127</v>
      </c>
      <c r="C407" s="11" t="n">
        <v>330261614.32</v>
      </c>
      <c r="D407" s="11" t="n">
        <v>145632492</v>
      </c>
      <c r="E407" s="11" t="n"/>
      <c r="F407" s="24" t="n">
        <v>76034977.02610384</v>
      </c>
      <c r="G407" s="24" t="n">
        <v>19878716.9922305</v>
      </c>
      <c r="H407" s="24" t="n">
        <v>3506885.91396914</v>
      </c>
      <c r="I407" s="24" t="n">
        <v>149141352.3652198</v>
      </c>
      <c r="J407" s="24" t="n">
        <v>378766.925011254</v>
      </c>
      <c r="K407" s="24" t="n">
        <v>81320915.09746549</v>
      </c>
      <c r="L407" s="21">
        <f>SUM(F407:K407)</f>
        <v/>
      </c>
      <c r="M407" s="28" t="n">
        <v>0.974848245693304</v>
      </c>
      <c r="N407" s="11" t="n">
        <v>2067896.48</v>
      </c>
      <c r="O407" s="11" t="n">
        <v>77654.62</v>
      </c>
      <c r="P407" s="11" t="n">
        <v>81155.85000000001</v>
      </c>
      <c r="Q407" s="11" t="n"/>
      <c r="R407" s="21">
        <f>N407+O407+P407+N(Q407)</f>
        <v/>
      </c>
      <c r="S407" s="13" t="n">
        <v>0.01</v>
      </c>
      <c r="T407" s="21">
        <f>N(AC407)*S407</f>
        <v/>
      </c>
      <c r="U407" s="21">
        <f>N(AD407)*S407</f>
        <v/>
      </c>
      <c r="V407" s="21">
        <f>N(AE407)*S407</f>
        <v/>
      </c>
      <c r="W407" s="21">
        <f>IF(Q407="","",N(AF407)*S407)</f>
        <v/>
      </c>
      <c r="X407" s="11" t="n">
        <v>15250.33</v>
      </c>
      <c r="Y407" s="11" t="n">
        <v>38827.31</v>
      </c>
      <c r="Z407" s="11" t="n"/>
      <c r="AA407" s="21">
        <f>T407+U407+V407+N(W407)+X407+Y407+N(Z407)</f>
        <v/>
      </c>
      <c r="AB407" s="11" t="n">
        <v>130250.0977</v>
      </c>
      <c r="AC407" s="11" t="n">
        <v>2067896.48</v>
      </c>
      <c r="AD407" s="21">
        <f>O407-Y407</f>
        <v/>
      </c>
      <c r="AE407" s="21">
        <f>P407-X407</f>
        <v/>
      </c>
      <c r="AF407" s="21">
        <f>IF(Q407="","",Q407-Z407)</f>
        <v/>
      </c>
      <c r="AG407" s="22">
        <f>AC407+AD407+AE407+N(AF407)</f>
        <v/>
      </c>
      <c r="AH407" s="11" t="n">
        <v>1865729.21</v>
      </c>
      <c r="AI407" s="24">
        <f>AG407-AH407</f>
        <v/>
      </c>
      <c r="AJ407" s="14">
        <f>IF(OR(B407="",B407=0,N407=""),"",N407/B407*10000)</f>
        <v/>
      </c>
      <c r="AK407" s="14">
        <f>IF(OR(C407="",C407=0),"",O407/C407*10000)</f>
        <v/>
      </c>
      <c r="AL407" s="14">
        <f>IF(OR(D407="",D407=0),"",P407/D407*10000)</f>
        <v/>
      </c>
      <c r="AM407" s="14">
        <f>IF(OR(E407="",E407=0),"",Q407/E407*10000)</f>
        <v/>
      </c>
      <c r="AN407" s="11" t="n">
        <v>15018.5260501421</v>
      </c>
      <c r="AO407" s="11" t="n">
        <v>0</v>
      </c>
      <c r="AP407" s="21">
        <f>AH407+AN407+AO407</f>
        <v/>
      </c>
      <c r="AQ407" s="21">
        <f>AH407</f>
        <v/>
      </c>
      <c r="AR407" s="15" t="n">
        <v>68872.57000000001</v>
      </c>
      <c r="AS407" s="27" t="n">
        <v>27.089583</v>
      </c>
      <c r="AT407" s="15" t="n">
        <v>38277974.16255512</v>
      </c>
      <c r="AU407" s="15" t="n">
        <v>26373.0482</v>
      </c>
      <c r="AV407" s="15" t="n">
        <v>2947.2225</v>
      </c>
      <c r="AW407" s="15" t="n"/>
      <c r="AX407" s="16" t="n">
        <v>431.3245029100179</v>
      </c>
      <c r="AY407" s="13">
        <f>IF(OR(AX407="",AX407=0,AU407=""),"",AU407*365/(AX407*1000000))</f>
        <v/>
      </c>
      <c r="AZ407" s="15" t="n">
        <v>418234329.472</v>
      </c>
      <c r="BA407" s="17" t="n">
        <v>60487233</v>
      </c>
      <c r="BB407" s="18" t="n">
        <v>38277974.16255512</v>
      </c>
      <c r="BC407" s="17" t="n">
        <v>2971663</v>
      </c>
      <c r="BD407" s="17">
        <f>1000000000-999433831.8338+195197.4578</f>
        <v/>
      </c>
      <c r="BE407" s="19">
        <f>1000000000-AZ407-BA407-BB407-BC407-BD407</f>
        <v/>
      </c>
      <c r="BF407" s="20" t="n">
        <v>235.128488</v>
      </c>
      <c r="BG407" s="20">
        <f>BE407/1000000-BF407</f>
        <v/>
      </c>
      <c r="BH407" s="21">
        <f>BE407*28.01</f>
        <v/>
      </c>
    </row>
    <row r="408">
      <c r="A408" s="10" t="n">
        <v>46030</v>
      </c>
      <c r="B408" s="11" t="n">
        <v>7137806881</v>
      </c>
      <c r="C408" s="11" t="n">
        <v>417820832.06</v>
      </c>
      <c r="D408" s="11" t="n">
        <v>133985143</v>
      </c>
      <c r="E408" s="11" t="n"/>
      <c r="F408" s="24" t="n">
        <v>48332590.21334086</v>
      </c>
      <c r="G408" s="24" t="n">
        <v>26279187.88308049</v>
      </c>
      <c r="H408" s="24" t="n">
        <v>2291109.860942115</v>
      </c>
      <c r="I408" s="24" t="n">
        <v>211471682.4651943</v>
      </c>
      <c r="J408" s="24" t="n">
        <v>216376.1197981765</v>
      </c>
      <c r="K408" s="24" t="n">
        <v>129229885.5176441</v>
      </c>
      <c r="L408" s="21">
        <f>SUM(F408:K408)</f>
        <v/>
      </c>
      <c r="M408" s="28" t="n">
        <v>0.9994566705813266</v>
      </c>
      <c r="N408" s="11" t="n">
        <v>2294637.52</v>
      </c>
      <c r="O408" s="11" t="n">
        <v>80292.88</v>
      </c>
      <c r="P408" s="11" t="n">
        <v>69120.18000000001</v>
      </c>
      <c r="Q408" s="11" t="n"/>
      <c r="R408" s="21">
        <f>N408+O408+P408+N(Q408)</f>
        <v/>
      </c>
      <c r="S408" s="13" t="n">
        <v>0.01</v>
      </c>
      <c r="T408" s="21">
        <f>N(AC408)*S408</f>
        <v/>
      </c>
      <c r="U408" s="21">
        <f>N(AD408)*S408</f>
        <v/>
      </c>
      <c r="V408" s="21">
        <f>N(AE408)*S408</f>
        <v/>
      </c>
      <c r="W408" s="21">
        <f>IF(Q408="","",N(AF408)*S408)</f>
        <v/>
      </c>
      <c r="X408" s="11" t="n">
        <v>17584.63</v>
      </c>
      <c r="Y408" s="11" t="n">
        <v>40146.44</v>
      </c>
      <c r="Z408" s="11" t="n"/>
      <c r="AA408" s="21">
        <f>T408+U408+V408+N(W408)+X408+Y408+N(Z408)</f>
        <v/>
      </c>
      <c r="AB408" s="11" t="n">
        <v>129361.2114</v>
      </c>
      <c r="AC408" s="11" t="n">
        <v>2294637.52</v>
      </c>
      <c r="AD408" s="21">
        <f>O408-Y408</f>
        <v/>
      </c>
      <c r="AE408" s="21">
        <f>P408-X408</f>
        <v/>
      </c>
      <c r="AF408" s="21">
        <f>IF(Q408="","",Q408-Z408)</f>
        <v/>
      </c>
      <c r="AG408" s="22">
        <f>AC408+AD408+AE408+N(AF408)</f>
        <v/>
      </c>
      <c r="AH408" s="11" t="n">
        <v>2091921.83</v>
      </c>
      <c r="AI408" s="24">
        <f>AG408-AH408</f>
        <v/>
      </c>
      <c r="AJ408" s="14">
        <f>IF(OR(B408="",B408=0,N408=""),"",N408/B408*10000)</f>
        <v/>
      </c>
      <c r="AK408" s="14">
        <f>IF(OR(C408="",C408=0),"",O408/C408*10000)</f>
        <v/>
      </c>
      <c r="AL408" s="14">
        <f>IF(OR(D408="",D408=0),"",P408/D408*10000)</f>
        <v/>
      </c>
      <c r="AM408" s="14">
        <f>IF(OR(E408="",E408=0),"",Q408/E408*10000)</f>
        <v/>
      </c>
      <c r="AN408" s="11" t="n">
        <v>8232.556354310345</v>
      </c>
      <c r="AO408" s="11" t="n">
        <v>13659.77</v>
      </c>
      <c r="AP408" s="21">
        <f>AH408+AN408+AO408</f>
        <v/>
      </c>
      <c r="AQ408" s="21">
        <f>AH408</f>
        <v/>
      </c>
      <c r="AR408" s="15" t="n">
        <v>80019.35000000001</v>
      </c>
      <c r="AS408" s="27" t="n">
        <v>26.1427</v>
      </c>
      <c r="AT408" s="15" t="n">
        <v>38357236.18255512</v>
      </c>
      <c r="AU408" s="15" t="n">
        <v>26374.6414</v>
      </c>
      <c r="AV408" s="15" t="n">
        <v>1968.7768</v>
      </c>
      <c r="AW408" s="15" t="n"/>
      <c r="AX408" s="16" t="n">
        <v>431.3361607032663</v>
      </c>
      <c r="AY408" s="13">
        <f>IF(OR(AX408="",AX408=0,AU408=""),"",AU408*365/(AX408*1000000))</f>
        <v/>
      </c>
      <c r="AZ408" s="15" t="n">
        <v>418207954.8306</v>
      </c>
      <c r="BA408" s="17" t="n">
        <v>60487233</v>
      </c>
      <c r="BB408" s="18" t="n">
        <v>38357236.18255512</v>
      </c>
      <c r="BC408" s="17" t="n">
        <v>2971663</v>
      </c>
      <c r="BD408" s="17">
        <f>1000000000-999431863.057+195504.5281</f>
        <v/>
      </c>
      <c r="BE408" s="19">
        <f>1000000000-AZ408-BA408-BB408-BC408-BD408</f>
        <v/>
      </c>
      <c r="BF408" s="20" t="n">
        <v>235.128488</v>
      </c>
      <c r="BG408" s="20">
        <f>BE408/1000000-BF408</f>
        <v/>
      </c>
      <c r="BH408" s="21">
        <f>BE408*26.79</f>
        <v/>
      </c>
    </row>
    <row r="409">
      <c r="A409" s="10" t="n">
        <v>46031</v>
      </c>
      <c r="B409" s="11" t="n">
        <v>6931233969</v>
      </c>
      <c r="C409" s="11" t="n">
        <v>311266587.9</v>
      </c>
      <c r="D409" s="11" t="n">
        <v>123717485</v>
      </c>
      <c r="E409" s="11" t="n"/>
      <c r="F409" s="24" t="n">
        <v>49107771.36744777</v>
      </c>
      <c r="G409" s="24" t="n">
        <v>20368541.31273945</v>
      </c>
      <c r="H409" s="24" t="n">
        <v>2382274.167395156</v>
      </c>
      <c r="I409" s="24" t="n">
        <v>179431615.5869558</v>
      </c>
      <c r="J409" s="24" t="n">
        <v>115887.4868723042</v>
      </c>
      <c r="K409" s="24" t="n">
        <v>59860497.97858947</v>
      </c>
      <c r="L409" s="21">
        <f>SUM(F409:K409)</f>
        <v/>
      </c>
      <c r="M409" s="28" t="n">
        <v>0.985846374264944</v>
      </c>
      <c r="N409" s="11" t="n">
        <v>1944278.26</v>
      </c>
      <c r="O409" s="11" t="n">
        <v>59323.72</v>
      </c>
      <c r="P409" s="11" t="n">
        <v>59461.69</v>
      </c>
      <c r="Q409" s="11" t="n"/>
      <c r="R409" s="21">
        <f>N409+O409+P409+N(Q409)</f>
        <v/>
      </c>
      <c r="S409" s="13" t="n">
        <v>0.01</v>
      </c>
      <c r="T409" s="21">
        <f>N(AC409)*S409</f>
        <v/>
      </c>
      <c r="U409" s="21">
        <f>N(AD409)*S409</f>
        <v/>
      </c>
      <c r="V409" s="21">
        <f>N(AE409)*S409</f>
        <v/>
      </c>
      <c r="W409" s="21">
        <f>IF(Q409="","",N(AF409)*S409)</f>
        <v/>
      </c>
      <c r="X409" s="11" t="n">
        <v>13584.35</v>
      </c>
      <c r="Y409" s="11" t="n">
        <v>29661.86</v>
      </c>
      <c r="Z409" s="11" t="n"/>
      <c r="AA409" s="21">
        <f>T409+U409+V409+N(W409)+X409+Y409+N(Z409)</f>
        <v/>
      </c>
      <c r="AB409" s="11" t="n">
        <v>95636.63349999998</v>
      </c>
      <c r="AC409" s="11" t="n">
        <v>1944278.26</v>
      </c>
      <c r="AD409" s="21">
        <f>O409-Y409</f>
        <v/>
      </c>
      <c r="AE409" s="21">
        <f>P409-X409</f>
        <v/>
      </c>
      <c r="AF409" s="21">
        <f>IF(Q409="","",Q409-Z409)</f>
        <v/>
      </c>
      <c r="AG409" s="22">
        <f>AC409+AD409+AE409+N(AF409)</f>
        <v/>
      </c>
      <c r="AH409" s="11" t="n">
        <v>1786727.57</v>
      </c>
      <c r="AI409" s="24">
        <f>AG409-AH409</f>
        <v/>
      </c>
      <c r="AJ409" s="14">
        <f>IF(OR(B409="",B409=0,N409=""),"",N409/B409*10000)</f>
        <v/>
      </c>
      <c r="AK409" s="14">
        <f>IF(OR(C409="",C409=0),"",O409/C409*10000)</f>
        <v/>
      </c>
      <c r="AL409" s="14">
        <f>IF(OR(D409="",D409=0),"",P409/D409*10000)</f>
        <v/>
      </c>
      <c r="AM409" s="14">
        <f>IF(OR(E409="",E409=0),"",Q409/E409*10000)</f>
        <v/>
      </c>
      <c r="AN409" s="11" t="n">
        <v>9329.631237383204</v>
      </c>
      <c r="AO409" s="11" t="n">
        <v>13071.13</v>
      </c>
      <c r="AP409" s="21">
        <f>AH409+AN409+AO409</f>
        <v/>
      </c>
      <c r="AQ409" s="21">
        <f>AH409</f>
        <v/>
      </c>
      <c r="AR409" s="15" t="n">
        <v>69974.7</v>
      </c>
      <c r="AS409" s="27" t="n">
        <v>25.533908</v>
      </c>
      <c r="AT409" s="15" t="n">
        <v>38428013.39255512</v>
      </c>
      <c r="AU409" s="15" t="n">
        <v>26370.8818</v>
      </c>
      <c r="AV409" s="15" t="n">
        <v>2704.8659</v>
      </c>
      <c r="AW409" s="15" t="n"/>
      <c r="AX409" s="16" t="n">
        <v>431.3523970672756</v>
      </c>
      <c r="AY409" s="13">
        <f>IF(OR(AX409="",AX409=0,AU409=""),"",AU409*365/(AX409*1000000))</f>
        <v/>
      </c>
      <c r="AZ409" s="15" t="n">
        <v>418181583.9488</v>
      </c>
      <c r="BA409" s="17" t="n">
        <v>60487233</v>
      </c>
      <c r="BB409" s="18" t="n">
        <v>38428013.39255512</v>
      </c>
      <c r="BC409" s="17" t="n">
        <v>2971663</v>
      </c>
      <c r="BD409" s="17">
        <f>1000000000-999429158.1911+195870.0663</f>
        <v/>
      </c>
      <c r="BE409" s="19">
        <f>1000000000-AZ409-BA409-BB409-BC409-BD409</f>
        <v/>
      </c>
      <c r="BF409" s="20" t="n">
        <v>235.128488</v>
      </c>
      <c r="BG409" s="20">
        <f>BE409/1000000-BF409</f>
        <v/>
      </c>
      <c r="BH409" s="21">
        <f>BE409*25.53</f>
        <v/>
      </c>
    </row>
    <row r="410">
      <c r="A410" s="10" t="n">
        <v>46032</v>
      </c>
      <c r="B410" s="11" t="n">
        <v>1436328945</v>
      </c>
      <c r="C410" s="11" t="n">
        <v>78130647.34999999</v>
      </c>
      <c r="D410" s="11" t="n">
        <v>58688478</v>
      </c>
      <c r="E410" s="11" t="n"/>
      <c r="F410" s="24" t="n">
        <v>15271122.39125666</v>
      </c>
      <c r="G410" s="24" t="n">
        <v>10851543.118108</v>
      </c>
      <c r="H410" s="24" t="n">
        <v>427790.4728605371</v>
      </c>
      <c r="I410" s="24" t="n">
        <v>39598420.21551997</v>
      </c>
      <c r="J410" s="24" t="n">
        <v>38517.56284384185</v>
      </c>
      <c r="K410" s="24" t="n">
        <v>11943253.58941099</v>
      </c>
      <c r="L410" s="21">
        <f>SUM(F410:K410)</f>
        <v/>
      </c>
      <c r="M410" s="28" t="n">
        <v>1.008566331290025</v>
      </c>
      <c r="N410" s="11" t="n">
        <v>488230.79</v>
      </c>
      <c r="O410" s="11" t="n">
        <v>27862.72</v>
      </c>
      <c r="P410" s="11" t="n">
        <v>33874.42</v>
      </c>
      <c r="Q410" s="11" t="n"/>
      <c r="R410" s="21">
        <f>N410+O410+P410+N(Q410)</f>
        <v/>
      </c>
      <c r="S410" s="13" t="n">
        <v>0.01</v>
      </c>
      <c r="T410" s="21">
        <f>N(AC410)*S410</f>
        <v/>
      </c>
      <c r="U410" s="21">
        <f>N(AD410)*S410</f>
        <v/>
      </c>
      <c r="V410" s="21">
        <f>N(AE410)*S410</f>
        <v/>
      </c>
      <c r="W410" s="21">
        <f>IF(Q410="","",N(AF410)*S410)</f>
        <v/>
      </c>
      <c r="X410" s="11" t="n">
        <v>3697.87</v>
      </c>
      <c r="Y410" s="11" t="n">
        <v>13931.36</v>
      </c>
      <c r="Z410" s="11" t="n"/>
      <c r="AA410" s="21">
        <f>T410+U410+V410+N(W410)+X410+Y410+N(Z410)</f>
        <v/>
      </c>
      <c r="AB410" s="11" t="n">
        <v>36593.73409999999</v>
      </c>
      <c r="AC410" s="11" t="n">
        <v>488230.79</v>
      </c>
      <c r="AD410" s="21">
        <f>O410-Y410</f>
        <v/>
      </c>
      <c r="AE410" s="21">
        <f>P410-X410</f>
        <v/>
      </c>
      <c r="AF410" s="21">
        <f>IF(Q410="","",Q410-Z410)</f>
        <v/>
      </c>
      <c r="AG410" s="22">
        <f>AC410+AD410+AE410+N(AF410)</f>
        <v/>
      </c>
      <c r="AH410" s="11" t="n">
        <v>462563.83</v>
      </c>
      <c r="AI410" s="24">
        <f>AG410-AH410</f>
        <v/>
      </c>
      <c r="AJ410" s="14">
        <f>IF(OR(B410="",B410=0,N410=""),"",N410/B410*10000)</f>
        <v/>
      </c>
      <c r="AK410" s="14">
        <f>IF(OR(C410="",C410=0),"",O410/C410*10000)</f>
        <v/>
      </c>
      <c r="AL410" s="14">
        <f>IF(OR(D410="",D410=0),"",P410/D410*10000)</f>
        <v/>
      </c>
      <c r="AM410" s="14">
        <f>IF(OR(E410="",E410=0),"",Q410/E410*10000)</f>
        <v/>
      </c>
      <c r="AN410" s="11" t="n">
        <v>6540.246634973496</v>
      </c>
      <c r="AO410" s="11" t="n">
        <v>13904.69</v>
      </c>
      <c r="AP410" s="21">
        <f>AH410+AN410+AO410</f>
        <v/>
      </c>
      <c r="AQ410" s="21">
        <f>AH410</f>
        <v/>
      </c>
      <c r="AR410" s="15" t="n">
        <v>18968.35</v>
      </c>
      <c r="AS410" s="27" t="n">
        <v>24.386087</v>
      </c>
      <c r="AT410" s="15" t="n">
        <v>38446138.52255512</v>
      </c>
      <c r="AU410" s="15" t="n">
        <v>26361.0916</v>
      </c>
      <c r="AV410" s="15" t="n">
        <v>955.1403</v>
      </c>
      <c r="AW410" s="15" t="n"/>
      <c r="AX410" s="16" t="n">
        <v>430.7218384408246</v>
      </c>
      <c r="AY410" s="13">
        <f>IF(OR(AX410="",AX410=0,AU410=""),"",AU410*365/(AX410*1000000))</f>
        <v/>
      </c>
      <c r="AZ410" s="15" t="n">
        <v>418155222.8573</v>
      </c>
      <c r="BA410" s="17" t="n">
        <v>60487233</v>
      </c>
      <c r="BB410" s="18" t="n">
        <v>38446138.52255512</v>
      </c>
      <c r="BC410" s="17" t="n">
        <v>2971663</v>
      </c>
      <c r="BD410" s="17">
        <f>1000000000-999428203.0509+196132.7163</f>
        <v/>
      </c>
      <c r="BE410" s="19">
        <f>1000000000-AZ410-BA410-BB410-BC410-BD410</f>
        <v/>
      </c>
      <c r="BF410" s="20" t="n">
        <v>235.128488</v>
      </c>
      <c r="BG410" s="20">
        <f>BE410/1000000-BF410</f>
        <v/>
      </c>
      <c r="BH410" s="21">
        <f>BE410*24.91</f>
        <v/>
      </c>
    </row>
    <row r="411">
      <c r="A411" s="10" t="n">
        <v>46033</v>
      </c>
      <c r="B411" s="11" t="n">
        <v>2907344410</v>
      </c>
      <c r="C411" s="11" t="n">
        <v>176790651.46</v>
      </c>
      <c r="D411" s="11" t="n">
        <v>63859612</v>
      </c>
      <c r="E411" s="11" t="n"/>
      <c r="F411" s="24" t="n">
        <v>14981923.01733292</v>
      </c>
      <c r="G411" s="24" t="n">
        <v>18038354.02031818</v>
      </c>
      <c r="H411" s="24" t="n">
        <v>76813231.61671969</v>
      </c>
      <c r="I411" s="24" t="n">
        <v>50057348.93913264</v>
      </c>
      <c r="J411" s="24" t="n">
        <v>78166.09132507198</v>
      </c>
      <c r="K411" s="24" t="n">
        <v>16821627.7751715</v>
      </c>
      <c r="L411" s="21">
        <f>SUM(F411:K411)</f>
        <v/>
      </c>
      <c r="M411" s="28" t="n">
        <v>1.139630444313095</v>
      </c>
      <c r="N411" s="11" t="n">
        <v>882194.4</v>
      </c>
      <c r="O411" s="11" t="n">
        <v>120929.12</v>
      </c>
      <c r="P411" s="11" t="n">
        <v>30253.81</v>
      </c>
      <c r="Q411" s="11" t="n"/>
      <c r="R411" s="21">
        <f>N411+O411+P411+N(Q411)</f>
        <v/>
      </c>
      <c r="S411" s="13" t="n">
        <v>0.01</v>
      </c>
      <c r="T411" s="21">
        <f>N(AC411)*S411</f>
        <v/>
      </c>
      <c r="U411" s="21">
        <f>N(AD411)*S411</f>
        <v/>
      </c>
      <c r="V411" s="21">
        <f>N(AE411)*S411</f>
        <v/>
      </c>
      <c r="W411" s="21">
        <f>IF(Q411="","",N(AF411)*S411)</f>
        <v/>
      </c>
      <c r="X411" s="11" t="n">
        <v>9967.450000000001</v>
      </c>
      <c r="Y411" s="11" t="n">
        <v>60464.56</v>
      </c>
      <c r="Z411" s="11" t="n"/>
      <c r="AA411" s="21">
        <f>T411+U411+V411+N(W411)+X411+Y411+N(Z411)</f>
        <v/>
      </c>
      <c r="AB411" s="11" t="n">
        <v>120367.5385</v>
      </c>
      <c r="AC411" s="11" t="n">
        <v>882194.4</v>
      </c>
      <c r="AD411" s="21">
        <f>O411-Y411</f>
        <v/>
      </c>
      <c r="AE411" s="21">
        <f>P411-X411</f>
        <v/>
      </c>
      <c r="AF411" s="21">
        <f>IF(Q411="","",Q411-Z411)</f>
        <v/>
      </c>
      <c r="AG411" s="22">
        <f>AC411+AD411+AE411+N(AF411)</f>
        <v/>
      </c>
      <c r="AH411" s="11" t="n">
        <v>812593.78</v>
      </c>
      <c r="AI411" s="24">
        <f>AG411-AH411</f>
        <v/>
      </c>
      <c r="AJ411" s="14">
        <f>IF(OR(B411="",B411=0,N411=""),"",N411/B411*10000)</f>
        <v/>
      </c>
      <c r="AK411" s="14">
        <f>IF(OR(C411="",C411=0),"",O411/C411*10000)</f>
        <v/>
      </c>
      <c r="AL411" s="14">
        <f>IF(OR(D411="",D411=0),"",P411/D411*10000)</f>
        <v/>
      </c>
      <c r="AM411" s="14">
        <f>IF(OR(E411="",E411=0),"",Q411/E411*10000)</f>
        <v/>
      </c>
      <c r="AN411" s="11" t="n">
        <v>3093.375142771304</v>
      </c>
      <c r="AO411" s="11" t="n">
        <v>0</v>
      </c>
      <c r="AP411" s="21">
        <f>AH411+AN411+AO411</f>
        <v/>
      </c>
      <c r="AQ411" s="21">
        <f>AH411</f>
        <v/>
      </c>
      <c r="AR411" s="15" t="n">
        <v>33286.67</v>
      </c>
      <c r="AS411" s="27" t="n">
        <v>24.411988</v>
      </c>
      <c r="AT411" s="15" t="n">
        <v>38480704.90255512</v>
      </c>
      <c r="AU411" s="15" t="n">
        <v>26258.6631</v>
      </c>
      <c r="AV411" s="15" t="n">
        <v>2542.9764</v>
      </c>
      <c r="AW411" s="15" t="n"/>
      <c r="AX411" s="16" t="n">
        <v>431.3118334522403</v>
      </c>
      <c r="AY411" s="13">
        <f>IF(OR(AX411="",AX411=0,AU411=""),"",AU411*365/(AX411*1000000))</f>
        <v/>
      </c>
      <c r="AZ411" s="15" t="n">
        <v>418128964.1941</v>
      </c>
      <c r="BA411" s="17" t="n">
        <v>60487233</v>
      </c>
      <c r="BB411" s="18" t="n">
        <v>38480704.90255512</v>
      </c>
      <c r="BC411" s="17" t="n">
        <v>2971663</v>
      </c>
      <c r="BD411" s="17">
        <f>1000000000-999425660.0745+196261.1734</f>
        <v/>
      </c>
      <c r="BE411" s="19">
        <f>1000000000-AZ411-BA411-BB411-BC411-BD411</f>
        <v/>
      </c>
      <c r="BF411" s="20" t="n">
        <v>235.128488</v>
      </c>
      <c r="BG411" s="20">
        <f>BE411/1000000-BF411</f>
        <v/>
      </c>
      <c r="BH411" s="21">
        <f>BE411*24.08</f>
        <v/>
      </c>
    </row>
    <row r="412">
      <c r="A412" s="10" t="n">
        <v>46034</v>
      </c>
      <c r="B412" s="11" t="n">
        <v>6703130739</v>
      </c>
      <c r="C412" s="11" t="n">
        <v>441222700.96</v>
      </c>
      <c r="D412" s="11" t="n">
        <v>139042716</v>
      </c>
      <c r="E412" s="11" t="n"/>
      <c r="F412" s="24" t="n">
        <v>110889071.1185831</v>
      </c>
      <c r="G412" s="24" t="n">
        <v>36657651.69448995</v>
      </c>
      <c r="H412" s="24" t="n">
        <v>13171648.07714921</v>
      </c>
      <c r="I412" s="24" t="n">
        <v>191773490.8022666</v>
      </c>
      <c r="J412" s="24" t="n">
        <v>155168.0706473315</v>
      </c>
      <c r="K412" s="24" t="n">
        <v>88575671.1968638</v>
      </c>
      <c r="L412" s="21">
        <f>SUM(F412:K412)</f>
        <v/>
      </c>
      <c r="M412" s="28" t="n">
        <v>0.9739957341018155</v>
      </c>
      <c r="N412" s="11" t="n">
        <v>2112578.53</v>
      </c>
      <c r="O412" s="11" t="n">
        <v>132487.38</v>
      </c>
      <c r="P412" s="11" t="n">
        <v>68523.68000000001</v>
      </c>
      <c r="Q412" s="11" t="n"/>
      <c r="R412" s="21">
        <f>N412+O412+P412+N(Q412)</f>
        <v/>
      </c>
      <c r="S412" s="13" t="n">
        <v>0.01</v>
      </c>
      <c r="T412" s="21">
        <f>N(AC412)*S412</f>
        <v/>
      </c>
      <c r="U412" s="21">
        <f>N(AD412)*S412</f>
        <v/>
      </c>
      <c r="V412" s="21">
        <f>N(AE412)*S412</f>
        <v/>
      </c>
      <c r="W412" s="21">
        <f>IF(Q412="","",N(AF412)*S412)</f>
        <v/>
      </c>
      <c r="X412" s="11" t="n">
        <v>13212.24</v>
      </c>
      <c r="Y412" s="11" t="n">
        <v>66243.69</v>
      </c>
      <c r="Z412" s="11" t="n"/>
      <c r="AA412" s="21">
        <f>T412+U412+V412+N(W412)+X412+Y412+N(Z412)</f>
        <v/>
      </c>
      <c r="AB412" s="11" t="n">
        <v>146731.2074</v>
      </c>
      <c r="AC412" s="11" t="n">
        <v>2112578.53</v>
      </c>
      <c r="AD412" s="21">
        <f>O412-Y412</f>
        <v/>
      </c>
      <c r="AE412" s="21">
        <f>P412-X412</f>
        <v/>
      </c>
      <c r="AF412" s="21">
        <f>IF(Q412="","",Q412-Z412)</f>
        <v/>
      </c>
      <c r="AG412" s="22">
        <f>AC412+AD412+AE412+N(AF412)</f>
        <v/>
      </c>
      <c r="AH412" s="11" t="n">
        <v>1900776.69</v>
      </c>
      <c r="AI412" s="24">
        <f>AG412-AH412</f>
        <v/>
      </c>
      <c r="AJ412" s="14">
        <f>IF(OR(B412="",B412=0,N412=""),"",N412/B412*10000)</f>
        <v/>
      </c>
      <c r="AK412" s="14">
        <f>IF(OR(C412="",C412=0),"",O412/C412*10000)</f>
        <v/>
      </c>
      <c r="AL412" s="14">
        <f>IF(OR(D412="",D412=0),"",P412/D412*10000)</f>
        <v/>
      </c>
      <c r="AM412" s="14">
        <f>IF(OR(E412="",E412=0),"",Q412/E412*10000)</f>
        <v/>
      </c>
      <c r="AN412" s="11" t="n">
        <v>12861.4047105096</v>
      </c>
      <c r="AO412" s="11" t="n">
        <v>12550.55</v>
      </c>
      <c r="AP412" s="21">
        <f>AH412+AN412+AO412</f>
        <v/>
      </c>
      <c r="AQ412" s="21">
        <f>AH412</f>
        <v/>
      </c>
      <c r="AR412" s="15" t="n">
        <v>79151.85000000001</v>
      </c>
      <c r="AS412" s="27" t="n">
        <v>24.014305</v>
      </c>
      <c r="AT412" s="15" t="n">
        <v>38558757.57255512</v>
      </c>
      <c r="AU412" s="15" t="n">
        <v>26359.8174</v>
      </c>
      <c r="AV412" s="15" t="n">
        <v>1943.4075</v>
      </c>
      <c r="AW412" s="15" t="n"/>
      <c r="AX412" s="16" t="n">
        <v>431.3867144352841</v>
      </c>
      <c r="AY412" s="13">
        <f>IF(OR(AX412="",AX412=0,AU412=""),"",AU412*365/(AX412*1000000))</f>
        <v/>
      </c>
      <c r="AZ412" s="15" t="n">
        <v>418102604.3767</v>
      </c>
      <c r="BA412" s="17" t="n">
        <v>60487233</v>
      </c>
      <c r="BB412" s="18" t="n">
        <v>38558757.57255512</v>
      </c>
      <c r="BC412" s="17" t="n">
        <v>2971663</v>
      </c>
      <c r="BD412" s="17">
        <f>1000000000-999423716.6671+196788.1937</f>
        <v/>
      </c>
      <c r="BE412" s="19">
        <f>1000000000-AZ412-BA412-BB412-BC412-BD412</f>
        <v/>
      </c>
      <c r="BF412" s="20" t="n">
        <v>235.128488</v>
      </c>
      <c r="BG412" s="20">
        <f>BE412/1000000-BF412</f>
        <v/>
      </c>
      <c r="BH412" s="21">
        <f>BE412*24.41</f>
        <v/>
      </c>
    </row>
    <row r="413">
      <c r="A413" s="10" t="n">
        <v>46035</v>
      </c>
      <c r="B413" s="11" t="n">
        <v>8434287706</v>
      </c>
      <c r="C413" s="11" t="n">
        <v>584725616.8</v>
      </c>
      <c r="D413" s="11" t="n">
        <v>160143760</v>
      </c>
      <c r="E413" s="11" t="n"/>
      <c r="F413" s="24" t="n">
        <v>139582881.9005822</v>
      </c>
      <c r="G413" s="24" t="n">
        <v>37447577.00462549</v>
      </c>
      <c r="H413" s="24" t="n">
        <v>4323717.579761351</v>
      </c>
      <c r="I413" s="24" t="n">
        <v>273068681.142186</v>
      </c>
      <c r="J413" s="24" t="n">
        <v>223469.1696639002</v>
      </c>
      <c r="K413" s="24" t="n">
        <v>130079290.0031809</v>
      </c>
      <c r="L413" s="21">
        <f>SUM(F413:K413)</f>
        <v/>
      </c>
      <c r="M413" s="28" t="n">
        <v>1.003281252367339</v>
      </c>
      <c r="N413" s="11" t="n">
        <v>2540198.53</v>
      </c>
      <c r="O413" s="11" t="n">
        <v>129185.06</v>
      </c>
      <c r="P413" s="11" t="n">
        <v>81883.31</v>
      </c>
      <c r="Q413" s="11" t="n"/>
      <c r="R413" s="21">
        <f>N413+O413+P413+N(Q413)</f>
        <v/>
      </c>
      <c r="S413" s="13" t="n">
        <v>0.01</v>
      </c>
      <c r="T413" s="21">
        <f>N(AC413)*S413</f>
        <v/>
      </c>
      <c r="U413" s="21">
        <f>N(AD413)*S413</f>
        <v/>
      </c>
      <c r="V413" s="21">
        <f>N(AE413)*S413</f>
        <v/>
      </c>
      <c r="W413" s="21">
        <f>IF(Q413="","",N(AF413)*S413)</f>
        <v/>
      </c>
      <c r="X413" s="11" t="n">
        <v>22158.11</v>
      </c>
      <c r="Y413" s="11" t="n">
        <v>64592.53</v>
      </c>
      <c r="Z413" s="11" t="n"/>
      <c r="AA413" s="21">
        <f>T413+U413+V413+N(W413)+X413+Y413+N(Z413)</f>
        <v/>
      </c>
      <c r="AB413" s="11" t="n">
        <v>174972.9217</v>
      </c>
      <c r="AC413" s="11" t="n">
        <v>2540198.53</v>
      </c>
      <c r="AD413" s="21">
        <f>O413-Y413</f>
        <v/>
      </c>
      <c r="AE413" s="21">
        <f>P413-X413</f>
        <v/>
      </c>
      <c r="AF413" s="21">
        <f>IF(Q413="","",Q413-Z413)</f>
        <v/>
      </c>
      <c r="AG413" s="22">
        <f>AC413+AD413+AE413+N(AF413)</f>
        <v/>
      </c>
      <c r="AH413" s="11" t="n">
        <v>2300107.22</v>
      </c>
      <c r="AI413" s="24">
        <f>AG413-AH413</f>
        <v/>
      </c>
      <c r="AJ413" s="14">
        <f>IF(OR(B413="",B413=0,N413=""),"",N413/B413*10000)</f>
        <v/>
      </c>
      <c r="AK413" s="14">
        <f>IF(OR(C413="",C413=0),"",O413/C413*10000)</f>
        <v/>
      </c>
      <c r="AL413" s="14">
        <f>IF(OR(D413="",D413=0),"",P413/D413*10000)</f>
        <v/>
      </c>
      <c r="AM413" s="14">
        <f>IF(OR(E413="",E413=0),"",Q413/E413*10000)</f>
        <v/>
      </c>
      <c r="AN413" s="11" t="n">
        <v>10856.77658164534</v>
      </c>
      <c r="AO413" s="11" t="n">
        <v>12152.25</v>
      </c>
      <c r="AP413" s="21">
        <f>AH413+AN413+AO413</f>
        <v/>
      </c>
      <c r="AQ413" s="21">
        <f>AH413</f>
        <v/>
      </c>
      <c r="AR413" s="15" t="n">
        <v>92963.94</v>
      </c>
      <c r="AS413" s="27" t="n">
        <v>24.741929</v>
      </c>
      <c r="AT413" s="15" t="n">
        <v>38651124.06255512</v>
      </c>
      <c r="AU413" s="15" t="n">
        <v>26369.6542</v>
      </c>
      <c r="AV413" s="15" t="n">
        <v>2800.1185</v>
      </c>
      <c r="AW413" s="15" t="n"/>
      <c r="AX413" s="16" t="n">
        <v>430.9617538067485</v>
      </c>
      <c r="AY413" s="13">
        <f>IF(OR(AX413="",AX413=0,AU413=""),"",AU413*365/(AX413*1000000))</f>
        <v/>
      </c>
      <c r="AZ413" s="15" t="n">
        <v>418076234.7225</v>
      </c>
      <c r="BA413" s="17" t="n">
        <v>60487233</v>
      </c>
      <c r="BB413" s="18" t="n">
        <v>38651124.06255512</v>
      </c>
      <c r="BC413" s="17" t="n">
        <v>2971663</v>
      </c>
      <c r="BD413" s="17">
        <f>1000000000-999420916.5486+197238.6076</f>
        <v/>
      </c>
      <c r="BE413" s="19">
        <f>1000000000-AZ413-BA413-BB413-BC413-BD413</f>
        <v/>
      </c>
      <c r="BF413" s="20" t="n">
        <v>235.128488</v>
      </c>
      <c r="BG413" s="20">
        <f>BE413/1000000-BF413</f>
        <v/>
      </c>
      <c r="BH413" s="21">
        <f>BE413*24.09</f>
        <v/>
      </c>
    </row>
    <row r="414">
      <c r="A414" s="10" t="n">
        <v>46036</v>
      </c>
      <c r="B414" s="11" t="n">
        <v>8228408664</v>
      </c>
      <c r="C414" s="11" t="n">
        <v>704938415.95</v>
      </c>
      <c r="D414" s="11" t="n">
        <v>167734311</v>
      </c>
      <c r="E414" s="11" t="n"/>
      <c r="F414" s="24" t="n">
        <v>191960108.762423</v>
      </c>
      <c r="G414" s="24" t="n">
        <v>41821956.2153668</v>
      </c>
      <c r="H414" s="24" t="n">
        <v>2968516.107338877</v>
      </c>
      <c r="I414" s="24" t="n">
        <v>344627586.4324297</v>
      </c>
      <c r="J414" s="24" t="n">
        <v>878432.8231376464</v>
      </c>
      <c r="K414" s="24" t="n">
        <v>122681815.6093039</v>
      </c>
      <c r="L414" s="21">
        <f>SUM(F414:K414)</f>
        <v/>
      </c>
      <c r="M414" s="28" t="n">
        <v>1.012023570806197</v>
      </c>
      <c r="N414" s="11" t="n">
        <v>2563030.43</v>
      </c>
      <c r="O414" s="11" t="n">
        <v>154091.94</v>
      </c>
      <c r="P414" s="11" t="n">
        <v>88365.98000000001</v>
      </c>
      <c r="Q414" s="11" t="n"/>
      <c r="R414" s="21">
        <f>N414+O414+P414+N(Q414)</f>
        <v/>
      </c>
      <c r="S414" s="13" t="n">
        <v>0.01</v>
      </c>
      <c r="T414" s="21">
        <f>N(AC414)*S414</f>
        <v/>
      </c>
      <c r="U414" s="21">
        <f>N(AD414)*S414</f>
        <v/>
      </c>
      <c r="V414" s="21">
        <f>N(AE414)*S414</f>
        <v/>
      </c>
      <c r="W414" s="21">
        <f>IF(Q414="","",N(AF414)*S414)</f>
        <v/>
      </c>
      <c r="X414" s="11" t="n">
        <v>20623.96</v>
      </c>
      <c r="Y414" s="11" t="n">
        <v>77045.97</v>
      </c>
      <c r="Z414" s="11" t="n"/>
      <c r="AA414" s="21">
        <f>T414+U414+V414+N(W414)+X414+Y414+N(Z414)</f>
        <v/>
      </c>
      <c r="AB414" s="11" t="n">
        <v>193508.1231</v>
      </c>
      <c r="AC414" s="11" t="n">
        <v>2563030.43</v>
      </c>
      <c r="AD414" s="21">
        <f>O414-Y414</f>
        <v/>
      </c>
      <c r="AE414" s="21">
        <f>P414-X414</f>
        <v/>
      </c>
      <c r="AF414" s="21">
        <f>IF(Q414="","",Q414-Z414)</f>
        <v/>
      </c>
      <c r="AG414" s="22">
        <f>AC414+AD414+AE414+N(AF414)</f>
        <v/>
      </c>
      <c r="AH414" s="11" t="n">
        <v>2313856.05</v>
      </c>
      <c r="AI414" s="24">
        <f>AG414-AH414</f>
        <v/>
      </c>
      <c r="AJ414" s="14">
        <f>IF(OR(B414="",B414=0,N414=""),"",N414/B414*10000)</f>
        <v/>
      </c>
      <c r="AK414" s="14">
        <f>IF(OR(C414="",C414=0),"",O414/C414*10000)</f>
        <v/>
      </c>
      <c r="AL414" s="14">
        <f>IF(OR(D414="",D414=0),"",P414/D414*10000)</f>
        <v/>
      </c>
      <c r="AM414" s="14">
        <f>IF(OR(E414="",E414=0),"",Q414/E414*10000)</f>
        <v/>
      </c>
      <c r="AN414" s="11" t="n">
        <v>10304.37519916794</v>
      </c>
      <c r="AO414" s="11" t="n">
        <v>13222.31</v>
      </c>
      <c r="AP414" s="21">
        <f>AH414+AN414+AO414</f>
        <v/>
      </c>
      <c r="AQ414" s="21">
        <f>AH414</f>
        <v/>
      </c>
      <c r="AR414" s="15" t="n">
        <v>88651.64</v>
      </c>
      <c r="AS414" s="27" t="n">
        <v>26.100544</v>
      </c>
      <c r="AT414" s="15" t="n">
        <v>38741830.29255512</v>
      </c>
      <c r="AU414" s="15" t="n">
        <v>26298.3228</v>
      </c>
      <c r="AV414" s="15" t="n">
        <v>1022.0645</v>
      </c>
      <c r="AW414" s="15" t="n"/>
      <c r="AX414" s="16" t="n">
        <v>432.3332715355886</v>
      </c>
      <c r="AY414" s="13">
        <f>IF(OR(AX414="",AX414=0,AU414=""),"",AU414*365/(AX414*1000000))</f>
        <v/>
      </c>
      <c r="AZ414" s="15" t="n">
        <v>418049936.3997</v>
      </c>
      <c r="BA414" s="17" t="n">
        <v>60487233</v>
      </c>
      <c r="BB414" s="18" t="n">
        <v>38741830.29255512</v>
      </c>
      <c r="BC414" s="17" t="n">
        <v>2971663</v>
      </c>
      <c r="BD414" s="17">
        <f>1000000000-999419894.484+197638.9641</f>
        <v/>
      </c>
      <c r="BE414" s="19">
        <f>1000000000-AZ414-BA414-BB414-BC414-BD414</f>
        <v/>
      </c>
      <c r="BF414" s="20" t="n">
        <v>235.128488</v>
      </c>
      <c r="BG414" s="20">
        <f>BE414/1000000-BF414</f>
        <v/>
      </c>
      <c r="BH414" s="21">
        <f>BE414*25.73</f>
        <v/>
      </c>
    </row>
    <row r="415">
      <c r="A415" s="10" t="n">
        <v>46037</v>
      </c>
      <c r="B415" s="11" t="n">
        <v>6571194099</v>
      </c>
      <c r="C415" s="11" t="n">
        <v>726132355.3099999</v>
      </c>
      <c r="D415" s="11" t="n">
        <v>149030080</v>
      </c>
      <c r="E415" s="11" t="n"/>
      <c r="F415" s="24" t="n">
        <v>247519659.089242</v>
      </c>
      <c r="G415" s="24" t="n">
        <v>35454238.07176074</v>
      </c>
      <c r="H415" s="24" t="n">
        <v>3773694.13118006</v>
      </c>
      <c r="I415" s="24" t="n">
        <v>323822216.9399756</v>
      </c>
      <c r="J415" s="24" t="n">
        <v>624066.6730857181</v>
      </c>
      <c r="K415" s="24" t="n">
        <v>114938480.4047559</v>
      </c>
      <c r="L415" s="21">
        <f>SUM(F415:K415)</f>
        <v/>
      </c>
      <c r="M415" s="28" t="n">
        <v>1.009676482340269</v>
      </c>
      <c r="N415" s="11" t="n">
        <v>2173814.07</v>
      </c>
      <c r="O415" s="11" t="n">
        <v>157652.26</v>
      </c>
      <c r="P415" s="11" t="n">
        <v>78723.03</v>
      </c>
      <c r="Q415" s="11" t="n"/>
      <c r="R415" s="21">
        <f>N415+O415+P415+N(Q415)</f>
        <v/>
      </c>
      <c r="S415" s="13" t="n">
        <v>0.01</v>
      </c>
      <c r="T415" s="21">
        <f>N(AC415)*S415</f>
        <v/>
      </c>
      <c r="U415" s="21">
        <f>N(AD415)*S415</f>
        <v/>
      </c>
      <c r="V415" s="21">
        <f>N(AE415)*S415</f>
        <v/>
      </c>
      <c r="W415" s="21">
        <f>IF(Q415="","",N(AF415)*S415)</f>
        <v/>
      </c>
      <c r="X415" s="11" t="n">
        <v>19245.37</v>
      </c>
      <c r="Y415" s="11" t="n">
        <v>78826.13</v>
      </c>
      <c r="Z415" s="11" t="n"/>
      <c r="AA415" s="21">
        <f>T415+U415+V415+N(W415)+X415+Y415+N(Z415)</f>
        <v/>
      </c>
      <c r="AB415" s="11" t="n">
        <v>196355.4733</v>
      </c>
      <c r="AC415" s="11" t="n">
        <v>2173814.07</v>
      </c>
      <c r="AD415" s="21">
        <f>O415-Y415</f>
        <v/>
      </c>
      <c r="AE415" s="21">
        <f>P415-X415</f>
        <v/>
      </c>
      <c r="AF415" s="21">
        <f>IF(Q415="","",Q415-Z415)</f>
        <v/>
      </c>
      <c r="AG415" s="22">
        <f>AC415+AD415+AE415+N(AF415)</f>
        <v/>
      </c>
      <c r="AH415" s="11" t="n">
        <v>1862422.03</v>
      </c>
      <c r="AI415" s="24">
        <f>AG415-AH415</f>
        <v/>
      </c>
      <c r="AJ415" s="14">
        <f>IF(OR(B415="",B415=0,N415=""),"",N415/B415*10000)</f>
        <v/>
      </c>
      <c r="AK415" s="14">
        <f>IF(OR(C415="",C415=0),"",O415/C415*10000)</f>
        <v/>
      </c>
      <c r="AL415" s="14">
        <f>IF(OR(D415="",D415=0),"",P415/D415*10000)</f>
        <v/>
      </c>
      <c r="AM415" s="14">
        <f>IF(OR(E415="",E415=0),"",Q415/E415*10000)</f>
        <v/>
      </c>
      <c r="AN415" s="11" t="n">
        <v>10035.10816878126</v>
      </c>
      <c r="AO415" s="11" t="n">
        <v>18686.23</v>
      </c>
      <c r="AP415" s="21">
        <f>AH415+AN415+AO415</f>
        <v/>
      </c>
      <c r="AQ415" s="21">
        <f>AH415</f>
        <v/>
      </c>
      <c r="AR415" s="15" t="n">
        <v>74458.25</v>
      </c>
      <c r="AS415" s="27" t="n">
        <v>25.012971</v>
      </c>
      <c r="AT415" s="15" t="n">
        <v>38814233.95255512</v>
      </c>
      <c r="AU415" s="15" t="n">
        <v>26149.3286</v>
      </c>
      <c r="AV415" s="15" t="n">
        <v>3113.108</v>
      </c>
      <c r="AW415" s="15" t="n"/>
      <c r="AX415" s="16" t="n">
        <v>433.4726786079722</v>
      </c>
      <c r="AY415" s="13">
        <f>IF(OR(AX415="",AX415=0,AU415=""),"",AU415*365/(AX415*1000000))</f>
        <v/>
      </c>
      <c r="AZ415" s="15" t="n">
        <v>418023787.0711</v>
      </c>
      <c r="BA415" s="17" t="n">
        <v>60487233</v>
      </c>
      <c r="BB415" s="18" t="n">
        <v>38814233.95255512</v>
      </c>
      <c r="BC415" s="17" t="n">
        <v>2971663</v>
      </c>
      <c r="BD415" s="17">
        <f>1000000000-999416781.376+198028.7376</f>
        <v/>
      </c>
      <c r="BE415" s="19">
        <f>1000000000-AZ415-BA415-BB415-BC415-BD415</f>
        <v/>
      </c>
      <c r="BF415" s="20" t="n">
        <v>235.128488</v>
      </c>
      <c r="BG415" s="20">
        <f>BE415/1000000-BF415</f>
        <v/>
      </c>
      <c r="BH415" s="21">
        <f>BE415*25.76</f>
        <v/>
      </c>
    </row>
    <row r="416">
      <c r="A416" s="10" t="n">
        <v>46038</v>
      </c>
      <c r="B416" s="11" t="n">
        <v>3677538792</v>
      </c>
      <c r="C416" s="11" t="n">
        <v>542216118.09</v>
      </c>
      <c r="D416" s="11" t="n">
        <v>88303655</v>
      </c>
      <c r="E416" s="11" t="n"/>
      <c r="F416" s="24" t="n">
        <v>217369896.8871141</v>
      </c>
      <c r="G416" s="24" t="n">
        <v>18985493.42498545</v>
      </c>
      <c r="H416" s="24" t="n">
        <v>3500919.035962351</v>
      </c>
      <c r="I416" s="24" t="n">
        <v>209845853.9257197</v>
      </c>
      <c r="J416" s="24" t="n">
        <v>1115279.510416583</v>
      </c>
      <c r="K416" s="24" t="n">
        <v>91398675.30580172</v>
      </c>
      <c r="L416" s="21">
        <f>SUM(F416:K416)</f>
        <v/>
      </c>
      <c r="M416" s="28" t="n">
        <v>0.9535860126274421</v>
      </c>
      <c r="N416" s="11" t="n">
        <v>1301646.85</v>
      </c>
      <c r="O416" s="11" t="n">
        <v>137049.68</v>
      </c>
      <c r="P416" s="11" t="n">
        <v>47715.13</v>
      </c>
      <c r="Q416" s="11" t="n"/>
      <c r="R416" s="21">
        <f>N416+O416+P416+N(Q416)</f>
        <v/>
      </c>
      <c r="S416" s="13" t="n">
        <v>0.01</v>
      </c>
      <c r="T416" s="21">
        <f>N(AC416)*S416</f>
        <v/>
      </c>
      <c r="U416" s="21">
        <f>N(AD416)*S416</f>
        <v/>
      </c>
      <c r="V416" s="21">
        <f>N(AE416)*S416</f>
        <v/>
      </c>
      <c r="W416" s="21">
        <f>IF(Q416="","",N(AF416)*S416)</f>
        <v/>
      </c>
      <c r="X416" s="11" t="n">
        <v>9879.16</v>
      </c>
      <c r="Y416" s="11" t="n">
        <v>68524.84</v>
      </c>
      <c r="Z416" s="11" t="n"/>
      <c r="AA416" s="21">
        <f>T416+U416+V416+N(W416)+X416+Y416+N(Z416)</f>
        <v/>
      </c>
      <c r="AB416" s="11" t="n">
        <v>213071.221</v>
      </c>
      <c r="AC416" s="11" t="n">
        <v>1301646.85</v>
      </c>
      <c r="AD416" s="21">
        <f>O416-Y416</f>
        <v/>
      </c>
      <c r="AE416" s="21">
        <f>P416-X416</f>
        <v/>
      </c>
      <c r="AF416" s="21">
        <f>IF(Q416="","",Q416-Z416)</f>
        <v/>
      </c>
      <c r="AG416" s="22">
        <f>AC416+AD416+AE416+N(AF416)</f>
        <v/>
      </c>
      <c r="AH416" s="11" t="n">
        <v>1117452.67</v>
      </c>
      <c r="AI416" s="24">
        <f>AG416-AH416</f>
        <v/>
      </c>
      <c r="AJ416" s="14">
        <f>IF(OR(B416="",B416=0,N416=""),"",N416/B416*10000)</f>
        <v/>
      </c>
      <c r="AK416" s="14">
        <f>IF(OR(C416="",C416=0),"",O416/C416*10000)</f>
        <v/>
      </c>
      <c r="AL416" s="14">
        <f>IF(OR(D416="",D416=0),"",P416/D416*10000)</f>
        <v/>
      </c>
      <c r="AM416" s="14">
        <f>IF(OR(E416="",E416=0),"",Q416/E416*10000)</f>
        <v/>
      </c>
      <c r="AN416" s="11" t="n">
        <v>4890.131495158791</v>
      </c>
      <c r="AO416" s="11" t="n">
        <v>27389.58</v>
      </c>
      <c r="AP416" s="21">
        <f>AH416+AN416+AO416</f>
        <v/>
      </c>
      <c r="AQ416" s="21">
        <f>AH416</f>
        <v/>
      </c>
      <c r="AR416" s="15" t="n">
        <v>44909.63</v>
      </c>
      <c r="AS416" s="27" t="n">
        <v>24.882251</v>
      </c>
      <c r="AT416" s="15" t="n">
        <v>38859944.72255512</v>
      </c>
      <c r="AU416" s="15" t="n">
        <v>26275.8944</v>
      </c>
      <c r="AV416" s="15" t="n">
        <v>3062.658</v>
      </c>
      <c r="AW416" s="15" t="n"/>
      <c r="AX416" s="16" t="n">
        <v>433.7270432394878</v>
      </c>
      <c r="AY416" s="13">
        <f>IF(OR(AX416="",AX416=0,AU416=""),"",AU416*365/(AX416*1000000))</f>
        <v/>
      </c>
      <c r="AZ416" s="15" t="n">
        <v>417997511.1767</v>
      </c>
      <c r="BA416" s="17" t="n">
        <v>60487233</v>
      </c>
      <c r="BB416" s="18" t="n">
        <v>38859944.72255512</v>
      </c>
      <c r="BC416" s="17" t="n">
        <v>2971663</v>
      </c>
      <c r="BD416" s="17">
        <f>1000000000-999413718.718+198225.9998</f>
        <v/>
      </c>
      <c r="BE416" s="19">
        <f>1000000000-AZ416-BA416-BB416-BC416-BD416</f>
        <v/>
      </c>
      <c r="BF416" s="20" t="n">
        <v>235.128488</v>
      </c>
      <c r="BG416" s="20">
        <f>BE416/1000000-BF416</f>
        <v/>
      </c>
      <c r="BH416" s="21">
        <f>BE416*24.81</f>
        <v/>
      </c>
    </row>
    <row r="417">
      <c r="A417" s="10" t="n">
        <v>46039</v>
      </c>
      <c r="B417" s="11" t="n">
        <v>1633288246</v>
      </c>
      <c r="C417" s="11" t="n">
        <v>171656674.08</v>
      </c>
      <c r="D417" s="11" t="n">
        <v>54022505</v>
      </c>
      <c r="E417" s="11" t="n"/>
      <c r="F417" s="24" t="n">
        <v>14020440.71547781</v>
      </c>
      <c r="G417" s="24" t="n">
        <v>15639184.00165622</v>
      </c>
      <c r="H417" s="24" t="n">
        <v>2179125.551748876</v>
      </c>
      <c r="I417" s="24" t="n">
        <v>123690284.9613605</v>
      </c>
      <c r="J417" s="24" t="n">
        <v>171749.8248089846</v>
      </c>
      <c r="K417" s="24" t="n">
        <v>15955889.02494767</v>
      </c>
      <c r="L417" s="21">
        <f>SUM(F417:K417)</f>
        <v/>
      </c>
      <c r="M417" s="28" t="n">
        <v>0.9925169494523536</v>
      </c>
      <c r="N417" s="11" t="n">
        <v>594175.0600000001</v>
      </c>
      <c r="O417" s="11" t="n">
        <v>79335.64</v>
      </c>
      <c r="P417" s="11" t="n">
        <v>29334.97</v>
      </c>
      <c r="Q417" s="11" t="n"/>
      <c r="R417" s="21">
        <f>N417+O417+P417+N(Q417)</f>
        <v/>
      </c>
      <c r="S417" s="13" t="n">
        <v>0.01</v>
      </c>
      <c r="T417" s="21">
        <f>N(AC417)*S417</f>
        <v/>
      </c>
      <c r="U417" s="21">
        <f>N(AD417)*S417</f>
        <v/>
      </c>
      <c r="V417" s="21">
        <f>N(AE417)*S417</f>
        <v/>
      </c>
      <c r="W417" s="21">
        <f>IF(Q417="","",N(AF417)*S417)</f>
        <v/>
      </c>
      <c r="X417" s="11" t="n">
        <v>5062.54</v>
      </c>
      <c r="Y417" s="11" t="n">
        <v>39667.82</v>
      </c>
      <c r="Z417" s="11" t="n"/>
      <c r="AA417" s="21">
        <f>T417+U417+V417+N(W417)+X417+Y417+N(Z417)</f>
        <v/>
      </c>
      <c r="AB417" s="11" t="n">
        <v>135345.1419</v>
      </c>
      <c r="AC417" s="11" t="n">
        <v>594175.0600000001</v>
      </c>
      <c r="AD417" s="21">
        <f>O417-Y417</f>
        <v/>
      </c>
      <c r="AE417" s="21">
        <f>P417-X417</f>
        <v/>
      </c>
      <c r="AF417" s="21">
        <f>IF(Q417="","",Q417-Z417)</f>
        <v/>
      </c>
      <c r="AG417" s="22">
        <f>AC417+AD417+AE417+N(AF417)</f>
        <v/>
      </c>
      <c r="AH417" s="11" t="n">
        <v>515585.26</v>
      </c>
      <c r="AI417" s="24">
        <f>AG417-AH417</f>
        <v/>
      </c>
      <c r="AJ417" s="14">
        <f>IF(OR(B417="",B417=0,N417=""),"",N417/B417*10000)</f>
        <v/>
      </c>
      <c r="AK417" s="14">
        <f>IF(OR(C417="",C417=0),"",O417/C417*10000)</f>
        <v/>
      </c>
      <c r="AL417" s="14">
        <f>IF(OR(D417="",D417=0),"",P417/D417*10000)</f>
        <v/>
      </c>
      <c r="AM417" s="14">
        <f>IF(OR(E417="",E417=0),"",Q417/E417*10000)</f>
        <v/>
      </c>
      <c r="AN417" s="11" t="n">
        <v>3159.812827700472</v>
      </c>
      <c r="AO417" s="11" t="n">
        <v>0</v>
      </c>
      <c r="AP417" s="21">
        <f>AH417+AN417+AO417</f>
        <v/>
      </c>
      <c r="AQ417" s="21">
        <f>AH417</f>
        <v/>
      </c>
      <c r="AR417" s="15" t="n">
        <v>20400.66</v>
      </c>
      <c r="AS417" s="27" t="n">
        <v>25.27297</v>
      </c>
      <c r="AT417" s="15" t="n">
        <v>38879909.61255512</v>
      </c>
      <c r="AU417" s="15" t="n">
        <v>26449.2554</v>
      </c>
      <c r="AV417" s="15" t="n">
        <v>3640.35</v>
      </c>
      <c r="AW417" s="15" t="n"/>
      <c r="AX417" s="16" t="n">
        <v>433.7718604359366</v>
      </c>
      <c r="AY417" s="13">
        <f>IF(OR(AX417="",AX417=0,AU417=""),"",AU417*365/(AX417*1000000))</f>
        <v/>
      </c>
      <c r="AZ417" s="15" t="n">
        <v>417971061.9213</v>
      </c>
      <c r="BA417" s="17" t="n">
        <v>60487233</v>
      </c>
      <c r="BB417" s="18" t="n">
        <v>38879909.61255512</v>
      </c>
      <c r="BC417" s="17" t="n">
        <v>2971663</v>
      </c>
      <c r="BD417" s="17">
        <f>1000000000-999410078.368+198352.5290</f>
        <v/>
      </c>
      <c r="BE417" s="19">
        <f>1000000000-AZ417-BA417-BB417-BC417-BD417</f>
        <v/>
      </c>
      <c r="BF417" s="20" t="n">
        <v>235.128488</v>
      </c>
      <c r="BG417" s="20">
        <f>BE417/1000000-BF417</f>
        <v/>
      </c>
      <c r="BH417" s="21">
        <f>BE417*24.98</f>
        <v/>
      </c>
    </row>
    <row r="418">
      <c r="A418" s="10" t="n">
        <v>46040</v>
      </c>
      <c r="B418" s="11" t="n">
        <v>2697421164</v>
      </c>
      <c r="C418" s="11" t="n">
        <v>193856339.11</v>
      </c>
      <c r="D418" s="11" t="n">
        <v>97497658</v>
      </c>
      <c r="E418" s="11" t="n"/>
      <c r="F418" s="24" t="n">
        <v>40807182.28489565</v>
      </c>
      <c r="G418" s="24" t="n">
        <v>24724756.42507682</v>
      </c>
      <c r="H418" s="24" t="n">
        <v>2916661.873045234</v>
      </c>
      <c r="I418" s="24" t="n">
        <v>113092013.7842265</v>
      </c>
      <c r="J418" s="24" t="n">
        <v>883945.524767677</v>
      </c>
      <c r="K418" s="24" t="n">
        <v>11431779.21798817</v>
      </c>
      <c r="L418" s="21">
        <f>SUM(F418:K418)</f>
        <v/>
      </c>
      <c r="M418" s="28" t="n">
        <v>1.364904923540528</v>
      </c>
      <c r="N418" s="11" t="n">
        <v>874086.08</v>
      </c>
      <c r="O418" s="11" t="n">
        <v>61986.46</v>
      </c>
      <c r="P418" s="11" t="n">
        <v>35243.02</v>
      </c>
      <c r="Q418" s="11" t="n"/>
      <c r="R418" s="21">
        <f>N418+O418+P418+N(Q418)</f>
        <v/>
      </c>
      <c r="S418" s="13" t="n">
        <v>0.01</v>
      </c>
      <c r="T418" s="21">
        <f>N(AC418)*S418</f>
        <v/>
      </c>
      <c r="U418" s="21">
        <f>N(AD418)*S418</f>
        <v/>
      </c>
      <c r="V418" s="21">
        <f>N(AE418)*S418</f>
        <v/>
      </c>
      <c r="W418" s="21">
        <f>IF(Q418="","",N(AF418)*S418)</f>
        <v/>
      </c>
      <c r="X418" s="11" t="n">
        <v>6845.86</v>
      </c>
      <c r="Y418" s="11" t="n">
        <v>30993.23</v>
      </c>
      <c r="Z418" s="11" t="n"/>
      <c r="AA418" s="21">
        <f>T418+U418+V418+N(W418)+X418+Y418+N(Z418)</f>
        <v/>
      </c>
      <c r="AB418" s="11" t="n">
        <v>70232.71089999999</v>
      </c>
      <c r="AC418" s="11" t="n">
        <v>874086.08</v>
      </c>
      <c r="AD418" s="21">
        <f>O418-Y418</f>
        <v/>
      </c>
      <c r="AE418" s="21">
        <f>P418-X418</f>
        <v/>
      </c>
      <c r="AF418" s="21">
        <f>IF(Q418="","",Q418-Z418)</f>
        <v/>
      </c>
      <c r="AG418" s="22">
        <f>AC418+AD418+AE418+N(AF418)</f>
        <v/>
      </c>
      <c r="AH418" s="11" t="n">
        <v>810327.8100000001</v>
      </c>
      <c r="AI418" s="24">
        <f>AG418-AH418</f>
        <v/>
      </c>
      <c r="AJ418" s="14">
        <f>IF(OR(B418="",B418=0,N418=""),"",N418/B418*10000)</f>
        <v/>
      </c>
      <c r="AK418" s="14">
        <f>IF(OR(C418="",C418=0),"",O418/C418*10000)</f>
        <v/>
      </c>
      <c r="AL418" s="14">
        <f>IF(OR(D418="",D418=0),"",P418/D418*10000)</f>
        <v/>
      </c>
      <c r="AM418" s="14">
        <f>IF(OR(E418="",E418=0),"",Q418/E418*10000)</f>
        <v/>
      </c>
      <c r="AN418" s="11" t="n">
        <v>5204.203763989413</v>
      </c>
      <c r="AO418" s="11" t="n">
        <v>13669.49</v>
      </c>
      <c r="AP418" s="21">
        <f>AH418+AN418+AO418</f>
        <v/>
      </c>
      <c r="AQ418" s="21">
        <f>AH418</f>
        <v/>
      </c>
      <c r="AR418" s="15" t="n">
        <v>32107.65</v>
      </c>
      <c r="AS418" s="27" t="n">
        <v>25.237842</v>
      </c>
      <c r="AT418" s="15" t="n">
        <v>38931974.93255512</v>
      </c>
      <c r="AU418" s="15" t="n">
        <v>26383.4165</v>
      </c>
      <c r="AV418" s="15" t="n">
        <v>205.2242</v>
      </c>
      <c r="AW418" s="15" t="n"/>
      <c r="AX418" s="16" t="n">
        <v>434.1266696842809</v>
      </c>
      <c r="AY418" s="13">
        <f>IF(OR(AX418="",AX418=0,AU418=""),"",AU418*365/(AX418*1000000))</f>
        <v/>
      </c>
      <c r="AZ418" s="15" t="n">
        <v>417944678.5048</v>
      </c>
      <c r="BA418" s="17" t="n">
        <v>60487233</v>
      </c>
      <c r="BB418" s="18" t="n">
        <v>38931974.93255512</v>
      </c>
      <c r="BC418" s="17" t="n">
        <v>2971663</v>
      </c>
      <c r="BD418" s="17">
        <f>1000000000-999409873.1439+198556.4076</f>
        <v/>
      </c>
      <c r="BE418" s="19">
        <f>1000000000-AZ418-BA418-BB418-BC418-BD418</f>
        <v/>
      </c>
      <c r="BF418" s="20" t="n">
        <v>235.128488</v>
      </c>
      <c r="BG418" s="20">
        <f>BE418/1000000-BF418</f>
        <v/>
      </c>
      <c r="BH418" s="21">
        <f>BE418*25.51</f>
        <v/>
      </c>
    </row>
    <row r="419">
      <c r="A419" s="10" t="n">
        <v>46041</v>
      </c>
      <c r="B419" s="11" t="n">
        <v>6023898951</v>
      </c>
      <c r="C419" s="11" t="n">
        <v>420520571.42</v>
      </c>
      <c r="D419" s="11" t="n">
        <v>112878902</v>
      </c>
      <c r="E419" s="11" t="n"/>
      <c r="F419" s="24" t="n">
        <v>159533215.6284982</v>
      </c>
      <c r="G419" s="24" t="n">
        <v>30809779.61328131</v>
      </c>
      <c r="H419" s="24" t="n">
        <v>3508841.030687475</v>
      </c>
      <c r="I419" s="24" t="n">
        <v>181797806.6810125</v>
      </c>
      <c r="J419" s="24" t="n">
        <v>221938.1219215786</v>
      </c>
      <c r="K419" s="24" t="n">
        <v>44648990.34459896</v>
      </c>
      <c r="L419" s="21">
        <f>SUM(F419:K419)</f>
        <v/>
      </c>
      <c r="M419" s="28" t="n">
        <v>0.9178484636000777</v>
      </c>
      <c r="N419" s="11" t="n">
        <v>1852246.1</v>
      </c>
      <c r="O419" s="11" t="n">
        <v>108509.32</v>
      </c>
      <c r="P419" s="11" t="n">
        <v>79236.48999999999</v>
      </c>
      <c r="Q419" s="11" t="n"/>
      <c r="R419" s="21">
        <f>N419+O419+P419+N(Q419)</f>
        <v/>
      </c>
      <c r="S419" s="13" t="n">
        <v>0.01</v>
      </c>
      <c r="T419" s="21">
        <f>N(AC419)*S419</f>
        <v/>
      </c>
      <c r="U419" s="21">
        <f>N(AD419)*S419</f>
        <v/>
      </c>
      <c r="V419" s="21">
        <f>N(AE419)*S419</f>
        <v/>
      </c>
      <c r="W419" s="21">
        <f>IF(Q419="","",N(AF419)*S419)</f>
        <v/>
      </c>
      <c r="X419" s="11" t="n">
        <v>16714.5</v>
      </c>
      <c r="Y419" s="11" t="n">
        <v>54254.66</v>
      </c>
      <c r="Z419" s="11" t="n"/>
      <c r="AA419" s="21">
        <f>T419+U419+V419+N(W419)+X419+Y419+N(Z419)</f>
        <v/>
      </c>
      <c r="AB419" s="11" t="n">
        <v>107374.0812</v>
      </c>
      <c r="AC419" s="11" t="n">
        <v>1852246.1</v>
      </c>
      <c r="AD419" s="21">
        <f>O419-Y419</f>
        <v/>
      </c>
      <c r="AE419" s="21">
        <f>P419-X419</f>
        <v/>
      </c>
      <c r="AF419" s="21">
        <f>IF(Q419="","",Q419-Z419)</f>
        <v/>
      </c>
      <c r="AG419" s="22">
        <f>AC419+AD419+AE419+N(AF419)</f>
        <v/>
      </c>
      <c r="AH419" s="11" t="n">
        <v>1716617.49</v>
      </c>
      <c r="AI419" s="24">
        <f>AG419-AH419</f>
        <v/>
      </c>
      <c r="AJ419" s="14">
        <f>IF(OR(B419="",B419=0,N419=""),"",N419/B419*10000)</f>
        <v/>
      </c>
      <c r="AK419" s="14">
        <f>IF(OR(C419="",C419=0),"",O419/C419*10000)</f>
        <v/>
      </c>
      <c r="AL419" s="14">
        <f>IF(OR(D419="",D419=0),"",P419/D419*10000)</f>
        <v/>
      </c>
      <c r="AM419" s="14">
        <f>IF(OR(E419="",E419=0),"",Q419/E419*10000)</f>
        <v/>
      </c>
      <c r="AN419" s="11" t="n">
        <v>21469.4981242083</v>
      </c>
      <c r="AO419" s="11" t="n">
        <v>12301.45</v>
      </c>
      <c r="AP419" s="21">
        <f>AH419+AN419+AO419</f>
        <v/>
      </c>
      <c r="AQ419" s="21">
        <f>AH419</f>
        <v/>
      </c>
      <c r="AR419" s="15" t="n">
        <v>71932.35000000001</v>
      </c>
      <c r="AS419" s="27" t="n">
        <v>23.864332</v>
      </c>
      <c r="AT419" s="15" t="n">
        <v>38984999.26255512</v>
      </c>
      <c r="AU419" s="15" t="n">
        <v>26462.1688</v>
      </c>
      <c r="AV419" s="15" t="n">
        <v>3042.965</v>
      </c>
      <c r="AW419" s="15" t="n"/>
      <c r="AX419" s="16" t="n">
        <v>434.2184754963914</v>
      </c>
      <c r="AY419" s="13">
        <f>IF(OR(AX419="",AX419=0,AU419=""),"",AU419*365/(AX419*1000000))</f>
        <v/>
      </c>
      <c r="AZ419" s="15" t="n">
        <v>417918216.336</v>
      </c>
      <c r="BA419" s="17" t="n">
        <v>60487233</v>
      </c>
      <c r="BB419" s="18" t="n">
        <v>38984999.26255512</v>
      </c>
      <c r="BC419" s="17" t="n">
        <v>2971663</v>
      </c>
      <c r="BD419" s="17">
        <f>1000000000-999406830.1788+199458.4115</f>
        <v/>
      </c>
      <c r="BE419" s="19">
        <f>1000000000-AZ419-BA419-BB419-BC419-BD419</f>
        <v/>
      </c>
      <c r="BF419" s="20" t="n">
        <v>235.128488</v>
      </c>
      <c r="BG419" s="20">
        <f>BE419/1000000-BF419</f>
        <v/>
      </c>
      <c r="BH419" s="21">
        <f>BE419*23.83</f>
        <v/>
      </c>
    </row>
    <row r="420">
      <c r="A420" s="10" t="n">
        <v>46042</v>
      </c>
      <c r="B420" s="11" t="n">
        <v>8422157053</v>
      </c>
      <c r="C420" s="11" t="n">
        <v>763107495.9</v>
      </c>
      <c r="D420" s="11" t="n">
        <v>234922252</v>
      </c>
      <c r="E420" s="11" t="n"/>
      <c r="F420" s="24" t="n">
        <v>222579653.2240513</v>
      </c>
      <c r="G420" s="24" t="n">
        <v>39326975.63283064</v>
      </c>
      <c r="H420" s="24" t="n">
        <v>6398094.004680679</v>
      </c>
      <c r="I420" s="24" t="n">
        <v>315233482.6892059</v>
      </c>
      <c r="J420" s="24" t="n">
        <v>68138.68904505088</v>
      </c>
      <c r="K420" s="24" t="n">
        <v>179501151.6601864</v>
      </c>
      <c r="L420" s="21">
        <f>SUM(F420:K420)</f>
        <v/>
      </c>
      <c r="M420" s="28" t="n">
        <v>0.9963292821791305</v>
      </c>
      <c r="N420" s="11" t="n">
        <v>2660926.08</v>
      </c>
      <c r="O420" s="11" t="n">
        <v>151276.72</v>
      </c>
      <c r="P420" s="11" t="n">
        <v>117819.88</v>
      </c>
      <c r="Q420" s="11" t="n"/>
      <c r="R420" s="21">
        <f>N420+O420+P420+N(Q420)</f>
        <v/>
      </c>
      <c r="S420" s="13" t="n">
        <v>0.01</v>
      </c>
      <c r="T420" s="21">
        <f>N(AC420)*S420</f>
        <v/>
      </c>
      <c r="U420" s="21">
        <f>N(AD420)*S420</f>
        <v/>
      </c>
      <c r="V420" s="21">
        <f>N(AE420)*S420</f>
        <v/>
      </c>
      <c r="W420" s="21">
        <f>IF(Q420="","",N(AF420)*S420)</f>
        <v/>
      </c>
      <c r="X420" s="11" t="n">
        <v>23909.39</v>
      </c>
      <c r="Y420" s="11" t="n">
        <v>65110.75</v>
      </c>
      <c r="Z420" s="11" t="n"/>
      <c r="AA420" s="21">
        <f>T420+U420+V420+N(W420)+X420+Y420+N(Z420)</f>
        <v/>
      </c>
      <c r="AB420" s="11" t="n">
        <v>147307.9303</v>
      </c>
      <c r="AC420" s="11" t="n">
        <v>2660926.08</v>
      </c>
      <c r="AD420" s="21">
        <f>O420-Y420</f>
        <v/>
      </c>
      <c r="AE420" s="21">
        <f>P420-X420</f>
        <v/>
      </c>
      <c r="AF420" s="21">
        <f>IF(Q420="","",Q420-Z420)</f>
        <v/>
      </c>
      <c r="AG420" s="22">
        <f>AC420+AD420+AE420+N(AF420)</f>
        <v/>
      </c>
      <c r="AH420" s="11" t="n">
        <v>2517934.18</v>
      </c>
      <c r="AI420" s="24">
        <f>AG420-AH420</f>
        <v/>
      </c>
      <c r="AJ420" s="14">
        <f>IF(OR(B420="",B420=0,N420=""),"",N420/B420*10000)</f>
        <v/>
      </c>
      <c r="AK420" s="14">
        <f>IF(OR(C420="",C420=0),"",O420/C420*10000)</f>
        <v/>
      </c>
      <c r="AL420" s="14">
        <f>IF(OR(D420="",D420=0),"",P420/D420*10000)</f>
        <v/>
      </c>
      <c r="AM420" s="14">
        <f>IF(OR(E420="",E420=0),"",Q420/E420*10000)</f>
        <v/>
      </c>
      <c r="AN420" s="11" t="n">
        <v>18372.72732450072</v>
      </c>
      <c r="AO420" s="11" t="n">
        <v>0</v>
      </c>
      <c r="AP420" s="21">
        <f>AH420+AN420+AO420</f>
        <v/>
      </c>
      <c r="AQ420" s="21">
        <f>AH420</f>
        <v/>
      </c>
      <c r="AR420" s="15" t="n">
        <v>113308.89</v>
      </c>
      <c r="AS420" s="27" t="n">
        <v>22.221859</v>
      </c>
      <c r="AT420" s="15" t="n">
        <v>39098741.18255512</v>
      </c>
      <c r="AU420" s="15" t="n">
        <v>26446.4191</v>
      </c>
      <c r="AV420" s="15" t="n">
        <v>4560.8335</v>
      </c>
      <c r="AW420" s="15" t="n"/>
      <c r="AX420" s="16" t="n">
        <v>433.838194836338</v>
      </c>
      <c r="AY420" s="13">
        <f>IF(OR(AX420="",AX420=0,AU420=""),"",AU420*365/(AX420*1000000))</f>
        <v/>
      </c>
      <c r="AZ420" s="15" t="n">
        <v>417891769.9169</v>
      </c>
      <c r="BA420" s="17" t="n">
        <v>60487233</v>
      </c>
      <c r="BB420" s="18" t="n">
        <v>39098741.18255512</v>
      </c>
      <c r="BC420" s="17" t="n">
        <v>2971663</v>
      </c>
      <c r="BD420" s="17">
        <f>1000000000-999402269.3453+200239.8307</f>
        <v/>
      </c>
      <c r="BE420" s="19">
        <f>1000000000-AZ420-BA420-BB420-BC420-BD420</f>
        <v/>
      </c>
      <c r="BF420" s="20" t="n">
        <v>235.128488</v>
      </c>
      <c r="BG420" s="20">
        <f>BE420/1000000-BF420</f>
        <v/>
      </c>
      <c r="BH420" s="21">
        <f>BE420*23.51</f>
        <v/>
      </c>
    </row>
    <row r="421">
      <c r="A421" s="10" t="n">
        <v>46043</v>
      </c>
      <c r="B421" s="11" t="n">
        <v>9010687391</v>
      </c>
      <c r="C421" s="11" t="n">
        <v>983308479.87</v>
      </c>
      <c r="D421" s="11" t="n">
        <v>164557618</v>
      </c>
      <c r="E421" s="11" t="n"/>
      <c r="F421" s="24" t="n">
        <v>343081321.5924164</v>
      </c>
      <c r="G421" s="24" t="n">
        <v>42414097.66544759</v>
      </c>
      <c r="H421" s="24" t="n">
        <v>4668568.645410443</v>
      </c>
      <c r="I421" s="24" t="n">
        <v>400548771.5137499</v>
      </c>
      <c r="J421" s="24" t="n">
        <v>298773.5214279818</v>
      </c>
      <c r="K421" s="24" t="n">
        <v>192296946.9315478</v>
      </c>
      <c r="L421" s="21">
        <f>SUM(F421:K421)</f>
        <v/>
      </c>
      <c r="M421" s="28" t="n">
        <v>1.011719252989292</v>
      </c>
      <c r="N421" s="11" t="n">
        <v>2726971.07</v>
      </c>
      <c r="O421" s="11" t="n">
        <v>221094.99</v>
      </c>
      <c r="P421" s="11" t="n">
        <v>90293.12999999999</v>
      </c>
      <c r="Q421" s="11" t="n"/>
      <c r="R421" s="21">
        <f>N421+O421+P421+N(Q421)</f>
        <v/>
      </c>
      <c r="S421" s="13" t="n">
        <v>0.01</v>
      </c>
      <c r="T421" s="21">
        <f>N(AC421)*S421</f>
        <v/>
      </c>
      <c r="U421" s="21">
        <f>N(AD421)*S421</f>
        <v/>
      </c>
      <c r="V421" s="21">
        <f>N(AE421)*S421</f>
        <v/>
      </c>
      <c r="W421" s="21">
        <f>IF(Q421="","",N(AF421)*S421)</f>
        <v/>
      </c>
      <c r="X421" s="11" t="n">
        <v>18193.01</v>
      </c>
      <c r="Y421" s="11" t="n">
        <v>104433.14</v>
      </c>
      <c r="Z421" s="11" t="n"/>
      <c r="AA421" s="21">
        <f>T421+U421+V421+N(W421)+X421+Y421+N(Z421)</f>
        <v/>
      </c>
      <c r="AB421" s="11" t="n">
        <v>161944.5213</v>
      </c>
      <c r="AC421" s="11" t="n">
        <v>2726971.07</v>
      </c>
      <c r="AD421" s="21">
        <f>O421-Y421</f>
        <v/>
      </c>
      <c r="AE421" s="21">
        <f>P421-X421</f>
        <v/>
      </c>
      <c r="AF421" s="21">
        <f>IF(Q421="","",Q421-Z421)</f>
        <v/>
      </c>
      <c r="AG421" s="22">
        <f>AC421+AD421+AE421+N(AF421)</f>
        <v/>
      </c>
      <c r="AH421" s="11" t="n">
        <v>2460042.19</v>
      </c>
      <c r="AI421" s="24">
        <f>AG421-AH421</f>
        <v/>
      </c>
      <c r="AJ421" s="14">
        <f>IF(OR(B421="",B421=0,N421=""),"",N421/B421*10000)</f>
        <v/>
      </c>
      <c r="AK421" s="14">
        <f>IF(OR(C421="",C421=0),"",O421/C421*10000)</f>
        <v/>
      </c>
      <c r="AL421" s="14">
        <f>IF(OR(D421="",D421=0),"",P421/D421*10000)</f>
        <v/>
      </c>
      <c r="AM421" s="14">
        <f>IF(OR(E421="",E421=0),"",Q421/E421*10000)</f>
        <v/>
      </c>
      <c r="AN421" s="11" t="n">
        <v>12242.98376322578</v>
      </c>
      <c r="AO421" s="11" t="n">
        <v>0</v>
      </c>
      <c r="AP421" s="21">
        <f>AH421+AN421+AO421</f>
        <v/>
      </c>
      <c r="AQ421" s="21">
        <f>AH421</f>
        <v/>
      </c>
      <c r="AR421" s="15" t="n">
        <v>115805.51</v>
      </c>
      <c r="AS421" s="27" t="n">
        <v>21.242877</v>
      </c>
      <c r="AT421" s="15" t="n">
        <v>39213632.08255512</v>
      </c>
      <c r="AU421" s="15" t="n">
        <v>26461.826</v>
      </c>
      <c r="AV421" s="15" t="n">
        <v>22480.5803</v>
      </c>
      <c r="AW421" s="15" t="n"/>
      <c r="AX421" s="16" t="n">
        <v>434.981313426192</v>
      </c>
      <c r="AY421" s="13">
        <f>IF(OR(AX421="",AX421=0,AU421=""),"",AU421*365/(AX421*1000000))</f>
        <v/>
      </c>
      <c r="AZ421" s="15" t="n">
        <v>417865308.0909</v>
      </c>
      <c r="BA421" s="17" t="n">
        <v>60487233</v>
      </c>
      <c r="BB421" s="18" t="n">
        <v>39213632.08255512</v>
      </c>
      <c r="BC421" s="17" t="n">
        <v>2971663</v>
      </c>
      <c r="BD421" s="17">
        <f>1000000000-999379788.765+200822.5247</f>
        <v/>
      </c>
      <c r="BE421" s="19">
        <f>1000000000-AZ421-BA421-BB421-BC421-BD421</f>
        <v/>
      </c>
      <c r="BF421" s="20" t="n">
        <v>235.128488</v>
      </c>
      <c r="BG421" s="20">
        <f>BE421/1000000-BF421</f>
        <v/>
      </c>
      <c r="BH421" s="21">
        <f>BE421*21</f>
        <v/>
      </c>
    </row>
    <row r="422">
      <c r="A422" s="10" t="n">
        <v>46044</v>
      </c>
      <c r="B422" s="11" t="n">
        <v>5236112576</v>
      </c>
      <c r="C422" s="11" t="n">
        <v>927043914.92</v>
      </c>
      <c r="D422" s="11" t="n">
        <v>102803098</v>
      </c>
      <c r="E422" s="11" t="n"/>
      <c r="F422" s="24" t="n">
        <v>252178947.539677</v>
      </c>
      <c r="G422" s="24" t="n">
        <v>21646249.44522092</v>
      </c>
      <c r="H422" s="24" t="n">
        <v>4603108.467627347</v>
      </c>
      <c r="I422" s="24" t="n">
        <v>438974667.5410826</v>
      </c>
      <c r="J422" s="24" t="n">
        <v>543854.266529063</v>
      </c>
      <c r="K422" s="24" t="n">
        <v>209097087.6598631</v>
      </c>
      <c r="L422" s="21">
        <f>SUM(F422:K422)</f>
        <v/>
      </c>
      <c r="M422" s="28" t="n">
        <v>1.003889304732169</v>
      </c>
      <c r="N422" s="11" t="n">
        <v>1677817.1</v>
      </c>
      <c r="O422" s="11" t="n">
        <v>257262.99</v>
      </c>
      <c r="P422" s="11" t="n">
        <v>94474.11</v>
      </c>
      <c r="Q422" s="11" t="n"/>
      <c r="R422" s="21">
        <f>N422+O422+P422+N(Q422)</f>
        <v/>
      </c>
      <c r="S422" s="13" t="n">
        <v>0.01</v>
      </c>
      <c r="T422" s="21">
        <f>N(AC422)*S422</f>
        <v/>
      </c>
      <c r="U422" s="21">
        <f>N(AD422)*S422</f>
        <v/>
      </c>
      <c r="V422" s="21">
        <f>N(AE422)*S422</f>
        <v/>
      </c>
      <c r="W422" s="21">
        <f>IF(Q422="","",N(AF422)*S422)</f>
        <v/>
      </c>
      <c r="X422" s="11" t="n">
        <v>9393.799999999999</v>
      </c>
      <c r="Y422" s="11" t="n">
        <v>124680.42</v>
      </c>
      <c r="Z422" s="11" t="n"/>
      <c r="AA422" s="21">
        <f>T422+U422+V422+N(W422)+X422+Y422+N(Z422)</f>
        <v/>
      </c>
      <c r="AB422" s="11" t="n">
        <v>286738.2098</v>
      </c>
      <c r="AC422" s="11" t="n">
        <v>1677817.1</v>
      </c>
      <c r="AD422" s="21">
        <f>O422-Y422</f>
        <v/>
      </c>
      <c r="AE422" s="21">
        <f>P422-X422</f>
        <v/>
      </c>
      <c r="AF422" s="21">
        <f>IF(Q422="","",Q422-Z422)</f>
        <v/>
      </c>
      <c r="AG422" s="22">
        <f>AC422+AD422+AE422+N(AF422)</f>
        <v/>
      </c>
      <c r="AH422" s="11" t="n">
        <v>1420236.26</v>
      </c>
      <c r="AI422" s="24">
        <f>AG422-AH422</f>
        <v/>
      </c>
      <c r="AJ422" s="14">
        <f>IF(OR(B422="",B422=0,N422=""),"",N422/B422*10000)</f>
        <v/>
      </c>
      <c r="AK422" s="14">
        <f>IF(OR(C422="",C422=0),"",O422/C422*10000)</f>
        <v/>
      </c>
      <c r="AL422" s="14">
        <f>IF(OR(D422="",D422=0),"",P422/D422*10000)</f>
        <v/>
      </c>
      <c r="AM422" s="14">
        <f>IF(OR(E422="",E422=0),"",Q422/E422*10000)</f>
        <v/>
      </c>
      <c r="AN422" s="11" t="n">
        <v>4702.834749834637</v>
      </c>
      <c r="AO422" s="11" t="n">
        <v>12351.55</v>
      </c>
      <c r="AP422" s="21">
        <f>AH422+AN422+AO422</f>
        <v/>
      </c>
      <c r="AQ422" s="21">
        <f>AH422</f>
        <v/>
      </c>
      <c r="AR422" s="15" t="n">
        <v>65939.42</v>
      </c>
      <c r="AS422" s="27" t="n">
        <v>21.538501</v>
      </c>
      <c r="AT422" s="15" t="n">
        <v>39279106.22255512</v>
      </c>
      <c r="AU422" s="15" t="n">
        <v>26448.6614</v>
      </c>
      <c r="AV422" s="15" t="n">
        <v>3372.392</v>
      </c>
      <c r="AW422" s="15" t="n"/>
      <c r="AX422" s="16" t="n">
        <v>435.0714892871349</v>
      </c>
      <c r="AY422" s="13">
        <f>IF(OR(AX422="",AX422=0,AU422=""),"",AU422*365/(AX422*1000000))</f>
        <v/>
      </c>
      <c r="AZ422" s="15" t="n">
        <v>417838859.4295</v>
      </c>
      <c r="BA422" s="17" t="n">
        <v>60487233</v>
      </c>
      <c r="BB422" s="18" t="n">
        <v>39279106.22255512</v>
      </c>
      <c r="BC422" s="17" t="n">
        <v>2971663</v>
      </c>
      <c r="BD422" s="17">
        <f>1000000000-999376416.373+201039.2052</f>
        <v/>
      </c>
      <c r="BE422" s="19">
        <f>1000000000-AZ422-BA422-BB422-BC422-BD422</f>
        <v/>
      </c>
      <c r="BF422" s="20" t="n">
        <v>235.128488</v>
      </c>
      <c r="BG422" s="20">
        <f>BE422/1000000-BF422</f>
        <v/>
      </c>
      <c r="BH422" s="21">
        <f>BE422*21.7</f>
        <v/>
      </c>
    </row>
    <row r="423">
      <c r="A423" s="10" t="n">
        <v>46045</v>
      </c>
      <c r="B423" s="11" t="n">
        <v>6154364124</v>
      </c>
      <c r="C423" s="11" t="n">
        <v>874261861.1799999</v>
      </c>
      <c r="D423" s="11" t="n">
        <v>162099186</v>
      </c>
      <c r="E423" s="11" t="n"/>
      <c r="F423" s="24" t="n">
        <v>393243846.3649177</v>
      </c>
      <c r="G423" s="24" t="n">
        <v>28285274.7206121</v>
      </c>
      <c r="H423" s="24" t="n">
        <v>7749410.536745857</v>
      </c>
      <c r="I423" s="24" t="n">
        <v>279761473.4372319</v>
      </c>
      <c r="J423" s="24" t="n">
        <v>382099.7497649527</v>
      </c>
      <c r="K423" s="24" t="n">
        <v>164839756.3707274</v>
      </c>
      <c r="L423" s="21">
        <f>SUM(F423:K423)</f>
        <v/>
      </c>
      <c r="M423" s="28" t="n">
        <v>0.9882588520314887</v>
      </c>
      <c r="N423" s="11" t="n">
        <v>1732667.68</v>
      </c>
      <c r="O423" s="11" t="n">
        <v>192556.76</v>
      </c>
      <c r="P423" s="11" t="n">
        <v>215121.91</v>
      </c>
      <c r="Q423" s="11" t="n"/>
      <c r="R423" s="21">
        <f>N423+O423+P423+N(Q423)</f>
        <v/>
      </c>
      <c r="S423" s="13" t="n">
        <v>0.01</v>
      </c>
      <c r="T423" s="21">
        <f>N(AC423)*S423</f>
        <v/>
      </c>
      <c r="U423" s="21">
        <f>N(AD423)*S423</f>
        <v/>
      </c>
      <c r="V423" s="21">
        <f>N(AE423)*S423</f>
        <v/>
      </c>
      <c r="W423" s="21">
        <f>IF(Q423="","",N(AF423)*S423)</f>
        <v/>
      </c>
      <c r="X423" s="11" t="n">
        <v>11768.37</v>
      </c>
      <c r="Y423" s="11" t="n">
        <v>91076.71000000001</v>
      </c>
      <c r="Z423" s="11" t="n"/>
      <c r="AA423" s="21">
        <f>T423+U423+V423+N(W423)+X423+Y423+N(Z423)</f>
        <v/>
      </c>
      <c r="AB423" s="11" t="n">
        <v>175814.3378</v>
      </c>
      <c r="AC423" s="11" t="n">
        <v>1732667.68</v>
      </c>
      <c r="AD423" s="21">
        <f>O423-Y423</f>
        <v/>
      </c>
      <c r="AE423" s="21">
        <f>P423-X423</f>
        <v/>
      </c>
      <c r="AF423" s="21">
        <f>IF(Q423="","",Q423-Z423)</f>
        <v/>
      </c>
      <c r="AG423" s="22">
        <f>AC423+AD423+AE423+N(AF423)</f>
        <v/>
      </c>
      <c r="AH423" s="11" t="n">
        <v>1582594.47</v>
      </c>
      <c r="AI423" s="24">
        <f>AG423-AH423</f>
        <v/>
      </c>
      <c r="AJ423" s="14">
        <f>IF(OR(B423="",B423=0,N423=""),"",N423/B423*10000)</f>
        <v/>
      </c>
      <c r="AK423" s="14">
        <f>IF(OR(C423="",C423=0),"",O423/C423*10000)</f>
        <v/>
      </c>
      <c r="AL423" s="14">
        <f>IF(OR(D423="",D423=0),"",P423/D423*10000)</f>
        <v/>
      </c>
      <c r="AM423" s="14">
        <f>IF(OR(E423="",E423=0),"",Q423/E423*10000)</f>
        <v/>
      </c>
      <c r="AN423" s="11" t="n">
        <v>8465.658842631192</v>
      </c>
      <c r="AO423" s="11" t="n">
        <v>10993.46</v>
      </c>
      <c r="AP423" s="21">
        <f>AH423+AN423+AO423</f>
        <v/>
      </c>
      <c r="AQ423" s="21">
        <f>AH423</f>
        <v/>
      </c>
      <c r="AR423" s="15" t="n">
        <v>71996.77</v>
      </c>
      <c r="AS423" s="27" t="n">
        <v>21.981465</v>
      </c>
      <c r="AT423" s="15" t="n">
        <v>39351404.04255512</v>
      </c>
      <c r="AU423" s="15" t="n">
        <v>26483.302</v>
      </c>
      <c r="AV423" s="15" t="n">
        <v>868.2057</v>
      </c>
      <c r="AW423" s="15" t="n"/>
      <c r="AX423" s="16" t="n">
        <v>434.6326310984486</v>
      </c>
      <c r="AY423" s="13">
        <f>IF(OR(AX423="",AX423=0,AU423=""),"",AU423*365/(AX423*1000000))</f>
        <v/>
      </c>
      <c r="AZ423" s="15" t="n">
        <v>417812376.1275</v>
      </c>
      <c r="BA423" s="17" t="n">
        <v>60487233</v>
      </c>
      <c r="BB423" s="18" t="n">
        <v>39351404.04255512</v>
      </c>
      <c r="BC423" s="17" t="n">
        <v>2971663</v>
      </c>
      <c r="BD423" s="17">
        <f>1000000000-999375548.1673+201432.9568</f>
        <v/>
      </c>
      <c r="BE423" s="19">
        <f>1000000000-AZ423-BA423-BB423-BC423-BD423</f>
        <v/>
      </c>
      <c r="BF423" s="20" t="n">
        <v>235.128488</v>
      </c>
      <c r="BG423" s="20">
        <f>BE423/1000000-BF423</f>
        <v/>
      </c>
      <c r="BH423" s="21">
        <f>BE423*21.5</f>
        <v/>
      </c>
    </row>
    <row r="424">
      <c r="A424" s="10" t="n">
        <v>46046</v>
      </c>
      <c r="B424" s="11" t="n">
        <v>1332681362</v>
      </c>
      <c r="C424" s="11" t="n">
        <v>194383753.46</v>
      </c>
      <c r="D424" s="11" t="n">
        <v>99503991</v>
      </c>
      <c r="E424" s="11" t="n"/>
      <c r="F424" s="24" t="n">
        <v>102501111.4703724</v>
      </c>
      <c r="G424" s="24" t="n">
        <v>18884011.28785024</v>
      </c>
      <c r="H424" s="24" t="n">
        <v>2074382.578987705</v>
      </c>
      <c r="I424" s="24" t="n">
        <v>59168271.98527063</v>
      </c>
      <c r="J424" s="24" t="n">
        <v>61717.17390184605</v>
      </c>
      <c r="K424" s="24" t="n">
        <v>11694258.96361715</v>
      </c>
      <c r="L424" s="21">
        <f>SUM(F424:K424)</f>
        <v/>
      </c>
      <c r="M424" s="28" t="n">
        <v>0.9443411091491042</v>
      </c>
      <c r="N424" s="11" t="n">
        <v>436527.97</v>
      </c>
      <c r="O424" s="11" t="n">
        <v>64107.99</v>
      </c>
      <c r="P424" s="11" t="n">
        <v>51033.99</v>
      </c>
      <c r="Q424" s="11" t="n"/>
      <c r="R424" s="21">
        <f>N424+O424+P424+N(Q424)</f>
        <v/>
      </c>
      <c r="S424" s="13" t="n">
        <v>0.01</v>
      </c>
      <c r="T424" s="21">
        <f>N(AC424)*S424</f>
        <v/>
      </c>
      <c r="U424" s="21">
        <f>N(AD424)*S424</f>
        <v/>
      </c>
      <c r="V424" s="21">
        <f>N(AE424)*S424</f>
        <v/>
      </c>
      <c r="W424" s="21">
        <f>IF(Q424="","",N(AF424)*S424)</f>
        <v/>
      </c>
      <c r="X424" s="11" t="n">
        <v>12736.93</v>
      </c>
      <c r="Y424" s="11" t="n">
        <v>27973.85</v>
      </c>
      <c r="Z424" s="11" t="n"/>
      <c r="AA424" s="21">
        <f>T424+U424+V424+N(W424)+X424+Y424+N(Z424)</f>
        <v/>
      </c>
      <c r="AB424" s="11" t="n">
        <v>42882.403</v>
      </c>
      <c r="AC424" s="11" t="n">
        <v>436527.97</v>
      </c>
      <c r="AD424" s="21">
        <f>O424-Y424</f>
        <v/>
      </c>
      <c r="AE424" s="21">
        <f>P424-X424</f>
        <v/>
      </c>
      <c r="AF424" s="21">
        <f>IF(Q424="","",Q424-Z424)</f>
        <v/>
      </c>
      <c r="AG424" s="22">
        <f>AC424+AD424+AE424+N(AF424)</f>
        <v/>
      </c>
      <c r="AH424" s="11" t="n">
        <v>423383.14</v>
      </c>
      <c r="AI424" s="24">
        <f>AG424-AH424</f>
        <v/>
      </c>
      <c r="AJ424" s="14">
        <f>IF(OR(B424="",B424=0,N424=""),"",N424/B424*10000)</f>
        <v/>
      </c>
      <c r="AK424" s="14">
        <f>IF(OR(C424="",C424=0),"",O424/C424*10000)</f>
        <v/>
      </c>
      <c r="AL424" s="14">
        <f>IF(OR(D424="",D424=0),"",P424/D424*10000)</f>
        <v/>
      </c>
      <c r="AM424" s="14">
        <f>IF(OR(E424="",E424=0),"",Q424/E424*10000)</f>
        <v/>
      </c>
      <c r="AN424" s="11" t="n">
        <v>6982.090607981821</v>
      </c>
      <c r="AO424" s="11" t="n">
        <v>0</v>
      </c>
      <c r="AP424" s="21">
        <f>AH424+AN424+AO424</f>
        <v/>
      </c>
      <c r="AQ424" s="21">
        <f>AH424</f>
        <v/>
      </c>
      <c r="AR424" s="15" t="n">
        <v>18263.09</v>
      </c>
      <c r="AS424" s="27" t="n">
        <v>23.182448</v>
      </c>
      <c r="AT424" s="15" t="n">
        <v>39369328.12255512</v>
      </c>
      <c r="AU424" s="15" t="n">
        <v>26498.5129</v>
      </c>
      <c r="AV424" s="15" t="n">
        <v>3397.8179</v>
      </c>
      <c r="AW424" s="15" t="n"/>
      <c r="AX424" s="16" t="n">
        <v>435.3859540618191</v>
      </c>
      <c r="AY424" s="13">
        <f>IF(OR(AX424="",AX424=0,AU424=""),"",AU424*365/(AX424*1000000))</f>
        <v/>
      </c>
      <c r="AZ424" s="15" t="n">
        <v>417785877.6146</v>
      </c>
      <c r="BA424" s="17" t="n">
        <v>60487233</v>
      </c>
      <c r="BB424" s="18" t="n">
        <v>39369328.12255512</v>
      </c>
      <c r="BC424" s="17" t="n">
        <v>2971663</v>
      </c>
      <c r="BD424" s="17">
        <f>1000000000-999372150.3493+201741.6257</f>
        <v/>
      </c>
      <c r="BE424" s="19">
        <f>1000000000-AZ424-BA424-BB424-BC424-BD424</f>
        <v/>
      </c>
      <c r="BF424" s="20" t="n">
        <v>235.128488</v>
      </c>
      <c r="BG424" s="20">
        <f>BE424/1000000-BF424</f>
        <v/>
      </c>
      <c r="BH424" s="21">
        <f>BE424*22.61</f>
        <v/>
      </c>
    </row>
    <row r="425">
      <c r="A425" s="10" t="n">
        <v>46047</v>
      </c>
      <c r="B425" s="11" t="n">
        <v>5512051849</v>
      </c>
      <c r="C425" s="11" t="n">
        <v>455797673.47</v>
      </c>
      <c r="D425" s="11" t="n">
        <v>136721879</v>
      </c>
      <c r="E425" s="11" t="n"/>
      <c r="F425" s="24" t="n">
        <v>192027015.9940287</v>
      </c>
      <c r="G425" s="24" t="n">
        <v>44763018.59959</v>
      </c>
      <c r="H425" s="24" t="n">
        <v>49755123.89052587</v>
      </c>
      <c r="I425" s="24" t="n">
        <v>112565962.0648128</v>
      </c>
      <c r="J425" s="24" t="n">
        <v>255653.9186621426</v>
      </c>
      <c r="K425" s="24" t="n">
        <v>56430899.00238056</v>
      </c>
      <c r="L425" s="21">
        <f>SUM(F425:K425)</f>
        <v/>
      </c>
      <c r="M425" s="28" t="n">
        <v>1.20984147494101</v>
      </c>
      <c r="N425" s="11" t="n">
        <v>1550703.02</v>
      </c>
      <c r="O425" s="11" t="n">
        <v>176073.01</v>
      </c>
      <c r="P425" s="11" t="n">
        <v>64700.74</v>
      </c>
      <c r="Q425" s="11" t="n"/>
      <c r="R425" s="21">
        <f>N425+O425+P425+N(Q425)</f>
        <v/>
      </c>
      <c r="S425" s="13" t="n">
        <v>0.01</v>
      </c>
      <c r="T425" s="21">
        <f>N(AC425)*S425</f>
        <v/>
      </c>
      <c r="U425" s="21">
        <f>N(AD425)*S425</f>
        <v/>
      </c>
      <c r="V425" s="21">
        <f>N(AE425)*S425</f>
        <v/>
      </c>
      <c r="W425" s="21">
        <f>IF(Q425="","",N(AF425)*S425)</f>
        <v/>
      </c>
      <c r="X425" s="11" t="n">
        <v>11122.63</v>
      </c>
      <c r="Y425" s="11" t="n">
        <v>81257.38</v>
      </c>
      <c r="Z425" s="11" t="n"/>
      <c r="AA425" s="21">
        <f>T425+U425+V425+N(W425)+X425+Y425+N(Z425)</f>
        <v/>
      </c>
      <c r="AB425" s="11" t="n">
        <v>162923.698</v>
      </c>
      <c r="AC425" s="11" t="n">
        <v>1550703.02</v>
      </c>
      <c r="AD425" s="21">
        <f>O425-Y425</f>
        <v/>
      </c>
      <c r="AE425" s="21">
        <f>P425-X425</f>
        <v/>
      </c>
      <c r="AF425" s="21">
        <f>IF(Q425="","",Q425-Z425)</f>
        <v/>
      </c>
      <c r="AG425" s="22">
        <f>AC425+AD425+AE425+N(AF425)</f>
        <v/>
      </c>
      <c r="AH425" s="11" t="n">
        <v>1354082.47</v>
      </c>
      <c r="AI425" s="24">
        <f>AG425-AH425</f>
        <v/>
      </c>
      <c r="AJ425" s="14">
        <f>IF(OR(B425="",B425=0,N425=""),"",N425/B425*10000)</f>
        <v/>
      </c>
      <c r="AK425" s="14">
        <f>IF(OR(C425="",C425=0),"",O425/C425*10000)</f>
        <v/>
      </c>
      <c r="AL425" s="14">
        <f>IF(OR(D425="",D425=0),"",P425/D425*10000)</f>
        <v/>
      </c>
      <c r="AM425" s="14">
        <f>IF(OR(E425="",E425=0),"",Q425/E425*10000)</f>
        <v/>
      </c>
      <c r="AN425" s="11" t="n">
        <v>8127.996258586393</v>
      </c>
      <c r="AO425" s="11" t="n">
        <v>11757.21</v>
      </c>
      <c r="AP425" s="21">
        <f>AH425+AN425+AO425</f>
        <v/>
      </c>
      <c r="AQ425" s="21">
        <f>AH425</f>
        <v/>
      </c>
      <c r="AR425" s="15" t="n">
        <v>60926.13</v>
      </c>
      <c r="AS425" s="27" t="n">
        <v>22.224987</v>
      </c>
      <c r="AT425" s="15" t="n">
        <v>39436651.66255512</v>
      </c>
      <c r="AU425" s="15" t="n">
        <v>26486.8658</v>
      </c>
      <c r="AV425" s="15" t="n">
        <v>1634.8405</v>
      </c>
      <c r="AW425" s="15" t="n"/>
      <c r="AX425" s="16" t="n">
        <v>435.6250007728917</v>
      </c>
      <c r="AY425" s="13">
        <f>IF(OR(AX425="",AX425=0,AU425=""),"",AU425*365/(AX425*1000000))</f>
        <v/>
      </c>
      <c r="AZ425" s="15" t="n">
        <v>417759390.7487</v>
      </c>
      <c r="BA425" s="17" t="n">
        <v>60487233</v>
      </c>
      <c r="BB425" s="18" t="n">
        <v>39436651.66255512</v>
      </c>
      <c r="BC425" s="17" t="n">
        <v>2971663</v>
      </c>
      <c r="BD425" s="17">
        <f>1000000000-999370515.5089+202090.9765</f>
        <v/>
      </c>
      <c r="BE425" s="19">
        <f>1000000000-AZ425-BA425-BB425-BC425-BD425</f>
        <v/>
      </c>
      <c r="BF425" s="20" t="n">
        <v>235.128488</v>
      </c>
      <c r="BG425" s="20">
        <f>BE425/1000000-BF425</f>
        <v/>
      </c>
      <c r="BH425" s="21">
        <f>BE425*23.27</f>
        <v/>
      </c>
    </row>
    <row r="426">
      <c r="A426" s="10" t="n">
        <v>46048</v>
      </c>
      <c r="B426" s="11" t="n">
        <v>5561691775</v>
      </c>
      <c r="C426" s="11" t="n">
        <v>1714162470.06</v>
      </c>
      <c r="D426" s="11" t="n">
        <v>143906955</v>
      </c>
      <c r="E426" s="11" t="n"/>
      <c r="F426" s="24" t="n">
        <v>1190266360.56995</v>
      </c>
      <c r="G426" s="24" t="n">
        <v>31459765.61091736</v>
      </c>
      <c r="H426" s="24" t="n">
        <v>23913015.90660959</v>
      </c>
      <c r="I426" s="24" t="n">
        <v>313892742.1789539</v>
      </c>
      <c r="J426" s="24" t="n">
        <v>387688.980229125</v>
      </c>
      <c r="K426" s="24" t="n">
        <v>154242896.8133397</v>
      </c>
      <c r="L426" s="21">
        <f>SUM(F426:K426)</f>
        <v/>
      </c>
      <c r="M426" s="28" t="n">
        <v>0.9996780334095274</v>
      </c>
      <c r="N426" s="11" t="n">
        <v>1693786.16</v>
      </c>
      <c r="O426" s="11" t="n">
        <v>357497.97</v>
      </c>
      <c r="P426" s="11" t="n">
        <v>72251.07000000001</v>
      </c>
      <c r="Q426" s="11" t="n"/>
      <c r="R426" s="21">
        <f>N426+O426+P426+N(Q426)</f>
        <v/>
      </c>
      <c r="S426" s="13" t="n">
        <v>0.01</v>
      </c>
      <c r="T426" s="21">
        <f>N(AC426)*S426</f>
        <v/>
      </c>
      <c r="U426" s="21">
        <f>N(AD426)*S426</f>
        <v/>
      </c>
      <c r="V426" s="21">
        <f>N(AE426)*S426</f>
        <v/>
      </c>
      <c r="W426" s="21">
        <f>IF(Q426="","",N(AF426)*S426)</f>
        <v/>
      </c>
      <c r="X426" s="11" t="n">
        <v>10599.18</v>
      </c>
      <c r="Y426" s="11" t="n">
        <v>173387.7</v>
      </c>
      <c r="Z426" s="11" t="n"/>
      <c r="AA426" s="21">
        <f>T426+U426+V426+N(W426)+X426+Y426+N(Z426)</f>
        <v/>
      </c>
      <c r="AB426" s="11" t="n">
        <v>199152.366</v>
      </c>
      <c r="AC426" s="11" t="n">
        <v>1693786.16</v>
      </c>
      <c r="AD426" s="21">
        <f>O426-Y426</f>
        <v/>
      </c>
      <c r="AE426" s="21">
        <f>P426-X426</f>
        <v/>
      </c>
      <c r="AF426" s="21">
        <f>IF(Q426="","",Q426-Z426)</f>
        <v/>
      </c>
      <c r="AG426" s="22">
        <f>AC426+AD426+AE426+N(AF426)</f>
        <v/>
      </c>
      <c r="AH426" s="11" t="n">
        <v>1686069.29</v>
      </c>
      <c r="AI426" s="24">
        <f>AG426-AH426</f>
        <v/>
      </c>
      <c r="AJ426" s="14">
        <f>IF(OR(B426="",B426=0,N426=""),"",N426/B426*10000)</f>
        <v/>
      </c>
      <c r="AK426" s="14">
        <f>IF(OR(C426="",C426=0),"",O426/C426*10000)</f>
        <v/>
      </c>
      <c r="AL426" s="14">
        <f>IF(OR(D426="",D426=0),"",P426/D426*10000)</f>
        <v/>
      </c>
      <c r="AM426" s="14">
        <f>IF(OR(E426="",E426=0),"",Q426/E426*10000)</f>
        <v/>
      </c>
      <c r="AN426" s="11" t="n">
        <v>14122.5887757327</v>
      </c>
      <c r="AO426" s="11" t="n">
        <v>11207.93</v>
      </c>
      <c r="AP426" s="21">
        <f>AH426+AN426+AO426</f>
        <v/>
      </c>
      <c r="AQ426" s="21">
        <f>AH426</f>
        <v/>
      </c>
      <c r="AR426" s="15" t="n">
        <v>73480.55</v>
      </c>
      <c r="AS426" s="27" t="n">
        <v>22.94579</v>
      </c>
      <c r="AT426" s="15" t="n">
        <v>39504435.71255512</v>
      </c>
      <c r="AU426" s="15" t="n">
        <v>26515.2185</v>
      </c>
      <c r="AV426" s="15" t="n">
        <v>14016.8459</v>
      </c>
      <c r="AW426" s="15" t="n"/>
      <c r="AX426" s="16" t="n">
        <v>435.5778950395568</v>
      </c>
      <c r="AY426" s="13">
        <f>IF(OR(AX426="",AX426=0,AU426=""),"",AU426*365/(AX426*1000000))</f>
        <v/>
      </c>
      <c r="AZ426" s="15" t="n">
        <v>417732875.5303</v>
      </c>
      <c r="BA426" s="17" t="n">
        <v>60487233</v>
      </c>
      <c r="BB426" s="18" t="n">
        <v>39504435.71255512</v>
      </c>
      <c r="BC426" s="17" t="n">
        <v>2971663</v>
      </c>
      <c r="BD426" s="17">
        <f>1000000000-999356498.663+202734.0524</f>
        <v/>
      </c>
      <c r="BE426" s="19">
        <f>1000000000-AZ426-BA426-BB426-BC426-BD426</f>
        <v/>
      </c>
      <c r="BF426" s="20" t="n">
        <v>235.128488</v>
      </c>
      <c r="BG426" s="20">
        <f>BE426/1000000-BF426</f>
        <v/>
      </c>
      <c r="BH426" s="21">
        <f>BE426*21.96</f>
        <v/>
      </c>
    </row>
    <row r="427">
      <c r="A427" s="10" t="n">
        <v>46049</v>
      </c>
      <c r="B427" s="11" t="n">
        <v>5183899584</v>
      </c>
      <c r="C427" s="11" t="n">
        <v>1781438333.6</v>
      </c>
      <c r="D427" s="11" t="n">
        <v>263315443</v>
      </c>
      <c r="E427" s="11" t="n"/>
      <c r="F427" s="24" t="n">
        <v>1338063752.271882</v>
      </c>
      <c r="G427" s="24" t="n">
        <v>35587983.61581767</v>
      </c>
      <c r="H427" s="24" t="n">
        <v>11942505.14866049</v>
      </c>
      <c r="I427" s="24" t="n">
        <v>255179561.0667496</v>
      </c>
      <c r="J427" s="24" t="n">
        <v>505102.7572525595</v>
      </c>
      <c r="K427" s="24" t="n">
        <v>140159428.7396378</v>
      </c>
      <c r="L427" s="21">
        <f>SUM(F427:K427)</f>
        <v/>
      </c>
      <c r="M427" s="28" t="n">
        <v>0.9837189412514777</v>
      </c>
      <c r="N427" s="11" t="n">
        <v>1606411.25</v>
      </c>
      <c r="O427" s="11" t="n">
        <v>307520.08</v>
      </c>
      <c r="P427" s="11" t="n">
        <v>131896.23</v>
      </c>
      <c r="Q427" s="11" t="n"/>
      <c r="R427" s="21">
        <f>N427+O427+P427+N(Q427)</f>
        <v/>
      </c>
      <c r="S427" s="13" t="n">
        <v>0.01</v>
      </c>
      <c r="T427" s="21">
        <f>N(AC427)*S427</f>
        <v/>
      </c>
      <c r="U427" s="21">
        <f>N(AD427)*S427</f>
        <v/>
      </c>
      <c r="V427" s="21">
        <f>N(AE427)*S427</f>
        <v/>
      </c>
      <c r="W427" s="21">
        <f>IF(Q427="","",N(AF427)*S427)</f>
        <v/>
      </c>
      <c r="X427" s="11" t="n">
        <v>14618.03</v>
      </c>
      <c r="Y427" s="11" t="n">
        <v>147580.26</v>
      </c>
      <c r="Z427" s="11" t="n"/>
      <c r="AA427" s="21">
        <f>T427+U427+V427+N(W427)+X427+Y427+N(Z427)</f>
        <v/>
      </c>
      <c r="AB427" s="11" t="n">
        <v>165385.8654</v>
      </c>
      <c r="AC427" s="11" t="n">
        <v>1606411.25</v>
      </c>
      <c r="AD427" s="21">
        <f>O427-Y427</f>
        <v/>
      </c>
      <c r="AE427" s="21">
        <f>P427-X427</f>
        <v/>
      </c>
      <c r="AF427" s="21">
        <f>IF(Q427="","",Q427-Z427)</f>
        <v/>
      </c>
      <c r="AG427" s="22">
        <f>AC427+AD427+AE427+N(AF427)</f>
        <v/>
      </c>
      <c r="AH427" s="11" t="n">
        <v>1379697.28</v>
      </c>
      <c r="AI427" s="24">
        <f>AG427-AH427</f>
        <v/>
      </c>
      <c r="AJ427" s="14">
        <f>IF(OR(B427="",B427=0,N427=""),"",N427/B427*10000)</f>
        <v/>
      </c>
      <c r="AK427" s="14">
        <f>IF(OR(C427="",C427=0),"",O427/C427*10000)</f>
        <v/>
      </c>
      <c r="AL427" s="14">
        <f>IF(OR(D427="",D427=0),"",P427/D427*10000)</f>
        <v/>
      </c>
      <c r="AM427" s="14">
        <f>IF(OR(E427="",E427=0),"",Q427/E427*10000)</f>
        <v/>
      </c>
      <c r="AN427" s="11" t="n">
        <v>32197.88640983001</v>
      </c>
      <c r="AO427" s="11" t="n">
        <v>12720.97</v>
      </c>
      <c r="AP427" s="21">
        <f>AH427+AN427+AO427</f>
        <v/>
      </c>
      <c r="AQ427" s="21">
        <f>AH427</f>
        <v/>
      </c>
      <c r="AR427" s="15" t="n">
        <v>49506.09</v>
      </c>
      <c r="AS427" s="27" t="n">
        <v>27.869244</v>
      </c>
      <c r="AT427" s="15" t="n">
        <v>39552810.69255512</v>
      </c>
      <c r="AU427" s="15" t="n">
        <v>26518.0239</v>
      </c>
      <c r="AV427" s="15" t="n">
        <v>6036.8612</v>
      </c>
      <c r="AW427" s="15" t="n"/>
      <c r="AX427" s="16" t="n">
        <v>435.8809374728741</v>
      </c>
      <c r="AY427" s="13">
        <f>IF(OR(AX427="",AX427=0,AU427=""),"",AU427*365/(AX427*1000000))</f>
        <v/>
      </c>
      <c r="AZ427" s="15" t="n">
        <v>417706357.5063</v>
      </c>
      <c r="BA427" s="17" t="n">
        <v>60487233</v>
      </c>
      <c r="BB427" s="18" t="n">
        <v>39552810.69255512</v>
      </c>
      <c r="BC427" s="17" t="n">
        <v>2971663</v>
      </c>
      <c r="BD427" s="17">
        <f>1000000000-999350461.8018+204017.3991</f>
        <v/>
      </c>
      <c r="BE427" s="19">
        <f>1000000000-AZ427-BA427-BB427-BC427-BD427</f>
        <v/>
      </c>
      <c r="BF427" s="20" t="n">
        <v>235.128488</v>
      </c>
      <c r="BG427" s="20">
        <f>BE427/1000000-BF427</f>
        <v/>
      </c>
      <c r="BH427" s="21">
        <f>BE427*25.08</f>
        <v/>
      </c>
    </row>
    <row r="428">
      <c r="A428" s="10" t="n">
        <v>46050</v>
      </c>
      <c r="B428" s="11" t="n">
        <v>7234684635</v>
      </c>
      <c r="C428" s="11" t="n">
        <v>2237768379.27</v>
      </c>
      <c r="D428" s="11" t="n">
        <v>340689375</v>
      </c>
      <c r="E428" s="11" t="n"/>
      <c r="F428" s="24" t="n">
        <v>1501406816.69994</v>
      </c>
      <c r="G428" s="24" t="n">
        <v>42830161.37071742</v>
      </c>
      <c r="H428" s="24" t="n">
        <v>13773130.41834748</v>
      </c>
      <c r="I428" s="24" t="n">
        <v>419580564.8806858</v>
      </c>
      <c r="J428" s="24" t="n">
        <v>550439.1916066523</v>
      </c>
      <c r="K428" s="24" t="n">
        <v>259627266.7087026</v>
      </c>
      <c r="L428" s="21">
        <f>SUM(F428:K428)</f>
        <v/>
      </c>
      <c r="M428" s="28" t="n">
        <v>1.082055162711733</v>
      </c>
      <c r="N428" s="11" t="n">
        <v>2099076.92</v>
      </c>
      <c r="O428" s="11" t="n">
        <v>449112.4</v>
      </c>
      <c r="P428" s="11" t="n">
        <v>190475.65</v>
      </c>
      <c r="Q428" s="11" t="n"/>
      <c r="R428" s="21">
        <f>N428+O428+P428+N(Q428)</f>
        <v/>
      </c>
      <c r="S428" s="13" t="n">
        <v>0.01</v>
      </c>
      <c r="T428" s="21">
        <f>N(AC428)*S428</f>
        <v/>
      </c>
      <c r="U428" s="21">
        <f>N(AD428)*S428</f>
        <v/>
      </c>
      <c r="V428" s="21">
        <f>N(AE428)*S428</f>
        <v/>
      </c>
      <c r="W428" s="21">
        <f>IF(Q428="","",N(AF428)*S428)</f>
        <v/>
      </c>
      <c r="X428" s="11" t="n">
        <v>18936.64</v>
      </c>
      <c r="Y428" s="11" t="n">
        <v>217762.9</v>
      </c>
      <c r="Z428" s="11" t="n"/>
      <c r="AA428" s="21">
        <f>T428+U428+V428+N(W428)+X428+Y428+N(Z428)</f>
        <v/>
      </c>
      <c r="AB428" s="11" t="n">
        <v>175763.2178</v>
      </c>
      <c r="AC428" s="11" t="n">
        <v>2099076.92</v>
      </c>
      <c r="AD428" s="21">
        <f>O428-Y428</f>
        <v/>
      </c>
      <c r="AE428" s="21">
        <f>P428-X428</f>
        <v/>
      </c>
      <c r="AF428" s="21">
        <f>IF(Q428="","",Q428-Z428)</f>
        <v/>
      </c>
      <c r="AG428" s="22">
        <f>AC428+AD428+AE428+N(AF428)</f>
        <v/>
      </c>
      <c r="AH428" s="11" t="n">
        <v>2162127.39</v>
      </c>
      <c r="AI428" s="24">
        <f>AG428-AH428</f>
        <v/>
      </c>
      <c r="AJ428" s="14">
        <f>IF(OR(B428="",B428=0,N428=""),"",N428/B428*10000)</f>
        <v/>
      </c>
      <c r="AK428" s="14">
        <f>IF(OR(C428="",C428=0),"",O428/C428*10000)</f>
        <v/>
      </c>
      <c r="AL428" s="14">
        <f>IF(OR(D428="",D428=0),"",P428/D428*10000)</f>
        <v/>
      </c>
      <c r="AM428" s="14">
        <f>IF(OR(E428="",E428=0),"",Q428/E428*10000)</f>
        <v/>
      </c>
      <c r="AN428" s="11" t="n">
        <v>53865.0501487842</v>
      </c>
      <c r="AO428" s="11" t="n">
        <v>18125.62</v>
      </c>
      <c r="AP428" s="21">
        <f>AH428+AN428+AO428</f>
        <v/>
      </c>
      <c r="AQ428" s="21">
        <f>AH428</f>
        <v/>
      </c>
      <c r="AR428" s="15" t="n">
        <v>65062</v>
      </c>
      <c r="AS428" s="27" t="n">
        <v>33.2318</v>
      </c>
      <c r="AT428" s="15" t="n">
        <v>39621747.41255512</v>
      </c>
      <c r="AU428" s="15" t="n">
        <v>26544.181</v>
      </c>
      <c r="AV428" s="15" t="n">
        <v>2704.7994</v>
      </c>
      <c r="AW428" s="15" t="n"/>
      <c r="AX428" s="16" t="n">
        <v>436.6156548699132</v>
      </c>
      <c r="AY428" s="13">
        <f>IF(OR(AX428="",AX428=0,AU428=""),"",AU428*365/(AX428*1000000))</f>
        <v/>
      </c>
      <c r="AZ428" s="15" t="n">
        <v>417679813.3254</v>
      </c>
      <c r="BA428" s="17" t="n">
        <v>60487233</v>
      </c>
      <c r="BB428" s="18" t="n">
        <v>39621747.41255512</v>
      </c>
      <c r="BC428" s="17" t="n">
        <v>2971663</v>
      </c>
      <c r="BD428" s="17">
        <f>1000000000-999347757.0024+205754.3650</f>
        <v/>
      </c>
      <c r="BE428" s="19">
        <f>1000000000-AZ428-BA428-BB428-BC428-BD428</f>
        <v/>
      </c>
      <c r="BF428" s="20" t="n">
        <v>235.128488</v>
      </c>
      <c r="BG428" s="20">
        <f>BE428/1000000-BF428</f>
        <v/>
      </c>
      <c r="BH428" s="21">
        <f>BE428*31.01</f>
        <v/>
      </c>
    </row>
    <row r="429">
      <c r="A429" s="10" t="n">
        <v>46051</v>
      </c>
      <c r="B429" s="11" t="n">
        <v>11517582165</v>
      </c>
      <c r="C429" s="11" t="n">
        <v>3333337752.35</v>
      </c>
      <c r="D429" s="11" t="n">
        <v>361769400</v>
      </c>
      <c r="E429" s="11" t="n"/>
      <c r="F429" s="24" t="n">
        <v>2476972143.781895</v>
      </c>
      <c r="G429" s="24" t="n">
        <v>53101459.4223481</v>
      </c>
      <c r="H429" s="24" t="n">
        <v>8754876.982968196</v>
      </c>
      <c r="I429" s="24" t="n">
        <v>473776195.5140221</v>
      </c>
      <c r="J429" s="24" t="n">
        <v>618923.1326692745</v>
      </c>
      <c r="K429" s="24" t="n">
        <v>320114153.5160973</v>
      </c>
      <c r="L429" s="21">
        <f>SUM(F429:K429)</f>
        <v/>
      </c>
      <c r="M429" s="28" t="n">
        <v>1.003818268570771</v>
      </c>
      <c r="N429" s="11" t="n">
        <v>3294583.88</v>
      </c>
      <c r="O429" s="11" t="n">
        <v>723398.45</v>
      </c>
      <c r="P429" s="11" t="n">
        <v>180145.05</v>
      </c>
      <c r="Q429" s="11" t="n"/>
      <c r="R429" s="21">
        <f>N429+O429+P429+N(Q429)</f>
        <v/>
      </c>
      <c r="S429" s="13" t="n">
        <v>0.01</v>
      </c>
      <c r="T429" s="21">
        <f>N(AC429)*S429</f>
        <v/>
      </c>
      <c r="U429" s="21">
        <f>N(AD429)*S429</f>
        <v/>
      </c>
      <c r="V429" s="21">
        <f>N(AE429)*S429</f>
        <v/>
      </c>
      <c r="W429" s="21">
        <f>IF(Q429="","",N(AF429)*S429)</f>
        <v/>
      </c>
      <c r="X429" s="11" t="n">
        <v>24081.3</v>
      </c>
      <c r="Y429" s="11" t="n">
        <v>353470.9</v>
      </c>
      <c r="Z429" s="11" t="n"/>
      <c r="AA429" s="21">
        <f>T429+U429+V429+N(W429)+X429+Y429+N(Z429)</f>
        <v/>
      </c>
      <c r="AB429" s="11" t="n">
        <v>275344.5247</v>
      </c>
      <c r="AC429" s="11" t="n">
        <v>3294583.88</v>
      </c>
      <c r="AD429" s="21">
        <f>O429-Y429</f>
        <v/>
      </c>
      <c r="AE429" s="21">
        <f>P429-X429</f>
        <v/>
      </c>
      <c r="AF429" s="21">
        <f>IF(Q429="","",Q429-Z429)</f>
        <v/>
      </c>
      <c r="AG429" s="22">
        <f>AC429+AD429+AE429+N(AF429)</f>
        <v/>
      </c>
      <c r="AH429" s="11" t="n">
        <v>3327618.82</v>
      </c>
      <c r="AI429" s="24">
        <f>AG429-AH429</f>
        <v/>
      </c>
      <c r="AJ429" s="14">
        <f>IF(OR(B429="",B429=0,N429=""),"",N429/B429*10000)</f>
        <v/>
      </c>
      <c r="AK429" s="14">
        <f>IF(OR(C429="",C429=0),"",O429/C429*10000)</f>
        <v/>
      </c>
      <c r="AL429" s="14">
        <f>IF(OR(D429="",D429=0),"",P429/D429*10000)</f>
        <v/>
      </c>
      <c r="AM429" s="14">
        <f>IF(OR(E429="",E429=0),"",Q429/E429*10000)</f>
        <v/>
      </c>
      <c r="AN429" s="11" t="n">
        <v>62176.31926300622</v>
      </c>
      <c r="AO429" s="11" t="n">
        <v>0</v>
      </c>
      <c r="AP429" s="21">
        <f>AH429+AN429+AO429</f>
        <v/>
      </c>
      <c r="AQ429" s="21">
        <f>AH429</f>
        <v/>
      </c>
      <c r="AR429" s="15" t="n">
        <v>101752.49</v>
      </c>
      <c r="AS429" s="27" t="n">
        <v>32.70307</v>
      </c>
      <c r="AT429" s="15" t="n">
        <v>39720956.13255512</v>
      </c>
      <c r="AU429" s="15" t="n">
        <v>26419.8235</v>
      </c>
      <c r="AV429" s="15" t="n">
        <v>4190.0082</v>
      </c>
      <c r="AW429" s="15" t="n"/>
      <c r="AX429" s="16" t="n">
        <v>437.4583443479041</v>
      </c>
      <c r="AY429" s="13">
        <f>IF(OR(AX429="",AX429=0,AU429=""),"",AU429*365/(AX429*1000000))</f>
        <v/>
      </c>
      <c r="AZ429" s="15" t="n">
        <v>417653393.5019</v>
      </c>
      <c r="BA429" s="17" t="n">
        <v>60487233</v>
      </c>
      <c r="BB429" s="18" t="n">
        <v>39720956.13255512</v>
      </c>
      <c r="BC429" s="17" t="n">
        <v>2971663</v>
      </c>
      <c r="BD429" s="17">
        <f>1000000000-999343566.9942+207596.4080</f>
        <v/>
      </c>
      <c r="BE429" s="19">
        <f>1000000000-AZ429-BA429-BB429-BC429-BD429</f>
        <v/>
      </c>
      <c r="BF429" s="20" t="n">
        <v>235.128488</v>
      </c>
      <c r="BG429" s="20">
        <f>BE429/1000000-BF429</f>
        <v/>
      </c>
      <c r="BH429" s="21">
        <f>BE429*33.78</f>
        <v/>
      </c>
    </row>
    <row r="430">
      <c r="A430" s="10" t="n">
        <v>46052</v>
      </c>
      <c r="B430" s="11" t="n">
        <v>10672382254</v>
      </c>
      <c r="C430" s="11" t="n">
        <v>4839959861.11</v>
      </c>
      <c r="D430" s="11" t="n">
        <v>396755483</v>
      </c>
      <c r="E430" s="11" t="n"/>
      <c r="F430" s="24" t="n">
        <v>3963431372.70911</v>
      </c>
      <c r="G430" s="24" t="n">
        <v>54097456.97881156</v>
      </c>
      <c r="H430" s="24" t="n">
        <v>8689661.853426497</v>
      </c>
      <c r="I430" s="24" t="n">
        <v>539432663.4043927</v>
      </c>
      <c r="J430" s="24" t="n">
        <v>1661519.602719046</v>
      </c>
      <c r="K430" s="24" t="n">
        <v>272647186.5615399</v>
      </c>
      <c r="L430" s="21">
        <f>SUM(F430:K430)</f>
        <v/>
      </c>
      <c r="M430" s="28" t="n">
        <v>0.9880660825857361</v>
      </c>
      <c r="N430" s="11" t="n">
        <v>3206850.03</v>
      </c>
      <c r="O430" s="11" t="n">
        <v>825779.62</v>
      </c>
      <c r="P430" s="11" t="n">
        <v>192708.34</v>
      </c>
      <c r="Q430" s="11" t="n"/>
      <c r="R430" s="21">
        <f>N430+O430+P430+N(Q430)</f>
        <v/>
      </c>
      <c r="S430" s="13" t="n">
        <v>0.01</v>
      </c>
      <c r="T430" s="21">
        <f>N(AC430)*S430</f>
        <v/>
      </c>
      <c r="U430" s="21">
        <f>N(AD430)*S430</f>
        <v/>
      </c>
      <c r="V430" s="21">
        <f>N(AE430)*S430</f>
        <v/>
      </c>
      <c r="W430" s="21">
        <f>IF(Q430="","",N(AF430)*S430)</f>
        <v/>
      </c>
      <c r="X430" s="11" t="n">
        <v>28361.08</v>
      </c>
      <c r="Y430" s="11" t="n">
        <v>404627.29</v>
      </c>
      <c r="Z430" s="11" t="n"/>
      <c r="AA430" s="21">
        <f>T430+U430+V430+N(W430)+X430+Y430+N(Z430)</f>
        <v/>
      </c>
      <c r="AB430" s="11" t="n">
        <v>268251.9723</v>
      </c>
      <c r="AC430" s="11" t="n">
        <v>3206850.03</v>
      </c>
      <c r="AD430" s="21">
        <f>O430-Y430</f>
        <v/>
      </c>
      <c r="AE430" s="21">
        <f>P430-X430</f>
        <v/>
      </c>
      <c r="AF430" s="21">
        <f>IF(Q430="","",Q430-Z430)</f>
        <v/>
      </c>
      <c r="AG430" s="22">
        <f>AC430+AD430+AE430+N(AF430)</f>
        <v/>
      </c>
      <c r="AH430" s="11" t="n">
        <v>3218850.03</v>
      </c>
      <c r="AI430" s="24">
        <f>AG430-AH430</f>
        <v/>
      </c>
      <c r="AJ430" s="14">
        <f>IF(OR(B430="",B430=0,N430=""),"",N430/B430*10000)</f>
        <v/>
      </c>
      <c r="AK430" s="14">
        <f>IF(OR(C430="",C430=0),"",O430/C430*10000)</f>
        <v/>
      </c>
      <c r="AL430" s="14">
        <f>IF(OR(D430="",D430=0),"",P430/D430*10000)</f>
        <v/>
      </c>
      <c r="AM430" s="14">
        <f>IF(OR(E430="",E430=0),"",Q430/E430*10000)</f>
        <v/>
      </c>
      <c r="AN430" s="11" t="n">
        <v>47573.96236533747</v>
      </c>
      <c r="AO430" s="11" t="n">
        <v>0</v>
      </c>
      <c r="AP430" s="21">
        <f>AH430+AN430+AO430</f>
        <v/>
      </c>
      <c r="AQ430" s="21">
        <f>AH430</f>
        <v/>
      </c>
      <c r="AR430" s="15" t="n">
        <v>107902.6</v>
      </c>
      <c r="AS430" s="27" t="n">
        <v>29.83107</v>
      </c>
      <c r="AT430" s="15" t="n">
        <v>39827527.78255512</v>
      </c>
      <c r="AU430" s="15" t="n">
        <v>26587.3493</v>
      </c>
      <c r="AV430" s="15" t="n">
        <v>3337.8629</v>
      </c>
      <c r="AW430" s="15" t="n"/>
      <c r="AX430" s="16" t="n">
        <v>437.2712749034426</v>
      </c>
      <c r="AY430" s="13">
        <f>IF(OR(AX430="",AX430=0,AU430=""),"",AU430*365/(AX430*1000000))</f>
        <v/>
      </c>
      <c r="AZ430" s="15" t="n">
        <v>417626806.1526</v>
      </c>
      <c r="BA430" s="17" t="n">
        <v>60487233</v>
      </c>
      <c r="BB430" s="18" t="n">
        <v>39827527.78255512</v>
      </c>
      <c r="BC430" s="17" t="n">
        <v>2971663</v>
      </c>
      <c r="BD430" s="17">
        <f>1000000000-999340229.1313+209179.3575</f>
        <v/>
      </c>
      <c r="BE430" s="19">
        <f>1000000000-AZ430-BA430-BB430-BC430-BD430</f>
        <v/>
      </c>
      <c r="BF430" s="20" t="n">
        <v>235.128488</v>
      </c>
      <c r="BG430" s="20">
        <f>BE430/1000000-BF430</f>
        <v/>
      </c>
      <c r="BH430" s="21">
        <f>BE430*30.05</f>
        <v/>
      </c>
    </row>
    <row r="431">
      <c r="A431" s="10" t="n">
        <v>46053</v>
      </c>
      <c r="B431" s="11" t="n">
        <v>12694845235</v>
      </c>
      <c r="C431" s="11" t="n">
        <v>454365526.9</v>
      </c>
      <c r="D431" s="11" t="n">
        <v>387144390</v>
      </c>
      <c r="E431" s="11" t="n"/>
      <c r="F431" s="24" t="n">
        <v>261542622.2661846</v>
      </c>
      <c r="G431" s="24" t="n">
        <v>58073660.90012597</v>
      </c>
      <c r="H431" s="24" t="n">
        <v>2257989.561256244</v>
      </c>
      <c r="I431" s="24" t="n">
        <v>84138651.83006494</v>
      </c>
      <c r="J431" s="24" t="n">
        <v>440492.0218694216</v>
      </c>
      <c r="K431" s="24" t="n">
        <v>47912110.32049879</v>
      </c>
      <c r="L431" s="21">
        <f>SUM(F431:K431)</f>
        <v/>
      </c>
      <c r="M431" s="28" t="n">
        <v>1.000432785930354</v>
      </c>
      <c r="N431" s="11" t="n">
        <v>3501474.27</v>
      </c>
      <c r="O431" s="11" t="n">
        <v>129567.27</v>
      </c>
      <c r="P431" s="11" t="n">
        <v>158203.4</v>
      </c>
      <c r="Q431" s="11" t="n"/>
      <c r="R431" s="21">
        <f>N431+O431+P431+N(Q431)</f>
        <v/>
      </c>
      <c r="S431" s="13" t="n">
        <v>0.01</v>
      </c>
      <c r="T431" s="21">
        <f>N(AC431)*S431</f>
        <v/>
      </c>
      <c r="U431" s="21">
        <f>N(AD431)*S431</f>
        <v/>
      </c>
      <c r="V431" s="21">
        <f>N(AE431)*S431</f>
        <v/>
      </c>
      <c r="W431" s="21">
        <f>IF(Q431="","",N(AF431)*S431)</f>
        <v/>
      </c>
      <c r="X431" s="11" t="n">
        <v>29664.2</v>
      </c>
      <c r="Y431" s="11" t="n">
        <v>56457.31</v>
      </c>
      <c r="Z431" s="11" t="n"/>
      <c r="AA431" s="21">
        <f>T431+U431+V431+N(W431)+X431+Y431+N(Z431)</f>
        <v/>
      </c>
      <c r="AB431" s="11" t="n">
        <v>192057.6719</v>
      </c>
      <c r="AC431" s="11" t="n">
        <v>3501474.27</v>
      </c>
      <c r="AD431" s="21">
        <f>O431-Y431</f>
        <v/>
      </c>
      <c r="AE431" s="21">
        <f>P431-X431</f>
        <v/>
      </c>
      <c r="AF431" s="21">
        <f>IF(Q431="","",Q431-Z431)</f>
        <v/>
      </c>
      <c r="AG431" s="22">
        <f>AC431+AD431+AE431+N(AF431)</f>
        <v/>
      </c>
      <c r="AH431" s="11" t="n">
        <v>3149151.15</v>
      </c>
      <c r="AI431" s="24">
        <f>AG431-AH431</f>
        <v/>
      </c>
      <c r="AJ431" s="14">
        <f>IF(OR(B431="",B431=0,N431=""),"",N431/B431*10000)</f>
        <v/>
      </c>
      <c r="AK431" s="14">
        <f>IF(OR(C431="",C431=0),"",O431/C431*10000)</f>
        <v/>
      </c>
      <c r="AL431" s="14">
        <f>IF(OR(D431="",D431=0),"",P431/D431*10000)</f>
        <v/>
      </c>
      <c r="AM431" s="14">
        <f>IF(OR(E431="",E431=0),"",Q431/E431*10000)</f>
        <v/>
      </c>
      <c r="AN431" s="11" t="n">
        <v>59160.66358661112</v>
      </c>
      <c r="AO431" s="11" t="n">
        <v>15449.42</v>
      </c>
      <c r="AP431" s="21">
        <f>AH431+AN431+AO431</f>
        <v/>
      </c>
      <c r="AQ431" s="21">
        <f>AH431</f>
        <v/>
      </c>
      <c r="AR431" s="15" t="n">
        <v>108741.69</v>
      </c>
      <c r="AS431" s="27" t="n">
        <v>28.959925</v>
      </c>
      <c r="AT431" s="15" t="n">
        <v>39936269.47255512</v>
      </c>
      <c r="AU431" s="15" t="n">
        <v>26594.4561</v>
      </c>
      <c r="AV431" s="15" t="n">
        <v>2098.4135</v>
      </c>
      <c r="AW431" s="15" t="n"/>
      <c r="AX431" s="16" t="n">
        <v>438.1512159386824</v>
      </c>
      <c r="AY431" s="13">
        <f>IF(OR(AX431="",AX431=0,AU431=""),"",AU431*365/(AX431*1000000))</f>
        <v/>
      </c>
      <c r="AZ431" s="15" t="n">
        <v>417600211.6965</v>
      </c>
      <c r="BA431" s="17" t="n">
        <v>60487233</v>
      </c>
      <c r="BB431" s="18" t="n">
        <v>39936269.47255512</v>
      </c>
      <c r="BC431" s="17" t="n">
        <v>2971663</v>
      </c>
      <c r="BD431" s="17">
        <f>1000000000-999338130.7178+211085.1225</f>
        <v/>
      </c>
      <c r="BE431" s="19">
        <f>1000000000-AZ431-BA431-BB431-BC431-BD431</f>
        <v/>
      </c>
      <c r="BF431" s="20" t="n">
        <v>235.128488</v>
      </c>
      <c r="BG431" s="20">
        <f>BE431/1000000-BF431</f>
        <v/>
      </c>
      <c r="BH431" s="21">
        <f>BE431*31.04</f>
        <v/>
      </c>
    </row>
    <row r="432">
      <c r="A432" s="10" t="n">
        <v>46054</v>
      </c>
      <c r="B432" s="11" t="n">
        <v>7711997575</v>
      </c>
      <c r="C432" s="11" t="n">
        <v>607717104.8</v>
      </c>
      <c r="D432" s="11" t="n">
        <v>232233126</v>
      </c>
      <c r="E432" s="11" t="n"/>
      <c r="F432" s="24" t="n">
        <v>371950658.4033818</v>
      </c>
      <c r="G432" s="24" t="n">
        <v>41923165.34385008</v>
      </c>
      <c r="H432" s="24" t="n">
        <v>3154648.493439599</v>
      </c>
      <c r="I432" s="24" t="n">
        <v>103269863.9612524</v>
      </c>
      <c r="J432" s="24" t="n">
        <v>119211.3479757358</v>
      </c>
      <c r="K432" s="24" t="n">
        <v>87299557.25010042</v>
      </c>
      <c r="L432" s="21">
        <f>SUM(F432:K432)</f>
        <v/>
      </c>
      <c r="M432" s="28" t="n">
        <v>1.098397253360069</v>
      </c>
      <c r="N432" s="11" t="n">
        <v>2536627.58</v>
      </c>
      <c r="O432" s="11" t="n">
        <v>151775.16</v>
      </c>
      <c r="P432" s="11" t="n">
        <v>107438.99</v>
      </c>
      <c r="Q432" s="11" t="n"/>
      <c r="R432" s="21">
        <f>N432+O432+P432+N(Q432)</f>
        <v/>
      </c>
      <c r="S432" s="13" t="n">
        <v>0.01</v>
      </c>
      <c r="T432" s="21">
        <f>N(AC432)*S432</f>
        <v/>
      </c>
      <c r="U432" s="21">
        <f>N(AD432)*S432</f>
        <v/>
      </c>
      <c r="V432" s="21">
        <f>N(AE432)*S432</f>
        <v/>
      </c>
      <c r="W432" s="21">
        <f>IF(Q432="","",N(AF432)*S432)</f>
        <v/>
      </c>
      <c r="X432" s="11" t="n">
        <v>14996.98</v>
      </c>
      <c r="Y432" s="11" t="n">
        <v>70521.28999999999</v>
      </c>
      <c r="Z432" s="11" t="n"/>
      <c r="AA432" s="21">
        <f>T432+U432+V432+N(W432)+X432+Y432+N(Z432)</f>
        <v/>
      </c>
      <c r="AB432" s="11" t="n">
        <v>234810.1607</v>
      </c>
      <c r="AC432" s="11" t="n">
        <v>2536627.58</v>
      </c>
      <c r="AD432" s="21">
        <f>O432-Y432</f>
        <v/>
      </c>
      <c r="AE432" s="21">
        <f>P432-X432</f>
        <v/>
      </c>
      <c r="AF432" s="21">
        <f>IF(Q432="","",Q432-Z432)</f>
        <v/>
      </c>
      <c r="AG432" s="22">
        <f>AC432+AD432+AE432+N(AF432)</f>
        <v/>
      </c>
      <c r="AH432" s="11" t="n">
        <v>2372679.2</v>
      </c>
      <c r="AI432" s="24">
        <f>AG432-AH432</f>
        <v/>
      </c>
      <c r="AJ432" s="14">
        <f>IF(OR(B432="",B432=0,N432=""),"",N432/B432*10000)</f>
        <v/>
      </c>
      <c r="AK432" s="14">
        <f>IF(OR(C432="",C432=0),"",O432/C432*10000)</f>
        <v/>
      </c>
      <c r="AL432" s="14">
        <f>IF(OR(D432="",D432=0),"",P432/D432*10000)</f>
        <v/>
      </c>
      <c r="AM432" s="14">
        <f>IF(OR(E432="",E432=0),"",Q432/E432*10000)</f>
        <v/>
      </c>
      <c r="AN432" s="11" t="n">
        <v>41555.79686956266</v>
      </c>
      <c r="AO432" s="11" t="n">
        <v>0</v>
      </c>
      <c r="AP432" s="21">
        <f>AH432+AN432+AO432</f>
        <v/>
      </c>
      <c r="AQ432" s="21">
        <f>AH432</f>
        <v/>
      </c>
      <c r="AR432" s="15" t="n">
        <v>78538.12</v>
      </c>
      <c r="AS432" s="27" t="n">
        <v>30.210542</v>
      </c>
      <c r="AT432" s="15" t="n">
        <v>40017749.00255512</v>
      </c>
      <c r="AU432" s="15" t="n">
        <v>26605.0098</v>
      </c>
      <c r="AV432" s="15" t="n">
        <v>3582.5667</v>
      </c>
      <c r="AW432" s="15" t="n"/>
      <c r="AX432" s="16" t="n">
        <v>437.8861199054313</v>
      </c>
      <c r="AY432" s="13">
        <f>IF(OR(AX432="",AX432=0,AU432=""),"",AU432*365/(AX432*1000000))</f>
        <v/>
      </c>
      <c r="AZ432" s="15" t="n">
        <v>417573606.6867</v>
      </c>
      <c r="BA432" s="17" t="n">
        <v>60487233</v>
      </c>
      <c r="BB432" s="18" t="n">
        <v>40017749.00255512</v>
      </c>
      <c r="BC432" s="17" t="n">
        <v>2971663</v>
      </c>
      <c r="BD432" s="17">
        <f>1000000000-999334548.1511+212376.1964</f>
        <v/>
      </c>
      <c r="BE432" s="19">
        <f>1000000000-AZ432-BA432-BB432-BC432-BD432</f>
        <v/>
      </c>
      <c r="BF432" s="20" t="n">
        <v>235.128488</v>
      </c>
      <c r="BG432" s="20">
        <f>BE432/1000000-BF432</f>
        <v/>
      </c>
      <c r="BH432" s="21">
        <f>BE432*32.19</f>
        <v/>
      </c>
    </row>
    <row r="433">
      <c r="A433" s="10" t="n">
        <v>46055</v>
      </c>
      <c r="B433" s="11" t="n">
        <v>8376403350</v>
      </c>
      <c r="C433" s="11" t="n">
        <v>3467594518.72</v>
      </c>
      <c r="D433" s="11" t="n">
        <v>350035772</v>
      </c>
      <c r="E433" s="11" t="n"/>
      <c r="F433" s="24" t="n">
        <v>2356961946.88017</v>
      </c>
      <c r="G433" s="24" t="n">
        <v>52092789.93166918</v>
      </c>
      <c r="H433" s="24" t="n">
        <v>7421662.24595652</v>
      </c>
      <c r="I433" s="24" t="n">
        <v>685362772.2307556</v>
      </c>
      <c r="J433" s="24" t="n">
        <v>350345.8467537134</v>
      </c>
      <c r="K433" s="24" t="n">
        <v>365405001.5846951</v>
      </c>
      <c r="L433" s="21">
        <f>SUM(F433:K433)</f>
        <v/>
      </c>
      <c r="M433" s="28" t="n">
        <v>0.9918770229666918</v>
      </c>
      <c r="N433" s="11" t="n">
        <v>2573008.52</v>
      </c>
      <c r="O433" s="11" t="n">
        <v>567536.55</v>
      </c>
      <c r="P433" s="11" t="n">
        <v>188021.05</v>
      </c>
      <c r="Q433" s="11" t="n"/>
      <c r="R433" s="21">
        <f>N433+O433+P433+N(Q433)</f>
        <v/>
      </c>
      <c r="S433" s="13" t="n">
        <v>0.01</v>
      </c>
      <c r="T433" s="21">
        <f>N(AC433)*S433</f>
        <v/>
      </c>
      <c r="U433" s="21">
        <f>N(AD433)*S433</f>
        <v/>
      </c>
      <c r="V433" s="21">
        <f>N(AE433)*S433</f>
        <v/>
      </c>
      <c r="W433" s="21">
        <f>IF(Q433="","",N(AF433)*S433)</f>
        <v/>
      </c>
      <c r="X433" s="11" t="n">
        <v>26765.78</v>
      </c>
      <c r="Y433" s="11" t="n">
        <v>276590.19</v>
      </c>
      <c r="Z433" s="11" t="n"/>
      <c r="AA433" s="21">
        <f>T433+U433+V433+N(W433)+X433+Y433+N(Z433)</f>
        <v/>
      </c>
      <c r="AB433" s="11" t="n">
        <v>218806.7482</v>
      </c>
      <c r="AC433" s="11" t="n">
        <v>2573008.52</v>
      </c>
      <c r="AD433" s="21">
        <f>O433-Y433</f>
        <v/>
      </c>
      <c r="AE433" s="21">
        <f>P433-X433</f>
        <v/>
      </c>
      <c r="AF433" s="21">
        <f>IF(Q433="","",Q433-Z433)</f>
        <v/>
      </c>
      <c r="AG433" s="22">
        <f>AC433+AD433+AE433+N(AF433)</f>
        <v/>
      </c>
      <c r="AH433" s="11" t="n">
        <v>2661584.87</v>
      </c>
      <c r="AI433" s="24">
        <f>AG433-AH433</f>
        <v/>
      </c>
      <c r="AJ433" s="14">
        <f>IF(OR(B433="",B433=0,N433=""),"",N433/B433*10000)</f>
        <v/>
      </c>
      <c r="AK433" s="14">
        <f>IF(OR(C433="",C433=0),"",O433/C433*10000)</f>
        <v/>
      </c>
      <c r="AL433" s="14">
        <f>IF(OR(D433="",D433=0),"",P433/D433*10000)</f>
        <v/>
      </c>
      <c r="AM433" s="14">
        <f>IF(OR(E433="",E433=0),"",Q433/E433*10000)</f>
        <v/>
      </c>
      <c r="AN433" s="11" t="n">
        <v>61219.46330338334</v>
      </c>
      <c r="AO433" s="11" t="n">
        <v>15314.48</v>
      </c>
      <c r="AP433" s="21">
        <f>AH433+AN433+AO433</f>
        <v/>
      </c>
      <c r="AQ433" s="21">
        <f>AH433</f>
        <v/>
      </c>
      <c r="AR433" s="15" t="n">
        <v>84867.33</v>
      </c>
      <c r="AS433" s="27" t="n">
        <v>31.361713</v>
      </c>
      <c r="AT433" s="15" t="n">
        <v>40100277.24255512</v>
      </c>
      <c r="AU433" s="15" t="n">
        <v>26595.9414</v>
      </c>
      <c r="AV433" s="15" t="n">
        <v>1593.839</v>
      </c>
      <c r="AW433" s="15" t="n"/>
      <c r="AX433" s="16" t="n">
        <v>437.3280322603123</v>
      </c>
      <c r="AY433" s="13">
        <f>IF(OR(AX433="",AX433=0,AU433=""),"",AU433*365/(AX433*1000000))</f>
        <v/>
      </c>
      <c r="AZ433" s="15" t="n">
        <v>417547010.7452</v>
      </c>
      <c r="BA433" s="17" t="n">
        <v>60487233</v>
      </c>
      <c r="BB433" s="18" t="n">
        <v>40100277.24255512</v>
      </c>
      <c r="BC433" s="17" t="n">
        <v>2971663</v>
      </c>
      <c r="BD433" s="17">
        <f>1000000000-999332954.3121+214331.2154</f>
        <v/>
      </c>
      <c r="BE433" s="19">
        <f>1000000000-AZ433-BA433-BB433-BC433-BD433</f>
        <v/>
      </c>
      <c r="BF433" s="20" t="n">
        <v>235.128488</v>
      </c>
      <c r="BG433" s="20">
        <f>BE433/1000000-BF433</f>
        <v/>
      </c>
      <c r="BH433" s="21">
        <f>BE433*31.32</f>
        <v/>
      </c>
    </row>
    <row r="434">
      <c r="A434" s="10" t="n">
        <v>46056</v>
      </c>
      <c r="B434" s="11" t="n">
        <v>10418328870</v>
      </c>
      <c r="C434" s="11" t="n">
        <v>2752332322.22</v>
      </c>
      <c r="D434" s="11" t="n">
        <v>453738201</v>
      </c>
      <c r="E434" s="11" t="n"/>
      <c r="F434" s="24" t="n">
        <v>1870918090.885722</v>
      </c>
      <c r="G434" s="24" t="n">
        <v>64766751.67129084</v>
      </c>
      <c r="H434" s="24" t="n">
        <v>5698969.434261756</v>
      </c>
      <c r="I434" s="24" t="n">
        <v>435383336.723188</v>
      </c>
      <c r="J434" s="24" t="n">
        <v>2187634.871551326</v>
      </c>
      <c r="K434" s="24" t="n">
        <v>373377538.6339854</v>
      </c>
      <c r="L434" s="21">
        <f>SUM(F434:K434)</f>
        <v/>
      </c>
      <c r="M434" s="28" t="n">
        <v>0.9930642287888618</v>
      </c>
      <c r="N434" s="11" t="n">
        <v>3149483.58</v>
      </c>
      <c r="O434" s="11" t="n">
        <v>454660.71</v>
      </c>
      <c r="P434" s="11" t="n">
        <v>231891.1</v>
      </c>
      <c r="Q434" s="11" t="n"/>
      <c r="R434" s="21">
        <f>N434+O434+P434+N(Q434)</f>
        <v/>
      </c>
      <c r="S434" s="13" t="n">
        <v>0.01</v>
      </c>
      <c r="T434" s="21">
        <f>N(AC434)*S434</f>
        <v/>
      </c>
      <c r="U434" s="21">
        <f>N(AD434)*S434</f>
        <v/>
      </c>
      <c r="V434" s="21">
        <f>N(AE434)*S434</f>
        <v/>
      </c>
      <c r="W434" s="21">
        <f>IF(Q434="","",N(AF434)*S434)</f>
        <v/>
      </c>
      <c r="X434" s="11" t="n">
        <v>25570.22</v>
      </c>
      <c r="Y434" s="11" t="n">
        <v>217522.86</v>
      </c>
      <c r="Z434" s="11" t="n"/>
      <c r="AA434" s="21">
        <f>T434+U434+V434+N(W434)+X434+Y434+N(Z434)</f>
        <v/>
      </c>
      <c r="AB434" s="11" t="n">
        <v>200145.2416</v>
      </c>
      <c r="AC434" s="11" t="n">
        <v>3149483.58</v>
      </c>
      <c r="AD434" s="21">
        <f>O434-Y434</f>
        <v/>
      </c>
      <c r="AE434" s="21">
        <f>P434-X434</f>
        <v/>
      </c>
      <c r="AF434" s="21">
        <f>IF(Q434="","",Q434-Z434)</f>
        <v/>
      </c>
      <c r="AG434" s="22">
        <f>AC434+AD434+AE434+N(AF434)</f>
        <v/>
      </c>
      <c r="AH434" s="11" t="n">
        <v>3033451.62</v>
      </c>
      <c r="AI434" s="24">
        <f>AG434-AH434</f>
        <v/>
      </c>
      <c r="AJ434" s="14">
        <f>IF(OR(B434="",B434=0,N434=""),"",N434/B434*10000)</f>
        <v/>
      </c>
      <c r="AK434" s="14">
        <f>IF(OR(C434="",C434=0),"",O434/C434*10000)</f>
        <v/>
      </c>
      <c r="AL434" s="14">
        <f>IF(OR(D434="",D434=0),"",P434/D434*10000)</f>
        <v/>
      </c>
      <c r="AM434" s="14">
        <f>IF(OR(E434="",E434=0),"",Q434/E434*10000)</f>
        <v/>
      </c>
      <c r="AN434" s="11" t="n">
        <v>63062.7523001713</v>
      </c>
      <c r="AO434" s="11" t="n">
        <v>0</v>
      </c>
      <c r="AP434" s="21">
        <f>AH434+AN434+AO434</f>
        <v/>
      </c>
      <c r="AQ434" s="21">
        <f>AH434</f>
        <v/>
      </c>
      <c r="AR434" s="15" t="n">
        <v>87809.98</v>
      </c>
      <c r="AS434" s="27" t="n">
        <v>34.545636</v>
      </c>
      <c r="AT434" s="15" t="n">
        <v>40188408.39255512</v>
      </c>
      <c r="AU434" s="15" t="n">
        <v>26582.1282</v>
      </c>
      <c r="AV434" s="15" t="n">
        <v>5980.5172</v>
      </c>
      <c r="AW434" s="15" t="n"/>
      <c r="AX434" s="16" t="n">
        <v>437.3244867551601</v>
      </c>
      <c r="AY434" s="13">
        <f>IF(OR(AX434="",AX434=0,AU434=""),"",AU434*365/(AX434*1000000))</f>
        <v/>
      </c>
      <c r="AZ434" s="15" t="n">
        <v>417520428.617</v>
      </c>
      <c r="BA434" s="17" t="n">
        <v>60487233</v>
      </c>
      <c r="BB434" s="18" t="n">
        <v>40188408.39255512</v>
      </c>
      <c r="BC434" s="17" t="n">
        <v>2971663</v>
      </c>
      <c r="BD434" s="17">
        <f>1000000000-999326973.7949+216200.0182</f>
        <v/>
      </c>
      <c r="BE434" s="19">
        <f>1000000000-AZ434-BA434-BB434-BC434-BD434</f>
        <v/>
      </c>
      <c r="BF434" s="20" t="n">
        <v>235.128488</v>
      </c>
      <c r="BG434" s="20">
        <f>BE434/1000000-BF434</f>
        <v/>
      </c>
      <c r="BH434" s="21">
        <f>BE434*33.75</f>
        <v/>
      </c>
    </row>
    <row r="435">
      <c r="A435" s="10" t="n">
        <v>46057</v>
      </c>
      <c r="B435" s="11" t="n">
        <v>10176703295</v>
      </c>
      <c r="C435" s="11" t="n">
        <v>2646208773.24</v>
      </c>
      <c r="D435" s="11" t="n">
        <v>547974938</v>
      </c>
      <c r="E435" s="11" t="n"/>
      <c r="F435" s="24" t="n">
        <v>1715257045.685098</v>
      </c>
      <c r="G435" s="24" t="n">
        <v>55848313.44396402</v>
      </c>
      <c r="H435" s="24" t="n">
        <v>6903186.944950348</v>
      </c>
      <c r="I435" s="24" t="n">
        <v>552884057.1730946</v>
      </c>
      <c r="J435" s="24" t="n">
        <v>980274.6987036361</v>
      </c>
      <c r="K435" s="24" t="n">
        <v>314335895.2941892</v>
      </c>
      <c r="L435" s="21">
        <f>SUM(F435:K435)</f>
        <v/>
      </c>
      <c r="M435" s="28" t="n">
        <v>0.9981196208283475</v>
      </c>
      <c r="N435" s="11" t="n">
        <v>3080057.44</v>
      </c>
      <c r="O435" s="11" t="n">
        <v>387912.2</v>
      </c>
      <c r="P435" s="11" t="n">
        <v>301983.39</v>
      </c>
      <c r="Q435" s="11" t="n"/>
      <c r="R435" s="21">
        <f>N435+O435+P435+N(Q435)</f>
        <v/>
      </c>
      <c r="S435" s="13" t="n">
        <v>0.01</v>
      </c>
      <c r="T435" s="21">
        <f>N(AC435)*S435</f>
        <v/>
      </c>
      <c r="U435" s="21">
        <f>N(AD435)*S435</f>
        <v/>
      </c>
      <c r="V435" s="21">
        <f>N(AE435)*S435</f>
        <v/>
      </c>
      <c r="W435" s="21">
        <f>IF(Q435="","",N(AF435)*S435)</f>
        <v/>
      </c>
      <c r="X435" s="11" t="n">
        <v>43943.82</v>
      </c>
      <c r="Y435" s="11" t="n">
        <v>186191.61</v>
      </c>
      <c r="Z435" s="11" t="n"/>
      <c r="AA435" s="21">
        <f>T435+U435+V435+N(W435)+X435+Y435+N(Z435)</f>
        <v/>
      </c>
      <c r="AB435" s="11" t="n">
        <v>204296.7318</v>
      </c>
      <c r="AC435" s="11" t="n">
        <v>3080057.44</v>
      </c>
      <c r="AD435" s="21">
        <f>O435-Y435</f>
        <v/>
      </c>
      <c r="AE435" s="21">
        <f>P435-X435</f>
        <v/>
      </c>
      <c r="AF435" s="21">
        <f>IF(Q435="","",Q435-Z435)</f>
        <v/>
      </c>
      <c r="AG435" s="22">
        <f>AC435+AD435+AE435+N(AF435)</f>
        <v/>
      </c>
      <c r="AH435" s="11" t="n">
        <v>2965474.28</v>
      </c>
      <c r="AI435" s="24">
        <f>AG435-AH435</f>
        <v/>
      </c>
      <c r="AJ435" s="14">
        <f>IF(OR(B435="",B435=0,N435=""),"",N435/B435*10000)</f>
        <v/>
      </c>
      <c r="AK435" s="14">
        <f>IF(OR(C435="",C435=0),"",O435/C435*10000)</f>
        <v/>
      </c>
      <c r="AL435" s="14">
        <f>IF(OR(D435="",D435=0),"",P435/D435*10000)</f>
        <v/>
      </c>
      <c r="AM435" s="14">
        <f>IF(OR(E435="",E435=0),"",Q435/E435*10000)</f>
        <v/>
      </c>
      <c r="AN435" s="11" t="n">
        <v>41142.84807417786</v>
      </c>
      <c r="AO435" s="11" t="n">
        <v>17232.19</v>
      </c>
      <c r="AP435" s="21">
        <f>AH435+AN435+AO435</f>
        <v/>
      </c>
      <c r="AQ435" s="21">
        <f>AH435</f>
        <v/>
      </c>
      <c r="AR435" s="15" t="n">
        <v>87492.3</v>
      </c>
      <c r="AS435" s="27" t="n">
        <v>33.894117</v>
      </c>
      <c r="AT435" s="15" t="n">
        <v>40276755.65255512</v>
      </c>
      <c r="AU435" s="15" t="n">
        <v>26560.1302</v>
      </c>
      <c r="AV435" s="15" t="n">
        <v>3229.2473</v>
      </c>
      <c r="AW435" s="15" t="n"/>
      <c r="AX435" s="16" t="n">
        <v>436.5201036773665</v>
      </c>
      <c r="AY435" s="13">
        <f>IF(OR(AX435="",AX435=0,AU435=""),"",AU435*365/(AX435*1000000))</f>
        <v/>
      </c>
      <c r="AZ435" s="15" t="n">
        <v>417493868.4869</v>
      </c>
      <c r="BA435" s="17" t="n">
        <v>60487233</v>
      </c>
      <c r="BB435" s="18" t="n">
        <v>40276755.65255512</v>
      </c>
      <c r="BC435" s="17" t="n">
        <v>2971663</v>
      </c>
      <c r="BD435" s="17">
        <f>1000000000-999323744.5476+217447.7543</f>
        <v/>
      </c>
      <c r="BE435" s="19">
        <f>1000000000-AZ435-BA435-BB435-BC435-BD435</f>
        <v/>
      </c>
      <c r="BF435" s="20" t="n">
        <v>235.128488</v>
      </c>
      <c r="BG435" s="20">
        <f>BE435/1000000-BF435</f>
        <v/>
      </c>
      <c r="BH435" s="21">
        <f>BE435*32.97</f>
        <v/>
      </c>
    </row>
    <row r="436">
      <c r="A436" s="10" t="n">
        <v>46058</v>
      </c>
      <c r="B436" s="11" t="n">
        <v>19858446820</v>
      </c>
      <c r="C436" s="11" t="n">
        <v>5212343333.8</v>
      </c>
      <c r="D436" s="11" t="n">
        <v>776033702</v>
      </c>
      <c r="E436" s="11" t="n"/>
      <c r="F436" s="24" t="n">
        <v>3848900693.704817</v>
      </c>
      <c r="G436" s="24" t="n">
        <v>101576740.6453342</v>
      </c>
      <c r="H436" s="24" t="n">
        <v>5102349.296873315</v>
      </c>
      <c r="I436" s="24" t="n">
        <v>804056534.7008901</v>
      </c>
      <c r="J436" s="24" t="n">
        <v>796281.846097075</v>
      </c>
      <c r="K436" s="24" t="n">
        <v>451910733.6059889</v>
      </c>
      <c r="L436" s="21">
        <f>SUM(F436:K436)</f>
        <v/>
      </c>
      <c r="M436" s="28" t="n">
        <v>1.007486171099654</v>
      </c>
      <c r="N436" s="11" t="n">
        <v>5741730.71</v>
      </c>
      <c r="O436" s="11" t="n">
        <v>467068.69</v>
      </c>
      <c r="P436" s="11" t="n">
        <v>330958.84</v>
      </c>
      <c r="Q436" s="11" t="n"/>
      <c r="R436" s="21">
        <f>N436+O436+P436+N(Q436)</f>
        <v/>
      </c>
      <c r="S436" s="13" t="n">
        <v>0.01</v>
      </c>
      <c r="T436" s="21">
        <f>N(AC436)*S436</f>
        <v/>
      </c>
      <c r="U436" s="21">
        <f>N(AD436)*S436</f>
        <v/>
      </c>
      <c r="V436" s="21">
        <f>N(AE436)*S436</f>
        <v/>
      </c>
      <c r="W436" s="21">
        <f>IF(Q436="","",N(AF436)*S436)</f>
        <v/>
      </c>
      <c r="X436" s="11" t="n">
        <v>76879.34</v>
      </c>
      <c r="Y436" s="11" t="n">
        <v>220621.88</v>
      </c>
      <c r="Z436" s="11" t="n"/>
      <c r="AA436" s="21">
        <f>T436+U436+V436+N(W436)+X436+Y436+N(Z436)</f>
        <v/>
      </c>
      <c r="AB436" s="11" t="n">
        <v>358041.8243</v>
      </c>
      <c r="AC436" s="11" t="n">
        <v>5741730.71</v>
      </c>
      <c r="AD436" s="21">
        <f>O436-Y436</f>
        <v/>
      </c>
      <c r="AE436" s="21">
        <f>P436-X436</f>
        <v/>
      </c>
      <c r="AF436" s="21">
        <f>IF(Q436="","",Q436-Z436)</f>
        <v/>
      </c>
      <c r="AG436" s="22">
        <f>AC436+AD436+AE436+N(AF436)</f>
        <v/>
      </c>
      <c r="AH436" s="11" t="n">
        <v>5253972.94</v>
      </c>
      <c r="AI436" s="24">
        <f>AG436-AH436</f>
        <v/>
      </c>
      <c r="AJ436" s="14">
        <f>IF(OR(B436="",B436=0,N436=""),"",N436/B436*10000)</f>
        <v/>
      </c>
      <c r="AK436" s="14">
        <f>IF(OR(C436="",C436=0),"",O436/C436*10000)</f>
        <v/>
      </c>
      <c r="AL436" s="14">
        <f>IF(OR(D436="",D436=0),"",P436/D436*10000)</f>
        <v/>
      </c>
      <c r="AM436" s="14">
        <f>IF(OR(E436="",E436=0),"",Q436/E436*10000)</f>
        <v/>
      </c>
      <c r="AN436" s="11" t="n">
        <v>66507.07975562848</v>
      </c>
      <c r="AO436" s="11" t="n">
        <v>18038.15</v>
      </c>
      <c r="AP436" s="21">
        <f>AH436+AN436+AO436</f>
        <v/>
      </c>
      <c r="AQ436" s="21">
        <f>AH436</f>
        <v/>
      </c>
      <c r="AR436" s="15" t="n">
        <v>160754.65</v>
      </c>
      <c r="AS436" s="27" t="n">
        <v>32.683179</v>
      </c>
      <c r="AT436" s="15" t="n">
        <v>40448356.07255512</v>
      </c>
      <c r="AU436" s="15" t="n">
        <v>26510.6708</v>
      </c>
      <c r="AV436" s="15" t="n">
        <v>1549.8525</v>
      </c>
      <c r="AW436" s="15" t="n"/>
      <c r="AX436" s="16" t="n">
        <v>436.5581596489466</v>
      </c>
      <c r="AY436" s="13">
        <f>IF(OR(AX436="",AX436=0,AU436=""),"",AU436*365/(AX436*1000000))</f>
        <v/>
      </c>
      <c r="AZ436" s="15" t="n">
        <v>417467357.8161</v>
      </c>
      <c r="BA436" s="17" t="n">
        <v>60487233</v>
      </c>
      <c r="BB436" s="18" t="n">
        <v>40448356.07255512</v>
      </c>
      <c r="BC436" s="17" t="n">
        <v>2971663</v>
      </c>
      <c r="BD436" s="17">
        <f>1000000000-999322194.6951+219332.8222</f>
        <v/>
      </c>
      <c r="BE436" s="19">
        <f>1000000000-AZ436-BA436-BB436-BC436-BD436</f>
        <v/>
      </c>
      <c r="BF436" s="20" t="n">
        <v>235.128488</v>
      </c>
      <c r="BG436" s="20">
        <f>BE436/1000000-BF436</f>
        <v/>
      </c>
      <c r="BH436" s="21">
        <f>BE436*35.26</f>
        <v/>
      </c>
    </row>
    <row r="437">
      <c r="A437" s="10" t="n">
        <v>46059</v>
      </c>
      <c r="B437" s="11" t="n">
        <v>13845938397</v>
      </c>
      <c r="C437" s="11" t="n">
        <v>2950265406.88</v>
      </c>
      <c r="D437" s="11" t="n">
        <v>500547523</v>
      </c>
      <c r="E437" s="11" t="n"/>
      <c r="F437" s="24" t="n">
        <v>1986392238.480134</v>
      </c>
      <c r="G437" s="24" t="n">
        <v>76692967.05017017</v>
      </c>
      <c r="H437" s="24" t="n">
        <v>5707767.67609567</v>
      </c>
      <c r="I437" s="24" t="n">
        <v>525490873.6766555</v>
      </c>
      <c r="J437" s="24" t="n">
        <v>637559.2601003362</v>
      </c>
      <c r="K437" s="24" t="n">
        <v>355344000.736844</v>
      </c>
      <c r="L437" s="21">
        <f>SUM(F437:K437)</f>
        <v/>
      </c>
      <c r="M437" s="28" t="n">
        <v>0.9264310445946053</v>
      </c>
      <c r="N437" s="11" t="n">
        <v>4417432.59</v>
      </c>
      <c r="O437" s="11" t="n">
        <v>369970.5</v>
      </c>
      <c r="P437" s="11" t="n">
        <v>246259.11</v>
      </c>
      <c r="Q437" s="11" t="n"/>
      <c r="R437" s="21">
        <f>N437+O437+P437+N(Q437)</f>
        <v/>
      </c>
      <c r="S437" s="13" t="n">
        <v>0.01</v>
      </c>
      <c r="T437" s="21">
        <f>N(AC437)*S437</f>
        <v/>
      </c>
      <c r="U437" s="21">
        <f>N(AD437)*S437</f>
        <v/>
      </c>
      <c r="V437" s="21">
        <f>N(AE437)*S437</f>
        <v/>
      </c>
      <c r="W437" s="21">
        <f>IF(Q437="","",N(AF437)*S437)</f>
        <v/>
      </c>
      <c r="X437" s="11" t="n">
        <v>62896.19</v>
      </c>
      <c r="Y437" s="11" t="n">
        <v>174079.04</v>
      </c>
      <c r="Z437" s="11" t="n"/>
      <c r="AA437" s="21">
        <f>T437+U437+V437+N(W437)+X437+Y437+N(Z437)</f>
        <v/>
      </c>
      <c r="AB437" s="11" t="n">
        <v>412886.0119000001</v>
      </c>
      <c r="AC437" s="11" t="n">
        <v>4417432.59</v>
      </c>
      <c r="AD437" s="21">
        <f>O437-Y437</f>
        <v/>
      </c>
      <c r="AE437" s="21">
        <f>P437-X437</f>
        <v/>
      </c>
      <c r="AF437" s="21">
        <f>IF(Q437="","",Q437-Z437)</f>
        <v/>
      </c>
      <c r="AG437" s="22">
        <f>AC437+AD437+AE437+N(AF437)</f>
        <v/>
      </c>
      <c r="AH437" s="11" t="n">
        <v>3769215.5</v>
      </c>
      <c r="AI437" s="24">
        <f>AG437-AH437</f>
        <v/>
      </c>
      <c r="AJ437" s="14">
        <f>IF(OR(B437="",B437=0,N437=""),"",N437/B437*10000)</f>
        <v/>
      </c>
      <c r="AK437" s="14">
        <f>IF(OR(C437="",C437=0),"",O437/C437*10000)</f>
        <v/>
      </c>
      <c r="AL437" s="14">
        <f>IF(OR(D437="",D437=0),"",P437/D437*10000)</f>
        <v/>
      </c>
      <c r="AM437" s="14">
        <f>IF(OR(E437="",E437=0),"",Q437/E437*10000)</f>
        <v/>
      </c>
      <c r="AN437" s="11" t="n">
        <v>77936.4778885682</v>
      </c>
      <c r="AO437" s="11" t="n">
        <v>16996.42</v>
      </c>
      <c r="AP437" s="21">
        <f>AH437+AN437+AO437</f>
        <v/>
      </c>
      <c r="AQ437" s="21">
        <f>AH437</f>
        <v/>
      </c>
      <c r="AR437" s="15" t="n">
        <v>112041.27</v>
      </c>
      <c r="AS437" s="27" t="n">
        <v>33.641314</v>
      </c>
      <c r="AT437" s="15" t="n">
        <v>40549550.85255512</v>
      </c>
      <c r="AU437" s="15" t="n">
        <v>26548.2108</v>
      </c>
      <c r="AV437" s="15" t="n">
        <v>3523.7199</v>
      </c>
      <c r="AW437" s="15" t="n">
        <v>140333</v>
      </c>
      <c r="AX437" s="16" t="n">
        <v>435.666968843881</v>
      </c>
      <c r="AY437" s="13">
        <f>IF(OR(AX437="",AX437=0,AU437=""),"",AU437*365/(AX437*1000000))</f>
        <v/>
      </c>
      <c r="AZ437" s="15" t="n">
        <v>417440809.6052</v>
      </c>
      <c r="BA437" s="17" t="n">
        <v>60487233</v>
      </c>
      <c r="BB437" s="18" t="n">
        <v>40549550.85255512</v>
      </c>
      <c r="BC437" s="17" t="n">
        <v>2971663</v>
      </c>
      <c r="BD437" s="17">
        <f>1000000000-999318670.9752+221715.0351</f>
        <v/>
      </c>
      <c r="BE437" s="19">
        <f>1000000000-AZ437-BA437-BB437-BC437-BD437</f>
        <v/>
      </c>
      <c r="BF437" s="20" t="n">
        <v>234.988155</v>
      </c>
      <c r="BG437" s="20">
        <f>BE437/1000000-BF437</f>
        <v/>
      </c>
      <c r="BH437" s="21">
        <f>BE437*32.69</f>
        <v/>
      </c>
    </row>
    <row r="438">
      <c r="A438" s="10" t="n">
        <v>46060</v>
      </c>
      <c r="B438" s="11" t="n">
        <v>6254220928</v>
      </c>
      <c r="C438" s="11" t="n">
        <v>153024120.04</v>
      </c>
      <c r="D438" s="11" t="n">
        <v>212027199</v>
      </c>
      <c r="E438" s="11" t="n"/>
      <c r="F438" s="24" t="n">
        <v>37167922.20085324</v>
      </c>
      <c r="G438" s="24" t="n">
        <v>33649196.31546196</v>
      </c>
      <c r="H438" s="24" t="n">
        <v>1009165.170297754</v>
      </c>
      <c r="I438" s="24" t="n">
        <v>51788519.23561025</v>
      </c>
      <c r="J438" s="24" t="n">
        <v>1453435.089702878</v>
      </c>
      <c r="K438" s="24" t="n">
        <v>27955882.0280739</v>
      </c>
      <c r="L438" s="21">
        <f>SUM(F438:K438)</f>
        <v/>
      </c>
      <c r="M438" s="28" t="n">
        <v>0.991632394292304</v>
      </c>
      <c r="N438" s="11" t="n">
        <v>1913131.08</v>
      </c>
      <c r="O438" s="11" t="n">
        <v>56722.02</v>
      </c>
      <c r="P438" s="11" t="n">
        <v>72355.05</v>
      </c>
      <c r="Q438" s="11" t="n"/>
      <c r="R438" s="21">
        <f>N438+O438+P438+N(Q438)</f>
        <v/>
      </c>
      <c r="S438" s="13" t="n">
        <v>0.01</v>
      </c>
      <c r="T438" s="21">
        <f>N(AC438)*S438</f>
        <v/>
      </c>
      <c r="U438" s="21">
        <f>N(AD438)*S438</f>
        <v/>
      </c>
      <c r="V438" s="21">
        <f>N(AE438)*S438</f>
        <v/>
      </c>
      <c r="W438" s="21">
        <f>IF(Q438="","",N(AF438)*S438)</f>
        <v/>
      </c>
      <c r="X438" s="11" t="n">
        <v>18076.76</v>
      </c>
      <c r="Y438" s="11" t="n">
        <v>23638.76</v>
      </c>
      <c r="Z438" s="11" t="n"/>
      <c r="AA438" s="21">
        <f>T438+U438+V438+N(W438)+X438+Y438+N(Z438)</f>
        <v/>
      </c>
      <c r="AB438" s="11" t="n">
        <v>196440.9188</v>
      </c>
      <c r="AC438" s="11" t="n">
        <v>1913131.08</v>
      </c>
      <c r="AD438" s="21">
        <f>O438-Y438</f>
        <v/>
      </c>
      <c r="AE438" s="21">
        <f>P438-X438</f>
        <v/>
      </c>
      <c r="AF438" s="21">
        <f>IF(Q438="","",Q438-Z438)</f>
        <v/>
      </c>
      <c r="AG438" s="22">
        <f>AC438+AD438+AE438+N(AF438)</f>
        <v/>
      </c>
      <c r="AH438" s="11" t="n">
        <v>1633492.24</v>
      </c>
      <c r="AI438" s="24">
        <f>AG438-AH438</f>
        <v/>
      </c>
      <c r="AJ438" s="14">
        <f>IF(OR(B438="",B438=0,N438=""),"",N438/B438*10000)</f>
        <v/>
      </c>
      <c r="AK438" s="14">
        <f>IF(OR(C438="",C438=0),"",O438/C438*10000)</f>
        <v/>
      </c>
      <c r="AL438" s="14">
        <f>IF(OR(D438="",D438=0),"",P438/D438*10000)</f>
        <v/>
      </c>
      <c r="AM438" s="14">
        <f>IF(OR(E438="",E438=0),"",Q438/E438*10000)</f>
        <v/>
      </c>
      <c r="AN438" s="11" t="n">
        <v>32618.66486459849</v>
      </c>
      <c r="AO438" s="11" t="n">
        <v>0</v>
      </c>
      <c r="AP438" s="21">
        <f>AH438+AN438+AO438</f>
        <v/>
      </c>
      <c r="AQ438" s="21">
        <f>AH438</f>
        <v/>
      </c>
      <c r="AR438" s="15" t="n">
        <v>50422.63</v>
      </c>
      <c r="AS438" s="27" t="n">
        <v>32.396014</v>
      </c>
      <c r="AT438" s="15" t="n">
        <v>40599246.33255512</v>
      </c>
      <c r="AU438" s="15" t="n">
        <v>26532.9696</v>
      </c>
      <c r="AV438" s="15" t="n">
        <v>3341.9098</v>
      </c>
      <c r="AW438" s="15" t="n"/>
      <c r="AX438" s="16" t="n">
        <v>436.786342923683</v>
      </c>
      <c r="AY438" s="13">
        <f>IF(OR(AX438="",AX438=0,AU438=""),"",AU438*365/(AX438*1000000))</f>
        <v/>
      </c>
      <c r="AZ438" s="15" t="n">
        <v>417414276.6356</v>
      </c>
      <c r="BA438" s="17" t="n">
        <v>60487233</v>
      </c>
      <c r="BB438" s="18" t="n">
        <v>40599246.33255512</v>
      </c>
      <c r="BC438" s="17" t="n">
        <v>2971663</v>
      </c>
      <c r="BD438" s="17">
        <f>1000000000-999315329.0654+222729.3286</f>
        <v/>
      </c>
      <c r="BE438" s="19">
        <f>1000000000-AZ438-BA438-BB438-BC438-BD438</f>
        <v/>
      </c>
      <c r="BF438" s="20" t="n">
        <v>234.988155</v>
      </c>
      <c r="BG438" s="20">
        <f>BE438/1000000-BF438</f>
        <v/>
      </c>
      <c r="BH438" s="21">
        <f>BE438*32.16</f>
        <v/>
      </c>
    </row>
    <row r="439">
      <c r="A439" s="10" t="n">
        <v>46061</v>
      </c>
      <c r="B439" s="11" t="n">
        <v>3628769657</v>
      </c>
      <c r="C439" s="11" t="n">
        <v>277097761.71</v>
      </c>
      <c r="D439" s="11" t="n">
        <v>125754490</v>
      </c>
      <c r="E439" s="11" t="n"/>
      <c r="F439" s="24" t="n">
        <v>164451504.1800869</v>
      </c>
      <c r="G439" s="24" t="n">
        <v>20191064.40644384</v>
      </c>
      <c r="H439" s="24" t="n">
        <v>4162231.502801198</v>
      </c>
      <c r="I439" s="24" t="n">
        <v>66322434.96553792</v>
      </c>
      <c r="J439" s="24" t="n">
        <v>1224587.146915842</v>
      </c>
      <c r="K439" s="24" t="n">
        <v>20745939.50821431</v>
      </c>
      <c r="L439" s="21">
        <f>SUM(F439:K439)</f>
        <v/>
      </c>
      <c r="M439" s="28" t="n">
        <v>1.085818267732423</v>
      </c>
      <c r="N439" s="11" t="n">
        <v>1187273.76</v>
      </c>
      <c r="O439" s="11" t="n">
        <v>84852.56</v>
      </c>
      <c r="P439" s="11" t="n">
        <v>47845.07000000001</v>
      </c>
      <c r="Q439" s="11" t="n"/>
      <c r="R439" s="21">
        <f>N439+O439+P439+N(Q439)</f>
        <v/>
      </c>
      <c r="S439" s="13" t="n">
        <v>0.01</v>
      </c>
      <c r="T439" s="21">
        <f>N(AC439)*S439</f>
        <v/>
      </c>
      <c r="U439" s="21">
        <f>N(AD439)*S439</f>
        <v/>
      </c>
      <c r="V439" s="21">
        <f>N(AE439)*S439</f>
        <v/>
      </c>
      <c r="W439" s="21">
        <f>IF(Q439="","",N(AF439)*S439)</f>
        <v/>
      </c>
      <c r="X439" s="11" t="n">
        <v>10003.34</v>
      </c>
      <c r="Y439" s="11" t="n">
        <v>39427.76</v>
      </c>
      <c r="Z439" s="11" t="n"/>
      <c r="AA439" s="21">
        <f>T439+U439+V439+N(W439)+X439+Y439+N(Z439)</f>
        <v/>
      </c>
      <c r="AB439" s="11" t="n">
        <v>115237.5721</v>
      </c>
      <c r="AC439" s="11" t="n">
        <v>1187273.76</v>
      </c>
      <c r="AD439" s="21">
        <f>O439-Y439</f>
        <v/>
      </c>
      <c r="AE439" s="21">
        <f>P439-X439</f>
        <v/>
      </c>
      <c r="AF439" s="21">
        <f>IF(Q439="","",Q439-Z439)</f>
        <v/>
      </c>
      <c r="AG439" s="22">
        <f>AC439+AD439+AE439+N(AF439)</f>
        <v/>
      </c>
      <c r="AH439" s="11" t="n">
        <v>1086013.17</v>
      </c>
      <c r="AI439" s="24">
        <f>AG439-AH439</f>
        <v/>
      </c>
      <c r="AJ439" s="14">
        <f>IF(OR(B439="",B439=0,N439=""),"",N439/B439*10000)</f>
        <v/>
      </c>
      <c r="AK439" s="14">
        <f>IF(OR(C439="",C439=0),"",O439/C439*10000)</f>
        <v/>
      </c>
      <c r="AL439" s="14">
        <f>IF(OR(D439="",D439=0),"",P439/D439*10000)</f>
        <v/>
      </c>
      <c r="AM439" s="14">
        <f>IF(OR(E439="",E439=0),"",Q439/E439*10000)</f>
        <v/>
      </c>
      <c r="AN439" s="11" t="n">
        <v>19316.06384805416</v>
      </c>
      <c r="AO439" s="11" t="n">
        <v>16349.03</v>
      </c>
      <c r="AP439" s="21">
        <f>AH439+AN439+AO439</f>
        <v/>
      </c>
      <c r="AQ439" s="21">
        <f>AH439</f>
        <v/>
      </c>
      <c r="AR439" s="15" t="n">
        <v>34080.59</v>
      </c>
      <c r="AS439" s="27" t="n">
        <v>31.866032</v>
      </c>
      <c r="AT439" s="15" t="n">
        <v>40632889.54255512</v>
      </c>
      <c r="AU439" s="15" t="n">
        <v>26560.8768</v>
      </c>
      <c r="AV439" s="15" t="n">
        <v>360.2197</v>
      </c>
      <c r="AW439" s="15" t="n"/>
      <c r="AX439" s="16" t="n">
        <v>436.4495847134893</v>
      </c>
      <c r="AY439" s="13">
        <f>IF(OR(AX439="",AX439=0,AU439=""),"",AU439*365/(AX439*1000000))</f>
        <v/>
      </c>
      <c r="AZ439" s="15" t="n">
        <v>417387715.7588</v>
      </c>
      <c r="BA439" s="17" t="n">
        <v>60487233</v>
      </c>
      <c r="BB439" s="18" t="n">
        <v>40632889.54255512</v>
      </c>
      <c r="BC439" s="17" t="n">
        <v>2971663</v>
      </c>
      <c r="BD439" s="17">
        <f>1000000000-999314968.8457+223347.1856</f>
        <v/>
      </c>
      <c r="BE439" s="19">
        <f>1000000000-AZ439-BA439-BB439-BC439-BD439</f>
        <v/>
      </c>
      <c r="BF439" s="20" t="n">
        <v>234.988155</v>
      </c>
      <c r="BG439" s="20">
        <f>BE439/1000000-BF439</f>
        <v/>
      </c>
      <c r="BH439" s="21">
        <f>BE439*31.24</f>
        <v/>
      </c>
    </row>
    <row r="440">
      <c r="A440" s="10" t="n">
        <v>46062</v>
      </c>
      <c r="B440" s="11" t="n">
        <v>5335798683</v>
      </c>
      <c r="C440" s="11" t="n">
        <v>1366526996.25</v>
      </c>
      <c r="D440" s="11" t="n">
        <v>164593650</v>
      </c>
      <c r="E440" s="11" t="n"/>
      <c r="F440" s="24" t="n">
        <v>726487906.0881497</v>
      </c>
      <c r="G440" s="24" t="n">
        <v>23990543.41381302</v>
      </c>
      <c r="H440" s="24" t="n">
        <v>6223765.884270614</v>
      </c>
      <c r="I440" s="24" t="n">
        <v>349769210.0502393</v>
      </c>
      <c r="J440" s="24" t="n">
        <v>145720.0410204812</v>
      </c>
      <c r="K440" s="24" t="n">
        <v>259909850.772507</v>
      </c>
      <c r="L440" s="21">
        <f>SUM(F440:K440)</f>
        <v/>
      </c>
      <c r="M440" s="28" t="n">
        <v>0.9980566271096222</v>
      </c>
      <c r="N440" s="11" t="n">
        <v>1726848.95</v>
      </c>
      <c r="O440" s="11" t="n">
        <v>190312.21</v>
      </c>
      <c r="P440" s="11" t="n">
        <v>70656.67</v>
      </c>
      <c r="Q440" s="11" t="n"/>
      <c r="R440" s="21">
        <f>N440+O440+P440+N(Q440)</f>
        <v/>
      </c>
      <c r="S440" s="13" t="n">
        <v>0.01</v>
      </c>
      <c r="T440" s="21">
        <f>N(AC440)*S440</f>
        <v/>
      </c>
      <c r="U440" s="21">
        <f>N(AD440)*S440</f>
        <v/>
      </c>
      <c r="V440" s="21">
        <f>N(AE440)*S440</f>
        <v/>
      </c>
      <c r="W440" s="21">
        <f>IF(Q440="","",N(AF440)*S440)</f>
        <v/>
      </c>
      <c r="X440" s="11" t="n">
        <v>13751.09</v>
      </c>
      <c r="Y440" s="11" t="n">
        <v>91663.44</v>
      </c>
      <c r="Z440" s="11" t="n"/>
      <c r="AA440" s="21">
        <f>T440+U440+V440+N(W440)+X440+Y440+N(Z440)</f>
        <v/>
      </c>
      <c r="AB440" s="11" t="n">
        <v>151094.5287</v>
      </c>
      <c r="AC440" s="11" t="n">
        <v>1726848.95</v>
      </c>
      <c r="AD440" s="21">
        <f>O440-Y440</f>
        <v/>
      </c>
      <c r="AE440" s="21">
        <f>P440-X440</f>
        <v/>
      </c>
      <c r="AF440" s="21">
        <f>IF(Q440="","",Q440-Z440)</f>
        <v/>
      </c>
      <c r="AG440" s="22">
        <f>AC440+AD440+AE440+N(AF440)</f>
        <v/>
      </c>
      <c r="AH440" s="11" t="n">
        <v>1554684.95</v>
      </c>
      <c r="AI440" s="24">
        <f>AG440-AH440</f>
        <v/>
      </c>
      <c r="AJ440" s="14">
        <f>IF(OR(B440="",B440=0,N440=""),"",N440/B440*10000)</f>
        <v/>
      </c>
      <c r="AK440" s="14">
        <f>IF(OR(C440="",C440=0),"",O440/C440*10000)</f>
        <v/>
      </c>
      <c r="AL440" s="14">
        <f>IF(OR(D440="",D440=0),"",P440/D440*10000)</f>
        <v/>
      </c>
      <c r="AM440" s="14">
        <f>IF(OR(E440="",E440=0),"",Q440/E440*10000)</f>
        <v/>
      </c>
      <c r="AN440" s="11" t="n">
        <v>19013.55665948221</v>
      </c>
      <c r="AO440" s="11" t="n">
        <v>57664.22</v>
      </c>
      <c r="AP440" s="21">
        <f>AH440+AN440+AO440</f>
        <v/>
      </c>
      <c r="AQ440" s="21">
        <f>AH440</f>
        <v/>
      </c>
      <c r="AR440" s="15" t="n">
        <v>48777.95</v>
      </c>
      <c r="AS440" s="27" t="n">
        <v>31.8727</v>
      </c>
      <c r="AT440" s="15" t="n">
        <v>40681692.85255512</v>
      </c>
      <c r="AU440" s="15" t="n">
        <v>26556.7694</v>
      </c>
      <c r="AV440" s="15" t="n">
        <v>2523.6788</v>
      </c>
      <c r="AW440" s="15" t="n"/>
      <c r="AX440" s="16" t="n">
        <v>436.4780787376183</v>
      </c>
      <c r="AY440" s="13">
        <f>IF(OR(AX440="",AX440=0,AU440=""),"",AU440*365/(AX440*1000000))</f>
        <v/>
      </c>
      <c r="AZ440" s="15" t="n">
        <v>417361158.9894</v>
      </c>
      <c r="BA440" s="17" t="n">
        <v>60487233</v>
      </c>
      <c r="BB440" s="18" t="n">
        <v>40681692.85255512</v>
      </c>
      <c r="BC440" s="17" t="n">
        <v>2971663</v>
      </c>
      <c r="BD440" s="17">
        <f>1000000000-999312445.1669+223933.1557</f>
        <v/>
      </c>
      <c r="BE440" s="19">
        <f>1000000000-AZ440-BA440-BB440-BC440-BD440</f>
        <v/>
      </c>
      <c r="BF440" s="20" t="n">
        <v>234.988155</v>
      </c>
      <c r="BG440" s="20">
        <f>BE440/1000000-BF440</f>
        <v/>
      </c>
      <c r="BH440" s="21">
        <f>BE440*32.46</f>
        <v/>
      </c>
    </row>
    <row r="441">
      <c r="A441" s="10" t="n">
        <v>46063</v>
      </c>
      <c r="B441" s="11" t="n">
        <v>4856517468</v>
      </c>
      <c r="C441" s="11" t="n">
        <v>1114215323.11</v>
      </c>
      <c r="D441" s="11" t="n">
        <v>167947519</v>
      </c>
      <c r="E441" s="11" t="n"/>
      <c r="F441" s="24" t="n">
        <v>487000346.5319148</v>
      </c>
      <c r="G441" s="24" t="n">
        <v>19322132.87000318</v>
      </c>
      <c r="H441" s="24" t="n">
        <v>3637780.397894175</v>
      </c>
      <c r="I441" s="24" t="n">
        <v>346315634.9384652</v>
      </c>
      <c r="J441" s="24" t="n">
        <v>600854.4293021191</v>
      </c>
      <c r="K441" s="24" t="n">
        <v>257338573.9424202</v>
      </c>
      <c r="L441" s="21">
        <f>SUM(F441:K441)</f>
        <v/>
      </c>
      <c r="M441" s="28" t="n">
        <v>0.968239250166501</v>
      </c>
      <c r="N441" s="11" t="n">
        <v>1471500.99</v>
      </c>
      <c r="O441" s="11" t="n">
        <v>146729.64</v>
      </c>
      <c r="P441" s="11" t="n">
        <v>65929.62</v>
      </c>
      <c r="Q441" s="11" t="n"/>
      <c r="R441" s="21">
        <f>N441+O441+P441+N(Q441)</f>
        <v/>
      </c>
      <c r="S441" s="13" t="n">
        <v>0.01</v>
      </c>
      <c r="T441" s="21">
        <f>N(AC441)*S441</f>
        <v/>
      </c>
      <c r="U441" s="21">
        <f>N(AD441)*S441</f>
        <v/>
      </c>
      <c r="V441" s="21">
        <f>N(AE441)*S441</f>
        <v/>
      </c>
      <c r="W441" s="21">
        <f>IF(Q441="","",N(AF441)*S441)</f>
        <v/>
      </c>
      <c r="X441" s="11" t="n">
        <v>15695.51</v>
      </c>
      <c r="Y441" s="11" t="n">
        <v>70198.8</v>
      </c>
      <c r="Z441" s="11" t="n"/>
      <c r="AA441" s="21">
        <f>T441+U441+V441+N(W441)+X441+Y441+N(Z441)</f>
        <v/>
      </c>
      <c r="AB441" s="11" t="n">
        <v>126526.8714</v>
      </c>
      <c r="AC441" s="11" t="n">
        <v>1471500.99</v>
      </c>
      <c r="AD441" s="21">
        <f>O441-Y441</f>
        <v/>
      </c>
      <c r="AE441" s="21">
        <f>P441-X441</f>
        <v/>
      </c>
      <c r="AF441" s="21">
        <f>IF(Q441="","",Q441-Z441)</f>
        <v/>
      </c>
      <c r="AG441" s="22">
        <f>AC441+AD441+AE441+N(AF441)</f>
        <v/>
      </c>
      <c r="AH441" s="11" t="n">
        <v>1355611.75</v>
      </c>
      <c r="AI441" s="24">
        <f>AG441-AH441</f>
        <v/>
      </c>
      <c r="AJ441" s="14">
        <f>IF(OR(B441="",B441=0,N441=""),"",N441/B441*10000)</f>
        <v/>
      </c>
      <c r="AK441" s="14">
        <f>IF(OR(C441="",C441=0),"",O441/C441*10000)</f>
        <v/>
      </c>
      <c r="AL441" s="14">
        <f>IF(OR(D441="",D441=0),"",P441/D441*10000)</f>
        <v/>
      </c>
      <c r="AM441" s="14">
        <f>IF(OR(E441="",E441=0),"",Q441/E441*10000)</f>
        <v/>
      </c>
      <c r="AN441" s="11" t="n">
        <v>15254.10245373004</v>
      </c>
      <c r="AO441" s="11" t="n">
        <v>0</v>
      </c>
      <c r="AP441" s="21">
        <f>AH441+AN441+AO441</f>
        <v/>
      </c>
      <c r="AQ441" s="21">
        <f>AH441</f>
        <v/>
      </c>
      <c r="AR441" s="15" t="n">
        <v>45261.62</v>
      </c>
      <c r="AS441" s="27" t="n">
        <v>29.95058</v>
      </c>
      <c r="AT441" s="15" t="n">
        <v>40726662.00255512</v>
      </c>
      <c r="AU441" s="15" t="n">
        <v>26556.0418</v>
      </c>
      <c r="AV441" s="15" t="n">
        <v>3101.5672</v>
      </c>
      <c r="AW441" s="15" t="n"/>
      <c r="AX441" s="16" t="n">
        <v>436.1716725311088</v>
      </c>
      <c r="AY441" s="13">
        <f>IF(OR(AX441="",AX441=0,AU441=""),"",AU441*365/(AX441*1000000))</f>
        <v/>
      </c>
      <c r="AZ441" s="15" t="n">
        <v>417334602.9476</v>
      </c>
      <c r="BA441" s="17" t="n">
        <v>60487233</v>
      </c>
      <c r="BB441" s="18" t="n">
        <v>40726662.00255512</v>
      </c>
      <c r="BC441" s="17" t="n">
        <v>2971663</v>
      </c>
      <c r="BD441" s="17">
        <f>1000000000-999309343.5997+224424.7477</f>
        <v/>
      </c>
      <c r="BE441" s="19">
        <f>1000000000-AZ441-BA441-BB441-BC441-BD441</f>
        <v/>
      </c>
      <c r="BF441" s="20" t="n">
        <v>234.988155</v>
      </c>
      <c r="BG441" s="20">
        <f>BE441/1000000-BF441</f>
        <v/>
      </c>
      <c r="BH441" s="21">
        <f>BE441*31.04</f>
        <v/>
      </c>
    </row>
    <row r="442">
      <c r="A442" s="10" t="n">
        <v>46064</v>
      </c>
      <c r="B442" s="11" t="n">
        <v>6050903590</v>
      </c>
      <c r="C442" s="11" t="n">
        <v>1405444644.93</v>
      </c>
      <c r="D442" s="11" t="n">
        <v>175609725</v>
      </c>
      <c r="E442" s="11" t="n"/>
      <c r="F442" s="24" t="n">
        <v>613174020.414643</v>
      </c>
      <c r="G442" s="24" t="n">
        <v>42292126.61258174</v>
      </c>
      <c r="H442" s="24" t="n">
        <v>7174797.189832306</v>
      </c>
      <c r="I442" s="24" t="n">
        <v>479316263.3788912</v>
      </c>
      <c r="J442" s="24" t="n">
        <v>793220.3253202987</v>
      </c>
      <c r="K442" s="24" t="n">
        <v>262694217.0087314</v>
      </c>
      <c r="L442" s="21">
        <f>SUM(F442:K442)</f>
        <v/>
      </c>
      <c r="M442" s="28" t="n">
        <v>1.018758413004876</v>
      </c>
      <c r="N442" s="11" t="n">
        <v>1920305.07</v>
      </c>
      <c r="O442" s="11" t="n">
        <v>164014.08</v>
      </c>
      <c r="P442" s="11" t="n">
        <v>75985.84</v>
      </c>
      <c r="Q442" s="11" t="n"/>
      <c r="R442" s="21">
        <f>N442+O442+P442+N(Q442)</f>
        <v/>
      </c>
      <c r="S442" s="13" t="n">
        <v>0.01</v>
      </c>
      <c r="T442" s="21">
        <f>N(AC442)*S442</f>
        <v/>
      </c>
      <c r="U442" s="21">
        <f>N(AD442)*S442</f>
        <v/>
      </c>
      <c r="V442" s="21">
        <f>N(AE442)*S442</f>
        <v/>
      </c>
      <c r="W442" s="21">
        <f>IF(Q442="","",N(AF442)*S442)</f>
        <v/>
      </c>
      <c r="X442" s="11" t="n">
        <v>14726.11</v>
      </c>
      <c r="Y442" s="11" t="n">
        <v>77003.00999999999</v>
      </c>
      <c r="Z442" s="11" t="n"/>
      <c r="AA442" s="21">
        <f>T442+U442+V442+N(W442)+X442+Y442+N(Z442)</f>
        <v/>
      </c>
      <c r="AB442" s="11" t="n">
        <v>162302.0222</v>
      </c>
      <c r="AC442" s="11" t="n">
        <v>1920305.07</v>
      </c>
      <c r="AD442" s="21">
        <f>O442-Y442</f>
        <v/>
      </c>
      <c r="AE442" s="21">
        <f>P442-X442</f>
        <v/>
      </c>
      <c r="AF442" s="21">
        <f>IF(Q442="","",Q442-Z442)</f>
        <v/>
      </c>
      <c r="AG442" s="22">
        <f>AC442+AD442+AE442+N(AF442)</f>
        <v/>
      </c>
      <c r="AH442" s="11" t="n">
        <v>1718110.73</v>
      </c>
      <c r="AI442" s="24">
        <f>AG442-AH442</f>
        <v/>
      </c>
      <c r="AJ442" s="14">
        <f>IF(OR(B442="",B442=0,N442=""),"",N442/B442*10000)</f>
        <v/>
      </c>
      <c r="AK442" s="14">
        <f>IF(OR(C442="",C442=0),"",O442/C442*10000)</f>
        <v/>
      </c>
      <c r="AL442" s="14">
        <f>IF(OR(D442="",D442=0),"",P442/D442*10000)</f>
        <v/>
      </c>
      <c r="AM442" s="14">
        <f>IF(OR(E442="",E442=0),"",Q442/E442*10000)</f>
        <v/>
      </c>
      <c r="AN442" s="11" t="n">
        <v>15193.78369267067</v>
      </c>
      <c r="AO442" s="11" t="n">
        <v>0</v>
      </c>
      <c r="AP442" s="21">
        <f>AH442+AN442+AO442</f>
        <v/>
      </c>
      <c r="AQ442" s="21">
        <f>AH442</f>
        <v/>
      </c>
      <c r="AR442" s="15" t="n">
        <v>59026.79</v>
      </c>
      <c r="AS442" s="27" t="n">
        <v>29.107304</v>
      </c>
      <c r="AT442" s="15" t="n">
        <v>40785342.70255512</v>
      </c>
      <c r="AU442" s="15" t="n">
        <v>26553.4689</v>
      </c>
      <c r="AV442" s="15" t="n">
        <v>1030.2548</v>
      </c>
      <c r="AW442" s="15" t="n"/>
      <c r="AX442" s="16" t="n">
        <v>436.3974228552362</v>
      </c>
      <c r="AY442" s="13">
        <f>IF(OR(AX442="",AX442=0,AU442=""),"",AU442*365/(AX442*1000000))</f>
        <v/>
      </c>
      <c r="AZ442" s="15" t="n">
        <v>417308049.4787</v>
      </c>
      <c r="BA442" s="17" t="n">
        <v>60487233</v>
      </c>
      <c r="BB442" s="18" t="n">
        <v>40785342.70255512</v>
      </c>
      <c r="BC442" s="17" t="n">
        <v>2971663</v>
      </c>
      <c r="BD442" s="17">
        <f>1000000000-999308313.3449+224947.2120</f>
        <v/>
      </c>
      <c r="BE442" s="19">
        <f>1000000000-AZ442-BA442-BB442-BC442-BD442</f>
        <v/>
      </c>
      <c r="BF442" s="20" t="n">
        <v>234.988155</v>
      </c>
      <c r="BG442" s="20">
        <f>BE442/1000000-BF442</f>
        <v/>
      </c>
      <c r="BH442" s="21">
        <f>BE442*29.07</f>
        <v/>
      </c>
    </row>
    <row r="443">
      <c r="A443" s="10" t="n">
        <v>46065</v>
      </c>
      <c r="B443" s="11" t="n">
        <v>4969823442</v>
      </c>
      <c r="C443" s="11" t="n">
        <v>1806185082.49</v>
      </c>
      <c r="D443" s="11" t="n">
        <v>150158667</v>
      </c>
      <c r="E443" s="11" t="n"/>
      <c r="F443" s="24" t="n">
        <v>937726675.1037748</v>
      </c>
      <c r="G443" s="24" t="n">
        <v>41050946.4226715</v>
      </c>
      <c r="H443" s="24" t="n">
        <v>5003591.07550169</v>
      </c>
      <c r="I443" s="24" t="n">
        <v>573831002.6537298</v>
      </c>
      <c r="J443" s="24" t="n">
        <v>335274.4022659867</v>
      </c>
      <c r="K443" s="24" t="n">
        <v>248237592.8320563</v>
      </c>
      <c r="L443" s="21">
        <f>SUM(F443:K443)</f>
        <v/>
      </c>
      <c r="M443" s="28" t="n">
        <v>0.9938323628126163</v>
      </c>
      <c r="N443" s="11" t="n">
        <v>1587741.1</v>
      </c>
      <c r="O443" s="11" t="n">
        <v>191358.17</v>
      </c>
      <c r="P443" s="11" t="n">
        <v>65410.74000000001</v>
      </c>
      <c r="Q443" s="11" t="n"/>
      <c r="R443" s="21">
        <f>N443+O443+P443+N(Q443)</f>
        <v/>
      </c>
      <c r="S443" s="13" t="n">
        <v>0.01</v>
      </c>
      <c r="T443" s="21">
        <f>N(AC443)*S443</f>
        <v/>
      </c>
      <c r="U443" s="21">
        <f>N(AD443)*S443</f>
        <v/>
      </c>
      <c r="V443" s="21">
        <f>N(AE443)*S443</f>
        <v/>
      </c>
      <c r="W443" s="21">
        <f>IF(Q443="","",N(AF443)*S443)</f>
        <v/>
      </c>
      <c r="X443" s="11" t="n">
        <v>12336.91</v>
      </c>
      <c r="Y443" s="11" t="n">
        <v>90415.02</v>
      </c>
      <c r="Z443" s="11" t="n"/>
      <c r="AA443" s="21">
        <f>T443+U443+V443+N(W443)+X443+Y443+N(Z443)</f>
        <v/>
      </c>
      <c r="AB443" s="11" t="n">
        <v>120819.6169</v>
      </c>
      <c r="AC443" s="11" t="n">
        <v>1587741.1</v>
      </c>
      <c r="AD443" s="21">
        <f>O443-Y443</f>
        <v/>
      </c>
      <c r="AE443" s="21">
        <f>P443-X443</f>
        <v/>
      </c>
      <c r="AF443" s="21">
        <f>IF(Q443="","",Q443-Z443)</f>
        <v/>
      </c>
      <c r="AG443" s="22">
        <f>AC443+AD443+AE443+N(AF443)</f>
        <v/>
      </c>
      <c r="AH443" s="11" t="n">
        <v>1356448.79</v>
      </c>
      <c r="AI443" s="24">
        <f>AG443-AH443</f>
        <v/>
      </c>
      <c r="AJ443" s="14">
        <f>IF(OR(B443="",B443=0,N443=""),"",N443/B443*10000)</f>
        <v/>
      </c>
      <c r="AK443" s="14">
        <f>IF(OR(C443="",C443=0),"",O443/C443*10000)</f>
        <v/>
      </c>
      <c r="AL443" s="14">
        <f>IF(OR(D443="",D443=0),"",P443/D443*10000)</f>
        <v/>
      </c>
      <c r="AM443" s="14">
        <f>IF(OR(E443="",E443=0),"",Q443/E443*10000)</f>
        <v/>
      </c>
      <c r="AN443" s="11" t="n">
        <v>15409.7918693184</v>
      </c>
      <c r="AO443" s="11" t="n">
        <v>0</v>
      </c>
      <c r="AP443" s="21">
        <f>AH443+AN443+AO443</f>
        <v/>
      </c>
      <c r="AQ443" s="21">
        <f>AH443</f>
        <v/>
      </c>
      <c r="AR443" s="15" t="n">
        <v>44632.74</v>
      </c>
      <c r="AS443" s="27" t="n">
        <v>30.39134</v>
      </c>
      <c r="AT443" s="15" t="n">
        <v>40833357.37255512</v>
      </c>
      <c r="AU443" s="15" t="n">
        <v>26549.6824</v>
      </c>
      <c r="AV443" s="15" t="n">
        <v>1199.9727</v>
      </c>
      <c r="AW443" s="15" t="n"/>
      <c r="AX443" s="16" t="n">
        <v>436.3472172495264</v>
      </c>
      <c r="AY443" s="13">
        <f>IF(OR(AX443="",AX443=0,AU443=""),"",AU443*365/(AX443*1000000))</f>
        <v/>
      </c>
      <c r="AZ443" s="15" t="n">
        <v>417281499.7962</v>
      </c>
      <c r="BA443" s="17" t="n">
        <v>60487233</v>
      </c>
      <c r="BB443" s="18" t="n">
        <v>40833357.37255512</v>
      </c>
      <c r="BC443" s="17" t="n">
        <v>2971663</v>
      </c>
      <c r="BD443" s="17">
        <f>1000000000-999307113.3721+225465.7634</f>
        <v/>
      </c>
      <c r="BE443" s="19">
        <f>1000000000-AZ443-BA443-BB443-BC443-BD443</f>
        <v/>
      </c>
      <c r="BF443" s="20" t="n">
        <v>234.988155</v>
      </c>
      <c r="BG443" s="20">
        <f>BE443/1000000-BF443</f>
        <v/>
      </c>
      <c r="BH443" s="21">
        <f>BE443*29.72</f>
        <v/>
      </c>
    </row>
    <row r="444">
      <c r="A444" s="10" t="n">
        <v>46066</v>
      </c>
      <c r="B444" s="11" t="n">
        <v>4189091606</v>
      </c>
      <c r="C444" s="11" t="n">
        <v>1449258186</v>
      </c>
      <c r="D444" s="11" t="n">
        <v>122657004</v>
      </c>
      <c r="E444" s="11" t="n"/>
      <c r="F444" s="24" t="n">
        <v>561822216.3741522</v>
      </c>
      <c r="G444" s="24" t="n">
        <v>30973888.91479811</v>
      </c>
      <c r="H444" s="24" t="n">
        <v>2373838.184483952</v>
      </c>
      <c r="I444" s="24" t="n">
        <v>607082603.994722</v>
      </c>
      <c r="J444" s="24" t="n">
        <v>109974.1693284561</v>
      </c>
      <c r="K444" s="24" t="n">
        <v>246895664.3625152</v>
      </c>
      <c r="L444" s="21">
        <f>SUM(F444:K444)</f>
        <v/>
      </c>
      <c r="M444" s="28" t="n">
        <v>0.9820390735912854</v>
      </c>
      <c r="N444" s="11" t="n">
        <v>1338270.1</v>
      </c>
      <c r="O444" s="11" t="n">
        <v>144782.76</v>
      </c>
      <c r="P444" s="11" t="n">
        <v>53147.01</v>
      </c>
      <c r="Q444" s="11" t="n"/>
      <c r="R444" s="21">
        <f>N444+O444+P444+N(Q444)</f>
        <v/>
      </c>
      <c r="S444" s="13" t="n">
        <v>0.01</v>
      </c>
      <c r="T444" s="21">
        <f>N(AC444)*S444</f>
        <v/>
      </c>
      <c r="U444" s="21">
        <f>N(AD444)*S444</f>
        <v/>
      </c>
      <c r="V444" s="21">
        <f>N(AE444)*S444</f>
        <v/>
      </c>
      <c r="W444" s="21">
        <f>IF(Q444="","",N(AF444)*S444)</f>
        <v/>
      </c>
      <c r="X444" s="11" t="n">
        <v>11619.18</v>
      </c>
      <c r="Y444" s="11" t="n">
        <v>68446.64999999999</v>
      </c>
      <c r="Z444" s="11" t="n"/>
      <c r="AA444" s="21">
        <f>T444+U444+V444+N(W444)+X444+Y444+N(Z444)</f>
        <v/>
      </c>
      <c r="AB444" s="11" t="n">
        <v>127769.3265</v>
      </c>
      <c r="AC444" s="11" t="n">
        <v>1338270.1</v>
      </c>
      <c r="AD444" s="21">
        <f>O444-Y444</f>
        <v/>
      </c>
      <c r="AE444" s="21">
        <f>P444-X444</f>
        <v/>
      </c>
      <c r="AF444" s="21">
        <f>IF(Q444="","",Q444-Z444)</f>
        <v/>
      </c>
      <c r="AG444" s="22">
        <f>AC444+AD444+AE444+N(AF444)</f>
        <v/>
      </c>
      <c r="AH444" s="11" t="n">
        <v>1281749.07</v>
      </c>
      <c r="AI444" s="24">
        <f>AG444-AH444</f>
        <v/>
      </c>
      <c r="AJ444" s="14">
        <f>IF(OR(B444="",B444=0,N444=""),"",N444/B444*10000)</f>
        <v/>
      </c>
      <c r="AK444" s="14">
        <f>IF(OR(C444="",C444=0),"",O444/C444*10000)</f>
        <v/>
      </c>
      <c r="AL444" s="14">
        <f>IF(OR(D444="",D444=0),"",P444/D444*10000)</f>
        <v/>
      </c>
      <c r="AM444" s="14">
        <f>IF(OR(E444="",E444=0),"",Q444/E444*10000)</f>
        <v/>
      </c>
      <c r="AN444" s="11" t="n">
        <v>16118.89265635431</v>
      </c>
      <c r="AO444" s="11" t="n">
        <v>0</v>
      </c>
      <c r="AP444" s="21">
        <f>AH444+AN444+AO444</f>
        <v/>
      </c>
      <c r="AQ444" s="21">
        <f>AH444</f>
        <v/>
      </c>
      <c r="AR444" s="15" t="n">
        <v>41194.1</v>
      </c>
      <c r="AS444" s="27" t="n">
        <v>31.11487</v>
      </c>
      <c r="AT444" s="15" t="n">
        <v>40871803.47255512</v>
      </c>
      <c r="AU444" s="15" t="n">
        <v>26553.7658</v>
      </c>
      <c r="AV444" s="15" t="n">
        <v>1215.4388</v>
      </c>
      <c r="AW444" s="15" t="n"/>
      <c r="AX444" s="16" t="n">
        <v>436.6026987118869</v>
      </c>
      <c r="AY444" s="13">
        <f>IF(OR(AX444="",AX444=0,AU444=""),"",AU444*365/(AX444*1000000))</f>
        <v/>
      </c>
      <c r="AZ444" s="15" t="n">
        <v>417254946.0304</v>
      </c>
      <c r="BA444" s="17" t="n">
        <v>60487233</v>
      </c>
      <c r="BB444" s="18" t="n">
        <v>40871803.47255512</v>
      </c>
      <c r="BC444" s="17" t="n">
        <v>2971663</v>
      </c>
      <c r="BD444" s="17">
        <f>1000000000-999305897.9334+225989.3591</f>
        <v/>
      </c>
      <c r="BE444" s="19">
        <f>1000000000-AZ444-BA444-BB444-BC444-BD444</f>
        <v/>
      </c>
      <c r="BF444" s="20" t="n">
        <v>234.988155</v>
      </c>
      <c r="BG444" s="20">
        <f>BE444/1000000-BF444</f>
        <v/>
      </c>
      <c r="BH444" s="21">
        <f>BE444*30.79</f>
        <v/>
      </c>
    </row>
    <row r="445">
      <c r="A445" s="10" t="n">
        <v>46067</v>
      </c>
      <c r="B445" s="11" t="n">
        <v>2567982405</v>
      </c>
      <c r="C445" s="11" t="n">
        <v>110589200.93</v>
      </c>
      <c r="D445" s="11" t="n">
        <v>61531042</v>
      </c>
      <c r="E445" s="11" t="n"/>
      <c r="F445" s="24" t="n">
        <v>17710423.95919469</v>
      </c>
      <c r="G445" s="24" t="n">
        <v>16610526.17874638</v>
      </c>
      <c r="H445" s="24" t="n">
        <v>599511.1397649269</v>
      </c>
      <c r="I445" s="24" t="n">
        <v>50669399.57209052</v>
      </c>
      <c r="J445" s="24" t="n">
        <v>75661.41274850356</v>
      </c>
      <c r="K445" s="24" t="n">
        <v>24923678.66745499</v>
      </c>
      <c r="L445" s="21">
        <f>SUM(F445:K445)</f>
        <v/>
      </c>
      <c r="M445" s="28" t="n">
        <v>0.9651659241058638</v>
      </c>
      <c r="N445" s="11" t="n">
        <v>916339.54</v>
      </c>
      <c r="O445" s="11" t="n">
        <v>30410.1</v>
      </c>
      <c r="P445" s="11" t="n">
        <v>30946</v>
      </c>
      <c r="Q445" s="11" t="n"/>
      <c r="R445" s="21">
        <f>N445+O445+P445+N(Q445)</f>
        <v/>
      </c>
      <c r="S445" s="13" t="n">
        <v>0.01</v>
      </c>
      <c r="T445" s="21">
        <f>N(AC445)*S445</f>
        <v/>
      </c>
      <c r="U445" s="21">
        <f>N(AD445)*S445</f>
        <v/>
      </c>
      <c r="V445" s="21">
        <f>N(AE445)*S445</f>
        <v/>
      </c>
      <c r="W445" s="21">
        <f>IF(Q445="","",N(AF445)*S445)</f>
        <v/>
      </c>
      <c r="X445" s="11" t="n">
        <v>6519.47</v>
      </c>
      <c r="Y445" s="11" t="n">
        <v>12363.09</v>
      </c>
      <c r="Z445" s="11" t="n"/>
      <c r="AA445" s="21">
        <f>T445+U445+V445+N(W445)+X445+Y445+N(Z445)</f>
        <v/>
      </c>
      <c r="AB445" s="11" t="n">
        <v>73156.22960000001</v>
      </c>
      <c r="AC445" s="11" t="n">
        <v>916339.54</v>
      </c>
      <c r="AD445" s="21">
        <f>O445-Y445</f>
        <v/>
      </c>
      <c r="AE445" s="21">
        <f>P445-X445</f>
        <v/>
      </c>
      <c r="AF445" s="21">
        <f>IF(Q445="","",Q445-Z445)</f>
        <v/>
      </c>
      <c r="AG445" s="22">
        <f>AC445+AD445+AE445+N(AF445)</f>
        <v/>
      </c>
      <c r="AH445" s="11" t="n">
        <v>747336.21</v>
      </c>
      <c r="AI445" s="24">
        <f>AG445-AH445</f>
        <v/>
      </c>
      <c r="AJ445" s="14">
        <f>IF(OR(B445="",B445=0,N445=""),"",N445/B445*10000)</f>
        <v/>
      </c>
      <c r="AK445" s="14">
        <f>IF(OR(C445="",C445=0),"",O445/C445*10000)</f>
        <v/>
      </c>
      <c r="AL445" s="14">
        <f>IF(OR(D445="",D445=0),"",P445/D445*10000)</f>
        <v/>
      </c>
      <c r="AM445" s="14">
        <f>IF(OR(E445="",E445=0),"",Q445/E445*10000)</f>
        <v/>
      </c>
      <c r="AN445" s="11" t="n">
        <v>10306.41086253439</v>
      </c>
      <c r="AO445" s="11" t="n">
        <v>0</v>
      </c>
      <c r="AP445" s="21">
        <f>AH445+AN445+AO445</f>
        <v/>
      </c>
      <c r="AQ445" s="21">
        <f>AH445</f>
        <v/>
      </c>
      <c r="AR445" s="15" t="n">
        <v>23679.76</v>
      </c>
      <c r="AS445" s="27" t="n">
        <v>31.560126</v>
      </c>
      <c r="AT445" s="15" t="n">
        <v>40895558.22255512</v>
      </c>
      <c r="AU445" s="15" t="n">
        <v>26554.7756</v>
      </c>
      <c r="AV445" s="15" t="n">
        <v>888.9465</v>
      </c>
      <c r="AW445" s="15" t="n"/>
      <c r="AX445" s="16" t="n">
        <v>435.5756719180026</v>
      </c>
      <c r="AY445" s="13">
        <f>IF(OR(AX445="",AX445=0,AU445=""),"",AU445*365/(AX445*1000000))</f>
        <v/>
      </c>
      <c r="AZ445" s="15" t="n">
        <v>417228391.2548</v>
      </c>
      <c r="BA445" s="17" t="n">
        <v>60487233</v>
      </c>
      <c r="BB445" s="18" t="n">
        <v>40895558.22255512</v>
      </c>
      <c r="BC445" s="17" t="n">
        <v>2971663</v>
      </c>
      <c r="BD445" s="17">
        <f>1000000000-999305008.9868+226316.3288</f>
        <v/>
      </c>
      <c r="BE445" s="19">
        <f>1000000000-AZ445-BA445-BB445-BC445-BD445</f>
        <v/>
      </c>
      <c r="BF445" s="20" t="n">
        <v>234.988155</v>
      </c>
      <c r="BG445" s="20">
        <f>BE445/1000000-BF445</f>
        <v/>
      </c>
      <c r="BH445" s="21">
        <f>BE445*31.53</f>
        <v/>
      </c>
    </row>
    <row r="446">
      <c r="A446" s="10" t="n">
        <v>46068</v>
      </c>
      <c r="B446" s="11" t="n">
        <v>3385161912</v>
      </c>
      <c r="C446" s="11" t="n">
        <v>274330173.16</v>
      </c>
      <c r="D446" s="11" t="n">
        <v>69538789</v>
      </c>
      <c r="E446" s="11" t="n"/>
      <c r="F446" s="24" t="n">
        <v>114789963.7572702</v>
      </c>
      <c r="G446" s="24" t="n">
        <v>29162912.62241395</v>
      </c>
      <c r="H446" s="24" t="n">
        <v>1111752.434701749</v>
      </c>
      <c r="I446" s="24" t="n">
        <v>95001922.36296332</v>
      </c>
      <c r="J446" s="24" t="n">
        <v>172054.098629267</v>
      </c>
      <c r="K446" s="24" t="n">
        <v>34091567.88402161</v>
      </c>
      <c r="L446" s="21">
        <f>SUM(F446:K446)</f>
        <v/>
      </c>
      <c r="M446" s="28" t="n">
        <v>1.107785353048505</v>
      </c>
      <c r="N446" s="11" t="n">
        <v>1165278.81</v>
      </c>
      <c r="O446" s="11" t="n">
        <v>50300.86</v>
      </c>
      <c r="P446" s="11" t="n">
        <v>31072.6</v>
      </c>
      <c r="Q446" s="11" t="n"/>
      <c r="R446" s="21">
        <f>N446+O446+P446+N(Q446)</f>
        <v/>
      </c>
      <c r="S446" s="13" t="n">
        <v>0.01</v>
      </c>
      <c r="T446" s="21">
        <f>N(AC446)*S446</f>
        <v/>
      </c>
      <c r="U446" s="21">
        <f>N(AD446)*S446</f>
        <v/>
      </c>
      <c r="V446" s="21">
        <f>N(AE446)*S446</f>
        <v/>
      </c>
      <c r="W446" s="21">
        <f>IF(Q446="","",N(AF446)*S446)</f>
        <v/>
      </c>
      <c r="X446" s="11" t="n">
        <v>6089.84</v>
      </c>
      <c r="Y446" s="11" t="n">
        <v>21579.17</v>
      </c>
      <c r="Z446" s="11" t="n"/>
      <c r="AA446" s="21">
        <f>T446+U446+V446+N(W446)+X446+Y446+N(Z446)</f>
        <v/>
      </c>
      <c r="AB446" s="11" t="n">
        <v>100314.1119</v>
      </c>
      <c r="AC446" s="11" t="n">
        <v>1165278.81</v>
      </c>
      <c r="AD446" s="21">
        <f>O446-Y446</f>
        <v/>
      </c>
      <c r="AE446" s="21">
        <f>P446-X446</f>
        <v/>
      </c>
      <c r="AF446" s="21">
        <f>IF(Q446="","",Q446-Z446)</f>
        <v/>
      </c>
      <c r="AG446" s="22">
        <f>AC446+AD446+AE446+N(AF446)</f>
        <v/>
      </c>
      <c r="AH446" s="11" t="n">
        <v>977878.9</v>
      </c>
      <c r="AI446" s="24">
        <f>AG446-AH446</f>
        <v/>
      </c>
      <c r="AJ446" s="14">
        <f>IF(OR(B446="",B446=0,N446=""),"",N446/B446*10000)</f>
        <v/>
      </c>
      <c r="AK446" s="14">
        <f>IF(OR(C446="",C446=0),"",O446/C446*10000)</f>
        <v/>
      </c>
      <c r="AL446" s="14">
        <f>IF(OR(D446="",D446=0),"",P446/D446*10000)</f>
        <v/>
      </c>
      <c r="AM446" s="14">
        <f>IF(OR(E446="",E446=0),"",Q446/E446*10000)</f>
        <v/>
      </c>
      <c r="AN446" s="11" t="n">
        <v>11030.80301393154</v>
      </c>
      <c r="AO446" s="11" t="n">
        <v>20657.98</v>
      </c>
      <c r="AP446" s="21">
        <f>AH446+AN446+AO446</f>
        <v/>
      </c>
      <c r="AQ446" s="21">
        <f>AH446</f>
        <v/>
      </c>
      <c r="AR446" s="15" t="n">
        <v>31482</v>
      </c>
      <c r="AS446" s="27" t="n">
        <v>31.061524</v>
      </c>
      <c r="AT446" s="15" t="n">
        <v>40926983.47255512</v>
      </c>
      <c r="AU446" s="15" t="n">
        <v>26531.3212</v>
      </c>
      <c r="AV446" s="15" t="n">
        <v>194.0083</v>
      </c>
      <c r="AW446" s="15" t="n"/>
      <c r="AX446" s="16" t="n">
        <v>435.6338885464914</v>
      </c>
      <c r="AY446" s="13">
        <f>IF(OR(AX446="",AX446=0,AU446=""),"",AU446*365/(AX446*1000000))</f>
        <v/>
      </c>
      <c r="AZ446" s="15" t="n">
        <v>417201859.9336</v>
      </c>
      <c r="BA446" s="17" t="n">
        <v>60487233</v>
      </c>
      <c r="BB446" s="18" t="n">
        <v>40926983.47255512</v>
      </c>
      <c r="BC446" s="17" t="n">
        <v>2971663</v>
      </c>
      <c r="BD446" s="17">
        <f>1000000000-999304814.9786+226663.9417</f>
        <v/>
      </c>
      <c r="BE446" s="19">
        <f>1000000000-AZ446-BA446-BB446-BC446-BD446</f>
        <v/>
      </c>
      <c r="BF446" s="20" t="n">
        <v>234.988155</v>
      </c>
      <c r="BG446" s="20">
        <f>BE446/1000000-BF446</f>
        <v/>
      </c>
      <c r="BH446" s="21">
        <f>BE446*31.73</f>
        <v/>
      </c>
    </row>
    <row r="447">
      <c r="A447" s="10" t="n">
        <v>46069</v>
      </c>
      <c r="B447" s="11" t="n">
        <v>3240015683</v>
      </c>
      <c r="C447" s="11" t="n">
        <v>431516142.52</v>
      </c>
      <c r="D447" s="11" t="n">
        <v>79147426</v>
      </c>
      <c r="E447" s="11" t="n"/>
      <c r="F447" s="24" t="n">
        <v>217179536.4716049</v>
      </c>
      <c r="G447" s="24" t="n">
        <v>15614446.31289304</v>
      </c>
      <c r="H447" s="24" t="n">
        <v>2053556.075624138</v>
      </c>
      <c r="I447" s="24" t="n">
        <v>149938778.3826984</v>
      </c>
      <c r="J447" s="24" t="n">
        <v>58754.6555829358</v>
      </c>
      <c r="K447" s="24" t="n">
        <v>46671070.62159661</v>
      </c>
      <c r="L447" s="21">
        <f>SUM(F447:K447)</f>
        <v/>
      </c>
      <c r="M447" s="28" t="n">
        <v>0.9479823544251388</v>
      </c>
      <c r="N447" s="11" t="n">
        <v>1064981.31</v>
      </c>
      <c r="O447" s="11" t="n">
        <v>74791.57000000001</v>
      </c>
      <c r="P447" s="11" t="n">
        <v>36051.19</v>
      </c>
      <c r="Q447" s="11" t="n"/>
      <c r="R447" s="21">
        <f>N447+O447+P447+N(Q447)</f>
        <v/>
      </c>
      <c r="S447" s="13" t="n">
        <v>0.01</v>
      </c>
      <c r="T447" s="21">
        <f>N(AC447)*S447</f>
        <v/>
      </c>
      <c r="U447" s="21">
        <f>N(AD447)*S447</f>
        <v/>
      </c>
      <c r="V447" s="21">
        <f>N(AE447)*S447</f>
        <v/>
      </c>
      <c r="W447" s="21">
        <f>IF(Q447="","",N(AF447)*S447)</f>
        <v/>
      </c>
      <c r="X447" s="11" t="n">
        <v>8970.469999999999</v>
      </c>
      <c r="Y447" s="11" t="n">
        <v>34672.73</v>
      </c>
      <c r="Z447" s="11" t="n"/>
      <c r="AA447" s="21">
        <f>T447+U447+V447+N(W447)+X447+Y447+N(Z447)</f>
        <v/>
      </c>
      <c r="AB447" s="11" t="n">
        <v>89612.9345</v>
      </c>
      <c r="AC447" s="11" t="n">
        <v>1064981.31</v>
      </c>
      <c r="AD447" s="21">
        <f>O447-Y447</f>
        <v/>
      </c>
      <c r="AE447" s="21">
        <f>P447-X447</f>
        <v/>
      </c>
      <c r="AF447" s="21">
        <f>IF(Q447="","",Q447-Z447)</f>
        <v/>
      </c>
      <c r="AG447" s="22">
        <f>AC447+AD447+AE447+N(AF447)</f>
        <v/>
      </c>
      <c r="AH447" s="11" t="n">
        <v>853035.8</v>
      </c>
      <c r="AI447" s="24">
        <f>AG447-AH447</f>
        <v/>
      </c>
      <c r="AJ447" s="14">
        <f>IF(OR(B447="",B447=0,N447=""),"",N447/B447*10000)</f>
        <v/>
      </c>
      <c r="AK447" s="14">
        <f>IF(OR(C447="",C447=0),"",O447/C447*10000)</f>
        <v/>
      </c>
      <c r="AL447" s="14">
        <f>IF(OR(D447="",D447=0),"",P447/D447*10000)</f>
        <v/>
      </c>
      <c r="AM447" s="14">
        <f>IF(OR(E447="",E447=0),"",Q447/E447*10000)</f>
        <v/>
      </c>
      <c r="AN447" s="11" t="n">
        <v>8111.15196724876</v>
      </c>
      <c r="AO447" s="11" t="n">
        <v>0</v>
      </c>
      <c r="AP447" s="21">
        <f>AH447+AN447+AO447</f>
        <v/>
      </c>
      <c r="AQ447" s="21">
        <f>AH447</f>
        <v/>
      </c>
      <c r="AR447" s="15" t="n">
        <v>28342.14</v>
      </c>
      <c r="AS447" s="27" t="n">
        <v>30.097791</v>
      </c>
      <c r="AT447" s="15" t="n">
        <v>40954673.44255512</v>
      </c>
      <c r="AU447" s="15" t="n">
        <v>26531.7321</v>
      </c>
      <c r="AV447" s="15" t="n">
        <v>1310.5528</v>
      </c>
      <c r="AW447" s="15" t="n"/>
      <c r="AX447" s="16" t="n">
        <v>435.5557332894539</v>
      </c>
      <c r="AY447" s="13">
        <f>IF(OR(AX447="",AX447=0,AU447=""),"",AU447*365/(AX447*1000000))</f>
        <v/>
      </c>
      <c r="AZ447" s="15" t="n">
        <v>417175328.2015</v>
      </c>
      <c r="BA447" s="17" t="n">
        <v>60487233</v>
      </c>
      <c r="BB447" s="18" t="n">
        <v>40954673.44255512</v>
      </c>
      <c r="BC447" s="17" t="n">
        <v>2971663</v>
      </c>
      <c r="BD447" s="17">
        <f>1000000000-999303504.4258+226928.5020</f>
        <v/>
      </c>
      <c r="BE447" s="19">
        <f>1000000000-AZ447-BA447-BB447-BC447-BD447</f>
        <v/>
      </c>
      <c r="BF447" s="20" t="n">
        <v>234.988155</v>
      </c>
      <c r="BG447" s="20">
        <f>BE447/1000000-BF447</f>
        <v/>
      </c>
      <c r="BH447" s="21">
        <f>BE447*30.67</f>
        <v/>
      </c>
    </row>
    <row r="448">
      <c r="A448" s="10" t="n">
        <v>46070</v>
      </c>
      <c r="B448" s="11" t="n">
        <v>4218389687</v>
      </c>
      <c r="C448" s="11" t="n">
        <v>1349751891.08</v>
      </c>
      <c r="D448" s="11" t="n">
        <v>99307509</v>
      </c>
      <c r="E448" s="11" t="n"/>
      <c r="F448" s="24" t="n">
        <v>588841872.1555816</v>
      </c>
      <c r="G448" s="24" t="n">
        <v>22525479.51148296</v>
      </c>
      <c r="H448" s="24" t="n">
        <v>3048731.620475369</v>
      </c>
      <c r="I448" s="24" t="n">
        <v>504756075.5753349</v>
      </c>
      <c r="J448" s="24" t="n">
        <v>51689.90310121471</v>
      </c>
      <c r="K448" s="24" t="n">
        <v>230528042.3140239</v>
      </c>
      <c r="L448" s="21">
        <f>SUM(F448:K448)</f>
        <v/>
      </c>
      <c r="M448" s="28" t="n">
        <v>1.000670286981779</v>
      </c>
      <c r="N448" s="11" t="n">
        <v>1314403.5</v>
      </c>
      <c r="O448" s="11" t="n">
        <v>159839.23</v>
      </c>
      <c r="P448" s="11" t="n">
        <v>49865.22</v>
      </c>
      <c r="Q448" s="11" t="n"/>
      <c r="R448" s="21">
        <f>N448+O448+P448+N(Q448)</f>
        <v/>
      </c>
      <c r="S448" s="13" t="n">
        <v>0.01</v>
      </c>
      <c r="T448" s="21">
        <f>N(AC448)*S448</f>
        <v/>
      </c>
      <c r="U448" s="21">
        <f>N(AD448)*S448</f>
        <v/>
      </c>
      <c r="V448" s="21">
        <f>N(AE448)*S448</f>
        <v/>
      </c>
      <c r="W448" s="21">
        <f>IF(Q448="","",N(AF448)*S448)</f>
        <v/>
      </c>
      <c r="X448" s="11" t="n">
        <v>9294.950000000001</v>
      </c>
      <c r="Y448" s="11" t="n">
        <v>76743.00999999999</v>
      </c>
      <c r="Z448" s="11" t="n"/>
      <c r="AA448" s="21">
        <f>T448+U448+V448+N(W448)+X448+Y448+N(Z448)</f>
        <v/>
      </c>
      <c r="AB448" s="11" t="n">
        <v>102383.8078</v>
      </c>
      <c r="AC448" s="11" t="n">
        <v>1314403.5</v>
      </c>
      <c r="AD448" s="21">
        <f>O448-Y448</f>
        <v/>
      </c>
      <c r="AE448" s="21">
        <f>P448-X448</f>
        <v/>
      </c>
      <c r="AF448" s="21">
        <f>IF(Q448="","",Q448-Z448)</f>
        <v/>
      </c>
      <c r="AG448" s="22">
        <f>AC448+AD448+AE448+N(AF448)</f>
        <v/>
      </c>
      <c r="AH448" s="11" t="n">
        <v>1341596.32</v>
      </c>
      <c r="AI448" s="24">
        <f>AG448-AH448</f>
        <v/>
      </c>
      <c r="AJ448" s="14">
        <f>IF(OR(B448="",B448=0,N448=""),"",N448/B448*10000)</f>
        <v/>
      </c>
      <c r="AK448" s="14">
        <f>IF(OR(C448="",C448=0),"",O448/C448*10000)</f>
        <v/>
      </c>
      <c r="AL448" s="14">
        <f>IF(OR(D448="",D448=0),"",P448/D448*10000)</f>
        <v/>
      </c>
      <c r="AM448" s="14">
        <f>IF(OR(E448="",E448=0),"",Q448/E448*10000)</f>
        <v/>
      </c>
      <c r="AN448" s="11" t="n">
        <v>7662.966195508264</v>
      </c>
      <c r="AO448" s="11" t="n">
        <v>0</v>
      </c>
      <c r="AP448" s="21">
        <f>AH448+AN448+AO448</f>
        <v/>
      </c>
      <c r="AQ448" s="21">
        <f>AH448</f>
        <v/>
      </c>
      <c r="AR448" s="15" t="n">
        <v>44826.66</v>
      </c>
      <c r="AS448" s="27" t="n">
        <v>29.928536</v>
      </c>
      <c r="AT448" s="15" t="n">
        <v>41000108.94255512</v>
      </c>
      <c r="AU448" s="15" t="n">
        <v>26528.882</v>
      </c>
      <c r="AV448" s="15" t="n">
        <v>248.4681</v>
      </c>
      <c r="AW448" s="15" t="n"/>
      <c r="AX448" s="16" t="n">
        <v>436.0275972162299</v>
      </c>
      <c r="AY448" s="13">
        <f>IF(OR(AX448="",AX448=0,AU448=""),"",AU448*365/(AX448*1000000))</f>
        <v/>
      </c>
      <c r="AZ448" s="15" t="n">
        <v>417148799.3195</v>
      </c>
      <c r="BA448" s="17" t="n">
        <v>60487233</v>
      </c>
      <c r="BB448" s="18" t="n">
        <v>41000108.94255512</v>
      </c>
      <c r="BC448" s="17" t="n">
        <v>2971663</v>
      </c>
      <c r="BD448" s="17">
        <f>1000000000-999303255.9577+227173.7640</f>
        <v/>
      </c>
      <c r="BE448" s="19">
        <f>1000000000-AZ448-BA448-BB448-BC448-BD448</f>
        <v/>
      </c>
      <c r="BF448" s="20" t="n">
        <v>234.988155</v>
      </c>
      <c r="BG448" s="20">
        <f>BE448/1000000-BF448</f>
        <v/>
      </c>
      <c r="BH448" s="21">
        <f>BE448*31.23</f>
        <v/>
      </c>
    </row>
    <row r="449">
      <c r="A449" s="10" t="n">
        <v>46071</v>
      </c>
      <c r="B449" s="11" t="n">
        <v>3953264767</v>
      </c>
      <c r="C449" s="11" t="n">
        <v>871413550.46</v>
      </c>
      <c r="D449" s="11" t="n">
        <v>92836600</v>
      </c>
      <c r="E449" s="11" t="n"/>
      <c r="F449" s="24" t="n">
        <v>315575003.1714748</v>
      </c>
      <c r="G449" s="24" t="n">
        <v>24957864.26150635</v>
      </c>
      <c r="H449" s="24" t="n">
        <v>4377192.817504883</v>
      </c>
      <c r="I449" s="24" t="n">
        <v>336640860.549346</v>
      </c>
      <c r="J449" s="24" t="n">
        <v>63679.56337218723</v>
      </c>
      <c r="K449" s="24" t="n">
        <v>189798950.0967959</v>
      </c>
      <c r="L449" s="21">
        <f>SUM(F449:K449)</f>
        <v/>
      </c>
      <c r="M449" s="28" t="n">
        <v>0.9995765469640884</v>
      </c>
      <c r="N449" s="11" t="n">
        <v>1313145.38</v>
      </c>
      <c r="O449" s="11" t="n">
        <v>134588.3</v>
      </c>
      <c r="P449" s="11" t="n">
        <v>45419.57</v>
      </c>
      <c r="Q449" s="11" t="n"/>
      <c r="R449" s="21">
        <f>N449+O449+P449+N(Q449)</f>
        <v/>
      </c>
      <c r="S449" s="13" t="n">
        <v>0.01</v>
      </c>
      <c r="T449" s="21">
        <f>N(AC449)*S449</f>
        <v/>
      </c>
      <c r="U449" s="21">
        <f>N(AD449)*S449</f>
        <v/>
      </c>
      <c r="V449" s="21">
        <f>N(AE449)*S449</f>
        <v/>
      </c>
      <c r="W449" s="21">
        <f>IF(Q449="","",N(AF449)*S449)</f>
        <v/>
      </c>
      <c r="X449" s="11" t="n">
        <v>9267.280000000001</v>
      </c>
      <c r="Y449" s="11" t="n">
        <v>63657.88</v>
      </c>
      <c r="Z449" s="11" t="n"/>
      <c r="AA449" s="21">
        <f>T449+U449+V449+N(W449)+X449+Y449+N(Z449)</f>
        <v/>
      </c>
      <c r="AB449" s="11" t="n">
        <v>118189.0883</v>
      </c>
      <c r="AC449" s="11" t="n">
        <v>1313145.38</v>
      </c>
      <c r="AD449" s="21">
        <f>O449-Y449</f>
        <v/>
      </c>
      <c r="AE449" s="21">
        <f>P449-X449</f>
        <v/>
      </c>
      <c r="AF449" s="21">
        <f>IF(Q449="","",Q449-Z449)</f>
        <v/>
      </c>
      <c r="AG449" s="22">
        <f>AC449+AD449+AE449+N(AF449)</f>
        <v/>
      </c>
      <c r="AH449" s="11" t="n">
        <v>1175345.66</v>
      </c>
      <c r="AI449" s="24">
        <f>AG449-AH449</f>
        <v/>
      </c>
      <c r="AJ449" s="14">
        <f>IF(OR(B449="",B449=0,N449=""),"",N449/B449*10000)</f>
        <v/>
      </c>
      <c r="AK449" s="14">
        <f>IF(OR(C449="",C449=0),"",O449/C449*10000)</f>
        <v/>
      </c>
      <c r="AL449" s="14">
        <f>IF(OR(D449="",D449=0),"",P449/D449*10000)</f>
        <v/>
      </c>
      <c r="AM449" s="14">
        <f>IF(OR(E449="",E449=0),"",Q449/E449*10000)</f>
        <v/>
      </c>
      <c r="AN449" s="11" t="n">
        <v>7320.733752542563</v>
      </c>
      <c r="AO449" s="11" t="n">
        <v>0</v>
      </c>
      <c r="AP449" s="21">
        <f>AH449+AN449+AO449</f>
        <v/>
      </c>
      <c r="AQ449" s="21">
        <f>AH449</f>
        <v/>
      </c>
      <c r="AR449" s="15" t="n">
        <v>40585.19</v>
      </c>
      <c r="AS449" s="27" t="n">
        <v>28.959964</v>
      </c>
      <c r="AT449" s="15" t="n">
        <v>41040714.81255512</v>
      </c>
      <c r="AU449" s="15" t="n">
        <v>26542.9805</v>
      </c>
      <c r="AV449" s="15" t="n">
        <v>812.8348999999999</v>
      </c>
      <c r="AW449" s="15" t="n"/>
      <c r="AX449" s="16" t="n">
        <v>435.9404219592785</v>
      </c>
      <c r="AY449" s="13">
        <f>IF(OR(AX449="",AX449=0,AU449=""),"",AU449*365/(AX449*1000000))</f>
        <v/>
      </c>
      <c r="AZ449" s="15" t="n">
        <v>417122256.339</v>
      </c>
      <c r="BA449" s="17" t="n">
        <v>60487233</v>
      </c>
      <c r="BB449" s="18" t="n">
        <v>41040714.81255512</v>
      </c>
      <c r="BC449" s="17" t="n">
        <v>2971663</v>
      </c>
      <c r="BD449" s="17">
        <f>1000000000-999302443.1227+227423.4820</f>
        <v/>
      </c>
      <c r="BE449" s="19">
        <f>1000000000-AZ449-BA449-BB449-BC449-BD449</f>
        <v/>
      </c>
      <c r="BF449" s="20" t="n">
        <v>234.988155</v>
      </c>
      <c r="BG449" s="20">
        <f>BE449/1000000-BF449</f>
        <v/>
      </c>
      <c r="BH449" s="21">
        <f>BE449*29.33</f>
        <v/>
      </c>
    </row>
    <row r="450">
      <c r="A450" s="10" t="n">
        <v>46072</v>
      </c>
      <c r="B450" s="11" t="n">
        <v>3394927924</v>
      </c>
      <c r="C450" s="11" t="n">
        <v>1022585514.19</v>
      </c>
      <c r="D450" s="11" t="n">
        <v>94568234</v>
      </c>
      <c r="E450" s="11" t="n"/>
      <c r="F450" s="24" t="n">
        <v>348180916.8408629</v>
      </c>
      <c r="G450" s="24" t="n">
        <v>26590527.52372469</v>
      </c>
      <c r="H450" s="24" t="n">
        <v>9644066.495916182</v>
      </c>
      <c r="I450" s="24" t="n">
        <v>466303045.4535666</v>
      </c>
      <c r="J450" s="24" t="n">
        <v>1202499.287656778</v>
      </c>
      <c r="K450" s="24" t="n">
        <v>170664458.588273</v>
      </c>
      <c r="L450" s="21">
        <f>SUM(F450:K450)</f>
        <v/>
      </c>
      <c r="M450" s="28" t="n">
        <v>1.006450783594096</v>
      </c>
      <c r="N450" s="11" t="n">
        <v>1130414.71</v>
      </c>
      <c r="O450" s="11" t="n">
        <v>143460.23</v>
      </c>
      <c r="P450" s="11" t="n">
        <v>46805.96000000001</v>
      </c>
      <c r="Q450" s="11" t="n"/>
      <c r="R450" s="21">
        <f>N450+O450+P450+N(Q450)</f>
        <v/>
      </c>
      <c r="S450" s="13" t="n">
        <v>0.01</v>
      </c>
      <c r="T450" s="21">
        <f>N(AC450)*S450</f>
        <v/>
      </c>
      <c r="U450" s="21">
        <f>N(AD450)*S450</f>
        <v/>
      </c>
      <c r="V450" s="21">
        <f>N(AE450)*S450</f>
        <v/>
      </c>
      <c r="W450" s="21">
        <f>IF(Q450="","",N(AF450)*S450)</f>
        <v/>
      </c>
      <c r="X450" s="11" t="n">
        <v>10317.7</v>
      </c>
      <c r="Y450" s="11" t="n">
        <v>68002.06</v>
      </c>
      <c r="Z450" s="11" t="n"/>
      <c r="AA450" s="21">
        <f>T450+U450+V450+N(W450)+X450+Y450+N(Z450)</f>
        <v/>
      </c>
      <c r="AB450" s="11" t="n">
        <v>112846.8407</v>
      </c>
      <c r="AC450" s="11" t="n">
        <v>1130414.71</v>
      </c>
      <c r="AD450" s="21">
        <f>O450-Y450</f>
        <v/>
      </c>
      <c r="AE450" s="21">
        <f>P450-X450</f>
        <v/>
      </c>
      <c r="AF450" s="21">
        <f>IF(Q450="","",Q450-Z450)</f>
        <v/>
      </c>
      <c r="AG450" s="22">
        <f>AC450+AD450+AE450+N(AF450)</f>
        <v/>
      </c>
      <c r="AH450" s="11" t="n">
        <v>1031950.35</v>
      </c>
      <c r="AI450" s="24">
        <f>AG450-AH450</f>
        <v/>
      </c>
      <c r="AJ450" s="14">
        <f>IF(OR(B450="",B450=0,N450=""),"",N450/B450*10000)</f>
        <v/>
      </c>
      <c r="AK450" s="14">
        <f>IF(OR(C450="",C450=0),"",O450/C450*10000)</f>
        <v/>
      </c>
      <c r="AL450" s="14">
        <f>IF(OR(D450="",D450=0),"",P450/D450*10000)</f>
        <v/>
      </c>
      <c r="AM450" s="14">
        <f>IF(OR(E450="",E450=0),"",Q450/E450*10000)</f>
        <v/>
      </c>
      <c r="AN450" s="11" t="n">
        <v>7404.647963659208</v>
      </c>
      <c r="AO450" s="11" t="n">
        <v>0</v>
      </c>
      <c r="AP450" s="21">
        <f>AH450+AN450+AO450</f>
        <v/>
      </c>
      <c r="AQ450" s="21">
        <f>AH450</f>
        <v/>
      </c>
      <c r="AR450" s="15" t="n">
        <v>36230.94</v>
      </c>
      <c r="AS450" s="27" t="n">
        <v>28.482572</v>
      </c>
      <c r="AT450" s="15" t="n">
        <v>41076661.15255512</v>
      </c>
      <c r="AU450" s="15" t="n">
        <v>26479.5633</v>
      </c>
      <c r="AV450" s="15" t="n">
        <v>1034.9876</v>
      </c>
      <c r="AW450" s="15" t="n"/>
      <c r="AX450" s="16" t="n">
        <v>434.9787333494316</v>
      </c>
      <c r="AY450" s="13">
        <f>IF(OR(AX450="",AX450=0,AU450=""),"",AU450*365/(AX450*1000000))</f>
        <v/>
      </c>
      <c r="AZ450" s="15" t="n">
        <v>417095776.7757</v>
      </c>
      <c r="BA450" s="17" t="n">
        <v>60487233</v>
      </c>
      <c r="BB450" s="18" t="n">
        <v>41076661.15255512</v>
      </c>
      <c r="BC450" s="17" t="n">
        <v>2971663</v>
      </c>
      <c r="BD450" s="17">
        <f>1000000000-999301408.1352+227684.9548</f>
        <v/>
      </c>
      <c r="BE450" s="19">
        <f>1000000000-AZ450-BA450-BB450-BC450-BD450</f>
        <v/>
      </c>
      <c r="BF450" s="20" t="n">
        <v>234.988155</v>
      </c>
      <c r="BG450" s="20">
        <f>BE450/1000000-BF450</f>
        <v/>
      </c>
      <c r="BH450" s="21">
        <f>BE450*28.34</f>
        <v/>
      </c>
    </row>
    <row r="451">
      <c r="A451" s="10" t="n">
        <v>46073</v>
      </c>
      <c r="B451" s="11" t="n">
        <v>4543617994</v>
      </c>
      <c r="C451" s="11" t="n">
        <v>1595020043.31</v>
      </c>
      <c r="D451" s="11" t="n">
        <v>102243088</v>
      </c>
      <c r="E451" s="11" t="n"/>
      <c r="F451" s="24" t="n">
        <v>639221798.8618573</v>
      </c>
      <c r="G451" s="24" t="n">
        <v>28713177.12095795</v>
      </c>
      <c r="H451" s="24" t="n">
        <v>11486759.73335337</v>
      </c>
      <c r="I451" s="24" t="n">
        <v>693053245.9739302</v>
      </c>
      <c r="J451" s="24" t="n">
        <v>1131252.554291219</v>
      </c>
      <c r="K451" s="24" t="n">
        <v>221413809.0656096</v>
      </c>
      <c r="L451" s="21">
        <f>SUM(F451:K451)</f>
        <v/>
      </c>
      <c r="M451" s="28" t="n">
        <v>0.9965072674711031</v>
      </c>
      <c r="N451" s="11" t="n">
        <v>1498884.26</v>
      </c>
      <c r="O451" s="11" t="n">
        <v>207042.85</v>
      </c>
      <c r="P451" s="11" t="n">
        <v>52555.86</v>
      </c>
      <c r="Q451" s="11" t="n"/>
      <c r="R451" s="21">
        <f>N451+O451+P451+N(Q451)</f>
        <v/>
      </c>
      <c r="S451" s="13" t="n">
        <v>0.01</v>
      </c>
      <c r="T451" s="21">
        <f>N(AC451)*S451</f>
        <v/>
      </c>
      <c r="U451" s="21">
        <f>N(AD451)*S451</f>
        <v/>
      </c>
      <c r="V451" s="21">
        <f>N(AE451)*S451</f>
        <v/>
      </c>
      <c r="W451" s="21">
        <f>IF(Q451="","",N(AF451)*S451)</f>
        <v/>
      </c>
      <c r="X451" s="11" t="n">
        <v>8404.200000000001</v>
      </c>
      <c r="Y451" s="11" t="n">
        <v>99293.92</v>
      </c>
      <c r="Z451" s="11" t="n"/>
      <c r="AA451" s="21">
        <f>T451+U451+V451+N(W451)+X451+Y451+N(Z451)</f>
        <v/>
      </c>
      <c r="AB451" s="11" t="n">
        <v>143373.9231</v>
      </c>
      <c r="AC451" s="11" t="n">
        <v>1498884.26</v>
      </c>
      <c r="AD451" s="21">
        <f>O451-Y451</f>
        <v/>
      </c>
      <c r="AE451" s="21">
        <f>P451-X451</f>
        <v/>
      </c>
      <c r="AF451" s="21">
        <f>IF(Q451="","",Q451-Z451)</f>
        <v/>
      </c>
      <c r="AG451" s="22">
        <f>AC451+AD451+AE451+N(AF451)</f>
        <v/>
      </c>
      <c r="AH451" s="11" t="n">
        <v>1339275.29</v>
      </c>
      <c r="AI451" s="24">
        <f>AG451-AH451</f>
        <v/>
      </c>
      <c r="AJ451" s="14">
        <f>IF(OR(B451="",B451=0,N451=""),"",N451/B451*10000)</f>
        <v/>
      </c>
      <c r="AK451" s="14">
        <f>IF(OR(C451="",C451=0),"",O451/C451*10000)</f>
        <v/>
      </c>
      <c r="AL451" s="14">
        <f>IF(OR(D451="",D451=0),"",P451/D451*10000)</f>
        <v/>
      </c>
      <c r="AM451" s="14">
        <f>IF(OR(E451="",E451=0),"",Q451/E451*10000)</f>
        <v/>
      </c>
      <c r="AN451" s="11" t="n">
        <v>8324.810073459779</v>
      </c>
      <c r="AO451" s="11" t="n">
        <v>0</v>
      </c>
      <c r="AP451" s="21">
        <f>AH451+AN451+AO451</f>
        <v/>
      </c>
      <c r="AQ451" s="21">
        <f>AH451</f>
        <v/>
      </c>
      <c r="AR451" s="15" t="n">
        <v>45326.62</v>
      </c>
      <c r="AS451" s="27" t="n">
        <v>29.547213</v>
      </c>
      <c r="AT451" s="15" t="n">
        <v>41121642.85255512</v>
      </c>
      <c r="AU451" s="15" t="n">
        <v>26501.8341</v>
      </c>
      <c r="AV451" s="15" t="n">
        <v>752.1996</v>
      </c>
      <c r="AW451" s="15" t="n"/>
      <c r="AX451" s="16" t="n">
        <v>434.3373479889671</v>
      </c>
      <c r="AY451" s="13">
        <f>IF(OR(AX451="",AX451=0,AU451=""),"",AU451*365/(AX451*1000000))</f>
        <v/>
      </c>
      <c r="AZ451" s="15" t="n">
        <v>417069274.9416</v>
      </c>
      <c r="BA451" s="17" t="n">
        <v>60487233</v>
      </c>
      <c r="BB451" s="18" t="n">
        <v>41121642.85255512</v>
      </c>
      <c r="BC451" s="17" t="n">
        <v>2971663</v>
      </c>
      <c r="BD451" s="17">
        <f>1000000000-999300655.9356+227969.7877</f>
        <v/>
      </c>
      <c r="BE451" s="19">
        <f>1000000000-AZ451-BA451-BB451-BC451-BD451</f>
        <v/>
      </c>
      <c r="BF451" s="20" t="n">
        <v>234.988155</v>
      </c>
      <c r="BG451" s="20">
        <f>BE451/1000000-BF451</f>
        <v/>
      </c>
      <c r="BH451" s="21">
        <f>BE451*29.24</f>
        <v/>
      </c>
    </row>
    <row r="452">
      <c r="A452" s="10" t="n">
        <v>46074</v>
      </c>
      <c r="B452" s="11" t="n">
        <v>1529253378</v>
      </c>
      <c r="C452" s="11" t="n">
        <v>211012363.92</v>
      </c>
      <c r="D452" s="11" t="n">
        <v>43137204</v>
      </c>
      <c r="E452" s="11" t="n"/>
      <c r="F452" s="24" t="n">
        <v>49921247.96746244</v>
      </c>
      <c r="G452" s="24" t="n">
        <v>11821158.92536942</v>
      </c>
      <c r="H452" s="24" t="n">
        <v>4756265.899201198</v>
      </c>
      <c r="I452" s="24" t="n">
        <v>119556898.4810916</v>
      </c>
      <c r="J452" s="24" t="n">
        <v>348078.6493000068</v>
      </c>
      <c r="K452" s="24" t="n">
        <v>24608713.99757536</v>
      </c>
      <c r="L452" s="21">
        <f>SUM(F452:K452)</f>
        <v/>
      </c>
      <c r="M452" s="28" t="n">
        <v>0.9765282689954694</v>
      </c>
      <c r="N452" s="11" t="n">
        <v>590245.24</v>
      </c>
      <c r="O452" s="11" t="n">
        <v>64613.64</v>
      </c>
      <c r="P452" s="11" t="n">
        <v>23944.1</v>
      </c>
      <c r="Q452" s="11" t="n"/>
      <c r="R452" s="21">
        <f>N452+O452+P452+N(Q452)</f>
        <v/>
      </c>
      <c r="S452" s="13" t="n">
        <v>0.01</v>
      </c>
      <c r="T452" s="21">
        <f>N(AC452)*S452</f>
        <v/>
      </c>
      <c r="U452" s="21">
        <f>N(AD452)*S452</f>
        <v/>
      </c>
      <c r="V452" s="21">
        <f>N(AE452)*S452</f>
        <v/>
      </c>
      <c r="W452" s="21">
        <f>IF(Q452="","",N(AF452)*S452)</f>
        <v/>
      </c>
      <c r="X452" s="11" t="n">
        <v>5107.02</v>
      </c>
      <c r="Y452" s="11" t="n">
        <v>30199.3</v>
      </c>
      <c r="Z452" s="11" t="n"/>
      <c r="AA452" s="21">
        <f>T452+U452+V452+N(W452)+X452+Y452+N(Z452)</f>
        <v/>
      </c>
      <c r="AB452" s="11" t="n">
        <v>64932.98089999999</v>
      </c>
      <c r="AC452" s="11" t="n">
        <v>590245.24</v>
      </c>
      <c r="AD452" s="21">
        <f>O452-Y452</f>
        <v/>
      </c>
      <c r="AE452" s="21">
        <f>P452-X452</f>
        <v/>
      </c>
      <c r="AF452" s="21">
        <f>IF(Q452="","",Q452-Z452)</f>
        <v/>
      </c>
      <c r="AG452" s="22">
        <f>AC452+AD452+AE452+N(AF452)</f>
        <v/>
      </c>
      <c r="AH452" s="11" t="n">
        <v>491477.95</v>
      </c>
      <c r="AI452" s="24">
        <f>AG452-AH452</f>
        <v/>
      </c>
      <c r="AJ452" s="14">
        <f>IF(OR(B452="",B452=0,N452=""),"",N452/B452*10000)</f>
        <v/>
      </c>
      <c r="AK452" s="14">
        <f>IF(OR(C452="",C452=0),"",O452/C452*10000)</f>
        <v/>
      </c>
      <c r="AL452" s="14">
        <f>IF(OR(D452="",D452=0),"",P452/D452*10000)</f>
        <v/>
      </c>
      <c r="AM452" s="14">
        <f>IF(OR(E452="",E452=0),"",Q452/E452*10000)</f>
        <v/>
      </c>
      <c r="AN452" s="11" t="n">
        <v>3073.851660421611</v>
      </c>
      <c r="AO452" s="11" t="n">
        <v>0</v>
      </c>
      <c r="AP452" s="21">
        <f>AH452+AN452+AO452</f>
        <v/>
      </c>
      <c r="AQ452" s="21">
        <f>AH452</f>
        <v/>
      </c>
      <c r="AR452" s="15" t="n">
        <v>16358.16</v>
      </c>
      <c r="AS452" s="27" t="n">
        <v>30.044818</v>
      </c>
      <c r="AT452" s="15" t="n">
        <v>41139013.93255512</v>
      </c>
      <c r="AU452" s="15" t="n">
        <v>26487.1078</v>
      </c>
      <c r="AV452" s="15" t="n">
        <v>384.7817</v>
      </c>
      <c r="AW452" s="15" t="n"/>
      <c r="AX452" s="16" t="n">
        <v>434.1797667823088</v>
      </c>
      <c r="AY452" s="13">
        <f>IF(OR(AX452="",AX452=0,AU452=""),"",AU452*365/(AX452*1000000))</f>
        <v/>
      </c>
      <c r="AZ452" s="15" t="n">
        <v>417042787.8337</v>
      </c>
      <c r="BA452" s="17" t="n">
        <v>60487233</v>
      </c>
      <c r="BB452" s="18" t="n">
        <v>41139013.93255512</v>
      </c>
      <c r="BC452" s="17" t="n">
        <v>2971663</v>
      </c>
      <c r="BD452" s="17">
        <f>1000000000-999300271.1539+228070.9944</f>
        <v/>
      </c>
      <c r="BE452" s="19">
        <f>1000000000-AZ452-BA452-BB452-BC452-BD452</f>
        <v/>
      </c>
      <c r="BF452" s="20" t="n">
        <v>234.988155</v>
      </c>
      <c r="BG452" s="20">
        <f>BE452/1000000-BF452</f>
        <v/>
      </c>
      <c r="BH452" s="21">
        <f>BE452*30.36</f>
        <v/>
      </c>
    </row>
    <row r="453">
      <c r="A453" s="10" t="n">
        <v>46075</v>
      </c>
      <c r="B453" s="11" t="n">
        <v>1565459841</v>
      </c>
      <c r="C453" s="11" t="n">
        <v>361908534.77</v>
      </c>
      <c r="D453" s="11" t="n">
        <v>48044153</v>
      </c>
      <c r="E453" s="11" t="n"/>
      <c r="F453" s="24" t="n">
        <v>211422194.3940435</v>
      </c>
      <c r="G453" s="24" t="n">
        <v>14955137.80920925</v>
      </c>
      <c r="H453" s="24" t="n">
        <v>9051177.660823712</v>
      </c>
      <c r="I453" s="24" t="n">
        <v>100018763.4562276</v>
      </c>
      <c r="J453" s="24" t="n">
        <v>305063.0877038369</v>
      </c>
      <c r="K453" s="24" t="n">
        <v>26156198.3619921</v>
      </c>
      <c r="L453" s="21">
        <f>SUM(F453:K453)</f>
        <v/>
      </c>
      <c r="M453" s="28" t="n">
        <v>1.121953883573118</v>
      </c>
      <c r="N453" s="11" t="n">
        <v>516257.4</v>
      </c>
      <c r="O453" s="11" t="n">
        <v>83425.79000000001</v>
      </c>
      <c r="P453" s="11" t="n">
        <v>20545.68</v>
      </c>
      <c r="Q453" s="11" t="n"/>
      <c r="R453" s="21">
        <f>N453+O453+P453+N(Q453)</f>
        <v/>
      </c>
      <c r="S453" s="13" t="n">
        <v>0.01</v>
      </c>
      <c r="T453" s="21">
        <f>N(AC453)*S453</f>
        <v/>
      </c>
      <c r="U453" s="21">
        <f>N(AD453)*S453</f>
        <v/>
      </c>
      <c r="V453" s="21">
        <f>N(AE453)*S453</f>
        <v/>
      </c>
      <c r="W453" s="21">
        <f>IF(Q453="","",N(AF453)*S453)</f>
        <v/>
      </c>
      <c r="X453" s="11" t="n">
        <v>4482.75</v>
      </c>
      <c r="Y453" s="11" t="n">
        <v>39601.24</v>
      </c>
      <c r="Z453" s="11" t="n"/>
      <c r="AA453" s="21">
        <f>T453+U453+V453+N(W453)+X453+Y453+N(Z453)</f>
        <v/>
      </c>
      <c r="AB453" s="11" t="n">
        <v>58845.8583</v>
      </c>
      <c r="AC453" s="11" t="n">
        <v>516257.4</v>
      </c>
      <c r="AD453" s="21">
        <f>O453-Y453</f>
        <v/>
      </c>
      <c r="AE453" s="21">
        <f>P453-X453</f>
        <v/>
      </c>
      <c r="AF453" s="21">
        <f>IF(Q453="","",Q453-Z453)</f>
        <v/>
      </c>
      <c r="AG453" s="22">
        <f>AC453+AD453+AE453+N(AF453)</f>
        <v/>
      </c>
      <c r="AH453" s="11" t="n">
        <v>506060.04</v>
      </c>
      <c r="AI453" s="24">
        <f>AG453-AH453</f>
        <v/>
      </c>
      <c r="AJ453" s="14">
        <f>IF(OR(B453="",B453=0,N453=""),"",N453/B453*10000)</f>
        <v/>
      </c>
      <c r="AK453" s="14">
        <f>IF(OR(C453="",C453=0),"",O453/C453*10000)</f>
        <v/>
      </c>
      <c r="AL453" s="14">
        <f>IF(OR(D453="",D453=0),"",P453/D453*10000)</f>
        <v/>
      </c>
      <c r="AM453" s="14">
        <f>IF(OR(E453="",E453=0),"",Q453/E453*10000)</f>
        <v/>
      </c>
      <c r="AN453" s="11" t="n">
        <v>2430.548840088878</v>
      </c>
      <c r="AO453" s="11" t="n">
        <v>0</v>
      </c>
      <c r="AP453" s="21">
        <f>AH453+AN453+AO453</f>
        <v/>
      </c>
      <c r="AQ453" s="21">
        <f>AH453</f>
        <v/>
      </c>
      <c r="AR453" s="15" t="n">
        <v>17276.29</v>
      </c>
      <c r="AS453" s="27" t="n">
        <v>29.292171</v>
      </c>
      <c r="AT453" s="15" t="n">
        <v>41155757.23255512</v>
      </c>
      <c r="AU453" s="15" t="n">
        <v>26482.0784</v>
      </c>
      <c r="AV453" s="15" t="n">
        <v>130.4432</v>
      </c>
      <c r="AW453" s="15" t="n"/>
      <c r="AX453" s="16" t="n">
        <v>434.2090052837207</v>
      </c>
      <c r="AY453" s="13">
        <f>IF(OR(AX453="",AX453=0,AU453=""),"",AU453*365/(AX453*1000000))</f>
        <v/>
      </c>
      <c r="AZ453" s="15" t="n">
        <v>417016305.7554</v>
      </c>
      <c r="BA453" s="17" t="n">
        <v>60487233</v>
      </c>
      <c r="BB453" s="18" t="n">
        <v>41155757.23255512</v>
      </c>
      <c r="BC453" s="17" t="n">
        <v>2971663</v>
      </c>
      <c r="BD453" s="17">
        <f>1000000000-999300140.7107+228152.9497</f>
        <v/>
      </c>
      <c r="BE453" s="19">
        <f>1000000000-AZ453-BA453-BB453-BC453-BD453</f>
        <v/>
      </c>
      <c r="BF453" s="20" t="n">
        <v>234.988155</v>
      </c>
      <c r="BG453" s="20">
        <f>BE453/1000000-BF453</f>
        <v/>
      </c>
      <c r="BH453" s="21">
        <f>BE453*29.67</f>
        <v/>
      </c>
    </row>
    <row r="454">
      <c r="A454" s="10" t="n">
        <v>46076</v>
      </c>
      <c r="B454" s="11" t="n">
        <v>5445651040</v>
      </c>
      <c r="C454" s="11" t="n">
        <v>1321042396.83</v>
      </c>
      <c r="D454" s="11" t="n">
        <v>180534362</v>
      </c>
      <c r="E454" s="11" t="n"/>
      <c r="F454" s="24" t="n">
        <v>640214417.2062418</v>
      </c>
      <c r="G454" s="24" t="n">
        <v>33664415.37238444</v>
      </c>
      <c r="H454" s="24" t="n">
        <v>8874666.228173228</v>
      </c>
      <c r="I454" s="24" t="n">
        <v>433825439.6387265</v>
      </c>
      <c r="J454" s="24" t="n">
        <v>785098.0466178285</v>
      </c>
      <c r="K454" s="24" t="n">
        <v>203678360.3378559</v>
      </c>
      <c r="L454" s="21">
        <f>SUM(F454:K454)</f>
        <v/>
      </c>
      <c r="M454" s="28" t="n">
        <v>0.9933307750039939</v>
      </c>
      <c r="N454" s="11" t="n">
        <v>1919324.69</v>
      </c>
      <c r="O454" s="11" t="n">
        <v>200980.42</v>
      </c>
      <c r="P454" s="11" t="n">
        <v>87404.81</v>
      </c>
      <c r="Q454" s="11" t="n"/>
      <c r="R454" s="21">
        <f>N454+O454+P454+N(Q454)</f>
        <v/>
      </c>
      <c r="S454" s="13" t="n">
        <v>0.01</v>
      </c>
      <c r="T454" s="21">
        <f>N(AC454)*S454</f>
        <v/>
      </c>
      <c r="U454" s="21">
        <f>N(AD454)*S454</f>
        <v/>
      </c>
      <c r="V454" s="21">
        <f>N(AE454)*S454</f>
        <v/>
      </c>
      <c r="W454" s="21">
        <f>IF(Q454="","",N(AF454)*S454)</f>
        <v/>
      </c>
      <c r="X454" s="11" t="n">
        <v>18155.35</v>
      </c>
      <c r="Y454" s="11" t="n">
        <v>95531.32000000001</v>
      </c>
      <c r="Z454" s="11" t="n"/>
      <c r="AA454" s="21">
        <f>T454+U454+V454+N(W454)+X454+Y454+N(Z454)</f>
        <v/>
      </c>
      <c r="AB454" s="11" t="n">
        <v>167924.6576</v>
      </c>
      <c r="AC454" s="11" t="n">
        <v>1919324.69</v>
      </c>
      <c r="AD454" s="21">
        <f>O454-Y454</f>
        <v/>
      </c>
      <c r="AE454" s="21">
        <f>P454-X454</f>
        <v/>
      </c>
      <c r="AF454" s="21">
        <f>IF(Q454="","",Q454-Z454)</f>
        <v/>
      </c>
      <c r="AG454" s="22">
        <f>AC454+AD454+AE454+N(AF454)</f>
        <v/>
      </c>
      <c r="AH454" s="11" t="n">
        <v>1728909.29</v>
      </c>
      <c r="AI454" s="24">
        <f>AG454-AH454</f>
        <v/>
      </c>
      <c r="AJ454" s="14">
        <f>IF(OR(B454="",B454=0,N454=""),"",N454/B454*10000)</f>
        <v/>
      </c>
      <c r="AK454" s="14">
        <f>IF(OR(C454="",C454=0),"",O454/C454*10000)</f>
        <v/>
      </c>
      <c r="AL454" s="14">
        <f>IF(OR(D454="",D454=0),"",P454/D454*10000)</f>
        <v/>
      </c>
      <c r="AM454" s="14">
        <f>IF(OR(E454="",E454=0),"",Q454/E454*10000)</f>
        <v/>
      </c>
      <c r="AN454" s="11" t="n">
        <v>26950.5507666794</v>
      </c>
      <c r="AO454" s="11" t="n">
        <v>14056.93</v>
      </c>
      <c r="AP454" s="21">
        <f>AH454+AN454+AO454</f>
        <v/>
      </c>
      <c r="AQ454" s="21">
        <f>AH454</f>
        <v/>
      </c>
      <c r="AR454" s="15" t="n">
        <v>63679.71</v>
      </c>
      <c r="AS454" s="27" t="n">
        <v>27.150081</v>
      </c>
      <c r="AT454" s="15" t="n">
        <v>41218957.01255512</v>
      </c>
      <c r="AU454" s="15" t="n">
        <v>26485.1915</v>
      </c>
      <c r="AV454" s="15" t="n">
        <v>607.4312</v>
      </c>
      <c r="AW454" s="15" t="n"/>
      <c r="AX454" s="16" t="n">
        <v>434.1041192991486</v>
      </c>
      <c r="AY454" s="13">
        <f>IF(OR(AX454="",AX454=0,AU454=""),"",AU454*365/(AX454*1000000))</f>
        <v/>
      </c>
      <c r="AZ454" s="15" t="n">
        <v>416989820.5639</v>
      </c>
      <c r="BA454" s="17" t="n">
        <v>60487233</v>
      </c>
      <c r="BB454" s="18" t="n">
        <v>41218957.01255512</v>
      </c>
      <c r="BC454" s="17" t="n">
        <v>2971663</v>
      </c>
      <c r="BD454" s="17">
        <f>1000000000-999299533.2795+229088.9277</f>
        <v/>
      </c>
      <c r="BE454" s="19">
        <f>1000000000-AZ454-BA454-BB454-BC454-BD454</f>
        <v/>
      </c>
      <c r="BF454" s="20" t="n">
        <v>234.988155</v>
      </c>
      <c r="BG454" s="20">
        <f>BE454/1000000-BF454</f>
        <v/>
      </c>
      <c r="BH454" s="21">
        <f>BE454*28.81</f>
        <v/>
      </c>
    </row>
    <row r="455">
      <c r="A455" s="10" t="n">
        <v>46077</v>
      </c>
      <c r="B455" s="11" t="n">
        <v>4885948487</v>
      </c>
      <c r="C455" s="11" t="n">
        <v>1549481067.96</v>
      </c>
      <c r="D455" s="11" t="n">
        <v>132338251</v>
      </c>
      <c r="E455" s="11" t="n"/>
      <c r="F455" s="24" t="n">
        <v>914650940.415284</v>
      </c>
      <c r="G455" s="24" t="n">
        <v>29159114.83773695</v>
      </c>
      <c r="H455" s="24" t="n">
        <v>6872253.537546845</v>
      </c>
      <c r="I455" s="24" t="n">
        <v>350737246.8930294</v>
      </c>
      <c r="J455" s="24" t="n">
        <v>634062.7703082884</v>
      </c>
      <c r="K455" s="24" t="n">
        <v>247427449.5060944</v>
      </c>
      <c r="L455" s="21">
        <f>SUM(F455:K455)</f>
        <v/>
      </c>
      <c r="M455" s="28" t="n">
        <v>0.9968859636779389</v>
      </c>
      <c r="N455" s="11" t="n">
        <v>1707452.94</v>
      </c>
      <c r="O455" s="11" t="n">
        <v>210431.31</v>
      </c>
      <c r="P455" s="11" t="n">
        <v>67982.41</v>
      </c>
      <c r="Q455" s="11" t="n"/>
      <c r="R455" s="21">
        <f>N455+O455+P455+N(Q455)</f>
        <v/>
      </c>
      <c r="S455" s="13" t="n">
        <v>0.01</v>
      </c>
      <c r="T455" s="21">
        <f>N(AC455)*S455</f>
        <v/>
      </c>
      <c r="U455" s="21">
        <f>N(AD455)*S455</f>
        <v/>
      </c>
      <c r="V455" s="21">
        <f>N(AE455)*S455</f>
        <v/>
      </c>
      <c r="W455" s="21">
        <f>IF(Q455="","",N(AF455)*S455)</f>
        <v/>
      </c>
      <c r="X455" s="11" t="n">
        <v>17810.74</v>
      </c>
      <c r="Y455" s="11" t="n">
        <v>100967.59</v>
      </c>
      <c r="Z455" s="11" t="n"/>
      <c r="AA455" s="21">
        <f>T455+U455+V455+N(W455)+X455+Y455+N(Z455)</f>
        <v/>
      </c>
      <c r="AB455" s="11" t="n">
        <v>133246.389</v>
      </c>
      <c r="AC455" s="11" t="n">
        <v>1707452.94</v>
      </c>
      <c r="AD455" s="21">
        <f>O455-Y455</f>
        <v/>
      </c>
      <c r="AE455" s="21">
        <f>P455-X455</f>
        <v/>
      </c>
      <c r="AF455" s="21">
        <f>IF(Q455="","",Q455-Z455)</f>
        <v/>
      </c>
      <c r="AG455" s="22">
        <f>AC455+AD455+AE455+N(AF455)</f>
        <v/>
      </c>
      <c r="AH455" s="11" t="n">
        <v>1524885.95</v>
      </c>
      <c r="AI455" s="24">
        <f>AG455-AH455</f>
        <v/>
      </c>
      <c r="AJ455" s="14">
        <f>IF(OR(B455="",B455=0,N455=""),"",N455/B455*10000)</f>
        <v/>
      </c>
      <c r="AK455" s="14">
        <f>IF(OR(C455="",C455=0),"",O455/C455*10000)</f>
        <v/>
      </c>
      <c r="AL455" s="14">
        <f>IF(OR(D455="",D455=0),"",P455/D455*10000)</f>
        <v/>
      </c>
      <c r="AM455" s="14">
        <f>IF(OR(E455="",E455=0),"",Q455/E455*10000)</f>
        <v/>
      </c>
      <c r="AN455" s="11" t="n">
        <v>8364.22371656235</v>
      </c>
      <c r="AO455" s="11" t="n">
        <v>0</v>
      </c>
      <c r="AP455" s="21">
        <f>AH455+AN455+AO455</f>
        <v/>
      </c>
      <c r="AQ455" s="21">
        <f>AH455</f>
        <v/>
      </c>
      <c r="AR455" s="15" t="n">
        <v>57394.04</v>
      </c>
      <c r="AS455" s="27" t="n">
        <v>26.568716</v>
      </c>
      <c r="AT455" s="15" t="n">
        <v>41276918.64255512</v>
      </c>
      <c r="AU455" s="15" t="n">
        <v>26481.1904</v>
      </c>
      <c r="AV455" s="15" t="n">
        <v>1147.6151</v>
      </c>
      <c r="AW455" s="15" t="n"/>
      <c r="AX455" s="16" t="n">
        <v>434.0951646723319</v>
      </c>
      <c r="AY455" s="13">
        <f>IF(OR(AX455="",AX455=0,AU455=""),"",AU455*365/(AX455*1000000))</f>
        <v/>
      </c>
      <c r="AZ455" s="15" t="n">
        <v>416963339.3735</v>
      </c>
      <c r="BA455" s="17" t="n">
        <v>60487233</v>
      </c>
      <c r="BB455" s="18" t="n">
        <v>41276918.64255512</v>
      </c>
      <c r="BC455" s="17" t="n">
        <v>2971663</v>
      </c>
      <c r="BD455" s="17">
        <f>1000000000-999298385.6644+229405.2871</f>
        <v/>
      </c>
      <c r="BE455" s="19">
        <f>1000000000-AZ455-BA455-BB455-BC455-BD455</f>
        <v/>
      </c>
      <c r="BF455" s="20" t="n">
        <v>234.988155</v>
      </c>
      <c r="BG455" s="20">
        <f>BE455/1000000-BF455</f>
        <v/>
      </c>
      <c r="BH455" s="21">
        <f>BE455*26.46</f>
        <v/>
      </c>
    </row>
    <row r="456">
      <c r="A456" s="10" t="n">
        <v>46078</v>
      </c>
      <c r="B456" s="11" t="n">
        <v>6793605832</v>
      </c>
      <c r="C456" s="11" t="n">
        <v>1951098085.52</v>
      </c>
      <c r="D456" s="11" t="n">
        <v>183375790</v>
      </c>
      <c r="E456" s="11" t="n"/>
      <c r="F456" s="24" t="n">
        <v>1136064843.867639</v>
      </c>
      <c r="G456" s="24" t="n">
        <v>62547229.85412969</v>
      </c>
      <c r="H456" s="24" t="n">
        <v>17142425.42346401</v>
      </c>
      <c r="I456" s="24" t="n">
        <v>410925552.6541255</v>
      </c>
      <c r="J456" s="24" t="n">
        <v>100943.8374181157</v>
      </c>
      <c r="K456" s="24" t="n">
        <v>324317089.8832237</v>
      </c>
      <c r="L456" s="21">
        <f>SUM(F456:K456)</f>
        <v/>
      </c>
      <c r="M456" s="28" t="n">
        <v>1.025871003556908</v>
      </c>
      <c r="N456" s="11" t="n">
        <v>2407397.5</v>
      </c>
      <c r="O456" s="11" t="n">
        <v>241525.24</v>
      </c>
      <c r="P456" s="11" t="n">
        <v>83510.29999999999</v>
      </c>
      <c r="Q456" s="11" t="n"/>
      <c r="R456" s="21">
        <f>N456+O456+P456+N(Q456)</f>
        <v/>
      </c>
      <c r="S456" s="13" t="n">
        <v>0.01</v>
      </c>
      <c r="T456" s="21">
        <f>N(AC456)*S456</f>
        <v/>
      </c>
      <c r="U456" s="21">
        <f>N(AD456)*S456</f>
        <v/>
      </c>
      <c r="V456" s="21">
        <f>N(AE456)*S456</f>
        <v/>
      </c>
      <c r="W456" s="21">
        <f>IF(Q456="","",N(AF456)*S456)</f>
        <v/>
      </c>
      <c r="X456" s="11" t="n">
        <v>20253.17</v>
      </c>
      <c r="Y456" s="11" t="n">
        <v>111951.06</v>
      </c>
      <c r="Z456" s="11" t="n"/>
      <c r="AA456" s="21">
        <f>T456+U456+V456+N(W456)+X456+Y456+N(Z456)</f>
        <v/>
      </c>
      <c r="AB456" s="11" t="n">
        <v>217216.3406</v>
      </c>
      <c r="AC456" s="11" t="n">
        <v>2407397.5</v>
      </c>
      <c r="AD456" s="21">
        <f>O456-Y456</f>
        <v/>
      </c>
      <c r="AE456" s="21">
        <f>P456-X456</f>
        <v/>
      </c>
      <c r="AF456" s="21">
        <f>IF(Q456="","",Q456-Z456)</f>
        <v/>
      </c>
      <c r="AG456" s="22">
        <f>AC456+AD456+AE456+N(AF456)</f>
        <v/>
      </c>
      <c r="AH456" s="11" t="n">
        <v>2068588.58</v>
      </c>
      <c r="AI456" s="24">
        <f>AG456-AH456</f>
        <v/>
      </c>
      <c r="AJ456" s="14">
        <f>IF(OR(B456="",B456=0,N456=""),"",N456/B456*10000)</f>
        <v/>
      </c>
      <c r="AK456" s="14">
        <f>IF(OR(C456="",C456=0),"",O456/C456*10000)</f>
        <v/>
      </c>
      <c r="AL456" s="14">
        <f>IF(OR(D456="",D456=0),"",P456/D456*10000)</f>
        <v/>
      </c>
      <c r="AM456" s="14">
        <f>IF(OR(E456="",E456=0),"",Q456/E456*10000)</f>
        <v/>
      </c>
      <c r="AN456" s="11" t="n">
        <v>10130.15959359433</v>
      </c>
      <c r="AO456" s="11" t="n">
        <v>13611.56</v>
      </c>
      <c r="AP456" s="21">
        <f>AH456+AN456+AO456</f>
        <v/>
      </c>
      <c r="AQ456" s="21">
        <f>AH456</f>
        <v/>
      </c>
      <c r="AR456" s="15" t="n">
        <v>73876</v>
      </c>
      <c r="AS456" s="27" t="n">
        <v>28.00082</v>
      </c>
      <c r="AT456" s="15" t="n">
        <v>41351763.56255512</v>
      </c>
      <c r="AU456" s="15" t="n">
        <v>26474.0927</v>
      </c>
      <c r="AV456" s="15" t="n">
        <v>295.225</v>
      </c>
      <c r="AW456" s="15" t="n"/>
      <c r="AX456" s="16" t="n">
        <v>433.9889239776067</v>
      </c>
      <c r="AY456" s="13">
        <f>IF(OR(AX456="",AX456=0,AU456=""),"",AU456*365/(AX456*1000000))</f>
        <v/>
      </c>
      <c r="AZ456" s="15" t="n">
        <v>416936865.2807</v>
      </c>
      <c r="BA456" s="17" t="n">
        <v>60487233</v>
      </c>
      <c r="BB456" s="18" t="n">
        <v>41351763.56255512</v>
      </c>
      <c r="BC456" s="17" t="n">
        <v>2971663</v>
      </c>
      <c r="BD456" s="17">
        <f>1000000000-999298090.4394+229777.2135</f>
        <v/>
      </c>
      <c r="BE456" s="19">
        <f>1000000000-AZ456-BA456-BB456-BC456-BD456</f>
        <v/>
      </c>
      <c r="BF456" s="20" t="n">
        <v>234.988155</v>
      </c>
      <c r="BG456" s="20">
        <f>BE456/1000000-BF456</f>
        <v/>
      </c>
      <c r="BH456" s="21">
        <f>BE456*27.26</f>
        <v/>
      </c>
    </row>
    <row r="457">
      <c r="A457" s="10" t="n">
        <v>46079</v>
      </c>
      <c r="B457" s="11" t="n">
        <v>4577596408</v>
      </c>
      <c r="C457" s="11" t="n">
        <v>1691069245.34</v>
      </c>
      <c r="D457" s="11" t="n">
        <v>105931309</v>
      </c>
      <c r="E457" s="11" t="n"/>
      <c r="F457" s="24" t="n">
        <v>845419136.209461</v>
      </c>
      <c r="G457" s="24" t="n">
        <v>35068786.98198935</v>
      </c>
      <c r="H457" s="24" t="n">
        <v>13507569.72485567</v>
      </c>
      <c r="I457" s="24" t="n">
        <v>438399044.2740437</v>
      </c>
      <c r="J457" s="24" t="n">
        <v>258312.675522093</v>
      </c>
      <c r="K457" s="24" t="n">
        <v>358416395.4741282</v>
      </c>
      <c r="L457" s="21">
        <f>SUM(F457:K457)</f>
        <v/>
      </c>
      <c r="M457" s="28" t="n">
        <v>0.9642354712851469</v>
      </c>
      <c r="N457" s="11" t="n">
        <v>1598305.01</v>
      </c>
      <c r="O457" s="11" t="n">
        <v>210072.94</v>
      </c>
      <c r="P457" s="11" t="n">
        <v>56345.44</v>
      </c>
      <c r="Q457" s="11" t="n"/>
      <c r="R457" s="21">
        <f>N457+O457+P457+N(Q457)</f>
        <v/>
      </c>
      <c r="S457" s="13" t="n">
        <v>0.01</v>
      </c>
      <c r="T457" s="21">
        <f>N(AC457)*S457</f>
        <v/>
      </c>
      <c r="U457" s="21">
        <f>N(AD457)*S457</f>
        <v/>
      </c>
      <c r="V457" s="21">
        <f>N(AE457)*S457</f>
        <v/>
      </c>
      <c r="W457" s="21">
        <f>IF(Q457="","",N(AF457)*S457)</f>
        <v/>
      </c>
      <c r="X457" s="11" t="n">
        <v>9288.639999999999</v>
      </c>
      <c r="Y457" s="11" t="n">
        <v>99424.59</v>
      </c>
      <c r="Z457" s="11" t="n"/>
      <c r="AA457" s="21">
        <f>T457+U457+V457+N(W457)+X457+Y457+N(Z457)</f>
        <v/>
      </c>
      <c r="AB457" s="11" t="n">
        <v>211481.2983</v>
      </c>
      <c r="AC457" s="11" t="n">
        <v>1598305.01</v>
      </c>
      <c r="AD457" s="21">
        <f>O457-Y457</f>
        <v/>
      </c>
      <c r="AE457" s="21">
        <f>P457-X457</f>
        <v/>
      </c>
      <c r="AF457" s="21">
        <f>IF(Q457="","",Q457-Z457)</f>
        <v/>
      </c>
      <c r="AG457" s="22">
        <f>AC457+AD457+AE457+N(AF457)</f>
        <v/>
      </c>
      <c r="AH457" s="11" t="n">
        <v>1384956.11</v>
      </c>
      <c r="AI457" s="24">
        <f>AG457-AH457</f>
        <v/>
      </c>
      <c r="AJ457" s="14">
        <f>IF(OR(B457="",B457=0,N457=""),"",N457/B457*10000)</f>
        <v/>
      </c>
      <c r="AK457" s="14">
        <f>IF(OR(C457="",C457=0),"",O457/C457*10000)</f>
        <v/>
      </c>
      <c r="AL457" s="14">
        <f>IF(OR(D457="",D457=0),"",P457/D457*10000)</f>
        <v/>
      </c>
      <c r="AM457" s="14">
        <f>IF(OR(E457="",E457=0),"",Q457/E457*10000)</f>
        <v/>
      </c>
      <c r="AN457" s="11" t="n">
        <v>12597.5518444278</v>
      </c>
      <c r="AO457" s="11" t="n">
        <v>0</v>
      </c>
      <c r="AP457" s="21">
        <f>AH457+AN457+AO457</f>
        <v/>
      </c>
      <c r="AQ457" s="21">
        <f>AH457</f>
        <v/>
      </c>
      <c r="AR457" s="15" t="n">
        <v>48734.85</v>
      </c>
      <c r="AS457" s="27" t="n">
        <v>28.418188</v>
      </c>
      <c r="AT457" s="15" t="n">
        <v>41399624.50255512</v>
      </c>
      <c r="AU457" s="15" t="n">
        <v>26479.4029</v>
      </c>
      <c r="AV457" s="15" t="n">
        <v>1540.2927</v>
      </c>
      <c r="AW457" s="15" t="n"/>
      <c r="AX457" s="16" t="n">
        <v>434.061285902335</v>
      </c>
      <c r="AY457" s="13">
        <f>IF(OR(AX457="",AX457=0,AU457=""),"",AU457*365/(AX457*1000000))</f>
        <v/>
      </c>
      <c r="AZ457" s="15" t="n">
        <v>416910385.8779</v>
      </c>
      <c r="BA457" s="17" t="n">
        <v>60487233</v>
      </c>
      <c r="BB457" s="18" t="n">
        <v>41399624.50255512</v>
      </c>
      <c r="BC457" s="17" t="n">
        <v>2971663</v>
      </c>
      <c r="BD457" s="17">
        <f>1000000000-999296550.1467+230225.1105</f>
        <v/>
      </c>
      <c r="BE457" s="19">
        <f>1000000000-AZ457-BA457-BB457-BC457-BD457</f>
        <v/>
      </c>
      <c r="BF457" s="20" t="n">
        <v>234.988155</v>
      </c>
      <c r="BG457" s="20">
        <f>BE457/1000000-BF457</f>
        <v/>
      </c>
      <c r="BH457" s="21">
        <f>BE457*28.16</f>
        <v/>
      </c>
    </row>
    <row r="458">
      <c r="A458" s="10" t="n">
        <v>46080</v>
      </c>
      <c r="B458" s="11" t="n">
        <v>4093472434</v>
      </c>
      <c r="C458" s="11" t="n">
        <v>1475558277.86</v>
      </c>
      <c r="D458" s="11" t="n">
        <v>122529433</v>
      </c>
      <c r="E458" s="11" t="n"/>
      <c r="F458" s="24" t="n">
        <v>700114015.1466746</v>
      </c>
      <c r="G458" s="24" t="n">
        <v>34813388.96149884</v>
      </c>
      <c r="H458" s="24" t="n">
        <v>19988862.33081556</v>
      </c>
      <c r="I458" s="24" t="n">
        <v>438481610.3657948</v>
      </c>
      <c r="J458" s="24" t="n">
        <v>2722068.39340893</v>
      </c>
      <c r="K458" s="24" t="n">
        <v>279438332.6618072</v>
      </c>
      <c r="L458" s="21">
        <f>SUM(F458:K458)</f>
        <v/>
      </c>
      <c r="M458" s="28" t="n">
        <v>0.9802349545345472</v>
      </c>
      <c r="N458" s="11" t="n">
        <v>1391453.24</v>
      </c>
      <c r="O458" s="11" t="n">
        <v>237475.06</v>
      </c>
      <c r="P458" s="11" t="n">
        <v>54304.38</v>
      </c>
      <c r="Q458" s="11" t="n"/>
      <c r="R458" s="21">
        <f>N458+O458+P458+N(Q458)</f>
        <v/>
      </c>
      <c r="S458" s="13" t="n">
        <v>0.01</v>
      </c>
      <c r="T458" s="21">
        <f>N(AC458)*S458</f>
        <v/>
      </c>
      <c r="U458" s="21">
        <f>N(AD458)*S458</f>
        <v/>
      </c>
      <c r="V458" s="21">
        <f>N(AE458)*S458</f>
        <v/>
      </c>
      <c r="W458" s="21">
        <f>IF(Q458="","",N(AF458)*S458)</f>
        <v/>
      </c>
      <c r="X458" s="11" t="n">
        <v>10267.04</v>
      </c>
      <c r="Y458" s="11" t="n">
        <v>113325.95</v>
      </c>
      <c r="Z458" s="11" t="n"/>
      <c r="AA458" s="21">
        <f>T458+U458+V458+N(W458)+X458+Y458+N(Z458)</f>
        <v/>
      </c>
      <c r="AB458" s="11" t="n">
        <v>180679.7984</v>
      </c>
      <c r="AC458" s="11" t="n">
        <v>1391453.24</v>
      </c>
      <c r="AD458" s="21">
        <f>O458-Y458</f>
        <v/>
      </c>
      <c r="AE458" s="21">
        <f>P458-X458</f>
        <v/>
      </c>
      <c r="AF458" s="21">
        <f>IF(Q458="","",Q458-Z458)</f>
        <v/>
      </c>
      <c r="AG458" s="22">
        <f>AC458+AD458+AE458+N(AF458)</f>
        <v/>
      </c>
      <c r="AH458" s="11" t="n">
        <v>1241030.22</v>
      </c>
      <c r="AI458" s="24">
        <f>AG458-AH458</f>
        <v/>
      </c>
      <c r="AJ458" s="14">
        <f>IF(OR(B458="",B458=0,N458=""),"",N458/B458*10000)</f>
        <v/>
      </c>
      <c r="AK458" s="14">
        <f>IF(OR(C458="",C458=0),"",O458/C458*10000)</f>
        <v/>
      </c>
      <c r="AL458" s="14">
        <f>IF(OR(D458="",D458=0),"",P458/D458*10000)</f>
        <v/>
      </c>
      <c r="AM458" s="14">
        <f>IF(OR(E458="",E458=0),"",Q458/E458*10000)</f>
        <v/>
      </c>
      <c r="AN458" s="11" t="n">
        <v>10600.93229495406</v>
      </c>
      <c r="AO458" s="11" t="n">
        <v>0</v>
      </c>
      <c r="AP458" s="21">
        <f>AH458+AN458+AO458</f>
        <v/>
      </c>
      <c r="AQ458" s="21">
        <f>AH458</f>
        <v/>
      </c>
      <c r="AR458" s="15" t="n">
        <v>43891.24</v>
      </c>
      <c r="AS458" s="27" t="n">
        <v>28.275123</v>
      </c>
      <c r="AT458" s="15" t="n">
        <v>41442853.14255512</v>
      </c>
      <c r="AU458" s="15" t="n">
        <v>26477.5351</v>
      </c>
      <c r="AV458" s="15" t="n">
        <v>942.6275000000001</v>
      </c>
      <c r="AW458" s="15" t="n"/>
      <c r="AX458" s="16" t="n">
        <v>434.1587145740716</v>
      </c>
      <c r="AY458" s="13">
        <f>IF(OR(AX458="",AX458=0,AU458=""),"",AU458*365/(AX458*1000000))</f>
        <v/>
      </c>
      <c r="AZ458" s="15" t="n">
        <v>416883908.3428</v>
      </c>
      <c r="BA458" s="17" t="n">
        <v>60487233</v>
      </c>
      <c r="BB458" s="18" t="n">
        <v>41442853.14255512</v>
      </c>
      <c r="BC458" s="17" t="n">
        <v>2971663</v>
      </c>
      <c r="BD458" s="17">
        <f>1000000000-999295607.5192+230602.0459</f>
        <v/>
      </c>
      <c r="BE458" s="19">
        <f>1000000000-AZ458-BA458-BB458-BC458-BD458</f>
        <v/>
      </c>
      <c r="BF458" s="20" t="n">
        <v>234.988155</v>
      </c>
      <c r="BG458" s="20">
        <f>BE458/1000000-BF458</f>
        <v/>
      </c>
      <c r="BH458" s="21">
        <f>BE458*28.13</f>
        <v/>
      </c>
    </row>
    <row r="459">
      <c r="A459" s="10" t="n">
        <v>46081</v>
      </c>
      <c r="B459" s="11" t="n">
        <v>5813852206</v>
      </c>
      <c r="C459" s="11" t="n">
        <v>802951253.58</v>
      </c>
      <c r="D459" s="11" t="n">
        <v>181318711</v>
      </c>
      <c r="E459" s="11" t="n"/>
      <c r="F459" s="24" t="n">
        <v>467572867.2674954</v>
      </c>
      <c r="G459" s="24" t="n">
        <v>42815167.40121872</v>
      </c>
      <c r="H459" s="24" t="n">
        <v>19020110.71803969</v>
      </c>
      <c r="I459" s="24" t="n">
        <v>133765557.1306874</v>
      </c>
      <c r="J459" s="24" t="n">
        <v>4934775.886821642</v>
      </c>
      <c r="K459" s="24" t="n">
        <v>134842775.1757372</v>
      </c>
      <c r="L459" s="21">
        <f>SUM(F459:K459)</f>
        <v/>
      </c>
      <c r="M459" s="28" t="n">
        <v>0.9949794268116318</v>
      </c>
      <c r="N459" s="11" t="n">
        <v>2062899.5</v>
      </c>
      <c r="O459" s="11" t="n">
        <v>286068.33</v>
      </c>
      <c r="P459" s="11" t="n">
        <v>85741.97</v>
      </c>
      <c r="Q459" s="11" t="n"/>
      <c r="R459" s="21">
        <f>N459+O459+P459+N(Q459)</f>
        <v/>
      </c>
      <c r="S459" s="13" t="n">
        <v>0.01</v>
      </c>
      <c r="T459" s="21">
        <f>N(AC459)*S459</f>
        <v/>
      </c>
      <c r="U459" s="21">
        <f>N(AD459)*S459</f>
        <v/>
      </c>
      <c r="V459" s="21">
        <f>N(AE459)*S459</f>
        <v/>
      </c>
      <c r="W459" s="21">
        <f>IF(Q459="","",N(AF459)*S459)</f>
        <v/>
      </c>
      <c r="X459" s="11" t="n">
        <v>17653.16</v>
      </c>
      <c r="Y459" s="11" t="n">
        <v>137081.26</v>
      </c>
      <c r="Z459" s="11" t="n"/>
      <c r="AA459" s="21">
        <f>T459+U459+V459+N(W459)+X459+Y459+N(Z459)</f>
        <v/>
      </c>
      <c r="AB459" s="11" t="n">
        <v>192610.2345</v>
      </c>
      <c r="AC459" s="11" t="n">
        <v>2062899.5</v>
      </c>
      <c r="AD459" s="21">
        <f>O459-Y459</f>
        <v/>
      </c>
      <c r="AE459" s="21">
        <f>P459-X459</f>
        <v/>
      </c>
      <c r="AF459" s="21">
        <f>IF(Q459="","",Q459-Z459)</f>
        <v/>
      </c>
      <c r="AG459" s="22">
        <f>AC459+AD459+AE459+N(AF459)</f>
        <v/>
      </c>
      <c r="AH459" s="11" t="n">
        <v>1816154.84</v>
      </c>
      <c r="AI459" s="24">
        <f>AG459-AH459</f>
        <v/>
      </c>
      <c r="AJ459" s="14">
        <f>IF(OR(B459="",B459=0,N459=""),"",N459/B459*10000)</f>
        <v/>
      </c>
      <c r="AK459" s="14">
        <f>IF(OR(C459="",C459=0),"",O459/C459*10000)</f>
        <v/>
      </c>
      <c r="AL459" s="14">
        <f>IF(OR(D459="",D459=0),"",P459/D459*10000)</f>
        <v/>
      </c>
      <c r="AM459" s="14">
        <f>IF(OR(E459="",E459=0),"",Q459/E459*10000)</f>
        <v/>
      </c>
      <c r="AN459" s="11" t="n">
        <v>16631.4832218985</v>
      </c>
      <c r="AO459" s="11" t="n">
        <v>0</v>
      </c>
      <c r="AP459" s="21">
        <f>AH459+AN459+AO459</f>
        <v/>
      </c>
      <c r="AQ459" s="21">
        <f>AH459</f>
        <v/>
      </c>
      <c r="AR459" s="15" t="n">
        <v>64310.67</v>
      </c>
      <c r="AS459" s="27" t="n">
        <v>28.240335</v>
      </c>
      <c r="AT459" s="15" t="n">
        <v>41510423.48255512</v>
      </c>
      <c r="AU459" s="15" t="n">
        <v>26484.8512</v>
      </c>
      <c r="AV459" s="15" t="n">
        <v>944.5691</v>
      </c>
      <c r="AW459" s="15" t="n"/>
      <c r="AX459" s="16" t="n">
        <v>434.8391538293288</v>
      </c>
      <c r="AY459" s="13">
        <f>IF(OR(AX459="",AX459=0,AU459=""),"",AU459*365/(AX459*1000000))</f>
        <v/>
      </c>
      <c r="AZ459" s="15" t="n">
        <v>416857423.4916</v>
      </c>
      <c r="BA459" s="17" t="n">
        <v>60487233</v>
      </c>
      <c r="BB459" s="18" t="n">
        <v>41510423.48255512</v>
      </c>
      <c r="BC459" s="17" t="n">
        <v>2971663</v>
      </c>
      <c r="BD459" s="17">
        <f>1000000000-999294662.9501+231210.2107</f>
        <v/>
      </c>
      <c r="BE459" s="19">
        <f>1000000000-AZ459-BA459-BB459-BC459-BD459</f>
        <v/>
      </c>
      <c r="BF459" s="20" t="n">
        <v>234.988155</v>
      </c>
      <c r="BG459" s="20">
        <f>BE459/1000000-BF459</f>
        <v/>
      </c>
      <c r="BH459" s="21">
        <f>BE459*27.36</f>
        <v/>
      </c>
    </row>
    <row r="460">
      <c r="A460" s="10" t="n">
        <v>46082</v>
      </c>
      <c r="B460" s="11" t="n">
        <v>4562569399</v>
      </c>
      <c r="C460" s="11" t="n">
        <v>684903060.21</v>
      </c>
      <c r="D460" s="11" t="n">
        <v>155673348</v>
      </c>
      <c r="E460" s="11" t="n"/>
      <c r="F460" s="24" t="n">
        <v>408591375.9384184</v>
      </c>
      <c r="G460" s="24" t="n">
        <v>37771525.80765916</v>
      </c>
      <c r="H460" s="24" t="n">
        <v>21003880.80642628</v>
      </c>
      <c r="I460" s="24" t="n">
        <v>129063990.1372867</v>
      </c>
      <c r="J460" s="24" t="n">
        <v>374915.9917194486</v>
      </c>
      <c r="K460" s="24" t="n">
        <v>88097371.52848998</v>
      </c>
      <c r="L460" s="21">
        <f>SUM(F460:K460)</f>
        <v/>
      </c>
      <c r="M460" s="28" t="n">
        <v>1.028622026798057</v>
      </c>
      <c r="N460" s="11" t="n">
        <v>1658367.39</v>
      </c>
      <c r="O460" s="11" t="n">
        <v>191793.57</v>
      </c>
      <c r="P460" s="11" t="n">
        <v>70235.94</v>
      </c>
      <c r="Q460" s="11" t="n"/>
      <c r="R460" s="21">
        <f>N460+O460+P460+N(Q460)</f>
        <v/>
      </c>
      <c r="S460" s="13" t="n">
        <v>0.01</v>
      </c>
      <c r="T460" s="21">
        <f>N(AC460)*S460</f>
        <v/>
      </c>
      <c r="U460" s="21">
        <f>N(AD460)*S460</f>
        <v/>
      </c>
      <c r="V460" s="21">
        <f>N(AE460)*S460</f>
        <v/>
      </c>
      <c r="W460" s="21">
        <f>IF(Q460="","",N(AF460)*S460)</f>
        <v/>
      </c>
      <c r="X460" s="11" t="n">
        <v>16977</v>
      </c>
      <c r="Y460" s="11" t="n">
        <v>91276.39</v>
      </c>
      <c r="Z460" s="11" t="n"/>
      <c r="AA460" s="21">
        <f>T460+U460+V460+N(W460)+X460+Y460+N(Z460)</f>
        <v/>
      </c>
      <c r="AB460" s="11" t="n">
        <v>143472.6681</v>
      </c>
      <c r="AC460" s="11" t="n">
        <v>1658367.39</v>
      </c>
      <c r="AD460" s="21">
        <f>O460-Y460</f>
        <v/>
      </c>
      <c r="AE460" s="21">
        <f>P460-X460</f>
        <v/>
      </c>
      <c r="AF460" s="21">
        <f>IF(Q460="","",Q460-Z460)</f>
        <v/>
      </c>
      <c r="AG460" s="22">
        <f>AC460+AD460+AE460+N(AF460)</f>
        <v/>
      </c>
      <c r="AH460" s="11" t="n">
        <v>1523583.7</v>
      </c>
      <c r="AI460" s="24">
        <f>AG460-AH460</f>
        <v/>
      </c>
      <c r="AJ460" s="14">
        <f>IF(OR(B460="",B460=0,N460=""),"",N460/B460*10000)</f>
        <v/>
      </c>
      <c r="AK460" s="14">
        <f>IF(OR(C460="",C460=0),"",O460/C460*10000)</f>
        <v/>
      </c>
      <c r="AL460" s="14">
        <f>IF(OR(D460="",D460=0),"",P460/D460*10000)</f>
        <v/>
      </c>
      <c r="AM460" s="14">
        <f>IF(OR(E460="",E460=0),"",Q460/E460*10000)</f>
        <v/>
      </c>
      <c r="AN460" s="11" t="n">
        <v>22563.90426013433</v>
      </c>
      <c r="AO460" s="11" t="n">
        <v>0</v>
      </c>
      <c r="AP460" s="21">
        <f>AH460+AN460+AO460</f>
        <v/>
      </c>
      <c r="AQ460" s="21">
        <f>AH460</f>
        <v/>
      </c>
      <c r="AR460" s="15" t="n">
        <v>48978.8</v>
      </c>
      <c r="AS460" s="27" t="n">
        <v>31.107003</v>
      </c>
      <c r="AT460" s="15" t="n">
        <v>41556617.11255512</v>
      </c>
      <c r="AU460" s="15" t="n">
        <v>26501.2141</v>
      </c>
      <c r="AV460" s="15" t="n">
        <v>1317.0529</v>
      </c>
      <c r="AW460" s="15" t="n"/>
      <c r="AX460" s="16" t="n">
        <v>434.9607705202773</v>
      </c>
      <c r="AY460" s="13">
        <f>IF(OR(AX460="",AX460=0,AU460=""),"",AU460*365/(AX460*1000000))</f>
        <v/>
      </c>
      <c r="AZ460" s="15" t="n">
        <v>416830922.2775</v>
      </c>
      <c r="BA460" s="17" t="n">
        <v>60487233</v>
      </c>
      <c r="BB460" s="18" t="n">
        <v>41556617.11255512</v>
      </c>
      <c r="BC460" s="17" t="n">
        <v>2971663</v>
      </c>
      <c r="BD460" s="17">
        <f>1000000000-999293345.8972+231941.2859</f>
        <v/>
      </c>
      <c r="BE460" s="19">
        <f>1000000000-AZ460-BA460-BB460-BC460-BD460</f>
        <v/>
      </c>
      <c r="BF460" s="20" t="n">
        <v>234.988155</v>
      </c>
      <c r="BG460" s="20">
        <f>BE460/1000000-BF460</f>
        <v/>
      </c>
      <c r="BH460" s="21">
        <f>BE460*30.89</f>
        <v/>
      </c>
    </row>
    <row r="461">
      <c r="A461" s="10" t="n">
        <v>46083</v>
      </c>
      <c r="B461" s="11" t="n">
        <v>6232167814</v>
      </c>
      <c r="C461" s="11" t="n">
        <v>2597800806.81</v>
      </c>
      <c r="D461" s="11" t="n">
        <v>190929156</v>
      </c>
      <c r="E461" s="11" t="n"/>
      <c r="F461" s="24" t="n">
        <v>1512374961.721672</v>
      </c>
      <c r="G461" s="24" t="n">
        <v>41833489.88639364</v>
      </c>
      <c r="H461" s="24" t="n">
        <v>22215873.73308492</v>
      </c>
      <c r="I461" s="24" t="n">
        <v>636643720.8477566</v>
      </c>
      <c r="J461" s="24" t="n">
        <v>183597.090719398</v>
      </c>
      <c r="K461" s="24" t="n">
        <v>384549163.5303741</v>
      </c>
      <c r="L461" s="21">
        <f>SUM(F461:K461)</f>
        <v/>
      </c>
      <c r="M461" s="28" t="n">
        <v>0.9833119975674639</v>
      </c>
      <c r="N461" s="11" t="n">
        <v>1996248.92</v>
      </c>
      <c r="O461" s="11" t="n">
        <v>366245.44</v>
      </c>
      <c r="P461" s="11" t="n">
        <v>88945.91</v>
      </c>
      <c r="Q461" s="11" t="n"/>
      <c r="R461" s="21">
        <f>N461+O461+P461+N(Q461)</f>
        <v/>
      </c>
      <c r="S461" s="13" t="n">
        <v>0.01</v>
      </c>
      <c r="T461" s="21">
        <f>N(AC461)*S461</f>
        <v/>
      </c>
      <c r="U461" s="21">
        <f>N(AD461)*S461</f>
        <v/>
      </c>
      <c r="V461" s="21">
        <f>N(AE461)*S461</f>
        <v/>
      </c>
      <c r="W461" s="21">
        <f>IF(Q461="","",N(AF461)*S461)</f>
        <v/>
      </c>
      <c r="X461" s="11" t="n">
        <v>15223.79</v>
      </c>
      <c r="Y461" s="11" t="n">
        <v>177886.01</v>
      </c>
      <c r="Z461" s="11" t="n"/>
      <c r="AA461" s="21">
        <f>T461+U461+V461+N(W461)+X461+Y461+N(Z461)</f>
        <v/>
      </c>
      <c r="AB461" s="11" t="n">
        <v>190818.239</v>
      </c>
      <c r="AC461" s="11" t="n">
        <v>1996248.92</v>
      </c>
      <c r="AD461" s="21">
        <f>O461-Y461</f>
        <v/>
      </c>
      <c r="AE461" s="21">
        <f>P461-X461</f>
        <v/>
      </c>
      <c r="AF461" s="21">
        <f>IF(Q461="","",Q461-Z461)</f>
        <v/>
      </c>
      <c r="AG461" s="22">
        <f>AC461+AD461+AE461+N(AF461)</f>
        <v/>
      </c>
      <c r="AH461" s="11" t="n">
        <v>1947703.99</v>
      </c>
      <c r="AI461" s="24">
        <f>AG461-AH461</f>
        <v/>
      </c>
      <c r="AJ461" s="14">
        <f>IF(OR(B461="",B461=0,N461=""),"",N461/B461*10000)</f>
        <v/>
      </c>
      <c r="AK461" s="14">
        <f>IF(OR(C461="",C461=0),"",O461/C461*10000)</f>
        <v/>
      </c>
      <c r="AL461" s="14">
        <f>IF(OR(D461="",D461=0),"",P461/D461*10000)</f>
        <v/>
      </c>
      <c r="AM461" s="14">
        <f>IF(OR(E461="",E461=0),"",Q461/E461*10000)</f>
        <v/>
      </c>
      <c r="AN461" s="11" t="n">
        <v>21404.02469278494</v>
      </c>
      <c r="AO461" s="11" t="n">
        <v>0</v>
      </c>
      <c r="AP461" s="21">
        <f>AH461+AN461+AO461</f>
        <v/>
      </c>
      <c r="AQ461" s="21">
        <f>AH461</f>
        <v/>
      </c>
      <c r="AR461" s="15" t="n">
        <v>60737.14</v>
      </c>
      <c r="AS461" s="27" t="n">
        <v>32.067759</v>
      </c>
      <c r="AT461" s="15" t="n">
        <v>41617798.21255512</v>
      </c>
      <c r="AU461" s="15" t="n">
        <v>26486.9061</v>
      </c>
      <c r="AV461" s="15" t="n">
        <v>452.1227</v>
      </c>
      <c r="AW461" s="15" t="n"/>
      <c r="AX461" s="16" t="n">
        <v>434.6074610356735</v>
      </c>
      <c r="AY461" s="13">
        <f>IF(OR(AX461="",AX461=0,AU461=""),"",AU461*365/(AX461*1000000))</f>
        <v/>
      </c>
      <c r="AZ461" s="15" t="n">
        <v>416804435.3715</v>
      </c>
      <c r="BA461" s="17" t="n">
        <v>60487233</v>
      </c>
      <c r="BB461" s="18" t="n">
        <v>41617798.21255512</v>
      </c>
      <c r="BC461" s="17" t="n">
        <v>2971663</v>
      </c>
      <c r="BD461" s="17">
        <f>1000000000-999292893.7745+232598.7385</f>
        <v/>
      </c>
      <c r="BE461" s="19">
        <f>1000000000-AZ461-BA461-BB461-BC461-BD461</f>
        <v/>
      </c>
      <c r="BF461" s="20" t="n">
        <v>234.988155</v>
      </c>
      <c r="BG461" s="20">
        <f>BE461/1000000-BF461</f>
        <v/>
      </c>
      <c r="BH461" s="21">
        <f>BE461*32.58</f>
        <v/>
      </c>
    </row>
    <row r="462">
      <c r="A462" s="10" t="n">
        <v>46084</v>
      </c>
      <c r="B462" s="11" t="n">
        <v>6206429313</v>
      </c>
      <c r="C462" s="11" t="n">
        <v>3932725411.81</v>
      </c>
      <c r="D462" s="11" t="n">
        <v>173677275</v>
      </c>
      <c r="E462" s="11" t="n"/>
      <c r="F462" s="24" t="n">
        <v>2284255839.866324</v>
      </c>
      <c r="G462" s="24" t="n">
        <v>39983896.94532164</v>
      </c>
      <c r="H462" s="24" t="n">
        <v>21514539.19172626</v>
      </c>
      <c r="I462" s="24" t="n">
        <v>1074531909.112239</v>
      </c>
      <c r="J462" s="24" t="n">
        <v>599086.2197160372</v>
      </c>
      <c r="K462" s="24" t="n">
        <v>511840140.4746734</v>
      </c>
      <c r="L462" s="21">
        <f>SUM(F462:K462)</f>
        <v/>
      </c>
      <c r="M462" s="28" t="n">
        <v>1.002277094651278</v>
      </c>
      <c r="N462" s="11" t="n">
        <v>1975058.94</v>
      </c>
      <c r="O462" s="11" t="n">
        <v>526824.74</v>
      </c>
      <c r="P462" s="11" t="n">
        <v>78028.00999999999</v>
      </c>
      <c r="Q462" s="11" t="n"/>
      <c r="R462" s="21">
        <f>N462+O462+P462+N(Q462)</f>
        <v/>
      </c>
      <c r="S462" s="13" t="n">
        <v>0.01</v>
      </c>
      <c r="T462" s="21">
        <f>N(AC462)*S462</f>
        <v/>
      </c>
      <c r="U462" s="21">
        <f>N(AD462)*S462</f>
        <v/>
      </c>
      <c r="V462" s="21">
        <f>N(AE462)*S462</f>
        <v/>
      </c>
      <c r="W462" s="21">
        <f>IF(Q462="","",N(AF462)*S462)</f>
        <v/>
      </c>
      <c r="X462" s="11" t="n">
        <v>15822.15</v>
      </c>
      <c r="Y462" s="11" t="n">
        <v>258442.63</v>
      </c>
      <c r="Z462" s="11" t="n"/>
      <c r="AA462" s="21">
        <f>T462+U462+V462+N(W462)+X462+Y462+N(Z462)</f>
        <v/>
      </c>
      <c r="AB462" s="11" t="n">
        <v>182373.3457</v>
      </c>
      <c r="AC462" s="11" t="n">
        <v>1975058.94</v>
      </c>
      <c r="AD462" s="21">
        <f>O462-Y462</f>
        <v/>
      </c>
      <c r="AE462" s="21">
        <f>P462-X462</f>
        <v/>
      </c>
      <c r="AF462" s="21">
        <f>IF(Q462="","",Q462-Z462)</f>
        <v/>
      </c>
      <c r="AG462" s="22">
        <f>AC462+AD462+AE462+N(AF462)</f>
        <v/>
      </c>
      <c r="AH462" s="11" t="n">
        <v>1953548.3</v>
      </c>
      <c r="AI462" s="24">
        <f>AG462-AH462</f>
        <v/>
      </c>
      <c r="AJ462" s="14">
        <f>IF(OR(B462="",B462=0,N462=""),"",N462/B462*10000)</f>
        <v/>
      </c>
      <c r="AK462" s="14">
        <f>IF(OR(C462="",C462=0),"",O462/C462*10000)</f>
        <v/>
      </c>
      <c r="AL462" s="14">
        <f>IF(OR(D462="",D462=0),"",P462/D462*10000)</f>
        <v/>
      </c>
      <c r="AM462" s="14">
        <f>IF(OR(E462="",E462=0),"",Q462/E462*10000)</f>
        <v/>
      </c>
      <c r="AN462" s="11" t="n">
        <v>17606.68084190243</v>
      </c>
      <c r="AO462" s="11" t="n">
        <v>0</v>
      </c>
      <c r="AP462" s="21">
        <f>AH462+AN462+AO462</f>
        <v/>
      </c>
      <c r="AQ462" s="21">
        <f>AH462</f>
        <v/>
      </c>
      <c r="AR462" s="15" t="n">
        <v>61086.15</v>
      </c>
      <c r="AS462" s="27" t="n">
        <v>31.980216</v>
      </c>
      <c r="AT462" s="15" t="n">
        <v>41678676.45255512</v>
      </c>
      <c r="AU462" s="15" t="n">
        <v>26494.6815</v>
      </c>
      <c r="AV462" s="15" t="n">
        <v>1275.1256</v>
      </c>
      <c r="AW462" s="15" t="n"/>
      <c r="AX462" s="16" t="n">
        <v>434.7360425871155</v>
      </c>
      <c r="AY462" s="13">
        <f>IF(OR(AX462="",AX462=0,AU462=""),"",AU462*365/(AX462*1000000))</f>
        <v/>
      </c>
      <c r="AZ462" s="15" t="n">
        <v>416777940.6899</v>
      </c>
      <c r="BA462" s="17" t="n">
        <v>60487233</v>
      </c>
      <c r="BB462" s="18" t="n">
        <v>41678676.45255512</v>
      </c>
      <c r="BC462" s="17" t="n">
        <v>2971663</v>
      </c>
      <c r="BD462" s="17">
        <f>1000000000-999291618.6489+233143.1964</f>
        <v/>
      </c>
      <c r="BE462" s="19">
        <f>1000000000-AZ462-BA462-BB462-BC462-BD462</f>
        <v/>
      </c>
      <c r="BF462" s="20" t="n">
        <v>234.988155</v>
      </c>
      <c r="BG462" s="20">
        <f>BE462/1000000-BF462</f>
        <v/>
      </c>
      <c r="BH462" s="21">
        <f>BE462*32.36</f>
        <v/>
      </c>
    </row>
    <row r="463">
      <c r="A463" s="10" t="n">
        <v>46085</v>
      </c>
      <c r="B463" s="11" t="n">
        <v>7725337061</v>
      </c>
      <c r="C463" s="11" t="n">
        <v>2616814188.47</v>
      </c>
      <c r="D463" s="11" t="n">
        <v>241897815</v>
      </c>
      <c r="E463" s="11" t="n"/>
      <c r="F463" s="24" t="n">
        <v>1410104885.303379</v>
      </c>
      <c r="G463" s="24" t="n">
        <v>60708469.91432574</v>
      </c>
      <c r="H463" s="24" t="n">
        <v>24642116.50240666</v>
      </c>
      <c r="I463" s="24" t="n">
        <v>736593290.7753587</v>
      </c>
      <c r="J463" s="24" t="n">
        <v>394882.1061636885</v>
      </c>
      <c r="K463" s="24" t="n">
        <v>384370543.868366</v>
      </c>
      <c r="L463" s="21">
        <f>SUM(F463:K463)</f>
        <v/>
      </c>
      <c r="M463" s="28" t="n">
        <v>0.9896458457256061</v>
      </c>
      <c r="N463" s="11" t="n">
        <v>2658960.61</v>
      </c>
      <c r="O463" s="11" t="n">
        <v>299310.89</v>
      </c>
      <c r="P463" s="11" t="n">
        <v>120424.84</v>
      </c>
      <c r="Q463" s="11" t="n"/>
      <c r="R463" s="21">
        <f>N463+O463+P463+N(Q463)</f>
        <v/>
      </c>
      <c r="S463" s="13" t="n">
        <v>0.01</v>
      </c>
      <c r="T463" s="21">
        <f>N(AC463)*S463</f>
        <v/>
      </c>
      <c r="U463" s="21">
        <f>N(AD463)*S463</f>
        <v/>
      </c>
      <c r="V463" s="21">
        <f>N(AE463)*S463</f>
        <v/>
      </c>
      <c r="W463" s="21">
        <f>IF(Q463="","",N(AF463)*S463)</f>
        <v/>
      </c>
      <c r="X463" s="11" t="n">
        <v>34123.85</v>
      </c>
      <c r="Y463" s="11" t="n">
        <v>141357.17</v>
      </c>
      <c r="Z463" s="11" t="n"/>
      <c r="AA463" s="21">
        <f>T463+U463+V463+N(W463)+X463+Y463+N(Z463)</f>
        <v/>
      </c>
      <c r="AB463" s="11" t="n">
        <v>211563.2782</v>
      </c>
      <c r="AC463" s="11" t="n">
        <v>2658960.61</v>
      </c>
      <c r="AD463" s="21">
        <f>O463-Y463</f>
        <v/>
      </c>
      <c r="AE463" s="21">
        <f>P463-X463</f>
        <v/>
      </c>
      <c r="AF463" s="21">
        <f>IF(Q463="","",Q463-Z463)</f>
        <v/>
      </c>
      <c r="AG463" s="22">
        <f>AC463+AD463+AE463+N(AF463)</f>
        <v/>
      </c>
      <c r="AH463" s="11" t="n">
        <v>2329772.04</v>
      </c>
      <c r="AI463" s="24">
        <f>AG463-AH463</f>
        <v/>
      </c>
      <c r="AJ463" s="14">
        <f>IF(OR(B463="",B463=0,N463=""),"",N463/B463*10000)</f>
        <v/>
      </c>
      <c r="AK463" s="14">
        <f>IF(OR(C463="",C463=0),"",O463/C463*10000)</f>
        <v/>
      </c>
      <c r="AL463" s="14">
        <f>IF(OR(D463="",D463=0),"",P463/D463*10000)</f>
        <v/>
      </c>
      <c r="AM463" s="14">
        <f>IF(OR(E463="",E463=0),"",Q463/E463*10000)</f>
        <v/>
      </c>
      <c r="AN463" s="11" t="n">
        <v>15481.6770500763</v>
      </c>
      <c r="AO463" s="11" t="n">
        <v>0</v>
      </c>
      <c r="AP463" s="21">
        <f>AH463+AN463+AO463</f>
        <v/>
      </c>
      <c r="AQ463" s="21">
        <f>AH463</f>
        <v/>
      </c>
      <c r="AR463" s="15" t="n">
        <v>72184.46000000001</v>
      </c>
      <c r="AS463" s="27" t="n">
        <v>32.275258</v>
      </c>
      <c r="AT463" s="15" t="n">
        <v>41752866.62255512</v>
      </c>
      <c r="AU463" s="15" t="n">
        <v>26499.3397</v>
      </c>
      <c r="AV463" s="15" t="n">
        <v>1026.5822</v>
      </c>
      <c r="AW463" s="15" t="n"/>
      <c r="AX463" s="16" t="n">
        <v>434.7349669752725</v>
      </c>
      <c r="AY463" s="13">
        <f>IF(OR(AX463="",AX463=0,AU463=""),"",AU463*365/(AX463*1000000))</f>
        <v/>
      </c>
      <c r="AZ463" s="15" t="n">
        <v>416751441.3502</v>
      </c>
      <c r="BA463" s="17" t="n">
        <v>60487233</v>
      </c>
      <c r="BB463" s="18" t="n">
        <v>41752866.62255512</v>
      </c>
      <c r="BC463" s="17" t="n">
        <v>2971663</v>
      </c>
      <c r="BD463" s="17">
        <f>1000000000-999290592.0668+233635.8355</f>
        <v/>
      </c>
      <c r="BE463" s="19">
        <f>1000000000-AZ463-BA463-BB463-BC463-BD463</f>
        <v/>
      </c>
      <c r="BF463" s="20" t="n">
        <v>234.988155</v>
      </c>
      <c r="BG463" s="20">
        <f>BE463/1000000-BF463</f>
        <v/>
      </c>
      <c r="BH463" s="21">
        <f>BE463*31.43</f>
        <v/>
      </c>
    </row>
    <row r="464">
      <c r="A464" s="10" t="n">
        <v>46086</v>
      </c>
      <c r="B464" s="11" t="n">
        <v>5198267885</v>
      </c>
      <c r="C464" s="11" t="n">
        <v>2308829579.03</v>
      </c>
      <c r="D464" s="11" t="n">
        <v>155121641</v>
      </c>
      <c r="E464" s="11" t="n"/>
      <c r="F464" s="24" t="n">
        <v>1241264270.817488</v>
      </c>
      <c r="G464" s="24" t="n">
        <v>37355078.98061346</v>
      </c>
      <c r="H464" s="24" t="n">
        <v>26109002.83112938</v>
      </c>
      <c r="I464" s="24" t="n">
        <v>593275974.2165754</v>
      </c>
      <c r="J464" s="24" t="n">
        <v>246031.5055559468</v>
      </c>
      <c r="K464" s="24" t="n">
        <v>410579220.6786386</v>
      </c>
      <c r="L464" s="21">
        <f>SUM(F464:K464)</f>
        <v/>
      </c>
      <c r="M464" s="28" t="n">
        <v>0.998951342662472</v>
      </c>
      <c r="N464" s="11" t="n">
        <v>1716429.15</v>
      </c>
      <c r="O464" s="11" t="n">
        <v>268728.08</v>
      </c>
      <c r="P464" s="11" t="n">
        <v>65880.48</v>
      </c>
      <c r="Q464" s="11" t="n"/>
      <c r="R464" s="21">
        <f>N464+O464+P464+N(Q464)</f>
        <v/>
      </c>
      <c r="S464" s="13" t="n">
        <v>0.01</v>
      </c>
      <c r="T464" s="21">
        <f>N(AC464)*S464</f>
        <v/>
      </c>
      <c r="U464" s="21">
        <f>N(AD464)*S464</f>
        <v/>
      </c>
      <c r="V464" s="21">
        <f>N(AE464)*S464</f>
        <v/>
      </c>
      <c r="W464" s="21">
        <f>IF(Q464="","",N(AF464)*S464)</f>
        <v/>
      </c>
      <c r="X464" s="11" t="n">
        <v>12456.39</v>
      </c>
      <c r="Y464" s="11" t="n">
        <v>129511.96</v>
      </c>
      <c r="Z464" s="11" t="n"/>
      <c r="AA464" s="21">
        <f>T464+U464+V464+N(W464)+X464+Y464+N(Z464)</f>
        <v/>
      </c>
      <c r="AB464" s="11" t="n">
        <v>135346.2521</v>
      </c>
      <c r="AC464" s="11" t="n">
        <v>1716429.15</v>
      </c>
      <c r="AD464" s="21">
        <f>O464-Y464</f>
        <v/>
      </c>
      <c r="AE464" s="21">
        <f>P464-X464</f>
        <v/>
      </c>
      <c r="AF464" s="21">
        <f>IF(Q464="","",Q464-Z464)</f>
        <v/>
      </c>
      <c r="AG464" s="22">
        <f>AC464+AD464+AE464+N(AF464)</f>
        <v/>
      </c>
      <c r="AH464" s="11" t="n">
        <v>1685907.84</v>
      </c>
      <c r="AI464" s="24">
        <f>AG464-AH464</f>
        <v/>
      </c>
      <c r="AJ464" s="14">
        <f>IF(OR(B464="",B464=0,N464=""),"",N464/B464*10000)</f>
        <v/>
      </c>
      <c r="AK464" s="14">
        <f>IF(OR(C464="",C464=0),"",O464/C464*10000)</f>
        <v/>
      </c>
      <c r="AL464" s="14">
        <f>IF(OR(D464="",D464=0),"",P464/D464*10000)</f>
        <v/>
      </c>
      <c r="AM464" s="14">
        <f>IF(OR(E464="",E464=0),"",Q464/E464*10000)</f>
        <v/>
      </c>
      <c r="AN464" s="11" t="n">
        <v>8859.187003504518</v>
      </c>
      <c r="AO464" s="11" t="n">
        <v>16111.06</v>
      </c>
      <c r="AP464" s="21">
        <f>AH464+AN464+AO464</f>
        <v/>
      </c>
      <c r="AQ464" s="21">
        <f>AH464</f>
        <v/>
      </c>
      <c r="AR464" s="15" t="n">
        <v>53765.04</v>
      </c>
      <c r="AS464" s="27" t="n">
        <v>31.356953</v>
      </c>
      <c r="AT464" s="15" t="n">
        <v>41804260.86255512</v>
      </c>
      <c r="AU464" s="15" t="n">
        <v>26504.5709</v>
      </c>
      <c r="AV464" s="15" t="n">
        <v>1153.7756</v>
      </c>
      <c r="AW464" s="15" t="n"/>
      <c r="AX464" s="16" t="n">
        <v>434.7178637925256</v>
      </c>
      <c r="AY464" s="13">
        <f>IF(OR(AX464="",AX464=0,AU464=""),"",AU464*365/(AX464*1000000))</f>
        <v/>
      </c>
      <c r="AZ464" s="15" t="n">
        <v>416724936.7794</v>
      </c>
      <c r="BA464" s="17" t="n">
        <v>60487233</v>
      </c>
      <c r="BB464" s="18" t="n">
        <v>41804260.86255512</v>
      </c>
      <c r="BC464" s="17" t="n">
        <v>2971663</v>
      </c>
      <c r="BD464" s="17">
        <f>1000000000-999289438.2912+233911.9001</f>
        <v/>
      </c>
      <c r="BE464" s="19">
        <f>1000000000-AZ464-BA464-BB464-BC464-BD464</f>
        <v/>
      </c>
      <c r="BF464" s="20" t="n">
        <v>234.988155</v>
      </c>
      <c r="BG464" s="20">
        <f>BE464/1000000-BF464</f>
        <v/>
      </c>
      <c r="BH464" s="21">
        <f>BE464*32.08</f>
        <v/>
      </c>
    </row>
    <row r="465">
      <c r="A465" s="10" t="n">
        <v>46087</v>
      </c>
      <c r="B465" s="11" t="n">
        <v>5726175320</v>
      </c>
      <c r="C465" s="11" t="n">
        <v>2362558216.75</v>
      </c>
      <c r="D465" s="11" t="n">
        <v>152919913</v>
      </c>
      <c r="E465" s="11" t="n"/>
      <c r="F465" s="24" t="n">
        <v>1192949564.226404</v>
      </c>
      <c r="G465" s="24" t="n">
        <v>31711037.6339664</v>
      </c>
      <c r="H465" s="24" t="n">
        <v>29481925.36770581</v>
      </c>
      <c r="I465" s="24" t="n">
        <v>716316419.0136933</v>
      </c>
      <c r="J465" s="24" t="n">
        <v>331771.9291686477</v>
      </c>
      <c r="K465" s="24" t="n">
        <v>391767498.5790625</v>
      </c>
      <c r="L465" s="21">
        <f>SUM(F465:K465)</f>
        <v/>
      </c>
      <c r="M465" s="28" t="n">
        <v>0.9972706179044374</v>
      </c>
      <c r="N465" s="11" t="n">
        <v>2027610.47</v>
      </c>
      <c r="O465" s="11" t="n">
        <v>296229.4399999999</v>
      </c>
      <c r="P465" s="11" t="n">
        <v>73302.60000000001</v>
      </c>
      <c r="Q465" s="11" t="n"/>
      <c r="R465" s="21">
        <f>N465+O465+P465+N(Q465)</f>
        <v/>
      </c>
      <c r="S465" s="13" t="n">
        <v>0.01</v>
      </c>
      <c r="T465" s="21">
        <f>N(AC465)*S465</f>
        <v/>
      </c>
      <c r="U465" s="21">
        <f>N(AD465)*S465</f>
        <v/>
      </c>
      <c r="V465" s="21">
        <f>N(AE465)*S465</f>
        <v/>
      </c>
      <c r="W465" s="21">
        <f>IF(Q465="","",N(AF465)*S465)</f>
        <v/>
      </c>
      <c r="X465" s="11" t="n">
        <v>18748.81</v>
      </c>
      <c r="Y465" s="11" t="n">
        <v>143871.36</v>
      </c>
      <c r="Z465" s="11" t="n"/>
      <c r="AA465" s="21">
        <f>T465+U465+V465+N(W465)+X465+Y465+N(Z465)</f>
        <v/>
      </c>
      <c r="AB465" s="11" t="n">
        <v>174085.891</v>
      </c>
      <c r="AC465" s="11" t="n">
        <v>2027610.47</v>
      </c>
      <c r="AD465" s="21">
        <f>O465-Y465</f>
        <v/>
      </c>
      <c r="AE465" s="21">
        <f>P465-X465</f>
        <v/>
      </c>
      <c r="AF465" s="21">
        <f>IF(Q465="","",Q465-Z465)</f>
        <v/>
      </c>
      <c r="AG465" s="22">
        <f>AC465+AD465+AE465+N(AF465)</f>
        <v/>
      </c>
      <c r="AH465" s="11" t="n">
        <v>1835993.67</v>
      </c>
      <c r="AI465" s="24">
        <f>AG465-AH465</f>
        <v/>
      </c>
      <c r="AJ465" s="14">
        <f>IF(OR(B465="",B465=0,N465=""),"",N465/B465*10000)</f>
        <v/>
      </c>
      <c r="AK465" s="14">
        <f>IF(OR(C465="",C465=0),"",O465/C465*10000)</f>
        <v/>
      </c>
      <c r="AL465" s="14">
        <f>IF(OR(D465="",D465=0),"",P465/D465*10000)</f>
        <v/>
      </c>
      <c r="AM465" s="14">
        <f>IF(OR(E465="",E465=0),"",Q465/E465*10000)</f>
        <v/>
      </c>
      <c r="AN465" s="11" t="n">
        <v>8731.701377270916</v>
      </c>
      <c r="AO465" s="11" t="n">
        <v>0</v>
      </c>
      <c r="AP465" s="21">
        <f>AH465+AN465+AO465</f>
        <v/>
      </c>
      <c r="AQ465" s="21">
        <f>AH465</f>
        <v/>
      </c>
      <c r="AR465" s="15" t="n">
        <v>60658.81</v>
      </c>
      <c r="AS465" s="27" t="n">
        <v>30.267552</v>
      </c>
      <c r="AT465" s="15" t="n">
        <v>41865293.19255512</v>
      </c>
      <c r="AU465" s="15" t="n">
        <v>26356.9344</v>
      </c>
      <c r="AV465" s="15" t="n">
        <v>1343.8283</v>
      </c>
      <c r="AW465" s="15" t="n">
        <v>173217</v>
      </c>
      <c r="AX465" s="16" t="n">
        <v>434.6444683158526</v>
      </c>
      <c r="AY465" s="13">
        <f>IF(OR(AX465="",AX465=0,AU465=""),"",AU465*365/(AX465*1000000))</f>
        <v/>
      </c>
      <c r="AZ465" s="15" t="n">
        <v>416698579.845</v>
      </c>
      <c r="BA465" s="17" t="n">
        <v>60487233</v>
      </c>
      <c r="BB465" s="18" t="n">
        <v>41865293.19255512</v>
      </c>
      <c r="BC465" s="17" t="n">
        <v>2971663</v>
      </c>
      <c r="BD465" s="17">
        <f>1000000000-999288094.4629+234197.8010</f>
        <v/>
      </c>
      <c r="BE465" s="19">
        <f>1000000000-AZ465-BA465-BB465-BC465-BD465</f>
        <v/>
      </c>
      <c r="BF465" s="20" t="n">
        <v>234.814938</v>
      </c>
      <c r="BG465" s="20">
        <f>BE465/1000000-BF465</f>
        <v/>
      </c>
      <c r="BH465" s="21">
        <f>BE465*30.54</f>
        <v/>
      </c>
    </row>
    <row r="466">
      <c r="A466" s="10" t="n">
        <v>46088</v>
      </c>
      <c r="B466" s="11" t="n">
        <v>2487110160</v>
      </c>
      <c r="C466" s="11" t="n">
        <v>441980574.94</v>
      </c>
      <c r="D466" s="11" t="n">
        <v>85139488</v>
      </c>
      <c r="E466" s="11" t="n"/>
      <c r="F466" s="24" t="n">
        <v>201716412.6987196</v>
      </c>
      <c r="G466" s="24" t="n">
        <v>14182103.9699566</v>
      </c>
      <c r="H466" s="24" t="n">
        <v>25643618.03489003</v>
      </c>
      <c r="I466" s="24" t="n">
        <v>81846202.59262235</v>
      </c>
      <c r="J466" s="24" t="n">
        <v>124097.3949662084</v>
      </c>
      <c r="K466" s="24" t="n">
        <v>118468140.2488452</v>
      </c>
      <c r="L466" s="21">
        <f>SUM(F466:K466)</f>
        <v/>
      </c>
      <c r="M466" s="28" t="n">
        <v>0.9984786495165141</v>
      </c>
      <c r="N466" s="11" t="n">
        <v>801977.79</v>
      </c>
      <c r="O466" s="11" t="n">
        <v>103902.84</v>
      </c>
      <c r="P466" s="11" t="n">
        <v>36376.83</v>
      </c>
      <c r="Q466" s="11" t="n"/>
      <c r="R466" s="21">
        <f>N466+O466+P466+N(Q466)</f>
        <v/>
      </c>
      <c r="S466" s="13" t="n">
        <v>0.01</v>
      </c>
      <c r="T466" s="21">
        <f>N(AC466)*S466</f>
        <v/>
      </c>
      <c r="U466" s="21">
        <f>N(AD466)*S466</f>
        <v/>
      </c>
      <c r="V466" s="21">
        <f>N(AE466)*S466</f>
        <v/>
      </c>
      <c r="W466" s="21">
        <f>IF(Q466="","",N(AF466)*S466)</f>
        <v/>
      </c>
      <c r="X466" s="11" t="n">
        <v>6032.94</v>
      </c>
      <c r="Y466" s="11" t="n">
        <v>49564.42</v>
      </c>
      <c r="Z466" s="11" t="n"/>
      <c r="AA466" s="21">
        <f>T466+U466+V466+N(W466)+X466+Y466+N(Z466)</f>
        <v/>
      </c>
      <c r="AB466" s="11" t="n">
        <v>86342.8263</v>
      </c>
      <c r="AC466" s="11" t="n">
        <v>801977.79</v>
      </c>
      <c r="AD466" s="21">
        <f>O466-Y466</f>
        <v/>
      </c>
      <c r="AE466" s="21">
        <f>P466-X466</f>
        <v/>
      </c>
      <c r="AF466" s="21">
        <f>IF(Q466="","",Q466-Z466)</f>
        <v/>
      </c>
      <c r="AG466" s="22">
        <f>AC466+AD466+AE466+N(AF466)</f>
        <v/>
      </c>
      <c r="AH466" s="11" t="n">
        <v>714837.63</v>
      </c>
      <c r="AI466" s="24">
        <f>AG466-AH466</f>
        <v/>
      </c>
      <c r="AJ466" s="14">
        <f>IF(OR(B466="",B466=0,N466=""),"",N466/B466*10000)</f>
        <v/>
      </c>
      <c r="AK466" s="14">
        <f>IF(OR(C466="",C466=0),"",O466/C466*10000)</f>
        <v/>
      </c>
      <c r="AL466" s="14">
        <f>IF(OR(D466="",D466=0),"",P466/D466*10000)</f>
        <v/>
      </c>
      <c r="AM466" s="14">
        <f>IF(OR(E466="",E466=0),"",Q466/E466*10000)</f>
        <v/>
      </c>
      <c r="AN466" s="11" t="n">
        <v>5127.511987042104</v>
      </c>
      <c r="AO466" s="11" t="n">
        <v>0</v>
      </c>
      <c r="AP466" s="21">
        <f>AH466+AN466+AO466</f>
        <v/>
      </c>
      <c r="AQ466" s="21">
        <f>AH466</f>
        <v/>
      </c>
      <c r="AR466" s="15" t="n">
        <v>23407.54</v>
      </c>
      <c r="AS466" s="27" t="n">
        <v>30.538776</v>
      </c>
      <c r="AT466" s="15" t="n">
        <v>41889416.39255512</v>
      </c>
      <c r="AU466" s="15" t="n">
        <v>26487.1971</v>
      </c>
      <c r="AV466" s="15" t="n">
        <v>340.9178</v>
      </c>
      <c r="AW466" s="15" t="n"/>
      <c r="AX466" s="16" t="n">
        <v>434.6790150293514</v>
      </c>
      <c r="AY466" s="13">
        <f>IF(OR(AX466="",AX466=0,AU466=""),"",AU466*365/(AX466*1000000))</f>
        <v/>
      </c>
      <c r="AZ466" s="15" t="n">
        <v>416672092.6478</v>
      </c>
      <c r="BA466" s="17" t="n">
        <v>60487233</v>
      </c>
      <c r="BB466" s="18" t="n">
        <v>41889416.39255512</v>
      </c>
      <c r="BC466" s="17" t="n">
        <v>2971663</v>
      </c>
      <c r="BD466" s="17">
        <f>1000000000-999287753.5452+234363.6111</f>
        <v/>
      </c>
      <c r="BE466" s="19">
        <f>1000000000-AZ466-BA466-BB466-BC466-BD466</f>
        <v/>
      </c>
      <c r="BF466" s="20" t="n">
        <v>234.814938</v>
      </c>
      <c r="BG466" s="20">
        <f>BE466/1000000-BF466</f>
        <v/>
      </c>
      <c r="BH466" s="21">
        <f>BE466*30.93</f>
        <v/>
      </c>
    </row>
    <row r="467">
      <c r="A467" s="10" t="n">
        <v>46089</v>
      </c>
      <c r="B467" s="11" t="n">
        <v>3768067430</v>
      </c>
      <c r="C467" s="11" t="n">
        <v>868886438.4</v>
      </c>
      <c r="D467" s="11" t="n">
        <v>99156017</v>
      </c>
      <c r="E467" s="11" t="n"/>
      <c r="F467" s="24" t="n">
        <v>547007383.2126315</v>
      </c>
      <c r="G467" s="24" t="n">
        <v>23834788.19583418</v>
      </c>
      <c r="H467" s="24" t="n">
        <v>32743067.38426776</v>
      </c>
      <c r="I467" s="24" t="n">
        <v>155867267.223783</v>
      </c>
      <c r="J467" s="24" t="n">
        <v>524852.689097309</v>
      </c>
      <c r="K467" s="24" t="n">
        <v>108909079.6943863</v>
      </c>
      <c r="L467" s="21">
        <f>SUM(F467:K467)</f>
        <v/>
      </c>
      <c r="M467" s="28" t="n">
        <v>1.140228396716012</v>
      </c>
      <c r="N467" s="11" t="n">
        <v>1356187.56</v>
      </c>
      <c r="O467" s="11" t="n">
        <v>185202.93</v>
      </c>
      <c r="P467" s="11" t="n">
        <v>42301.7</v>
      </c>
      <c r="Q467" s="11" t="n"/>
      <c r="R467" s="21">
        <f>N467+O467+P467+N(Q467)</f>
        <v/>
      </c>
      <c r="S467" s="13" t="n">
        <v>0.01</v>
      </c>
      <c r="T467" s="21">
        <f>N(AC467)*S467</f>
        <v/>
      </c>
      <c r="U467" s="21">
        <f>N(AD467)*S467</f>
        <v/>
      </c>
      <c r="V467" s="21">
        <f>N(AE467)*S467</f>
        <v/>
      </c>
      <c r="W467" s="21">
        <f>IF(Q467="","",N(AF467)*S467)</f>
        <v/>
      </c>
      <c r="X467" s="11" t="n">
        <v>9318.6</v>
      </c>
      <c r="Y467" s="11" t="n">
        <v>89374.92999999999</v>
      </c>
      <c r="Z467" s="11" t="n"/>
      <c r="AA467" s="21">
        <f>T467+U467+V467+N(W467)+X467+Y467+N(Z467)</f>
        <v/>
      </c>
      <c r="AB467" s="11" t="n">
        <v>178116.0638</v>
      </c>
      <c r="AC467" s="11" t="n">
        <v>1356187.56</v>
      </c>
      <c r="AD467" s="21">
        <f>O467-Y467</f>
        <v/>
      </c>
      <c r="AE467" s="21">
        <f>P467-X467</f>
        <v/>
      </c>
      <c r="AF467" s="21">
        <f>IF(Q467="","",Q467-Z467)</f>
        <v/>
      </c>
      <c r="AG467" s="22">
        <f>AC467+AD467+AE467+N(AF467)</f>
        <v/>
      </c>
      <c r="AH467" s="11" t="n">
        <v>1172058.74</v>
      </c>
      <c r="AI467" s="24">
        <f>AG467-AH467</f>
        <v/>
      </c>
      <c r="AJ467" s="14">
        <f>IF(OR(B467="",B467=0,N467=""),"",N467/B467*10000)</f>
        <v/>
      </c>
      <c r="AK467" s="14">
        <f>IF(OR(C467="",C467=0),"",O467/C467*10000)</f>
        <v/>
      </c>
      <c r="AL467" s="14">
        <f>IF(OR(D467="",D467=0),"",P467/D467*10000)</f>
        <v/>
      </c>
      <c r="AM467" s="14">
        <f>IF(OR(E467="",E467=0),"",Q467/E467*10000)</f>
        <v/>
      </c>
      <c r="AN467" s="11" t="n">
        <v>6250.33854180976</v>
      </c>
      <c r="AO467" s="11" t="n">
        <v>0</v>
      </c>
      <c r="AP467" s="21">
        <f>AH467+AN467+AO467</f>
        <v/>
      </c>
      <c r="AQ467" s="21">
        <f>AH467</f>
        <v/>
      </c>
      <c r="AR467" s="15" t="n">
        <v>38591.87</v>
      </c>
      <c r="AS467" s="27" t="n">
        <v>30.370613</v>
      </c>
      <c r="AT467" s="15" t="n">
        <v>41927546.43255512</v>
      </c>
      <c r="AU467" s="15" t="n">
        <v>26503.372</v>
      </c>
      <c r="AV467" s="15" t="n">
        <v>231.1789</v>
      </c>
      <c r="AW467" s="15" t="n"/>
      <c r="AX467" s="16" t="n">
        <v>435.0191742287126</v>
      </c>
      <c r="AY467" s="13">
        <f>IF(OR(AX467="",AX467=0,AU467=""),"",AU467*365/(AX467*1000000))</f>
        <v/>
      </c>
      <c r="AZ467" s="15" t="n">
        <v>416645589.2758</v>
      </c>
      <c r="BA467" s="17" t="n">
        <v>60487233</v>
      </c>
      <c r="BB467" s="18" t="n">
        <v>41927546.43255512</v>
      </c>
      <c r="BC467" s="17" t="n">
        <v>2971663</v>
      </c>
      <c r="BD467" s="17">
        <f>1000000000-999287522.3663+234571.0362</f>
        <v/>
      </c>
      <c r="BE467" s="19">
        <f>1000000000-AZ467-BA467-BB467-BC467-BD467</f>
        <v/>
      </c>
      <c r="BF467" s="20" t="n">
        <v>234.814938</v>
      </c>
      <c r="BG467" s="20">
        <f>BE467/1000000-BF467</f>
        <v/>
      </c>
      <c r="BH467" s="21">
        <f>BE467*30.14</f>
        <v/>
      </c>
    </row>
    <row r="468">
      <c r="A468" s="10" t="n">
        <v>46090</v>
      </c>
      <c r="B468" s="11" t="n">
        <v>6179133871</v>
      </c>
      <c r="C468" s="11" t="n">
        <v>4115850217.03</v>
      </c>
      <c r="D468" s="11" t="n">
        <v>226490528</v>
      </c>
      <c r="E468" s="11" t="n"/>
      <c r="F468" s="24" t="n">
        <v>2911860566.31659</v>
      </c>
      <c r="G468" s="24" t="n">
        <v>51273589.40826909</v>
      </c>
      <c r="H468" s="24" t="n">
        <v>34334589.96731058</v>
      </c>
      <c r="I468" s="24" t="n">
        <v>741297735.4699937</v>
      </c>
      <c r="J468" s="24" t="n">
        <v>236986.5856965169</v>
      </c>
      <c r="K468" s="24" t="n">
        <v>376846749.2821403</v>
      </c>
      <c r="L468" s="21">
        <f>SUM(F468:K468)</f>
        <v/>
      </c>
      <c r="M468" s="28" t="n">
        <v>0.9873148300396046</v>
      </c>
      <c r="N468" s="11" t="n">
        <v>1980540.37</v>
      </c>
      <c r="O468" s="11" t="n">
        <v>511947.09</v>
      </c>
      <c r="P468" s="11" t="n">
        <v>103271.57</v>
      </c>
      <c r="Q468" s="11" t="n"/>
      <c r="R468" s="21">
        <f>N468+O468+P468+N(Q468)</f>
        <v/>
      </c>
      <c r="S468" s="13" t="n">
        <v>0.01</v>
      </c>
      <c r="T468" s="21">
        <f>N(AC468)*S468</f>
        <v/>
      </c>
      <c r="U468" s="21">
        <f>N(AD468)*S468</f>
        <v/>
      </c>
      <c r="V468" s="21">
        <f>N(AE468)*S468</f>
        <v/>
      </c>
      <c r="W468" s="21">
        <f>IF(Q468="","",N(AF468)*S468)</f>
        <v/>
      </c>
      <c r="X468" s="11" t="n">
        <v>20849.72</v>
      </c>
      <c r="Y468" s="11" t="n">
        <v>249771.4</v>
      </c>
      <c r="Z468" s="11" t="n"/>
      <c r="AA468" s="21">
        <f>T468+U468+V468+N(W468)+X468+Y468+N(Z468)</f>
        <v/>
      </c>
      <c r="AB468" s="11" t="n">
        <v>201650.312</v>
      </c>
      <c r="AC468" s="11" t="n">
        <v>1980540.37</v>
      </c>
      <c r="AD468" s="21">
        <f>O468-Y468</f>
        <v/>
      </c>
      <c r="AE468" s="21">
        <f>P468-X468</f>
        <v/>
      </c>
      <c r="AF468" s="21">
        <f>IF(Q468="","",Q468-Z468)</f>
        <v/>
      </c>
      <c r="AG468" s="22">
        <f>AC468+AD468+AE468+N(AF468)</f>
        <v/>
      </c>
      <c r="AH468" s="11" t="n">
        <v>1937249.57</v>
      </c>
      <c r="AI468" s="24">
        <f>AG468-AH468</f>
        <v/>
      </c>
      <c r="AJ468" s="14">
        <f>IF(OR(B468="",B468=0,N468=""),"",N468/B468*10000)</f>
        <v/>
      </c>
      <c r="AK468" s="14">
        <f>IF(OR(C468="",C468=0),"",O468/C468*10000)</f>
        <v/>
      </c>
      <c r="AL468" s="14">
        <f>IF(OR(D468="",D468=0),"",P468/D468*10000)</f>
        <v/>
      </c>
      <c r="AM468" s="14">
        <f>IF(OR(E468="",E468=0),"",Q468/E468*10000)</f>
        <v/>
      </c>
      <c r="AN468" s="11" t="n">
        <v>25955.27629612908</v>
      </c>
      <c r="AO468" s="11" t="n">
        <v>0</v>
      </c>
      <c r="AP468" s="21">
        <f>AH468+AN468+AO468</f>
        <v/>
      </c>
      <c r="AQ468" s="21">
        <f>AH468</f>
        <v/>
      </c>
      <c r="AR468" s="15" t="n">
        <v>59871.67</v>
      </c>
      <c r="AS468" s="27" t="n">
        <v>32.356698</v>
      </c>
      <c r="AT468" s="15" t="n">
        <v>41987626.60255512</v>
      </c>
      <c r="AU468" s="15" t="n">
        <v>26508.149</v>
      </c>
      <c r="AV468" s="15" t="n">
        <v>697.6186</v>
      </c>
      <c r="AW468" s="15" t="n"/>
      <c r="AX468" s="16" t="n">
        <v>435.0862102224739</v>
      </c>
      <c r="AY468" s="13">
        <f>IF(OR(AX468="",AX468=0,AU468=""),"",AU468*365/(AX468*1000000))</f>
        <v/>
      </c>
      <c r="AZ468" s="15" t="n">
        <v>416619081.1268</v>
      </c>
      <c r="BA468" s="17" t="n">
        <v>60487233</v>
      </c>
      <c r="BB468" s="18" t="n">
        <v>41987626.60255512</v>
      </c>
      <c r="BC468" s="17" t="n">
        <v>2971663</v>
      </c>
      <c r="BD468" s="17">
        <f>1000000000-999286824.7477+235408.3572</f>
        <v/>
      </c>
      <c r="BE468" s="19">
        <f>1000000000-AZ468-BA468-BB468-BC468-BD468</f>
        <v/>
      </c>
      <c r="BF468" s="20" t="n">
        <v>234.814938</v>
      </c>
      <c r="BG468" s="20">
        <f>BE468/1000000-BF468</f>
        <v/>
      </c>
      <c r="BH468" s="21">
        <f>BE468*30.97</f>
        <v/>
      </c>
    </row>
    <row r="469">
      <c r="A469" s="10" t="n">
        <v>46091</v>
      </c>
      <c r="B469" s="11" t="n">
        <v>5351407094</v>
      </c>
      <c r="C469" s="11" t="n">
        <v>2705742241.61</v>
      </c>
      <c r="D469" s="11" t="n">
        <v>141351864</v>
      </c>
      <c r="E469" s="11" t="n"/>
      <c r="F469" s="24" t="n">
        <v>1805436707.033312</v>
      </c>
      <c r="G469" s="24" t="n">
        <v>44920816.87515888</v>
      </c>
      <c r="H469" s="24" t="n">
        <v>26182303.78141568</v>
      </c>
      <c r="I469" s="24" t="n">
        <v>497993291.4482617</v>
      </c>
      <c r="J469" s="24" t="n">
        <v>91544.07504170807</v>
      </c>
      <c r="K469" s="24" t="n">
        <v>331117578.3968099</v>
      </c>
      <c r="L469" s="21">
        <f>SUM(F469:K469)</f>
        <v/>
      </c>
      <c r="M469" s="28" t="n">
        <v>1.000923147278079</v>
      </c>
      <c r="N469" s="11" t="n">
        <v>1728010.04</v>
      </c>
      <c r="O469" s="11" t="n">
        <v>327528.41</v>
      </c>
      <c r="P469" s="11" t="n">
        <v>65616.16</v>
      </c>
      <c r="Q469" s="11" t="n"/>
      <c r="R469" s="21">
        <f>N469+O469+P469+N(Q469)</f>
        <v/>
      </c>
      <c r="S469" s="13" t="n">
        <v>0.01</v>
      </c>
      <c r="T469" s="21">
        <f>N(AC469)*S469</f>
        <v/>
      </c>
      <c r="U469" s="21">
        <f>N(AD469)*S469</f>
        <v/>
      </c>
      <c r="V469" s="21">
        <f>N(AE469)*S469</f>
        <v/>
      </c>
      <c r="W469" s="21">
        <f>IF(Q469="","",N(AF469)*S469)</f>
        <v/>
      </c>
      <c r="X469" s="11" t="n">
        <v>13712.46</v>
      </c>
      <c r="Y469" s="11" t="n">
        <v>158233.56</v>
      </c>
      <c r="Z469" s="11" t="n"/>
      <c r="AA469" s="21">
        <f>T469+U469+V469+N(W469)+X469+Y469+N(Z469)</f>
        <v/>
      </c>
      <c r="AB469" s="11" t="n">
        <v>184802.7133</v>
      </c>
      <c r="AC469" s="11" t="n">
        <v>1728010.04</v>
      </c>
      <c r="AD469" s="21">
        <f>O469-Y469</f>
        <v/>
      </c>
      <c r="AE469" s="21">
        <f>P469-X469</f>
        <v/>
      </c>
      <c r="AF469" s="21">
        <f>IF(Q469="","",Q469-Z469)</f>
        <v/>
      </c>
      <c r="AG469" s="22">
        <f>AC469+AD469+AE469+N(AF469)</f>
        <v/>
      </c>
      <c r="AH469" s="11" t="n">
        <v>1644876.41</v>
      </c>
      <c r="AI469" s="24">
        <f>AG469-AH469</f>
        <v/>
      </c>
      <c r="AJ469" s="14">
        <f>IF(OR(B469="",B469=0,N469=""),"",N469/B469*10000)</f>
        <v/>
      </c>
      <c r="AK469" s="14">
        <f>IF(OR(C469="",C469=0),"",O469/C469*10000)</f>
        <v/>
      </c>
      <c r="AL469" s="14">
        <f>IF(OR(D469="",D469=0),"",P469/D469*10000)</f>
        <v/>
      </c>
      <c r="AM469" s="14">
        <f>IF(OR(E469="",E469=0),"",Q469/E469*10000)</f>
        <v/>
      </c>
      <c r="AN469" s="11" t="n">
        <v>16822.41544782528</v>
      </c>
      <c r="AO469" s="11" t="n">
        <v>0</v>
      </c>
      <c r="AP469" s="21">
        <f>AH469+AN469+AO469</f>
        <v/>
      </c>
      <c r="AQ469" s="21">
        <f>AH469</f>
        <v/>
      </c>
      <c r="AR469" s="15" t="n">
        <v>47849.84</v>
      </c>
      <c r="AS469" s="27" t="n">
        <v>34.375798</v>
      </c>
      <c r="AT469" s="15" t="n">
        <v>42035734.44255512</v>
      </c>
      <c r="AU469" s="15" t="n">
        <v>26499.9421</v>
      </c>
      <c r="AV469" s="15" t="n">
        <v>1303.5364</v>
      </c>
      <c r="AW469" s="15" t="n"/>
      <c r="AX469" s="16" t="n">
        <v>435.3319448272392</v>
      </c>
      <c r="AY469" s="13">
        <f>IF(OR(AX469="",AX469=0,AU469=""),"",AU469*365/(AX469*1000000))</f>
        <v/>
      </c>
      <c r="AZ469" s="15" t="n">
        <v>416592581.1847</v>
      </c>
      <c r="BA469" s="17" t="n">
        <v>60487233</v>
      </c>
      <c r="BB469" s="18" t="n">
        <v>42035734.44255512</v>
      </c>
      <c r="BC469" s="17" t="n">
        <v>2971663</v>
      </c>
      <c r="BD469" s="17">
        <f>1000000000-999285521.2113+235900.6149</f>
        <v/>
      </c>
      <c r="BE469" s="19">
        <f>1000000000-AZ469-BA469-BB469-BC469-BD469</f>
        <v/>
      </c>
      <c r="BF469" s="20" t="n">
        <v>234.814938</v>
      </c>
      <c r="BG469" s="20">
        <f>BE469/1000000-BF469</f>
        <v/>
      </c>
      <c r="BH469" s="21">
        <f>BE469*34.2</f>
        <v/>
      </c>
    </row>
    <row r="470">
      <c r="A470" s="10" t="n">
        <v>46092</v>
      </c>
      <c r="B470" s="11" t="n">
        <v>4414778386</v>
      </c>
      <c r="C470" s="11" t="n">
        <v>2308025202.24</v>
      </c>
      <c r="D470" s="11" t="n">
        <v>171424756</v>
      </c>
      <c r="E470" s="11" t="n"/>
      <c r="F470" s="24" t="n">
        <v>1627852513.782969</v>
      </c>
      <c r="G470" s="24" t="n">
        <v>35919077.26560375</v>
      </c>
      <c r="H470" s="24" t="n">
        <v>15158064.02443903</v>
      </c>
      <c r="I470" s="24" t="n">
        <v>351852062.2789093</v>
      </c>
      <c r="J470" s="24" t="n">
        <v>90536.87949877606</v>
      </c>
      <c r="K470" s="24" t="n">
        <v>277152948.0085793</v>
      </c>
      <c r="L470" s="21">
        <f>SUM(F470:K470)</f>
        <v/>
      </c>
      <c r="M470" s="28" t="n">
        <v>1.015402431707244</v>
      </c>
      <c r="N470" s="11" t="n">
        <v>1451044.19</v>
      </c>
      <c r="O470" s="11" t="n">
        <v>239375.79</v>
      </c>
      <c r="P470" s="11" t="n">
        <v>87585.45</v>
      </c>
      <c r="Q470" s="11" t="n"/>
      <c r="R470" s="21">
        <f>N470+O470+P470+N(Q470)</f>
        <v/>
      </c>
      <c r="S470" s="13" t="n">
        <v>0.01</v>
      </c>
      <c r="T470" s="21">
        <f>N(AC470)*S470</f>
        <v/>
      </c>
      <c r="U470" s="21">
        <f>N(AD470)*S470</f>
        <v/>
      </c>
      <c r="V470" s="21">
        <f>N(AE470)*S470</f>
        <v/>
      </c>
      <c r="W470" s="21">
        <f>IF(Q470="","",N(AF470)*S470)</f>
        <v/>
      </c>
      <c r="X470" s="11" t="n">
        <v>15933.94</v>
      </c>
      <c r="Y470" s="11" t="n">
        <v>115048.27</v>
      </c>
      <c r="Z470" s="11" t="n"/>
      <c r="AA470" s="21">
        <f>T470+U470+V470+N(W470)+X470+Y470+N(Z470)</f>
        <v/>
      </c>
      <c r="AB470" s="11" t="n">
        <v>141220.6653</v>
      </c>
      <c r="AC470" s="11" t="n">
        <v>1451044.19</v>
      </c>
      <c r="AD470" s="21">
        <f>O470-Y470</f>
        <v/>
      </c>
      <c r="AE470" s="21">
        <f>P470-X470</f>
        <v/>
      </c>
      <c r="AF470" s="21">
        <f>IF(Q470="","",Q470-Z470)</f>
        <v/>
      </c>
      <c r="AG470" s="22">
        <f>AC470+AD470+AE470+N(AF470)</f>
        <v/>
      </c>
      <c r="AH470" s="11" t="n">
        <v>1392462.79</v>
      </c>
      <c r="AI470" s="24">
        <f>AG470-AH470</f>
        <v/>
      </c>
      <c r="AJ470" s="14">
        <f>IF(OR(B470="",B470=0,N470=""),"",N470/B470*10000)</f>
        <v/>
      </c>
      <c r="AK470" s="14">
        <f>IF(OR(C470="",C470=0),"",O470/C470*10000)</f>
        <v/>
      </c>
      <c r="AL470" s="14">
        <f>IF(OR(D470="",D470=0),"",P470/D470*10000)</f>
        <v/>
      </c>
      <c r="AM470" s="14">
        <f>IF(OR(E470="",E470=0),"",Q470/E470*10000)</f>
        <v/>
      </c>
      <c r="AN470" s="11" t="n">
        <v>12195.85981347197</v>
      </c>
      <c r="AO470" s="11" t="n">
        <v>0</v>
      </c>
      <c r="AP470" s="21">
        <f>AH470+AN470+AO470</f>
        <v/>
      </c>
      <c r="AQ470" s="21">
        <f>AH470</f>
        <v/>
      </c>
      <c r="AR470" s="15" t="n">
        <v>38974.26</v>
      </c>
      <c r="AS470" s="27" t="n">
        <v>35.727754</v>
      </c>
      <c r="AT470" s="15" t="n">
        <v>42073712.93255512</v>
      </c>
      <c r="AU470" s="15" t="n">
        <v>26523.2199</v>
      </c>
      <c r="AV470" s="15" t="n">
        <v>1078.4004</v>
      </c>
      <c r="AW470" s="15" t="n"/>
      <c r="AX470" s="16" t="n">
        <v>435.5611218374714</v>
      </c>
      <c r="AY470" s="13">
        <f>IF(OR(AX470="",AX470=0,AU470=""),"",AU470*365/(AX470*1000000))</f>
        <v/>
      </c>
      <c r="AZ470" s="15" t="n">
        <v>416566057.9648</v>
      </c>
      <c r="BA470" s="17" t="n">
        <v>60487233</v>
      </c>
      <c r="BB470" s="18" t="n">
        <v>42073712.93255512</v>
      </c>
      <c r="BC470" s="17" t="n">
        <v>2971663</v>
      </c>
      <c r="BD470" s="17">
        <f>1000000000-999284442.8109+236256.4179</f>
        <v/>
      </c>
      <c r="BE470" s="19">
        <f>1000000000-AZ470-BA470-BB470-BC470-BD470</f>
        <v/>
      </c>
      <c r="BF470" s="20" t="n">
        <v>234.814938</v>
      </c>
      <c r="BG470" s="20">
        <f>BE470/1000000-BF470</f>
        <v/>
      </c>
      <c r="BH470" s="21">
        <f>BE470*34.3</f>
        <v/>
      </c>
    </row>
    <row r="471">
      <c r="A471" s="10" t="n">
        <v>46093</v>
      </c>
      <c r="B471" s="11" t="n">
        <v>4226932531</v>
      </c>
      <c r="C471" s="11" t="n">
        <v>2719002632.65</v>
      </c>
      <c r="D471" s="11" t="n">
        <v>186496713</v>
      </c>
      <c r="E471" s="11" t="n"/>
      <c r="F471" s="24" t="n">
        <v>1950266405.828646</v>
      </c>
      <c r="G471" s="24" t="n">
        <v>32501446.05224764</v>
      </c>
      <c r="H471" s="24" t="n">
        <v>29804818.11131476</v>
      </c>
      <c r="I471" s="24" t="n">
        <v>407626018.6039259</v>
      </c>
      <c r="J471" s="24" t="n">
        <v>141491.8825179829</v>
      </c>
      <c r="K471" s="24" t="n">
        <v>298662452.171347</v>
      </c>
      <c r="L471" s="21">
        <f>SUM(F471:K471)</f>
        <v/>
      </c>
      <c r="M471" s="28" t="n">
        <v>1.000842784482693</v>
      </c>
      <c r="N471" s="11" t="n">
        <v>1393938.56</v>
      </c>
      <c r="O471" s="11" t="n">
        <v>310995.47</v>
      </c>
      <c r="P471" s="11" t="n">
        <v>90334.64</v>
      </c>
      <c r="Q471" s="11" t="n"/>
      <c r="R471" s="21">
        <f>N471+O471+P471+N(Q471)</f>
        <v/>
      </c>
      <c r="S471" s="13" t="n">
        <v>0.01</v>
      </c>
      <c r="T471" s="21">
        <f>N(AC471)*S471</f>
        <v/>
      </c>
      <c r="U471" s="21">
        <f>N(AD471)*S471</f>
        <v/>
      </c>
      <c r="V471" s="21">
        <f>N(AE471)*S471</f>
        <v/>
      </c>
      <c r="W471" s="21">
        <f>IF(Q471="","",N(AF471)*S471)</f>
        <v/>
      </c>
      <c r="X471" s="11" t="n">
        <v>19164.34</v>
      </c>
      <c r="Y471" s="11" t="n">
        <v>151218.67</v>
      </c>
      <c r="Z471" s="11" t="n"/>
      <c r="AA471" s="21">
        <f>T471+U471+V471+N(W471)+X471+Y471+N(Z471)</f>
        <v/>
      </c>
      <c r="AB471" s="11" t="n">
        <v>158112.5933</v>
      </c>
      <c r="AC471" s="11" t="n">
        <v>1393938.56</v>
      </c>
      <c r="AD471" s="21">
        <f>O471-Y471</f>
        <v/>
      </c>
      <c r="AE471" s="21">
        <f>P471-X471</f>
        <v/>
      </c>
      <c r="AF471" s="21">
        <f>IF(Q471="","",Q471-Z471)</f>
        <v/>
      </c>
      <c r="AG471" s="22">
        <f>AC471+AD471+AE471+N(AF471)</f>
        <v/>
      </c>
      <c r="AH471" s="11" t="n">
        <v>1366566.18</v>
      </c>
      <c r="AI471" s="24">
        <f>AG471-AH471</f>
        <v/>
      </c>
      <c r="AJ471" s="14">
        <f>IF(OR(B471="",B471=0,N471=""),"",N471/B471*10000)</f>
        <v/>
      </c>
      <c r="AK471" s="14">
        <f>IF(OR(C471="",C471=0),"",O471/C471*10000)</f>
        <v/>
      </c>
      <c r="AL471" s="14">
        <f>IF(OR(D471="",D471=0),"",P471/D471*10000)</f>
        <v/>
      </c>
      <c r="AM471" s="14">
        <f>IF(OR(E471="",E471=0),"",Q471/E471*10000)</f>
        <v/>
      </c>
      <c r="AN471" s="11" t="n">
        <v>10948.8340511485</v>
      </c>
      <c r="AO471" s="11" t="n">
        <v>0</v>
      </c>
      <c r="AP471" s="21">
        <f>AH471+AN471+AO471</f>
        <v/>
      </c>
      <c r="AQ471" s="21">
        <f>AH471</f>
        <v/>
      </c>
      <c r="AR471" s="15" t="n">
        <v>36803.51</v>
      </c>
      <c r="AS471" s="27" t="n">
        <v>37.131409</v>
      </c>
      <c r="AT471" s="15" t="n">
        <v>42110129.65255512</v>
      </c>
      <c r="AU471" s="15" t="n">
        <v>26526.8227</v>
      </c>
      <c r="AV471" s="15" t="n">
        <v>608.4577</v>
      </c>
      <c r="AW471" s="15" t="n"/>
      <c r="AX471" s="16" t="n">
        <v>435.765607830767</v>
      </c>
      <c r="AY471" s="13">
        <f>IF(OR(AX471="",AX471=0,AU471=""),"",AU471*365/(AX471*1000000))</f>
        <v/>
      </c>
      <c r="AZ471" s="15" t="n">
        <v>416539531.1421</v>
      </c>
      <c r="BA471" s="17" t="n">
        <v>60487233</v>
      </c>
      <c r="BB471" s="18" t="n">
        <v>42110129.65255512</v>
      </c>
      <c r="BC471" s="17" t="n">
        <v>2971663</v>
      </c>
      <c r="BD471" s="17">
        <f>1000000000-999283834.3532+236557.6238</f>
        <v/>
      </c>
      <c r="BE471" s="19">
        <f>1000000000-AZ471-BA471-BB471-BC471-BD471</f>
        <v/>
      </c>
      <c r="BF471" s="20" t="n">
        <v>234.814938</v>
      </c>
      <c r="BG471" s="20">
        <f>BE471/1000000-BF471</f>
        <v/>
      </c>
      <c r="BH471" s="21">
        <f>BE471*36.38</f>
        <v/>
      </c>
    </row>
    <row r="472">
      <c r="A472" s="10" t="n">
        <v>46094</v>
      </c>
      <c r="B472" s="11" t="n">
        <v>5962079385</v>
      </c>
      <c r="C472" s="11" t="n">
        <v>2100951294.75</v>
      </c>
      <c r="D472" s="11" t="n">
        <v>186603930</v>
      </c>
      <c r="E472" s="11" t="n"/>
      <c r="F472" s="24" t="n">
        <v>1340098594.206313</v>
      </c>
      <c r="G472" s="24" t="n">
        <v>43182159.47499232</v>
      </c>
      <c r="H472" s="24" t="n">
        <v>19395778.15900561</v>
      </c>
      <c r="I472" s="24" t="n">
        <v>401878890.8225694</v>
      </c>
      <c r="J472" s="24" t="n">
        <v>60421.27794453667</v>
      </c>
      <c r="K472" s="24" t="n">
        <v>296335450.8091753</v>
      </c>
      <c r="L472" s="21">
        <f>SUM(F472:K472)</f>
        <v/>
      </c>
      <c r="M472" s="28" t="n">
        <v>1.007549335195351</v>
      </c>
      <c r="N472" s="11" t="n">
        <v>1980868.89</v>
      </c>
      <c r="O472" s="11" t="n">
        <v>255973.09</v>
      </c>
      <c r="P472" s="11" t="n">
        <v>91514.98</v>
      </c>
      <c r="Q472" s="11" t="n"/>
      <c r="R472" s="21">
        <f>N472+O472+P472+N(Q472)</f>
        <v/>
      </c>
      <c r="S472" s="13" t="n">
        <v>0.01</v>
      </c>
      <c r="T472" s="21">
        <f>N(AC472)*S472</f>
        <v/>
      </c>
      <c r="U472" s="21">
        <f>N(AD472)*S472</f>
        <v/>
      </c>
      <c r="V472" s="21">
        <f>N(AE472)*S472</f>
        <v/>
      </c>
      <c r="W472" s="21">
        <f>IF(Q472="","",N(AF472)*S472)</f>
        <v/>
      </c>
      <c r="X472" s="11" t="n">
        <v>16209.3</v>
      </c>
      <c r="Y472" s="11" t="n">
        <v>122758.7</v>
      </c>
      <c r="Z472" s="11" t="n"/>
      <c r="AA472" s="21">
        <f>T472+U472+V472+N(W472)+X472+Y472+N(Z472)</f>
        <v/>
      </c>
      <c r="AB472" s="11" t="n">
        <v>190700.182</v>
      </c>
      <c r="AC472" s="11" t="n">
        <v>1980868.89</v>
      </c>
      <c r="AD472" s="21">
        <f>O472-Y472</f>
        <v/>
      </c>
      <c r="AE472" s="21">
        <f>P472-X472</f>
        <v/>
      </c>
      <c r="AF472" s="21">
        <f>IF(Q472="","",Q472-Z472)</f>
        <v/>
      </c>
      <c r="AG472" s="22">
        <f>AC472+AD472+AE472+N(AF472)</f>
        <v/>
      </c>
      <c r="AH472" s="11" t="n">
        <v>1830670.62</v>
      </c>
      <c r="AI472" s="24">
        <f>AG472-AH472</f>
        <v/>
      </c>
      <c r="AJ472" s="14">
        <f>IF(OR(B472="",B472=0,N472=""),"",N472/B472*10000)</f>
        <v/>
      </c>
      <c r="AK472" s="14">
        <f>IF(OR(C472="",C472=0),"",O472/C472*10000)</f>
        <v/>
      </c>
      <c r="AL472" s="14">
        <f>IF(OR(D472="",D472=0),"",P472/D472*10000)</f>
        <v/>
      </c>
      <c r="AM472" s="14">
        <f>IF(OR(E472="",E472=0),"",Q472/E472*10000)</f>
        <v/>
      </c>
      <c r="AN472" s="11" t="n">
        <v>14537.46282295612</v>
      </c>
      <c r="AO472" s="11" t="n">
        <v>0</v>
      </c>
      <c r="AP472" s="21">
        <f>AH472+AN472+AO472</f>
        <v/>
      </c>
      <c r="AQ472" s="21">
        <f>AH472</f>
        <v/>
      </c>
      <c r="AR472" s="15" t="n">
        <v>49323.48</v>
      </c>
      <c r="AS472" s="27" t="n">
        <v>37.115601</v>
      </c>
      <c r="AT472" s="15" t="n">
        <v>42160887.05255512</v>
      </c>
      <c r="AU472" s="15" t="n">
        <v>26531.6758</v>
      </c>
      <c r="AV472" s="15" t="n">
        <v>1118.0109</v>
      </c>
      <c r="AW472" s="15" t="n"/>
      <c r="AX472" s="16" t="n">
        <v>435.6561251138703</v>
      </c>
      <c r="AY472" s="13">
        <f>IF(OR(AX472="",AX472=0,AU472=""),"",AU472*365/(AX472*1000000))</f>
        <v/>
      </c>
      <c r="AZ472" s="15" t="n">
        <v>416512999.4662</v>
      </c>
      <c r="BA472" s="17" t="n">
        <v>60487233</v>
      </c>
      <c r="BB472" s="18" t="n">
        <v>42160887.05255512</v>
      </c>
      <c r="BC472" s="17" t="n">
        <v>2971663</v>
      </c>
      <c r="BD472" s="17">
        <f>1000000000-999282716.3422+236942.4062</f>
        <v/>
      </c>
      <c r="BE472" s="19">
        <f>1000000000-AZ472-BA472-BB472-BC472-BD472</f>
        <v/>
      </c>
      <c r="BF472" s="20" t="n">
        <v>234.814938</v>
      </c>
      <c r="BG472" s="20">
        <f>BE472/1000000-BF472</f>
        <v/>
      </c>
      <c r="BH472" s="21">
        <f>BE472*37.81</f>
        <v/>
      </c>
    </row>
    <row r="473">
      <c r="A473" s="10" t="n">
        <v>46095</v>
      </c>
      <c r="B473" s="11" t="n">
        <v>1956272288</v>
      </c>
      <c r="C473" s="11" t="n">
        <v>639647450.5599999</v>
      </c>
      <c r="D473" s="11" t="n">
        <v>86907762</v>
      </c>
      <c r="E473" s="11" t="n"/>
      <c r="F473" s="24" t="n">
        <v>428786438.7664455</v>
      </c>
      <c r="G473" s="24" t="n">
        <v>12994297.02861195</v>
      </c>
      <c r="H473" s="24" t="n">
        <v>14791603.06816146</v>
      </c>
      <c r="I473" s="24" t="n">
        <v>140431163.9400299</v>
      </c>
      <c r="J473" s="24" t="n">
        <v>93904.20928331121</v>
      </c>
      <c r="K473" s="24" t="n">
        <v>42550043.54746786</v>
      </c>
      <c r="L473" s="21">
        <f>SUM(F473:K473)</f>
        <v/>
      </c>
      <c r="M473" s="28" t="n">
        <v>1.003078524849497</v>
      </c>
      <c r="N473" s="11" t="n">
        <v>643507.5</v>
      </c>
      <c r="O473" s="11" t="n">
        <v>112880.04</v>
      </c>
      <c r="P473" s="11" t="n">
        <v>44423.7</v>
      </c>
      <c r="Q473" s="11" t="n"/>
      <c r="R473" s="21">
        <f>N473+O473+P473+N(Q473)</f>
        <v/>
      </c>
      <c r="S473" s="13" t="n">
        <v>0.01</v>
      </c>
      <c r="T473" s="21">
        <f>N(AC473)*S473</f>
        <v/>
      </c>
      <c r="U473" s="21">
        <f>N(AD473)*S473</f>
        <v/>
      </c>
      <c r="V473" s="21">
        <f>N(AE473)*S473</f>
        <v/>
      </c>
      <c r="W473" s="21">
        <f>IF(Q473="","",N(AF473)*S473)</f>
        <v/>
      </c>
      <c r="X473" s="11" t="n">
        <v>7217.53</v>
      </c>
      <c r="Y473" s="11" t="n">
        <v>54321.29</v>
      </c>
      <c r="Z473" s="11" t="n"/>
      <c r="AA473" s="21">
        <f>T473+U473+V473+N(W473)+X473+Y473+N(Z473)</f>
        <v/>
      </c>
      <c r="AB473" s="11" t="n">
        <v>80619.97500000001</v>
      </c>
      <c r="AC473" s="11" t="n">
        <v>643507.5</v>
      </c>
      <c r="AD473" s="21">
        <f>O473-Y473</f>
        <v/>
      </c>
      <c r="AE473" s="21">
        <f>P473-X473</f>
        <v/>
      </c>
      <c r="AF473" s="21">
        <f>IF(Q473="","",Q473-Z473)</f>
        <v/>
      </c>
      <c r="AG473" s="22">
        <f>AC473+AD473+AE473+N(AF473)</f>
        <v/>
      </c>
      <c r="AH473" s="11" t="n">
        <v>628780.0600000001</v>
      </c>
      <c r="AI473" s="24">
        <f>AG473-AH473</f>
        <v/>
      </c>
      <c r="AJ473" s="14">
        <f>IF(OR(B473="",B473=0,N473=""),"",N473/B473*10000)</f>
        <v/>
      </c>
      <c r="AK473" s="14">
        <f>IF(OR(C473="",C473=0),"",O473/C473*10000)</f>
        <v/>
      </c>
      <c r="AL473" s="14">
        <f>IF(OR(D473="",D473=0),"",P473/D473*10000)</f>
        <v/>
      </c>
      <c r="AM473" s="14">
        <f>IF(OR(E473="",E473=0),"",Q473/E473*10000)</f>
        <v/>
      </c>
      <c r="AN473" s="11" t="n">
        <v>7548.847382987662</v>
      </c>
      <c r="AO473" s="11" t="n">
        <v>0</v>
      </c>
      <c r="AP473" s="21">
        <f>AH473+AN473+AO473</f>
        <v/>
      </c>
      <c r="AQ473" s="21">
        <f>AH473</f>
        <v/>
      </c>
      <c r="AR473" s="15" t="n">
        <v>16809.89</v>
      </c>
      <c r="AS473" s="27" t="n">
        <v>37.405364</v>
      </c>
      <c r="AT473" s="15" t="n">
        <v>42176729.40255512</v>
      </c>
      <c r="AU473" s="15" t="n">
        <v>26522.5569</v>
      </c>
      <c r="AV473" s="15" t="n">
        <v>1169.2845</v>
      </c>
      <c r="AW473" s="15" t="n"/>
      <c r="AX473" s="16" t="n">
        <v>435.4891825826749</v>
      </c>
      <c r="AY473" s="13">
        <f>IF(OR(AX473="",AX473=0,AU473=""),"",AU473*365/(AX473*1000000))</f>
        <v/>
      </c>
      <c r="AZ473" s="15" t="n">
        <v>416486476.9094</v>
      </c>
      <c r="BA473" s="17" t="n">
        <v>60487233</v>
      </c>
      <c r="BB473" s="18" t="n">
        <v>42176729.40255512</v>
      </c>
      <c r="BC473" s="17" t="n">
        <v>2971663</v>
      </c>
      <c r="BD473" s="17">
        <f>1000000000-999281547.0577+237148.7942</f>
        <v/>
      </c>
      <c r="BE473" s="19">
        <f>1000000000-AZ473-BA473-BB473-BC473-BD473</f>
        <v/>
      </c>
      <c r="BF473" s="20" t="n">
        <v>234.814938</v>
      </c>
      <c r="BG473" s="20">
        <f>BE473/1000000-BF473</f>
        <v/>
      </c>
      <c r="BH473" s="21">
        <f>BE473*36.59</f>
        <v/>
      </c>
    </row>
    <row r="474">
      <c r="A474" s="10" t="n">
        <v>46096</v>
      </c>
      <c r="B474" s="11" t="n">
        <v>2943046051</v>
      </c>
      <c r="C474" s="11" t="n">
        <v>968688942.37</v>
      </c>
      <c r="D474" s="11" t="n">
        <v>80040949</v>
      </c>
      <c r="E474" s="11" t="n"/>
      <c r="F474" s="24" t="n">
        <v>653725782.7856712</v>
      </c>
      <c r="G474" s="24" t="n">
        <v>21278889.5137875</v>
      </c>
      <c r="H474" s="24" t="n">
        <v>19461028.81684393</v>
      </c>
      <c r="I474" s="24" t="n">
        <v>213515797.5604849</v>
      </c>
      <c r="J474" s="24" t="n">
        <v>148546.7921749912</v>
      </c>
      <c r="K474" s="24" t="n">
        <v>60558896.90103755</v>
      </c>
      <c r="L474" s="21">
        <f>SUM(F474:K474)</f>
        <v/>
      </c>
      <c r="M474" s="28" t="n">
        <v>1.018408955601048</v>
      </c>
      <c r="N474" s="11" t="n">
        <v>994017.16</v>
      </c>
      <c r="O474" s="11" t="n">
        <v>160713.15</v>
      </c>
      <c r="P474" s="11" t="n">
        <v>38363.18</v>
      </c>
      <c r="Q474" s="11" t="n"/>
      <c r="R474" s="21">
        <f>N474+O474+P474+N(Q474)</f>
        <v/>
      </c>
      <c r="S474" s="13" t="n">
        <v>0.01</v>
      </c>
      <c r="T474" s="21">
        <f>N(AC474)*S474</f>
        <v/>
      </c>
      <c r="U474" s="21">
        <f>N(AD474)*S474</f>
        <v/>
      </c>
      <c r="V474" s="21">
        <f>N(AE474)*S474</f>
        <v/>
      </c>
      <c r="W474" s="21">
        <f>IF(Q474="","",N(AF474)*S474)</f>
        <v/>
      </c>
      <c r="X474" s="11" t="n">
        <v>9512.969999999999</v>
      </c>
      <c r="Y474" s="11" t="n">
        <v>77387.17999999999</v>
      </c>
      <c r="Z474" s="11" t="n"/>
      <c r="AA474" s="21">
        <f>T474+U474+V474+N(W474)+X474+Y474+N(Z474)</f>
        <v/>
      </c>
      <c r="AB474" s="11" t="n">
        <v>95379.9179</v>
      </c>
      <c r="AC474" s="11" t="n">
        <v>994017.16</v>
      </c>
      <c r="AD474" s="21">
        <f>O474-Y474</f>
        <v/>
      </c>
      <c r="AE474" s="21">
        <f>P474-X474</f>
        <v/>
      </c>
      <c r="AF474" s="21">
        <f>IF(Q474="","",Q474-Z474)</f>
        <v/>
      </c>
      <c r="AG474" s="22">
        <f>AC474+AD474+AE474+N(AF474)</f>
        <v/>
      </c>
      <c r="AH474" s="11" t="n">
        <v>929730.28</v>
      </c>
      <c r="AI474" s="24">
        <f>AG474-AH474</f>
        <v/>
      </c>
      <c r="AJ474" s="14">
        <f>IF(OR(B474="",B474=0,N474=""),"",N474/B474*10000)</f>
        <v/>
      </c>
      <c r="AK474" s="14">
        <f>IF(OR(C474="",C474=0),"",O474/C474*10000)</f>
        <v/>
      </c>
      <c r="AL474" s="14">
        <f>IF(OR(D474="",D474=0),"",P474/D474*10000)</f>
        <v/>
      </c>
      <c r="AM474" s="14">
        <f>IF(OR(E474="",E474=0),"",Q474/E474*10000)</f>
        <v/>
      </c>
      <c r="AN474" s="11" t="n">
        <v>6731.896899871464</v>
      </c>
      <c r="AO474" s="11" t="n">
        <v>0</v>
      </c>
      <c r="AP474" s="21">
        <f>AH474+AN474+AO474</f>
        <v/>
      </c>
      <c r="AQ474" s="21">
        <f>AH474</f>
        <v/>
      </c>
      <c r="AR474" s="15" t="n">
        <v>24882.62</v>
      </c>
      <c r="AS474" s="27" t="n">
        <v>37.364646</v>
      </c>
      <c r="AT474" s="15" t="n">
        <v>42202159.96255512</v>
      </c>
      <c r="AU474" s="15" t="n">
        <v>26513.68</v>
      </c>
      <c r="AV474" s="15" t="n">
        <v>280.2648</v>
      </c>
      <c r="AW474" s="15" t="n"/>
      <c r="AX474" s="16" t="n">
        <v>435.0964077011865</v>
      </c>
      <c r="AY474" s="13">
        <f>IF(OR(AX474="",AX474=0,AU474=""),"",AU474*365/(AX474*1000000))</f>
        <v/>
      </c>
      <c r="AZ474" s="15" t="n">
        <v>416459963.2294</v>
      </c>
      <c r="BA474" s="17" t="n">
        <v>60487233</v>
      </c>
      <c r="BB474" s="18" t="n">
        <v>42202159.96255512</v>
      </c>
      <c r="BC474" s="17" t="n">
        <v>2971663</v>
      </c>
      <c r="BD474" s="17">
        <f>1000000000-999281266.793+237327.4776</f>
        <v/>
      </c>
      <c r="BE474" s="19">
        <f>1000000000-AZ474-BA474-BB474-BC474-BD474</f>
        <v/>
      </c>
      <c r="BF474" s="20" t="n">
        <v>234.814938</v>
      </c>
      <c r="BG474" s="20">
        <f>BE474/1000000-BF474</f>
        <v/>
      </c>
      <c r="BH474" s="21">
        <f>BE474*37.67</f>
        <v/>
      </c>
    </row>
    <row r="475">
      <c r="A475" s="10" t="n">
        <v>46097</v>
      </c>
      <c r="B475" s="11" t="n">
        <v>6548471543</v>
      </c>
      <c r="C475" s="11" t="n">
        <v>2055615536.62</v>
      </c>
      <c r="D475" s="11" t="n">
        <v>216207871</v>
      </c>
      <c r="E475" s="11" t="n"/>
      <c r="F475" s="24" t="n">
        <v>1367945280.099421</v>
      </c>
      <c r="G475" s="24" t="n">
        <v>67796870.10934445</v>
      </c>
      <c r="H475" s="24" t="n">
        <v>19730475.20883497</v>
      </c>
      <c r="I475" s="24" t="n">
        <v>339041431.0384565</v>
      </c>
      <c r="J475" s="24" t="n">
        <v>92739.91931894148</v>
      </c>
      <c r="K475" s="24" t="n">
        <v>261008740.2446238</v>
      </c>
      <c r="L475" s="21">
        <f>SUM(F475:K475)</f>
        <v/>
      </c>
      <c r="M475" s="28" t="n">
        <v>1.002888034985437</v>
      </c>
      <c r="N475" s="11" t="n">
        <v>2293610.92</v>
      </c>
      <c r="O475" s="11" t="n">
        <v>255568.45</v>
      </c>
      <c r="P475" s="11" t="n">
        <v>103314.2</v>
      </c>
      <c r="Q475" s="11" t="n"/>
      <c r="R475" s="21">
        <f>N475+O475+P475+N(Q475)</f>
        <v/>
      </c>
      <c r="S475" s="13" t="n">
        <v>0.01</v>
      </c>
      <c r="T475" s="21">
        <f>N(AC475)*S475</f>
        <v/>
      </c>
      <c r="U475" s="21">
        <f>N(AD475)*S475</f>
        <v/>
      </c>
      <c r="V475" s="21">
        <f>N(AE475)*S475</f>
        <v/>
      </c>
      <c r="W475" s="21">
        <f>IF(Q475="","",N(AF475)*S475)</f>
        <v/>
      </c>
      <c r="X475" s="11" t="n">
        <v>22619.09</v>
      </c>
      <c r="Y475" s="11" t="n">
        <v>118625.55</v>
      </c>
      <c r="Z475" s="11" t="n"/>
      <c r="AA475" s="21">
        <f>T475+U475+V475+N(W475)+X475+Y475+N(Z475)</f>
        <v/>
      </c>
      <c r="AB475" s="11" t="n">
        <v>184422.0152</v>
      </c>
      <c r="AC475" s="11" t="n">
        <v>2293610.92</v>
      </c>
      <c r="AD475" s="21">
        <f>O475-Y475</f>
        <v/>
      </c>
      <c r="AE475" s="21">
        <f>P475-X475</f>
        <v/>
      </c>
      <c r="AF475" s="21">
        <f>IF(Q475="","",Q475-Z475)</f>
        <v/>
      </c>
      <c r="AG475" s="22">
        <f>AC475+AD475+AE475+N(AF475)</f>
        <v/>
      </c>
      <c r="AH475" s="11" t="n">
        <v>2056534.62</v>
      </c>
      <c r="AI475" s="24">
        <f>AG475-AH475</f>
        <v/>
      </c>
      <c r="AJ475" s="14">
        <f>IF(OR(B475="",B475=0,N475=""),"",N475/B475*10000)</f>
        <v/>
      </c>
      <c r="AK475" s="14">
        <f>IF(OR(C475="",C475=0),"",O475/C475*10000)</f>
        <v/>
      </c>
      <c r="AL475" s="14">
        <f>IF(OR(D475="",D475=0),"",P475/D475*10000)</f>
        <v/>
      </c>
      <c r="AM475" s="14">
        <f>IF(OR(E475="",E475=0),"",Q475/E475*10000)</f>
        <v/>
      </c>
      <c r="AN475" s="11" t="n">
        <v>18142.36376332987</v>
      </c>
      <c r="AO475" s="11" t="n">
        <v>0</v>
      </c>
      <c r="AP475" s="21">
        <f>AH475+AN475+AO475</f>
        <v/>
      </c>
      <c r="AQ475" s="21">
        <f>AH475</f>
        <v/>
      </c>
      <c r="AR475" s="15" t="n">
        <v>52403.88</v>
      </c>
      <c r="AS475" s="27" t="n">
        <v>39.243938</v>
      </c>
      <c r="AT475" s="15" t="n">
        <v>42256895.91255512</v>
      </c>
      <c r="AU475" s="15" t="n">
        <v>26158.1654</v>
      </c>
      <c r="AV475" s="15" t="n">
        <v>690.6835</v>
      </c>
      <c r="AW475" s="15" t="n"/>
      <c r="AX475" s="16" t="n">
        <v>434.8585007962238</v>
      </c>
      <c r="AY475" s="13">
        <f>IF(OR(AX475="",AX475=0,AU475=""),"",AU475*365/(AX475*1000000))</f>
        <v/>
      </c>
      <c r="AZ475" s="15" t="n">
        <v>416433805.064</v>
      </c>
      <c r="BA475" s="17" t="n">
        <v>60487233</v>
      </c>
      <c r="BB475" s="18" t="n">
        <v>42256895.91255512</v>
      </c>
      <c r="BC475" s="17" t="n">
        <v>2971663</v>
      </c>
      <c r="BD475" s="17">
        <f>1000000000-999280576.1095+237813.0479</f>
        <v/>
      </c>
      <c r="BE475" s="19">
        <f>1000000000-AZ475-BA475-BB475-BC475-BD475</f>
        <v/>
      </c>
      <c r="BF475" s="20" t="n">
        <v>234.814938</v>
      </c>
      <c r="BG475" s="20">
        <f>BE475/1000000-BF475</f>
        <v/>
      </c>
      <c r="BH475" s="21">
        <f>BE475*37.38</f>
        <v/>
      </c>
    </row>
    <row r="476">
      <c r="A476" s="10" t="n">
        <v>46098</v>
      </c>
      <c r="B476" s="11" t="n">
        <v>5631386518</v>
      </c>
      <c r="C476" s="11" t="n">
        <v>1420018155.8</v>
      </c>
      <c r="D476" s="11" t="n">
        <v>163398517</v>
      </c>
      <c r="E476" s="11" t="n"/>
      <c r="F476" s="24" t="n">
        <v>812898209.1880435</v>
      </c>
      <c r="G476" s="24" t="n">
        <v>40936589.3237497</v>
      </c>
      <c r="H476" s="24" t="n">
        <v>19245161.27321152</v>
      </c>
      <c r="I476" s="24" t="n">
        <v>319018202.839389</v>
      </c>
      <c r="J476" s="24" t="n">
        <v>58316.91814764015</v>
      </c>
      <c r="K476" s="24" t="n">
        <v>227861676.2574585</v>
      </c>
      <c r="L476" s="21">
        <f>SUM(F476:K476)</f>
        <v/>
      </c>
      <c r="M476" s="28" t="n">
        <v>1.003449700788457</v>
      </c>
      <c r="N476" s="11" t="n">
        <v>1901933.76</v>
      </c>
      <c r="O476" s="11" t="n">
        <v>176355.72</v>
      </c>
      <c r="P476" s="11" t="n">
        <v>87185.04999999999</v>
      </c>
      <c r="Q476" s="11" t="n"/>
      <c r="R476" s="21">
        <f>N476+O476+P476+N(Q476)</f>
        <v/>
      </c>
      <c r="S476" s="13" t="n">
        <v>0.01</v>
      </c>
      <c r="T476" s="21">
        <f>N(AC476)*S476</f>
        <v/>
      </c>
      <c r="U476" s="21">
        <f>N(AD476)*S476</f>
        <v/>
      </c>
      <c r="V476" s="21">
        <f>N(AE476)*S476</f>
        <v/>
      </c>
      <c r="W476" s="21">
        <f>IF(Q476="","",N(AF476)*S476)</f>
        <v/>
      </c>
      <c r="X476" s="11" t="n">
        <v>20553.26</v>
      </c>
      <c r="Y476" s="11" t="n">
        <v>82957.27</v>
      </c>
      <c r="Z476" s="11" t="n"/>
      <c r="AA476" s="21">
        <f>T476+U476+V476+N(W476)+X476+Y476+N(Z476)</f>
        <v/>
      </c>
      <c r="AB476" s="11" t="n">
        <v>156103.6953</v>
      </c>
      <c r="AC476" s="11" t="n">
        <v>1901933.76</v>
      </c>
      <c r="AD476" s="21">
        <f>O476-Y476</f>
        <v/>
      </c>
      <c r="AE476" s="21">
        <f>P476-X476</f>
        <v/>
      </c>
      <c r="AF476" s="21">
        <f>IF(Q476="","",Q476-Z476)</f>
        <v/>
      </c>
      <c r="AG476" s="22">
        <f>AC476+AD476+AE476+N(AF476)</f>
        <v/>
      </c>
      <c r="AH476" s="11" t="n">
        <v>1717663.47</v>
      </c>
      <c r="AI476" s="24">
        <f>AG476-AH476</f>
        <v/>
      </c>
      <c r="AJ476" s="14">
        <f>IF(OR(B476="",B476=0,N476=""),"",N476/B476*10000)</f>
        <v/>
      </c>
      <c r="AK476" s="14">
        <f>IF(OR(C476="",C476=0),"",O476/C476*10000)</f>
        <v/>
      </c>
      <c r="AL476" s="14">
        <f>IF(OR(D476="",D476=0),"",P476/D476*10000)</f>
        <v/>
      </c>
      <c r="AM476" s="14">
        <f>IF(OR(E476="",E476=0),"",Q476/E476*10000)</f>
        <v/>
      </c>
      <c r="AN476" s="11" t="n">
        <v>16207.24801841554</v>
      </c>
      <c r="AO476" s="11" t="n">
        <v>0</v>
      </c>
      <c r="AP476" s="21">
        <f>AH476+AN476+AO476</f>
        <v/>
      </c>
      <c r="AQ476" s="21">
        <f>AH476</f>
        <v/>
      </c>
      <c r="AR476" s="15" t="n">
        <v>42168.48</v>
      </c>
      <c r="AS476" s="27" t="n">
        <v>40.73335</v>
      </c>
      <c r="AT476" s="15" t="n">
        <v>42296551.71255512</v>
      </c>
      <c r="AU476" s="15" t="n">
        <v>25920.2501</v>
      </c>
      <c r="AV476" s="15" t="n">
        <v>688.104</v>
      </c>
      <c r="AW476" s="15" t="n"/>
      <c r="AX476" s="16" t="n">
        <v>434.6722369230191</v>
      </c>
      <c r="AY476" s="13">
        <f>IF(OR(AX476="",AX476=0,AU476=""),"",AU476*365/(AX476*1000000))</f>
        <v/>
      </c>
      <c r="AZ476" s="15" t="n">
        <v>416407884.8139</v>
      </c>
      <c r="BA476" s="17" t="n">
        <v>60487233</v>
      </c>
      <c r="BB476" s="18" t="n">
        <v>42296551.71255512</v>
      </c>
      <c r="BC476" s="17" t="n">
        <v>2971663</v>
      </c>
      <c r="BD476" s="17">
        <f>1000000000-999279888.0055+238211.6129</f>
        <v/>
      </c>
      <c r="BE476" s="19">
        <f>1000000000-AZ476-BA476-BB476-BC476-BD476</f>
        <v/>
      </c>
      <c r="BF476" s="20" t="n">
        <v>234.814938</v>
      </c>
      <c r="BG476" s="20">
        <f>BE476/1000000-BF476</f>
        <v/>
      </c>
      <c r="BH476" s="21">
        <f>BE476*40.63</f>
        <v/>
      </c>
    </row>
    <row r="477">
      <c r="A477" s="10" t="n">
        <v>46099</v>
      </c>
      <c r="B477" s="11" t="n">
        <v>6093361269</v>
      </c>
      <c r="C477" s="11" t="n">
        <v>2456410961.33</v>
      </c>
      <c r="D477" s="11" t="n">
        <v>220284790</v>
      </c>
      <c r="E477" s="11" t="n"/>
      <c r="F477" s="24" t="n">
        <v>1664256200.492588</v>
      </c>
      <c r="G477" s="24" t="n">
        <v>45271316.01075469</v>
      </c>
      <c r="H477" s="24" t="n">
        <v>20148471.87853501</v>
      </c>
      <c r="I477" s="24" t="n">
        <v>443717572.0894687</v>
      </c>
      <c r="J477" s="24" t="n">
        <v>214019.1193338241</v>
      </c>
      <c r="K477" s="24" t="n">
        <v>282803381.7393197</v>
      </c>
      <c r="L477" s="21">
        <f>SUM(F477:K477)</f>
        <v/>
      </c>
      <c r="M477" s="28" t="n">
        <v>1.005360663429923</v>
      </c>
      <c r="N477" s="11" t="n">
        <v>2079809.87</v>
      </c>
      <c r="O477" s="11" t="n">
        <v>288167.82</v>
      </c>
      <c r="P477" s="11" t="n">
        <v>112320.16</v>
      </c>
      <c r="Q477" s="11" t="n"/>
      <c r="R477" s="21">
        <f>N477+O477+P477+N(Q477)</f>
        <v/>
      </c>
      <c r="S477" s="13" t="n">
        <v>0.01</v>
      </c>
      <c r="T477" s="21">
        <f>N(AC477)*S477</f>
        <v/>
      </c>
      <c r="U477" s="21">
        <f>N(AD477)*S477</f>
        <v/>
      </c>
      <c r="V477" s="21">
        <f>N(AE477)*S477</f>
        <v/>
      </c>
      <c r="W477" s="21">
        <f>IF(Q477="","",N(AF477)*S477)</f>
        <v/>
      </c>
      <c r="X477" s="11" t="n">
        <v>14995.74</v>
      </c>
      <c r="Y477" s="11" t="n">
        <v>137672.43</v>
      </c>
      <c r="Z477" s="11" t="n"/>
      <c r="AA477" s="21">
        <f>T477+U477+V477+N(W477)+X477+Y477+N(Z477)</f>
        <v/>
      </c>
      <c r="AB477" s="11" t="n">
        <v>157843.1882</v>
      </c>
      <c r="AC477" s="11" t="n">
        <v>2079809.87</v>
      </c>
      <c r="AD477" s="21">
        <f>O477-Y477</f>
        <v/>
      </c>
      <c r="AE477" s="21">
        <f>P477-X477</f>
        <v/>
      </c>
      <c r="AF477" s="21">
        <f>IF(Q477="","",Q477-Z477)</f>
        <v/>
      </c>
      <c r="AG477" s="22">
        <f>AC477+AD477+AE477+N(AF477)</f>
        <v/>
      </c>
      <c r="AH477" s="11" t="n">
        <v>1931952.06</v>
      </c>
      <c r="AI477" s="24">
        <f>AG477-AH477</f>
        <v/>
      </c>
      <c r="AJ477" s="14">
        <f>IF(OR(B477="",B477=0,N477=""),"",N477/B477*10000)</f>
        <v/>
      </c>
      <c r="AK477" s="14">
        <f>IF(OR(C477="",C477=0),"",O477/C477*10000)</f>
        <v/>
      </c>
      <c r="AL477" s="14">
        <f>IF(OR(D477="",D477=0),"",P477/D477*10000)</f>
        <v/>
      </c>
      <c r="AM477" s="14">
        <f>IF(OR(E477="",E477=0),"",Q477/E477*10000)</f>
        <v/>
      </c>
      <c r="AN477" s="11" t="n">
        <v>37957.11321834335</v>
      </c>
      <c r="AO477" s="11" t="n">
        <v>0</v>
      </c>
      <c r="AP477" s="21">
        <f>AH477+AN477+AO477</f>
        <v/>
      </c>
      <c r="AQ477" s="21">
        <f>AH477</f>
        <v/>
      </c>
      <c r="AR477" s="15" t="n">
        <v>46408.79</v>
      </c>
      <c r="AS477" s="27" t="n">
        <v>41.629012</v>
      </c>
      <c r="AT477" s="15" t="n">
        <v>42343472.10255512</v>
      </c>
      <c r="AU477" s="15" t="n">
        <v>26481.1709</v>
      </c>
      <c r="AV477" s="15" t="n">
        <v>1001.0048</v>
      </c>
      <c r="AW477" s="15" t="n"/>
      <c r="AX477" s="16" t="n">
        <v>433.8548348594891</v>
      </c>
      <c r="AY477" s="13">
        <f>IF(OR(AX477="",AX477=0,AU477=""),"",AU477*365/(AX477*1000000))</f>
        <v/>
      </c>
      <c r="AZ477" s="15" t="n">
        <v>416381403.643</v>
      </c>
      <c r="BA477" s="17" t="n">
        <v>60487233</v>
      </c>
      <c r="BB477" s="18" t="n">
        <v>42343472.10255512</v>
      </c>
      <c r="BC477" s="17" t="n">
        <v>2971663</v>
      </c>
      <c r="BD477" s="17">
        <f>1000000000-999278887.0007+239143.3502</f>
        <v/>
      </c>
      <c r="BE477" s="19">
        <f>1000000000-AZ477-BA477-BB477-BC477-BD477</f>
        <v/>
      </c>
      <c r="BF477" s="20" t="n">
        <v>234.814938</v>
      </c>
      <c r="BG477" s="20">
        <f>BE477/1000000-BF477</f>
        <v/>
      </c>
      <c r="BH477" s="21">
        <f>BE477*40.73</f>
        <v/>
      </c>
    </row>
    <row r="478">
      <c r="A478" s="10" t="n">
        <v>46100</v>
      </c>
      <c r="B478" s="11" t="n">
        <v>5771547049</v>
      </c>
      <c r="C478" s="11" t="n">
        <v>3921241953.22</v>
      </c>
      <c r="D478" s="11" t="n">
        <v>184213403</v>
      </c>
      <c r="E478" s="11" t="n"/>
      <c r="F478" s="24" t="n">
        <v>2961664449.188985</v>
      </c>
      <c r="G478" s="24" t="n">
        <v>37710056.49915351</v>
      </c>
      <c r="H478" s="24" t="n">
        <v>19685410.51888563</v>
      </c>
      <c r="I478" s="24" t="n">
        <v>591699703.0019166</v>
      </c>
      <c r="J478" s="24" t="n">
        <v>115614.5588332935</v>
      </c>
      <c r="K478" s="24" t="n">
        <v>310366719.4522262</v>
      </c>
      <c r="L478" s="21">
        <f>SUM(F478:K478)</f>
        <v/>
      </c>
      <c r="M478" s="28" t="n">
        <v>1.000006689628669</v>
      </c>
      <c r="N478" s="11" t="n">
        <v>1866461.92</v>
      </c>
      <c r="O478" s="11" t="n">
        <v>487510.64</v>
      </c>
      <c r="P478" s="11" t="n">
        <v>89460.2</v>
      </c>
      <c r="Q478" s="11" t="n"/>
      <c r="R478" s="21">
        <f>N478+O478+P478+N(Q478)</f>
        <v/>
      </c>
      <c r="S478" s="13" t="n">
        <v>0.01</v>
      </c>
      <c r="T478" s="21">
        <f>N(AC478)*S478</f>
        <v/>
      </c>
      <c r="U478" s="21">
        <f>N(AD478)*S478</f>
        <v/>
      </c>
      <c r="V478" s="21">
        <f>N(AE478)*S478</f>
        <v/>
      </c>
      <c r="W478" s="21">
        <f>IF(Q478="","",N(AF478)*S478)</f>
        <v/>
      </c>
      <c r="X478" s="11" t="n">
        <v>11816.39</v>
      </c>
      <c r="Y478" s="11" t="n">
        <v>238653.34</v>
      </c>
      <c r="Z478" s="11" t="n"/>
      <c r="AA478" s="21">
        <f>T478+U478+V478+N(W478)+X478+Y478+N(Z478)</f>
        <v/>
      </c>
      <c r="AB478" s="11" t="n">
        <v>159520.5976</v>
      </c>
      <c r="AC478" s="11" t="n">
        <v>1866461.92</v>
      </c>
      <c r="AD478" s="21">
        <f>O478-Y478</f>
        <v/>
      </c>
      <c r="AE478" s="21">
        <f>P478-X478</f>
        <v/>
      </c>
      <c r="AF478" s="21">
        <f>IF(Q478="","",Q478-Z478)</f>
        <v/>
      </c>
      <c r="AG478" s="22">
        <f>AC478+AD478+AE478+N(AF478)</f>
        <v/>
      </c>
      <c r="AH478" s="11" t="n">
        <v>1919269.57</v>
      </c>
      <c r="AI478" s="24">
        <f>AG478-AH478</f>
        <v/>
      </c>
      <c r="AJ478" s="14">
        <f>IF(OR(B478="",B478=0,N478=""),"",N478/B478*10000)</f>
        <v/>
      </c>
      <c r="AK478" s="14">
        <f>IF(OR(C478="",C478=0),"",O478/C478*10000)</f>
        <v/>
      </c>
      <c r="AL478" s="14">
        <f>IF(OR(D478="",D478=0),"",P478/D478*10000)</f>
        <v/>
      </c>
      <c r="AM478" s="14">
        <f>IF(OR(E478="",E478=0),"",Q478/E478*10000)</f>
        <v/>
      </c>
      <c r="AN478" s="11" t="n">
        <v>20312.05724812334</v>
      </c>
      <c r="AO478" s="11" t="n">
        <v>0</v>
      </c>
      <c r="AP478" s="21">
        <f>AH478+AN478+AO478</f>
        <v/>
      </c>
      <c r="AQ478" s="21">
        <f>AH478</f>
        <v/>
      </c>
      <c r="AR478" s="15" t="n">
        <v>48083.94</v>
      </c>
      <c r="AS478" s="27" t="n">
        <v>39.914981</v>
      </c>
      <c r="AT478" s="15" t="n">
        <v>42390511.50255512</v>
      </c>
      <c r="AU478" s="15" t="n">
        <v>26434.5099</v>
      </c>
      <c r="AV478" s="15" t="n">
        <v>1559.2383</v>
      </c>
      <c r="AW478" s="15" t="n"/>
      <c r="AX478" s="16" t="n">
        <v>433.6761695200595</v>
      </c>
      <c r="AY478" s="13">
        <f>IF(OR(AX478="",AX478=0,AU478=""),"",AU478*365/(AX478*1000000))</f>
        <v/>
      </c>
      <c r="AZ478" s="15" t="n">
        <v>416354969.1331</v>
      </c>
      <c r="BA478" s="17" t="n">
        <v>60487233</v>
      </c>
      <c r="BB478" s="18" t="n">
        <v>42390511.50255512</v>
      </c>
      <c r="BC478" s="17" t="n">
        <v>2971663</v>
      </c>
      <c r="BD478" s="17">
        <f>1000000000-999277327.7625+239625.7187</f>
        <v/>
      </c>
      <c r="BE478" s="19">
        <f>1000000000-AZ478-BA478-BB478-BC478-BD478</f>
        <v/>
      </c>
      <c r="BF478" s="20" t="n">
        <v>234.814938</v>
      </c>
      <c r="BG478" s="20">
        <f>BE478/1000000-BF478</f>
        <v/>
      </c>
      <c r="BH478" s="21">
        <f>BE478*42.07</f>
        <v/>
      </c>
    </row>
    <row r="479">
      <c r="A479" s="10" t="n">
        <v>46101</v>
      </c>
      <c r="B479" s="11" t="n">
        <v>4387405471</v>
      </c>
      <c r="C479" s="11" t="n">
        <v>2329523491.65</v>
      </c>
      <c r="D479" s="11" t="n">
        <v>130241783</v>
      </c>
      <c r="E479" s="11" t="n"/>
      <c r="F479" s="24" t="n">
        <v>1516513986.703487</v>
      </c>
      <c r="G479" s="24" t="n">
        <v>28975416.92492709</v>
      </c>
      <c r="H479" s="24" t="n">
        <v>23033114.11435733</v>
      </c>
      <c r="I479" s="24" t="n">
        <v>462392315.8404787</v>
      </c>
      <c r="J479" s="24" t="n">
        <v>35956.50663707845</v>
      </c>
      <c r="K479" s="24" t="n">
        <v>298572701.560113</v>
      </c>
      <c r="L479" s="21">
        <f>SUM(F479:K479)</f>
        <v/>
      </c>
      <c r="M479" s="28" t="n">
        <v>1.001902011750976</v>
      </c>
      <c r="N479" s="11" t="n">
        <v>1408764.93</v>
      </c>
      <c r="O479" s="11" t="n">
        <v>310808.41</v>
      </c>
      <c r="P479" s="11" t="n">
        <v>63293.84</v>
      </c>
      <c r="Q479" s="11" t="n"/>
      <c r="R479" s="21">
        <f>N479+O479+P479+N(Q479)</f>
        <v/>
      </c>
      <c r="S479" s="13" t="n">
        <v>0.01</v>
      </c>
      <c r="T479" s="21">
        <f>N(AC479)*S479</f>
        <v/>
      </c>
      <c r="U479" s="21">
        <f>N(AD479)*S479</f>
        <v/>
      </c>
      <c r="V479" s="21">
        <f>N(AE479)*S479</f>
        <v/>
      </c>
      <c r="W479" s="21">
        <f>IF(Q479="","",N(AF479)*S479)</f>
        <v/>
      </c>
      <c r="X479" s="11" t="n">
        <v>9782.629999999999</v>
      </c>
      <c r="Y479" s="11" t="n">
        <v>150894.59</v>
      </c>
      <c r="Z479" s="11" t="n"/>
      <c r="AA479" s="21">
        <f>T479+U479+V479+N(W479)+X479+Y479+N(Z479)</f>
        <v/>
      </c>
      <c r="AB479" s="11" t="n">
        <v>129516.6192</v>
      </c>
      <c r="AC479" s="11" t="n">
        <v>1408764.93</v>
      </c>
      <c r="AD479" s="21">
        <f>O479-Y479</f>
        <v/>
      </c>
      <c r="AE479" s="21">
        <f>P479-X479</f>
        <v/>
      </c>
      <c r="AF479" s="21">
        <f>IF(Q479="","",Q479-Z479)</f>
        <v/>
      </c>
      <c r="AG479" s="22">
        <f>AC479+AD479+AE479+N(AF479)</f>
        <v/>
      </c>
      <c r="AH479" s="11" t="n">
        <v>1398791.89</v>
      </c>
      <c r="AI479" s="24">
        <f>AG479-AH479</f>
        <v/>
      </c>
      <c r="AJ479" s="14">
        <f>IF(OR(B479="",B479=0,N479=""),"",N479/B479*10000)</f>
        <v/>
      </c>
      <c r="AK479" s="14">
        <f>IF(OR(C479="",C479=0),"",O479/C479*10000)</f>
        <v/>
      </c>
      <c r="AL479" s="14">
        <f>IF(OR(D479="",D479=0),"",P479/D479*10000)</f>
        <v/>
      </c>
      <c r="AM479" s="14">
        <f>IF(OR(E479="",E479=0),"",Q479/E479*10000)</f>
        <v/>
      </c>
      <c r="AN479" s="11" t="n">
        <v>20215.87673919038</v>
      </c>
      <c r="AO479" s="11" t="n">
        <v>0</v>
      </c>
      <c r="AP479" s="21">
        <f>AH479+AN479+AO479</f>
        <v/>
      </c>
      <c r="AQ479" s="21">
        <f>AH479</f>
        <v/>
      </c>
      <c r="AR479" s="15" t="n">
        <v>35474.14</v>
      </c>
      <c r="AS479" s="27" t="n">
        <v>39.431312</v>
      </c>
      <c r="AT479" s="15" t="n">
        <v>42426049.16255512</v>
      </c>
      <c r="AU479" s="15" t="n">
        <v>26463.4663</v>
      </c>
      <c r="AV479" s="15" t="n">
        <v>563.0605</v>
      </c>
      <c r="AW479" s="15" t="n"/>
      <c r="AX479" s="16" t="n">
        <v>433.6212441469142</v>
      </c>
      <c r="AY479" s="13">
        <f>IF(OR(AX479="",AX479=0,AU479=""),"",AU479*365/(AX479*1000000))</f>
        <v/>
      </c>
      <c r="AZ479" s="15" t="n">
        <v>416328505.6668</v>
      </c>
      <c r="BA479" s="17" t="n">
        <v>60487233</v>
      </c>
      <c r="BB479" s="18" t="n">
        <v>42426049.16255512</v>
      </c>
      <c r="BC479" s="17" t="n">
        <v>2971663</v>
      </c>
      <c r="BD479" s="17">
        <f>1000000000-999276764.702+240133.4512</f>
        <v/>
      </c>
      <c r="BE479" s="19">
        <f>1000000000-AZ479-BA479-BB479-BC479-BD479</f>
        <v/>
      </c>
      <c r="BF479" s="20" t="n">
        <v>234.814938</v>
      </c>
      <c r="BG479" s="20">
        <f>BE479/1000000-BF479</f>
        <v/>
      </c>
      <c r="BH479" s="21">
        <f>BE479*39.81</f>
        <v/>
      </c>
    </row>
    <row r="480">
      <c r="A480" s="10" t="n">
        <v>46102</v>
      </c>
      <c r="B480" s="11" t="n">
        <v>1820769490</v>
      </c>
      <c r="C480" s="11" t="n">
        <v>386237724.71</v>
      </c>
      <c r="D480" s="11" t="n">
        <v>60945818</v>
      </c>
      <c r="E480" s="11" t="n"/>
      <c r="F480" s="24" t="n">
        <v>243987455.3586502</v>
      </c>
      <c r="G480" s="24" t="n">
        <v>10719433.16289993</v>
      </c>
      <c r="H480" s="24" t="n">
        <v>15967280.82337998</v>
      </c>
      <c r="I480" s="24" t="n">
        <v>64665469.24933212</v>
      </c>
      <c r="J480" s="24" t="n">
        <v>11349.70287775255</v>
      </c>
      <c r="K480" s="24" t="n">
        <v>50886736.41285998</v>
      </c>
      <c r="L480" s="21">
        <f>SUM(F480:K480)</f>
        <v/>
      </c>
      <c r="M480" s="28" t="n">
        <v>1.000546180083427</v>
      </c>
      <c r="N480" s="11" t="n">
        <v>599973.22</v>
      </c>
      <c r="O480" s="11" t="n">
        <v>93891.76999999999</v>
      </c>
      <c r="P480" s="11" t="n">
        <v>27395.62</v>
      </c>
      <c r="Q480" s="11" t="n"/>
      <c r="R480" s="21">
        <f>N480+O480+P480+N(Q480)</f>
        <v/>
      </c>
      <c r="S480" s="13" t="n">
        <v>0.01</v>
      </c>
      <c r="T480" s="21">
        <f>N(AC480)*S480</f>
        <v/>
      </c>
      <c r="U480" s="21">
        <f>N(AD480)*S480</f>
        <v/>
      </c>
      <c r="V480" s="21">
        <f>N(AE480)*S480</f>
        <v/>
      </c>
      <c r="W480" s="21">
        <f>IF(Q480="","",N(AF480)*S480)</f>
        <v/>
      </c>
      <c r="X480" s="11" t="n">
        <v>4696.64</v>
      </c>
      <c r="Y480" s="11" t="n">
        <v>45293.14</v>
      </c>
      <c r="Z480" s="11" t="n"/>
      <c r="AA480" s="21">
        <f>T480+U480+V480+N(W480)+X480+Y480+N(Z480)</f>
        <v/>
      </c>
      <c r="AB480" s="11" t="n">
        <v>64409.42760000001</v>
      </c>
      <c r="AC480" s="11" t="n">
        <v>599973.22</v>
      </c>
      <c r="AD480" s="21">
        <f>O480-Y480</f>
        <v/>
      </c>
      <c r="AE480" s="21">
        <f>P480-X480</f>
        <v/>
      </c>
      <c r="AF480" s="21">
        <f>IF(Q480="","",Q480-Z480)</f>
        <v/>
      </c>
      <c r="AG480" s="22">
        <f>AC480+AD480+AE480+N(AF480)</f>
        <v/>
      </c>
      <c r="AH480" s="11" t="n">
        <v>565820.13</v>
      </c>
      <c r="AI480" s="24">
        <f>AG480-AH480</f>
        <v/>
      </c>
      <c r="AJ480" s="14">
        <f>IF(OR(B480="",B480=0,N480=""),"",N480/B480*10000)</f>
        <v/>
      </c>
      <c r="AK480" s="14">
        <f>IF(OR(C480="",C480=0),"",O480/C480*10000)</f>
        <v/>
      </c>
      <c r="AL480" s="14">
        <f>IF(OR(D480="",D480=0),"",P480/D480*10000)</f>
        <v/>
      </c>
      <c r="AM480" s="14">
        <f>IF(OR(E480="",E480=0),"",Q480/E480*10000)</f>
        <v/>
      </c>
      <c r="AN480" s="11" t="n">
        <v>4802.687313533953</v>
      </c>
      <c r="AO480" s="11" t="n">
        <v>0</v>
      </c>
      <c r="AP480" s="21">
        <f>AH480+AN480+AO480</f>
        <v/>
      </c>
      <c r="AQ480" s="21">
        <f>AH480</f>
        <v/>
      </c>
      <c r="AR480" s="15" t="n">
        <v>14254.91</v>
      </c>
      <c r="AS480" s="27" t="n">
        <v>39.692999</v>
      </c>
      <c r="AT480" s="15" t="n">
        <v>42443640.52255512</v>
      </c>
      <c r="AU480" s="15" t="n">
        <v>26474.8084</v>
      </c>
      <c r="AV480" s="15" t="n">
        <v>863.7541</v>
      </c>
      <c r="AW480" s="15" t="n"/>
      <c r="AX480" s="16" t="n">
        <v>434.0438101295291</v>
      </c>
      <c r="AY480" s="13">
        <f>IF(OR(AX480="",AX480=0,AU480=""),"",AU480*365/(AX480*1000000))</f>
        <v/>
      </c>
      <c r="AZ480" s="15" t="n">
        <v>416302030.8583</v>
      </c>
      <c r="BA480" s="17" t="n">
        <v>60487233</v>
      </c>
      <c r="BB480" s="18" t="n">
        <v>42443640.52255512</v>
      </c>
      <c r="BC480" s="17" t="n">
        <v>2971663</v>
      </c>
      <c r="BD480" s="17">
        <f>1000000000-999275900.9479+240254.5080</f>
        <v/>
      </c>
      <c r="BE480" s="19">
        <f>1000000000-AZ480-BA480-BB480-BC480-BD480</f>
        <v/>
      </c>
      <c r="BF480" s="20" t="n">
        <v>234.814938</v>
      </c>
      <c r="BG480" s="20">
        <f>BE480/1000000-BF480</f>
        <v/>
      </c>
      <c r="BH480" s="21">
        <f>BE480*39.67</f>
        <v/>
      </c>
    </row>
    <row r="481">
      <c r="A481" s="10" t="n">
        <v>46103</v>
      </c>
      <c r="B481" s="11" t="n">
        <v>4123380156</v>
      </c>
      <c r="C481" s="11" t="n">
        <v>935971268.74</v>
      </c>
      <c r="D481" s="11" t="n">
        <v>102290418</v>
      </c>
      <c r="E481" s="11" t="n"/>
      <c r="F481" s="24" t="n">
        <v>666709267.0410806</v>
      </c>
      <c r="G481" s="24" t="n">
        <v>19823492.35416717</v>
      </c>
      <c r="H481" s="24" t="n">
        <v>18979578.41262364</v>
      </c>
      <c r="I481" s="24" t="n">
        <v>146811269.5408471</v>
      </c>
      <c r="J481" s="24" t="n">
        <v>21154.37088705901</v>
      </c>
      <c r="K481" s="24" t="n">
        <v>83626507.02039453</v>
      </c>
      <c r="L481" s="21">
        <f>SUM(F481:K481)</f>
        <v/>
      </c>
      <c r="M481" s="28" t="n">
        <v>1.001366049093276</v>
      </c>
      <c r="N481" s="11" t="n">
        <v>1307527.72</v>
      </c>
      <c r="O481" s="11" t="n">
        <v>167526.29</v>
      </c>
      <c r="P481" s="11" t="n">
        <v>51107.81</v>
      </c>
      <c r="Q481" s="11" t="n"/>
      <c r="R481" s="21">
        <f>N481+O481+P481+N(Q481)</f>
        <v/>
      </c>
      <c r="S481" s="13" t="n">
        <v>0.01</v>
      </c>
      <c r="T481" s="21">
        <f>N(AC481)*S481</f>
        <v/>
      </c>
      <c r="U481" s="21">
        <f>N(AD481)*S481</f>
        <v/>
      </c>
      <c r="V481" s="21">
        <f>N(AE481)*S481</f>
        <v/>
      </c>
      <c r="W481" s="21">
        <f>IF(Q481="","",N(AF481)*S481)</f>
        <v/>
      </c>
      <c r="X481" s="11" t="n">
        <v>11245.53</v>
      </c>
      <c r="Y481" s="11" t="n">
        <v>81166.02</v>
      </c>
      <c r="Z481" s="11" t="n"/>
      <c r="AA481" s="21">
        <f>T481+U481+V481+N(W481)+X481+Y481+N(Z481)</f>
        <v/>
      </c>
      <c r="AB481" s="11" t="n">
        <v>105025.6897</v>
      </c>
      <c r="AC481" s="11" t="n">
        <v>1307527.72</v>
      </c>
      <c r="AD481" s="21">
        <f>O481-Y481</f>
        <v/>
      </c>
      <c r="AE481" s="21">
        <f>P481-X481</f>
        <v/>
      </c>
      <c r="AF481" s="21">
        <f>IF(Q481="","",Q481-Z481)</f>
        <v/>
      </c>
      <c r="AG481" s="22">
        <f>AC481+AD481+AE481+N(AF481)</f>
        <v/>
      </c>
      <c r="AH481" s="11" t="n">
        <v>1226196.43</v>
      </c>
      <c r="AI481" s="24">
        <f>AG481-AH481</f>
        <v/>
      </c>
      <c r="AJ481" s="14">
        <f>IF(OR(B481="",B481=0,N481=""),"",N481/B481*10000)</f>
        <v/>
      </c>
      <c r="AK481" s="14">
        <f>IF(OR(C481="",C481=0),"",O481/C481*10000)</f>
        <v/>
      </c>
      <c r="AL481" s="14">
        <f>IF(OR(D481="",D481=0),"",P481/D481*10000)</f>
        <v/>
      </c>
      <c r="AM481" s="14">
        <f>IF(OR(E481="",E481=0),"",Q481/E481*10000)</f>
        <v/>
      </c>
      <c r="AN481" s="11" t="n">
        <v>8939.90055936289</v>
      </c>
      <c r="AO481" s="11" t="n">
        <v>0</v>
      </c>
      <c r="AP481" s="21">
        <f>AH481+AN481+AO481</f>
        <v/>
      </c>
      <c r="AQ481" s="21">
        <f>AH481</f>
        <v/>
      </c>
      <c r="AR481" s="15" t="n">
        <v>31939.5</v>
      </c>
      <c r="AS481" s="27" t="n">
        <v>38.391222</v>
      </c>
      <c r="AT481" s="15" t="n">
        <v>42472662.50255512</v>
      </c>
      <c r="AU481" s="15" t="n">
        <v>26473.247</v>
      </c>
      <c r="AV481" s="15" t="n">
        <v>166.6936</v>
      </c>
      <c r="AW481" s="15" t="n"/>
      <c r="AX481" s="16" t="n">
        <v>434.152370643411</v>
      </c>
      <c r="AY481" s="13">
        <f>IF(OR(AX481="",AX481=0,AU481=""),"",AU481*365/(AX481*1000000))</f>
        <v/>
      </c>
      <c r="AZ481" s="15" t="n">
        <v>416275557.6113</v>
      </c>
      <c r="BA481" s="17" t="n">
        <v>60487233</v>
      </c>
      <c r="BB481" s="18" t="n">
        <v>42472662.50255512</v>
      </c>
      <c r="BC481" s="17" t="n">
        <v>2971663</v>
      </c>
      <c r="BD481" s="17">
        <f>1000000000-999275734.2543+240481.5070</f>
        <v/>
      </c>
      <c r="BE481" s="19">
        <f>1000000000-AZ481-BA481-BB481-BC481-BD481</f>
        <v/>
      </c>
      <c r="BF481" s="20" t="n">
        <v>234.814938</v>
      </c>
      <c r="BG481" s="20">
        <f>BE481/1000000-BF481</f>
        <v/>
      </c>
      <c r="BH481" s="21">
        <f>BE481*39.37</f>
        <v/>
      </c>
    </row>
    <row r="482">
      <c r="A482" s="10" t="n">
        <v>46104</v>
      </c>
      <c r="B482" s="11" t="n">
        <v>6547837013</v>
      </c>
      <c r="C482" s="11" t="n">
        <v>5930845986.05</v>
      </c>
      <c r="D482" s="11" t="n">
        <v>251112953</v>
      </c>
      <c r="E482" s="11" t="n"/>
      <c r="F482" s="24" t="n">
        <v>4482238659.358988</v>
      </c>
      <c r="G482" s="24" t="n">
        <v>39165574.83595494</v>
      </c>
      <c r="H482" s="24" t="n">
        <v>21320189.5967211</v>
      </c>
      <c r="I482" s="24" t="n">
        <v>873444420.5132018</v>
      </c>
      <c r="J482" s="24" t="n">
        <v>115116.6543962614</v>
      </c>
      <c r="K482" s="24" t="n">
        <v>514562025.0907386</v>
      </c>
      <c r="L482" s="21">
        <f>SUM(F482:K482)</f>
        <v/>
      </c>
      <c r="M482" s="28" t="n">
        <v>1.001923509317361</v>
      </c>
      <c r="N482" s="11" t="n">
        <v>2093751.39</v>
      </c>
      <c r="O482" s="11" t="n">
        <v>807707.4299999999</v>
      </c>
      <c r="P482" s="11" t="n">
        <v>119237.15</v>
      </c>
      <c r="Q482" s="11" t="n"/>
      <c r="R482" s="21">
        <f>N482+O482+P482+N(Q482)</f>
        <v/>
      </c>
      <c r="S482" s="13" t="n">
        <v>0.01</v>
      </c>
      <c r="T482" s="21">
        <f>N(AC482)*S482</f>
        <v/>
      </c>
      <c r="U482" s="21">
        <f>N(AD482)*S482</f>
        <v/>
      </c>
      <c r="V482" s="21">
        <f>N(AE482)*S482</f>
        <v/>
      </c>
      <c r="W482" s="21">
        <f>IF(Q482="","",N(AF482)*S482)</f>
        <v/>
      </c>
      <c r="X482" s="11" t="n">
        <v>18833.26</v>
      </c>
      <c r="Y482" s="11" t="n">
        <v>399415.68</v>
      </c>
      <c r="Z482" s="11" t="n"/>
      <c r="AA482" s="21">
        <f>T482+U482+V482+N(W482)+X482+Y482+N(Z482)</f>
        <v/>
      </c>
      <c r="AB482" s="11" t="n">
        <v>180785.1138</v>
      </c>
      <c r="AC482" s="11" t="n">
        <v>2093751.39</v>
      </c>
      <c r="AD482" s="21">
        <f>O482-Y482</f>
        <v/>
      </c>
      <c r="AE482" s="21">
        <f>P482-X482</f>
        <v/>
      </c>
      <c r="AF482" s="21">
        <f>IF(Q482="","",Q482-Z482)</f>
        <v/>
      </c>
      <c r="AG482" s="22">
        <f>AC482+AD482+AE482+N(AF482)</f>
        <v/>
      </c>
      <c r="AH482" s="11" t="n">
        <v>2320660.87</v>
      </c>
      <c r="AI482" s="24">
        <f>AG482-AH482</f>
        <v/>
      </c>
      <c r="AJ482" s="14">
        <f>IF(OR(B482="",B482=0,N482=""),"",N482/B482*10000)</f>
        <v/>
      </c>
      <c r="AK482" s="14">
        <f>IF(OR(C482="",C482=0),"",O482/C482*10000)</f>
        <v/>
      </c>
      <c r="AL482" s="14">
        <f>IF(OR(D482="",D482=0),"",P482/D482*10000)</f>
        <v/>
      </c>
      <c r="AM482" s="14">
        <f>IF(OR(E482="",E482=0),"",Q482/E482*10000)</f>
        <v/>
      </c>
      <c r="AN482" s="11" t="n">
        <v>26925.80792680451</v>
      </c>
      <c r="AO482" s="11" t="n">
        <v>0</v>
      </c>
      <c r="AP482" s="21">
        <f>AH482+AN482+AO482</f>
        <v/>
      </c>
      <c r="AQ482" s="21">
        <f>AH482</f>
        <v/>
      </c>
      <c r="AR482" s="15" t="n">
        <v>61301.8</v>
      </c>
      <c r="AS482" s="27" t="n">
        <v>37.856325</v>
      </c>
      <c r="AT482" s="15" t="n">
        <v>42533972.38255512</v>
      </c>
      <c r="AU482" s="15" t="n">
        <v>26478.5054</v>
      </c>
      <c r="AV482" s="15" t="n">
        <v>229.8099</v>
      </c>
      <c r="AW482" s="15" t="n"/>
      <c r="AX482" s="16" t="n">
        <v>434.0927156748726</v>
      </c>
      <c r="AY482" s="13">
        <f>IF(OR(AX482="",AX482=0,AU482=""),"",AU482*365/(AX482*1000000))</f>
        <v/>
      </c>
      <c r="AZ482" s="15" t="n">
        <v>416249079.1059</v>
      </c>
      <c r="BA482" s="17" t="n">
        <v>60487233</v>
      </c>
      <c r="BB482" s="18" t="n">
        <v>42533972.38255512</v>
      </c>
      <c r="BC482" s="17" t="n">
        <v>2971663</v>
      </c>
      <c r="BD482" s="17">
        <f>1000000000-999275504.4443+241192.1005</f>
        <v/>
      </c>
      <c r="BE482" s="19">
        <f>1000000000-AZ482-BA482-BB482-BC482-BD482</f>
        <v/>
      </c>
      <c r="BF482" s="20" t="n">
        <v>234.814938</v>
      </c>
      <c r="BG482" s="20">
        <f>BE482/1000000-BF482</f>
        <v/>
      </c>
      <c r="BH482" s="21">
        <f>BE482*37.87</f>
        <v/>
      </c>
    </row>
    <row r="483">
      <c r="A483" s="10" t="n">
        <v>46105</v>
      </c>
      <c r="B483" s="11" t="n">
        <v>4639293563</v>
      </c>
      <c r="C483" s="11" t="n">
        <v>3477019116.42</v>
      </c>
      <c r="D483" s="11" t="n">
        <v>126821355</v>
      </c>
      <c r="E483" s="11" t="n"/>
      <c r="F483" s="24" t="n">
        <v>2364438090.983639</v>
      </c>
      <c r="G483" s="24" t="n">
        <v>26169917.54104523</v>
      </c>
      <c r="H483" s="24" t="n">
        <v>21530535.65385957</v>
      </c>
      <c r="I483" s="24" t="n">
        <v>675825252.1218983</v>
      </c>
      <c r="J483" s="24" t="n">
        <v>49753.42025831496</v>
      </c>
      <c r="K483" s="24" t="n">
        <v>389005566.6992995</v>
      </c>
      <c r="L483" s="21">
        <f>SUM(F483:K483)</f>
        <v/>
      </c>
      <c r="M483" s="28" t="n">
        <v>1.003673373946732</v>
      </c>
      <c r="N483" s="11" t="n">
        <v>1526039.78</v>
      </c>
      <c r="O483" s="11" t="n">
        <v>408758.25</v>
      </c>
      <c r="P483" s="11" t="n">
        <v>65002.32999999999</v>
      </c>
      <c r="Q483" s="11" t="n"/>
      <c r="R483" s="21">
        <f>N483+O483+P483+N(Q483)</f>
        <v/>
      </c>
      <c r="S483" s="13" t="n">
        <v>0.01</v>
      </c>
      <c r="T483" s="21">
        <f>N(AC483)*S483</f>
        <v/>
      </c>
      <c r="U483" s="21">
        <f>N(AD483)*S483</f>
        <v/>
      </c>
      <c r="V483" s="21">
        <f>N(AE483)*S483</f>
        <v/>
      </c>
      <c r="W483" s="21">
        <f>IF(Q483="","",N(AF483)*S483)</f>
        <v/>
      </c>
      <c r="X483" s="11" t="n">
        <v>10722.63</v>
      </c>
      <c r="Y483" s="11" t="n">
        <v>200765.79</v>
      </c>
      <c r="Z483" s="11" t="n"/>
      <c r="AA483" s="21">
        <f>T483+U483+V483+N(W483)+X483+Y483+N(Z483)</f>
        <v/>
      </c>
      <c r="AB483" s="11" t="n">
        <v>126880.5763</v>
      </c>
      <c r="AC483" s="11" t="n">
        <v>1526039.78</v>
      </c>
      <c r="AD483" s="21">
        <f>O483-Y483</f>
        <v/>
      </c>
      <c r="AE483" s="21">
        <f>P483-X483</f>
        <v/>
      </c>
      <c r="AF483" s="21">
        <f>IF(Q483="","",Q483-Z483)</f>
        <v/>
      </c>
      <c r="AG483" s="22">
        <f>AC483+AD483+AE483+N(AF483)</f>
        <v/>
      </c>
      <c r="AH483" s="11" t="n">
        <v>1474551.66</v>
      </c>
      <c r="AI483" s="24">
        <f>AG483-AH483</f>
        <v/>
      </c>
      <c r="AJ483" s="14">
        <f>IF(OR(B483="",B483=0,N483=""),"",N483/B483*10000)</f>
        <v/>
      </c>
      <c r="AK483" s="14">
        <f>IF(OR(C483="",C483=0),"",O483/C483*10000)</f>
        <v/>
      </c>
      <c r="AL483" s="14">
        <f>IF(OR(D483="",D483=0),"",P483/D483*10000)</f>
        <v/>
      </c>
      <c r="AM483" s="14">
        <f>IF(OR(E483="",E483=0),"",Q483/E483*10000)</f>
        <v/>
      </c>
      <c r="AN483" s="11" t="n">
        <v>12817.79610248204</v>
      </c>
      <c r="AO483" s="11" t="n">
        <v>18686.71</v>
      </c>
      <c r="AP483" s="21">
        <f>AH483+AN483+AO483</f>
        <v/>
      </c>
      <c r="AQ483" s="21">
        <f>AH483</f>
        <v/>
      </c>
      <c r="AR483" s="15" t="n">
        <v>38003.95</v>
      </c>
      <c r="AS483" s="27" t="n">
        <v>38.799958</v>
      </c>
      <c r="AT483" s="15" t="n">
        <v>42571128.28255512</v>
      </c>
      <c r="AU483" s="15" t="n">
        <v>26477.2033</v>
      </c>
      <c r="AV483" s="15" t="n">
        <v>1259.6123</v>
      </c>
      <c r="AW483" s="15" t="n"/>
      <c r="AX483" s="16" t="n">
        <v>433.9352894441757</v>
      </c>
      <c r="AY483" s="13">
        <f>IF(OR(AX483="",AX483=0,AU483=""),"",AU483*365/(AX483*1000000))</f>
        <v/>
      </c>
      <c r="AZ483" s="15" t="n">
        <v>416222601.9027</v>
      </c>
      <c r="BA483" s="17" t="n">
        <v>60487233</v>
      </c>
      <c r="BB483" s="18" t="n">
        <v>42571128.28255512</v>
      </c>
      <c r="BC483" s="17" t="n">
        <v>2971663</v>
      </c>
      <c r="BD483" s="17">
        <f>1000000000-999274244.832+241533.3260</f>
        <v/>
      </c>
      <c r="BE483" s="19">
        <f>1000000000-AZ483-BA483-BB483-BC483-BD483</f>
        <v/>
      </c>
      <c r="BF483" s="20" t="n">
        <v>234.814938</v>
      </c>
      <c r="BG483" s="20">
        <f>BE483/1000000-BF483</f>
        <v/>
      </c>
      <c r="BH483" s="21">
        <f>BE483*37.57</f>
        <v/>
      </c>
    </row>
    <row r="484">
      <c r="A484" s="10" t="n">
        <v>46106</v>
      </c>
      <c r="B484" s="11" t="n">
        <v>4594188155</v>
      </c>
      <c r="C484" s="11" t="n">
        <v>2545292485.07</v>
      </c>
      <c r="D484" s="11" t="n">
        <v>101150775</v>
      </c>
      <c r="E484" s="11" t="n"/>
      <c r="F484" s="24" t="n">
        <v>1663775012.42846</v>
      </c>
      <c r="G484" s="24" t="n">
        <v>25345776.25142463</v>
      </c>
      <c r="H484" s="24" t="n">
        <v>23635143.95933066</v>
      </c>
      <c r="I484" s="24" t="n">
        <v>473048247.6418141</v>
      </c>
      <c r="J484" s="24" t="n">
        <v>208500.9438582064</v>
      </c>
      <c r="K484" s="24" t="n">
        <v>359279803.845112</v>
      </c>
      <c r="L484" s="21">
        <f>SUM(F484:K484)</f>
        <v/>
      </c>
      <c r="M484" s="28" t="n">
        <v>1.000964417688837</v>
      </c>
      <c r="N484" s="11" t="n">
        <v>1417798.68</v>
      </c>
      <c r="O484" s="11" t="n">
        <v>299385.77</v>
      </c>
      <c r="P484" s="11" t="n">
        <v>51630.19</v>
      </c>
      <c r="Q484" s="11" t="n"/>
      <c r="R484" s="21">
        <f>N484+O484+P484+N(Q484)</f>
        <v/>
      </c>
      <c r="S484" s="13" t="n">
        <v>0.01</v>
      </c>
      <c r="T484" s="21">
        <f>N(AC484)*S484</f>
        <v/>
      </c>
      <c r="U484" s="21">
        <f>N(AD484)*S484</f>
        <v/>
      </c>
      <c r="V484" s="21">
        <f>N(AE484)*S484</f>
        <v/>
      </c>
      <c r="W484" s="21">
        <f>IF(Q484="","",N(AF484)*S484)</f>
        <v/>
      </c>
      <c r="X484" s="11" t="n">
        <v>8976.719999999999</v>
      </c>
      <c r="Y484" s="11" t="n">
        <v>145939.35</v>
      </c>
      <c r="Z484" s="11" t="n"/>
      <c r="AA484" s="21">
        <f>T484+U484+V484+N(W484)+X484+Y484+N(Z484)</f>
        <v/>
      </c>
      <c r="AB484" s="11" t="n">
        <v>123391.6572</v>
      </c>
      <c r="AC484" s="11" t="n">
        <v>1417798.68</v>
      </c>
      <c r="AD484" s="21">
        <f>O484-Y484</f>
        <v/>
      </c>
      <c r="AE484" s="21">
        <f>P484-X484</f>
        <v/>
      </c>
      <c r="AF484" s="21">
        <f>IF(Q484="","",Q484-Z484)</f>
        <v/>
      </c>
      <c r="AG484" s="22">
        <f>AC484+AD484+AE484+N(AF484)</f>
        <v/>
      </c>
      <c r="AH484" s="11" t="n">
        <v>1489905.01</v>
      </c>
      <c r="AI484" s="24">
        <f>AG484-AH484</f>
        <v/>
      </c>
      <c r="AJ484" s="14">
        <f>IF(OR(B484="",B484=0,N484=""),"",N484/B484*10000)</f>
        <v/>
      </c>
      <c r="AK484" s="14">
        <f>IF(OR(C484="",C484=0),"",O484/C484*10000)</f>
        <v/>
      </c>
      <c r="AL484" s="14">
        <f>IF(OR(D484="",D484=0),"",P484/D484*10000)</f>
        <v/>
      </c>
      <c r="AM484" s="14">
        <f>IF(OR(E484="",E484=0),"",Q484/E484*10000)</f>
        <v/>
      </c>
      <c r="AN484" s="11" t="n">
        <v>8814.312903297268</v>
      </c>
      <c r="AO484" s="11" t="n">
        <v>0</v>
      </c>
      <c r="AP484" s="21">
        <f>AH484+AN484+AO484</f>
        <v/>
      </c>
      <c r="AQ484" s="21">
        <f>AH484</f>
        <v/>
      </c>
      <c r="AR484" s="15" t="n">
        <v>36745.44</v>
      </c>
      <c r="AS484" s="27" t="n">
        <v>40.546664</v>
      </c>
      <c r="AT484" s="15" t="n">
        <v>42608216.20255512</v>
      </c>
      <c r="AU484" s="15" t="n">
        <v>26474.6328</v>
      </c>
      <c r="AV484" s="15" t="n">
        <v>1004.2188</v>
      </c>
      <c r="AW484" s="15" t="n"/>
      <c r="AX484" s="16" t="n">
        <v>434.0252418075709</v>
      </c>
      <c r="AY484" s="13">
        <f>IF(OR(AX484="",AX484=0,AU484=""),"",AU484*365/(AX484*1000000))</f>
        <v/>
      </c>
      <c r="AZ484" s="15" t="n">
        <v>416196127.2698</v>
      </c>
      <c r="BA484" s="17" t="n">
        <v>60487233</v>
      </c>
      <c r="BB484" s="18" t="n">
        <v>42608216.20255512</v>
      </c>
      <c r="BC484" s="17" t="n">
        <v>2971663</v>
      </c>
      <c r="BD484" s="17">
        <f>1000000000-999273240.6132+241750.2296</f>
        <v/>
      </c>
      <c r="BE484" s="19">
        <f>1000000000-AZ484-BA484-BB484-BC484-BD484</f>
        <v/>
      </c>
      <c r="BF484" s="20" t="n">
        <v>234.814938</v>
      </c>
      <c r="BG484" s="20">
        <f>BE484/1000000-BF484</f>
        <v/>
      </c>
      <c r="BH484" s="21">
        <f>BE484*40.66</f>
        <v/>
      </c>
    </row>
    <row r="485">
      <c r="A485" s="10" t="n">
        <v>46107</v>
      </c>
      <c r="B485" s="11" t="n">
        <v>4466575964</v>
      </c>
      <c r="C485" s="11" t="n">
        <v>2418764915.3</v>
      </c>
      <c r="D485" s="11" t="n">
        <v>112875681</v>
      </c>
      <c r="E485" s="11" t="n"/>
      <c r="F485" s="24" t="n">
        <v>1598409407.383058</v>
      </c>
      <c r="G485" s="24" t="n">
        <v>22778697.53398887</v>
      </c>
      <c r="H485" s="24" t="n">
        <v>27412496.598975</v>
      </c>
      <c r="I485" s="24" t="n">
        <v>461473239.3408071</v>
      </c>
      <c r="J485" s="24" t="n">
        <v>134694.301688964</v>
      </c>
      <c r="K485" s="24" t="n">
        <v>308556380.1414828</v>
      </c>
      <c r="L485" s="21">
        <f>SUM(F485:K485)</f>
        <v/>
      </c>
      <c r="M485" s="28" t="n">
        <v>1.001270340362898</v>
      </c>
      <c r="N485" s="11" t="n">
        <v>1382729.77</v>
      </c>
      <c r="O485" s="11" t="n">
        <v>283097.95</v>
      </c>
      <c r="P485" s="11" t="n">
        <v>55290.64</v>
      </c>
      <c r="Q485" s="11" t="n"/>
      <c r="R485" s="21">
        <f>N485+O485+P485+N(Q485)</f>
        <v/>
      </c>
      <c r="S485" s="13" t="n">
        <v>0.01</v>
      </c>
      <c r="T485" s="21">
        <f>N(AC485)*S485</f>
        <v/>
      </c>
      <c r="U485" s="21">
        <f>N(AD485)*S485</f>
        <v/>
      </c>
      <c r="V485" s="21">
        <f>N(AE485)*S485</f>
        <v/>
      </c>
      <c r="W485" s="21">
        <f>IF(Q485="","",N(AF485)*S485)</f>
        <v/>
      </c>
      <c r="X485" s="11" t="n">
        <v>13403.08</v>
      </c>
      <c r="Y485" s="11" t="n">
        <v>138435.6</v>
      </c>
      <c r="Z485" s="11" t="n"/>
      <c r="AA485" s="21">
        <f>T485+U485+V485+N(W485)+X485+Y485+N(Z485)</f>
        <v/>
      </c>
      <c r="AB485" s="11" t="n">
        <v>132859.2089</v>
      </c>
      <c r="AC485" s="11" t="n">
        <v>1382729.77</v>
      </c>
      <c r="AD485" s="21">
        <f>O485-Y485</f>
        <v/>
      </c>
      <c r="AE485" s="21">
        <f>P485-X485</f>
        <v/>
      </c>
      <c r="AF485" s="21">
        <f>IF(Q485="","",Q485-Z485)</f>
        <v/>
      </c>
      <c r="AG485" s="22">
        <f>AC485+AD485+AE485+N(AF485)</f>
        <v/>
      </c>
      <c r="AH485" s="11" t="n">
        <v>1376153.56</v>
      </c>
      <c r="AI485" s="24">
        <f>AG485-AH485</f>
        <v/>
      </c>
      <c r="AJ485" s="14">
        <f>IF(OR(B485="",B485=0,N485=""),"",N485/B485*10000)</f>
        <v/>
      </c>
      <c r="AK485" s="14">
        <f>IF(OR(C485="",C485=0),"",O485/C485*10000)</f>
        <v/>
      </c>
      <c r="AL485" s="14">
        <f>IF(OR(D485="",D485=0),"",P485/D485*10000)</f>
        <v/>
      </c>
      <c r="AM485" s="14">
        <f>IF(OR(E485="",E485=0),"",Q485/E485*10000)</f>
        <v/>
      </c>
      <c r="AN485" s="11" t="n">
        <v>7089.566958894238</v>
      </c>
      <c r="AO485" s="11" t="n">
        <v>20162.35</v>
      </c>
      <c r="AP485" s="21">
        <f>AH485+AN485+AO485</f>
        <v/>
      </c>
      <c r="AQ485" s="21">
        <f>AH485</f>
        <v/>
      </c>
      <c r="AR485" s="15" t="n">
        <v>35190.32</v>
      </c>
      <c r="AS485" s="27" t="n">
        <v>39.106026</v>
      </c>
      <c r="AT485" s="15" t="n">
        <v>42643822.48255512</v>
      </c>
      <c r="AU485" s="15" t="n">
        <v>26439.4326</v>
      </c>
      <c r="AV485" s="15" t="n">
        <v>798.0862</v>
      </c>
      <c r="AW485" s="15" t="n"/>
      <c r="AX485" s="16" t="n">
        <v>434.3915396812293</v>
      </c>
      <c r="AY485" s="13">
        <f>IF(OR(AX485="",AX485=0,AU485=""),"",AU485*365/(AX485*1000000))</f>
        <v/>
      </c>
      <c r="AZ485" s="15" t="n">
        <v>416169687.8373</v>
      </c>
      <c r="BA485" s="17" t="n">
        <v>60487233</v>
      </c>
      <c r="BB485" s="18" t="n">
        <v>42643822.48255512</v>
      </c>
      <c r="BC485" s="17" t="n">
        <v>2971663</v>
      </c>
      <c r="BD485" s="17">
        <f>1000000000-999272442.5271+241926.5914</f>
        <v/>
      </c>
      <c r="BE485" s="19">
        <f>1000000000-AZ485-BA485-BB485-BC485-BD485</f>
        <v/>
      </c>
      <c r="BF485" s="20" t="n">
        <v>234.814938</v>
      </c>
      <c r="BG485" s="20">
        <f>BE485/1000000-BF485</f>
        <v/>
      </c>
      <c r="BH485" s="21">
        <f>BE485*40.2</f>
        <v/>
      </c>
    </row>
    <row r="486">
      <c r="A486" s="10" t="n">
        <v>46108</v>
      </c>
      <c r="B486" s="11" t="n">
        <v>4078234901</v>
      </c>
      <c r="C486" s="11" t="n">
        <v>2331848328.47</v>
      </c>
      <c r="D486" s="11" t="n">
        <v>136060026</v>
      </c>
      <c r="E486" s="11" t="n"/>
      <c r="F486" s="24" t="n">
        <v>1409755252.578505</v>
      </c>
      <c r="G486" s="24" t="n">
        <v>23976274.96723415</v>
      </c>
      <c r="H486" s="24" t="n">
        <v>30245628.03828084</v>
      </c>
      <c r="I486" s="24" t="n">
        <v>478160540.5873901</v>
      </c>
      <c r="J486" s="24" t="n">
        <v>180032.5525691365</v>
      </c>
      <c r="K486" s="24" t="n">
        <v>389530599.7460206</v>
      </c>
      <c r="L486" s="21">
        <f>SUM(F486:K486)</f>
        <v/>
      </c>
      <c r="M486" s="28" t="n">
        <v>1.001295440237517</v>
      </c>
      <c r="N486" s="11" t="n">
        <v>1370077.66</v>
      </c>
      <c r="O486" s="11" t="n">
        <v>316830.89</v>
      </c>
      <c r="P486" s="11" t="n">
        <v>63993.24000000001</v>
      </c>
      <c r="Q486" s="11" t="n"/>
      <c r="R486" s="21">
        <f>N486+O486+P486+N(Q486)</f>
        <v/>
      </c>
      <c r="S486" s="13" t="n">
        <v>0.01</v>
      </c>
      <c r="T486" s="21">
        <f>N(AC486)*S486</f>
        <v/>
      </c>
      <c r="U486" s="21">
        <f>N(AD486)*S486</f>
        <v/>
      </c>
      <c r="V486" s="21">
        <f>N(AE486)*S486</f>
        <v/>
      </c>
      <c r="W486" s="21">
        <f>IF(Q486="","",N(AF486)*S486)</f>
        <v/>
      </c>
      <c r="X486" s="11" t="n">
        <v>16708.59</v>
      </c>
      <c r="Y486" s="11" t="n">
        <v>155228.8</v>
      </c>
      <c r="Z486" s="11" t="n"/>
      <c r="AA486" s="21">
        <f>T486+U486+V486+N(W486)+X486+Y486+N(Z486)</f>
        <v/>
      </c>
      <c r="AB486" s="11" t="n">
        <v>161854.7043</v>
      </c>
      <c r="AC486" s="11" t="n">
        <v>1370077.66</v>
      </c>
      <c r="AD486" s="21">
        <f>O486-Y486</f>
        <v/>
      </c>
      <c r="AE486" s="21">
        <f>P486-X486</f>
        <v/>
      </c>
      <c r="AF486" s="21">
        <f>IF(Q486="","",Q486-Z486)</f>
        <v/>
      </c>
      <c r="AG486" s="22">
        <f>AC486+AD486+AE486+N(AF486)</f>
        <v/>
      </c>
      <c r="AH486" s="11" t="n">
        <v>1328434.1</v>
      </c>
      <c r="AI486" s="24">
        <f>AG486-AH486</f>
        <v/>
      </c>
      <c r="AJ486" s="14">
        <f>IF(OR(B486="",B486=0,N486=""),"",N486/B486*10000)</f>
        <v/>
      </c>
      <c r="AK486" s="14">
        <f>IF(OR(C486="",C486=0),"",O486/C486*10000)</f>
        <v/>
      </c>
      <c r="AL486" s="14">
        <f>IF(OR(D486="",D486=0),"",P486/D486*10000)</f>
        <v/>
      </c>
      <c r="AM486" s="14">
        <f>IF(OR(E486="",E486=0),"",Q486/E486*10000)</f>
        <v/>
      </c>
      <c r="AN486" s="11" t="n">
        <v>7081.633351007457</v>
      </c>
      <c r="AO486" s="11" t="n">
        <v>0</v>
      </c>
      <c r="AP486" s="21">
        <f>AH486+AN486+AO486</f>
        <v/>
      </c>
      <c r="AQ486" s="21">
        <f>AH486</f>
        <v/>
      </c>
      <c r="AR486" s="15" t="n">
        <v>34495.71</v>
      </c>
      <c r="AS486" s="27" t="n">
        <v>38.510125</v>
      </c>
      <c r="AT486" s="15" t="n">
        <v>42678566.08255512</v>
      </c>
      <c r="AU486" s="15" t="n">
        <v>26488.8466</v>
      </c>
      <c r="AV486" s="15" t="n">
        <v>1296.0589</v>
      </c>
      <c r="AW486" s="15" t="n"/>
      <c r="AX486" s="16" t="n">
        <v>434.3931739432238</v>
      </c>
      <c r="AY486" s="13">
        <f>IF(OR(AX486="",AX486=0,AU486=""),"",AU486*365/(AX486*1000000))</f>
        <v/>
      </c>
      <c r="AZ486" s="15" t="n">
        <v>416143198.9907</v>
      </c>
      <c r="BA486" s="17" t="n">
        <v>60487233</v>
      </c>
      <c r="BB486" s="18" t="n">
        <v>42678566.08255512</v>
      </c>
      <c r="BC486" s="17" t="n">
        <v>2971663</v>
      </c>
      <c r="BD486" s="17">
        <f>1000000000-999271146.4682+242107.5315</f>
        <v/>
      </c>
      <c r="BE486" s="19">
        <f>1000000000-AZ486-BA486-BB486-BC486-BD486</f>
        <v/>
      </c>
      <c r="BF486" s="20" t="n">
        <v>234.814938</v>
      </c>
      <c r="BG486" s="20">
        <f>BE486/1000000-BF486</f>
        <v/>
      </c>
      <c r="BH486" s="21">
        <f>BE486*39.13</f>
        <v/>
      </c>
    </row>
    <row r="487">
      <c r="A487" s="10" t="n">
        <v>46109</v>
      </c>
      <c r="B487" s="11" t="n">
        <v>2013556742</v>
      </c>
      <c r="C487" s="11" t="n">
        <v>386595685.89</v>
      </c>
      <c r="D487" s="11" t="n">
        <v>82146976</v>
      </c>
      <c r="E487" s="11" t="n"/>
      <c r="F487" s="24" t="n">
        <v>224107343.916168</v>
      </c>
      <c r="G487" s="24" t="n">
        <v>11978431.41461349</v>
      </c>
      <c r="H487" s="24" t="n">
        <v>24322870.37312011</v>
      </c>
      <c r="I487" s="24" t="n">
        <v>72363715.43257891</v>
      </c>
      <c r="J487" s="24" t="n">
        <v>48251.49529762727</v>
      </c>
      <c r="K487" s="24" t="n">
        <v>53775073.25822188</v>
      </c>
      <c r="L487" s="21">
        <f>SUM(F487:K487)</f>
        <v/>
      </c>
      <c r="M487" s="28" t="n">
        <v>1.005380232525616</v>
      </c>
      <c r="N487" s="11" t="n">
        <v>667861.84</v>
      </c>
      <c r="O487" s="11" t="n">
        <v>76969.42999999999</v>
      </c>
      <c r="P487" s="11" t="n">
        <v>44495.53000000001</v>
      </c>
      <c r="Q487" s="11" t="n"/>
      <c r="R487" s="21">
        <f>N487+O487+P487+N(Q487)</f>
        <v/>
      </c>
      <c r="S487" s="13" t="n">
        <v>0.01</v>
      </c>
      <c r="T487" s="21">
        <f>N(AC487)*S487</f>
        <v/>
      </c>
      <c r="U487" s="21">
        <f>N(AD487)*S487</f>
        <v/>
      </c>
      <c r="V487" s="21">
        <f>N(AE487)*S487</f>
        <v/>
      </c>
      <c r="W487" s="21">
        <f>IF(Q487="","",N(AF487)*S487)</f>
        <v/>
      </c>
      <c r="X487" s="11" t="n">
        <v>7882.05</v>
      </c>
      <c r="Y487" s="11" t="n">
        <v>36720.63</v>
      </c>
      <c r="Z487" s="11" t="n"/>
      <c r="AA487" s="21">
        <f>T487+U487+V487+N(W487)+X487+Y487+N(Z487)</f>
        <v/>
      </c>
      <c r="AB487" s="11" t="n">
        <v>67142.1142</v>
      </c>
      <c r="AC487" s="11" t="n">
        <v>667861.84</v>
      </c>
      <c r="AD487" s="21">
        <f>O487-Y487</f>
        <v/>
      </c>
      <c r="AE487" s="21">
        <f>P487-X487</f>
        <v/>
      </c>
      <c r="AF487" s="21">
        <f>IF(Q487="","",Q487-Z487)</f>
        <v/>
      </c>
      <c r="AG487" s="22">
        <f>AC487+AD487+AE487+N(AF487)</f>
        <v/>
      </c>
      <c r="AH487" s="11" t="n">
        <v>646955.66</v>
      </c>
      <c r="AI487" s="24">
        <f>AG487-AH487</f>
        <v/>
      </c>
      <c r="AJ487" s="14">
        <f>IF(OR(B487="",B487=0,N487=""),"",N487/B487*10000)</f>
        <v/>
      </c>
      <c r="AK487" s="14">
        <f>IF(OR(C487="",C487=0),"",O487/C487*10000)</f>
        <v/>
      </c>
      <c r="AL487" s="14">
        <f>IF(OR(D487="",D487=0),"",P487/D487*10000)</f>
        <v/>
      </c>
      <c r="AM487" s="14">
        <f>IF(OR(E487="",E487=0),"",Q487/E487*10000)</f>
        <v/>
      </c>
      <c r="AN487" s="11" t="n">
        <v>4089.846242555365</v>
      </c>
      <c r="AO487" s="11" t="n">
        <v>0</v>
      </c>
      <c r="AP487" s="21">
        <f>AH487+AN487+AO487</f>
        <v/>
      </c>
      <c r="AQ487" s="21">
        <f>AH487</f>
        <v/>
      </c>
      <c r="AR487" s="15" t="n">
        <v>16409.18</v>
      </c>
      <c r="AS487" s="27" t="n">
        <v>39.426446</v>
      </c>
      <c r="AT487" s="15" t="n">
        <v>42694298.92255512</v>
      </c>
      <c r="AU487" s="15" t="n">
        <v>26478.2252</v>
      </c>
      <c r="AV487" s="15" t="n">
        <v>884.5664</v>
      </c>
      <c r="AW487" s="15" t="n"/>
      <c r="AX487" s="16" t="n">
        <v>434.4966852453123</v>
      </c>
      <c r="AY487" s="13">
        <f>IF(OR(AX487="",AX487=0,AU487=""),"",AU487*365/(AX487*1000000))</f>
        <v/>
      </c>
      <c r="AZ487" s="15" t="n">
        <v>416116720.7654</v>
      </c>
      <c r="BA487" s="17" t="n">
        <v>60487233</v>
      </c>
      <c r="BB487" s="18" t="n">
        <v>42694298.92255512</v>
      </c>
      <c r="BC487" s="17" t="n">
        <v>2971663</v>
      </c>
      <c r="BD487" s="17">
        <f>1000000000-999270261.9019+242214.9499</f>
        <v/>
      </c>
      <c r="BE487" s="19">
        <f>1000000000-AZ487-BA487-BB487-BC487-BD487</f>
        <v/>
      </c>
      <c r="BF487" s="20" t="n">
        <v>234.814938</v>
      </c>
      <c r="BG487" s="20">
        <f>BE487/1000000-BF487</f>
        <v/>
      </c>
      <c r="BH487" s="21">
        <f>BE487*38.08</f>
        <v/>
      </c>
    </row>
    <row r="488">
      <c r="A488" s="10" t="n">
        <v>46110</v>
      </c>
      <c r="B488" s="11" t="n">
        <v>2207313174</v>
      </c>
      <c r="C488" s="11" t="n">
        <v>645778748.89</v>
      </c>
      <c r="D488" s="11" t="n">
        <v>79367279</v>
      </c>
      <c r="E488" s="11" t="n"/>
      <c r="F488" s="24" t="n">
        <v>434048363.3799059</v>
      </c>
      <c r="G488" s="24" t="n">
        <v>16290850.64716822</v>
      </c>
      <c r="H488" s="24" t="n">
        <v>27255160.60228946</v>
      </c>
      <c r="I488" s="24" t="n">
        <v>127305068.1330835</v>
      </c>
      <c r="J488" s="24" t="n">
        <v>38666.82600377316</v>
      </c>
      <c r="K488" s="24" t="n">
        <v>40840639.30154904</v>
      </c>
      <c r="L488" s="21">
        <f>SUM(F488:K488)</f>
        <v/>
      </c>
      <c r="M488" s="28" t="n">
        <v>1.011336420179869</v>
      </c>
      <c r="N488" s="11" t="n">
        <v>734730.91</v>
      </c>
      <c r="O488" s="11" t="n">
        <v>106859.01</v>
      </c>
      <c r="P488" s="11" t="n">
        <v>32542.75</v>
      </c>
      <c r="Q488" s="11" t="n"/>
      <c r="R488" s="21">
        <f>N488+O488+P488+N(Q488)</f>
        <v/>
      </c>
      <c r="S488" s="13" t="n">
        <v>0.01</v>
      </c>
      <c r="T488" s="21">
        <f>N(AC488)*S488</f>
        <v/>
      </c>
      <c r="U488" s="21">
        <f>N(AD488)*S488</f>
        <v/>
      </c>
      <c r="V488" s="21">
        <f>N(AE488)*S488</f>
        <v/>
      </c>
      <c r="W488" s="21">
        <f>IF(Q488="","",N(AF488)*S488)</f>
        <v/>
      </c>
      <c r="X488" s="11" t="n">
        <v>7154.17</v>
      </c>
      <c r="Y488" s="11" t="n">
        <v>51081.6</v>
      </c>
      <c r="Z488" s="11" t="n"/>
      <c r="AA488" s="21">
        <f>T488+U488+V488+N(W488)+X488+Y488+N(Z488)</f>
        <v/>
      </c>
      <c r="AB488" s="11" t="n">
        <v>75993.12179999999</v>
      </c>
      <c r="AC488" s="11" t="n">
        <v>734730.91</v>
      </c>
      <c r="AD488" s="21">
        <f>O488-Y488</f>
        <v/>
      </c>
      <c r="AE488" s="21">
        <f>P488-X488</f>
        <v/>
      </c>
      <c r="AF488" s="21">
        <f>IF(Q488="","",Q488-Z488)</f>
        <v/>
      </c>
      <c r="AG488" s="22">
        <f>AC488+AD488+AE488+N(AF488)</f>
        <v/>
      </c>
      <c r="AH488" s="11" t="n">
        <v>700025.42</v>
      </c>
      <c r="AI488" s="24">
        <f>AG488-AH488</f>
        <v/>
      </c>
      <c r="AJ488" s="14">
        <f>IF(OR(B488="",B488=0,N488=""),"",N488/B488*10000)</f>
        <v/>
      </c>
      <c r="AK488" s="14">
        <f>IF(OR(C488="",C488=0),"",O488/C488*10000)</f>
        <v/>
      </c>
      <c r="AL488" s="14">
        <f>IF(OR(D488="",D488=0),"",P488/D488*10000)</f>
        <v/>
      </c>
      <c r="AM488" s="14">
        <f>IF(OR(E488="",E488=0),"",Q488/E488*10000)</f>
        <v/>
      </c>
      <c r="AN488" s="11" t="n">
        <v>4275.559562977322</v>
      </c>
      <c r="AO488" s="11" t="n">
        <v>19750.22</v>
      </c>
      <c r="AP488" s="21">
        <f>AH488+AN488+AO488</f>
        <v/>
      </c>
      <c r="AQ488" s="21">
        <f>AH488</f>
        <v/>
      </c>
      <c r="AR488" s="15" t="n">
        <v>18038.83</v>
      </c>
      <c r="AS488" s="27" t="n">
        <v>38.806587</v>
      </c>
      <c r="AT488" s="15" t="n">
        <v>42712619.23255512</v>
      </c>
      <c r="AU488" s="15" t="n">
        <v>26489.1993</v>
      </c>
      <c r="AV488" s="15" t="n">
        <v>252.1519</v>
      </c>
      <c r="AW488" s="15" t="n"/>
      <c r="AX488" s="16" t="n">
        <v>434.4182951041072</v>
      </c>
      <c r="AY488" s="13">
        <f>IF(OR(AX488="",AX488=0,AU488=""),"",AU488*365/(AX488*1000000))</f>
        <v/>
      </c>
      <c r="AZ488" s="15" t="n">
        <v>416090231.5661</v>
      </c>
      <c r="BA488" s="17" t="n">
        <v>60487233</v>
      </c>
      <c r="BB488" s="18" t="n">
        <v>42712619.23255512</v>
      </c>
      <c r="BC488" s="17" t="n">
        <v>2971663</v>
      </c>
      <c r="BD488" s="17">
        <f>1000000000-999270009.7499+242323.3758</f>
        <v/>
      </c>
      <c r="BE488" s="19">
        <f>1000000000-AZ488-BA488-BB488-BC488-BD488</f>
        <v/>
      </c>
      <c r="BF488" s="20" t="n">
        <v>234.814938</v>
      </c>
      <c r="BG488" s="20">
        <f>BE488/1000000-BF488</f>
        <v/>
      </c>
      <c r="BH488" s="21">
        <f>BE488*39.45</f>
        <v/>
      </c>
    </row>
    <row r="489">
      <c r="A489" s="10" t="n">
        <v>46111</v>
      </c>
      <c r="B489" s="11" t="n">
        <v>3854816458</v>
      </c>
      <c r="C489" s="11" t="n">
        <v>2301171961.34</v>
      </c>
      <c r="D489" s="11" t="n">
        <v>118096373</v>
      </c>
      <c r="E489" s="11" t="n"/>
      <c r="F489" s="24" t="n">
        <v>1401429317.61901</v>
      </c>
      <c r="G489" s="24" t="n">
        <v>23708534.14802271</v>
      </c>
      <c r="H489" s="24" t="n">
        <v>28997338.04028473</v>
      </c>
      <c r="I489" s="24" t="n">
        <v>508849422.7210203</v>
      </c>
      <c r="J489" s="24" t="n">
        <v>237050.8080044079</v>
      </c>
      <c r="K489" s="24" t="n">
        <v>337950298.0036584</v>
      </c>
      <c r="L489" s="21">
        <f>SUM(F489:K489)</f>
        <v/>
      </c>
      <c r="M489" s="28" t="n">
        <v>1.003940916865706</v>
      </c>
      <c r="N489" s="11" t="n">
        <v>1287341.62</v>
      </c>
      <c r="O489" s="11" t="n">
        <v>237468.99</v>
      </c>
      <c r="P489" s="11" t="n">
        <v>60053.3</v>
      </c>
      <c r="Q489" s="11" t="n"/>
      <c r="R489" s="21">
        <f>N489+O489+P489+N(Q489)</f>
        <v/>
      </c>
      <c r="S489" s="13" t="n">
        <v>0.01</v>
      </c>
      <c r="T489" s="21">
        <f>N(AC489)*S489</f>
        <v/>
      </c>
      <c r="U489" s="21">
        <f>N(AD489)*S489</f>
        <v/>
      </c>
      <c r="V489" s="21">
        <f>N(AE489)*S489</f>
        <v/>
      </c>
      <c r="W489" s="21">
        <f>IF(Q489="","",N(AF489)*S489)</f>
        <v/>
      </c>
      <c r="X489" s="11" t="n">
        <v>7515.9</v>
      </c>
      <c r="Y489" s="11" t="n">
        <v>115507.81</v>
      </c>
      <c r="Z489" s="11" t="n"/>
      <c r="AA489" s="21">
        <f>T489+U489+V489+N(W489)+X489+Y489+N(Z489)</f>
        <v/>
      </c>
      <c r="AB489" s="11" t="n">
        <v>118670.9007</v>
      </c>
      <c r="AC489" s="11" t="n">
        <v>1287341.62</v>
      </c>
      <c r="AD489" s="21">
        <f>O489-Y489</f>
        <v/>
      </c>
      <c r="AE489" s="21">
        <f>P489-X489</f>
        <v/>
      </c>
      <c r="AF489" s="21">
        <f>IF(Q489="","",Q489-Z489)</f>
        <v/>
      </c>
      <c r="AG489" s="22">
        <f>AC489+AD489+AE489+N(AF489)</f>
        <v/>
      </c>
      <c r="AH489" s="11" t="n">
        <v>1240450.63</v>
      </c>
      <c r="AI489" s="24">
        <f>AG489-AH489</f>
        <v/>
      </c>
      <c r="AJ489" s="14">
        <f>IF(OR(B489="",B489=0,N489=""),"",N489/B489*10000)</f>
        <v/>
      </c>
      <c r="AK489" s="14">
        <f>IF(OR(C489="",C489=0),"",O489/C489*10000)</f>
        <v/>
      </c>
      <c r="AL489" s="14">
        <f>IF(OR(D489="",D489=0),"",P489/D489*10000)</f>
        <v/>
      </c>
      <c r="AM489" s="14">
        <f>IF(OR(E489="",E489=0),"",Q489/E489*10000)</f>
        <v/>
      </c>
      <c r="AN489" s="11" t="n">
        <v>13433.30876071425</v>
      </c>
      <c r="AO489" s="11" t="n">
        <v>19938.58</v>
      </c>
      <c r="AP489" s="21">
        <f>AH489+AN489+AO489</f>
        <v/>
      </c>
      <c r="AQ489" s="21">
        <f>AH489</f>
        <v/>
      </c>
      <c r="AR489" s="15" t="n">
        <v>32787.89</v>
      </c>
      <c r="AS489" s="27" t="n">
        <v>37.832585</v>
      </c>
      <c r="AT489" s="15" t="n">
        <v>42745268.37255512</v>
      </c>
      <c r="AU489" s="15" t="n">
        <v>26454.5544</v>
      </c>
      <c r="AV489" s="15" t="n">
        <v>1138.5131</v>
      </c>
      <c r="AW489" s="15" t="n"/>
      <c r="AX489" s="16" t="n">
        <v>434.4944501019287</v>
      </c>
      <c r="AY489" s="13">
        <f>IF(OR(AX489="",AX489=0,AU489=""),"",AU489*365/(AX489*1000000))</f>
        <v/>
      </c>
      <c r="AZ489" s="15" t="n">
        <v>416063777.0118</v>
      </c>
      <c r="BA489" s="17" t="n">
        <v>60487233</v>
      </c>
      <c r="BB489" s="18" t="n">
        <v>42745268.37255512</v>
      </c>
      <c r="BC489" s="17" t="n">
        <v>2971663</v>
      </c>
      <c r="BD489" s="17">
        <f>1000000000-999268871.2368+242673.4842</f>
        <v/>
      </c>
      <c r="BE489" s="19">
        <f>1000000000-AZ489-BA489-BB489-BC489-BD489</f>
        <v/>
      </c>
      <c r="BF489" s="20" t="n">
        <v>234.814938</v>
      </c>
      <c r="BG489" s="20">
        <f>BE489/1000000-BF489</f>
        <v/>
      </c>
      <c r="BH489" s="21">
        <f>BE489*38.38</f>
        <v/>
      </c>
    </row>
    <row r="490">
      <c r="A490" s="10" t="n">
        <v>46112</v>
      </c>
      <c r="B490" s="11" t="n">
        <v>6136073698</v>
      </c>
      <c r="C490" s="11" t="n">
        <v>3634571548.59</v>
      </c>
      <c r="D490" s="11" t="n">
        <v>144809136</v>
      </c>
      <c r="E490" s="11" t="n"/>
      <c r="F490" s="24" t="n">
        <v>2114498421.265003</v>
      </c>
      <c r="G490" s="24" t="n">
        <v>31917189.64834466</v>
      </c>
      <c r="H490" s="24" t="n">
        <v>22994763.92927006</v>
      </c>
      <c r="I490" s="24" t="n">
        <v>1025328749.793898</v>
      </c>
      <c r="J490" s="24" t="n">
        <v>86907.86884997317</v>
      </c>
      <c r="K490" s="24" t="n">
        <v>439745516.0846342</v>
      </c>
      <c r="L490" s="21">
        <f>SUM(F490:K490)</f>
        <v/>
      </c>
      <c r="M490" s="28" t="n">
        <v>1.002772886057753</v>
      </c>
      <c r="N490" s="11" t="n">
        <v>1908549.01</v>
      </c>
      <c r="O490" s="11" t="n">
        <v>365905.01</v>
      </c>
      <c r="P490" s="11" t="n">
        <v>70861.46000000001</v>
      </c>
      <c r="Q490" s="11" t="n"/>
      <c r="R490" s="21">
        <f>N490+O490+P490+N(Q490)</f>
        <v/>
      </c>
      <c r="S490" s="13" t="n">
        <v>0.01</v>
      </c>
      <c r="T490" s="21">
        <f>N(AC490)*S490</f>
        <v/>
      </c>
      <c r="U490" s="21">
        <f>N(AD490)*S490</f>
        <v/>
      </c>
      <c r="V490" s="21">
        <f>N(AE490)*S490</f>
        <v/>
      </c>
      <c r="W490" s="21">
        <f>IF(Q490="","",N(AF490)*S490)</f>
        <v/>
      </c>
      <c r="X490" s="11" t="n">
        <v>11391.84</v>
      </c>
      <c r="Y490" s="11" t="n">
        <v>178832.22</v>
      </c>
      <c r="Z490" s="11" t="n"/>
      <c r="AA490" s="21">
        <f>T490+U490+V490+N(W490)+X490+Y490+N(Z490)</f>
        <v/>
      </c>
      <c r="AB490" s="11" t="n">
        <v>156840.6469</v>
      </c>
      <c r="AC490" s="11" t="n">
        <v>1908549.01</v>
      </c>
      <c r="AD490" s="21">
        <f>O490-Y490</f>
        <v/>
      </c>
      <c r="AE490" s="21">
        <f>P490-X490</f>
        <v/>
      </c>
      <c r="AF490" s="21">
        <f>IF(Q490="","",Q490-Z490)</f>
        <v/>
      </c>
      <c r="AG490" s="22">
        <f>AC490+AD490+AE490+N(AF490)</f>
        <v/>
      </c>
      <c r="AH490" s="11" t="n">
        <v>1834915.22</v>
      </c>
      <c r="AI490" s="24">
        <f>AG490-AH490</f>
        <v/>
      </c>
      <c r="AJ490" s="14">
        <f>IF(OR(B490="",B490=0,N490=""),"",N490/B490*10000)</f>
        <v/>
      </c>
      <c r="AK490" s="14">
        <f>IF(OR(C490="",C490=0),"",O490/C490*10000)</f>
        <v/>
      </c>
      <c r="AL490" s="14">
        <f>IF(OR(D490="",D490=0),"",P490/D490*10000)</f>
        <v/>
      </c>
      <c r="AM490" s="14">
        <f>IF(OR(E490="",E490=0),"",Q490/E490*10000)</f>
        <v/>
      </c>
      <c r="AN490" s="11" t="n">
        <v>8633.906741899928</v>
      </c>
      <c r="AO490" s="11" t="n">
        <v>0</v>
      </c>
      <c r="AP490" s="21">
        <f>AH490+AN490+AO490</f>
        <v/>
      </c>
      <c r="AQ490" s="21">
        <f>AH490</f>
        <v/>
      </c>
      <c r="AR490" s="15" t="n">
        <v>50158.6</v>
      </c>
      <c r="AS490" s="27" t="n">
        <v>36.582265</v>
      </c>
      <c r="AT490" s="15" t="n">
        <v>42797054.99255512</v>
      </c>
      <c r="AU490" s="15" t="n">
        <v>26387.6955</v>
      </c>
      <c r="AV490" s="15" t="n">
        <v>794.1036</v>
      </c>
      <c r="AW490" s="15" t="n"/>
      <c r="AX490" s="16" t="n">
        <v>434.6766307282575</v>
      </c>
      <c r="AY490" s="13">
        <f>IF(OR(AX490="",AX490=0,AU490=""),"",AU490*365/(AX490*1000000))</f>
        <v/>
      </c>
      <c r="AZ490" s="15" t="n">
        <v>416037389.3162</v>
      </c>
      <c r="BA490" s="17" t="n">
        <v>60487233</v>
      </c>
      <c r="BB490" s="18" t="n">
        <v>42797054.99255512</v>
      </c>
      <c r="BC490" s="17" t="n">
        <v>2971663</v>
      </c>
      <c r="BD490" s="17">
        <f>1000000000-999268077.1332+242907.7829</f>
        <v/>
      </c>
      <c r="BE490" s="19">
        <f>1000000000-AZ490-BA490-BB490-BC490-BD490</f>
        <v/>
      </c>
      <c r="BF490" s="20" t="n">
        <v>234.814938</v>
      </c>
      <c r="BG490" s="20">
        <f>BE490/1000000-BF490</f>
        <v/>
      </c>
      <c r="BH490" s="21">
        <f>BE490*36.85</f>
        <v/>
      </c>
    </row>
    <row r="491">
      <c r="A491" s="10" t="n">
        <v>46113</v>
      </c>
      <c r="B491" s="11" t="n">
        <v>5004687725</v>
      </c>
      <c r="C491" s="11" t="n">
        <v>3216513814.66</v>
      </c>
      <c r="D491" s="11" t="n">
        <v>108279589</v>
      </c>
      <c r="E491" s="11" t="n"/>
      <c r="F491" s="24" t="n">
        <v>2049848815.57602</v>
      </c>
      <c r="G491" s="24" t="n">
        <v>18704817.82518731</v>
      </c>
      <c r="H491" s="24" t="n">
        <v>25852204.4685226</v>
      </c>
      <c r="I491" s="24" t="n">
        <v>767347895.7375051</v>
      </c>
      <c r="J491" s="24" t="n">
        <v>79918.45535230293</v>
      </c>
      <c r="K491" s="24" t="n">
        <v>354680162.5974126</v>
      </c>
      <c r="L491" s="21">
        <f>SUM(F491:K491)</f>
        <v/>
      </c>
      <c r="M491" s="28" t="n">
        <v>1.000224170091933</v>
      </c>
      <c r="N491" s="11" t="n">
        <v>1597084.79</v>
      </c>
      <c r="O491" s="11" t="n">
        <v>341089.21</v>
      </c>
      <c r="P491" s="11" t="n">
        <v>53250.54</v>
      </c>
      <c r="Q491" s="11" t="n"/>
      <c r="R491" s="21">
        <f>N491+O491+P491+N(Q491)</f>
        <v/>
      </c>
      <c r="S491" s="13" t="n">
        <v>0.01</v>
      </c>
      <c r="T491" s="21">
        <f>N(AC491)*S491</f>
        <v/>
      </c>
      <c r="U491" s="21">
        <f>N(AD491)*S491</f>
        <v/>
      </c>
      <c r="V491" s="21">
        <f>N(AE491)*S491</f>
        <v/>
      </c>
      <c r="W491" s="21">
        <f>IF(Q491="","",N(AF491)*S491)</f>
        <v/>
      </c>
      <c r="X491" s="11" t="n">
        <v>12732.82</v>
      </c>
      <c r="Y491" s="11" t="n">
        <v>168098.33</v>
      </c>
      <c r="Z491" s="11" t="n"/>
      <c r="AA491" s="21">
        <f>T491+U491+V491+N(W491)+X491+Y491+N(Z491)</f>
        <v/>
      </c>
      <c r="AB491" s="11" t="n">
        <v>145503.2992</v>
      </c>
      <c r="AC491" s="11" t="n">
        <v>1597084.79</v>
      </c>
      <c r="AD491" s="21">
        <f>O491-Y491</f>
        <v/>
      </c>
      <c r="AE491" s="21">
        <f>P491-X491</f>
        <v/>
      </c>
      <c r="AF491" s="21">
        <f>IF(Q491="","",Q491-Z491)</f>
        <v/>
      </c>
      <c r="AG491" s="22">
        <f>AC491+AD491+AE491+N(AF491)</f>
        <v/>
      </c>
      <c r="AH491" s="11" t="n">
        <v>1608560.48</v>
      </c>
      <c r="AI491" s="24">
        <f>AG491-AH491</f>
        <v/>
      </c>
      <c r="AJ491" s="14">
        <f>IF(OR(B491="",B491=0,N491=""),"",N491/B491*10000)</f>
        <v/>
      </c>
      <c r="AK491" s="14">
        <f>IF(OR(C491="",C491=0),"",O491/C491*10000)</f>
        <v/>
      </c>
      <c r="AL491" s="14">
        <f>IF(OR(D491="",D491=0),"",P491/D491*10000)</f>
        <v/>
      </c>
      <c r="AM491" s="14">
        <f>IF(OR(E491="",E491=0),"",Q491/E491*10000)</f>
        <v/>
      </c>
      <c r="AN491" s="11" t="n">
        <v>6777.793290454058</v>
      </c>
      <c r="AO491" s="11" t="n">
        <v>0</v>
      </c>
      <c r="AP491" s="21">
        <f>AH491+AN491+AO491</f>
        <v/>
      </c>
      <c r="AQ491" s="21">
        <f>AH491</f>
        <v/>
      </c>
      <c r="AR491" s="15" t="n">
        <v>43749.54</v>
      </c>
      <c r="AS491" s="27" t="n">
        <v>36.767483</v>
      </c>
      <c r="AT491" s="15" t="n">
        <v>42839299.65255512</v>
      </c>
      <c r="AU491" s="15" t="n">
        <v>26478.4995</v>
      </c>
      <c r="AV491" s="15" t="n">
        <v>971.313</v>
      </c>
      <c r="AW491" s="15" t="n"/>
      <c r="AX491" s="16" t="n">
        <v>435.124449517345</v>
      </c>
      <c r="AY491" s="13">
        <f>IF(OR(AX491="",AX491=0,AU491=""),"",AU491*365/(AX491*1000000))</f>
        <v/>
      </c>
      <c r="AZ491" s="15" t="n">
        <v>416010910.8168</v>
      </c>
      <c r="BA491" s="17" t="n">
        <v>60487233</v>
      </c>
      <c r="BB491" s="18" t="n">
        <v>42839299.65255512</v>
      </c>
      <c r="BC491" s="17" t="n">
        <v>2971663</v>
      </c>
      <c r="BD491" s="17">
        <f>1000000000-999267105.8202+243093.4097</f>
        <v/>
      </c>
      <c r="BE491" s="19">
        <f>1000000000-AZ491-BA491-BB491-BC491-BD491</f>
        <v/>
      </c>
      <c r="BF491" s="20" t="n">
        <v>234.814938</v>
      </c>
      <c r="BG491" s="20">
        <f>BE491/1000000-BF491</f>
        <v/>
      </c>
      <c r="BH491" s="21">
        <f>BE491*36.5</f>
        <v/>
      </c>
    </row>
    <row r="492">
      <c r="A492" s="10" t="n">
        <v>46114</v>
      </c>
      <c r="B492" s="11" t="n">
        <v>5255683063</v>
      </c>
      <c r="C492" s="11" t="n">
        <v>4280563989.07</v>
      </c>
      <c r="D492" s="11" t="n">
        <v>139050159</v>
      </c>
      <c r="E492" s="11" t="n"/>
      <c r="F492" s="24" t="n">
        <v>2764187904.699021</v>
      </c>
      <c r="G492" s="24" t="n">
        <v>25745126.8957977</v>
      </c>
      <c r="H492" s="24" t="n">
        <v>25557700.21788038</v>
      </c>
      <c r="I492" s="24" t="n">
        <v>1046146254.117875</v>
      </c>
      <c r="J492" s="24" t="n">
        <v>211851.2801140147</v>
      </c>
      <c r="K492" s="24" t="n">
        <v>418715151.8593133</v>
      </c>
      <c r="L492" s="21">
        <f>SUM(F492:K492)</f>
        <v/>
      </c>
      <c r="M492" s="28" t="n">
        <v>1.000279893875984</v>
      </c>
      <c r="N492" s="11" t="n">
        <v>1725001.4</v>
      </c>
      <c r="O492" s="11" t="n">
        <v>499348.56</v>
      </c>
      <c r="P492" s="11" t="n">
        <v>68382.92999999999</v>
      </c>
      <c r="Q492" s="11" t="n"/>
      <c r="R492" s="21">
        <f>N492+O492+P492+N(Q492)</f>
        <v/>
      </c>
      <c r="S492" s="13" t="n">
        <v>0.01</v>
      </c>
      <c r="T492" s="21">
        <f>N(AC492)*S492</f>
        <v/>
      </c>
      <c r="U492" s="21">
        <f>N(AD492)*S492</f>
        <v/>
      </c>
      <c r="V492" s="21">
        <f>N(AE492)*S492</f>
        <v/>
      </c>
      <c r="W492" s="21">
        <f>IF(Q492="","",N(AF492)*S492)</f>
        <v/>
      </c>
      <c r="X492" s="11" t="n">
        <v>9796.360000000001</v>
      </c>
      <c r="Y492" s="11" t="n">
        <v>246194.24</v>
      </c>
      <c r="Z492" s="11" t="n"/>
      <c r="AA492" s="21">
        <f>T492+U492+V492+N(W492)+X492+Y492+N(Z492)</f>
        <v/>
      </c>
      <c r="AB492" s="11" t="n">
        <v>196587.3649</v>
      </c>
      <c r="AC492" s="11" t="n">
        <v>1725001.4</v>
      </c>
      <c r="AD492" s="21">
        <f>O492-Y492</f>
        <v/>
      </c>
      <c r="AE492" s="21">
        <f>P492-X492</f>
        <v/>
      </c>
      <c r="AF492" s="21">
        <f>IF(Q492="","",Q492-Z492)</f>
        <v/>
      </c>
      <c r="AG492" s="22">
        <f>AC492+AD492+AE492+N(AF492)</f>
        <v/>
      </c>
      <c r="AH492" s="11" t="n">
        <v>1732229.66</v>
      </c>
      <c r="AI492" s="24">
        <f>AG492-AH492</f>
        <v/>
      </c>
      <c r="AJ492" s="14">
        <f>IF(OR(B492="",B492=0,N492=""),"",N492/B492*10000)</f>
        <v/>
      </c>
      <c r="AK492" s="14">
        <f>IF(OR(C492="",C492=0),"",O492/C492*10000)</f>
        <v/>
      </c>
      <c r="AL492" s="14">
        <f>IF(OR(D492="",D492=0),"",P492/D492*10000)</f>
        <v/>
      </c>
      <c r="AM492" s="14">
        <f>IF(OR(E492="",E492=0),"",Q492/E492*10000)</f>
        <v/>
      </c>
      <c r="AN492" s="11" t="n">
        <v>5138.851470896767</v>
      </c>
      <c r="AO492" s="11" t="n">
        <v>0</v>
      </c>
      <c r="AP492" s="21">
        <f>AH492+AN492+AO492</f>
        <v/>
      </c>
      <c r="AQ492" s="21">
        <f>AH492</f>
        <v/>
      </c>
      <c r="AR492" s="15" t="n">
        <v>49360.33</v>
      </c>
      <c r="AS492" s="27" t="n">
        <v>35.093559</v>
      </c>
      <c r="AT492" s="15" t="n">
        <v>42888622.73255512</v>
      </c>
      <c r="AU492" s="15" t="n">
        <v>26459.0968</v>
      </c>
      <c r="AV492" s="15" t="n">
        <v>283.5728</v>
      </c>
      <c r="AW492" s="15" t="n"/>
      <c r="AX492" s="16" t="n">
        <v>432.4425954627319</v>
      </c>
      <c r="AY492" s="13">
        <f>IF(OR(AX492="",AX492=0,AU492=""),"",AU492*365/(AX492*1000000))</f>
        <v/>
      </c>
      <c r="AZ492" s="15" t="n">
        <v>415984451.7199</v>
      </c>
      <c r="BA492" s="17" t="n">
        <v>60487233</v>
      </c>
      <c r="BB492" s="18" t="n">
        <v>42888622.73255512</v>
      </c>
      <c r="BC492" s="17" t="n">
        <v>2971663</v>
      </c>
      <c r="BD492" s="17">
        <f>1000000000-999266822.2474+243236.1913</f>
        <v/>
      </c>
      <c r="BE492" s="19">
        <f>1000000000-AZ492-BA492-BB492-BC492-BD492</f>
        <v/>
      </c>
      <c r="BF492" s="20" t="n">
        <v>234.814938</v>
      </c>
      <c r="BG492" s="20">
        <f>BE492/1000000-BF492</f>
        <v/>
      </c>
      <c r="BH492" s="21">
        <f>BE492*36</f>
        <v/>
      </c>
    </row>
    <row r="493">
      <c r="A493" s="10" t="n">
        <v>46115</v>
      </c>
      <c r="B493" s="11" t="n">
        <v>2430668320</v>
      </c>
      <c r="C493" s="11" t="n">
        <v>475884063.57</v>
      </c>
      <c r="D493" s="11" t="n">
        <v>72708450</v>
      </c>
      <c r="E493" s="11" t="n"/>
      <c r="F493" s="24" t="n">
        <v>255621958.7286853</v>
      </c>
      <c r="G493" s="24" t="n">
        <v>12316064.62379921</v>
      </c>
      <c r="H493" s="24" t="n">
        <v>9706981.166486552</v>
      </c>
      <c r="I493" s="24" t="n">
        <v>148221017.0873384</v>
      </c>
      <c r="J493" s="24" t="n">
        <v>65007.6121795634</v>
      </c>
      <c r="K493" s="24" t="n">
        <v>49953034.35151102</v>
      </c>
      <c r="L493" s="21">
        <f>SUM(F493:K493)</f>
        <v/>
      </c>
      <c r="M493" s="28" t="n">
        <v>0.9989425330771614</v>
      </c>
      <c r="N493" s="11" t="n">
        <v>788362</v>
      </c>
      <c r="O493" s="11" t="n">
        <v>87310.31</v>
      </c>
      <c r="P493" s="11" t="n">
        <v>36711.75</v>
      </c>
      <c r="Q493" s="11" t="n"/>
      <c r="R493" s="21">
        <f>N493+O493+P493+N(Q493)</f>
        <v/>
      </c>
      <c r="S493" s="13" t="n">
        <v>0.01</v>
      </c>
      <c r="T493" s="21">
        <f>N(AC493)*S493</f>
        <v/>
      </c>
      <c r="U493" s="21">
        <f>N(AD493)*S493</f>
        <v/>
      </c>
      <c r="V493" s="21">
        <f>N(AE493)*S493</f>
        <v/>
      </c>
      <c r="W493" s="21">
        <f>IF(Q493="","",N(AF493)*S493)</f>
        <v/>
      </c>
      <c r="X493" s="11" t="n">
        <v>5910.96</v>
      </c>
      <c r="Y493" s="11" t="n">
        <v>41928.82</v>
      </c>
      <c r="Z493" s="11" t="n"/>
      <c r="AA493" s="21">
        <f>T493+U493+V493+N(W493)+X493+Y493+N(Z493)</f>
        <v/>
      </c>
      <c r="AB493" s="11" t="n">
        <v>67043.1211</v>
      </c>
      <c r="AC493" s="11" t="n">
        <v>788362</v>
      </c>
      <c r="AD493" s="21">
        <f>O493-Y493</f>
        <v/>
      </c>
      <c r="AE493" s="21">
        <f>P493-X493</f>
        <v/>
      </c>
      <c r="AF493" s="21">
        <f>IF(Q493="","",Q493-Z493)</f>
        <v/>
      </c>
      <c r="AG493" s="22">
        <f>AC493+AD493+AE493+N(AF493)</f>
        <v/>
      </c>
      <c r="AH493" s="11" t="n">
        <v>750398.22</v>
      </c>
      <c r="AI493" s="24">
        <f>AG493-AH493</f>
        <v/>
      </c>
      <c r="AJ493" s="14">
        <f>IF(OR(B493="",B493=0,N493=""),"",N493/B493*10000)</f>
        <v/>
      </c>
      <c r="AK493" s="14">
        <f>IF(OR(C493="",C493=0),"",O493/C493*10000)</f>
        <v/>
      </c>
      <c r="AL493" s="14">
        <f>IF(OR(D493="",D493=0),"",P493/D493*10000)</f>
        <v/>
      </c>
      <c r="AM493" s="14">
        <f>IF(OR(E493="",E493=0),"",Q493/E493*10000)</f>
        <v/>
      </c>
      <c r="AN493" s="11" t="n">
        <v>2730.180522242762</v>
      </c>
      <c r="AO493" s="11" t="n">
        <v>0</v>
      </c>
      <c r="AP493" s="21">
        <f>AH493+AN493+AO493</f>
        <v/>
      </c>
      <c r="AQ493" s="21">
        <f>AH493</f>
        <v/>
      </c>
      <c r="AR493" s="15" t="n">
        <v>21013.16</v>
      </c>
      <c r="AS493" s="27" t="n">
        <v>35.71087</v>
      </c>
      <c r="AT493" s="15" t="n">
        <v>42909162.12255512</v>
      </c>
      <c r="AU493" s="15" t="n">
        <v>26361.2491</v>
      </c>
      <c r="AV493" s="15" t="n">
        <v>985.9113</v>
      </c>
      <c r="AW493" s="15" t="n"/>
      <c r="AX493" s="16" t="n">
        <v>432.5445550937565</v>
      </c>
      <c r="AY493" s="13">
        <f>IF(OR(AX493="",AX493=0,AU493=""),"",AU493*365/(AX493*1000000))</f>
        <v/>
      </c>
      <c r="AZ493" s="15" t="n">
        <v>415958090.4708</v>
      </c>
      <c r="BA493" s="17" t="n">
        <v>60487233</v>
      </c>
      <c r="BB493" s="18" t="n">
        <v>42909162.12255512</v>
      </c>
      <c r="BC493" s="17" t="n">
        <v>2971663</v>
      </c>
      <c r="BD493" s="17">
        <f>1000000000-999265836.3361+243313.7356</f>
        <v/>
      </c>
      <c r="BE493" s="19">
        <f>1000000000-AZ493-BA493-BB493-BC493-BD493</f>
        <v/>
      </c>
      <c r="BF493" s="20" t="n">
        <v>234.814938</v>
      </c>
      <c r="BG493" s="20">
        <f>BE493/1000000-BF493</f>
        <v/>
      </c>
      <c r="BH493" s="21">
        <f>BE493*35.23</f>
        <v/>
      </c>
    </row>
    <row r="494">
      <c r="A494" s="10" t="n">
        <v>46116</v>
      </c>
      <c r="B494" s="11" t="n">
        <v>1226038192</v>
      </c>
      <c r="C494" s="11" t="n">
        <v>213978563.37</v>
      </c>
      <c r="D494" s="11" t="n">
        <v>44176365</v>
      </c>
      <c r="E494" s="11" t="n"/>
      <c r="F494" s="24" t="n">
        <v>123751809.9810638</v>
      </c>
      <c r="G494" s="24" t="n">
        <v>7891012.658338258</v>
      </c>
      <c r="H494" s="24" t="n">
        <v>8667364.030396143</v>
      </c>
      <c r="I494" s="24" t="n">
        <v>51622557.81412335</v>
      </c>
      <c r="J494" s="24" t="n">
        <v>41491.39229527188</v>
      </c>
      <c r="K494" s="24" t="n">
        <v>22004327.4937832</v>
      </c>
      <c r="L494" s="21">
        <f>SUM(F494:K494)</f>
        <v/>
      </c>
      <c r="M494" s="28" t="n">
        <v>0.9995356496111882</v>
      </c>
      <c r="N494" s="11" t="n">
        <v>432617.48</v>
      </c>
      <c r="O494" s="11" t="n">
        <v>44500.99</v>
      </c>
      <c r="P494" s="11" t="n">
        <v>27228.82</v>
      </c>
      <c r="Q494" s="11" t="n"/>
      <c r="R494" s="21">
        <f>N494+O494+P494+N(Q494)</f>
        <v/>
      </c>
      <c r="S494" s="13" t="n">
        <v>0.01</v>
      </c>
      <c r="T494" s="21">
        <f>N(AC494)*S494</f>
        <v/>
      </c>
      <c r="U494" s="21">
        <f>N(AD494)*S494</f>
        <v/>
      </c>
      <c r="V494" s="21">
        <f>N(AE494)*S494</f>
        <v/>
      </c>
      <c r="W494" s="21">
        <f>IF(Q494="","",N(AF494)*S494)</f>
        <v/>
      </c>
      <c r="X494" s="11" t="n">
        <v>6433.71</v>
      </c>
      <c r="Y494" s="11" t="n">
        <v>21122.73</v>
      </c>
      <c r="Z494" s="11" t="n"/>
      <c r="AA494" s="21">
        <f>T494+U494+V494+N(W494)+X494+Y494+N(Z494)</f>
        <v/>
      </c>
      <c r="AB494" s="11" t="n">
        <v>47758.42020000001</v>
      </c>
      <c r="AC494" s="11" t="n">
        <v>432617.48</v>
      </c>
      <c r="AD494" s="21">
        <f>O494-Y494</f>
        <v/>
      </c>
      <c r="AE494" s="21">
        <f>P494-X494</f>
        <v/>
      </c>
      <c r="AF494" s="21">
        <f>IF(Q494="","",Q494-Z494)</f>
        <v/>
      </c>
      <c r="AG494" s="22">
        <f>AC494+AD494+AE494+N(AF494)</f>
        <v/>
      </c>
      <c r="AH494" s="11" t="n">
        <v>387540.53</v>
      </c>
      <c r="AI494" s="24">
        <f>AG494-AH494</f>
        <v/>
      </c>
      <c r="AJ494" s="14">
        <f>IF(OR(B494="",B494=0,N494=""),"",N494/B494*10000)</f>
        <v/>
      </c>
      <c r="AK494" s="14">
        <f>IF(OR(C494="",C494=0),"",O494/C494*10000)</f>
        <v/>
      </c>
      <c r="AL494" s="14">
        <f>IF(OR(D494="",D494=0),"",P494/D494*10000)</f>
        <v/>
      </c>
      <c r="AM494" s="14">
        <f>IF(OR(E494="",E494=0),"",Q494/E494*10000)</f>
        <v/>
      </c>
      <c r="AN494" s="11" t="n">
        <v>1772.136520513249</v>
      </c>
      <c r="AO494" s="11" t="n">
        <v>0</v>
      </c>
      <c r="AP494" s="21">
        <f>AH494+AN494+AO494</f>
        <v/>
      </c>
      <c r="AQ494" s="21">
        <f>AH494</f>
        <v/>
      </c>
      <c r="AR494" s="15" t="n">
        <v>10794.08</v>
      </c>
      <c r="AS494" s="27" t="n">
        <v>35.903063</v>
      </c>
      <c r="AT494" s="15" t="n">
        <v>42920232.58255512</v>
      </c>
      <c r="AU494" s="15" t="n">
        <v>26401.5238</v>
      </c>
      <c r="AV494" s="15" t="n">
        <v>800.5732</v>
      </c>
      <c r="AW494" s="15" t="n"/>
      <c r="AX494" s="16" t="n">
        <v>432.2551716996252</v>
      </c>
      <c r="AY494" s="13">
        <f>IF(OR(AX494="",AX494=0,AU494=""),"",AU494*365/(AX494*1000000))</f>
        <v/>
      </c>
      <c r="AZ494" s="15" t="n">
        <v>415931688.9471</v>
      </c>
      <c r="BA494" s="17" t="n">
        <v>60487233</v>
      </c>
      <c r="BB494" s="18" t="n">
        <v>42920232.58255512</v>
      </c>
      <c r="BC494" s="17" t="n">
        <v>2971663</v>
      </c>
      <c r="BD494" s="17">
        <f>1000000000-999265035.7629+243363.5049</f>
        <v/>
      </c>
      <c r="BE494" s="19">
        <f>1000000000-AZ494-BA494-BB494-BC494-BD494</f>
        <v/>
      </c>
      <c r="BF494" s="20" t="n">
        <v>234.814938</v>
      </c>
      <c r="BG494" s="20">
        <f>BE494/1000000-BF494</f>
        <v/>
      </c>
      <c r="BH494" s="21">
        <f>BE494*35.63</f>
        <v/>
      </c>
    </row>
    <row r="495">
      <c r="A495" s="10" t="n">
        <v>46117</v>
      </c>
      <c r="B495" s="11" t="n">
        <v>2432535927</v>
      </c>
      <c r="C495" s="11" t="n">
        <v>761150509.46</v>
      </c>
      <c r="D495" s="11" t="n">
        <v>66191263</v>
      </c>
      <c r="E495" s="11" t="n"/>
      <c r="F495" s="24" t="n">
        <v>550647800.7831377</v>
      </c>
      <c r="G495" s="24" t="n">
        <v>12816225.16339998</v>
      </c>
      <c r="H495" s="24" t="n">
        <v>5837872.725621181</v>
      </c>
      <c r="I495" s="24" t="n">
        <v>136545169.5967195</v>
      </c>
      <c r="J495" s="24" t="n">
        <v>18095.14488291533</v>
      </c>
      <c r="K495" s="24" t="n">
        <v>55285346.04623881</v>
      </c>
      <c r="L495" s="21">
        <f>SUM(F495:K495)</f>
        <v/>
      </c>
      <c r="M495" s="28" t="n">
        <v>1.02585400471082</v>
      </c>
      <c r="N495" s="11" t="n">
        <v>844695.67</v>
      </c>
      <c r="O495" s="11" t="n">
        <v>103287.57</v>
      </c>
      <c r="P495" s="11" t="n">
        <v>35171.59</v>
      </c>
      <c r="Q495" s="11" t="n"/>
      <c r="R495" s="21">
        <f>N495+O495+P495+N(Q495)</f>
        <v/>
      </c>
      <c r="S495" s="13" t="n">
        <v>0.01</v>
      </c>
      <c r="T495" s="21">
        <f>N(AC495)*S495</f>
        <v/>
      </c>
      <c r="U495" s="21">
        <f>N(AD495)*S495</f>
        <v/>
      </c>
      <c r="V495" s="21">
        <f>N(AE495)*S495</f>
        <v/>
      </c>
      <c r="W495" s="21">
        <f>IF(Q495="","",N(AF495)*S495)</f>
        <v/>
      </c>
      <c r="X495" s="11" t="n">
        <v>6788.39</v>
      </c>
      <c r="Y495" s="11" t="n">
        <v>49943.55</v>
      </c>
      <c r="Z495" s="11" t="n"/>
      <c r="AA495" s="21">
        <f>T495+U495+V495+N(W495)+X495+Y495+N(Z495)</f>
        <v/>
      </c>
      <c r="AB495" s="11" t="n">
        <v>83224.69189999999</v>
      </c>
      <c r="AC495" s="11" t="n">
        <v>844695.67</v>
      </c>
      <c r="AD495" s="21">
        <f>O495-Y495</f>
        <v/>
      </c>
      <c r="AE495" s="21">
        <f>P495-X495</f>
        <v/>
      </c>
      <c r="AF495" s="21">
        <f>IF(Q495="","",Q495-Z495)</f>
        <v/>
      </c>
      <c r="AG495" s="22">
        <f>AC495+AD495+AE495+N(AF495)</f>
        <v/>
      </c>
      <c r="AH495" s="11" t="n">
        <v>584199.17</v>
      </c>
      <c r="AI495" s="24">
        <f>AG495-AH495</f>
        <v/>
      </c>
      <c r="AJ495" s="14">
        <f>IF(OR(B495="",B495=0,N495=""),"",N495/B495*10000)</f>
        <v/>
      </c>
      <c r="AK495" s="14">
        <f>IF(OR(C495="",C495=0),"",O495/C495*10000)</f>
        <v/>
      </c>
      <c r="AL495" s="14">
        <f>IF(OR(D495="",D495=0),"",P495/D495*10000)</f>
        <v/>
      </c>
      <c r="AM495" s="14">
        <f>IF(OR(E495="",E495=0),"",Q495/E495*10000)</f>
        <v/>
      </c>
      <c r="AN495" s="11" t="n">
        <v>2894.024783761015</v>
      </c>
      <c r="AO495" s="11" t="n">
        <v>0</v>
      </c>
      <c r="AP495" s="21">
        <f>AH495+AN495+AO495</f>
        <v/>
      </c>
      <c r="AQ495" s="21">
        <f>AH495</f>
        <v/>
      </c>
      <c r="AR495" s="15" t="n">
        <v>16362.22</v>
      </c>
      <c r="AS495" s="27" t="n">
        <v>35.704151</v>
      </c>
      <c r="AT495" s="15" t="n">
        <v>42945222.82255512</v>
      </c>
      <c r="AU495" s="15" t="n">
        <v>26393.4448</v>
      </c>
      <c r="AV495" s="15" t="n">
        <v>125.9566</v>
      </c>
      <c r="AW495" s="15" t="n"/>
      <c r="AX495" s="16" t="n">
        <v>432.32199747544</v>
      </c>
      <c r="AY495" s="13">
        <f>IF(OR(AX495="",AX495=0,AU495=""),"",AU495*365/(AX495*1000000))</f>
        <v/>
      </c>
      <c r="AZ495" s="15" t="n">
        <v>415905295.5022</v>
      </c>
      <c r="BA495" s="17" t="n">
        <v>60487233</v>
      </c>
      <c r="BB495" s="18" t="n">
        <v>42945222.82255512</v>
      </c>
      <c r="BC495" s="17" t="n">
        <v>2971663</v>
      </c>
      <c r="BD495" s="17">
        <f>1000000000-999264909.8064+243443.4261</f>
        <v/>
      </c>
      <c r="BE495" s="19">
        <f>1000000000-AZ495-BA495-BB495-BC495-BD495</f>
        <v/>
      </c>
      <c r="BF495" s="20" t="n">
        <v>234.814938</v>
      </c>
      <c r="BG495" s="20">
        <f>BE495/1000000-BF495</f>
        <v/>
      </c>
      <c r="BH495" s="21">
        <f>BE495*36.23</f>
        <v/>
      </c>
    </row>
    <row r="496">
      <c r="A496" s="10" t="n">
        <v>46118</v>
      </c>
      <c r="B496" s="11" t="n">
        <v>4590159583</v>
      </c>
      <c r="C496" s="11" t="n">
        <v>2683428727.1</v>
      </c>
      <c r="D496" s="11" t="n">
        <v>99855394</v>
      </c>
      <c r="E496" s="11" t="n"/>
      <c r="F496" s="24" t="n">
        <v>1786521636.354664</v>
      </c>
      <c r="G496" s="24" t="n">
        <v>21043559.70714382</v>
      </c>
      <c r="H496" s="24" t="n">
        <v>19510567.76546757</v>
      </c>
      <c r="I496" s="24" t="n">
        <v>583275869.2369438</v>
      </c>
      <c r="J496" s="24" t="n">
        <v>34304.53938054267</v>
      </c>
      <c r="K496" s="24" t="n">
        <v>273042789.4963998</v>
      </c>
      <c r="L496" s="21">
        <f>SUM(F496:K496)</f>
        <v/>
      </c>
      <c r="M496" s="28" t="n">
        <v>1.002997642496509</v>
      </c>
      <c r="N496" s="11" t="n">
        <v>1533737.37</v>
      </c>
      <c r="O496" s="11" t="n">
        <v>269461.92</v>
      </c>
      <c r="P496" s="11" t="n">
        <v>52177.24</v>
      </c>
      <c r="Q496" s="11" t="n"/>
      <c r="R496" s="21">
        <f>N496+O496+P496+N(Q496)</f>
        <v/>
      </c>
      <c r="S496" s="13" t="n">
        <v>0.01</v>
      </c>
      <c r="T496" s="21">
        <f>N(AC496)*S496</f>
        <v/>
      </c>
      <c r="U496" s="21">
        <f>N(AD496)*S496</f>
        <v/>
      </c>
      <c r="V496" s="21">
        <f>N(AE496)*S496</f>
        <v/>
      </c>
      <c r="W496" s="21">
        <f>IF(Q496="","",N(AF496)*S496)</f>
        <v/>
      </c>
      <c r="X496" s="11" t="n">
        <v>12435.46</v>
      </c>
      <c r="Y496" s="11" t="n">
        <v>132000.34</v>
      </c>
      <c r="Z496" s="11" t="n"/>
      <c r="AA496" s="21">
        <f>T496+U496+V496+N(W496)+X496+Y496+N(Z496)</f>
        <v/>
      </c>
      <c r="AB496" s="11" t="n">
        <v>120838.8174</v>
      </c>
      <c r="AC496" s="11" t="n">
        <v>1533737.37</v>
      </c>
      <c r="AD496" s="21">
        <f>O496-Y496</f>
        <v/>
      </c>
      <c r="AE496" s="21">
        <f>P496-X496</f>
        <v/>
      </c>
      <c r="AF496" s="21">
        <f>IF(Q496="","",Q496-Z496)</f>
        <v/>
      </c>
      <c r="AG496" s="22">
        <f>AC496+AD496+AE496+N(AF496)</f>
        <v/>
      </c>
      <c r="AH496" s="11" t="n">
        <v>1704830.87</v>
      </c>
      <c r="AI496" s="24">
        <f>AG496-AH496</f>
        <v/>
      </c>
      <c r="AJ496" s="14">
        <f>IF(OR(B496="",B496=0,N496=""),"",N496/B496*10000)</f>
        <v/>
      </c>
      <c r="AK496" s="14">
        <f>IF(OR(C496="",C496=0),"",O496/C496*10000)</f>
        <v/>
      </c>
      <c r="AL496" s="14">
        <f>IF(OR(D496="",D496=0),"",P496/D496*10000)</f>
        <v/>
      </c>
      <c r="AM496" s="14">
        <f>IF(OR(E496="",E496=0),"",Q496/E496*10000)</f>
        <v/>
      </c>
      <c r="AN496" s="11" t="n">
        <v>6572.948748723746</v>
      </c>
      <c r="AO496" s="11" t="n">
        <v>0</v>
      </c>
      <c r="AP496" s="21">
        <f>AH496+AN496+AO496</f>
        <v/>
      </c>
      <c r="AQ496" s="21">
        <f>AH496</f>
        <v/>
      </c>
      <c r="AR496" s="15" t="n">
        <v>46080.62</v>
      </c>
      <c r="AS496" s="27" t="n">
        <v>36.9967</v>
      </c>
      <c r="AT496" s="15" t="n">
        <v>42982589.28255512</v>
      </c>
      <c r="AU496" s="15" t="n">
        <v>26398.4528</v>
      </c>
      <c r="AV496" s="15" t="n">
        <v>170.212</v>
      </c>
      <c r="AW496" s="15" t="n">
        <v>330000</v>
      </c>
      <c r="AX496" s="16" t="n">
        <v>432.2537079725136</v>
      </c>
      <c r="AY496" s="13">
        <f>IF(OR(AX496="",AX496=0,AU496=""),"",AU496*365/(AX496*1000000))</f>
        <v/>
      </c>
      <c r="AZ496" s="15" t="n">
        <v>415878897.0495</v>
      </c>
      <c r="BA496" s="17" t="n">
        <v>60487233</v>
      </c>
      <c r="BB496" s="18" t="n">
        <v>42982589.28255512</v>
      </c>
      <c r="BC496" s="17" t="n">
        <v>2971663</v>
      </c>
      <c r="BD496" s="17">
        <f>1000000000-999264739.5943+243622.6769</f>
        <v/>
      </c>
      <c r="BE496" s="19">
        <f>1000000000-AZ496-BA496-BB496-BC496-BD496</f>
        <v/>
      </c>
      <c r="BF496" s="20" t="n">
        <v>234.484938</v>
      </c>
      <c r="BG496" s="20">
        <f>BE496/1000000-BF496</f>
        <v/>
      </c>
      <c r="BH496" s="21">
        <f>BE496*36.67</f>
        <v/>
      </c>
    </row>
    <row r="497">
      <c r="A497" s="10" t="n">
        <v>46119</v>
      </c>
      <c r="B497" s="11" t="n">
        <v>6302578551</v>
      </c>
      <c r="C497" s="11" t="n">
        <v>5567631158.02</v>
      </c>
      <c r="D497" s="11" t="n">
        <v>174585201</v>
      </c>
      <c r="E497" s="11" t="n"/>
      <c r="F497" s="24" t="n">
        <v>4010214298.123486</v>
      </c>
      <c r="G497" s="24" t="n">
        <v>28308396.10839962</v>
      </c>
      <c r="H497" s="24" t="n">
        <v>16828138.81050548</v>
      </c>
      <c r="I497" s="24" t="n">
        <v>1130520129.183606</v>
      </c>
      <c r="J497" s="24" t="n">
        <v>926067.1357886444</v>
      </c>
      <c r="K497" s="24" t="n">
        <v>380834128.6582152</v>
      </c>
      <c r="L497" s="21">
        <f>SUM(F497:K497)</f>
        <v/>
      </c>
      <c r="M497" s="28" t="n">
        <v>1.011021414846108</v>
      </c>
      <c r="N497" s="11" t="n">
        <v>2156488.81</v>
      </c>
      <c r="O497" s="11" t="n">
        <v>502540.73</v>
      </c>
      <c r="P497" s="11" t="n">
        <v>83207.91</v>
      </c>
      <c r="Q497" s="11" t="n"/>
      <c r="R497" s="21">
        <f>N497+O497+P497+N(Q497)</f>
        <v/>
      </c>
      <c r="S497" s="13" t="n">
        <v>0.01</v>
      </c>
      <c r="T497" s="21">
        <f>N(AC497)*S497</f>
        <v/>
      </c>
      <c r="U497" s="21">
        <f>N(AD497)*S497</f>
        <v/>
      </c>
      <c r="V497" s="21">
        <f>N(AE497)*S497</f>
        <v/>
      </c>
      <c r="W497" s="21">
        <f>IF(Q497="","",N(AF497)*S497)</f>
        <v/>
      </c>
      <c r="X497" s="11" t="n">
        <v>23002.05</v>
      </c>
      <c r="Y497" s="11" t="n">
        <v>247825.81</v>
      </c>
      <c r="Z497" s="11" t="n"/>
      <c r="AA497" s="21">
        <f>T497+U497+V497+N(W497)+X497+Y497+N(Z497)</f>
        <v/>
      </c>
      <c r="AB497" s="11" t="n">
        <v>175887.9981</v>
      </c>
      <c r="AC497" s="11" t="n">
        <v>2156488.81</v>
      </c>
      <c r="AD497" s="21">
        <f>O497-Y497</f>
        <v/>
      </c>
      <c r="AE497" s="21">
        <f>P497-X497</f>
        <v/>
      </c>
      <c r="AF497" s="21">
        <f>IF(Q497="","",Q497-Z497)</f>
        <v/>
      </c>
      <c r="AG497" s="22">
        <f>AC497+AD497+AE497+N(AF497)</f>
        <v/>
      </c>
      <c r="AH497" s="11" t="n">
        <v>1312533.34</v>
      </c>
      <c r="AI497" s="24">
        <f>AG497-AH497</f>
        <v/>
      </c>
      <c r="AJ497" s="14">
        <f>IF(OR(B497="",B497=0,N497=""),"",N497/B497*10000)</f>
        <v/>
      </c>
      <c r="AK497" s="14">
        <f>IF(OR(C497="",C497=0),"",O497/C497*10000)</f>
        <v/>
      </c>
      <c r="AL497" s="14">
        <f>IF(OR(D497="",D497=0),"",P497/D497*10000)</f>
        <v/>
      </c>
      <c r="AM497" s="14">
        <f>IF(OR(E497="",E497=0),"",Q497/E497*10000)</f>
        <v/>
      </c>
      <c r="AN497" s="11" t="n">
        <v>9696.05685814286</v>
      </c>
      <c r="AO497" s="11" t="n">
        <v>18147.78</v>
      </c>
      <c r="AP497" s="21">
        <f>AH497+AN497+AO497</f>
        <v/>
      </c>
      <c r="AQ497" s="21">
        <f>AH497</f>
        <v/>
      </c>
      <c r="AR497" s="15" t="n">
        <v>35674.93</v>
      </c>
      <c r="AS497" s="27" t="n">
        <v>36.791476</v>
      </c>
      <c r="AT497" s="15" t="n">
        <v>43028187.78255512</v>
      </c>
      <c r="AU497" s="15" t="n">
        <v>26394.3754</v>
      </c>
      <c r="AV497" s="15" t="n">
        <v>1310.5848</v>
      </c>
      <c r="AW497" s="15" t="n"/>
      <c r="AX497" s="16" t="n">
        <v>432.1951870901908</v>
      </c>
      <c r="AY497" s="13">
        <f>IF(OR(AX497="",AX497=0,AU497=""),"",AU497*365/(AX497*1000000))</f>
        <v/>
      </c>
      <c r="AZ497" s="15" t="n">
        <v>415852502.6741</v>
      </c>
      <c r="BA497" s="17" t="n">
        <v>60487233</v>
      </c>
      <c r="BB497" s="18" t="n">
        <v>43028187.78255512</v>
      </c>
      <c r="BC497" s="17" t="n">
        <v>2971663</v>
      </c>
      <c r="BD497" s="17">
        <f>1000000000-999263429.0095+243888.6283</f>
        <v/>
      </c>
      <c r="BE497" s="19">
        <f>1000000000-AZ497-BA497-BB497-BC497-BD497</f>
        <v/>
      </c>
      <c r="BF497" s="20" t="n">
        <v>234.484938</v>
      </c>
      <c r="BG497" s="20">
        <f>BE497/1000000-BF497</f>
        <v/>
      </c>
      <c r="BH497" s="21">
        <f>BE497*36.47</f>
        <v/>
      </c>
    </row>
    <row r="498">
      <c r="A498" s="10" t="n">
        <v>46120</v>
      </c>
      <c r="B498" s="11" t="n">
        <v>5063425033</v>
      </c>
      <c r="C498" s="11" t="n">
        <v>4705143135.69</v>
      </c>
      <c r="D498" s="11" t="n">
        <v>217216099</v>
      </c>
      <c r="E498" s="11" t="n"/>
      <c r="F498" s="24" t="n">
        <v>3403041328.053787</v>
      </c>
      <c r="G498" s="24" t="n">
        <v>26116824.74083937</v>
      </c>
      <c r="H498" s="24" t="n">
        <v>12280494.93048021</v>
      </c>
      <c r="I498" s="24" t="n">
        <v>831260794.5089656</v>
      </c>
      <c r="J498" s="24" t="n">
        <v>629613.3182534423</v>
      </c>
      <c r="K498" s="24" t="n">
        <v>431814080.1376735</v>
      </c>
      <c r="L498" s="21">
        <f>SUM(F498:K498)</f>
        <v/>
      </c>
      <c r="M498" s="28" t="n">
        <v>1.00191386648648</v>
      </c>
      <c r="N498" s="11" t="n">
        <v>1780050.37</v>
      </c>
      <c r="O498" s="11" t="n">
        <v>390178.64</v>
      </c>
      <c r="P498" s="11" t="n">
        <v>115936.84</v>
      </c>
      <c r="Q498" s="11" t="n"/>
      <c r="R498" s="21">
        <f>N498+O498+P498+N(Q498)</f>
        <v/>
      </c>
      <c r="S498" s="13" t="n">
        <v>0.01</v>
      </c>
      <c r="T498" s="21">
        <f>N(AC498)*S498</f>
        <v/>
      </c>
      <c r="U498" s="21">
        <f>N(AD498)*S498</f>
        <v/>
      </c>
      <c r="V498" s="21">
        <f>N(AE498)*S498</f>
        <v/>
      </c>
      <c r="W498" s="21">
        <f>IF(Q498="","",N(AF498)*S498)</f>
        <v/>
      </c>
      <c r="X498" s="11" t="n">
        <v>22425.46</v>
      </c>
      <c r="Y498" s="11" t="n">
        <v>191917.54</v>
      </c>
      <c r="Z498" s="11" t="n"/>
      <c r="AA498" s="21">
        <f>T498+U498+V498+N(W498)+X498+Y498+N(Z498)</f>
        <v/>
      </c>
      <c r="AB498" s="11" t="n">
        <v>155130.8491</v>
      </c>
      <c r="AC498" s="11" t="n">
        <v>1780050.37</v>
      </c>
      <c r="AD498" s="21">
        <f>O498-Y498</f>
        <v/>
      </c>
      <c r="AE498" s="21">
        <f>P498-X498</f>
        <v/>
      </c>
      <c r="AF498" s="21">
        <f>IF(Q498="","",Q498-Z498)</f>
        <v/>
      </c>
      <c r="AG498" s="22">
        <f>AC498+AD498+AE498+N(AF498)</f>
        <v/>
      </c>
      <c r="AH498" s="11" t="n">
        <v>2524696.89</v>
      </c>
      <c r="AI498" s="24">
        <f>AG498-AH498</f>
        <v/>
      </c>
      <c r="AJ498" s="14">
        <f>IF(OR(B498="",B498=0,N498=""),"",N498/B498*10000)</f>
        <v/>
      </c>
      <c r="AK498" s="14">
        <f>IF(OR(C498="",C498=0),"",O498/C498*10000)</f>
        <v/>
      </c>
      <c r="AL498" s="14">
        <f>IF(OR(D498="",D498=0),"",P498/D498*10000)</f>
        <v/>
      </c>
      <c r="AM498" s="14">
        <f>IF(OR(E498="",E498=0),"",Q498/E498*10000)</f>
        <v/>
      </c>
      <c r="AN498" s="11" t="n">
        <v>12612.89212441474</v>
      </c>
      <c r="AO498" s="11" t="n">
        <v>0</v>
      </c>
      <c r="AP498" s="21">
        <f>AH498+AN498+AO498</f>
        <v/>
      </c>
      <c r="AQ498" s="21">
        <f>AH498</f>
        <v/>
      </c>
      <c r="AR498" s="15" t="n">
        <v>65114.98</v>
      </c>
      <c r="AS498" s="27" t="n">
        <v>38.772904</v>
      </c>
      <c r="AT498" s="15" t="n">
        <v>43083756.47255512</v>
      </c>
      <c r="AU498" s="15" t="n">
        <v>26391.4274</v>
      </c>
      <c r="AV498" s="15" t="n">
        <v>961.1906</v>
      </c>
      <c r="AW498" s="15" t="n"/>
      <c r="AX498" s="16" t="n">
        <v>432.4735396562157</v>
      </c>
      <c r="AY498" s="13">
        <f>IF(OR(AX498="",AX498=0,AU498=""),"",AU498*365/(AX498*1000000))</f>
        <v/>
      </c>
      <c r="AZ498" s="15" t="n">
        <v>415826111.2467</v>
      </c>
      <c r="BA498" s="17" t="n">
        <v>60487233</v>
      </c>
      <c r="BB498" s="18" t="n">
        <v>43083756.47255512</v>
      </c>
      <c r="BC498" s="17" t="n">
        <v>2971663</v>
      </c>
      <c r="BD498" s="17">
        <f>1000000000-999262467.8189+244215.8110</f>
        <v/>
      </c>
      <c r="BE498" s="19">
        <f>1000000000-AZ498-BA498-BB498-BC498-BD498</f>
        <v/>
      </c>
      <c r="BF498" s="20" t="n">
        <v>234.484938</v>
      </c>
      <c r="BG498" s="20">
        <f>BE498/1000000-BF498</f>
        <v/>
      </c>
      <c r="BH498" s="21">
        <f>BE498*38.59</f>
        <v/>
      </c>
    </row>
    <row r="499">
      <c r="A499" s="10" t="n">
        <v>46121</v>
      </c>
      <c r="B499" s="11" t="n">
        <v>5133468930</v>
      </c>
      <c r="C499" s="11" t="n">
        <v>3306767844.21</v>
      </c>
      <c r="D499" s="11" t="n">
        <v>127150110</v>
      </c>
      <c r="E499" s="11" t="n"/>
      <c r="F499" s="24" t="n">
        <v>2344867151.102691</v>
      </c>
      <c r="G499" s="24" t="n">
        <v>24872544.38665235</v>
      </c>
      <c r="H499" s="24" t="n">
        <v>3218332.687731261</v>
      </c>
      <c r="I499" s="24" t="n">
        <v>606243112.44075</v>
      </c>
      <c r="J499" s="24" t="n">
        <v>1025705.671185306</v>
      </c>
      <c r="K499" s="24" t="n">
        <v>326540997.9209896</v>
      </c>
      <c r="L499" s="21">
        <f>SUM(F499:K499)</f>
        <v/>
      </c>
      <c r="M499" s="28" t="n">
        <v>1.002051041807475</v>
      </c>
      <c r="N499" s="11" t="n">
        <v>1747155.34</v>
      </c>
      <c r="O499" s="11" t="n">
        <v>282882.68</v>
      </c>
      <c r="P499" s="11" t="n">
        <v>67933.89999999999</v>
      </c>
      <c r="Q499" s="11" t="n"/>
      <c r="R499" s="21">
        <f>N499+O499+P499+N(Q499)</f>
        <v/>
      </c>
      <c r="S499" s="13" t="n">
        <v>0.01</v>
      </c>
      <c r="T499" s="21">
        <f>N(AC499)*S499</f>
        <v/>
      </c>
      <c r="U499" s="21">
        <f>N(AD499)*S499</f>
        <v/>
      </c>
      <c r="V499" s="21">
        <f>N(AE499)*S499</f>
        <v/>
      </c>
      <c r="W499" s="21">
        <f>IF(Q499="","",N(AF499)*S499)</f>
        <v/>
      </c>
      <c r="X499" s="11" t="n">
        <v>17031.06</v>
      </c>
      <c r="Y499" s="11" t="n">
        <v>138375.59</v>
      </c>
      <c r="Z499" s="11" t="n"/>
      <c r="AA499" s="21">
        <f>T499+U499+V499+N(W499)+X499+Y499+N(Z499)</f>
        <v/>
      </c>
      <c r="AB499" s="11" t="n">
        <v>130856.5832</v>
      </c>
      <c r="AC499" s="11" t="n">
        <v>1747155.34</v>
      </c>
      <c r="AD499" s="21">
        <f>O499-Y499</f>
        <v/>
      </c>
      <c r="AE499" s="21">
        <f>P499-X499</f>
        <v/>
      </c>
      <c r="AF499" s="21">
        <f>IF(Q499="","",Q499-Z499)</f>
        <v/>
      </c>
      <c r="AG499" s="22">
        <f>AC499+AD499+AE499+N(AF499)</f>
        <v/>
      </c>
      <c r="AH499" s="11" t="n">
        <v>1671725.46</v>
      </c>
      <c r="AI499" s="24">
        <f>AG499-AH499</f>
        <v/>
      </c>
      <c r="AJ499" s="14">
        <f>IF(OR(B499="",B499=0,N499=""),"",N499/B499*10000)</f>
        <v/>
      </c>
      <c r="AK499" s="14">
        <f>IF(OR(C499="",C499=0),"",O499/C499*10000)</f>
        <v/>
      </c>
      <c r="AL499" s="14">
        <f>IF(OR(D499="",D499=0),"",P499/D499*10000)</f>
        <v/>
      </c>
      <c r="AM499" s="14">
        <f>IF(OR(E499="",E499=0),"",Q499/E499*10000)</f>
        <v/>
      </c>
      <c r="AN499" s="11" t="n">
        <v>7924.158229249182</v>
      </c>
      <c r="AO499" s="11" t="n">
        <v>19385.77</v>
      </c>
      <c r="AP499" s="21">
        <f>AH499+AN499+AO499</f>
        <v/>
      </c>
      <c r="AQ499" s="21">
        <f>AH499</f>
        <v/>
      </c>
      <c r="AR499" s="15" t="n">
        <v>42446.07</v>
      </c>
      <c r="AS499" s="27" t="n">
        <v>39.384694</v>
      </c>
      <c r="AT499" s="15" t="n">
        <v>43125924.83255512</v>
      </c>
      <c r="AU499" s="15" t="n">
        <v>26388.9572</v>
      </c>
      <c r="AV499" s="15" t="n">
        <v>1181.5189</v>
      </c>
      <c r="AW499" s="15" t="n"/>
      <c r="AX499" s="16" t="n">
        <v>434.9269369129304</v>
      </c>
      <c r="AY499" s="13">
        <f>IF(OR(AX499="",AX499=0,AU499=""),"",AU499*365/(AX499*1000000))</f>
        <v/>
      </c>
      <c r="AZ499" s="15" t="n">
        <v>415799722.2895</v>
      </c>
      <c r="BA499" s="17" t="n">
        <v>60487233</v>
      </c>
      <c r="BB499" s="18" t="n">
        <v>43125924.83255512</v>
      </c>
      <c r="BC499" s="17" t="n">
        <v>2971663</v>
      </c>
      <c r="BD499" s="17">
        <f>1000000000-999261286.3+244422.6055</f>
        <v/>
      </c>
      <c r="BE499" s="19">
        <f>1000000000-AZ499-BA499-BB499-BC499-BD499</f>
        <v/>
      </c>
      <c r="BF499" s="20" t="n">
        <v>234.484938</v>
      </c>
      <c r="BG499" s="20">
        <f>BE499/1000000-BF499</f>
        <v/>
      </c>
      <c r="BH499" s="21">
        <f>BE499*38.35</f>
        <v/>
      </c>
    </row>
    <row r="500">
      <c r="A500" s="10" t="n">
        <v>46122</v>
      </c>
      <c r="B500" s="11" t="n">
        <v>3918901952</v>
      </c>
      <c r="C500" s="11" t="n">
        <v>2008172415.51</v>
      </c>
      <c r="D500" s="11" t="n">
        <v>138249908</v>
      </c>
      <c r="E500" s="11" t="n"/>
      <c r="F500" s="24" t="n">
        <v>1245106540.852341</v>
      </c>
      <c r="G500" s="24" t="n">
        <v>21628359.89768015</v>
      </c>
      <c r="H500" s="24" t="n">
        <v>3437385.263824582</v>
      </c>
      <c r="I500" s="24" t="n">
        <v>438212800.5512609</v>
      </c>
      <c r="J500" s="24" t="n">
        <v>770294.0219243399</v>
      </c>
      <c r="K500" s="24" t="n">
        <v>299017034.9229689</v>
      </c>
      <c r="L500" s="21">
        <f>SUM(F500:K500)</f>
        <v/>
      </c>
      <c r="M500" s="28" t="n">
        <v>1.001334121139104</v>
      </c>
      <c r="N500" s="11" t="n">
        <v>1355317.86</v>
      </c>
      <c r="O500" s="11" t="n">
        <v>198306.35</v>
      </c>
      <c r="P500" s="11" t="n">
        <v>77592.00999999999</v>
      </c>
      <c r="Q500" s="11" t="n"/>
      <c r="R500" s="21">
        <f>N500+O500+P500+N(Q500)</f>
        <v/>
      </c>
      <c r="S500" s="13" t="n">
        <v>0.01</v>
      </c>
      <c r="T500" s="21">
        <f>N(AC500)*S500</f>
        <v/>
      </c>
      <c r="U500" s="21">
        <f>N(AD500)*S500</f>
        <v/>
      </c>
      <c r="V500" s="21">
        <f>N(AE500)*S500</f>
        <v/>
      </c>
      <c r="W500" s="21">
        <f>IF(Q500="","",N(AF500)*S500)</f>
        <v/>
      </c>
      <c r="X500" s="11" t="n">
        <v>12631.09</v>
      </c>
      <c r="Y500" s="11" t="n">
        <v>96125.37</v>
      </c>
      <c r="Z500" s="11" t="n"/>
      <c r="AA500" s="21">
        <f>T500+U500+V500+N(W500)+X500+Y500+N(Z500)</f>
        <v/>
      </c>
      <c r="AB500" s="11" t="n">
        <v>105222.8578</v>
      </c>
      <c r="AC500" s="11" t="n">
        <v>1355317.86</v>
      </c>
      <c r="AD500" s="21">
        <f>O500-Y500</f>
        <v/>
      </c>
      <c r="AE500" s="21">
        <f>P500-X500</f>
        <v/>
      </c>
      <c r="AF500" s="21">
        <f>IF(Q500="","",Q500-Z500)</f>
        <v/>
      </c>
      <c r="AG500" s="22">
        <f>AC500+AD500+AE500+N(AF500)</f>
        <v/>
      </c>
      <c r="AH500" s="11" t="n">
        <v>1295503.62</v>
      </c>
      <c r="AI500" s="24">
        <f>AG500-AH500</f>
        <v/>
      </c>
      <c r="AJ500" s="14">
        <f>IF(OR(B500="",B500=0,N500=""),"",N500/B500*10000)</f>
        <v/>
      </c>
      <c r="AK500" s="14">
        <f>IF(OR(C500="",C500=0),"",O500/C500*10000)</f>
        <v/>
      </c>
      <c r="AL500" s="14">
        <f>IF(OR(D500="",D500=0),"",P500/D500*10000)</f>
        <v/>
      </c>
      <c r="AM500" s="14">
        <f>IF(OR(E500="",E500=0),"",Q500/E500*10000)</f>
        <v/>
      </c>
      <c r="AN500" s="11" t="n">
        <v>10642.36891291499</v>
      </c>
      <c r="AO500" s="11" t="n">
        <v>0</v>
      </c>
      <c r="AP500" s="21">
        <f>AH500+AN500+AO500</f>
        <v/>
      </c>
      <c r="AQ500" s="21">
        <f>AH500</f>
        <v/>
      </c>
      <c r="AR500" s="15" t="n">
        <v>31405.46</v>
      </c>
      <c r="AS500" s="27" t="n">
        <v>41.250904</v>
      </c>
      <c r="AT500" s="15" t="n">
        <v>43157463.56255512</v>
      </c>
      <c r="AU500" s="15" t="n">
        <v>26243.2147</v>
      </c>
      <c r="AV500" s="15" t="n">
        <v>841.2268</v>
      </c>
      <c r="AW500" s="15" t="n"/>
      <c r="AX500" s="16" t="n">
        <v>434.4827183093494</v>
      </c>
      <c r="AY500" s="13">
        <f>IF(OR(AX500="",AX500=0,AU500=""),"",AU500*365/(AX500*1000000))</f>
        <v/>
      </c>
      <c r="AZ500" s="15" t="n">
        <v>415773479.0749</v>
      </c>
      <c r="BA500" s="17" t="n">
        <v>60487233</v>
      </c>
      <c r="BB500" s="18" t="n">
        <v>43157463.56255512</v>
      </c>
      <c r="BC500" s="17" t="n">
        <v>2971663</v>
      </c>
      <c r="BD500" s="17">
        <f>1000000000-999260445.0732+244689.2113</f>
        <v/>
      </c>
      <c r="BE500" s="19">
        <f>1000000000-AZ500-BA500-BB500-BC500-BD500</f>
        <v/>
      </c>
      <c r="BF500" s="20" t="n">
        <v>234.484938</v>
      </c>
      <c r="BG500" s="20">
        <f>BE500/1000000-BF500</f>
        <v/>
      </c>
      <c r="BH500" s="21">
        <f>BE500*39.95</f>
        <v/>
      </c>
    </row>
    <row r="501">
      <c r="A501" s="10" t="n">
        <v>46123</v>
      </c>
      <c r="B501" s="11" t="n">
        <v>2262767375</v>
      </c>
      <c r="C501" s="11" t="n">
        <v>547278480.58</v>
      </c>
      <c r="D501" s="11" t="n">
        <v>88217601</v>
      </c>
      <c r="E501" s="11" t="n"/>
      <c r="F501" s="24" t="n">
        <v>358755360.1979388</v>
      </c>
      <c r="G501" s="24" t="n">
        <v>11544503.97414988</v>
      </c>
      <c r="H501" s="24" t="n">
        <v>9802305.427772535</v>
      </c>
      <c r="I501" s="24" t="n">
        <v>100827389.8158987</v>
      </c>
      <c r="J501" s="24" t="n">
        <v>606630.3388641867</v>
      </c>
      <c r="K501" s="24" t="n">
        <v>65742290.82537593</v>
      </c>
      <c r="L501" s="21">
        <f>SUM(F501:K501)</f>
        <v/>
      </c>
      <c r="M501" s="28" t="n">
        <v>1.001652634257006</v>
      </c>
      <c r="N501" s="11" t="n">
        <v>807494.75</v>
      </c>
      <c r="O501" s="11" t="n">
        <v>91804.09</v>
      </c>
      <c r="P501" s="11" t="n">
        <v>51623.33</v>
      </c>
      <c r="Q501" s="11" t="n"/>
      <c r="R501" s="21">
        <f>N501+O501+P501+N(Q501)</f>
        <v/>
      </c>
      <c r="S501" s="13" t="n">
        <v>0.01</v>
      </c>
      <c r="T501" s="21">
        <f>N(AC501)*S501</f>
        <v/>
      </c>
      <c r="U501" s="21">
        <f>N(AD501)*S501</f>
        <v/>
      </c>
      <c r="V501" s="21">
        <f>N(AE501)*S501</f>
        <v/>
      </c>
      <c r="W501" s="21">
        <f>IF(Q501="","",N(AF501)*S501)</f>
        <v/>
      </c>
      <c r="X501" s="11" t="n">
        <v>13452.71</v>
      </c>
      <c r="Y501" s="11" t="n">
        <v>44222.91</v>
      </c>
      <c r="Z501" s="11" t="n"/>
      <c r="AA501" s="21">
        <f>T501+U501+V501+N(W501)+X501+Y501+N(Z501)</f>
        <v/>
      </c>
      <c r="AB501" s="11" t="n">
        <v>89056.68539999999</v>
      </c>
      <c r="AC501" s="11" t="n">
        <v>807494.75</v>
      </c>
      <c r="AD501" s="21">
        <f>O501-Y501</f>
        <v/>
      </c>
      <c r="AE501" s="21">
        <f>P501-X501</f>
        <v/>
      </c>
      <c r="AF501" s="21">
        <f>IF(Q501="","",Q501-Z501)</f>
        <v/>
      </c>
      <c r="AG501" s="22">
        <f>AC501+AD501+AE501+N(AF501)</f>
        <v/>
      </c>
      <c r="AH501" s="11" t="n">
        <v>751239.75</v>
      </c>
      <c r="AI501" s="24">
        <f>AG501-AH501</f>
        <v/>
      </c>
      <c r="AJ501" s="14">
        <f>IF(OR(B501="",B501=0,N501=""),"",N501/B501*10000)</f>
        <v/>
      </c>
      <c r="AK501" s="14">
        <f>IF(OR(C501="",C501=0),"",O501/C501*10000)</f>
        <v/>
      </c>
      <c r="AL501" s="14">
        <f>IF(OR(D501="",D501=0),"",P501/D501*10000)</f>
        <v/>
      </c>
      <c r="AM501" s="14">
        <f>IF(OR(E501="",E501=0),"",Q501/E501*10000)</f>
        <v/>
      </c>
      <c r="AN501" s="11" t="n">
        <v>6216.601956952428</v>
      </c>
      <c r="AO501" s="11" t="n">
        <v>0</v>
      </c>
      <c r="AP501" s="21">
        <f>AH501+AN501+AO501</f>
        <v/>
      </c>
      <c r="AQ501" s="21">
        <f>AH501</f>
        <v/>
      </c>
      <c r="AR501" s="15" t="n">
        <v>17727.89</v>
      </c>
      <c r="AS501" s="27" t="n">
        <v>42.376151</v>
      </c>
      <c r="AT501" s="15" t="n">
        <v>43175392.31255512</v>
      </c>
      <c r="AU501" s="15" t="n">
        <v>26333.5006</v>
      </c>
      <c r="AV501" s="15" t="n">
        <v>435.9036</v>
      </c>
      <c r="AW501" s="15" t="n"/>
      <c r="AX501" s="16" t="n">
        <v>434.0935537839927</v>
      </c>
      <c r="AY501" s="13">
        <f>IF(OR(AX501="",AX501=0,AU501=""),"",AU501*365/(AX501*1000000))</f>
        <v/>
      </c>
      <c r="AZ501" s="15" t="n">
        <v>415747145.5743</v>
      </c>
      <c r="BA501" s="17" t="n">
        <v>60487233</v>
      </c>
      <c r="BB501" s="18" t="n">
        <v>43175392.31255512</v>
      </c>
      <c r="BC501" s="17" t="n">
        <v>2971663</v>
      </c>
      <c r="BD501" s="17">
        <f>1000000000-999260009.1696+244838.7387</f>
        <v/>
      </c>
      <c r="BE501" s="19">
        <f>1000000000-AZ501-BA501-BB501-BC501-BD501</f>
        <v/>
      </c>
      <c r="BF501" s="20" t="n">
        <v>234.484938</v>
      </c>
      <c r="BG501" s="20">
        <f>BE501/1000000-BF501</f>
        <v/>
      </c>
      <c r="BH501" s="21">
        <f>BE501*41.59</f>
        <v/>
      </c>
    </row>
    <row r="502">
      <c r="A502" s="10" t="n">
        <v>46124</v>
      </c>
      <c r="B502" s="11" t="n">
        <v>3468909566</v>
      </c>
      <c r="C502" s="11" t="n">
        <v>1986669672.18</v>
      </c>
      <c r="D502" s="11" t="n">
        <v>96866263</v>
      </c>
      <c r="E502" s="11" t="n"/>
      <c r="F502" s="24" t="n">
        <v>1437981559.510582</v>
      </c>
      <c r="G502" s="24" t="n">
        <v>13923637.59050777</v>
      </c>
      <c r="H502" s="24" t="n">
        <v>14987122.1873427</v>
      </c>
      <c r="I502" s="24" t="n">
        <v>377126424.3707666</v>
      </c>
      <c r="J502" s="24" t="n">
        <v>493402.8544606366</v>
      </c>
      <c r="K502" s="24" t="n">
        <v>142157525.6663402</v>
      </c>
      <c r="L502" s="21">
        <f>SUM(F502:K502)</f>
        <v/>
      </c>
      <c r="M502" s="28" t="n">
        <v>1.017822857857173</v>
      </c>
      <c r="N502" s="11" t="n">
        <v>1186470.64</v>
      </c>
      <c r="O502" s="11" t="n">
        <v>268496.38</v>
      </c>
      <c r="P502" s="11" t="n">
        <v>47788.68</v>
      </c>
      <c r="Q502" s="11" t="n"/>
      <c r="R502" s="21">
        <f>N502+O502+P502+N(Q502)</f>
        <v/>
      </c>
      <c r="S502" s="13" t="n">
        <v>0.01</v>
      </c>
      <c r="T502" s="21">
        <f>N(AC502)*S502</f>
        <v/>
      </c>
      <c r="U502" s="21">
        <f>N(AD502)*S502</f>
        <v/>
      </c>
      <c r="V502" s="21">
        <f>N(AE502)*S502</f>
        <v/>
      </c>
      <c r="W502" s="21">
        <f>IF(Q502="","",N(AF502)*S502)</f>
        <v/>
      </c>
      <c r="X502" s="11" t="n">
        <v>12814.44</v>
      </c>
      <c r="Y502" s="11" t="n">
        <v>132189.93</v>
      </c>
      <c r="Z502" s="11" t="n"/>
      <c r="AA502" s="21">
        <f>T502+U502+V502+N(W502)+X502+Y502+N(Z502)</f>
        <v/>
      </c>
      <c r="AB502" s="11" t="n">
        <v>144562.4225</v>
      </c>
      <c r="AC502" s="11" t="n">
        <v>1186470.64</v>
      </c>
      <c r="AD502" s="21">
        <f>O502-Y502</f>
        <v/>
      </c>
      <c r="AE502" s="21">
        <f>P502-X502</f>
        <v/>
      </c>
      <c r="AF502" s="21">
        <f>IF(Q502="","",Q502-Z502)</f>
        <v/>
      </c>
      <c r="AG502" s="22">
        <f>AC502+AD502+AE502+N(AF502)</f>
        <v/>
      </c>
      <c r="AH502" s="11" t="n">
        <v>1138369.82</v>
      </c>
      <c r="AI502" s="24">
        <f>AG502-AH502</f>
        <v/>
      </c>
      <c r="AJ502" s="14">
        <f>IF(OR(B502="",B502=0,N502=""),"",N502/B502*10000)</f>
        <v/>
      </c>
      <c r="AK502" s="14">
        <f>IF(OR(C502="",C502=0),"",O502/C502*10000)</f>
        <v/>
      </c>
      <c r="AL502" s="14">
        <f>IF(OR(D502="",D502=0),"",P502/D502*10000)</f>
        <v/>
      </c>
      <c r="AM502" s="14">
        <f>IF(OR(E502="",E502=0),"",Q502/E502*10000)</f>
        <v/>
      </c>
      <c r="AN502" s="11" t="n">
        <v>7164.283884746271</v>
      </c>
      <c r="AO502" s="11" t="n">
        <v>0</v>
      </c>
      <c r="AP502" s="21">
        <f>AH502+AN502+AO502</f>
        <v/>
      </c>
      <c r="AQ502" s="21">
        <f>AH502</f>
        <v/>
      </c>
      <c r="AR502" s="15" t="n">
        <v>27717.87</v>
      </c>
      <c r="AS502" s="27" t="n">
        <v>41.069888</v>
      </c>
      <c r="AT502" s="15" t="n">
        <v>43202403.85255512</v>
      </c>
      <c r="AU502" s="15" t="n">
        <v>26419.8127</v>
      </c>
      <c r="AV502" s="15" t="n">
        <v>718.5359</v>
      </c>
      <c r="AW502" s="15" t="n"/>
      <c r="AX502" s="16" t="n">
        <v>434.0549432081494</v>
      </c>
      <c r="AY502" s="13">
        <f>IF(OR(AX502="",AX502=0,AU502=""),"",AU502*365/(AX502*1000000))</f>
        <v/>
      </c>
      <c r="AZ502" s="15" t="n">
        <v>415720725.7617</v>
      </c>
      <c r="BA502" s="17" t="n">
        <v>60487233</v>
      </c>
      <c r="BB502" s="18" t="n">
        <v>43202403.85255512</v>
      </c>
      <c r="BC502" s="17" t="n">
        <v>2971663</v>
      </c>
      <c r="BD502" s="17">
        <f>1000000000-999259290.6337+245007.1436</f>
        <v/>
      </c>
      <c r="BE502" s="19">
        <f>1000000000-AZ502-BA502-BB502-BC502-BD502</f>
        <v/>
      </c>
      <c r="BF502" s="20" t="n">
        <v>234.484938</v>
      </c>
      <c r="BG502" s="20">
        <f>BE502/1000000-BF502</f>
        <v/>
      </c>
      <c r="BH502" s="21">
        <f>BE502*42.54</f>
        <v/>
      </c>
    </row>
    <row r="503">
      <c r="A503" s="10" t="n">
        <v>46125</v>
      </c>
      <c r="B503" s="11" t="n">
        <v>5230481569</v>
      </c>
      <c r="C503" s="11" t="n">
        <v>2685535488.4</v>
      </c>
      <c r="D503" s="11" t="n">
        <v>141907133</v>
      </c>
      <c r="E503" s="11" t="n"/>
      <c r="F503" s="24" t="n">
        <v>1758841589.94125</v>
      </c>
      <c r="G503" s="24" t="n">
        <v>19779913.42968054</v>
      </c>
      <c r="H503" s="24" t="n">
        <v>12993029.7904678</v>
      </c>
      <c r="I503" s="24" t="n">
        <v>634948331.1250839</v>
      </c>
      <c r="J503" s="24" t="n">
        <v>709243.7301216248</v>
      </c>
      <c r="K503" s="24" t="n">
        <v>258263380.383396</v>
      </c>
      <c r="L503" s="21">
        <f>SUM(F503:K503)</f>
        <v/>
      </c>
      <c r="M503" s="28" t="n">
        <v>1.004504303684427</v>
      </c>
      <c r="N503" s="11" t="n">
        <v>1758830.49</v>
      </c>
      <c r="O503" s="11" t="n">
        <v>275828.6</v>
      </c>
      <c r="P503" s="11" t="n">
        <v>69454.39999999999</v>
      </c>
      <c r="Q503" s="11" t="n"/>
      <c r="R503" s="21">
        <f>N503+O503+P503+N(Q503)</f>
        <v/>
      </c>
      <c r="S503" s="13" t="n">
        <v>0.01</v>
      </c>
      <c r="T503" s="21">
        <f>N(AC503)*S503</f>
        <v/>
      </c>
      <c r="U503" s="21">
        <f>N(AD503)*S503</f>
        <v/>
      </c>
      <c r="V503" s="21">
        <f>N(AE503)*S503</f>
        <v/>
      </c>
      <c r="W503" s="21">
        <f>IF(Q503="","",N(AF503)*S503)</f>
        <v/>
      </c>
      <c r="X503" s="11" t="n">
        <v>11993.56</v>
      </c>
      <c r="Y503" s="11" t="n">
        <v>134952.64</v>
      </c>
      <c r="Z503" s="11" t="n"/>
      <c r="AA503" s="21">
        <f>T503+U503+V503+N(W503)+X503+Y503+N(Z503)</f>
        <v/>
      </c>
      <c r="AB503" s="11" t="n">
        <v>138534.9262</v>
      </c>
      <c r="AC503" s="11" t="n">
        <v>1758830.49</v>
      </c>
      <c r="AD503" s="21">
        <f>O503-Y503</f>
        <v/>
      </c>
      <c r="AE503" s="21">
        <f>P503-X503</f>
        <v/>
      </c>
      <c r="AF503" s="21">
        <f>IF(Q503="","",Q503-Z503)</f>
        <v/>
      </c>
      <c r="AG503" s="22">
        <f>AC503+AD503+AE503+N(AF503)</f>
        <v/>
      </c>
      <c r="AH503" s="11" t="n">
        <v>1682047.23</v>
      </c>
      <c r="AI503" s="24">
        <f>AG503-AH503</f>
        <v/>
      </c>
      <c r="AJ503" s="14">
        <f>IF(OR(B503="",B503=0,N503=""),"",N503/B503*10000)</f>
        <v/>
      </c>
      <c r="AK503" s="14">
        <f>IF(OR(C503="",C503=0),"",O503/C503*10000)</f>
        <v/>
      </c>
      <c r="AL503" s="14">
        <f>IF(OR(D503="",D503=0),"",P503/D503*10000)</f>
        <v/>
      </c>
      <c r="AM503" s="14">
        <f>IF(OR(E503="",E503=0),"",Q503/E503*10000)</f>
        <v/>
      </c>
      <c r="AN503" s="11" t="n">
        <v>11927.58847312924</v>
      </c>
      <c r="AO503" s="11" t="n">
        <v>0</v>
      </c>
      <c r="AP503" s="21">
        <f>AH503+AN503+AO503</f>
        <v/>
      </c>
      <c r="AQ503" s="21">
        <f>AH503</f>
        <v/>
      </c>
      <c r="AR503" s="15" t="n">
        <v>39230.22</v>
      </c>
      <c r="AS503" s="27" t="n">
        <v>42.876314</v>
      </c>
      <c r="AT503" s="15" t="n">
        <v>43242557.68255512</v>
      </c>
      <c r="AU503" s="15" t="n">
        <v>26416.9001</v>
      </c>
      <c r="AV503" s="15" t="n">
        <v>228.6712</v>
      </c>
      <c r="AW503" s="15" t="n"/>
      <c r="AX503" s="16" t="n">
        <v>433.9554611328569</v>
      </c>
      <c r="AY503" s="13">
        <f>IF(OR(AX503="",AX503=0,AU503=""),"",AU503*365/(AX503*1000000))</f>
        <v/>
      </c>
      <c r="AZ503" s="15" t="n">
        <v>415694308.8616</v>
      </c>
      <c r="BA503" s="17" t="n">
        <v>60487233</v>
      </c>
      <c r="BB503" s="18" t="n">
        <v>43242557.68255512</v>
      </c>
      <c r="BC503" s="17" t="n">
        <v>2971663</v>
      </c>
      <c r="BD503" s="17">
        <f>1000000000-999259061.9625+245297.7557</f>
        <v/>
      </c>
      <c r="BE503" s="19">
        <f>1000000000-AZ503-BA503-BB503-BC503-BD503</f>
        <v/>
      </c>
      <c r="BF503" s="20" t="n">
        <v>234.484938</v>
      </c>
      <c r="BG503" s="20">
        <f>BE503/1000000-BF503</f>
        <v/>
      </c>
      <c r="BH503" s="21">
        <f>BE503*41.05</f>
        <v/>
      </c>
    </row>
    <row r="504">
      <c r="A504" s="10" t="n">
        <v>46126</v>
      </c>
      <c r="B504" s="11" t="n">
        <v>5644182221</v>
      </c>
      <c r="C504" s="11" t="n">
        <v>2242001606.42</v>
      </c>
      <c r="D504" s="11" t="n">
        <v>171403754</v>
      </c>
      <c r="E504" s="11" t="n"/>
      <c r="F504" s="24" t="n">
        <v>1458150928.275128</v>
      </c>
      <c r="G504" s="24" t="n">
        <v>18955864.17920912</v>
      </c>
      <c r="H504" s="24" t="n">
        <v>6811970.095817214</v>
      </c>
      <c r="I504" s="24" t="n">
        <v>486066692.3332363</v>
      </c>
      <c r="J504" s="24" t="n">
        <v>723230.0790192197</v>
      </c>
      <c r="K504" s="24" t="n">
        <v>271292921.4575901</v>
      </c>
      <c r="L504" s="21">
        <f>SUM(F504:K504)</f>
        <v/>
      </c>
      <c r="M504" s="28" t="n">
        <v>1.00831933192764</v>
      </c>
      <c r="N504" s="11" t="n">
        <v>2010818.6</v>
      </c>
      <c r="O504" s="11" t="n">
        <v>225197.76</v>
      </c>
      <c r="P504" s="11" t="n">
        <v>93442.74000000001</v>
      </c>
      <c r="Q504" s="11" t="n"/>
      <c r="R504" s="21">
        <f>N504+O504+P504+N(Q504)</f>
        <v/>
      </c>
      <c r="S504" s="13" t="n">
        <v>0.01</v>
      </c>
      <c r="T504" s="21">
        <f>N(AC504)*S504</f>
        <v/>
      </c>
      <c r="U504" s="21">
        <f>N(AD504)*S504</f>
        <v/>
      </c>
      <c r="V504" s="21">
        <f>N(AE504)*S504</f>
        <v/>
      </c>
      <c r="W504" s="21">
        <f>IF(Q504="","",N(AF504)*S504)</f>
        <v/>
      </c>
      <c r="X504" s="11" t="n">
        <v>18916.67</v>
      </c>
      <c r="Y504" s="11" t="n">
        <v>109870.37</v>
      </c>
      <c r="Z504" s="11" t="n"/>
      <c r="AA504" s="21">
        <f>T504+U504+V504+N(W504)+X504+Y504+N(Z504)</f>
        <v/>
      </c>
      <c r="AB504" s="11" t="n">
        <v>136265.4819</v>
      </c>
      <c r="AC504" s="11" t="n">
        <v>2010818.6</v>
      </c>
      <c r="AD504" s="21">
        <f>O504-Y504</f>
        <v/>
      </c>
      <c r="AE504" s="21">
        <f>P504-X504</f>
        <v/>
      </c>
      <c r="AF504" s="21">
        <f>IF(Q504="","",Q504-Z504)</f>
        <v/>
      </c>
      <c r="AG504" s="22">
        <f>AC504+AD504+AE504+N(AF504)</f>
        <v/>
      </c>
      <c r="AH504" s="11" t="n">
        <v>1896392.55</v>
      </c>
      <c r="AI504" s="24">
        <f>AG504-AH504</f>
        <v/>
      </c>
      <c r="AJ504" s="14">
        <f>IF(OR(B504="",B504=0,N504=""),"",N504/B504*10000)</f>
        <v/>
      </c>
      <c r="AK504" s="14">
        <f>IF(OR(C504="",C504=0),"",O504/C504*10000)</f>
        <v/>
      </c>
      <c r="AL504" s="14">
        <f>IF(OR(D504="",D504=0),"",P504/D504*10000)</f>
        <v/>
      </c>
      <c r="AM504" s="14">
        <f>IF(OR(E504="",E504=0),"",Q504/E504*10000)</f>
        <v/>
      </c>
      <c r="AN504" s="11" t="n">
        <v>13024.60045250609</v>
      </c>
      <c r="AO504" s="11" t="n">
        <v>0</v>
      </c>
      <c r="AP504" s="21">
        <f>AH504+AN504+AO504</f>
        <v/>
      </c>
      <c r="AQ504" s="21">
        <f>AH504</f>
        <v/>
      </c>
      <c r="AR504" s="15" t="n">
        <v>42938.42</v>
      </c>
      <c r="AS504" s="27" t="n">
        <v>44.165401</v>
      </c>
      <c r="AT504" s="15" t="n">
        <v>43285637.74255512</v>
      </c>
      <c r="AU504" s="15" t="n">
        <v>26453.2855</v>
      </c>
      <c r="AV504" s="15" t="n">
        <v>997.557</v>
      </c>
      <c r="AW504" s="15" t="n"/>
      <c r="AX504" s="16" t="n">
        <v>435.4302641902664</v>
      </c>
      <c r="AY504" s="13">
        <f>IF(OR(AX504="",AX504=0,AU504=""),"",AU504*365/(AX504*1000000))</f>
        <v/>
      </c>
      <c r="AZ504" s="15" t="n">
        <v>415667855.5761</v>
      </c>
      <c r="BA504" s="17" t="n">
        <v>60487233</v>
      </c>
      <c r="BB504" s="18" t="n">
        <v>43285637.74255512</v>
      </c>
      <c r="BC504" s="17" t="n">
        <v>2971663</v>
      </c>
      <c r="BD504" s="17">
        <f>1000000000-999258064.4055+245588.9904</f>
        <v/>
      </c>
      <c r="BE504" s="19">
        <f>1000000000-AZ504-BA504-BB504-BC504-BD504</f>
        <v/>
      </c>
      <c r="BF504" s="20" t="n">
        <v>234.484938</v>
      </c>
      <c r="BG504" s="20">
        <f>BE504/1000000-BF504</f>
        <v/>
      </c>
      <c r="BH504" s="21">
        <f>BE504*44.77</f>
        <v/>
      </c>
    </row>
    <row r="505">
      <c r="A505" s="10" t="n">
        <v>46127</v>
      </c>
      <c r="B505" s="11" t="n">
        <v>3989379482</v>
      </c>
      <c r="C505" s="11" t="n">
        <v>2054874768.95</v>
      </c>
      <c r="D505" s="11" t="n">
        <v>124970589</v>
      </c>
      <c r="E505" s="11" t="n"/>
      <c r="F505" s="24" t="n">
        <v>1165377356.814879</v>
      </c>
      <c r="G505" s="24" t="n">
        <v>12726743.55823391</v>
      </c>
      <c r="H505" s="24" t="n">
        <v>8567265.253591809</v>
      </c>
      <c r="I505" s="24" t="n">
        <v>623080647.6942248</v>
      </c>
      <c r="J505" s="24" t="n">
        <v>461690.7389521989</v>
      </c>
      <c r="K505" s="24" t="n">
        <v>244661064.8901176</v>
      </c>
      <c r="L505" s="21">
        <f>SUM(F505:K505)</f>
        <v/>
      </c>
      <c r="M505" s="28" t="n">
        <v>1.003221021627259</v>
      </c>
      <c r="N505" s="11" t="n">
        <v>1366433.53</v>
      </c>
      <c r="O505" s="11" t="n">
        <v>219151.19</v>
      </c>
      <c r="P505" s="11" t="n">
        <v>65678.20000000001</v>
      </c>
      <c r="Q505" s="11" t="n"/>
      <c r="R505" s="21">
        <f>N505+O505+P505+N(Q505)</f>
        <v/>
      </c>
      <c r="S505" s="13" t="n">
        <v>0.01</v>
      </c>
      <c r="T505" s="21">
        <f>N(AC505)*S505</f>
        <v/>
      </c>
      <c r="U505" s="21">
        <f>N(AD505)*S505</f>
        <v/>
      </c>
      <c r="V505" s="21">
        <f>N(AE505)*S505</f>
        <v/>
      </c>
      <c r="W505" s="21">
        <f>IF(Q505="","",N(AF505)*S505)</f>
        <v/>
      </c>
      <c r="X505" s="11" t="n">
        <v>14538.04</v>
      </c>
      <c r="Y505" s="11" t="n">
        <v>107937.33</v>
      </c>
      <c r="Z505" s="11" t="n"/>
      <c r="AA505" s="21">
        <f>T505+U505+V505+N(W505)+X505+Y505+N(Z505)</f>
        <v/>
      </c>
      <c r="AB505" s="11" t="n">
        <v>104383.5164</v>
      </c>
      <c r="AC505" s="11" t="n">
        <v>1366433.53</v>
      </c>
      <c r="AD505" s="21">
        <f>O505-Y505</f>
        <v/>
      </c>
      <c r="AE505" s="21">
        <f>P505-X505</f>
        <v/>
      </c>
      <c r="AF505" s="21">
        <f>IF(Q505="","",Q505-Z505)</f>
        <v/>
      </c>
      <c r="AG505" s="22">
        <f>AC505+AD505+AE505+N(AF505)</f>
        <v/>
      </c>
      <c r="AH505" s="11" t="n">
        <v>1324651.59</v>
      </c>
      <c r="AI505" s="24">
        <f>AG505-AH505</f>
        <v/>
      </c>
      <c r="AJ505" s="14">
        <f>IF(OR(B505="",B505=0,N505=""),"",N505/B505*10000)</f>
        <v/>
      </c>
      <c r="AK505" s="14">
        <f>IF(OR(C505="",C505=0),"",O505/C505*10000)</f>
        <v/>
      </c>
      <c r="AL505" s="14">
        <f>IF(OR(D505="",D505=0),"",P505/D505*10000)</f>
        <v/>
      </c>
      <c r="AM505" s="14">
        <f>IF(OR(E505="",E505=0),"",Q505/E505*10000)</f>
        <v/>
      </c>
      <c r="AN505" s="11" t="n">
        <v>10306.39943497868</v>
      </c>
      <c r="AO505" s="11" t="n">
        <v>21797.57</v>
      </c>
      <c r="AP505" s="21">
        <f>AH505+AN505+AO505</f>
        <v/>
      </c>
      <c r="AQ505" s="21">
        <f>AH505</f>
        <v/>
      </c>
      <c r="AR505" s="15" t="n">
        <v>29919.89</v>
      </c>
      <c r="AS505" s="27" t="n">
        <v>44.273278</v>
      </c>
      <c r="AT505" s="15" t="n">
        <v>43315329.98255512</v>
      </c>
      <c r="AU505" s="15" t="n">
        <v>26464.6572</v>
      </c>
      <c r="AV505" s="15" t="n">
        <v>421.2748</v>
      </c>
      <c r="AW505" s="15" t="n"/>
      <c r="AX505" s="16" t="n">
        <v>435.5687296597019</v>
      </c>
      <c r="AY505" s="13">
        <f>IF(OR(AX505="",AX505=0,AU505=""),"",AU505*365/(AX505*1000000))</f>
        <v/>
      </c>
      <c r="AZ505" s="15" t="n">
        <v>415641390.9189</v>
      </c>
      <c r="BA505" s="17" t="n">
        <v>60487233</v>
      </c>
      <c r="BB505" s="18" t="n">
        <v>43315329.98255512</v>
      </c>
      <c r="BC505" s="17" t="n">
        <v>2971663</v>
      </c>
      <c r="BD505" s="17">
        <f>1000000000-999257643.1308+245824.4415</f>
        <v/>
      </c>
      <c r="BE505" s="19">
        <f>1000000000-AZ505-BA505-BB505-BC505-BD505</f>
        <v/>
      </c>
      <c r="BF505" s="20" t="n">
        <v>234.484938</v>
      </c>
      <c r="BG505" s="20">
        <f>BE505/1000000-BF505</f>
        <v/>
      </c>
      <c r="BH505" s="21">
        <f>BE505*43.8</f>
        <v/>
      </c>
    </row>
    <row r="506">
      <c r="A506" s="10" t="n">
        <v>46128</v>
      </c>
      <c r="B506" s="11" t="n">
        <v>5154986535</v>
      </c>
      <c r="C506" s="11" t="n">
        <v>1796383357.22</v>
      </c>
      <c r="D506" s="11" t="n">
        <v>172639204</v>
      </c>
      <c r="E506" s="11" t="n"/>
      <c r="F506" s="24" t="n">
        <v>914731965.9686456</v>
      </c>
      <c r="G506" s="24" t="n">
        <v>22640143.23465858</v>
      </c>
      <c r="H506" s="24" t="n">
        <v>3758401.644609498</v>
      </c>
      <c r="I506" s="24" t="n">
        <v>605403069.5383821</v>
      </c>
      <c r="J506" s="24" t="n">
        <v>304139.2546537635</v>
      </c>
      <c r="K506" s="24" t="n">
        <v>249545637.5790505</v>
      </c>
      <c r="L506" s="21">
        <f>SUM(F506:K506)</f>
        <v/>
      </c>
      <c r="M506" s="28" t="n">
        <v>1.001908740854402</v>
      </c>
      <c r="N506" s="11" t="n">
        <v>1739039.54</v>
      </c>
      <c r="O506" s="11" t="n">
        <v>177288.06</v>
      </c>
      <c r="P506" s="11" t="n">
        <v>96278.44</v>
      </c>
      <c r="Q506" s="11" t="n"/>
      <c r="R506" s="21">
        <f>N506+O506+P506+N(Q506)</f>
        <v/>
      </c>
      <c r="S506" s="13" t="n">
        <v>0.01</v>
      </c>
      <c r="T506" s="21">
        <f>N(AC506)*S506</f>
        <v/>
      </c>
      <c r="U506" s="21">
        <f>N(AD506)*S506</f>
        <v/>
      </c>
      <c r="V506" s="21">
        <f>N(AE506)*S506</f>
        <v/>
      </c>
      <c r="W506" s="21">
        <f>IF(Q506="","",N(AF506)*S506)</f>
        <v/>
      </c>
      <c r="X506" s="11" t="n">
        <v>16085.93</v>
      </c>
      <c r="Y506" s="11" t="n">
        <v>85145.72</v>
      </c>
      <c r="Z506" s="11" t="n"/>
      <c r="AA506" s="21">
        <f>T506+U506+V506+N(W506)+X506+Y506+N(Z506)</f>
        <v/>
      </c>
      <c r="AB506" s="11" t="n">
        <v>144010.6915</v>
      </c>
      <c r="AC506" s="11" t="n">
        <v>1739039.54</v>
      </c>
      <c r="AD506" s="21">
        <f>O506-Y506</f>
        <v/>
      </c>
      <c r="AE506" s="21">
        <f>P506-X506</f>
        <v/>
      </c>
      <c r="AF506" s="21">
        <f>IF(Q506="","",Q506-Z506)</f>
        <v/>
      </c>
      <c r="AG506" s="22">
        <f>AC506+AD506+AE506+N(AF506)</f>
        <v/>
      </c>
      <c r="AH506" s="11" t="n">
        <v>1662817.42</v>
      </c>
      <c r="AI506" s="24">
        <f>AG506-AH506</f>
        <v/>
      </c>
      <c r="AJ506" s="14">
        <f>IF(OR(B506="",B506=0,N506=""),"",N506/B506*10000)</f>
        <v/>
      </c>
      <c r="AK506" s="14">
        <f>IF(OR(C506="",C506=0),"",O506/C506*10000)</f>
        <v/>
      </c>
      <c r="AL506" s="14">
        <f>IF(OR(D506="",D506=0),"",P506/D506*10000)</f>
        <v/>
      </c>
      <c r="AM506" s="14">
        <f>IF(OR(E506="",E506=0),"",Q506/E506*10000)</f>
        <v/>
      </c>
      <c r="AN506" s="11" t="n">
        <v>9956.86262909146</v>
      </c>
      <c r="AO506" s="11" t="n">
        <v>0</v>
      </c>
      <c r="AP506" s="21">
        <f>AH506+AN506+AO506</f>
        <v/>
      </c>
      <c r="AQ506" s="21">
        <f>AH506</f>
        <v/>
      </c>
      <c r="AR506" s="15" t="n">
        <v>37404.67</v>
      </c>
      <c r="AS506" s="27" t="n">
        <v>44.454808</v>
      </c>
      <c r="AT506" s="15" t="n">
        <v>43352296.74255512</v>
      </c>
      <c r="AU506" s="15" t="n">
        <v>26464.5846</v>
      </c>
      <c r="AV506" s="15" t="n">
        <v>1297.7344</v>
      </c>
      <c r="AW506" s="15" t="n"/>
      <c r="AX506" s="16" t="n">
        <v>433.4223858995285</v>
      </c>
      <c r="AY506" s="13">
        <f>IF(OR(AX506="",AX506=0,AU506=""),"",AU506*365/(AX506*1000000))</f>
        <v/>
      </c>
      <c r="AZ506" s="15" t="n">
        <v>415614926.3342</v>
      </c>
      <c r="BA506" s="17" t="n">
        <v>60487233</v>
      </c>
      <c r="BB506" s="18" t="n">
        <v>43352296.74255512</v>
      </c>
      <c r="BC506" s="17" t="n">
        <v>2971663</v>
      </c>
      <c r="BD506" s="17">
        <f>1000000000-999256345.3963+246048.1912</f>
        <v/>
      </c>
      <c r="BE506" s="19">
        <f>1000000000-AZ506-BA506-BB506-BC506-BD506</f>
        <v/>
      </c>
      <c r="BF506" s="20" t="n">
        <v>234.484938</v>
      </c>
      <c r="BG506" s="20">
        <f>BE506/1000000-BF506</f>
        <v/>
      </c>
      <c r="BH506" s="21">
        <f>BE506*44.53</f>
        <v/>
      </c>
    </row>
    <row r="507">
      <c r="A507" s="10" t="n">
        <v>46129</v>
      </c>
      <c r="B507" s="11" t="n">
        <v>5841059467</v>
      </c>
      <c r="C507" s="11" t="n">
        <v>2661372895.88</v>
      </c>
      <c r="D507" s="11" t="n">
        <v>184828362</v>
      </c>
      <c r="E507" s="11" t="n"/>
      <c r="F507" s="24" t="n">
        <v>1744808465.182933</v>
      </c>
      <c r="G507" s="24" t="n">
        <v>33797081.91563653</v>
      </c>
      <c r="H507" s="24" t="n">
        <v>9324739.29191025</v>
      </c>
      <c r="I507" s="24" t="n">
        <v>629062027.4943974</v>
      </c>
      <c r="J507" s="24" t="n">
        <v>906091.5668747685</v>
      </c>
      <c r="K507" s="24" t="n">
        <v>243474490.4282483</v>
      </c>
      <c r="L507" s="21">
        <f>SUM(F507:K507)</f>
        <v/>
      </c>
      <c r="M507" s="28" t="n">
        <v>1.001303080379396</v>
      </c>
      <c r="N507" s="11" t="n">
        <v>1399450.51</v>
      </c>
      <c r="O507" s="11" t="n">
        <v>189551.44</v>
      </c>
      <c r="P507" s="11" t="n">
        <v>80587.45999999999</v>
      </c>
      <c r="Q507" s="11" t="n"/>
      <c r="R507" s="21">
        <f>N507+O507+P507+N(Q507)</f>
        <v/>
      </c>
      <c r="S507" s="13" t="n">
        <v>0.01</v>
      </c>
      <c r="T507" s="21">
        <f>N(AC507)*S507</f>
        <v/>
      </c>
      <c r="U507" s="21">
        <f>N(AD507)*S507</f>
        <v/>
      </c>
      <c r="V507" s="21">
        <f>N(AE507)*S507</f>
        <v/>
      </c>
      <c r="W507" s="21">
        <f>IF(Q507="","",N(AF507)*S507)</f>
        <v/>
      </c>
      <c r="X507" s="11" t="n">
        <v>15883.19</v>
      </c>
      <c r="Y507" s="11" t="n">
        <v>90459.36</v>
      </c>
      <c r="Z507" s="11" t="n"/>
      <c r="AA507" s="21">
        <f>T507+U507+V507+N(W507)+X507+Y507+N(Z507)</f>
        <v/>
      </c>
      <c r="AB507" s="11" t="n">
        <v>122965.8608</v>
      </c>
      <c r="AC507" s="11" t="n">
        <v>1399450.51</v>
      </c>
      <c r="AD507" s="21">
        <f>O507-Y507</f>
        <v/>
      </c>
      <c r="AE507" s="21">
        <f>P507-X507</f>
        <v/>
      </c>
      <c r="AF507" s="21">
        <f>IF(Q507="","",Q507-Z507)</f>
        <v/>
      </c>
      <c r="AG507" s="22">
        <f>AC507+AD507+AE507+N(AF507)</f>
        <v/>
      </c>
      <c r="AH507" s="11" t="n">
        <v>1926748.5</v>
      </c>
      <c r="AI507" s="24">
        <f>AG507-AH507</f>
        <v/>
      </c>
      <c r="AJ507" s="14">
        <f>IF(OR(B507="",B507=0,N507=""),"",N507/B507*10000)</f>
        <v/>
      </c>
      <c r="AK507" s="14">
        <f>IF(OR(C507="",C507=0),"",O507/C507*10000)</f>
        <v/>
      </c>
      <c r="AL507" s="14">
        <f>IF(OR(D507="",D507=0),"",P507/D507*10000)</f>
        <v/>
      </c>
      <c r="AM507" s="14">
        <f>IF(OR(E507="",E507=0),"",Q507/E507*10000)</f>
        <v/>
      </c>
      <c r="AN507" s="11" t="n">
        <v>11526.6433888988</v>
      </c>
      <c r="AO507" s="11" t="n">
        <v>22400.69</v>
      </c>
      <c r="AP507" s="21">
        <f>AH507+AN507+AO507</f>
        <v/>
      </c>
      <c r="AQ507" s="21">
        <f>AH507</f>
        <v/>
      </c>
      <c r="AR507" s="15" t="n">
        <v>43321.04</v>
      </c>
      <c r="AS507" s="27" t="n">
        <v>44.476044</v>
      </c>
      <c r="AT507" s="15" t="n">
        <v>43395448.83255512</v>
      </c>
      <c r="AU507" s="15" t="n">
        <v>26437.0983</v>
      </c>
      <c r="AV507" s="15" t="n">
        <v>555.5300999999999</v>
      </c>
      <c r="AW507" s="15" t="n"/>
      <c r="AX507" s="16" t="n">
        <v>434.8905615438804</v>
      </c>
      <c r="AY507" s="13">
        <f>IF(OR(AX507="",AX507=0,AU507=""),"",AU507*365/(AX507*1000000))</f>
        <v/>
      </c>
      <c r="AZ507" s="15" t="n">
        <v>415588489.236</v>
      </c>
      <c r="BA507" s="17" t="n">
        <v>60487233</v>
      </c>
      <c r="BB507" s="18" t="n">
        <v>43395448.83255512</v>
      </c>
      <c r="BC507" s="17" t="n">
        <v>2971663</v>
      </c>
      <c r="BD507" s="17">
        <f>1000000000-999255789.8663+246309.6612</f>
        <v/>
      </c>
      <c r="BE507" s="19">
        <f>1000000000-AZ507-BA507-BB507-BC507-BD507</f>
        <v/>
      </c>
      <c r="BF507" s="20" t="n">
        <v>234.484938</v>
      </c>
      <c r="BG507" s="20">
        <f>BE507/1000000-BF507</f>
        <v/>
      </c>
      <c r="BH507" s="21">
        <f>BE507*44.09</f>
        <v/>
      </c>
    </row>
    <row r="508">
      <c r="A508" s="10" t="n">
        <v>46130</v>
      </c>
      <c r="B508" s="11" t="n">
        <v>2687587473</v>
      </c>
      <c r="C508" s="11" t="n">
        <v>707065040.3200001</v>
      </c>
      <c r="D508" s="11" t="n">
        <v>79542949</v>
      </c>
      <c r="E508" s="11" t="n"/>
      <c r="F508" s="24" t="n">
        <v>477439710.8813466</v>
      </c>
      <c r="G508" s="24" t="n">
        <v>14661320.21279811</v>
      </c>
      <c r="H508" s="24" t="n">
        <v>12866273.40453328</v>
      </c>
      <c r="I508" s="24" t="n">
        <v>126406133.2779593</v>
      </c>
      <c r="J508" s="24" t="n">
        <v>715711.8778035342</v>
      </c>
      <c r="K508" s="24" t="n">
        <v>74975890.66555929</v>
      </c>
      <c r="L508" s="21">
        <f>SUM(F508:K508)</f>
        <v/>
      </c>
      <c r="M508" s="28" t="n">
        <v>1.003530205544896</v>
      </c>
      <c r="N508" s="11" t="n">
        <v>943074.88</v>
      </c>
      <c r="O508" s="11" t="n">
        <v>127529.29</v>
      </c>
      <c r="P508" s="11" t="n">
        <v>44416.4</v>
      </c>
      <c r="Q508" s="11" t="n"/>
      <c r="R508" s="21">
        <f>N508+O508+P508+N(Q508)</f>
        <v/>
      </c>
      <c r="S508" s="13" t="n">
        <v>0.01</v>
      </c>
      <c r="T508" s="21">
        <f>N(AC508)*S508</f>
        <v/>
      </c>
      <c r="U508" s="21">
        <f>N(AD508)*S508</f>
        <v/>
      </c>
      <c r="V508" s="21">
        <f>N(AE508)*S508</f>
        <v/>
      </c>
      <c r="W508" s="21">
        <f>IF(Q508="","",N(AF508)*S508)</f>
        <v/>
      </c>
      <c r="X508" s="11" t="n">
        <v>8302.940000000001</v>
      </c>
      <c r="Y508" s="11" t="n">
        <v>61887.51</v>
      </c>
      <c r="Z508" s="11" t="n"/>
      <c r="AA508" s="21">
        <f>T508+U508+V508+N(W508)+X508+Y508+N(Z508)</f>
        <v/>
      </c>
      <c r="AB508" s="11" t="n">
        <v>101795.2231</v>
      </c>
      <c r="AC508" s="11" t="n">
        <v>943074.88</v>
      </c>
      <c r="AD508" s="21">
        <f>O508-Y508</f>
        <v/>
      </c>
      <c r="AE508" s="21">
        <f>P508-X508</f>
        <v/>
      </c>
      <c r="AF508" s="21">
        <f>IF(Q508="","",Q508-Z508)</f>
        <v/>
      </c>
      <c r="AG508" s="22">
        <f>AC508+AD508+AE508+N(AF508)</f>
        <v/>
      </c>
      <c r="AH508" s="11" t="n">
        <v>877262.95</v>
      </c>
      <c r="AI508" s="24">
        <f>AG508-AH508</f>
        <v/>
      </c>
      <c r="AJ508" s="14">
        <f>IF(OR(B508="",B508=0,N508=""),"",N508/B508*10000)</f>
        <v/>
      </c>
      <c r="AK508" s="14">
        <f>IF(OR(C508="",C508=0),"",O508/C508*10000)</f>
        <v/>
      </c>
      <c r="AL508" s="14">
        <f>IF(OR(D508="",D508=0),"",P508/D508*10000)</f>
        <v/>
      </c>
      <c r="AM508" s="14">
        <f>IF(OR(E508="",E508=0),"",Q508/E508*10000)</f>
        <v/>
      </c>
      <c r="AN508" s="11" t="n">
        <v>6439.845551258525</v>
      </c>
      <c r="AO508" s="11" t="n">
        <v>0</v>
      </c>
      <c r="AP508" s="21">
        <f>AH508+AN508+AO508</f>
        <v/>
      </c>
      <c r="AQ508" s="21">
        <f>AH508</f>
        <v/>
      </c>
      <c r="AR508" s="15" t="n">
        <v>19741.81</v>
      </c>
      <c r="AS508" s="27" t="n">
        <v>44.436805</v>
      </c>
      <c r="AT508" s="15" t="n">
        <v>43415762.77255512</v>
      </c>
      <c r="AU508" s="15" t="n">
        <v>26451.3725</v>
      </c>
      <c r="AV508" s="15" t="n">
        <v>1425.6598</v>
      </c>
      <c r="AW508" s="15" t="n"/>
      <c r="AX508" s="16" t="n">
        <v>435.3627506961535</v>
      </c>
      <c r="AY508" s="13">
        <f>IF(OR(AX508="",AX508=0,AU508=""),"",AU508*365/(AX508*1000000))</f>
        <v/>
      </c>
      <c r="AZ508" s="15" t="n">
        <v>415562037.8635</v>
      </c>
      <c r="BA508" s="17" t="n">
        <v>60487233</v>
      </c>
      <c r="BB508" s="18" t="n">
        <v>43415762.77255512</v>
      </c>
      <c r="BC508" s="17" t="n">
        <v>2971663</v>
      </c>
      <c r="BD508" s="17">
        <f>1000000000-999254364.2064+246453.5941</f>
        <v/>
      </c>
      <c r="BE508" s="19">
        <f>1000000000-AZ508-BA508-BB508-BC508-BD508</f>
        <v/>
      </c>
      <c r="BF508" s="20" t="n">
        <v>234.484938</v>
      </c>
      <c r="BG508" s="20">
        <f>BE508/1000000-BF508</f>
        <v/>
      </c>
      <c r="BH508" s="21">
        <f>BE508*44.77</f>
        <v/>
      </c>
    </row>
    <row r="509">
      <c r="A509" s="10" t="n">
        <v>46131</v>
      </c>
      <c r="B509" s="11" t="n">
        <v>4209440973</v>
      </c>
      <c r="C509" s="11" t="n">
        <v>1119406940.16</v>
      </c>
      <c r="D509" s="11" t="n">
        <v>138287499</v>
      </c>
      <c r="E509" s="11" t="n"/>
      <c r="F509" s="24" t="n">
        <v>828267155.0154226</v>
      </c>
      <c r="G509" s="24" t="n">
        <v>14979990.87948554</v>
      </c>
      <c r="H509" s="24" t="n">
        <v>14783185.66122733</v>
      </c>
      <c r="I509" s="24" t="n">
        <v>174793692.0268548</v>
      </c>
      <c r="J509" s="24" t="n">
        <v>766566.1870051443</v>
      </c>
      <c r="K509" s="24" t="n">
        <v>85816350.39000478</v>
      </c>
      <c r="L509" s="21">
        <f>SUM(F509:K509)</f>
        <v/>
      </c>
      <c r="M509" s="28" t="n">
        <v>1.023667992539878</v>
      </c>
      <c r="N509" s="11" t="n">
        <v>1426484.75</v>
      </c>
      <c r="O509" s="11" t="n">
        <v>161896.63</v>
      </c>
      <c r="P509" s="11" t="n">
        <v>69347.10000000001</v>
      </c>
      <c r="Q509" s="11" t="n"/>
      <c r="R509" s="21">
        <f>N509+O509+P509+N(Q509)</f>
        <v/>
      </c>
      <c r="S509" s="13" t="n">
        <v>0.01</v>
      </c>
      <c r="T509" s="21">
        <f>N(AC509)*S509</f>
        <v/>
      </c>
      <c r="U509" s="21">
        <f>N(AD509)*S509</f>
        <v/>
      </c>
      <c r="V509" s="21">
        <f>N(AE509)*S509</f>
        <v/>
      </c>
      <c r="W509" s="21">
        <f>IF(Q509="","",N(AF509)*S509)</f>
        <v/>
      </c>
      <c r="X509" s="11" t="n">
        <v>12375.74</v>
      </c>
      <c r="Y509" s="11" t="n">
        <v>79088.23</v>
      </c>
      <c r="Z509" s="11" t="n"/>
      <c r="AA509" s="21">
        <f>T509+U509+V509+N(W509)+X509+Y509+N(Z509)</f>
        <v/>
      </c>
      <c r="AB509" s="11" t="n">
        <v>112290.151</v>
      </c>
      <c r="AC509" s="11" t="n">
        <v>1426484.75</v>
      </c>
      <c r="AD509" s="21">
        <f>O509-Y509</f>
        <v/>
      </c>
      <c r="AE509" s="21">
        <f>P509-X509</f>
        <v/>
      </c>
      <c r="AF509" s="21">
        <f>IF(Q509="","",Q509-Z509)</f>
        <v/>
      </c>
      <c r="AG509" s="22">
        <f>AC509+AD509+AE509+N(AF509)</f>
        <v/>
      </c>
      <c r="AH509" s="11" t="n">
        <v>1367863.42</v>
      </c>
      <c r="AI509" s="24">
        <f>AG509-AH509</f>
        <v/>
      </c>
      <c r="AJ509" s="14">
        <f>IF(OR(B509="",B509=0,N509=""),"",N509/B509*10000)</f>
        <v/>
      </c>
      <c r="AK509" s="14">
        <f>IF(OR(C509="",C509=0),"",O509/C509*10000)</f>
        <v/>
      </c>
      <c r="AL509" s="14">
        <f>IF(OR(D509="",D509=0),"",P509/D509*10000)</f>
        <v/>
      </c>
      <c r="AM509" s="14">
        <f>IF(OR(E509="",E509=0),"",Q509/E509*10000)</f>
        <v/>
      </c>
      <c r="AN509" s="11" t="n">
        <v>8494.466492733029</v>
      </c>
      <c r="AO509" s="11" t="n">
        <v>0</v>
      </c>
      <c r="AP509" s="21">
        <f>AH509+AN509+AO509</f>
        <v/>
      </c>
      <c r="AQ509" s="21">
        <f>AH509</f>
        <v/>
      </c>
      <c r="AR509" s="15" t="n">
        <v>32142.71</v>
      </c>
      <c r="AS509" s="27" t="n">
        <v>42.555946</v>
      </c>
      <c r="AT509" s="15" t="n">
        <v>43447726.66255512</v>
      </c>
      <c r="AU509" s="15" t="n">
        <v>26456.7739</v>
      </c>
      <c r="AV509" s="15" t="n">
        <v>153.5438</v>
      </c>
      <c r="AW509" s="15" t="n"/>
      <c r="AX509" s="16" t="n">
        <v>435.196796390688</v>
      </c>
      <c r="AY509" s="13">
        <f>IF(OR(AX509="",AX509=0,AU509=""),"",AU509*365/(AX509*1000000))</f>
        <v/>
      </c>
      <c r="AZ509" s="15" t="n">
        <v>415535581.0896</v>
      </c>
      <c r="BA509" s="17" t="n">
        <v>60487233</v>
      </c>
      <c r="BB509" s="18" t="n">
        <v>43447726.66255512</v>
      </c>
      <c r="BC509" s="17" t="n">
        <v>2971663</v>
      </c>
      <c r="BD509" s="17">
        <f>1000000000-999254210.6627+246648.0734</f>
        <v/>
      </c>
      <c r="BE509" s="19">
        <f>1000000000-AZ509-BA509-BB509-BC509-BD509</f>
        <v/>
      </c>
      <c r="BF509" s="20" t="n">
        <v>234.484938</v>
      </c>
      <c r="BG509" s="20">
        <f>BE509/1000000-BF509</f>
        <v/>
      </c>
      <c r="BH509" s="21">
        <f>BE509*43.71</f>
        <v/>
      </c>
    </row>
    <row r="510">
      <c r="A510" s="10" t="n">
        <v>46132</v>
      </c>
      <c r="B510" s="11" t="n">
        <v>4065641182</v>
      </c>
      <c r="C510" s="11" t="n">
        <v>2139879342.62</v>
      </c>
      <c r="D510" s="11" t="n">
        <v>122420465</v>
      </c>
      <c r="E510" s="11" t="n"/>
      <c r="F510" s="24" t="n">
        <v>1336131623.386641</v>
      </c>
      <c r="G510" s="24" t="n">
        <v>26270031.10019661</v>
      </c>
      <c r="H510" s="24" t="n">
        <v>6183857.192402086</v>
      </c>
      <c r="I510" s="24" t="n">
        <v>525284631.436698</v>
      </c>
      <c r="J510" s="24" t="n">
        <v>671253.4204718849</v>
      </c>
      <c r="K510" s="24" t="n">
        <v>245337946.0835907</v>
      </c>
      <c r="L510" s="21">
        <f>SUM(F510:K510)</f>
        <v/>
      </c>
      <c r="M510" s="28" t="n">
        <v>1.001869598131604</v>
      </c>
      <c r="N510" s="11" t="n">
        <v>1369255.08</v>
      </c>
      <c r="O510" s="11" t="n">
        <v>211323.12</v>
      </c>
      <c r="P510" s="11" t="n">
        <v>62414.99000000001</v>
      </c>
      <c r="Q510" s="11" t="n"/>
      <c r="R510" s="21">
        <f>N510+O510+P510+N(Q510)</f>
        <v/>
      </c>
      <c r="S510" s="13" t="n">
        <v>0.01</v>
      </c>
      <c r="T510" s="21">
        <f>N(AC510)*S510</f>
        <v/>
      </c>
      <c r="U510" s="21">
        <f>N(AD510)*S510</f>
        <v/>
      </c>
      <c r="V510" s="21">
        <f>N(AE510)*S510</f>
        <v/>
      </c>
      <c r="W510" s="21">
        <f>IF(Q510="","",N(AF510)*S510)</f>
        <v/>
      </c>
      <c r="X510" s="11" t="n">
        <v>13235.58</v>
      </c>
      <c r="Y510" s="11" t="n">
        <v>101733</v>
      </c>
      <c r="Z510" s="11" t="n"/>
      <c r="AA510" s="21">
        <f>T510+U510+V510+N(W510)+X510+Y510+N(Z510)</f>
        <v/>
      </c>
      <c r="AB510" s="11" t="n">
        <v>99218.9246</v>
      </c>
      <c r="AC510" s="11" t="n">
        <v>1369255.08</v>
      </c>
      <c r="AD510" s="21">
        <f>O510-Y510</f>
        <v/>
      </c>
      <c r="AE510" s="21">
        <f>P510-X510</f>
        <v/>
      </c>
      <c r="AF510" s="21">
        <f>IF(Q510="","",Q510-Z510)</f>
        <v/>
      </c>
      <c r="AG510" s="22">
        <f>AC510+AD510+AE510+N(AF510)</f>
        <v/>
      </c>
      <c r="AH510" s="11" t="n">
        <v>1298285.79</v>
      </c>
      <c r="AI510" s="24">
        <f>AG510-AH510</f>
        <v/>
      </c>
      <c r="AJ510" s="14">
        <f>IF(OR(B510="",B510=0,N510=""),"",N510/B510*10000)</f>
        <v/>
      </c>
      <c r="AK510" s="14">
        <f>IF(OR(C510="",C510=0),"",O510/C510*10000)</f>
        <v/>
      </c>
      <c r="AL510" s="14">
        <f>IF(OR(D510="",D510=0),"",P510/D510*10000)</f>
        <v/>
      </c>
      <c r="AM510" s="14">
        <f>IF(OR(E510="",E510=0),"",Q510/E510*10000)</f>
        <v/>
      </c>
      <c r="AN510" s="11" t="n">
        <v>8332.265406746114</v>
      </c>
      <c r="AO510" s="11" t="n">
        <v>20302.38</v>
      </c>
      <c r="AP510" s="21">
        <f>AH510+AN510+AO510</f>
        <v/>
      </c>
      <c r="AQ510" s="21">
        <f>AH510</f>
        <v/>
      </c>
      <c r="AR510" s="15" t="n">
        <v>31533.61</v>
      </c>
      <c r="AS510" s="27" t="n">
        <v>41.171493</v>
      </c>
      <c r="AT510" s="15" t="n">
        <v>43479794.67255512</v>
      </c>
      <c r="AU510" s="15" t="n">
        <v>26450.7888</v>
      </c>
      <c r="AV510" s="15" t="n">
        <v>773.1407</v>
      </c>
      <c r="AW510" s="15" t="n"/>
      <c r="AX510" s="16" t="n">
        <v>434.7878449545013</v>
      </c>
      <c r="AY510" s="13">
        <f>IF(OR(AX510="",AX510=0,AU510=""),"",AU510*365/(AX510*1000000))</f>
        <v/>
      </c>
      <c r="AZ510" s="15" t="n">
        <v>415509130.3008</v>
      </c>
      <c r="BA510" s="17" t="n">
        <v>60487233</v>
      </c>
      <c r="BB510" s="18" t="n">
        <v>43479794.67255512</v>
      </c>
      <c r="BC510" s="17" t="n">
        <v>2971663</v>
      </c>
      <c r="BD510" s="17">
        <f>1000000000-999253437.5219+246850.8641</f>
        <v/>
      </c>
      <c r="BE510" s="19">
        <f>1000000000-AZ510-BA510-BB510-BC510-BD510</f>
        <v/>
      </c>
      <c r="BF510" s="20" t="n">
        <v>234.484938</v>
      </c>
      <c r="BG510" s="20">
        <f>BE510/1000000-BF510</f>
        <v/>
      </c>
      <c r="BH510" s="21">
        <f>BE510*41.09</f>
        <v/>
      </c>
    </row>
    <row r="511">
      <c r="A511" s="10" t="n">
        <v>46133</v>
      </c>
      <c r="B511" s="11" t="n">
        <v>4958760245</v>
      </c>
      <c r="C511" s="11" t="n">
        <v>2531640938.25</v>
      </c>
      <c r="D511" s="11" t="n">
        <v>145899534</v>
      </c>
      <c r="E511" s="11" t="n"/>
      <c r="F511" s="24" t="n">
        <v>1719295380.152313</v>
      </c>
      <c r="G511" s="24" t="n">
        <v>15471073.03298292</v>
      </c>
      <c r="H511" s="24" t="n">
        <v>16495788.52622954</v>
      </c>
      <c r="I511" s="24" t="n">
        <v>555644588.3784616</v>
      </c>
      <c r="J511" s="24" t="n">
        <v>905704.8212528015</v>
      </c>
      <c r="K511" s="24" t="n">
        <v>223828403.3387602</v>
      </c>
      <c r="L511" s="21">
        <f>SUM(F511:K511)</f>
        <v/>
      </c>
      <c r="M511" s="28" t="n">
        <v>1.002847296083678</v>
      </c>
      <c r="N511" s="11" t="n">
        <v>1671259</v>
      </c>
      <c r="O511" s="11" t="n">
        <v>279939.72</v>
      </c>
      <c r="P511" s="11" t="n">
        <v>81226.64</v>
      </c>
      <c r="Q511" s="11" t="n"/>
      <c r="R511" s="21">
        <f>N511+O511+P511+N(Q511)</f>
        <v/>
      </c>
      <c r="S511" s="13" t="n">
        <v>0.01</v>
      </c>
      <c r="T511" s="21">
        <f>N(AC511)*S511</f>
        <v/>
      </c>
      <c r="U511" s="21">
        <f>N(AD511)*S511</f>
        <v/>
      </c>
      <c r="V511" s="21">
        <f>N(AE511)*S511</f>
        <v/>
      </c>
      <c r="W511" s="21">
        <f>IF(Q511="","",N(AF511)*S511)</f>
        <v/>
      </c>
      <c r="X511" s="11" t="n">
        <v>18057.15</v>
      </c>
      <c r="Y511" s="11" t="n">
        <v>137878.61</v>
      </c>
      <c r="Z511" s="11" t="n"/>
      <c r="AA511" s="21">
        <f>T511+U511+V511+N(W511)+X511+Y511+N(Z511)</f>
        <v/>
      </c>
      <c r="AB511" s="11" t="n">
        <v>141274.8382</v>
      </c>
      <c r="AC511" s="11" t="n">
        <v>1671259</v>
      </c>
      <c r="AD511" s="21">
        <f>O511-Y511</f>
        <v/>
      </c>
      <c r="AE511" s="21">
        <f>P511-X511</f>
        <v/>
      </c>
      <c r="AF511" s="21">
        <f>IF(Q511="","",Q511-Z511)</f>
        <v/>
      </c>
      <c r="AG511" s="22">
        <f>AC511+AD511+AE511+N(AF511)</f>
        <v/>
      </c>
      <c r="AH511" s="11" t="n">
        <v>1613418.45</v>
      </c>
      <c r="AI511" s="24">
        <f>AG511-AH511</f>
        <v/>
      </c>
      <c r="AJ511" s="14">
        <f>IF(OR(B511="",B511=0,N511=""),"",N511/B511*10000)</f>
        <v/>
      </c>
      <c r="AK511" s="14">
        <f>IF(OR(C511="",C511=0),"",O511/C511*10000)</f>
        <v/>
      </c>
      <c r="AL511" s="14">
        <f>IF(OR(D511="",D511=0),"",P511/D511*10000)</f>
        <v/>
      </c>
      <c r="AM511" s="14">
        <f>IF(OR(E511="",E511=0),"",Q511/E511*10000)</f>
        <v/>
      </c>
      <c r="AN511" s="11" t="n">
        <v>10976.8931625734</v>
      </c>
      <c r="AO511" s="11" t="n">
        <v>20401.85</v>
      </c>
      <c r="AP511" s="21">
        <f>AH511+AN511+AO511</f>
        <v/>
      </c>
      <c r="AQ511" s="21">
        <f>AH511</f>
        <v/>
      </c>
      <c r="AR511" s="15" t="n">
        <v>40177.93</v>
      </c>
      <c r="AS511" s="27" t="n">
        <v>40.156834</v>
      </c>
      <c r="AT511" s="15" t="n">
        <v>43520699.47255512</v>
      </c>
      <c r="AU511" s="15" t="n">
        <v>26412.1852</v>
      </c>
      <c r="AV511" s="15" t="n">
        <v>847.5674</v>
      </c>
      <c r="AW511" s="15" t="n"/>
      <c r="AX511" s="16" t="n">
        <v>434.5499583140095</v>
      </c>
      <c r="AY511" s="13">
        <f>IF(OR(AX511="",AX511=0,AU511=""),"",AU511*365/(AX511*1000000))</f>
        <v/>
      </c>
      <c r="AZ511" s="15" t="n">
        <v>415482718.1156</v>
      </c>
      <c r="BA511" s="17" t="n">
        <v>60487233</v>
      </c>
      <c r="BB511" s="18" t="n">
        <v>43520699.47255512</v>
      </c>
      <c r="BC511" s="17" t="n">
        <v>2971663</v>
      </c>
      <c r="BD511" s="17">
        <f>1000000000-999252589.9545+247121.5777</f>
        <v/>
      </c>
      <c r="BE511" s="19">
        <f>1000000000-AZ511-BA511-BB511-BC511-BD511</f>
        <v/>
      </c>
      <c r="BF511" s="20" t="n">
        <v>234.484938</v>
      </c>
      <c r="BG511" s="20">
        <f>BE511/1000000-BF511</f>
        <v/>
      </c>
      <c r="BH511" s="21">
        <f>BE511*40.55</f>
        <v/>
      </c>
    </row>
    <row r="512">
      <c r="A512" s="10" t="n">
        <v>46134</v>
      </c>
      <c r="B512" s="11" t="n">
        <v>4868076687</v>
      </c>
      <c r="C512" s="11" t="n">
        <v>1825317377.06</v>
      </c>
      <c r="D512" s="11" t="n">
        <v>133853957</v>
      </c>
      <c r="E512" s="11" t="n"/>
      <c r="F512" s="24" t="n">
        <v>1160297528.889237</v>
      </c>
      <c r="G512" s="24" t="n">
        <v>23736661.83440525</v>
      </c>
      <c r="H512" s="24" t="n">
        <v>8404256.846474636</v>
      </c>
      <c r="I512" s="24" t="n">
        <v>436702607.830014</v>
      </c>
      <c r="J512" s="24" t="n">
        <v>1840387.250744488</v>
      </c>
      <c r="K512" s="24" t="n">
        <v>194335934.4091248</v>
      </c>
      <c r="L512" s="21">
        <f>SUM(F512:K512)</f>
        <v/>
      </c>
      <c r="M512" s="28" t="n">
        <v>1.000710033637083</v>
      </c>
      <c r="N512" s="11" t="n">
        <v>1664747.32</v>
      </c>
      <c r="O512" s="11" t="n">
        <v>200764.91</v>
      </c>
      <c r="P512" s="11" t="n">
        <v>74921.07000000001</v>
      </c>
      <c r="Q512" s="11" t="n"/>
      <c r="R512" s="21">
        <f>N512+O512+P512+N(Q512)</f>
        <v/>
      </c>
      <c r="S512" s="13" t="n">
        <v>0.01</v>
      </c>
      <c r="T512" s="21">
        <f>N(AC512)*S512</f>
        <v/>
      </c>
      <c r="U512" s="21">
        <f>N(AD512)*S512</f>
        <v/>
      </c>
      <c r="V512" s="21">
        <f>N(AE512)*S512</f>
        <v/>
      </c>
      <c r="W512" s="21">
        <f>IF(Q512="","",N(AF512)*S512)</f>
        <v/>
      </c>
      <c r="X512" s="11" t="n">
        <v>19456.65</v>
      </c>
      <c r="Y512" s="11" t="n">
        <v>96708.08</v>
      </c>
      <c r="Z512" s="11" t="n"/>
      <c r="AA512" s="21">
        <f>T512+U512+V512+N(W512)+X512+Y512+N(Z512)</f>
        <v/>
      </c>
      <c r="AB512" s="11" t="n">
        <v>115457.7165</v>
      </c>
      <c r="AC512" s="11" t="n">
        <v>1664747.32</v>
      </c>
      <c r="AD512" s="21">
        <f>O512-Y512</f>
        <v/>
      </c>
      <c r="AE512" s="21">
        <f>P512-X512</f>
        <v/>
      </c>
      <c r="AF512" s="21">
        <f>IF(Q512="","",Q512-Z512)</f>
        <v/>
      </c>
      <c r="AG512" s="22">
        <f>AC512+AD512+AE512+N(AF512)</f>
        <v/>
      </c>
      <c r="AH512" s="11" t="n">
        <v>1599024.3</v>
      </c>
      <c r="AI512" s="24">
        <f>AG512-AH512</f>
        <v/>
      </c>
      <c r="AJ512" s="14">
        <f>IF(OR(B512="",B512=0,N512=""),"",N512/B512*10000)</f>
        <v/>
      </c>
      <c r="AK512" s="14">
        <f>IF(OR(C512="",C512=0),"",O512/C512*10000)</f>
        <v/>
      </c>
      <c r="AL512" s="14">
        <f>IF(OR(D512="",D512=0),"",P512/D512*10000)</f>
        <v/>
      </c>
      <c r="AM512" s="14">
        <f>IF(OR(E512="",E512=0),"",Q512/E512*10000)</f>
        <v/>
      </c>
      <c r="AN512" s="11" t="n">
        <v>8501.708875351698</v>
      </c>
      <c r="AO512" s="11" t="n">
        <v>0</v>
      </c>
      <c r="AP512" s="21">
        <f>AH512+AN512+AO512</f>
        <v/>
      </c>
      <c r="AQ512" s="21">
        <f>AH512</f>
        <v/>
      </c>
      <c r="AR512" s="15" t="n">
        <v>39255.84</v>
      </c>
      <c r="AS512" s="27" t="n">
        <v>40.733412</v>
      </c>
      <c r="AT512" s="15" t="n">
        <v>43560852.33255512</v>
      </c>
      <c r="AU512" s="15" t="n">
        <v>26430.8213</v>
      </c>
      <c r="AV512" s="15" t="n">
        <v>985.4899</v>
      </c>
      <c r="AW512" s="15" t="n"/>
      <c r="AX512" s="16" t="n">
        <v>434.5844076134807</v>
      </c>
      <c r="AY512" s="13">
        <f>IF(OR(AX512="",AX512=0,AU512=""),"",AU512*365/(AX512*1000000))</f>
        <v/>
      </c>
      <c r="AZ512" s="15" t="n">
        <v>415456287.2943</v>
      </c>
      <c r="BA512" s="17" t="n">
        <v>60487233</v>
      </c>
      <c r="BB512" s="18" t="n">
        <v>43560852.33255512</v>
      </c>
      <c r="BC512" s="17" t="n">
        <v>2971663</v>
      </c>
      <c r="BD512" s="17">
        <f>1000000000-999251604.4646+247335.0811</f>
        <v/>
      </c>
      <c r="BE512" s="19">
        <f>1000000000-AZ512-BA512-BB512-BC512-BD512</f>
        <v/>
      </c>
      <c r="BF512" s="20" t="n">
        <v>234.484938</v>
      </c>
      <c r="BG512" s="20">
        <f>BE512/1000000-BF512</f>
        <v/>
      </c>
      <c r="BH512" s="21">
        <f>BE512*39.81</f>
        <v/>
      </c>
    </row>
    <row r="513">
      <c r="A513" s="10" t="n">
        <v>46135</v>
      </c>
      <c r="B513" s="11" t="n">
        <v>4940418400</v>
      </c>
      <c r="C513" s="11" t="n">
        <v>2696762590</v>
      </c>
      <c r="D513" s="11" t="n">
        <v>106687405</v>
      </c>
      <c r="E513" s="11" t="n"/>
      <c r="F513" s="24" t="n">
        <v>1659153884.828106</v>
      </c>
      <c r="G513" s="24" t="n">
        <v>36187118.32147129</v>
      </c>
      <c r="H513" s="24" t="n">
        <v>8656218.161243329</v>
      </c>
      <c r="I513" s="24" t="n">
        <v>685054797.4802705</v>
      </c>
      <c r="J513" s="24" t="n">
        <v>846728.2493064415</v>
      </c>
      <c r="K513" s="24" t="n">
        <v>306863842.9596026</v>
      </c>
      <c r="L513" s="21">
        <f>SUM(F513:K513)</f>
        <v/>
      </c>
      <c r="M513" s="28" t="n">
        <v>1.002860200569107</v>
      </c>
      <c r="N513" s="11" t="n">
        <v>1592569.64</v>
      </c>
      <c r="O513" s="11" t="n">
        <v>255370.36</v>
      </c>
      <c r="P513" s="11" t="n">
        <v>57862.48</v>
      </c>
      <c r="Q513" s="11" t="n"/>
      <c r="R513" s="21">
        <f>N513+O513+P513+N(Q513)</f>
        <v/>
      </c>
      <c r="S513" s="13" t="n">
        <v>0.01</v>
      </c>
      <c r="T513" s="21">
        <f>N(AC513)*S513</f>
        <v/>
      </c>
      <c r="U513" s="21">
        <f>N(AD513)*S513</f>
        <v/>
      </c>
      <c r="V513" s="21">
        <f>N(AE513)*S513</f>
        <v/>
      </c>
      <c r="W513" s="21">
        <f>IF(Q513="","",N(AF513)*S513)</f>
        <v/>
      </c>
      <c r="X513" s="11" t="n">
        <v>15512.37</v>
      </c>
      <c r="Y513" s="11" t="n">
        <v>121327.01</v>
      </c>
      <c r="Z513" s="11" t="n"/>
      <c r="AA513" s="21">
        <f>T513+U513+V513+N(W513)+X513+Y513+N(Z513)</f>
        <v/>
      </c>
      <c r="AB513" s="11" t="n">
        <v>116795.2189</v>
      </c>
      <c r="AC513" s="11" t="n">
        <v>1592569.64</v>
      </c>
      <c r="AD513" s="21">
        <f>O513-Y513</f>
        <v/>
      </c>
      <c r="AE513" s="21">
        <f>P513-X513</f>
        <v/>
      </c>
      <c r="AF513" s="21">
        <f>IF(Q513="","",Q513-Z513)</f>
        <v/>
      </c>
      <c r="AG513" s="22">
        <f>AC513+AD513+AE513+N(AF513)</f>
        <v/>
      </c>
      <c r="AH513" s="11" t="n">
        <v>1550566.83</v>
      </c>
      <c r="AI513" s="24">
        <f>AG513-AH513</f>
        <v/>
      </c>
      <c r="AJ513" s="14">
        <f>IF(OR(B513="",B513=0,N513=""),"",N513/B513*10000)</f>
        <v/>
      </c>
      <c r="AK513" s="14">
        <f>IF(OR(C513="",C513=0),"",O513/C513*10000)</f>
        <v/>
      </c>
      <c r="AL513" s="14">
        <f>IF(OR(D513="",D513=0),"",P513/D513*10000)</f>
        <v/>
      </c>
      <c r="AM513" s="14">
        <f>IF(OR(E513="",E513=0),"",Q513/E513*10000)</f>
        <v/>
      </c>
      <c r="AN513" s="11" t="n">
        <v>9838.29461309434</v>
      </c>
      <c r="AO513" s="11" t="n">
        <v>0</v>
      </c>
      <c r="AP513" s="21">
        <f>AH513+AN513+AO513</f>
        <v/>
      </c>
      <c r="AQ513" s="21">
        <f>AH513</f>
        <v/>
      </c>
      <c r="AR513" s="15" t="n">
        <v>37675.3</v>
      </c>
      <c r="AS513" s="27" t="n">
        <v>41.156058</v>
      </c>
      <c r="AT513" s="15" t="n">
        <v>43596546.74255512</v>
      </c>
      <c r="AU513" s="15" t="n">
        <v>26430.9951</v>
      </c>
      <c r="AV513" s="15" t="n">
        <v>990.9312</v>
      </c>
      <c r="AW513" s="15" t="n"/>
      <c r="AX513" s="16" t="n">
        <v>434.6115298765266</v>
      </c>
      <c r="AY513" s="13">
        <f>IF(OR(AX513="",AX513=0,AU513=""),"",AU513*365/(AX513*1000000))</f>
        <v/>
      </c>
      <c r="AZ513" s="15" t="n">
        <v>415429856.2992</v>
      </c>
      <c r="BA513" s="17" t="n">
        <v>60487233</v>
      </c>
      <c r="BB513" s="18" t="n">
        <v>43596546.74255512</v>
      </c>
      <c r="BC513" s="17" t="n">
        <v>2971663</v>
      </c>
      <c r="BD513" s="17">
        <f>1000000000-999250613.5334+247573.7530</f>
        <v/>
      </c>
      <c r="BE513" s="19">
        <f>1000000000-AZ513-BA513-BB513-BC513-BD513</f>
        <v/>
      </c>
      <c r="BF513" s="20" t="n">
        <v>234.484938</v>
      </c>
      <c r="BG513" s="20">
        <f>BE513/1000000-BF513</f>
        <v/>
      </c>
      <c r="BH513" s="21">
        <f>BE513*41.26</f>
        <v/>
      </c>
    </row>
    <row r="514">
      <c r="A514" s="10" t="n">
        <v>46136</v>
      </c>
      <c r="B514" s="11" t="n">
        <v>3303601453</v>
      </c>
      <c r="C514" s="11" t="n">
        <v>2242128211.88</v>
      </c>
      <c r="D514" s="11" t="n">
        <v>92234973</v>
      </c>
      <c r="E514" s="11" t="n"/>
      <c r="F514" s="24" t="n">
        <v>1335107671.170982</v>
      </c>
      <c r="G514" s="24" t="n">
        <v>7897501.18928961</v>
      </c>
      <c r="H514" s="24" t="n">
        <v>7127488.361151647</v>
      </c>
      <c r="I514" s="24" t="n">
        <v>533807120.6161736</v>
      </c>
      <c r="J514" s="24" t="n">
        <v>352545.8161370811</v>
      </c>
      <c r="K514" s="24" t="n">
        <v>357835884.7262662</v>
      </c>
      <c r="L514" s="21">
        <f>SUM(F514:K514)</f>
        <v/>
      </c>
      <c r="M514" s="28" t="n">
        <v>1.003499671240245</v>
      </c>
      <c r="N514" s="11" t="n">
        <v>1072227.46</v>
      </c>
      <c r="O514" s="11" t="n">
        <v>210674.03</v>
      </c>
      <c r="P514" s="11" t="n">
        <v>49376.54</v>
      </c>
      <c r="Q514" s="11" t="n"/>
      <c r="R514" s="21">
        <f>N514+O514+P514+N(Q514)</f>
        <v/>
      </c>
      <c r="S514" s="13" t="n">
        <v>0.01</v>
      </c>
      <c r="T514" s="21">
        <f>N(AC514)*S514</f>
        <v/>
      </c>
      <c r="U514" s="21">
        <f>N(AD514)*S514</f>
        <v/>
      </c>
      <c r="V514" s="21">
        <f>N(AE514)*S514</f>
        <v/>
      </c>
      <c r="W514" s="21">
        <f>IF(Q514="","",N(AF514)*S514)</f>
        <v/>
      </c>
      <c r="X514" s="11" t="n">
        <v>15191.96</v>
      </c>
      <c r="Y514" s="11" t="n">
        <v>103986.15</v>
      </c>
      <c r="Z514" s="11" t="n"/>
      <c r="AA514" s="21">
        <f>T514+U514+V514+N(W514)+X514+Y514+N(Z514)</f>
        <v/>
      </c>
      <c r="AB514" s="11" t="n">
        <v>109058.7349</v>
      </c>
      <c r="AC514" s="11" t="n">
        <v>1072227.46</v>
      </c>
      <c r="AD514" s="21">
        <f>O514-Y514</f>
        <v/>
      </c>
      <c r="AE514" s="21">
        <f>P514-X514</f>
        <v/>
      </c>
      <c r="AF514" s="21">
        <f>IF(Q514="","",Q514-Z514)</f>
        <v/>
      </c>
      <c r="AG514" s="22">
        <f>AC514+AD514+AE514+N(AF514)</f>
        <v/>
      </c>
      <c r="AH514" s="11" t="n">
        <v>1038979.35</v>
      </c>
      <c r="AI514" s="24">
        <f>AG514-AH514</f>
        <v/>
      </c>
      <c r="AJ514" s="14">
        <f>IF(OR(B514="",B514=0,N514=""),"",N514/B514*10000)</f>
        <v/>
      </c>
      <c r="AK514" s="14">
        <f>IF(OR(C514="",C514=0),"",O514/C514*10000)</f>
        <v/>
      </c>
      <c r="AL514" s="14">
        <f>IF(OR(D514="",D514=0),"",P514/D514*10000)</f>
        <v/>
      </c>
      <c r="AM514" s="14">
        <f>IF(OR(E514="",E514=0),"",Q514/E514*10000)</f>
        <v/>
      </c>
      <c r="AN514" s="11" t="n">
        <v>3602.895434012748</v>
      </c>
      <c r="AO514" s="11" t="n">
        <v>0</v>
      </c>
      <c r="AP514" s="21">
        <f>AH514+AN514+AO514</f>
        <v/>
      </c>
      <c r="AQ514" s="21">
        <f>AH514</f>
        <v/>
      </c>
      <c r="AR514" s="15" t="n">
        <v>25292.92</v>
      </c>
      <c r="AS514" s="27" t="n">
        <v>41.077873</v>
      </c>
      <c r="AT514" s="15" t="n">
        <v>43621280.75255512</v>
      </c>
      <c r="AU514" s="15" t="n">
        <v>26417.9951</v>
      </c>
      <c r="AV514" s="15" t="n">
        <v>356.0936</v>
      </c>
      <c r="AW514" s="15" t="n"/>
      <c r="AX514" s="16" t="n">
        <v>433.791361161443</v>
      </c>
      <c r="AY514" s="13">
        <f>IF(OR(AX514="",AX514=0,AU514=""),"",AU514*365/(AX514*1000000))</f>
        <v/>
      </c>
      <c r="AZ514" s="15" t="n">
        <v>415403438.3041</v>
      </c>
      <c r="BA514" s="17" t="n">
        <v>60487233</v>
      </c>
      <c r="BB514" s="18" t="n">
        <v>43621280.75255512</v>
      </c>
      <c r="BC514" s="17" t="n">
        <v>2971663</v>
      </c>
      <c r="BD514" s="17">
        <f>1000000000-999250257.4399+247661.0135</f>
        <v/>
      </c>
      <c r="BE514" s="19">
        <f>1000000000-AZ514-BA514-BB514-BC514-BD514</f>
        <v/>
      </c>
      <c r="BF514" s="20" t="n">
        <v>234.484938</v>
      </c>
      <c r="BG514" s="20">
        <f>BE514/1000000-BF514</f>
        <v/>
      </c>
      <c r="BH514" s="21">
        <f>BE514*41.3</f>
        <v/>
      </c>
    </row>
    <row r="515">
      <c r="A515" s="10" t="n">
        <v>46137</v>
      </c>
      <c r="B515" s="11" t="n">
        <v>1381000860</v>
      </c>
      <c r="C515" s="11" t="n">
        <v>317441518.23</v>
      </c>
      <c r="D515" s="11" t="n">
        <v>45717666</v>
      </c>
      <c r="E515" s="11" t="n"/>
      <c r="F515" s="24" t="n">
        <v>189532541.6613435</v>
      </c>
      <c r="G515" s="24" t="n">
        <v>5464222.205204201</v>
      </c>
      <c r="H515" s="24" t="n">
        <v>688453.8794129892</v>
      </c>
      <c r="I515" s="24" t="n">
        <v>77941979.87577438</v>
      </c>
      <c r="J515" s="24" t="n">
        <v>109101.6357740159</v>
      </c>
      <c r="K515" s="24" t="n">
        <v>43705218.9724909</v>
      </c>
      <c r="L515" s="21">
        <f>SUM(F515:K515)</f>
        <v/>
      </c>
      <c r="M515" s="28" t="n">
        <v>0.9925313984853289</v>
      </c>
      <c r="N515" s="11" t="n">
        <v>464692.31</v>
      </c>
      <c r="O515" s="11" t="n">
        <v>54972.74</v>
      </c>
      <c r="P515" s="11" t="n">
        <v>30324.22</v>
      </c>
      <c r="Q515" s="11" t="n"/>
      <c r="R515" s="21">
        <f>N515+O515+P515+N(Q515)</f>
        <v/>
      </c>
      <c r="S515" s="13" t="n">
        <v>0.01</v>
      </c>
      <c r="T515" s="21">
        <f>N(AC515)*S515</f>
        <v/>
      </c>
      <c r="U515" s="21">
        <f>N(AD515)*S515</f>
        <v/>
      </c>
      <c r="V515" s="21">
        <f>N(AE515)*S515</f>
        <v/>
      </c>
      <c r="W515" s="21">
        <f>IF(Q515="","",N(AF515)*S515)</f>
        <v/>
      </c>
      <c r="X515" s="11" t="n">
        <v>6565.87</v>
      </c>
      <c r="Y515" s="11" t="n">
        <v>26429.87</v>
      </c>
      <c r="Z515" s="11" t="n"/>
      <c r="AA515" s="21">
        <f>T515+U515+V515+N(W515)+X515+Y515+N(Z515)</f>
        <v/>
      </c>
      <c r="AB515" s="11" t="n">
        <v>50080.9067</v>
      </c>
      <c r="AC515" s="11" t="n">
        <v>464692.31</v>
      </c>
      <c r="AD515" s="21">
        <f>O515-Y515</f>
        <v/>
      </c>
      <c r="AE515" s="21">
        <f>P515-X515</f>
        <v/>
      </c>
      <c r="AF515" s="21">
        <f>IF(Q515="","",Q515-Z515)</f>
        <v/>
      </c>
      <c r="AG515" s="22">
        <f>AC515+AD515+AE515+N(AF515)</f>
        <v/>
      </c>
      <c r="AH515" s="11" t="n">
        <v>420523.08</v>
      </c>
      <c r="AI515" s="24">
        <f>AG515-AH515</f>
        <v/>
      </c>
      <c r="AJ515" s="14">
        <f>IF(OR(B515="",B515=0,N515=""),"",N515/B515*10000)</f>
        <v/>
      </c>
      <c r="AK515" s="14">
        <f>IF(OR(C515="",C515=0),"",O515/C515*10000)</f>
        <v/>
      </c>
      <c r="AL515" s="14">
        <f>IF(OR(D515="",D515=0),"",P515/D515*10000)</f>
        <v/>
      </c>
      <c r="AM515" s="14">
        <f>IF(OR(E515="",E515=0),"",Q515/E515*10000)</f>
        <v/>
      </c>
      <c r="AN515" s="11" t="n">
        <v>2575.353904557464</v>
      </c>
      <c r="AO515" s="11" t="n">
        <v>0</v>
      </c>
      <c r="AP515" s="21">
        <f>AH515+AN515+AO515</f>
        <v/>
      </c>
      <c r="AQ515" s="21">
        <f>AH515</f>
        <v/>
      </c>
      <c r="AR515" s="15" t="n">
        <v>10174.42</v>
      </c>
      <c r="AS515" s="27" t="n">
        <v>41.331406</v>
      </c>
      <c r="AT515" s="15" t="n">
        <v>43631915.15255512</v>
      </c>
      <c r="AU515" s="15" t="n">
        <v>26409.5577</v>
      </c>
      <c r="AV515" s="15" t="n">
        <v>924.3055000000001</v>
      </c>
      <c r="AW515" s="15" t="n"/>
      <c r="AX515" s="16" t="n">
        <v>433.713026769995</v>
      </c>
      <c r="AY515" s="13">
        <f>IF(OR(AX515="",AX515=0,AU515=""),"",AU515*365/(AX515*1000000))</f>
        <v/>
      </c>
      <c r="AZ515" s="15" t="n">
        <v>415377028.7465</v>
      </c>
      <c r="BA515" s="17" t="n">
        <v>60487233</v>
      </c>
      <c r="BB515" s="18" t="n">
        <v>43631915.15255512</v>
      </c>
      <c r="BC515" s="17" t="n">
        <v>2971663</v>
      </c>
      <c r="BD515" s="17">
        <f>1000000000-999249333.1344+247723.7826</f>
        <v/>
      </c>
      <c r="BE515" s="19">
        <f>1000000000-AZ515-BA515-BB515-BC515-BD515</f>
        <v/>
      </c>
      <c r="BF515" s="20" t="n">
        <v>234.484938</v>
      </c>
      <c r="BG515" s="20">
        <f>BE515/1000000-BF515</f>
        <v/>
      </c>
      <c r="BH515" s="21">
        <f>BE515*41.03</f>
        <v/>
      </c>
    </row>
    <row r="516">
      <c r="A516" s="10" t="n">
        <v>46138</v>
      </c>
      <c r="B516" s="11" t="n">
        <v>2116032090</v>
      </c>
      <c r="C516" s="11" t="n">
        <v>600822745.8</v>
      </c>
      <c r="D516" s="11" t="n">
        <v>77354686</v>
      </c>
      <c r="E516" s="11" t="n"/>
      <c r="F516" s="24" t="n">
        <v>288688745.7253381</v>
      </c>
      <c r="G516" s="24" t="n">
        <v>51894842.2070443</v>
      </c>
      <c r="H516" s="24" t="n">
        <v>2709460.01739807</v>
      </c>
      <c r="I516" s="24" t="n">
        <v>158722998.9393722</v>
      </c>
      <c r="J516" s="24" t="n">
        <v>520333.8396425308</v>
      </c>
      <c r="K516" s="24" t="n">
        <v>98286365.07120483</v>
      </c>
      <c r="L516" s="21">
        <f>SUM(F516:K516)</f>
        <v/>
      </c>
      <c r="M516" s="28" t="n">
        <v>1.01329089770189</v>
      </c>
      <c r="N516" s="11" t="n">
        <v>702734.0699999999</v>
      </c>
      <c r="O516" s="11" t="n">
        <v>127217.94</v>
      </c>
      <c r="P516" s="11" t="n">
        <v>44901.49000000001</v>
      </c>
      <c r="Q516" s="11" t="n"/>
      <c r="R516" s="21">
        <f>N516+O516+P516+N(Q516)</f>
        <v/>
      </c>
      <c r="S516" s="13" t="n">
        <v>0.01</v>
      </c>
      <c r="T516" s="21">
        <f>N(AC516)*S516</f>
        <v/>
      </c>
      <c r="U516" s="21">
        <f>N(AD516)*S516</f>
        <v/>
      </c>
      <c r="V516" s="21">
        <f>N(AE516)*S516</f>
        <v/>
      </c>
      <c r="W516" s="21">
        <f>IF(Q516="","",N(AF516)*S516)</f>
        <v/>
      </c>
      <c r="X516" s="11" t="n">
        <v>11335.12</v>
      </c>
      <c r="Y516" s="11" t="n">
        <v>62108.05</v>
      </c>
      <c r="Z516" s="11" t="n"/>
      <c r="AA516" s="21">
        <f>T516+U516+V516+N(W516)+X516+Y516+N(Z516)</f>
        <v/>
      </c>
      <c r="AB516" s="11" t="n">
        <v>58405.81710000001</v>
      </c>
      <c r="AC516" s="11" t="n">
        <v>702734.0699999999</v>
      </c>
      <c r="AD516" s="21">
        <f>O516-Y516</f>
        <v/>
      </c>
      <c r="AE516" s="21">
        <f>P516-X516</f>
        <v/>
      </c>
      <c r="AF516" s="21">
        <f>IF(Q516="","",Q516-Z516)</f>
        <v/>
      </c>
      <c r="AG516" s="22">
        <f>AC516+AD516+AE516+N(AF516)</f>
        <v/>
      </c>
      <c r="AH516" s="11" t="n">
        <v>674414.1</v>
      </c>
      <c r="AI516" s="24">
        <f>AG516-AH516</f>
        <v/>
      </c>
      <c r="AJ516" s="14">
        <f>IF(OR(B516="",B516=0,N516=""),"",N516/B516*10000)</f>
        <v/>
      </c>
      <c r="AK516" s="14">
        <f>IF(OR(C516="",C516=0),"",O516/C516*10000)</f>
        <v/>
      </c>
      <c r="AL516" s="14">
        <f>IF(OR(D516="",D516=0),"",P516/D516*10000)</f>
        <v/>
      </c>
      <c r="AM516" s="14">
        <f>IF(OR(E516="",E516=0),"",Q516/E516*10000)</f>
        <v/>
      </c>
      <c r="AN516" s="11" t="n">
        <v>3342.005660513506</v>
      </c>
      <c r="AO516" s="11" t="n">
        <v>0</v>
      </c>
      <c r="AP516" s="21">
        <f>AH516+AN516+AO516</f>
        <v/>
      </c>
      <c r="AQ516" s="21">
        <f>AH516</f>
        <v/>
      </c>
      <c r="AR516" s="15" t="n">
        <v>16236.7</v>
      </c>
      <c r="AS516" s="27" t="n">
        <v>41.536402</v>
      </c>
      <c r="AT516" s="15" t="n">
        <v>43648827.96255512</v>
      </c>
      <c r="AU516" s="15" t="n">
        <v>26388.9231</v>
      </c>
      <c r="AV516" s="15" t="n">
        <v>207.8372</v>
      </c>
      <c r="AW516" s="15" t="n"/>
      <c r="AX516" s="16" t="n">
        <v>433.6908577323102</v>
      </c>
      <c r="AY516" s="13">
        <f>IF(OR(AX516="",AX516=0,AU516=""),"",AU516*365/(AX516*1000000))</f>
        <v/>
      </c>
      <c r="AZ516" s="15" t="n">
        <v>415350639.8234</v>
      </c>
      <c r="BA516" s="17" t="n">
        <v>60487233</v>
      </c>
      <c r="BB516" s="18" t="n">
        <v>43648827.96255512</v>
      </c>
      <c r="BC516" s="17" t="n">
        <v>2971663</v>
      </c>
      <c r="BD516" s="17">
        <f>1000000000-999249125.2972+247804.5932</f>
        <v/>
      </c>
      <c r="BE516" s="19">
        <f>1000000000-AZ516-BA516-BB516-BC516-BD516</f>
        <v/>
      </c>
      <c r="BF516" s="20" t="n">
        <v>234.484938</v>
      </c>
      <c r="BG516" s="20">
        <f>BE516/1000000-BF516</f>
        <v/>
      </c>
      <c r="BH516" s="21">
        <f>BE516*41.36</f>
        <v/>
      </c>
    </row>
    <row r="517">
      <c r="A517" s="10" t="n">
        <v>46139</v>
      </c>
      <c r="B517" s="11" t="n">
        <v>4019555900</v>
      </c>
      <c r="C517" s="11" t="n">
        <v>1713834595.23</v>
      </c>
      <c r="D517" s="11" t="n">
        <v>127110960</v>
      </c>
      <c r="E517" s="11" t="n"/>
      <c r="F517" s="24" t="n">
        <v>818660835.2436903</v>
      </c>
      <c r="G517" s="24" t="n">
        <v>13644585.58084071</v>
      </c>
      <c r="H517" s="24" t="n">
        <v>6733772.190244715</v>
      </c>
      <c r="I517" s="24" t="n">
        <v>452335653.8046498</v>
      </c>
      <c r="J517" s="24" t="n">
        <v>336483.4662794386</v>
      </c>
      <c r="K517" s="24" t="n">
        <v>422123264.9442952</v>
      </c>
      <c r="L517" s="21">
        <f>SUM(F517:K517)</f>
        <v/>
      </c>
      <c r="M517" s="28" t="n">
        <v>1.006860202135602</v>
      </c>
      <c r="N517" s="11" t="n">
        <v>1380943.08</v>
      </c>
      <c r="O517" s="11" t="n">
        <v>172172.51</v>
      </c>
      <c r="P517" s="11" t="n">
        <v>71097.05</v>
      </c>
      <c r="Q517" s="11" t="n"/>
      <c r="R517" s="21">
        <f>N517+O517+P517+N(Q517)</f>
        <v/>
      </c>
      <c r="S517" s="13" t="n">
        <v>0.01</v>
      </c>
      <c r="T517" s="21">
        <f>N(AC517)*S517</f>
        <v/>
      </c>
      <c r="U517" s="21">
        <f>N(AD517)*S517</f>
        <v/>
      </c>
      <c r="V517" s="21">
        <f>N(AE517)*S517</f>
        <v/>
      </c>
      <c r="W517" s="21">
        <f>IF(Q517="","",N(AF517)*S517)</f>
        <v/>
      </c>
      <c r="X517" s="11" t="n">
        <v>17343.75</v>
      </c>
      <c r="Y517" s="11" t="n">
        <v>83880.73</v>
      </c>
      <c r="Z517" s="11" t="n"/>
      <c r="AA517" s="21">
        <f>T517+U517+V517+N(W517)+X517+Y517+N(Z517)</f>
        <v/>
      </c>
      <c r="AB517" s="11" t="n">
        <v>110127.6387</v>
      </c>
      <c r="AC517" s="11" t="n">
        <v>1380943.08</v>
      </c>
      <c r="AD517" s="21">
        <f>O517-Y517</f>
        <v/>
      </c>
      <c r="AE517" s="21">
        <f>P517-X517</f>
        <v/>
      </c>
      <c r="AF517" s="21">
        <f>IF(Q517="","",Q517-Z517)</f>
        <v/>
      </c>
      <c r="AG517" s="22">
        <f>AC517+AD517+AE517+N(AF517)</f>
        <v/>
      </c>
      <c r="AH517" s="11" t="n">
        <v>1313096.15</v>
      </c>
      <c r="AI517" s="24">
        <f>AG517-AH517</f>
        <v/>
      </c>
      <c r="AJ517" s="14">
        <f>IF(OR(B517="",B517=0,N517=""),"",N517/B517*10000)</f>
        <v/>
      </c>
      <c r="AK517" s="14">
        <f>IF(OR(C517="",C517=0),"",O517/C517*10000)</f>
        <v/>
      </c>
      <c r="AL517" s="14">
        <f>IF(OR(D517="",D517=0),"",P517/D517*10000)</f>
        <v/>
      </c>
      <c r="AM517" s="14">
        <f>IF(OR(E517="",E517=0),"",Q517/E517*10000)</f>
        <v/>
      </c>
      <c r="AN517" s="11" t="n">
        <v>7543.868745531192</v>
      </c>
      <c r="AO517" s="11" t="n">
        <v>0</v>
      </c>
      <c r="AP517" s="21">
        <f>AH517+AN517+AO517</f>
        <v/>
      </c>
      <c r="AQ517" s="21">
        <f>AH517</f>
        <v/>
      </c>
      <c r="AR517" s="15" t="n">
        <v>31064.46</v>
      </c>
      <c r="AS517" s="27" t="n">
        <v>42.270046</v>
      </c>
      <c r="AT517" s="15" t="n">
        <v>43678511.34255512</v>
      </c>
      <c r="AU517" s="15" t="n">
        <v>26407.345</v>
      </c>
      <c r="AV517" s="15" t="n">
        <v>283.5182</v>
      </c>
      <c r="AW517" s="15" t="n"/>
      <c r="AX517" s="16" t="n">
        <v>433.7197790249199</v>
      </c>
      <c r="AY517" s="13">
        <f>IF(OR(AX517="",AX517=0,AU517=""),"",AU517*365/(AX517*1000000))</f>
        <v/>
      </c>
      <c r="AZ517" s="15" t="n">
        <v>415324232.4784</v>
      </c>
      <c r="BA517" s="17" t="n">
        <v>60487233</v>
      </c>
      <c r="BB517" s="18" t="n">
        <v>43678511.34255512</v>
      </c>
      <c r="BC517" s="17" t="n">
        <v>2971663</v>
      </c>
      <c r="BD517" s="17">
        <f>1000000000-999248841.779+247982.1880</f>
        <v/>
      </c>
      <c r="BE517" s="19">
        <f>1000000000-AZ517-BA517-BB517-BC517-BD517</f>
        <v/>
      </c>
      <c r="BF517" s="20" t="n">
        <v>234.484938</v>
      </c>
      <c r="BG517" s="20">
        <f>BE517/1000000-BF517</f>
        <v/>
      </c>
      <c r="BH517" s="21">
        <f>BE517*42.49</f>
        <v/>
      </c>
    </row>
    <row r="518">
      <c r="A518" s="10" t="n">
        <v>46140</v>
      </c>
      <c r="B518" s="11" t="n">
        <v>3400449849</v>
      </c>
      <c r="C518" s="11" t="n">
        <v>2422641328.95</v>
      </c>
      <c r="D518" s="11" t="n">
        <v>94847219</v>
      </c>
      <c r="E518" s="11" t="n"/>
      <c r="F518" s="24" t="n">
        <v>1559344286.589398</v>
      </c>
      <c r="G518" s="24" t="n">
        <v>5950688.937667854</v>
      </c>
      <c r="H518" s="24" t="n">
        <v>11074674.21198935</v>
      </c>
      <c r="I518" s="24" t="n">
        <v>457902164.5526326</v>
      </c>
      <c r="J518" s="24" t="n">
        <v>617798.635522209</v>
      </c>
      <c r="K518" s="24" t="n">
        <v>387751716.0227902</v>
      </c>
      <c r="L518" s="21">
        <f>SUM(F518:K518)</f>
        <v/>
      </c>
      <c r="M518" s="28" t="n">
        <v>1.001968293247318</v>
      </c>
      <c r="N518" s="11" t="n">
        <v>1127533.5</v>
      </c>
      <c r="O518" s="11" t="n">
        <v>246217.86</v>
      </c>
      <c r="P518" s="11" t="n">
        <v>53832.14</v>
      </c>
      <c r="Q518" s="11" t="n"/>
      <c r="R518" s="21">
        <f>N518+O518+P518+N(Q518)</f>
        <v/>
      </c>
      <c r="S518" s="13" t="n">
        <v>0.01</v>
      </c>
      <c r="T518" s="21">
        <f>N(AC518)*S518</f>
        <v/>
      </c>
      <c r="U518" s="21">
        <f>N(AD518)*S518</f>
        <v/>
      </c>
      <c r="V518" s="21">
        <f>N(AE518)*S518</f>
        <v/>
      </c>
      <c r="W518" s="21">
        <f>IF(Q518="","",N(AF518)*S518)</f>
        <v/>
      </c>
      <c r="X518" s="11" t="n">
        <v>10203.5</v>
      </c>
      <c r="Y518" s="11" t="n">
        <v>122134.81</v>
      </c>
      <c r="Z518" s="11" t="n"/>
      <c r="AA518" s="21">
        <f>T518+U518+V518+N(W518)+X518+Y518+N(Z518)</f>
        <v/>
      </c>
      <c r="AB518" s="11" t="n">
        <v>97976.88190000001</v>
      </c>
      <c r="AC518" s="11" t="n">
        <v>1127533.5</v>
      </c>
      <c r="AD518" s="21">
        <f>O518-Y518</f>
        <v/>
      </c>
      <c r="AE518" s="21">
        <f>P518-X518</f>
        <v/>
      </c>
      <c r="AF518" s="21">
        <f>IF(Q518="","",Q518-Z518)</f>
        <v/>
      </c>
      <c r="AG518" s="22">
        <f>AC518+AD518+AE518+N(AF518)</f>
        <v/>
      </c>
      <c r="AH518" s="11" t="n">
        <v>1154158.92</v>
      </c>
      <c r="AI518" s="24">
        <f>AG518-AH518</f>
        <v/>
      </c>
      <c r="AJ518" s="14">
        <f>IF(OR(B518="",B518=0,N518=""),"",N518/B518*10000)</f>
        <v/>
      </c>
      <c r="AK518" s="14">
        <f>IF(OR(C518="",C518=0),"",O518/C518*10000)</f>
        <v/>
      </c>
      <c r="AL518" s="14">
        <f>IF(OR(D518="",D518=0),"",P518/D518*10000)</f>
        <v/>
      </c>
      <c r="AM518" s="14">
        <f>IF(OR(E518="",E518=0),"",Q518/E518*10000)</f>
        <v/>
      </c>
      <c r="AN518" s="11" t="n">
        <v>6028.578662241446</v>
      </c>
      <c r="AO518" s="11" t="n">
        <v>0</v>
      </c>
      <c r="AP518" s="21">
        <f>AH518+AN518+AO518</f>
        <v/>
      </c>
      <c r="AQ518" s="21">
        <f>AH518</f>
        <v/>
      </c>
      <c r="AR518" s="15" t="n">
        <v>28585.59</v>
      </c>
      <c r="AS518" s="27" t="n">
        <v>40.37555</v>
      </c>
      <c r="AT518" s="15" t="n">
        <v>43707525.31255512</v>
      </c>
      <c r="AU518" s="15" t="n">
        <v>26404.9879</v>
      </c>
      <c r="AV518" s="15" t="n">
        <v>938.8835</v>
      </c>
      <c r="AW518" s="15" t="n"/>
      <c r="AX518" s="16" t="n">
        <v>433.4080590774745</v>
      </c>
      <c r="AY518" s="13">
        <f>IF(OR(AX518="",AX518=0,AU518=""),"",AU518*365/(AX518*1000000))</f>
        <v/>
      </c>
      <c r="AZ518" s="15" t="n">
        <v>415297827.4905</v>
      </c>
      <c r="BA518" s="17" t="n">
        <v>60487233</v>
      </c>
      <c r="BB518" s="18" t="n">
        <v>43707525.31255512</v>
      </c>
      <c r="BC518" s="17" t="n">
        <v>2971663</v>
      </c>
      <c r="BD518" s="17">
        <f>1000000000-999247902.8955+248126.8553</f>
        <v/>
      </c>
      <c r="BE518" s="19">
        <f>1000000000-AZ518-BA518-BB518-BC518-BD518</f>
        <v/>
      </c>
      <c r="BF518" s="20" t="n">
        <v>234.484938</v>
      </c>
      <c r="BG518" s="20">
        <f>BE518/1000000-BF518</f>
        <v/>
      </c>
      <c r="BH518" s="21">
        <f>BE518*41.68</f>
        <v/>
      </c>
    </row>
    <row r="519">
      <c r="A519" s="10" t="n">
        <v>46141</v>
      </c>
      <c r="B519" s="11" t="n">
        <v>4867206843</v>
      </c>
      <c r="C519" s="11" t="n">
        <v>2936770905.15</v>
      </c>
      <c r="D519" s="11" t="n">
        <v>120108432</v>
      </c>
      <c r="E519" s="11" t="n"/>
      <c r="F519" s="24" t="n">
        <v>1593629894.363151</v>
      </c>
      <c r="G519" s="24" t="n">
        <v>8518234.501427213</v>
      </c>
      <c r="H519" s="24" t="n">
        <v>10881388.2770995</v>
      </c>
      <c r="I519" s="24" t="n">
        <v>739797005.4468715</v>
      </c>
      <c r="J519" s="24" t="n">
        <v>1300570.350345867</v>
      </c>
      <c r="K519" s="24" t="n">
        <v>582643812.2111045</v>
      </c>
      <c r="L519" s="21">
        <f>SUM(F519:K519)</f>
        <v/>
      </c>
      <c r="M519" s="28" t="n">
        <v>1.000773205314301</v>
      </c>
      <c r="N519" s="11" t="n">
        <v>1615661.28</v>
      </c>
      <c r="O519" s="11" t="n">
        <v>297327.04</v>
      </c>
      <c r="P519" s="11" t="n">
        <v>59523.05</v>
      </c>
      <c r="Q519" s="11" t="n"/>
      <c r="R519" s="21">
        <f>N519+O519+P519+N(Q519)</f>
        <v/>
      </c>
      <c r="S519" s="13" t="n">
        <v>0.01</v>
      </c>
      <c r="T519" s="21">
        <f>N(AC519)*S519</f>
        <v/>
      </c>
      <c r="U519" s="21">
        <f>N(AD519)*S519</f>
        <v/>
      </c>
      <c r="V519" s="21">
        <f>N(AE519)*S519</f>
        <v/>
      </c>
      <c r="W519" s="21">
        <f>IF(Q519="","",N(AF519)*S519)</f>
        <v/>
      </c>
      <c r="X519" s="11" t="n">
        <v>16603.29</v>
      </c>
      <c r="Y519" s="11" t="n">
        <v>147366.89</v>
      </c>
      <c r="Z519" s="11" t="n"/>
      <c r="AA519" s="21">
        <f>T519+U519+V519+N(W519)+X519+Y519+N(Z519)</f>
        <v/>
      </c>
      <c r="AB519" s="11" t="n">
        <v>138114.8243</v>
      </c>
      <c r="AC519" s="11" t="n">
        <v>1615661.28</v>
      </c>
      <c r="AD519" s="21">
        <f>O519-Y519</f>
        <v/>
      </c>
      <c r="AE519" s="21">
        <f>P519-X519</f>
        <v/>
      </c>
      <c r="AF519" s="21">
        <f>IF(Q519="","",Q519-Z519)</f>
        <v/>
      </c>
      <c r="AG519" s="22">
        <f>AC519+AD519+AE519+N(AF519)</f>
        <v/>
      </c>
      <c r="AH519" s="11" t="n">
        <v>1585554.2</v>
      </c>
      <c r="AI519" s="24">
        <f>AG519-AH519</f>
        <v/>
      </c>
      <c r="AJ519" s="14">
        <f>IF(OR(B519="",B519=0,N519=""),"",N519/B519*10000)</f>
        <v/>
      </c>
      <c r="AK519" s="14">
        <f>IF(OR(C519="",C519=0),"",O519/C519*10000)</f>
        <v/>
      </c>
      <c r="AL519" s="14">
        <f>IF(OR(D519="",D519=0),"",P519/D519*10000)</f>
        <v/>
      </c>
      <c r="AM519" s="14">
        <f>IF(OR(E519="",E519=0),"",Q519/E519*10000)</f>
        <v/>
      </c>
      <c r="AN519" s="11" t="n">
        <v>6346.323261222929</v>
      </c>
      <c r="AO519" s="11" t="n">
        <v>0</v>
      </c>
      <c r="AP519" s="21">
        <f>AH519+AN519+AO519</f>
        <v/>
      </c>
      <c r="AQ519" s="21">
        <f>AH519</f>
        <v/>
      </c>
      <c r="AR519" s="15" t="n">
        <v>39692.08</v>
      </c>
      <c r="AS519" s="27" t="n">
        <v>39.946362</v>
      </c>
      <c r="AT519" s="15" t="n">
        <v>43747331.68255512</v>
      </c>
      <c r="AU519" s="15" t="n">
        <v>26395.1682</v>
      </c>
      <c r="AV519" s="15" t="n">
        <v>538.9661</v>
      </c>
      <c r="AW519" s="15" t="n"/>
      <c r="AX519" s="16" t="n">
        <v>433.1961949137635</v>
      </c>
      <c r="AY519" s="13">
        <f>IF(OR(AX519="",AX519=0,AU519=""),"",AU519*365/(AX519*1000000))</f>
        <v/>
      </c>
      <c r="AZ519" s="15" t="n">
        <v>415271432.3222</v>
      </c>
      <c r="BA519" s="17" t="n">
        <v>60487233</v>
      </c>
      <c r="BB519" s="18" t="n">
        <v>43747331.68255512</v>
      </c>
      <c r="BC519" s="17" t="n">
        <v>2971663</v>
      </c>
      <c r="BD519" s="17">
        <f>1000000000-999247363.9294+248285.6603</f>
        <v/>
      </c>
      <c r="BE519" s="19">
        <f>1000000000-AZ519-BA519-BB519-BC519-BD519</f>
        <v/>
      </c>
      <c r="BF519" s="20" t="n">
        <v>234.484938</v>
      </c>
      <c r="BG519" s="20">
        <f>BE519/1000000-BF519</f>
        <v/>
      </c>
      <c r="BH519" s="21">
        <f>BE519*39.98</f>
        <v/>
      </c>
    </row>
    <row r="520">
      <c r="A520" s="10" t="n">
        <v>46142</v>
      </c>
      <c r="B520" s="11" t="n">
        <v>3633545498</v>
      </c>
      <c r="C520" s="11" t="n">
        <v>2850353565.02</v>
      </c>
      <c r="D520" s="11" t="n">
        <v>108157331</v>
      </c>
      <c r="E520" s="11" t="n"/>
      <c r="F520" s="24" t="n">
        <v>1489754099.426195</v>
      </c>
      <c r="G520" s="24" t="n">
        <v>4924288.167682011</v>
      </c>
      <c r="H520" s="24" t="n">
        <v>31090579.88475827</v>
      </c>
      <c r="I520" s="24" t="n">
        <v>733341760.7092341</v>
      </c>
      <c r="J520" s="24" t="n">
        <v>980055.8815701834</v>
      </c>
      <c r="K520" s="24" t="n">
        <v>590262780.9505603</v>
      </c>
      <c r="L520" s="21">
        <f>SUM(F520:K520)</f>
        <v/>
      </c>
      <c r="M520" s="28" t="n">
        <v>1.00314771942765</v>
      </c>
      <c r="N520" s="11" t="n">
        <v>1228351.33</v>
      </c>
      <c r="O520" s="11" t="n">
        <v>282105.11</v>
      </c>
      <c r="P520" s="11" t="n">
        <v>48807.60000000001</v>
      </c>
      <c r="Q520" s="11" t="n"/>
      <c r="R520" s="21">
        <f>N520+O520+P520+N(Q520)</f>
        <v/>
      </c>
      <c r="S520" s="13" t="n">
        <v>0.01</v>
      </c>
      <c r="T520" s="21">
        <f>N(AC520)*S520</f>
        <v/>
      </c>
      <c r="U520" s="21">
        <f>N(AD520)*S520</f>
        <v/>
      </c>
      <c r="V520" s="21">
        <f>N(AE520)*S520</f>
        <v/>
      </c>
      <c r="W520" s="21">
        <f>IF(Q520="","",N(AF520)*S520)</f>
        <v/>
      </c>
      <c r="X520" s="11" t="n">
        <v>13337.27</v>
      </c>
      <c r="Y520" s="11" t="n">
        <v>140310.8</v>
      </c>
      <c r="Z520" s="11" t="n"/>
      <c r="AA520" s="21">
        <f>T520+U520+V520+N(W520)+X520+Y520+N(Z520)</f>
        <v/>
      </c>
      <c r="AB520" s="11" t="n">
        <v>105685.0861</v>
      </c>
      <c r="AC520" s="11" t="n">
        <v>1228351.33</v>
      </c>
      <c r="AD520" s="21">
        <f>O520-Y520</f>
        <v/>
      </c>
      <c r="AE520" s="21">
        <f>P520-X520</f>
        <v/>
      </c>
      <c r="AF520" s="21">
        <f>IF(Q520="","",Q520-Z520)</f>
        <v/>
      </c>
      <c r="AG520" s="22">
        <f>AC520+AD520+AE520+N(AF520)</f>
        <v/>
      </c>
      <c r="AH520" s="11" t="n">
        <v>1087242.53</v>
      </c>
      <c r="AI520" s="24">
        <f>AG520-AH520</f>
        <v/>
      </c>
      <c r="AJ520" s="14">
        <f>IF(OR(B520="",B520=0,N520=""),"",N520/B520*10000)</f>
        <v/>
      </c>
      <c r="AK520" s="14">
        <f>IF(OR(C520="",C520=0),"",O520/C520*10000)</f>
        <v/>
      </c>
      <c r="AL520" s="14">
        <f>IF(OR(D520="",D520=0),"",P520/D520*10000)</f>
        <v/>
      </c>
      <c r="AM520" s="14">
        <f>IF(OR(E520="",E520=0),"",Q520/E520*10000)</f>
        <v/>
      </c>
      <c r="AN520" s="11" t="n">
        <v>3714.748926953403</v>
      </c>
      <c r="AO520" s="11" t="n">
        <v>0</v>
      </c>
      <c r="AP520" s="21">
        <f>AH520+AN520+AO520</f>
        <v/>
      </c>
      <c r="AQ520" s="21">
        <f>AH520</f>
        <v/>
      </c>
      <c r="AR520" s="15" t="n">
        <v>27607.63</v>
      </c>
      <c r="AS520" s="27" t="n">
        <v>39.381958</v>
      </c>
      <c r="AT520" s="15" t="n">
        <v>43774396.64255512</v>
      </c>
      <c r="AU520" s="15" t="n">
        <v>26383.3908</v>
      </c>
      <c r="AV520" s="15" t="n">
        <v>1196.8639</v>
      </c>
      <c r="AW520" s="15" t="n"/>
      <c r="AX520" s="16" t="n">
        <v>432.786785254245</v>
      </c>
      <c r="AY520" s="13">
        <f>IF(OR(AX520="",AX520=0,AU520=""),"",AU520*365/(AX520*1000000))</f>
        <v/>
      </c>
      <c r="AZ520" s="15" t="n">
        <v>415245048.9315</v>
      </c>
      <c r="BA520" s="17" t="n">
        <v>60487233</v>
      </c>
      <c r="BB520" s="18" t="n">
        <v>43774396.64255512</v>
      </c>
      <c r="BC520" s="17" t="n">
        <v>2971663</v>
      </c>
      <c r="BD520" s="17">
        <f>1000000000-999246167.0655+248378.8669</f>
        <v/>
      </c>
      <c r="BE520" s="19">
        <f>1000000000-AZ520-BA520-BB520-BC520-BD520</f>
        <v/>
      </c>
      <c r="BF520" s="20" t="n">
        <v>234.484938</v>
      </c>
      <c r="BG520" s="20">
        <f>BE520/1000000-BF520</f>
        <v/>
      </c>
      <c r="BH520" s="21">
        <f>BE520*39.87</f>
        <v/>
      </c>
    </row>
    <row r="521">
      <c r="A521" s="10" t="n">
        <v>46143</v>
      </c>
      <c r="B521" s="11" t="n">
        <v>3897568982</v>
      </c>
      <c r="C521" s="11" t="n">
        <v>2323981996.74</v>
      </c>
      <c r="D521" s="11" t="n">
        <v>117949188</v>
      </c>
      <c r="E521" s="11" t="n"/>
      <c r="F521" s="24" t="n">
        <v>1409372485.461765</v>
      </c>
      <c r="G521" s="24" t="n">
        <v>7920266.373820492</v>
      </c>
      <c r="H521" s="24" t="n">
        <v>16394970.12638347</v>
      </c>
      <c r="I521" s="24" t="n">
        <v>421292759.3918511</v>
      </c>
      <c r="J521" s="24" t="n">
        <v>415750.3870460983</v>
      </c>
      <c r="K521" s="24" t="n">
        <v>468585764.9991334</v>
      </c>
      <c r="L521" s="21">
        <f>SUM(F521:K521)</f>
        <v/>
      </c>
      <c r="M521" s="28" t="n">
        <v>1.002509504596401</v>
      </c>
      <c r="N521" s="11" t="n">
        <v>1288832.88</v>
      </c>
      <c r="O521" s="11" t="n">
        <v>232813.71</v>
      </c>
      <c r="P521" s="11" t="n">
        <v>61869.17</v>
      </c>
      <c r="Q521" s="11" t="n"/>
      <c r="R521" s="21">
        <f>N521+O521+P521+N(Q521)</f>
        <v/>
      </c>
      <c r="S521" s="13" t="n">
        <v>0.01</v>
      </c>
      <c r="T521" s="21">
        <f>N(AC521)*S521</f>
        <v/>
      </c>
      <c r="U521" s="21">
        <f>N(AD521)*S521</f>
        <v/>
      </c>
      <c r="V521" s="21">
        <f>N(AE521)*S521</f>
        <v/>
      </c>
      <c r="W521" s="21">
        <f>IF(Q521="","",N(AF521)*S521)</f>
        <v/>
      </c>
      <c r="X521" s="11" t="n">
        <v>17648.8</v>
      </c>
      <c r="Y521" s="11" t="n">
        <v>115166.72</v>
      </c>
      <c r="Z521" s="11" t="n"/>
      <c r="AA521" s="21">
        <f>T521+U521+V521+N(W521)+X521+Y521+N(Z521)</f>
        <v/>
      </c>
      <c r="AB521" s="11" t="n">
        <v>109126.3828</v>
      </c>
      <c r="AC521" s="11" t="n">
        <v>1288832.88</v>
      </c>
      <c r="AD521" s="21">
        <f>O521-Y521</f>
        <v/>
      </c>
      <c r="AE521" s="21">
        <f>P521-X521</f>
        <v/>
      </c>
      <c r="AF521" s="21">
        <f>IF(Q521="","",Q521-Z521)</f>
        <v/>
      </c>
      <c r="AG521" s="22">
        <f>AC521+AD521+AE521+N(AF521)</f>
        <v/>
      </c>
      <c r="AH521" s="11" t="n">
        <v>1346278.64</v>
      </c>
      <c r="AI521" s="24">
        <f>AG521-AH521</f>
        <v/>
      </c>
      <c r="AJ521" s="14">
        <f>IF(OR(B521="",B521=0,N521=""),"",N521/B521*10000)</f>
        <v/>
      </c>
      <c r="AK521" s="14">
        <f>IF(OR(C521="",C521=0),"",O521/C521*10000)</f>
        <v/>
      </c>
      <c r="AL521" s="14">
        <f>IF(OR(D521="",D521=0),"",P521/D521*10000)</f>
        <v/>
      </c>
      <c r="AM521" s="14">
        <f>IF(OR(E521="",E521=0),"",Q521/E521*10000)</f>
        <v/>
      </c>
      <c r="AN521" s="11" t="n">
        <v>4206.753062837227</v>
      </c>
      <c r="AO521" s="11" t="n">
        <v>0</v>
      </c>
      <c r="AP521" s="21">
        <f>AH521+AN521+AO521</f>
        <v/>
      </c>
      <c r="AQ521" s="21">
        <f>AH521</f>
        <v/>
      </c>
      <c r="AR521" s="15" t="n">
        <v>33095.68</v>
      </c>
      <c r="AS521" s="27" t="n">
        <v>40.67838</v>
      </c>
      <c r="AT521" s="15" t="n">
        <v>43808451.45255512</v>
      </c>
      <c r="AU521" s="15" t="n">
        <v>26378.221</v>
      </c>
      <c r="AV521" s="15" t="n">
        <v>1011.633</v>
      </c>
      <c r="AW521" s="15" t="n"/>
      <c r="AX521" s="16" t="n">
        <v>432.8374728497097</v>
      </c>
      <c r="AY521" s="13">
        <f>IF(OR(AX521="",AX521=0,AU521=""),"",AU521*365/(AX521*1000000))</f>
        <v/>
      </c>
      <c r="AZ521" s="15" t="n">
        <v>415218670.7104</v>
      </c>
      <c r="BA521" s="17" t="n">
        <v>60487233</v>
      </c>
      <c r="BB521" s="18" t="n">
        <v>43808451.45255512</v>
      </c>
      <c r="BC521" s="17" t="n">
        <v>2971663</v>
      </c>
      <c r="BD521" s="17">
        <f>1000000000-999245155.4325+248484.4184</f>
        <v/>
      </c>
      <c r="BE521" s="19">
        <f>1000000000-AZ521-BA521-BB521-BC521-BD521</f>
        <v/>
      </c>
      <c r="BF521" s="20" t="n">
        <v>234.484938</v>
      </c>
      <c r="BG521" s="20">
        <f>BE521/1000000-BF521</f>
        <v/>
      </c>
      <c r="BH521" s="21">
        <f>BE521*39.88</f>
        <v/>
      </c>
    </row>
    <row r="522">
      <c r="A522" s="10" t="n">
        <v>46144</v>
      </c>
      <c r="B522" s="11" t="n">
        <v>1730786593</v>
      </c>
      <c r="C522" s="11" t="n">
        <v>230288116.27</v>
      </c>
      <c r="D522" s="11" t="n">
        <v>68110382</v>
      </c>
      <c r="E522" s="11" t="n">
        <v>2351355.36393</v>
      </c>
      <c r="F522" s="24" t="n">
        <v>90769878.01695828</v>
      </c>
      <c r="G522" s="24" t="n">
        <v>4879364.181451146</v>
      </c>
      <c r="H522" s="24" t="n">
        <v>8698987.558480397</v>
      </c>
      <c r="I522" s="24" t="n">
        <v>76667307.28866284</v>
      </c>
      <c r="J522" s="24" t="n">
        <v>204774.7668427978</v>
      </c>
      <c r="K522" s="24" t="n">
        <v>49067804.45760456</v>
      </c>
      <c r="L522" s="21">
        <f>SUM(F522:K522)</f>
        <v/>
      </c>
      <c r="M522" s="28" t="n">
        <v>0.9925418319672287</v>
      </c>
      <c r="N522" s="11" t="n">
        <v>569559.26</v>
      </c>
      <c r="O522" s="11" t="n">
        <v>51808.97</v>
      </c>
      <c r="P522" s="11" t="n">
        <v>36302.62</v>
      </c>
      <c r="Q522" s="11" t="n">
        <v>9.240005999999999</v>
      </c>
      <c r="R522" s="21">
        <f>N522+O522+P522+N(Q522)</f>
        <v/>
      </c>
      <c r="S522" s="13" t="n">
        <v>0.01</v>
      </c>
      <c r="T522" s="21">
        <f>N(AC522)*S522</f>
        <v/>
      </c>
      <c r="U522" s="21">
        <f>N(AD522)*S522</f>
        <v/>
      </c>
      <c r="V522" s="21">
        <f>N(AE522)*S522</f>
        <v/>
      </c>
      <c r="W522" s="21">
        <f>IF(Q522="","",N(AF522)*S522)</f>
        <v/>
      </c>
      <c r="X522" s="11" t="n">
        <v>5979.78</v>
      </c>
      <c r="Y522" s="11" t="n">
        <v>25158.17</v>
      </c>
      <c r="Z522" s="11" t="n">
        <v>0</v>
      </c>
      <c r="AA522" s="21">
        <f>T522+U522+V522+N(W522)+X522+Y522+N(Z522)</f>
        <v/>
      </c>
      <c r="AB522" s="11" t="n">
        <v>49334.9158</v>
      </c>
      <c r="AC522" s="11" t="n">
        <v>569559.26</v>
      </c>
      <c r="AD522" s="21">
        <f>O522-Y522</f>
        <v/>
      </c>
      <c r="AE522" s="21">
        <f>P522-X522</f>
        <v/>
      </c>
      <c r="AF522" s="21">
        <f>IF(Q522="","",Q522-Z522)</f>
        <v/>
      </c>
      <c r="AG522" s="22">
        <f>AC522+AD522+AE522+N(AF522)</f>
        <v/>
      </c>
      <c r="AH522" s="11" t="n">
        <v>554995.4300000001</v>
      </c>
      <c r="AI522" s="24">
        <f>AG522-AH522</f>
        <v/>
      </c>
      <c r="AJ522" s="14">
        <f>IF(OR(B522="",B522=0,N522=""),"",N522/B522*10000)</f>
        <v/>
      </c>
      <c r="AK522" s="14">
        <f>IF(OR(C522="",C522=0),"",O522/C522*10000)</f>
        <v/>
      </c>
      <c r="AL522" s="14">
        <f>IF(OR(D522="",D522=0),"",P522/D522*10000)</f>
        <v/>
      </c>
      <c r="AM522" s="14">
        <f>IF(OR(E522="",E522=0),"",Q522/E522*10000)</f>
        <v/>
      </c>
      <c r="AN522" s="11" t="n">
        <v>2585.464050852145</v>
      </c>
      <c r="AO522" s="11" t="n">
        <v>0</v>
      </c>
      <c r="AP522" s="21">
        <f>AH522+AN522+AO522</f>
        <v/>
      </c>
      <c r="AQ522" s="21">
        <f>AH522</f>
        <v/>
      </c>
      <c r="AR522" s="15" t="n">
        <v>13368.7</v>
      </c>
      <c r="AS522" s="27" t="n">
        <v>41.51454</v>
      </c>
      <c r="AT522" s="15" t="n">
        <v>43821103.22255512</v>
      </c>
      <c r="AU522" s="15" t="n">
        <v>26480.6541</v>
      </c>
      <c r="AV522" s="15" t="n">
        <v>493.8365</v>
      </c>
      <c r="AW522" s="15" t="n"/>
      <c r="AX522" s="16" t="n">
        <v>432.9059000950819</v>
      </c>
      <c r="AY522" s="13">
        <f>IF(OR(AX522="",AX522=0,AU522=""),"",AU522*365/(AX522*1000000))</f>
        <v/>
      </c>
      <c r="AZ522" s="15" t="n">
        <v>415192190.0563</v>
      </c>
      <c r="BA522" s="17" t="n">
        <v>60487233</v>
      </c>
      <c r="BB522" s="18" t="n">
        <v>43821103.22255512</v>
      </c>
      <c r="BC522" s="17" t="n">
        <v>2971663</v>
      </c>
      <c r="BD522" s="17">
        <f>1000000000-999244661.596+248547.3786</f>
        <v/>
      </c>
      <c r="BE522" s="19">
        <f>1000000000-AZ522-BA522-BB522-BC522-BD522</f>
        <v/>
      </c>
      <c r="BF522" s="20" t="n">
        <v>234.484938</v>
      </c>
      <c r="BG522" s="20">
        <f>BE522/1000000-BF522</f>
        <v/>
      </c>
      <c r="BH522" s="21">
        <f>BE522*41.09</f>
        <v/>
      </c>
    </row>
    <row r="523">
      <c r="A523" s="10" t="n">
        <v>46145</v>
      </c>
      <c r="B523" s="11" t="n">
        <v>2280774593</v>
      </c>
      <c r="C523" s="11" t="n">
        <v>697406420.98</v>
      </c>
      <c r="D523" s="11" t="n">
        <v>114888326</v>
      </c>
      <c r="E523" s="11" t="n">
        <v>2722692.43091</v>
      </c>
      <c r="F523" s="24" t="n">
        <v>504857603.887946</v>
      </c>
      <c r="G523" s="24" t="n">
        <v>5715687.082511392</v>
      </c>
      <c r="H523" s="24" t="n">
        <v>11388824.76042791</v>
      </c>
      <c r="I523" s="24" t="n">
        <v>112000007.8918551</v>
      </c>
      <c r="J523" s="24" t="n">
        <v>104882.4249034182</v>
      </c>
      <c r="K523" s="24" t="n">
        <v>63339414.93235621</v>
      </c>
      <c r="L523" s="21">
        <f>SUM(F523:K523)</f>
        <v/>
      </c>
      <c r="M523" s="28" t="n">
        <v>1.025299274946664</v>
      </c>
      <c r="N523" s="11" t="n">
        <v>777617.04</v>
      </c>
      <c r="O523" s="11" t="n">
        <v>116006.6</v>
      </c>
      <c r="P523" s="11" t="n">
        <v>43462.83</v>
      </c>
      <c r="Q523" s="11" t="n">
        <v>9.647230599999999</v>
      </c>
      <c r="R523" s="21">
        <f>N523+O523+P523+N(Q523)</f>
        <v/>
      </c>
      <c r="S523" s="13" t="n">
        <v>0.01</v>
      </c>
      <c r="T523" s="21">
        <f>N(AC523)*S523</f>
        <v/>
      </c>
      <c r="U523" s="21">
        <f>N(AD523)*S523</f>
        <v/>
      </c>
      <c r="V523" s="21">
        <f>N(AE523)*S523</f>
        <v/>
      </c>
      <c r="W523" s="21">
        <f>IF(Q523="","",N(AF523)*S523)</f>
        <v/>
      </c>
      <c r="X523" s="11" t="n">
        <v>11721.62</v>
      </c>
      <c r="Y523" s="11" t="n">
        <v>57131.63</v>
      </c>
      <c r="Z523" s="11" t="n">
        <v>0</v>
      </c>
      <c r="AA523" s="21">
        <f>T523+U523+V523+N(W523)+X523+Y523+N(Z523)</f>
        <v/>
      </c>
      <c r="AB523" s="11" t="n">
        <v>82258.5377</v>
      </c>
      <c r="AC523" s="11" t="n">
        <v>777617.04</v>
      </c>
      <c r="AD523" s="21">
        <f>O523-Y523</f>
        <v/>
      </c>
      <c r="AE523" s="21">
        <f>P523-X523</f>
        <v/>
      </c>
      <c r="AF523" s="21">
        <f>IF(Q523="","",Q523-Z523)</f>
        <v/>
      </c>
      <c r="AG523" s="22">
        <f>AC523+AD523+AE523+N(AF523)</f>
        <v/>
      </c>
      <c r="AH523" s="11" t="n">
        <v>727226.9399999999</v>
      </c>
      <c r="AI523" s="24">
        <f>AG523-AH523</f>
        <v/>
      </c>
      <c r="AJ523" s="14">
        <f>IF(OR(B523="",B523=0,N523=""),"",N523/B523*10000)</f>
        <v/>
      </c>
      <c r="AK523" s="14">
        <f>IF(OR(C523="",C523=0),"",O523/C523*10000)</f>
        <v/>
      </c>
      <c r="AL523" s="14">
        <f>IF(OR(D523="",D523=0),"",P523/D523*10000)</f>
        <v/>
      </c>
      <c r="AM523" s="14">
        <f>IF(OR(E523="",E523=0),"",Q523/E523*10000)</f>
        <v/>
      </c>
      <c r="AN523" s="11" t="n">
        <v>2255.680675944178</v>
      </c>
      <c r="AO523" s="11" t="n">
        <v>0</v>
      </c>
      <c r="AP523" s="21">
        <f>AH523+AN523+AO523</f>
        <v/>
      </c>
      <c r="AQ523" s="21">
        <f>AH523</f>
        <v/>
      </c>
      <c r="AR523" s="15" t="n">
        <v>17662.43</v>
      </c>
      <c r="AS523" s="27" t="n">
        <v>41.173663</v>
      </c>
      <c r="AT523" s="15" t="n">
        <v>43839831.02255512</v>
      </c>
      <c r="AU523" s="15" t="n">
        <v>26491.9497</v>
      </c>
      <c r="AV523" s="15" t="n">
        <v>336.579</v>
      </c>
      <c r="AW523" s="15" t="n"/>
      <c r="AX523" s="16" t="n">
        <v>432.8033390345056</v>
      </c>
      <c r="AY523" s="13">
        <f>IF(OR(AX523="",AX523=0,AU523=""),"",AU523*365/(AX523*1000000))</f>
        <v/>
      </c>
      <c r="AZ523" s="15" t="n">
        <v>415165698.1066</v>
      </c>
      <c r="BA523" s="17" t="n">
        <v>60487233</v>
      </c>
      <c r="BB523" s="18" t="n">
        <v>43839831.02255512</v>
      </c>
      <c r="BC523" s="17" t="n">
        <v>2971663</v>
      </c>
      <c r="BD523" s="17">
        <f>1000000000-999244325.0169+248601.9612</f>
        <v/>
      </c>
      <c r="BE523" s="19">
        <f>1000000000-AZ523-BA523-BB523-BC523-BD523</f>
        <v/>
      </c>
      <c r="BF523" s="20" t="n">
        <v>234.484938</v>
      </c>
      <c r="BG523" s="20">
        <f>BE523/1000000-BF523</f>
        <v/>
      </c>
      <c r="BH523" s="21">
        <f>BE523*41.32</f>
        <v/>
      </c>
    </row>
    <row r="524">
      <c r="A524" s="10" t="n">
        <v>46146</v>
      </c>
      <c r="B524" s="11" t="n">
        <v>6000716741</v>
      </c>
      <c r="C524" s="11" t="n">
        <v>3320696889.06</v>
      </c>
      <c r="D524" s="11" t="n">
        <v>151600204</v>
      </c>
      <c r="E524" s="11" t="n">
        <v>2879142.180410001</v>
      </c>
      <c r="F524" s="24" t="n">
        <v>2040859025.985481</v>
      </c>
      <c r="G524" s="24" t="n">
        <v>23004089.15172874</v>
      </c>
      <c r="H524" s="24" t="n">
        <v>26727232.10237498</v>
      </c>
      <c r="I524" s="24" t="n">
        <v>704028259.3500127</v>
      </c>
      <c r="J524" s="24" t="n">
        <v>210855.8129352798</v>
      </c>
      <c r="K524" s="24" t="n">
        <v>525867426.6574671</v>
      </c>
      <c r="L524" s="21">
        <f>SUM(F524:K524)</f>
        <v/>
      </c>
      <c r="M524" s="28" t="n">
        <v>1.00057390281144</v>
      </c>
      <c r="N524" s="11" t="n">
        <v>1716101.41</v>
      </c>
      <c r="O524" s="11" t="n">
        <v>277615.08</v>
      </c>
      <c r="P524" s="11" t="n">
        <v>68684.34</v>
      </c>
      <c r="Q524" s="11" t="n">
        <v>23.49036486</v>
      </c>
      <c r="R524" s="21">
        <f>N524+O524+P524+N(Q524)</f>
        <v/>
      </c>
      <c r="S524" s="13" t="n">
        <v>0.01</v>
      </c>
      <c r="T524" s="21">
        <f>N(AC524)*S524</f>
        <v/>
      </c>
      <c r="U524" s="21">
        <f>N(AD524)*S524</f>
        <v/>
      </c>
      <c r="V524" s="21">
        <f>N(AE524)*S524</f>
        <v/>
      </c>
      <c r="W524" s="21">
        <f>IF(Q524="","",N(AF524)*S524)</f>
        <v/>
      </c>
      <c r="X524" s="11" t="n">
        <v>18725.76</v>
      </c>
      <c r="Y524" s="11" t="n">
        <v>136227.97</v>
      </c>
      <c r="Z524" s="11" t="n">
        <v>0</v>
      </c>
      <c r="AA524" s="21">
        <f>T524+U524+V524+N(W524)+X524+Y524+N(Z524)</f>
        <v/>
      </c>
      <c r="AB524" s="11" t="n">
        <v>149101.9663</v>
      </c>
      <c r="AC524" s="11" t="n">
        <v>1716101.41</v>
      </c>
      <c r="AD524" s="21">
        <f>O524-Y524</f>
        <v/>
      </c>
      <c r="AE524" s="21">
        <f>P524-X524</f>
        <v/>
      </c>
      <c r="AF524" s="21">
        <f>IF(Q524="","",Q524-Z524)</f>
        <v/>
      </c>
      <c r="AG524" s="22">
        <f>AC524+AD524+AE524+N(AF524)</f>
        <v/>
      </c>
      <c r="AH524" s="11" t="n">
        <v>1908903.31</v>
      </c>
      <c r="AI524" s="24">
        <f>AG524-AH524</f>
        <v/>
      </c>
      <c r="AJ524" s="14">
        <f>IF(OR(B524="",B524=0,N524=""),"",N524/B524*10000)</f>
        <v/>
      </c>
      <c r="AK524" s="14">
        <f>IF(OR(C524="",C524=0),"",O524/C524*10000)</f>
        <v/>
      </c>
      <c r="AL524" s="14">
        <f>IF(OR(D524="",D524=0),"",P524/D524*10000)</f>
        <v/>
      </c>
      <c r="AM524" s="14">
        <f>IF(OR(E524="",E524=0),"",Q524/E524*10000)</f>
        <v/>
      </c>
      <c r="AN524" s="11" t="n">
        <v>6941.697392663882</v>
      </c>
      <c r="AO524" s="11" t="n">
        <v>0</v>
      </c>
      <c r="AP524" s="21">
        <f>AH524+AN524+AO524</f>
        <v/>
      </c>
      <c r="AQ524" s="21">
        <f>AH524</f>
        <v/>
      </c>
      <c r="AR524" s="15" t="n">
        <v>45885.24</v>
      </c>
      <c r="AS524" s="27" t="n">
        <v>41.601685</v>
      </c>
      <c r="AT524" s="15" t="n">
        <v>43885214.42255512</v>
      </c>
      <c r="AU524" s="15" t="n">
        <v>26492.991</v>
      </c>
      <c r="AV524" s="15" t="n">
        <v>830.7372</v>
      </c>
      <c r="AW524" s="15" t="n"/>
      <c r="AX524" s="16" t="n">
        <v>433.0146023083299</v>
      </c>
      <c r="AY524" s="13">
        <f>IF(OR(AX524="",AX524=0,AU524=""),"",AU524*365/(AX524*1000000))</f>
        <v/>
      </c>
      <c r="AZ524" s="15" t="n">
        <v>415139205.1157</v>
      </c>
      <c r="BA524" s="17" t="n">
        <v>60487233</v>
      </c>
      <c r="BB524" s="18" t="n">
        <v>43885214.42255512</v>
      </c>
      <c r="BC524" s="17" t="n">
        <v>2971663</v>
      </c>
      <c r="BD524" s="17">
        <f>1000000000-999243494.2798+248770.2163</f>
        <v/>
      </c>
      <c r="BE524" s="19">
        <f>1000000000-AZ524-BA524-BB524-BC524-BD524</f>
        <v/>
      </c>
      <c r="BF524" s="20" t="n">
        <v>234.484938</v>
      </c>
      <c r="BG524" s="20">
        <f>BE524/1000000-BF524</f>
        <v/>
      </c>
      <c r="BH524" s="21">
        <f>BE524*41.25</f>
        <v/>
      </c>
    </row>
    <row r="525">
      <c r="A525" s="10" t="n">
        <v>46147</v>
      </c>
      <c r="B525" s="11" t="n">
        <v>4953210783</v>
      </c>
      <c r="C525" s="11" t="n">
        <v>2371482388.83</v>
      </c>
      <c r="D525" s="11" t="n">
        <v>166682274</v>
      </c>
      <c r="E525" s="11" t="n">
        <v>2867489.700180002</v>
      </c>
      <c r="F525" s="24" t="n">
        <v>1287658508.04335</v>
      </c>
      <c r="G525" s="24" t="n">
        <v>13820893.93069034</v>
      </c>
      <c r="H525" s="24" t="n">
        <v>10353007.76606702</v>
      </c>
      <c r="I525" s="24" t="n">
        <v>470065568.9555843</v>
      </c>
      <c r="J525" s="24" t="n">
        <v>233836.0467553121</v>
      </c>
      <c r="K525" s="24" t="n">
        <v>589350574.0875531</v>
      </c>
      <c r="L525" s="21">
        <f>SUM(F525:K525)</f>
        <v/>
      </c>
      <c r="M525" s="28" t="n">
        <v>1.007650005882507</v>
      </c>
      <c r="N525" s="11" t="n">
        <v>1700892.74</v>
      </c>
      <c r="O525" s="11" t="n">
        <v>235179.73</v>
      </c>
      <c r="P525" s="11" t="n">
        <v>90965.39000000001</v>
      </c>
      <c r="Q525" s="11" t="n">
        <v>16.28162269</v>
      </c>
      <c r="R525" s="21">
        <f>N525+O525+P525+N(Q525)</f>
        <v/>
      </c>
      <c r="S525" s="13" t="n">
        <v>0.01</v>
      </c>
      <c r="T525" s="21">
        <f>N(AC525)*S525</f>
        <v/>
      </c>
      <c r="U525" s="21">
        <f>N(AD525)*S525</f>
        <v/>
      </c>
      <c r="V525" s="21">
        <f>N(AE525)*S525</f>
        <v/>
      </c>
      <c r="W525" s="21">
        <f>IF(Q525="","",N(AF525)*S525)</f>
        <v/>
      </c>
      <c r="X525" s="11" t="n">
        <v>23505.04</v>
      </c>
      <c r="Y525" s="11" t="n">
        <v>115464.64</v>
      </c>
      <c r="Z525" s="11" t="n">
        <v>0</v>
      </c>
      <c r="AA525" s="21">
        <f>T525+U525+V525+N(W525)+X525+Y525+N(Z525)</f>
        <v/>
      </c>
      <c r="AB525" s="11" t="n">
        <v>122211.6821</v>
      </c>
      <c r="AC525" s="11" t="n">
        <v>1700892.74</v>
      </c>
      <c r="AD525" s="21">
        <f>O525-Y525</f>
        <v/>
      </c>
      <c r="AE525" s="21">
        <f>P525-X525</f>
        <v/>
      </c>
      <c r="AF525" s="21">
        <f>IF(Q525="","",Q525-Z525)</f>
        <v/>
      </c>
      <c r="AG525" s="22">
        <f>AC525+AD525+AE525+N(AF525)</f>
        <v/>
      </c>
      <c r="AH525" s="11" t="n">
        <v>1636317.05</v>
      </c>
      <c r="AI525" s="24">
        <f>AG525-AH525</f>
        <v/>
      </c>
      <c r="AJ525" s="14">
        <f>IF(OR(B525="",B525=0,N525=""),"",N525/B525*10000)</f>
        <v/>
      </c>
      <c r="AK525" s="14">
        <f>IF(OR(C525="",C525=0),"",O525/C525*10000)</f>
        <v/>
      </c>
      <c r="AL525" s="14">
        <f>IF(OR(D525="",D525=0),"",P525/D525*10000)</f>
        <v/>
      </c>
      <c r="AM525" s="14">
        <f>IF(OR(E525="",E525=0),"",Q525/E525*10000)</f>
        <v/>
      </c>
      <c r="AN525" s="11" t="n">
        <v>6431.871938815542</v>
      </c>
      <c r="AO525" s="11" t="n">
        <v>0</v>
      </c>
      <c r="AP525" s="21">
        <f>AH525+AN525+AO525</f>
        <v/>
      </c>
      <c r="AQ525" s="21">
        <f>AH525</f>
        <v/>
      </c>
      <c r="AR525" s="15" t="n">
        <v>37568.98</v>
      </c>
      <c r="AS525" s="27" t="n">
        <v>43.555003</v>
      </c>
      <c r="AT525" s="15" t="n">
        <v>43923183.10255512</v>
      </c>
      <c r="AU525" s="15" t="n">
        <v>26499.8887</v>
      </c>
      <c r="AV525" s="15" t="n">
        <v>839.074</v>
      </c>
      <c r="AW525" s="15" t="n"/>
      <c r="AX525" s="16" t="n">
        <v>433.1108691538475</v>
      </c>
      <c r="AY525" s="13">
        <f>IF(OR(AX525="",AX525=0,AU525=""),"",AU525*365/(AX525*1000000))</f>
        <v/>
      </c>
      <c r="AZ525" s="15" t="n">
        <v>415112705.227</v>
      </c>
      <c r="BA525" s="17" t="n">
        <v>60487233</v>
      </c>
      <c r="BB525" s="18" t="n">
        <v>43923183.10255512</v>
      </c>
      <c r="BC525" s="17" t="n">
        <v>2971663</v>
      </c>
      <c r="BD525" s="17">
        <f>1000000000-999242655.2057+248924.0667</f>
        <v/>
      </c>
      <c r="BE525" s="19">
        <f>1000000000-AZ525-BA525-BB525-BC525-BD525</f>
        <v/>
      </c>
      <c r="BF525" s="20" t="n">
        <v>234.484938</v>
      </c>
      <c r="BG525" s="20">
        <f>BE525/1000000-BF525</f>
        <v/>
      </c>
      <c r="BH525" s="21">
        <f>BE525*41.79</f>
        <v/>
      </c>
    </row>
    <row r="526">
      <c r="A526" s="10" t="n">
        <v>46148</v>
      </c>
      <c r="B526" s="11" t="n">
        <v>6011192009</v>
      </c>
      <c r="C526" s="11" t="n">
        <v>3569126917.79</v>
      </c>
      <c r="D526" s="11" t="n">
        <v>181142114</v>
      </c>
      <c r="E526" s="11" t="n">
        <v>2094825.84727</v>
      </c>
      <c r="F526" s="24" t="n">
        <v>2314462213.072404</v>
      </c>
      <c r="G526" s="24" t="n">
        <v>13725157.0591182</v>
      </c>
      <c r="H526" s="24" t="n">
        <v>12327556.63985735</v>
      </c>
      <c r="I526" s="24" t="n">
        <v>599548572.8695773</v>
      </c>
      <c r="J526" s="24" t="n">
        <v>667765.0065338305</v>
      </c>
      <c r="K526" s="24" t="n">
        <v>628395653.1425093</v>
      </c>
      <c r="L526" s="21">
        <f>SUM(F526:K526)</f>
        <v/>
      </c>
      <c r="M526" s="28" t="n">
        <v>1.004174025707863</v>
      </c>
      <c r="N526" s="11" t="n">
        <v>2016616.53</v>
      </c>
      <c r="O526" s="11" t="n">
        <v>348226.55</v>
      </c>
      <c r="P526" s="11" t="n">
        <v>95837.84</v>
      </c>
      <c r="Q526" s="11" t="n">
        <v>10.13371965</v>
      </c>
      <c r="R526" s="21">
        <f>N526+O526+P526+N(Q526)</f>
        <v/>
      </c>
      <c r="S526" s="13" t="n">
        <v>0.01</v>
      </c>
      <c r="T526" s="21">
        <f>N(AC526)*S526</f>
        <v/>
      </c>
      <c r="U526" s="21">
        <f>N(AD526)*S526</f>
        <v/>
      </c>
      <c r="V526" s="21">
        <f>N(AE526)*S526</f>
        <v/>
      </c>
      <c r="W526" s="21">
        <f>IF(Q526="","",N(AF526)*S526)</f>
        <v/>
      </c>
      <c r="X526" s="11" t="n">
        <v>19457.66</v>
      </c>
      <c r="Y526" s="11" t="n">
        <v>171946.9</v>
      </c>
      <c r="Z526" s="11" t="n">
        <v>0</v>
      </c>
      <c r="AA526" s="21">
        <f>T526+U526+V526+N(W526)+X526+Y526+N(Z526)</f>
        <v/>
      </c>
      <c r="AB526" s="11" t="n">
        <v>138074.0994</v>
      </c>
      <c r="AC526" s="11" t="n">
        <v>2016616.53</v>
      </c>
      <c r="AD526" s="21">
        <f>O526-Y526</f>
        <v/>
      </c>
      <c r="AE526" s="21">
        <f>P526-X526</f>
        <v/>
      </c>
      <c r="AF526" s="21">
        <f>IF(Q526="","",Q526-Z526)</f>
        <v/>
      </c>
      <c r="AG526" s="22">
        <f>AC526+AD526+AE526+N(AF526)</f>
        <v/>
      </c>
      <c r="AH526" s="11" t="n">
        <v>1962791.95</v>
      </c>
      <c r="AI526" s="24">
        <f>AG526-AH526</f>
        <v/>
      </c>
      <c r="AJ526" s="14">
        <f>IF(OR(B526="",B526=0,N526=""),"",N526/B526*10000)</f>
        <v/>
      </c>
      <c r="AK526" s="14">
        <f>IF(OR(C526="",C526=0),"",O526/C526*10000)</f>
        <v/>
      </c>
      <c r="AL526" s="14">
        <f>IF(OR(D526="",D526=0),"",P526/D526*10000)</f>
        <v/>
      </c>
      <c r="AM526" s="14">
        <f>IF(OR(E526="",E526=0),"",Q526/E526*10000)</f>
        <v/>
      </c>
      <c r="AN526" s="11" t="n">
        <v>6759.073798727835</v>
      </c>
      <c r="AO526" s="11" t="n">
        <v>0</v>
      </c>
      <c r="AP526" s="21">
        <f>AH526+AN526+AO526</f>
        <v/>
      </c>
      <c r="AQ526" s="21">
        <f>AH526</f>
        <v/>
      </c>
      <c r="AR526" s="15" t="n">
        <v>44694.09</v>
      </c>
      <c r="AS526" s="27" t="n">
        <v>43.916141</v>
      </c>
      <c r="AT526" s="15" t="n">
        <v>43967293.59255512</v>
      </c>
      <c r="AU526" s="15" t="n">
        <v>26556.0013</v>
      </c>
      <c r="AV526" s="15" t="n">
        <v>1357.3483</v>
      </c>
      <c r="AW526" s="15" t="n">
        <v>421879</v>
      </c>
      <c r="AX526" s="16" t="n">
        <v>434.9653688421144</v>
      </c>
      <c r="AY526" s="13">
        <f>IF(OR(AX526="",AX526=0,AU526=""),"",AU526*365/(AX526*1000000))</f>
        <v/>
      </c>
      <c r="AZ526" s="15" t="n">
        <v>415086149.2257</v>
      </c>
      <c r="BA526" s="17" t="n">
        <v>60487233</v>
      </c>
      <c r="BB526" s="18" t="n">
        <v>43967293.59255512</v>
      </c>
      <c r="BC526" s="17" t="n">
        <v>2971663</v>
      </c>
      <c r="BD526" s="17">
        <f>1000000000-999241297.8574+249078.3342</f>
        <v/>
      </c>
      <c r="BE526" s="19">
        <f>1000000000-AZ526-BA526-BB526-BC526-BD526</f>
        <v/>
      </c>
      <c r="BF526" s="20" t="n">
        <v>234.063059</v>
      </c>
      <c r="BG526" s="20">
        <f>BE526/1000000-BF526</f>
        <v/>
      </c>
      <c r="BH526" s="21">
        <f>BE526*43.84</f>
        <v/>
      </c>
    </row>
    <row r="527">
      <c r="A527" s="10" t="n">
        <v>46149</v>
      </c>
      <c r="B527" s="11" t="n">
        <v>4987338177</v>
      </c>
      <c r="C527" s="11" t="n">
        <v>3658443941.02</v>
      </c>
      <c r="D527" s="11" t="n">
        <v>140153431</v>
      </c>
      <c r="E527" s="11" t="n">
        <v>2513035.421139998</v>
      </c>
      <c r="F527" s="24" t="n">
        <v>2308181740.874575</v>
      </c>
      <c r="G527" s="24" t="n">
        <v>10599099.98604519</v>
      </c>
      <c r="H527" s="24" t="n">
        <v>5985862.884938234</v>
      </c>
      <c r="I527" s="24" t="n">
        <v>665617205.7335147</v>
      </c>
      <c r="J527" s="24" t="n">
        <v>2702465.5876299</v>
      </c>
      <c r="K527" s="24" t="n">
        <v>665357565.9532974</v>
      </c>
      <c r="L527" s="21">
        <f>SUM(F527:K527)</f>
        <v/>
      </c>
      <c r="M527" s="28" t="n">
        <v>1.004347314677193</v>
      </c>
      <c r="N527" s="11" t="n">
        <v>1634257.38</v>
      </c>
      <c r="O527" s="11" t="n">
        <v>338259.12</v>
      </c>
      <c r="P527" s="11" t="n">
        <v>70417.92999999999</v>
      </c>
      <c r="Q527" s="11" t="n">
        <v>11.28294348</v>
      </c>
      <c r="R527" s="21">
        <f>N527+O527+P527+N(Q527)</f>
        <v/>
      </c>
      <c r="S527" s="13" t="n">
        <v>0.01</v>
      </c>
      <c r="T527" s="21">
        <f>N(AC527)*S527</f>
        <v/>
      </c>
      <c r="U527" s="21">
        <f>N(AD527)*S527</f>
        <v/>
      </c>
      <c r="V527" s="21">
        <f>N(AE527)*S527</f>
        <v/>
      </c>
      <c r="W527" s="21">
        <f>IF(Q527="","",N(AF527)*S527)</f>
        <v/>
      </c>
      <c r="X527" s="11" t="n">
        <v>15259.84</v>
      </c>
      <c r="Y527" s="11" t="n">
        <v>167544.82</v>
      </c>
      <c r="Z527" s="11" t="n">
        <v>0</v>
      </c>
      <c r="AA527" s="21">
        <f>T527+U527+V527+N(W527)+X527+Y527+N(Z527)</f>
        <v/>
      </c>
      <c r="AB527" s="11" t="n">
        <v>120053.4649</v>
      </c>
      <c r="AC527" s="11" t="n">
        <v>1634257.38</v>
      </c>
      <c r="AD527" s="21">
        <f>O527-Y527</f>
        <v/>
      </c>
      <c r="AE527" s="21">
        <f>P527-X527</f>
        <v/>
      </c>
      <c r="AF527" s="21">
        <f>IF(Q527="","",Q527-Z527)</f>
        <v/>
      </c>
      <c r="AG527" s="22">
        <f>AC527+AD527+AE527+N(AF527)</f>
        <v/>
      </c>
      <c r="AH527" s="11" t="n">
        <v>1614943.04</v>
      </c>
      <c r="AI527" s="24">
        <f>AG527-AH527</f>
        <v/>
      </c>
      <c r="AJ527" s="14">
        <f>IF(OR(B527="",B527=0,N527=""),"",N527/B527*10000)</f>
        <v/>
      </c>
      <c r="AK527" s="14">
        <f>IF(OR(C527="",C527=0),"",O527/C527*10000)</f>
        <v/>
      </c>
      <c r="AL527" s="14">
        <f>IF(OR(D527="",D527=0),"",P527/D527*10000)</f>
        <v/>
      </c>
      <c r="AM527" s="14">
        <f>IF(OR(E527="",E527=0),"",Q527/E527*10000)</f>
        <v/>
      </c>
      <c r="AN527" s="11" t="n">
        <v>5298.360199875365</v>
      </c>
      <c r="AO527" s="11" t="n">
        <v>0</v>
      </c>
      <c r="AP527" s="21">
        <f>AH527+AN527+AO527</f>
        <v/>
      </c>
      <c r="AQ527" s="21">
        <f>AH527</f>
        <v/>
      </c>
      <c r="AR527" s="15" t="n">
        <v>37930.16</v>
      </c>
      <c r="AS527" s="27" t="n">
        <v>42.576753</v>
      </c>
      <c r="AT527" s="15" t="n">
        <v>44004836.83255512</v>
      </c>
      <c r="AU527" s="15" t="n">
        <v>26566.7638</v>
      </c>
      <c r="AV527" s="15" t="n">
        <v>1003.4753</v>
      </c>
      <c r="AW527" s="15" t="n"/>
      <c r="AX527" s="16" t="n">
        <v>435.5922658060406</v>
      </c>
      <c r="AY527" s="13">
        <f>IF(OR(AX527="",AX527=0,AU527=""),"",AU527*365/(AX527*1000000))</f>
        <v/>
      </c>
      <c r="AZ527" s="15" t="n">
        <v>415059582.4619</v>
      </c>
      <c r="BA527" s="17" t="n">
        <v>60487233</v>
      </c>
      <c r="BB527" s="18" t="n">
        <v>44004836.83255512</v>
      </c>
      <c r="BC527" s="17" t="n">
        <v>2971663</v>
      </c>
      <c r="BD527" s="17">
        <f>1000000000-999240294.3821+249201.7125</f>
        <v/>
      </c>
      <c r="BE527" s="19">
        <f>1000000000-AZ527-BA527-BB527-BC527-BD527</f>
        <v/>
      </c>
      <c r="BF527" s="20" t="n">
        <v>234.063059</v>
      </c>
      <c r="BG527" s="20">
        <f>BE527/1000000-BF527</f>
        <v/>
      </c>
      <c r="BH527" s="21">
        <f>BE527*42.92</f>
        <v/>
      </c>
    </row>
    <row r="528">
      <c r="A528" s="10" t="n">
        <v>46150</v>
      </c>
      <c r="B528" s="11" t="n">
        <v>4286714219</v>
      </c>
      <c r="C528" s="11" t="n">
        <v>2416964528.01</v>
      </c>
      <c r="D528" s="11" t="n">
        <v>101417892</v>
      </c>
      <c r="E528" s="11" t="n">
        <v>2324793.9363</v>
      </c>
      <c r="F528" s="24" t="n">
        <v>1215444752.690345</v>
      </c>
      <c r="G528" s="24" t="n">
        <v>8030498.881307434</v>
      </c>
      <c r="H528" s="24" t="n">
        <v>6289590.071171176</v>
      </c>
      <c r="I528" s="24" t="n">
        <v>527568098.8326547</v>
      </c>
      <c r="J528" s="24" t="n">
        <v>676418.2654434837</v>
      </c>
      <c r="K528" s="24" t="n">
        <v>658955169.2690785</v>
      </c>
      <c r="L528" s="21">
        <f>SUM(F528:K528)</f>
        <v/>
      </c>
      <c r="M528" s="28" t="n">
        <v>1.006297916296433</v>
      </c>
      <c r="N528" s="11" t="n">
        <v>1371228.7</v>
      </c>
      <c r="O528" s="11" t="n">
        <v>236030.26</v>
      </c>
      <c r="P528" s="11" t="n">
        <v>52558.28</v>
      </c>
      <c r="Q528" s="11" t="n">
        <v>27.70824236</v>
      </c>
      <c r="R528" s="21">
        <f>N528+O528+P528+N(Q528)</f>
        <v/>
      </c>
      <c r="S528" s="13" t="n">
        <v>0.01</v>
      </c>
      <c r="T528" s="21">
        <f>N(AC528)*S528</f>
        <v/>
      </c>
      <c r="U528" s="21">
        <f>N(AD528)*S528</f>
        <v/>
      </c>
      <c r="V528" s="21">
        <f>N(AE528)*S528</f>
        <v/>
      </c>
      <c r="W528" s="21">
        <f>IF(Q528="","",N(AF528)*S528)</f>
        <v/>
      </c>
      <c r="X528" s="11" t="n">
        <v>14518.67</v>
      </c>
      <c r="Y528" s="11" t="n">
        <v>116699.89</v>
      </c>
      <c r="Z528" s="11" t="n">
        <v>0</v>
      </c>
      <c r="AA528" s="21">
        <f>T528+U528+V528+N(W528)+X528+Y528+N(Z528)</f>
        <v/>
      </c>
      <c r="AB528" s="11" t="n">
        <v>100929.6168</v>
      </c>
      <c r="AC528" s="11" t="n">
        <v>1371228.7</v>
      </c>
      <c r="AD528" s="21">
        <f>O528-Y528</f>
        <v/>
      </c>
      <c r="AE528" s="21">
        <f>P528-X528</f>
        <v/>
      </c>
      <c r="AF528" s="21">
        <f>IF(Q528="","",Q528-Z528)</f>
        <v/>
      </c>
      <c r="AG528" s="22">
        <f>AC528+AD528+AE528+N(AF528)</f>
        <v/>
      </c>
      <c r="AH528" s="11" t="n">
        <v>1353339.61</v>
      </c>
      <c r="AI528" s="24">
        <f>AG528-AH528</f>
        <v/>
      </c>
      <c r="AJ528" s="14">
        <f>IF(OR(B528="",B528=0,N528=""),"",N528/B528*10000)</f>
        <v/>
      </c>
      <c r="AK528" s="14">
        <f>IF(OR(C528="",C528=0),"",O528/C528*10000)</f>
        <v/>
      </c>
      <c r="AL528" s="14">
        <f>IF(OR(D528="",D528=0),"",P528/D528*10000)</f>
        <v/>
      </c>
      <c r="AM528" s="14">
        <f>IF(OR(E528="",E528=0),"",Q528/E528*10000)</f>
        <v/>
      </c>
      <c r="AN528" s="11" t="n">
        <v>4425.62835103642</v>
      </c>
      <c r="AO528" s="11" t="n">
        <v>0</v>
      </c>
      <c r="AP528" s="21">
        <f>AH528+AN528+AO528</f>
        <v/>
      </c>
      <c r="AQ528" s="21">
        <f>AH528</f>
        <v/>
      </c>
      <c r="AR528" s="15" t="n">
        <v>31682.1</v>
      </c>
      <c r="AS528" s="27" t="n">
        <v>42.716222</v>
      </c>
      <c r="AT528" s="15" t="n">
        <v>44036284.02255512</v>
      </c>
      <c r="AU528" s="15" t="n">
        <v>26584.0171</v>
      </c>
      <c r="AV528" s="15" t="n">
        <v>2068.2801</v>
      </c>
      <c r="AW528" s="15" t="n"/>
      <c r="AX528" s="16" t="n">
        <v>435.9992065346044</v>
      </c>
      <c r="AY528" s="13">
        <f>IF(OR(AX528="",AX528=0,AU528=""),"",AU528*365/(AX528*1000000))</f>
        <v/>
      </c>
      <c r="AZ528" s="15" t="n">
        <v>415032998.4448</v>
      </c>
      <c r="BA528" s="17" t="n">
        <v>60487233</v>
      </c>
      <c r="BB528" s="18" t="n">
        <v>44036284.02255512</v>
      </c>
      <c r="BC528" s="17" t="n">
        <v>2971663</v>
      </c>
      <c r="BD528" s="17">
        <f>1000000000-999238226.102+249305.3766</f>
        <v/>
      </c>
      <c r="BE528" s="19">
        <f>1000000000-AZ528-BA528-BB528-BC528-BD528</f>
        <v/>
      </c>
      <c r="BF528" s="20" t="n">
        <v>234.063059</v>
      </c>
      <c r="BG528" s="20">
        <f>BE528/1000000-BF528</f>
        <v/>
      </c>
      <c r="BH528" s="21">
        <f>BE528*42.68</f>
        <v/>
      </c>
    </row>
    <row r="529">
      <c r="A529" s="10" t="n">
        <v>46151</v>
      </c>
      <c r="B529" s="11" t="n">
        <v>2582692469</v>
      </c>
      <c r="C529" s="11" t="n">
        <v>311782549.37</v>
      </c>
      <c r="D529" s="11" t="n">
        <v>81335192</v>
      </c>
      <c r="E529" s="11" t="n">
        <v>1434595.927660002</v>
      </c>
      <c r="F529" s="24" t="n">
        <v>143365443.6409916</v>
      </c>
      <c r="G529" s="24" t="n">
        <v>4518231.342673475</v>
      </c>
      <c r="H529" s="24" t="n">
        <v>491432.6126742041</v>
      </c>
      <c r="I529" s="24" t="n">
        <v>78519145.47130394</v>
      </c>
      <c r="J529" s="24" t="n">
        <v>7399008.832211526</v>
      </c>
      <c r="K529" s="24" t="n">
        <v>77489287.47014529</v>
      </c>
      <c r="L529" s="21">
        <f>SUM(F529:K529)</f>
        <v/>
      </c>
      <c r="M529" s="28" t="n">
        <v>0.996249736287939</v>
      </c>
      <c r="N529" s="11" t="n">
        <v>922006.79</v>
      </c>
      <c r="O529" s="11" t="n">
        <v>63884.18</v>
      </c>
      <c r="P529" s="11" t="n">
        <v>43000.44</v>
      </c>
      <c r="Q529" s="11" t="n">
        <v>20.77888159</v>
      </c>
      <c r="R529" s="21">
        <f>N529+O529+P529+N(Q529)</f>
        <v/>
      </c>
      <c r="S529" s="13" t="n">
        <v>0.01</v>
      </c>
      <c r="T529" s="21">
        <f>N(AC529)*S529</f>
        <v/>
      </c>
      <c r="U529" s="21">
        <f>N(AD529)*S529</f>
        <v/>
      </c>
      <c r="V529" s="21">
        <f>N(AE529)*S529</f>
        <v/>
      </c>
      <c r="W529" s="21">
        <f>IF(Q529="","",N(AF529)*S529)</f>
        <v/>
      </c>
      <c r="X529" s="11" t="n">
        <v>9457.360000000001</v>
      </c>
      <c r="Y529" s="11" t="n">
        <v>31300.07</v>
      </c>
      <c r="Z529" s="11" t="n">
        <v>0</v>
      </c>
      <c r="AA529" s="21">
        <f>T529+U529+V529+N(W529)+X529+Y529+N(Z529)</f>
        <v/>
      </c>
      <c r="AB529" s="11" t="n">
        <v>62514.85529999999</v>
      </c>
      <c r="AC529" s="11" t="n">
        <v>922006.79</v>
      </c>
      <c r="AD529" s="21">
        <f>O529-Y529</f>
        <v/>
      </c>
      <c r="AE529" s="21">
        <f>P529-X529</f>
        <v/>
      </c>
      <c r="AF529" s="21">
        <f>IF(Q529="","",Q529-Z529)</f>
        <v/>
      </c>
      <c r="AG529" s="22">
        <f>AC529+AD529+AE529+N(AF529)</f>
        <v/>
      </c>
      <c r="AH529" s="11" t="n">
        <v>839949.0699999999</v>
      </c>
      <c r="AI529" s="24">
        <f>AG529-AH529</f>
        <v/>
      </c>
      <c r="AJ529" s="14">
        <f>IF(OR(B529="",B529=0,N529=""),"",N529/B529*10000)</f>
        <v/>
      </c>
      <c r="AK529" s="14">
        <f>IF(OR(C529="",C529=0),"",O529/C529*10000)</f>
        <v/>
      </c>
      <c r="AL529" s="14">
        <f>IF(OR(D529="",D529=0),"",P529/D529*10000)</f>
        <v/>
      </c>
      <c r="AM529" s="14">
        <f>IF(OR(E529="",E529=0),"",Q529/E529*10000)</f>
        <v/>
      </c>
      <c r="AN529" s="11" t="n">
        <v>5394.016303383018</v>
      </c>
      <c r="AO529" s="11" t="n">
        <v>0</v>
      </c>
      <c r="AP529" s="21">
        <f>AH529+AN529+AO529</f>
        <v/>
      </c>
      <c r="AQ529" s="21">
        <f>AH529</f>
        <v/>
      </c>
      <c r="AR529" s="15" t="n">
        <v>19300.73</v>
      </c>
      <c r="AS529" s="27" t="n">
        <v>43.519031</v>
      </c>
      <c r="AT529" s="15" t="n">
        <v>44056402.03255512</v>
      </c>
      <c r="AU529" s="15" t="n">
        <v>26600.8439</v>
      </c>
      <c r="AV529" s="15" t="n">
        <v>814.8742999999999</v>
      </c>
      <c r="AW529" s="15" t="n"/>
      <c r="AX529" s="16" t="n">
        <v>436.2843861666652</v>
      </c>
      <c r="AY529" s="13">
        <f>IF(OR(AX529="",AX529=0,AU529=""),"",AU529*365/(AX529*1000000))</f>
        <v/>
      </c>
      <c r="AZ529" s="15" t="n">
        <v>415006397.6009</v>
      </c>
      <c r="BA529" s="17" t="n">
        <v>60487233</v>
      </c>
      <c r="BB529" s="18" t="n">
        <v>44056402.03255512</v>
      </c>
      <c r="BC529" s="17" t="n">
        <v>2971663</v>
      </c>
      <c r="BD529" s="17">
        <f>1000000000-999237411.2277+249429.7372</f>
        <v/>
      </c>
      <c r="BE529" s="19">
        <f>1000000000-AZ529-BA529-BB529-BC529-BD529</f>
        <v/>
      </c>
      <c r="BF529" s="20" t="n">
        <v>234.063059</v>
      </c>
      <c r="BG529" s="20">
        <f>BE529/1000000-BF529</f>
        <v/>
      </c>
      <c r="BH529" s="21">
        <f>BE529*43.37</f>
        <v/>
      </c>
    </row>
    <row r="530">
      <c r="A530" s="10" t="n">
        <v>46152</v>
      </c>
      <c r="B530" s="11" t="n">
        <v>3754075741</v>
      </c>
      <c r="C530" s="11" t="n">
        <v>837436864.6799999</v>
      </c>
      <c r="D530" s="11" t="n">
        <v>89993478</v>
      </c>
      <c r="E530" s="11" t="n">
        <v>4011109.21543</v>
      </c>
      <c r="F530" s="24" t="n">
        <v>470025421.8829193</v>
      </c>
      <c r="G530" s="24" t="n">
        <v>10011316.70078276</v>
      </c>
      <c r="H530" s="24" t="n">
        <v>4064692.687857313</v>
      </c>
      <c r="I530" s="24" t="n">
        <v>209921792.9876161</v>
      </c>
      <c r="J530" s="24" t="n">
        <v>3892740.364083277</v>
      </c>
      <c r="K530" s="24" t="n">
        <v>139520900.0567412</v>
      </c>
      <c r="L530" s="21">
        <f>SUM(F530:K530)</f>
        <v/>
      </c>
      <c r="M530" s="28" t="n">
        <v>1.017401775029259</v>
      </c>
      <c r="N530" s="11" t="n">
        <v>1286175.36</v>
      </c>
      <c r="O530" s="11" t="n">
        <v>115047.78</v>
      </c>
      <c r="P530" s="11" t="n">
        <v>42637.64</v>
      </c>
      <c r="Q530" s="11" t="n">
        <v>28.42847522</v>
      </c>
      <c r="R530" s="21">
        <f>N530+O530+P530+N(Q530)</f>
        <v/>
      </c>
      <c r="S530" s="13" t="n">
        <v>0.01</v>
      </c>
      <c r="T530" s="21">
        <f>N(AC530)*S530</f>
        <v/>
      </c>
      <c r="U530" s="21">
        <f>N(AD530)*S530</f>
        <v/>
      </c>
      <c r="V530" s="21">
        <f>N(AE530)*S530</f>
        <v/>
      </c>
      <c r="W530" s="21">
        <f>IF(Q530="","",N(AF530)*S530)</f>
        <v/>
      </c>
      <c r="X530" s="11" t="n">
        <v>9274.32</v>
      </c>
      <c r="Y530" s="11" t="n">
        <v>56006.57</v>
      </c>
      <c r="Z530" s="11" t="n">
        <v>0</v>
      </c>
      <c r="AA530" s="21">
        <f>T530+U530+V530+N(W530)+X530+Y530+N(Z530)</f>
        <v/>
      </c>
      <c r="AB530" s="11" t="n">
        <v>82680.5254</v>
      </c>
      <c r="AC530" s="11" t="n">
        <v>1286175.36</v>
      </c>
      <c r="AD530" s="21">
        <f>O530-Y530</f>
        <v/>
      </c>
      <c r="AE530" s="21">
        <f>P530-X530</f>
        <v/>
      </c>
      <c r="AF530" s="21">
        <f>IF(Q530="","",Q530-Z530)</f>
        <v/>
      </c>
      <c r="AG530" s="22">
        <f>AC530+AD530+AE530+N(AF530)</f>
        <v/>
      </c>
      <c r="AH530" s="11" t="n">
        <v>1107992.98</v>
      </c>
      <c r="AI530" s="24">
        <f>AG530-AH530</f>
        <v/>
      </c>
      <c r="AJ530" s="14">
        <f>IF(OR(B530="",B530=0,N530=""),"",N530/B530*10000)</f>
        <v/>
      </c>
      <c r="AK530" s="14">
        <f>IF(OR(C530="",C530=0),"",O530/C530*10000)</f>
        <v/>
      </c>
      <c r="AL530" s="14">
        <f>IF(OR(D530="",D530=0),"",P530/D530*10000)</f>
        <v/>
      </c>
      <c r="AM530" s="14">
        <f>IF(OR(E530="",E530=0),"",Q530/E530*10000)</f>
        <v/>
      </c>
      <c r="AN530" s="11" t="n">
        <v>4284.614528955672</v>
      </c>
      <c r="AO530" s="11" t="n">
        <v>0</v>
      </c>
      <c r="AP530" s="21">
        <f>AH530+AN530+AO530</f>
        <v/>
      </c>
      <c r="AQ530" s="21">
        <f>AH530</f>
        <v/>
      </c>
      <c r="AR530" s="15" t="n">
        <v>25784.42</v>
      </c>
      <c r="AS530" s="27" t="n">
        <v>42.971414</v>
      </c>
      <c r="AT530" s="15" t="n">
        <v>44084955.45255512</v>
      </c>
      <c r="AU530" s="15" t="n">
        <v>26614.6055</v>
      </c>
      <c r="AV530" s="15" t="n">
        <v>1133.6262</v>
      </c>
      <c r="AW530" s="15" t="n"/>
      <c r="AX530" s="16" t="n">
        <v>436.0953450692937</v>
      </c>
      <c r="AY530" s="13">
        <f>IF(OR(AX530="",AX530=0,AU530=""),"",AU530*365/(AX530*1000000))</f>
        <v/>
      </c>
      <c r="AZ530" s="15" t="n">
        <v>414979782.9954</v>
      </c>
      <c r="BA530" s="17" t="n">
        <v>60487233</v>
      </c>
      <c r="BB530" s="18" t="n">
        <v>44084955.45255512</v>
      </c>
      <c r="BC530" s="17" t="n">
        <v>2971663</v>
      </c>
      <c r="BD530" s="17">
        <f>1000000000-999236277.6014+249529.9106</f>
        <v/>
      </c>
      <c r="BE530" s="19">
        <f>1000000000-AZ530-BA530-BB530-BC530-BD530</f>
        <v/>
      </c>
      <c r="BF530" s="20" t="n">
        <v>234.063059</v>
      </c>
      <c r="BG530" s="20">
        <f>BE530/1000000-BF530</f>
        <v/>
      </c>
      <c r="BH530" s="21">
        <f>BE530*42.78</f>
        <v/>
      </c>
    </row>
    <row r="531">
      <c r="A531" s="10" t="n">
        <v>46153</v>
      </c>
      <c r="B531" s="11" t="n">
        <v>4406834193</v>
      </c>
      <c r="C531" s="11" t="n">
        <v>2549929223.94</v>
      </c>
      <c r="D531" s="11" t="n">
        <v>104068488</v>
      </c>
      <c r="E531" s="11" t="n">
        <v>3473040.395369999</v>
      </c>
      <c r="F531" s="24" t="n">
        <v>1218753809.320508</v>
      </c>
      <c r="G531" s="24" t="n">
        <v>10007782.86265556</v>
      </c>
      <c r="H531" s="24" t="n">
        <v>4803006.10787214</v>
      </c>
      <c r="I531" s="24" t="n">
        <v>415348917.4145293</v>
      </c>
      <c r="J531" s="24" t="n">
        <v>1257778.530016799</v>
      </c>
      <c r="K531" s="24" t="n">
        <v>899757929.704419</v>
      </c>
      <c r="L531" s="21">
        <f>SUM(F531:K531)</f>
        <v/>
      </c>
      <c r="M531" s="28" t="n">
        <v>1.003679439290567</v>
      </c>
      <c r="N531" s="11" t="n">
        <v>1426770.73</v>
      </c>
      <c r="O531" s="11" t="n">
        <v>262921.35</v>
      </c>
      <c r="P531" s="11" t="n">
        <v>54559.09</v>
      </c>
      <c r="Q531" s="11" t="n">
        <v>22.83927699</v>
      </c>
      <c r="R531" s="21">
        <f>N531+O531+P531+N(Q531)</f>
        <v/>
      </c>
      <c r="S531" s="13" t="n">
        <v>0.01</v>
      </c>
      <c r="T531" s="21">
        <f>N(AC531)*S531</f>
        <v/>
      </c>
      <c r="U531" s="21">
        <f>N(AD531)*S531</f>
        <v/>
      </c>
      <c r="V531" s="21">
        <f>N(AE531)*S531</f>
        <v/>
      </c>
      <c r="W531" s="21">
        <f>IF(Q531="","",N(AF531)*S531)</f>
        <v/>
      </c>
      <c r="X531" s="11" t="n">
        <v>12732.36</v>
      </c>
      <c r="Y531" s="11" t="n">
        <v>129997.55</v>
      </c>
      <c r="Z531" s="11" t="n">
        <v>0</v>
      </c>
      <c r="AA531" s="21">
        <f>T531+U531+V531+N(W531)+X531+Y531+N(Z531)</f>
        <v/>
      </c>
      <c r="AB531" s="11" t="n">
        <v>110277.1002</v>
      </c>
      <c r="AC531" s="11" t="n">
        <v>1426770.73</v>
      </c>
      <c r="AD531" s="21">
        <f>O531-Y531</f>
        <v/>
      </c>
      <c r="AE531" s="21">
        <f>P531-X531</f>
        <v/>
      </c>
      <c r="AF531" s="21">
        <f>IF(Q531="","",Q531-Z531)</f>
        <v/>
      </c>
      <c r="AG531" s="22">
        <f>AC531+AD531+AE531+N(AF531)</f>
        <v/>
      </c>
      <c r="AH531" s="11" t="n">
        <v>1503455.78</v>
      </c>
      <c r="AI531" s="24">
        <f>AG531-AH531</f>
        <v/>
      </c>
      <c r="AJ531" s="14">
        <f>IF(OR(B531="",B531=0,N531=""),"",N531/B531*10000)</f>
        <v/>
      </c>
      <c r="AK531" s="14">
        <f>IF(OR(C531="",C531=0),"",O531/C531*10000)</f>
        <v/>
      </c>
      <c r="AL531" s="14">
        <f>IF(OR(D531="",D531=0),"",P531/D531*10000)</f>
        <v/>
      </c>
      <c r="AM531" s="14">
        <f>IF(OR(E531="",E531=0),"",Q531/E531*10000)</f>
        <v/>
      </c>
      <c r="AN531" s="11" t="n">
        <v>4776.564113412917</v>
      </c>
      <c r="AO531" s="11" t="n">
        <v>0</v>
      </c>
      <c r="AP531" s="21">
        <f>AH531+AN531+AO531</f>
        <v/>
      </c>
      <c r="AQ531" s="21">
        <f>AH531</f>
        <v/>
      </c>
      <c r="AR531" s="15" t="n">
        <v>35854.16</v>
      </c>
      <c r="AS531" s="27" t="n">
        <v>41.932534</v>
      </c>
      <c r="AT531" s="15" t="n">
        <v>44118026.48255512</v>
      </c>
      <c r="AU531" s="15" t="n">
        <v>26610.2038</v>
      </c>
      <c r="AV531" s="15" t="n">
        <v>579.2063000000001</v>
      </c>
      <c r="AW531" s="15" t="n"/>
      <c r="AX531" s="16" t="n">
        <v>436.1793625661655</v>
      </c>
      <c r="AY531" s="13">
        <f>IF(OR(AX531="",AX531=0,AU531=""),"",AU531*365/(AX531*1000000))</f>
        <v/>
      </c>
      <c r="AZ531" s="15" t="n">
        <v>414953172.7916</v>
      </c>
      <c r="BA531" s="17" t="n">
        <v>60487233</v>
      </c>
      <c r="BB531" s="18" t="n">
        <v>44118026.48255512</v>
      </c>
      <c r="BC531" s="17" t="n">
        <v>2971663</v>
      </c>
      <c r="BD531" s="17">
        <f>1000000000-999235698.3951+249641.0503</f>
        <v/>
      </c>
      <c r="BE531" s="19">
        <f>1000000000-AZ531-BA531-BB531-BC531-BD531</f>
        <v/>
      </c>
      <c r="BF531" s="20" t="n">
        <v>234.063059</v>
      </c>
      <c r="BG531" s="20">
        <f>BE531/1000000-BF531</f>
        <v/>
      </c>
      <c r="BH531" s="21">
        <f>BE531*42.99</f>
        <v/>
      </c>
    </row>
    <row r="532">
      <c r="A532" s="10" t="n">
        <v>46154</v>
      </c>
      <c r="B532" s="11" t="n">
        <v>3827311169</v>
      </c>
      <c r="C532" s="11" t="n">
        <v>2481479232.7</v>
      </c>
      <c r="D532" s="11" t="n">
        <v>115173178</v>
      </c>
      <c r="E532" s="11" t="n">
        <v>2855753.953089998</v>
      </c>
      <c r="F532" s="24" t="n">
        <v>1040225466.21351</v>
      </c>
      <c r="G532" s="24" t="n">
        <v>7928764.833385598</v>
      </c>
      <c r="H532" s="24" t="n">
        <v>4114493.368798354</v>
      </c>
      <c r="I532" s="24" t="n">
        <v>573795477.4026612</v>
      </c>
      <c r="J532" s="24" t="n">
        <v>1087288.191288714</v>
      </c>
      <c r="K532" s="24" t="n">
        <v>854327742.6903555</v>
      </c>
      <c r="L532" s="21">
        <f>SUM(F532:K532)</f>
        <v/>
      </c>
      <c r="M532" s="28" t="n">
        <v>1.005407566055666</v>
      </c>
      <c r="N532" s="11" t="n">
        <v>1325687.04</v>
      </c>
      <c r="O532" s="11" t="n">
        <v>253691.26</v>
      </c>
      <c r="P532" s="11" t="n">
        <v>58394.62</v>
      </c>
      <c r="Q532" s="11" t="n">
        <v>21.42972158</v>
      </c>
      <c r="R532" s="21">
        <f>N532+O532+P532+N(Q532)</f>
        <v/>
      </c>
      <c r="S532" s="13" t="n">
        <v>0.01</v>
      </c>
      <c r="T532" s="21">
        <f>N(AC532)*S532</f>
        <v/>
      </c>
      <c r="U532" s="21">
        <f>N(AD532)*S532</f>
        <v/>
      </c>
      <c r="V532" s="21">
        <f>N(AE532)*S532</f>
        <v/>
      </c>
      <c r="W532" s="21">
        <f>IF(Q532="","",N(AF532)*S532)</f>
        <v/>
      </c>
      <c r="X532" s="11" t="n">
        <v>12610.71</v>
      </c>
      <c r="Y532" s="11" t="n">
        <v>125893.93</v>
      </c>
      <c r="Z532" s="11" t="n">
        <v>0</v>
      </c>
      <c r="AA532" s="21">
        <f>T532+U532+V532+N(W532)+X532+Y532+N(Z532)</f>
        <v/>
      </c>
      <c r="AB532" s="11" t="n">
        <v>106620.1319</v>
      </c>
      <c r="AC532" s="11" t="n">
        <v>1325687.04</v>
      </c>
      <c r="AD532" s="21">
        <f>O532-Y532</f>
        <v/>
      </c>
      <c r="AE532" s="21">
        <f>P532-X532</f>
        <v/>
      </c>
      <c r="AF532" s="21">
        <f>IF(Q532="","",Q532-Z532)</f>
        <v/>
      </c>
      <c r="AG532" s="22">
        <f>AC532+AD532+AE532+N(AF532)</f>
        <v/>
      </c>
      <c r="AH532" s="11" t="n">
        <v>1301986.49</v>
      </c>
      <c r="AI532" s="24">
        <f>AG532-AH532</f>
        <v/>
      </c>
      <c r="AJ532" s="14">
        <f>IF(OR(B532="",B532=0,N532=""),"",N532/B532*10000)</f>
        <v/>
      </c>
      <c r="AK532" s="14">
        <f>IF(OR(C532="",C532=0),"",O532/C532*10000)</f>
        <v/>
      </c>
      <c r="AL532" s="14">
        <f>IF(OR(D532="",D532=0),"",P532/D532*10000)</f>
        <v/>
      </c>
      <c r="AM532" s="14">
        <f>IF(OR(E532="",E532=0),"",Q532/E532*10000)</f>
        <v/>
      </c>
      <c r="AN532" s="11" t="n">
        <v>4902.021258988597</v>
      </c>
      <c r="AO532" s="11" t="n">
        <v>0</v>
      </c>
      <c r="AP532" s="21">
        <f>AH532+AN532+AO532</f>
        <v/>
      </c>
      <c r="AQ532" s="21">
        <f>AH532</f>
        <v/>
      </c>
      <c r="AR532" s="15" t="n">
        <v>31952.45</v>
      </c>
      <c r="AS532" s="27" t="n">
        <v>40.747626</v>
      </c>
      <c r="AT532" s="15" t="n">
        <v>44149672.24255512</v>
      </c>
      <c r="AU532" s="15" t="n">
        <v>26614.0178</v>
      </c>
      <c r="AV532" s="15" t="n">
        <v>1471.4833</v>
      </c>
      <c r="AW532" s="15" t="n"/>
      <c r="AX532" s="16" t="n">
        <v>436.3083015368452</v>
      </c>
      <c r="AY532" s="13">
        <f>IF(OR(AX532="",AX532=0,AU532=""),"",AU532*365/(AX532*1000000))</f>
        <v/>
      </c>
      <c r="AZ532" s="15" t="n">
        <v>414926558.7738</v>
      </c>
      <c r="BA532" s="17" t="n">
        <v>60487233</v>
      </c>
      <c r="BB532" s="18" t="n">
        <v>44149672.24255512</v>
      </c>
      <c r="BC532" s="17" t="n">
        <v>2971663</v>
      </c>
      <c r="BD532" s="17">
        <f>1000000000-999234226.9118+249758.3600</f>
        <v/>
      </c>
      <c r="BE532" s="19">
        <f>1000000000-AZ532-BA532-BB532-BC532-BD532</f>
        <v/>
      </c>
      <c r="BF532" s="20" t="n">
        <v>234.063059</v>
      </c>
      <c r="BG532" s="20">
        <f>BE532/1000000-BF532</f>
        <v/>
      </c>
      <c r="BH532" s="21">
        <f>BE532*41.81</f>
        <v/>
      </c>
    </row>
    <row r="533">
      <c r="A533" s="10" t="n">
        <v>46155</v>
      </c>
      <c r="B533" s="11" t="n">
        <v>4161634079</v>
      </c>
      <c r="C533" s="11" t="n">
        <v>2383796483.25</v>
      </c>
      <c r="D533" s="11" t="n">
        <v>135621685</v>
      </c>
      <c r="E533" s="11" t="n">
        <v>2724369.2976</v>
      </c>
      <c r="F533" s="24" t="n">
        <v>1015344070.734763</v>
      </c>
      <c r="G533" s="24" t="n">
        <v>8580933.791088201</v>
      </c>
      <c r="H533" s="24" t="n">
        <v>11825990.21504277</v>
      </c>
      <c r="I533" s="24" t="n">
        <v>590951907.6725303</v>
      </c>
      <c r="J533" s="24" t="n">
        <v>529135.8878510307</v>
      </c>
      <c r="K533" s="24" t="n">
        <v>756564444.9487243</v>
      </c>
      <c r="L533" s="21">
        <f>SUM(F533:K533)</f>
        <v/>
      </c>
      <c r="M533" s="28" t="n">
        <v>1.003867289727427</v>
      </c>
      <c r="N533" s="11" t="n">
        <v>1449219.18</v>
      </c>
      <c r="O533" s="11" t="n">
        <v>244189.56</v>
      </c>
      <c r="P533" s="11" t="n">
        <v>64883.60000000001</v>
      </c>
      <c r="Q533" s="11" t="n">
        <v>29.16883978</v>
      </c>
      <c r="R533" s="21">
        <f>N533+O533+P533+N(Q533)</f>
        <v/>
      </c>
      <c r="S533" s="13" t="n">
        <v>0.01</v>
      </c>
      <c r="T533" s="21">
        <f>N(AC533)*S533</f>
        <v/>
      </c>
      <c r="U533" s="21">
        <f>N(AD533)*S533</f>
        <v/>
      </c>
      <c r="V533" s="21">
        <f>N(AE533)*S533</f>
        <v/>
      </c>
      <c r="W533" s="21">
        <f>IF(Q533="","",N(AF533)*S533)</f>
        <v/>
      </c>
      <c r="X533" s="11" t="n">
        <v>14909.66</v>
      </c>
      <c r="Y533" s="11" t="n">
        <v>120798.54</v>
      </c>
      <c r="Z533" s="11" t="n">
        <v>0</v>
      </c>
      <c r="AA533" s="21">
        <f>T533+U533+V533+N(W533)+X533+Y533+N(Z533)</f>
        <v/>
      </c>
      <c r="AB533" s="11" t="n">
        <v>107660.5623</v>
      </c>
      <c r="AC533" s="11" t="n">
        <v>1449219.18</v>
      </c>
      <c r="AD533" s="21">
        <f>O533-Y533</f>
        <v/>
      </c>
      <c r="AE533" s="21">
        <f>P533-X533</f>
        <v/>
      </c>
      <c r="AF533" s="21">
        <f>IF(Q533="","",Q533-Z533)</f>
        <v/>
      </c>
      <c r="AG533" s="22">
        <f>AC533+AD533+AE533+N(AF533)</f>
        <v/>
      </c>
      <c r="AH533" s="11" t="n">
        <v>1387474.39</v>
      </c>
      <c r="AI533" s="24">
        <f>AG533-AH533</f>
        <v/>
      </c>
      <c r="AJ533" s="14">
        <f>IF(OR(B533="",B533=0,N533=""),"",N533/B533*10000)</f>
        <v/>
      </c>
      <c r="AK533" s="14">
        <f>IF(OR(C533="",C533=0),"",O533/C533*10000)</f>
        <v/>
      </c>
      <c r="AL533" s="14">
        <f>IF(OR(D533="",D533=0),"",P533/D533*10000)</f>
        <v/>
      </c>
      <c r="AM533" s="14">
        <f>IF(OR(E533="",E533=0),"",Q533/E533*10000)</f>
        <v/>
      </c>
      <c r="AN533" s="11" t="n">
        <v>5587.26289037394</v>
      </c>
      <c r="AO533" s="11" t="n">
        <v>0</v>
      </c>
      <c r="AP533" s="21">
        <f>AH533+AN533+AO533</f>
        <v/>
      </c>
      <c r="AQ533" s="21">
        <f>AH533</f>
        <v/>
      </c>
      <c r="AR533" s="15" t="n">
        <v>35195.46</v>
      </c>
      <c r="AS533" s="27" t="n">
        <v>39.42197</v>
      </c>
      <c r="AT533" s="15" t="n">
        <v>44185039.26255512</v>
      </c>
      <c r="AU533" s="15" t="n">
        <v>26616.4908</v>
      </c>
      <c r="AV533" s="15" t="n">
        <v>902.4404</v>
      </c>
      <c r="AW533" s="15" t="n"/>
      <c r="AX533" s="16" t="n">
        <v>436.2137014694062</v>
      </c>
      <c r="AY533" s="13">
        <f>IF(OR(AX533="",AX533=0,AU533=""),"",AU533*365/(AX533*1000000))</f>
        <v/>
      </c>
      <c r="AZ533" s="15" t="n">
        <v>414899942.283</v>
      </c>
      <c r="BA533" s="17" t="n">
        <v>60487233</v>
      </c>
      <c r="BB533" s="18" t="n">
        <v>44185039.26255512</v>
      </c>
      <c r="BC533" s="17" t="n">
        <v>2971663</v>
      </c>
      <c r="BD533" s="17">
        <f>1000000000-999233324.4715+249897.6342</f>
        <v/>
      </c>
      <c r="BE533" s="19">
        <f>1000000000-AZ533-BA533-BB533-BC533-BD533</f>
        <v/>
      </c>
      <c r="BF533" s="20" t="n">
        <v>234.063059</v>
      </c>
      <c r="BG533" s="20">
        <f>BE533/1000000-BF533</f>
        <v/>
      </c>
      <c r="BH533" s="21">
        <f>BE533*40.09</f>
        <v/>
      </c>
    </row>
    <row r="534">
      <c r="A534" s="10" t="n">
        <v>46156</v>
      </c>
      <c r="B534" s="11" t="n">
        <v>5319008471</v>
      </c>
      <c r="C534" s="11" t="n">
        <v>2781227777.04</v>
      </c>
      <c r="D534" s="11" t="n">
        <v>244203831</v>
      </c>
      <c r="E534" s="11" t="n">
        <v>2556799.825190002</v>
      </c>
      <c r="F534" s="24" t="n">
        <v>948145637.2704086</v>
      </c>
      <c r="G534" s="24" t="n">
        <v>8973450.509291593</v>
      </c>
      <c r="H534" s="24" t="n">
        <v>10539673.83689756</v>
      </c>
      <c r="I534" s="24" t="n">
        <v>717524101.6858933</v>
      </c>
      <c r="J534" s="24" t="n">
        <v>371153.7362562169</v>
      </c>
      <c r="K534" s="24" t="n">
        <v>1095673760.001253</v>
      </c>
      <c r="L534" s="21">
        <f>SUM(F534:K534)</f>
        <v/>
      </c>
      <c r="M534" s="28" t="n">
        <v>1.003788141628547</v>
      </c>
      <c r="N534" s="11" t="n">
        <v>1806226.12</v>
      </c>
      <c r="O534" s="11" t="n">
        <v>281161.63</v>
      </c>
      <c r="P534" s="11" t="n">
        <v>126445.74</v>
      </c>
      <c r="Q534" s="11" t="n">
        <v>11.98388172</v>
      </c>
      <c r="R534" s="21">
        <f>N534+O534+P534+N(Q534)</f>
        <v/>
      </c>
      <c r="S534" s="13" t="n">
        <v>0.01</v>
      </c>
      <c r="T534" s="21">
        <f>N(AC534)*S534</f>
        <v/>
      </c>
      <c r="U534" s="21">
        <f>N(AD534)*S534</f>
        <v/>
      </c>
      <c r="V534" s="21">
        <f>N(AE534)*S534</f>
        <v/>
      </c>
      <c r="W534" s="21">
        <f>IF(Q534="","",N(AF534)*S534)</f>
        <v/>
      </c>
      <c r="X534" s="11" t="n">
        <v>20814.41</v>
      </c>
      <c r="Y534" s="11" t="n">
        <v>139229.13</v>
      </c>
      <c r="Z534" s="11" t="n">
        <v>0</v>
      </c>
      <c r="AA534" s="21">
        <f>T534+U534+V534+N(W534)+X534+Y534+N(Z534)</f>
        <v/>
      </c>
      <c r="AB534" s="11" t="n">
        <v>116809.2362</v>
      </c>
      <c r="AC534" s="11" t="n">
        <v>1806226.12</v>
      </c>
      <c r="AD534" s="21">
        <f>O534-Y534</f>
        <v/>
      </c>
      <c r="AE534" s="21">
        <f>P534-X534</f>
        <v/>
      </c>
      <c r="AF534" s="21">
        <f>IF(Q534="","",Q534-Z534)</f>
        <v/>
      </c>
      <c r="AG534" s="22">
        <f>AC534+AD534+AE534+N(AF534)</f>
        <v/>
      </c>
      <c r="AH534" s="11" t="n">
        <v>1748781.04</v>
      </c>
      <c r="AI534" s="24">
        <f>AG534-AH534</f>
        <v/>
      </c>
      <c r="AJ534" s="14">
        <f>IF(OR(B534="",B534=0,N534=""),"",N534/B534*10000)</f>
        <v/>
      </c>
      <c r="AK534" s="14">
        <f>IF(OR(C534="",C534=0),"",O534/C534*10000)</f>
        <v/>
      </c>
      <c r="AL534" s="14">
        <f>IF(OR(D534="",D534=0),"",P534/D534*10000)</f>
        <v/>
      </c>
      <c r="AM534" s="14">
        <f>IF(OR(E534="",E534=0),"",Q534/E534*10000)</f>
        <v/>
      </c>
      <c r="AN534" s="11" t="n">
        <v>33086.83666207901</v>
      </c>
      <c r="AO534" s="11" t="n">
        <v>0</v>
      </c>
      <c r="AP534" s="21">
        <f>AH534+AN534+AO534</f>
        <v/>
      </c>
      <c r="AQ534" s="21">
        <f>AH534</f>
        <v/>
      </c>
      <c r="AR534" s="15" t="n">
        <v>41200.4</v>
      </c>
      <c r="AS534" s="27" t="n">
        <v>42.44573</v>
      </c>
      <c r="AT534" s="15" t="n">
        <v>44226023.88255512</v>
      </c>
      <c r="AU534" s="15" t="n">
        <v>26607.3908</v>
      </c>
      <c r="AV534" s="15" t="n">
        <v>1385.9429</v>
      </c>
      <c r="AW534" s="15" t="n"/>
      <c r="AX534" s="16" t="n">
        <v>423.8801692254345</v>
      </c>
      <c r="AY534" s="13">
        <f>IF(OR(AX534="",AX534=0,AU534=""),"",AU534*365/(AX534*1000000))</f>
        <v/>
      </c>
      <c r="AZ534" s="15" t="n">
        <v>414873334.8922</v>
      </c>
      <c r="BA534" s="17" t="n">
        <v>60487233</v>
      </c>
      <c r="BB534" s="18" t="n">
        <v>44226023.88255512</v>
      </c>
      <c r="BC534" s="17" t="n">
        <v>2971663</v>
      </c>
      <c r="BD534" s="17">
        <f>1000000000-999231938.5286+250750.0802</f>
        <v/>
      </c>
      <c r="BE534" s="19">
        <f>1000000000-AZ534-BA534-BB534-BC534-BD534</f>
        <v/>
      </c>
      <c r="BF534" s="20" t="n">
        <v>234.063059</v>
      </c>
      <c r="BG534" s="20">
        <f>BE534/1000000-BF534</f>
        <v/>
      </c>
      <c r="BH534" s="21">
        <f>BE534*38.79</f>
        <v/>
      </c>
    </row>
    <row r="535">
      <c r="A535" s="10" t="n">
        <v>46157</v>
      </c>
      <c r="B535" s="11" t="n">
        <v>5168551053</v>
      </c>
      <c r="C535" s="11" t="n">
        <v>2946135898.93</v>
      </c>
      <c r="D535" s="11" t="n">
        <v>208127883</v>
      </c>
      <c r="E535" s="11" t="n">
        <v>3039920.069619999</v>
      </c>
      <c r="F535" s="24" t="n">
        <v>928520725.7538474</v>
      </c>
      <c r="G535" s="24" t="n">
        <v>15655995.72642585</v>
      </c>
      <c r="H535" s="24" t="n">
        <v>10529016.76699992</v>
      </c>
      <c r="I535" s="24" t="n">
        <v>1013909749.547082</v>
      </c>
      <c r="J535" s="24" t="n">
        <v>542665.2545004648</v>
      </c>
      <c r="K535" s="24" t="n">
        <v>976977745.8811437</v>
      </c>
      <c r="L535" s="21">
        <f>SUM(F535:K535)</f>
        <v/>
      </c>
      <c r="M535" s="28" t="n">
        <v>1.000831516472459</v>
      </c>
      <c r="N535" s="11" t="n">
        <v>1750277.07</v>
      </c>
      <c r="O535" s="11" t="n">
        <v>301347.85</v>
      </c>
      <c r="P535" s="11" t="n">
        <v>109045.65</v>
      </c>
      <c r="Q535" s="11" t="n">
        <v>5.623592450000001</v>
      </c>
      <c r="R535" s="21">
        <f>N535+O535+P535+N(Q535)</f>
        <v/>
      </c>
      <c r="S535" s="13" t="n">
        <v>0.01</v>
      </c>
      <c r="T535" s="21">
        <f>N(AC535)*S535</f>
        <v/>
      </c>
      <c r="U535" s="21">
        <f>N(AD535)*S535</f>
        <v/>
      </c>
      <c r="V535" s="21">
        <f>N(AE535)*S535</f>
        <v/>
      </c>
      <c r="W535" s="21">
        <f>IF(Q535="","",N(AF535)*S535)</f>
        <v/>
      </c>
      <c r="X535" s="11" t="n">
        <v>11128.89</v>
      </c>
      <c r="Y535" s="11" t="n">
        <v>148337.56</v>
      </c>
      <c r="Z535" s="11" t="n">
        <v>0</v>
      </c>
      <c r="AA535" s="21">
        <f>T535+U535+V535+N(W535)+X535+Y535+N(Z535)</f>
        <v/>
      </c>
      <c r="AB535" s="11" t="n">
        <v>118435.4373</v>
      </c>
      <c r="AC535" s="11" t="n">
        <v>1750277.07</v>
      </c>
      <c r="AD535" s="21">
        <f>O535-Y535</f>
        <v/>
      </c>
      <c r="AE535" s="21">
        <f>P535-X535</f>
        <v/>
      </c>
      <c r="AF535" s="21">
        <f>IF(Q535="","",Q535-Z535)</f>
        <v/>
      </c>
      <c r="AG535" s="22">
        <f>AC535+AD535+AE535+N(AF535)</f>
        <v/>
      </c>
      <c r="AH535" s="11" t="n">
        <v>1737412.39</v>
      </c>
      <c r="AI535" s="24">
        <f>AG535-AH535</f>
        <v/>
      </c>
      <c r="AJ535" s="14">
        <f>IF(OR(B535="",B535=0,N535=""),"",N535/B535*10000)</f>
        <v/>
      </c>
      <c r="AK535" s="14">
        <f>IF(OR(C535="",C535=0),"",O535/C535*10000)</f>
        <v/>
      </c>
      <c r="AL535" s="14">
        <f>IF(OR(D535="",D535=0),"",P535/D535*10000)</f>
        <v/>
      </c>
      <c r="AM535" s="14">
        <f>IF(OR(E535="",E535=0),"",Q535/E535*10000)</f>
        <v/>
      </c>
      <c r="AN535" s="11" t="n">
        <v>56910.89217132915</v>
      </c>
      <c r="AO535" s="11" t="n">
        <v>0</v>
      </c>
      <c r="AP535" s="21">
        <f>AH535+AN535+AO535</f>
        <v/>
      </c>
      <c r="AQ535" s="21">
        <f>AH535</f>
        <v/>
      </c>
      <c r="AR535" s="15" t="n">
        <v>38942.45</v>
      </c>
      <c r="AS535" s="27" t="n">
        <v>44.614871</v>
      </c>
      <c r="AT535" s="15" t="n">
        <v>44264838.12255512</v>
      </c>
      <c r="AU535" s="15" t="n">
        <v>25631.4399</v>
      </c>
      <c r="AV535" s="15" t="n">
        <v>1654.86</v>
      </c>
      <c r="AW535" s="15" t="n"/>
      <c r="AX535" s="16" t="n">
        <v>435.3641576276527</v>
      </c>
      <c r="AY535" s="13">
        <f>IF(OR(AX535="",AX535=0,AU535=""),"",AU535*365/(AX535*1000000))</f>
        <v/>
      </c>
      <c r="AZ535" s="15" t="n">
        <v>414847703.4523</v>
      </c>
      <c r="BA535" s="17" t="n">
        <v>60487233</v>
      </c>
      <c r="BB535" s="18" t="n">
        <v>44264838.12255512</v>
      </c>
      <c r="BC535" s="17" t="n">
        <v>2971663</v>
      </c>
      <c r="BD535" s="17">
        <f>1000000000-999230283.6686+252019.7324</f>
        <v/>
      </c>
      <c r="BE535" s="19">
        <f>1000000000-AZ535-BA535-BB535-BC535-BD535</f>
        <v/>
      </c>
      <c r="BF535" s="20" t="n">
        <v>234.063059</v>
      </c>
      <c r="BG535" s="20">
        <f>BE535/1000000-BF535</f>
        <v/>
      </c>
      <c r="BH535" s="21">
        <f>BE535*44.84</f>
        <v/>
      </c>
    </row>
    <row r="536">
      <c r="A536" s="10" t="n">
        <v>46158</v>
      </c>
      <c r="B536" s="11" t="n">
        <v>3145515160</v>
      </c>
      <c r="C536" s="11" t="n">
        <v>303544790.71</v>
      </c>
      <c r="D536" s="11" t="n">
        <v>141001530</v>
      </c>
      <c r="E536" s="11" t="n">
        <v>1484161.52405</v>
      </c>
      <c r="F536" s="24" t="n">
        <v>146752841.6684231</v>
      </c>
      <c r="G536" s="24" t="n">
        <v>7899271.444378562</v>
      </c>
      <c r="H536" s="24" t="n">
        <v>862726.393689635</v>
      </c>
      <c r="I536" s="24" t="n">
        <v>72952434.77044037</v>
      </c>
      <c r="J536" s="24" t="n">
        <v>523258.8116879646</v>
      </c>
      <c r="K536" s="24" t="n">
        <v>74554257.62138039</v>
      </c>
      <c r="L536" s="21">
        <f>SUM(F536:K536)</f>
        <v/>
      </c>
      <c r="M536" s="28" t="n">
        <v>1.00001388717918</v>
      </c>
      <c r="N536" s="11" t="n">
        <v>1051056.9</v>
      </c>
      <c r="O536" s="11" t="n">
        <v>65837.5</v>
      </c>
      <c r="P536" s="11" t="n">
        <v>67136.37</v>
      </c>
      <c r="Q536" s="11" t="n">
        <v>4.1237509</v>
      </c>
      <c r="R536" s="21">
        <f>N536+O536+P536+N(Q536)</f>
        <v/>
      </c>
      <c r="S536" s="13" t="n">
        <v>0.01</v>
      </c>
      <c r="T536" s="21">
        <f>N(AC536)*S536</f>
        <v/>
      </c>
      <c r="U536" s="21">
        <f>N(AD536)*S536</f>
        <v/>
      </c>
      <c r="V536" s="21">
        <f>N(AE536)*S536</f>
        <v/>
      </c>
      <c r="W536" s="21">
        <f>IF(Q536="","",N(AF536)*S536)</f>
        <v/>
      </c>
      <c r="X536" s="11" t="n">
        <v>7180.01</v>
      </c>
      <c r="Y536" s="11" t="n">
        <v>31556.28</v>
      </c>
      <c r="Z536" s="11" t="n">
        <v>0</v>
      </c>
      <c r="AA536" s="21">
        <f>T536+U536+V536+N(W536)+X536+Y536+N(Z536)</f>
        <v/>
      </c>
      <c r="AB536" s="11" t="n">
        <v>65331.47489999999</v>
      </c>
      <c r="AC536" s="11" t="n">
        <v>1051056.9</v>
      </c>
      <c r="AD536" s="21">
        <f>O536-Y536</f>
        <v/>
      </c>
      <c r="AE536" s="21">
        <f>P536-X536</f>
        <v/>
      </c>
      <c r="AF536" s="21">
        <f>IF(Q536="","",Q536-Z536)</f>
        <v/>
      </c>
      <c r="AG536" s="22">
        <f>AC536+AD536+AE536+N(AF536)</f>
        <v/>
      </c>
      <c r="AH536" s="11" t="n">
        <v>985592.61</v>
      </c>
      <c r="AI536" s="24">
        <f>AG536-AH536</f>
        <v/>
      </c>
      <c r="AJ536" s="14">
        <f>IF(OR(B536="",B536=0,N536=""),"",N536/B536*10000)</f>
        <v/>
      </c>
      <c r="AK536" s="14">
        <f>IF(OR(C536="",C536=0),"",O536/C536*10000)</f>
        <v/>
      </c>
      <c r="AL536" s="14">
        <f>IF(OR(D536="",D536=0),"",P536/D536*10000)</f>
        <v/>
      </c>
      <c r="AM536" s="14">
        <f>IF(OR(E536="",E536=0),"",Q536/E536*10000)</f>
        <v/>
      </c>
      <c r="AN536" s="11" t="n">
        <v>24980.3079939474</v>
      </c>
      <c r="AO536" s="11" t="n">
        <v>0</v>
      </c>
      <c r="AP536" s="21">
        <f>AH536+AN536+AO536</f>
        <v/>
      </c>
      <c r="AQ536" s="21">
        <f>AH536</f>
        <v/>
      </c>
      <c r="AR536" s="15" t="n">
        <v>23679.72</v>
      </c>
      <c r="AS536" s="27" t="n">
        <v>41.621802</v>
      </c>
      <c r="AT536" s="15" t="n">
        <v>44288634.98255512</v>
      </c>
      <c r="AU536" s="15" t="n">
        <v>25664.8527</v>
      </c>
      <c r="AV536" s="15" t="n">
        <v>1916.8977</v>
      </c>
      <c r="AW536" s="15" t="n"/>
      <c r="AX536" s="16" t="n">
        <v>435.3349011579771</v>
      </c>
      <c r="AY536" s="13">
        <f>IF(OR(AX536="",AX536=0,AU536=""),"",AU536*365/(AX536*1000000))</f>
        <v/>
      </c>
      <c r="AZ536" s="15" t="n">
        <v>414822038.5996</v>
      </c>
      <c r="BA536" s="17" t="n">
        <v>60487233</v>
      </c>
      <c r="BB536" s="18" t="n">
        <v>44288634.98255512</v>
      </c>
      <c r="BC536" s="17" t="n">
        <v>2971663</v>
      </c>
      <c r="BD536" s="17">
        <f>1000000000-999228366.7708+252584.8978</f>
        <v/>
      </c>
      <c r="BE536" s="19">
        <f>1000000000-AZ536-BA536-BB536-BC536-BD536</f>
        <v/>
      </c>
      <c r="BF536" s="20" t="n">
        <v>234.063059</v>
      </c>
      <c r="BG536" s="20">
        <f>BE536/1000000-BF536</f>
        <v/>
      </c>
      <c r="BH536" s="21">
        <f>BE536*44.23</f>
        <v/>
      </c>
    </row>
    <row r="537">
      <c r="A537" s="10" t="n">
        <v>46159</v>
      </c>
      <c r="B537" s="11" t="n">
        <v>3505125172</v>
      </c>
      <c r="C537" s="11" t="n">
        <v>482789990.18</v>
      </c>
      <c r="D537" s="11" t="n">
        <v>174221542</v>
      </c>
      <c r="E537" s="11" t="n">
        <v>2211344.163840002</v>
      </c>
      <c r="F537" s="24" t="n">
        <v>212642100.568661</v>
      </c>
      <c r="G537" s="24" t="n">
        <v>13283303.12363422</v>
      </c>
      <c r="H537" s="24" t="n">
        <v>1118137.688259096</v>
      </c>
      <c r="I537" s="24" t="n">
        <v>150197454.2367224</v>
      </c>
      <c r="J537" s="24" t="n">
        <v>587968.9807480638</v>
      </c>
      <c r="K537" s="24" t="n">
        <v>104961025.5819752</v>
      </c>
      <c r="L537" s="21">
        <f>SUM(F537:K537)</f>
        <v/>
      </c>
      <c r="M537" s="28" t="n">
        <v>1.008434799227276</v>
      </c>
      <c r="N537" s="11" t="n">
        <v>1160135.15</v>
      </c>
      <c r="O537" s="11" t="n">
        <v>67899.95999999999</v>
      </c>
      <c r="P537" s="11" t="n">
        <v>82040.94</v>
      </c>
      <c r="Q537" s="11" t="n">
        <v>4.909906639999999</v>
      </c>
      <c r="R537" s="21">
        <f>N537+O537+P537+N(Q537)</f>
        <v/>
      </c>
      <c r="S537" s="13" t="n">
        <v>0.01</v>
      </c>
      <c r="T537" s="21">
        <f>N(AC537)*S537</f>
        <v/>
      </c>
      <c r="U537" s="21">
        <f>N(AD537)*S537</f>
        <v/>
      </c>
      <c r="V537" s="21">
        <f>N(AE537)*S537</f>
        <v/>
      </c>
      <c r="W537" s="21">
        <f>IF(Q537="","",N(AF537)*S537)</f>
        <v/>
      </c>
      <c r="X537" s="11" t="n">
        <v>9052.219999999999</v>
      </c>
      <c r="Y537" s="11" t="n">
        <v>32018.57</v>
      </c>
      <c r="Z537" s="11" t="n">
        <v>0</v>
      </c>
      <c r="AA537" s="21">
        <f>T537+U537+V537+N(W537)+X537+Y537+N(Z537)</f>
        <v/>
      </c>
      <c r="AB537" s="11" t="n">
        <v>69173.9161</v>
      </c>
      <c r="AC537" s="11" t="n">
        <v>1160135.15</v>
      </c>
      <c r="AD537" s="21">
        <f>O537-Y537</f>
        <v/>
      </c>
      <c r="AE537" s="21">
        <f>P537-X537</f>
        <v/>
      </c>
      <c r="AF537" s="21">
        <f>IF(Q537="","",Q537-Z537)</f>
        <v/>
      </c>
      <c r="AG537" s="22">
        <f>AC537+AD537+AE537+N(AF537)</f>
        <v/>
      </c>
      <c r="AH537" s="11" t="n">
        <v>1092883.03</v>
      </c>
      <c r="AI537" s="24">
        <f>AG537-AH537</f>
        <v/>
      </c>
      <c r="AJ537" s="14">
        <f>IF(OR(B537="",B537=0,N537=""),"",N537/B537*10000)</f>
        <v/>
      </c>
      <c r="AK537" s="14">
        <f>IF(OR(C537="",C537=0),"",O537/C537*10000)</f>
        <v/>
      </c>
      <c r="AL537" s="14">
        <f>IF(OR(D537="",D537=0),"",P537/D537*10000)</f>
        <v/>
      </c>
      <c r="AM537" s="14">
        <f>IF(OR(E537="",E537=0),"",Q537/E537*10000)</f>
        <v/>
      </c>
      <c r="AN537" s="11" t="n">
        <v>48359.77412216018</v>
      </c>
      <c r="AO537" s="11" t="n">
        <v>0</v>
      </c>
      <c r="AP537" s="21">
        <f>AH537+AN537+AO537</f>
        <v/>
      </c>
      <c r="AQ537" s="21">
        <f>AH537</f>
        <v/>
      </c>
      <c r="AR537" s="15" t="n">
        <v>24689.87</v>
      </c>
      <c r="AS537" s="27" t="n">
        <v>44.26443</v>
      </c>
      <c r="AT537" s="15" t="n">
        <v>44313760.83255512</v>
      </c>
      <c r="AU537" s="15" t="n">
        <v>26298.559</v>
      </c>
      <c r="AV537" s="15" t="n">
        <v>1340.9038</v>
      </c>
      <c r="AW537" s="15" t="n"/>
      <c r="AX537" s="16" t="n">
        <v>434.2063205694235</v>
      </c>
      <c r="AY537" s="13">
        <f>IF(OR(AX537="",AX537=0,AU537=""),"",AU537*365/(AX537*1000000))</f>
        <v/>
      </c>
      <c r="AZ537" s="15" t="n">
        <v>414795740.0406</v>
      </c>
      <c r="BA537" s="17" t="n">
        <v>60487233</v>
      </c>
      <c r="BB537" s="18" t="n">
        <v>44313760.83255512</v>
      </c>
      <c r="BC537" s="17" t="n">
        <v>2971663</v>
      </c>
      <c r="BD537" s="17">
        <f>1000000000-999227025.867+253737.7758</f>
        <v/>
      </c>
      <c r="BE537" s="19">
        <f>1000000000-AZ537-BA537-BB537-BC537-BD537</f>
        <v/>
      </c>
      <c r="BF537" s="20" t="n">
        <v>234.063059</v>
      </c>
      <c r="BG537" s="20">
        <f>BE537/1000000-BF537</f>
        <v/>
      </c>
      <c r="BH537" s="21">
        <f>BE537*41.96</f>
        <v/>
      </c>
    </row>
    <row r="538">
      <c r="A538" s="10" t="n">
        <v>46160</v>
      </c>
      <c r="B538" s="11" t="n">
        <v>5333036665</v>
      </c>
      <c r="C538" s="11" t="n">
        <v>3479381627.82</v>
      </c>
      <c r="D538" s="11" t="n">
        <v>191591052</v>
      </c>
      <c r="E538" s="11" t="n">
        <v>3417629.954160002</v>
      </c>
      <c r="F538" s="24" t="n">
        <v>1321748465.343089</v>
      </c>
      <c r="G538" s="24" t="n">
        <v>24364245.5004363</v>
      </c>
      <c r="H538" s="24" t="n">
        <v>3774505.253880449</v>
      </c>
      <c r="I538" s="24" t="n">
        <v>1127443089.694239</v>
      </c>
      <c r="J538" s="24" t="n">
        <v>1112085.432754474</v>
      </c>
      <c r="K538" s="24" t="n">
        <v>1000939236.595601</v>
      </c>
      <c r="L538" s="21">
        <f>SUM(F538:K538)</f>
        <v/>
      </c>
      <c r="M538" s="28" t="n">
        <v>1.001315069449322</v>
      </c>
      <c r="N538" s="11" t="n">
        <v>1617137.73</v>
      </c>
      <c r="O538" s="11" t="n">
        <v>286230.09</v>
      </c>
      <c r="P538" s="11" t="n">
        <v>104313.71</v>
      </c>
      <c r="Q538" s="11" t="n">
        <v>4.5470898</v>
      </c>
      <c r="R538" s="21">
        <f>N538+O538+P538+N(Q538)</f>
        <v/>
      </c>
      <c r="S538" s="13" t="n">
        <v>0.01</v>
      </c>
      <c r="T538" s="21">
        <f>N(AC538)*S538</f>
        <v/>
      </c>
      <c r="U538" s="21">
        <f>N(AD538)*S538</f>
        <v/>
      </c>
      <c r="V538" s="21">
        <f>N(AE538)*S538</f>
        <v/>
      </c>
      <c r="W538" s="21">
        <f>IF(Q538="","",N(AF538)*S538)</f>
        <v/>
      </c>
      <c r="X538" s="11" t="n">
        <v>11497.05</v>
      </c>
      <c r="Y538" s="11" t="n">
        <v>140671.25</v>
      </c>
      <c r="Z538" s="11" t="n">
        <v>0</v>
      </c>
      <c r="AA538" s="21">
        <f>T538+U538+V538+N(W538)+X538+Y538+N(Z538)</f>
        <v/>
      </c>
      <c r="AB538" s="11" t="n">
        <v>127281.2522</v>
      </c>
      <c r="AC538" s="11" t="n">
        <v>1617137.73</v>
      </c>
      <c r="AD538" s="21">
        <f>O538-Y538</f>
        <v/>
      </c>
      <c r="AE538" s="21">
        <f>P538-X538</f>
        <v/>
      </c>
      <c r="AF538" s="21">
        <f>IF(Q538="","",Q538-Z538)</f>
        <v/>
      </c>
      <c r="AG538" s="22">
        <f>AC538+AD538+AE538+N(AF538)</f>
        <v/>
      </c>
      <c r="AH538" s="11" t="n">
        <v>1728259.86</v>
      </c>
      <c r="AI538" s="24">
        <f>AG538-AH538</f>
        <v/>
      </c>
      <c r="AJ538" s="14">
        <f>IF(OR(B538="",B538=0,N538=""),"",N538/B538*10000)</f>
        <v/>
      </c>
      <c r="AK538" s="14">
        <f>IF(OR(C538="",C538=0),"",O538/C538*10000)</f>
        <v/>
      </c>
      <c r="AL538" s="14">
        <f>IF(OR(D538="",D538=0),"",P538/D538*10000)</f>
        <v/>
      </c>
      <c r="AM538" s="14">
        <f>IF(OR(E538="",E538=0),"",Q538/E538*10000)</f>
        <v/>
      </c>
      <c r="AN538" s="11" t="n">
        <v>44307.31325108197</v>
      </c>
      <c r="AO538" s="11" t="n">
        <v>22845.78</v>
      </c>
      <c r="AP538" s="21">
        <f>AH538+AN538+AO538</f>
        <v/>
      </c>
      <c r="AQ538" s="21">
        <f>AH538</f>
        <v/>
      </c>
      <c r="AR538" s="15" t="n">
        <v>37853.12</v>
      </c>
      <c r="AS538" s="27" t="n">
        <v>45.656999</v>
      </c>
      <c r="AT538" s="15" t="n">
        <v>44350736.80255512</v>
      </c>
      <c r="AU538" s="15" t="n">
        <v>26279.7806</v>
      </c>
      <c r="AV538" s="15" t="n">
        <v>1626.2893</v>
      </c>
      <c r="AW538" s="15" t="n"/>
      <c r="AX538" s="16" t="n">
        <v>434.1673706849389</v>
      </c>
      <c r="AY538" s="13">
        <f>IF(OR(AX538="",AX538=0,AU538=""),"",AU538*365/(AX538*1000000))</f>
        <v/>
      </c>
      <c r="AZ538" s="15" t="n">
        <v>414769460.26</v>
      </c>
      <c r="BA538" s="17" t="n">
        <v>60487233</v>
      </c>
      <c r="BB538" s="18" t="n">
        <v>44350736.80255512</v>
      </c>
      <c r="BC538" s="17" t="n">
        <v>2971663</v>
      </c>
      <c r="BD538" s="17">
        <f>1000000000-999225399.5777+254700.3505</f>
        <v/>
      </c>
      <c r="BE538" s="19">
        <f>1000000000-AZ538-BA538-BB538-BC538-BD538</f>
        <v/>
      </c>
      <c r="BF538" s="20" t="n">
        <v>234.063059</v>
      </c>
      <c r="BG538" s="20">
        <f>BE538/1000000-BF538</f>
        <v/>
      </c>
      <c r="BH538" s="21">
        <f>BE538*46.06</f>
        <v/>
      </c>
    </row>
    <row r="539">
      <c r="A539" s="10" t="n">
        <v>46161</v>
      </c>
      <c r="B539" s="11" t="n">
        <v>3287734943</v>
      </c>
      <c r="C539" s="11" t="n">
        <v>2810055491.72</v>
      </c>
      <c r="D539" s="11" t="n">
        <v>163748421</v>
      </c>
      <c r="E539" s="11" t="n">
        <v>2774221.788260001</v>
      </c>
      <c r="F539" s="24" t="n">
        <v>1011374943.433445</v>
      </c>
      <c r="G539" s="24" t="n">
        <v>12636118.07424624</v>
      </c>
      <c r="H539" s="24" t="n">
        <v>5581020.298245111</v>
      </c>
      <c r="I539" s="24" t="n">
        <v>804586592.7196845</v>
      </c>
      <c r="J539" s="24" t="n">
        <v>793773.4638920347</v>
      </c>
      <c r="K539" s="24" t="n">
        <v>975083043.7304868</v>
      </c>
      <c r="L539" s="21">
        <f>SUM(F539:K539)</f>
        <v/>
      </c>
      <c r="M539" s="28" t="n">
        <v>1.000370163061055</v>
      </c>
      <c r="N539" s="11" t="n">
        <v>1088053.35</v>
      </c>
      <c r="O539" s="11" t="n">
        <v>367444.18</v>
      </c>
      <c r="P539" s="11" t="n">
        <v>84038.39</v>
      </c>
      <c r="Q539" s="11" t="n">
        <v>6.242737259999998</v>
      </c>
      <c r="R539" s="21">
        <f>N539+O539+P539+N(Q539)</f>
        <v/>
      </c>
      <c r="S539" s="13" t="n">
        <v>0.01</v>
      </c>
      <c r="T539" s="21">
        <f>N(AC539)*S539</f>
        <v/>
      </c>
      <c r="U539" s="21">
        <f>N(AD539)*S539</f>
        <v/>
      </c>
      <c r="V539" s="21">
        <f>N(AE539)*S539</f>
        <v/>
      </c>
      <c r="W539" s="21">
        <f>IF(Q539="","",N(AF539)*S539)</f>
        <v/>
      </c>
      <c r="X539" s="11" t="n">
        <v>7944.88</v>
      </c>
      <c r="Y539" s="11" t="n">
        <v>181441.12</v>
      </c>
      <c r="Z539" s="11" t="n">
        <v>0</v>
      </c>
      <c r="AA539" s="21">
        <f>T539+U539+V539+N(W539)+X539+Y539+N(Z539)</f>
        <v/>
      </c>
      <c r="AB539" s="11" t="n">
        <v>69239.99979999999</v>
      </c>
      <c r="AC539" s="11" t="n">
        <v>1088053.35</v>
      </c>
      <c r="AD539" s="21">
        <f>O539-Y539</f>
        <v/>
      </c>
      <c r="AE539" s="21">
        <f>P539-X539</f>
        <v/>
      </c>
      <c r="AF539" s="21">
        <f>IF(Q539="","",Q539-Z539)</f>
        <v/>
      </c>
      <c r="AG539" s="22">
        <f>AC539+AD539+AE539+N(AF539)</f>
        <v/>
      </c>
      <c r="AH539" s="11" t="n">
        <v>1177698.13</v>
      </c>
      <c r="AI539" s="24">
        <f>AG539-AH539</f>
        <v/>
      </c>
      <c r="AJ539" s="14">
        <f>IF(OR(B539="",B539=0,N539=""),"",N539/B539*10000)</f>
        <v/>
      </c>
      <c r="AK539" s="14">
        <f>IF(OR(C539="",C539=0),"",O539/C539*10000)</f>
        <v/>
      </c>
      <c r="AL539" s="14">
        <f>IF(OR(D539="",D539=0),"",P539/D539*10000)</f>
        <v/>
      </c>
      <c r="AM539" s="14">
        <f>IF(OR(E539="",E539=0),"",Q539/E539*10000)</f>
        <v/>
      </c>
      <c r="AN539" s="11" t="n">
        <v>26167.70206471924</v>
      </c>
      <c r="AO539" s="11" t="n">
        <v>28030.19</v>
      </c>
      <c r="AP539" s="21">
        <f>AH539+AN539+AO539</f>
        <v/>
      </c>
      <c r="AQ539" s="21">
        <f>AH539</f>
        <v/>
      </c>
      <c r="AR539" s="15" t="n">
        <v>24597.4</v>
      </c>
      <c r="AS539" s="27" t="n">
        <v>47.878968</v>
      </c>
      <c r="AT539" s="15" t="n">
        <v>44376098.84255512</v>
      </c>
      <c r="AU539" s="15" t="n">
        <v>26262.5039</v>
      </c>
      <c r="AV539" s="15" t="n">
        <v>2206.8993</v>
      </c>
      <c r="AW539" s="15" t="n"/>
      <c r="AX539" s="16" t="n">
        <v>434.7651551631073</v>
      </c>
      <c r="AY539" s="13">
        <f>IF(OR(AX539="",AX539=0,AU539=""),"",AU539*365/(AX539*1000000))</f>
        <v/>
      </c>
      <c r="AZ539" s="15" t="n">
        <v>414743197.7561</v>
      </c>
      <c r="BA539" s="17" t="n">
        <v>60487233</v>
      </c>
      <c r="BB539" s="18" t="n">
        <v>44376098.84255512</v>
      </c>
      <c r="BC539" s="17" t="n">
        <v>2971663</v>
      </c>
      <c r="BD539" s="17">
        <f>1000000000-999223192.6783+255241.5086</f>
        <v/>
      </c>
      <c r="BE539" s="19">
        <f>1000000000-AZ539-BA539-BB539-BC539-BD539</f>
        <v/>
      </c>
      <c r="BF539" s="20" t="n">
        <v>234.063059</v>
      </c>
      <c r="BG539" s="20">
        <f>BE539/1000000-BF539</f>
        <v/>
      </c>
      <c r="BH539" s="21">
        <f>BE539*48.31</f>
        <v/>
      </c>
    </row>
    <row r="540">
      <c r="A540" s="10" t="n">
        <v>46162</v>
      </c>
      <c r="B540" s="11" t="n">
        <v>4267552953</v>
      </c>
      <c r="C540" s="11" t="n">
        <v>3075139435.87</v>
      </c>
      <c r="D540" s="11" t="n">
        <v>275987534</v>
      </c>
      <c r="E540" s="11" t="n">
        <v>2928731.73941</v>
      </c>
      <c r="F540" s="24" t="n">
        <v>1259060733.517902</v>
      </c>
      <c r="G540" s="24" t="n">
        <v>10748121.82713037</v>
      </c>
      <c r="H540" s="24" t="n">
        <v>4216320.037459336</v>
      </c>
      <c r="I540" s="24" t="n">
        <v>830365091.5781769</v>
      </c>
      <c r="J540" s="24" t="n">
        <v>802147.2349538298</v>
      </c>
      <c r="K540" s="24" t="n">
        <v>969947021.6743778</v>
      </c>
      <c r="L540" s="21">
        <f>SUM(F540:K540)</f>
        <v/>
      </c>
      <c r="M540" s="28" t="n">
        <v>1.002283537079286</v>
      </c>
      <c r="N540" s="11" t="n">
        <v>1288457.63</v>
      </c>
      <c r="O540" s="11" t="n">
        <v>228349.53</v>
      </c>
      <c r="P540" s="11" t="n">
        <v>127287.75</v>
      </c>
      <c r="Q540" s="11" t="n">
        <v>8.68949158</v>
      </c>
      <c r="R540" s="21">
        <f>N540+O540+P540+N(Q540)</f>
        <v/>
      </c>
      <c r="S540" s="13" t="n">
        <v>0.01</v>
      </c>
      <c r="T540" s="21">
        <f>N(AC540)*S540</f>
        <v/>
      </c>
      <c r="U540" s="21">
        <f>N(AD540)*S540</f>
        <v/>
      </c>
      <c r="V540" s="21">
        <f>N(AE540)*S540</f>
        <v/>
      </c>
      <c r="W540" s="21">
        <f>IF(Q540="","",N(AF540)*S540)</f>
        <v/>
      </c>
      <c r="X540" s="11" t="n">
        <v>15617</v>
      </c>
      <c r="Y540" s="11" t="n">
        <v>112590.72</v>
      </c>
      <c r="Z540" s="11" t="n">
        <v>0</v>
      </c>
      <c r="AA540" s="21">
        <f>T540+U540+V540+N(W540)+X540+Y540+N(Z540)</f>
        <v/>
      </c>
      <c r="AB540" s="11" t="n">
        <v>76500.33830000002</v>
      </c>
      <c r="AC540" s="11" t="n">
        <v>1288457.63</v>
      </c>
      <c r="AD540" s="21">
        <f>O540-Y540</f>
        <v/>
      </c>
      <c r="AE540" s="21">
        <f>P540-X540</f>
        <v/>
      </c>
      <c r="AF540" s="21">
        <f>IF(Q540="","",Q540-Z540)</f>
        <v/>
      </c>
      <c r="AG540" s="22">
        <f>AC540+AD540+AE540+N(AF540)</f>
        <v/>
      </c>
      <c r="AH540" s="11" t="n">
        <v>1430631.52</v>
      </c>
      <c r="AI540" s="24">
        <f>AG540-AH540</f>
        <v/>
      </c>
      <c r="AJ540" s="14">
        <f>IF(OR(B540="",B540=0,N540=""),"",N540/B540*10000)</f>
        <v/>
      </c>
      <c r="AK540" s="14">
        <f>IF(OR(C540="",C540=0),"",O540/C540*10000)</f>
        <v/>
      </c>
      <c r="AL540" s="14">
        <f>IF(OR(D540="",D540=0),"",P540/D540*10000)</f>
        <v/>
      </c>
      <c r="AM540" s="14">
        <f>IF(OR(E540="",E540=0),"",Q540/E540*10000)</f>
        <v/>
      </c>
      <c r="AN540" s="11" t="n">
        <v>25850.59732692332</v>
      </c>
      <c r="AO540" s="11" t="n">
        <v>0</v>
      </c>
      <c r="AP540" s="21">
        <f>AH540+AN540+AO540</f>
        <v/>
      </c>
      <c r="AQ540" s="21">
        <f>AH540</f>
        <v/>
      </c>
      <c r="AR540" s="15" t="n">
        <v>28292.52</v>
      </c>
      <c r="AS540" s="27" t="n">
        <v>50.565716</v>
      </c>
      <c r="AT540" s="15" t="n">
        <v>44403626.72255512</v>
      </c>
      <c r="AU540" s="15" t="n">
        <v>26231.8736</v>
      </c>
      <c r="AV540" s="15" t="n">
        <v>2166.9293</v>
      </c>
      <c r="AW540" s="15" t="n"/>
      <c r="AX540" s="16" t="n">
        <v>435.5444240530071</v>
      </c>
      <c r="AY540" s="13">
        <f>IF(OR(AX540="",AX540=0,AU540=""),"",AU540*365/(AX540*1000000))</f>
        <v/>
      </c>
      <c r="AZ540" s="15" t="n">
        <v>414716965.8825</v>
      </c>
      <c r="BA540" s="17" t="n">
        <v>60487233</v>
      </c>
      <c r="BB540" s="18" t="n">
        <v>44403626.72255512</v>
      </c>
      <c r="BC540" s="17" t="n">
        <v>2971663</v>
      </c>
      <c r="BD540" s="17">
        <f>1000000000-999221025.749+255784.9994</f>
        <v/>
      </c>
      <c r="BE540" s="19">
        <f>1000000000-AZ540-BA540-BB540-BC540-BD540</f>
        <v/>
      </c>
      <c r="BF540" s="20" t="n">
        <v>234.063059</v>
      </c>
      <c r="BG540" s="20">
        <f>BE540/1000000-BF540</f>
        <v/>
      </c>
      <c r="BH540" s="21">
        <f>BE540*47.56</f>
        <v/>
      </c>
    </row>
    <row r="541">
      <c r="A541" s="10" t="n">
        <v>46163</v>
      </c>
      <c r="B541" s="11" t="n">
        <v>6141111449</v>
      </c>
      <c r="C541" s="11" t="n">
        <v>3180708164.58</v>
      </c>
      <c r="D541" s="11" t="n">
        <v>447633068</v>
      </c>
      <c r="E541" s="11" t="n">
        <v>2047956.356610001</v>
      </c>
      <c r="F541" s="24" t="n">
        <v>1627343256.69884</v>
      </c>
      <c r="G541" s="24" t="n">
        <v>15286121.05089383</v>
      </c>
      <c r="H541" s="24" t="n">
        <v>4220653.038731597</v>
      </c>
      <c r="I541" s="24" t="n">
        <v>651670297.2504909</v>
      </c>
      <c r="J541" s="24" t="n">
        <v>1605555.687204151</v>
      </c>
      <c r="K541" s="24" t="n">
        <v>880582280.8538392</v>
      </c>
      <c r="L541" s="21">
        <f>SUM(F541:K541)</f>
        <v/>
      </c>
      <c r="M541" s="28" t="n">
        <v>1.002895304860629</v>
      </c>
      <c r="N541" s="11" t="n">
        <v>1973033.61</v>
      </c>
      <c r="O541" s="11" t="n">
        <v>288114.64</v>
      </c>
      <c r="P541" s="11" t="n">
        <v>222892.95</v>
      </c>
      <c r="Q541" s="11" t="n">
        <v>7.878136799999998</v>
      </c>
      <c r="R541" s="21">
        <f>N541+O541+P541+N(Q541)</f>
        <v/>
      </c>
      <c r="S541" s="13" t="n">
        <v>0.01</v>
      </c>
      <c r="T541" s="21">
        <f>N(AC541)*S541</f>
        <v/>
      </c>
      <c r="U541" s="21">
        <f>N(AD541)*S541</f>
        <v/>
      </c>
      <c r="V541" s="21">
        <f>N(AE541)*S541</f>
        <v/>
      </c>
      <c r="W541" s="21">
        <f>IF(Q541="","",N(AF541)*S541)</f>
        <v/>
      </c>
      <c r="X541" s="11" t="n">
        <v>14358.45</v>
      </c>
      <c r="Y541" s="11" t="n">
        <v>141881.57</v>
      </c>
      <c r="Z541" s="11" t="n">
        <v>0</v>
      </c>
      <c r="AA541" s="21">
        <f>T541+U541+V541+N(W541)+X541+Y541+N(Z541)</f>
        <v/>
      </c>
      <c r="AB541" s="11" t="n">
        <v>77388.7144</v>
      </c>
      <c r="AC541" s="11" t="n">
        <v>1973033.61</v>
      </c>
      <c r="AD541" s="21">
        <f>O541-Y541</f>
        <v/>
      </c>
      <c r="AE541" s="21">
        <f>P541-X541</f>
        <v/>
      </c>
      <c r="AF541" s="21">
        <f>IF(Q541="","",Q541-Z541)</f>
        <v/>
      </c>
      <c r="AG541" s="22">
        <f>AC541+AD541+AE541+N(AF541)</f>
        <v/>
      </c>
      <c r="AH541" s="11" t="n">
        <v>2138784.46</v>
      </c>
      <c r="AI541" s="24">
        <f>AG541-AH541</f>
        <v/>
      </c>
      <c r="AJ541" s="14">
        <f>IF(OR(B541="",B541=0,N541=""),"",N541/B541*10000)</f>
        <v/>
      </c>
      <c r="AK541" s="14">
        <f>IF(OR(C541="",C541=0),"",O541/C541*10000)</f>
        <v/>
      </c>
      <c r="AL541" s="14">
        <f>IF(OR(D541="",D541=0),"",P541/D541*10000)</f>
        <v/>
      </c>
      <c r="AM541" s="14">
        <f>IF(OR(E541="",E541=0),"",Q541/E541*10000)</f>
        <v/>
      </c>
      <c r="AN541" s="11" t="n">
        <v>58557.58830686202</v>
      </c>
      <c r="AO541" s="11" t="n">
        <v>27513.82</v>
      </c>
      <c r="AP541" s="21">
        <f>AH541+AN541+AO541</f>
        <v/>
      </c>
      <c r="AQ541" s="21">
        <f>AH541</f>
        <v/>
      </c>
      <c r="AR541" s="15" t="n">
        <v>36645.8</v>
      </c>
      <c r="AS541" s="27" t="n">
        <v>58.3637</v>
      </c>
      <c r="AT541" s="15" t="n">
        <v>44440896.13255512</v>
      </c>
      <c r="AU541" s="15" t="n">
        <v>26314.3349</v>
      </c>
      <c r="AV541" s="15" t="n">
        <v>1494.9204</v>
      </c>
      <c r="AW541" s="15" t="n"/>
      <c r="AX541" s="16" t="n">
        <v>434.7588096193214</v>
      </c>
      <c r="AY541" s="13">
        <f>IF(OR(AX541="",AX541=0,AU541=""),"",AU541*365/(AX541*1000000))</f>
        <v/>
      </c>
      <c r="AZ541" s="15" t="n">
        <v>414690651.5475</v>
      </c>
      <c r="BA541" s="17" t="n">
        <v>60487233</v>
      </c>
      <c r="BB541" s="18" t="n">
        <v>44440896.13255512</v>
      </c>
      <c r="BC541" s="17" t="n">
        <v>2971663</v>
      </c>
      <c r="BD541" s="17">
        <f>1000000000-999219530.8286+256843.1990</f>
        <v/>
      </c>
      <c r="BE541" s="19">
        <f>1000000000-AZ541-BA541-BB541-BC541-BD541</f>
        <v/>
      </c>
      <c r="BF541" s="20" t="n">
        <v>234.063059</v>
      </c>
      <c r="BG541" s="20">
        <f>BE541/1000000-BF541</f>
        <v/>
      </c>
      <c r="BH541" s="21">
        <f>BE541*55.31</f>
        <v/>
      </c>
    </row>
    <row r="542">
      <c r="A542" s="10" t="n">
        <v>46164</v>
      </c>
      <c r="B542" s="11" t="n">
        <v>5476453331</v>
      </c>
      <c r="C542" s="11" t="n">
        <v>2235232375.1</v>
      </c>
      <c r="D542" s="11" t="n">
        <v>328126033</v>
      </c>
      <c r="E542" s="11" t="n">
        <v>2496535.810899999</v>
      </c>
      <c r="F542" s="24" t="n">
        <v>1043029832.440757</v>
      </c>
      <c r="G542" s="24" t="n">
        <v>12570719.14332563</v>
      </c>
      <c r="H542" s="24" t="n">
        <v>2978569.923620706</v>
      </c>
      <c r="I542" s="24" t="n">
        <v>545574540.0883521</v>
      </c>
      <c r="J542" s="24" t="n">
        <v>616357.3221793388</v>
      </c>
      <c r="K542" s="24" t="n">
        <v>630462356.181765</v>
      </c>
      <c r="L542" s="21">
        <f>SUM(F542:K542)</f>
        <v/>
      </c>
      <c r="M542" s="28" t="n">
        <v>1.004080998505443</v>
      </c>
      <c r="N542" s="11" t="n">
        <v>1876252.85</v>
      </c>
      <c r="O542" s="11" t="n">
        <v>201960.04</v>
      </c>
      <c r="P542" s="11" t="n">
        <v>156921.83</v>
      </c>
      <c r="Q542" s="11" t="n">
        <v>12.31818688</v>
      </c>
      <c r="R542" s="21">
        <f>N542+O542+P542+N(Q542)</f>
        <v/>
      </c>
      <c r="S542" s="13" t="n">
        <v>0.01</v>
      </c>
      <c r="T542" s="21">
        <f>N(AC542)*S542</f>
        <v/>
      </c>
      <c r="U542" s="21">
        <f>N(AD542)*S542</f>
        <v/>
      </c>
      <c r="V542" s="21">
        <f>N(AE542)*S542</f>
        <v/>
      </c>
      <c r="W542" s="21">
        <f>IF(Q542="","",N(AF542)*S542)</f>
        <v/>
      </c>
      <c r="X542" s="11" t="n">
        <v>13318.63</v>
      </c>
      <c r="Y542" s="11" t="n">
        <v>99251.95</v>
      </c>
      <c r="Z542" s="11" t="n">
        <v>0</v>
      </c>
      <c r="AA542" s="21">
        <f>T542+U542+V542+N(W542)+X542+Y542+N(Z542)</f>
        <v/>
      </c>
      <c r="AB542" s="11" t="n">
        <v>79903.74769999999</v>
      </c>
      <c r="AC542" s="11" t="n">
        <v>1876252.85</v>
      </c>
      <c r="AD542" s="21">
        <f>O542-Y542</f>
        <v/>
      </c>
      <c r="AE542" s="21">
        <f>P542-X542</f>
        <v/>
      </c>
      <c r="AF542" s="21">
        <f>IF(Q542="","",Q542-Z542)</f>
        <v/>
      </c>
      <c r="AG542" s="22">
        <f>AC542+AD542+AE542+N(AF542)</f>
        <v/>
      </c>
      <c r="AH542" s="11" t="n">
        <v>1813376.99</v>
      </c>
      <c r="AI542" s="24">
        <f>AG542-AH542</f>
        <v/>
      </c>
      <c r="AJ542" s="14">
        <f>IF(OR(B542="",B542=0,N542=""),"",N542/B542*10000)</f>
        <v/>
      </c>
      <c r="AK542" s="14">
        <f>IF(OR(C542="",C542=0),"",O542/C542*10000)</f>
        <v/>
      </c>
      <c r="AL542" s="14">
        <f>IF(OR(D542="",D542=0),"",P542/D542*10000)</f>
        <v/>
      </c>
      <c r="AM542" s="14">
        <f>IF(OR(E542="",E542=0),"",Q542/E542*10000)</f>
        <v/>
      </c>
      <c r="AN542" s="11" t="n">
        <v>48932.22340677244</v>
      </c>
      <c r="AO542" s="11" t="n">
        <v>29294.63</v>
      </c>
      <c r="AP542" s="21">
        <f>AH542+AN542+AO542</f>
        <v/>
      </c>
      <c r="AQ542" s="21">
        <f>AH542</f>
        <v/>
      </c>
      <c r="AR542" s="15" t="n">
        <v>31484.36</v>
      </c>
      <c r="AS542" s="27" t="n">
        <v>57.59612</v>
      </c>
      <c r="AT542" s="15" t="n">
        <v>44472733.04255512</v>
      </c>
      <c r="AU542" s="15" t="n">
        <v>26297.796</v>
      </c>
      <c r="AV542" s="15" t="n">
        <v>4149.9867</v>
      </c>
      <c r="AW542" s="15" t="n"/>
      <c r="AX542" s="16" t="n">
        <v>432.4963143350387</v>
      </c>
      <c r="AY542" s="13">
        <f>IF(OR(AX542="",AX542=0,AU542=""),"",AU542*365/(AX542*1000000))</f>
        <v/>
      </c>
      <c r="AZ542" s="15" t="n">
        <v>414664353.7516</v>
      </c>
      <c r="BA542" s="17" t="n">
        <v>60487233</v>
      </c>
      <c r="BB542" s="18" t="n">
        <v>44472733.04255512</v>
      </c>
      <c r="BC542" s="17" t="n">
        <v>2971663</v>
      </c>
      <c r="BD542" s="17">
        <f>1000000000-999215380.842+257691.7739</f>
        <v/>
      </c>
      <c r="BE542" s="19">
        <f>1000000000-AZ542-BA542-BB542-BC542-BD542</f>
        <v/>
      </c>
      <c r="BF542" s="20" t="n">
        <v>234.063059</v>
      </c>
      <c r="BG542" s="20">
        <f>BE542/1000000-BF542</f>
        <v/>
      </c>
      <c r="BH542" s="21">
        <f>BE542*57.61</f>
        <v/>
      </c>
    </row>
    <row r="543">
      <c r="A543" s="10" t="n">
        <v>46165</v>
      </c>
      <c r="B543" s="11" t="n">
        <v>5537744041</v>
      </c>
      <c r="C543" s="11" t="n">
        <v>1253054488.2</v>
      </c>
      <c r="D543" s="11" t="n">
        <v>199549041</v>
      </c>
      <c r="E543" s="11" t="n">
        <v>1045150.46758</v>
      </c>
      <c r="F543" s="24" t="n">
        <v>758351796.4179057</v>
      </c>
      <c r="G543" s="24" t="n">
        <v>14167777.03629664</v>
      </c>
      <c r="H543" s="24" t="n">
        <v>1438618.80093055</v>
      </c>
      <c r="I543" s="24" t="n">
        <v>307932388.8526229</v>
      </c>
      <c r="J543" s="24" t="n">
        <v>215803.0119142923</v>
      </c>
      <c r="K543" s="24" t="n">
        <v>170948104.0803301</v>
      </c>
      <c r="L543" s="21">
        <f>SUM(F543:K543)</f>
        <v/>
      </c>
      <c r="M543" s="28" t="n">
        <v>1.004255588673304</v>
      </c>
      <c r="N543" s="11" t="n">
        <v>1861254.36</v>
      </c>
      <c r="O543" s="11" t="n">
        <v>153886.94</v>
      </c>
      <c r="P543" s="11" t="n">
        <v>95054.59</v>
      </c>
      <c r="Q543" s="11" t="n">
        <v>13.98696093</v>
      </c>
      <c r="R543" s="21">
        <f>N543+O543+P543+N(Q543)</f>
        <v/>
      </c>
      <c r="S543" s="13" t="n">
        <v>0.01</v>
      </c>
      <c r="T543" s="21">
        <f>N(AC543)*S543</f>
        <v/>
      </c>
      <c r="U543" s="21">
        <f>N(AD543)*S543</f>
        <v/>
      </c>
      <c r="V543" s="21">
        <f>N(AE543)*S543</f>
        <v/>
      </c>
      <c r="W543" s="21">
        <f>IF(Q543="","",N(AF543)*S543)</f>
        <v/>
      </c>
      <c r="X543" s="11" t="n">
        <v>13779.67</v>
      </c>
      <c r="Y543" s="11" t="n">
        <v>74981.32000000001</v>
      </c>
      <c r="Z543" s="11" t="n">
        <v>0</v>
      </c>
      <c r="AA543" s="21">
        <f>T543+U543+V543+N(W543)+X543+Y543+N(Z543)</f>
        <v/>
      </c>
      <c r="AB543" s="11" t="n">
        <v>103505.1606</v>
      </c>
      <c r="AC543" s="11" t="n">
        <v>1861254.36</v>
      </c>
      <c r="AD543" s="21">
        <f>O543-Y543</f>
        <v/>
      </c>
      <c r="AE543" s="21">
        <f>P543-X543</f>
        <v/>
      </c>
      <c r="AF543" s="21">
        <f>IF(Q543="","",Q543-Z543)</f>
        <v/>
      </c>
      <c r="AG543" s="22">
        <f>AC543+AD543+AE543+N(AF543)</f>
        <v/>
      </c>
      <c r="AH543" s="11" t="n">
        <v>1682860.59</v>
      </c>
      <c r="AI543" s="24">
        <f>AG543-AH543</f>
        <v/>
      </c>
      <c r="AJ543" s="14">
        <f>IF(OR(B543="",B543=0,N543=""),"",N543/B543*10000)</f>
        <v/>
      </c>
      <c r="AK543" s="14">
        <f>IF(OR(C543="",C543=0),"",O543/C543*10000)</f>
        <v/>
      </c>
      <c r="AL543" s="14">
        <f>IF(OR(D543="",D543=0),"",P543/D543*10000)</f>
        <v/>
      </c>
      <c r="AM543" s="14">
        <f>IF(OR(E543="",E543=0),"",Q543/E543*10000)</f>
        <v/>
      </c>
      <c r="AN543" s="11" t="n">
        <v>23782.49680094402</v>
      </c>
      <c r="AO543" s="11" t="n">
        <v>0</v>
      </c>
      <c r="AP543" s="21">
        <f>AH543+AN543+AO543</f>
        <v/>
      </c>
      <c r="AQ543" s="21">
        <f>AH543</f>
        <v/>
      </c>
      <c r="AR543" s="15" t="n">
        <v>29571.64</v>
      </c>
      <c r="AS543" s="27" t="n">
        <v>56.907922</v>
      </c>
      <c r="AT543" s="15" t="n">
        <v>44501328.52255512</v>
      </c>
      <c r="AU543" s="15" t="n">
        <v>26239.6498</v>
      </c>
      <c r="AV543" s="15" t="n">
        <v>2153.2781</v>
      </c>
      <c r="AW543" s="15" t="n"/>
      <c r="AX543" s="16" t="n">
        <v>431.412092308907</v>
      </c>
      <c r="AY543" s="13">
        <f>IF(OR(AX543="",AX543=0,AU543=""),"",AU543*365/(AX543*1000000))</f>
        <v/>
      </c>
      <c r="AZ543" s="15" t="n">
        <v>414638114.1018</v>
      </c>
      <c r="BA543" s="17" t="n">
        <v>60487233</v>
      </c>
      <c r="BB543" s="18" t="n">
        <v>44501328.52255512</v>
      </c>
      <c r="BC543" s="17" t="n">
        <v>2971663</v>
      </c>
      <c r="BD543" s="17">
        <f>1000000000-999213227.5638+258128.2060</f>
        <v/>
      </c>
      <c r="BE543" s="19">
        <f>1000000000-AZ543-BA543-BB543-BC543-BD543</f>
        <v/>
      </c>
      <c r="BF543" s="20" t="n">
        <v>234.063059</v>
      </c>
      <c r="BG543" s="20">
        <f>BE543/1000000-BF543</f>
        <v/>
      </c>
      <c r="BH543" s="21">
        <f>BE543*54.49</f>
        <v/>
      </c>
    </row>
    <row r="544">
      <c r="A544" s="10" t="n">
        <v>46166</v>
      </c>
      <c r="B544" s="11" t="n">
        <v>3964607265</v>
      </c>
      <c r="C544" s="11" t="n">
        <v>931997820.86</v>
      </c>
      <c r="D544" s="11" t="n">
        <v>268838463</v>
      </c>
      <c r="E544" s="11" t="n">
        <v>1791898.767470001</v>
      </c>
      <c r="F544" s="24" t="n">
        <v>600760372.8203357</v>
      </c>
      <c r="G544" s="24" t="n">
        <v>19325089.60593221</v>
      </c>
      <c r="H544" s="24" t="n">
        <v>1205039.038748635</v>
      </c>
      <c r="I544" s="24" t="n">
        <v>177635693.2363461</v>
      </c>
      <c r="J544" s="24" t="n">
        <v>474872.7382356593</v>
      </c>
      <c r="K544" s="24" t="n">
        <v>132596753.4204018</v>
      </c>
      <c r="L544" s="21">
        <f>SUM(F544:K544)</f>
        <v/>
      </c>
      <c r="M544" s="28" t="n">
        <v>1.009900294351837</v>
      </c>
      <c r="N544" s="11" t="n">
        <v>1364201.76</v>
      </c>
      <c r="O544" s="11" t="n">
        <v>132257.48</v>
      </c>
      <c r="P544" s="11" t="n">
        <v>130033.63</v>
      </c>
      <c r="Q544" s="11" t="n">
        <v>11.67359062</v>
      </c>
      <c r="R544" s="21">
        <f>N544+O544+P544+N(Q544)</f>
        <v/>
      </c>
      <c r="S544" s="13" t="n">
        <v>0.01</v>
      </c>
      <c r="T544" s="21">
        <f>N(AC544)*S544</f>
        <v/>
      </c>
      <c r="U544" s="21">
        <f>N(AD544)*S544</f>
        <v/>
      </c>
      <c r="V544" s="21">
        <f>N(AE544)*S544</f>
        <v/>
      </c>
      <c r="W544" s="21">
        <f>IF(Q544="","",N(AF544)*S544)</f>
        <v/>
      </c>
      <c r="X544" s="11" t="n">
        <v>9180.549999999999</v>
      </c>
      <c r="Y544" s="11" t="n">
        <v>62874.39</v>
      </c>
      <c r="Z544" s="11" t="n">
        <v>0</v>
      </c>
      <c r="AA544" s="21">
        <f>T544+U544+V544+N(W544)+X544+Y544+N(Z544)</f>
        <v/>
      </c>
      <c r="AB544" s="11" t="n">
        <v>76897.76949999999</v>
      </c>
      <c r="AC544" s="11" t="n">
        <v>1364201.76</v>
      </c>
      <c r="AD544" s="21">
        <f>O544-Y544</f>
        <v/>
      </c>
      <c r="AE544" s="21">
        <f>P544-X544</f>
        <v/>
      </c>
      <c r="AF544" s="21">
        <f>IF(Q544="","",Q544-Z544)</f>
        <v/>
      </c>
      <c r="AG544" s="22">
        <f>AC544+AD544+AE544+N(AF544)</f>
        <v/>
      </c>
      <c r="AH544" s="11" t="n">
        <v>1343824.84</v>
      </c>
      <c r="AI544" s="24">
        <f>AG544-AH544</f>
        <v/>
      </c>
      <c r="AJ544" s="14">
        <f>IF(OR(B544="",B544=0,N544=""),"",N544/B544*10000)</f>
        <v/>
      </c>
      <c r="AK544" s="14">
        <f>IF(OR(C544="",C544=0),"",O544/C544*10000)</f>
        <v/>
      </c>
      <c r="AL544" s="14">
        <f>IF(OR(D544="",D544=0),"",P544/D544*10000)</f>
        <v/>
      </c>
      <c r="AM544" s="14">
        <f>IF(OR(E544="",E544=0),"",Q544/E544*10000)</f>
        <v/>
      </c>
      <c r="AN544" s="11" t="n">
        <v>37832.30402377794</v>
      </c>
      <c r="AO544" s="11" t="n">
        <v>0</v>
      </c>
      <c r="AP544" s="21">
        <f>AH544+AN544+AO544</f>
        <v/>
      </c>
      <c r="AQ544" s="21">
        <f>AH544</f>
        <v/>
      </c>
      <c r="AR544" s="15" t="n">
        <v>21560.99</v>
      </c>
      <c r="AS544" s="27" t="n">
        <v>62.326676</v>
      </c>
      <c r="AT544" s="15" t="n">
        <v>44523373.18473923</v>
      </c>
      <c r="AU544" s="15" t="n">
        <v>26223.3183</v>
      </c>
      <c r="AV544" s="15" t="n">
        <v>867.6538</v>
      </c>
      <c r="AW544" s="15" t="n"/>
      <c r="AX544" s="16" t="n">
        <v>431.5447267282069</v>
      </c>
      <c r="AY544" s="13">
        <f>IF(OR(AX544="",AX544=0,AU544=""),"",AU544*365/(AX544*1000000))</f>
        <v/>
      </c>
      <c r="AZ544" s="15" t="n">
        <v>414611890.7835</v>
      </c>
      <c r="BA544" s="17" t="n">
        <v>60487233</v>
      </c>
      <c r="BB544" s="18" t="n">
        <v>44523373.18473923</v>
      </c>
      <c r="BC544" s="17" t="n">
        <v>2971663</v>
      </c>
      <c r="BD544" s="17">
        <f>1000000000-999212359.91+258768.2058</f>
        <v/>
      </c>
      <c r="BE544" s="19">
        <f>1000000000-AZ544-BA544-BB544-BC544-BD544</f>
        <v/>
      </c>
      <c r="BF544" s="20" t="n">
        <v>234.063059</v>
      </c>
      <c r="BG544" s="20">
        <f>BE544/1000000-BF544</f>
        <v/>
      </c>
      <c r="BH544" s="21">
        <f>BE544*59.11</f>
        <v/>
      </c>
    </row>
    <row r="545">
      <c r="A545" s="10" t="n">
        <v>46167</v>
      </c>
      <c r="B545" s="11" t="n">
        <v>3211068173</v>
      </c>
      <c r="C545" s="11" t="n">
        <v>1289271209.06</v>
      </c>
      <c r="D545" s="11" t="n">
        <v>180363177</v>
      </c>
      <c r="E545" s="11" t="n">
        <v>2176688.1951</v>
      </c>
      <c r="F545" s="24" t="n">
        <v>758614011.1864485</v>
      </c>
      <c r="G545" s="24" t="n">
        <v>8799265.181406472</v>
      </c>
      <c r="H545" s="24" t="n">
        <v>2194315.516880799</v>
      </c>
      <c r="I545" s="24" t="n">
        <v>386395544.2216921</v>
      </c>
      <c r="J545" s="24" t="n">
        <v>182808.2027322789</v>
      </c>
      <c r="K545" s="24" t="n">
        <v>133085264.7508397</v>
      </c>
      <c r="L545" s="21">
        <f>SUM(F545:K545)</f>
        <v/>
      </c>
      <c r="M545" s="28" t="n">
        <v>1.002176348301487</v>
      </c>
      <c r="N545" s="11" t="n">
        <v>1133281.93</v>
      </c>
      <c r="O545" s="11" t="n">
        <v>146475.34</v>
      </c>
      <c r="P545" s="11" t="n">
        <v>80514.39999999999</v>
      </c>
      <c r="Q545" s="11" t="n">
        <v>59.45284002000001</v>
      </c>
      <c r="R545" s="21">
        <f>N545+O545+P545+N(Q545)</f>
        <v/>
      </c>
      <c r="S545" s="13" t="n">
        <v>0.01</v>
      </c>
      <c r="T545" s="21">
        <f>N(AC545)*S545</f>
        <v/>
      </c>
      <c r="U545" s="21">
        <f>N(AD545)*S545</f>
        <v/>
      </c>
      <c r="V545" s="21">
        <f>N(AE545)*S545</f>
        <v/>
      </c>
      <c r="W545" s="21">
        <f>IF(Q545="","",N(AF545)*S545)</f>
        <v/>
      </c>
      <c r="X545" s="11" t="n">
        <v>10255.72</v>
      </c>
      <c r="Y545" s="11" t="n">
        <v>71916.66</v>
      </c>
      <c r="Z545" s="11" t="n">
        <v>0</v>
      </c>
      <c r="AA545" s="21">
        <f>T545+U545+V545+N(W545)+X545+Y545+N(Z545)</f>
        <v/>
      </c>
      <c r="AB545" s="11" t="n">
        <v>75446.7833</v>
      </c>
      <c r="AC545" s="11" t="n">
        <v>1133281.93</v>
      </c>
      <c r="AD545" s="21">
        <f>O545-Y545</f>
        <v/>
      </c>
      <c r="AE545" s="21">
        <f>P545-X545</f>
        <v/>
      </c>
      <c r="AF545" s="21">
        <f>IF(Q545="","",Q545-Z545)</f>
        <v/>
      </c>
      <c r="AG545" s="22">
        <f>AC545+AD545+AE545+N(AF545)</f>
        <v/>
      </c>
      <c r="AH545" s="11" t="n">
        <v>1076230.56</v>
      </c>
      <c r="AI545" s="24">
        <f>AG545-AH545</f>
        <v/>
      </c>
      <c r="AJ545" s="14">
        <f>IF(OR(B545="",B545=0,N545=""),"",N545/B545*10000)</f>
        <v/>
      </c>
      <c r="AK545" s="14">
        <f>IF(OR(C545="",C545=0),"",O545/C545*10000)</f>
        <v/>
      </c>
      <c r="AL545" s="14">
        <f>IF(OR(D545="",D545=0),"",P545/D545*10000)</f>
        <v/>
      </c>
      <c r="AM545" s="14">
        <f>IF(OR(E545="",E545=0),"",Q545/E545*10000)</f>
        <v/>
      </c>
      <c r="AN545" s="11" t="n">
        <v>14958.46297294351</v>
      </c>
      <c r="AO545" s="11" t="n">
        <v>0</v>
      </c>
      <c r="AP545" s="21">
        <f>AH545+AN545+AO545</f>
        <v/>
      </c>
      <c r="AQ545" s="21">
        <f>AH545</f>
        <v/>
      </c>
      <c r="AR545" s="15" t="n">
        <v>17286.98</v>
      </c>
      <c r="AS545" s="27" t="n">
        <v>62.256714</v>
      </c>
      <c r="AT545" s="15" t="n">
        <v>44540757.65473923</v>
      </c>
      <c r="AU545" s="15" t="n">
        <v>26233.453</v>
      </c>
      <c r="AV545" s="15" t="n">
        <v>1213.153</v>
      </c>
      <c r="AW545" s="15" t="n"/>
      <c r="AX545" s="16" t="n">
        <v>431.1504108030683</v>
      </c>
      <c r="AY545" s="13">
        <f>IF(OR(AX545="",AX545=0,AU545=""),"",AU545*365/(AX545*1000000))</f>
        <v/>
      </c>
      <c r="AZ545" s="15" t="n">
        <v>414585657.3305</v>
      </c>
      <c r="BA545" s="17" t="n">
        <v>60487233</v>
      </c>
      <c r="BB545" s="18" t="n">
        <v>44540757.65473923</v>
      </c>
      <c r="BC545" s="17" t="n">
        <v>2971663</v>
      </c>
      <c r="BD545" s="17">
        <f>1000000000-999211146.757+259009.5297</f>
        <v/>
      </c>
      <c r="BE545" s="19">
        <f>1000000000-AZ545-BA545-BB545-BC545-BD545</f>
        <v/>
      </c>
      <c r="BF545" s="20" t="n">
        <v>234.063059</v>
      </c>
      <c r="BG545" s="20">
        <f>BE545/1000000-BF545</f>
        <v/>
      </c>
      <c r="BH545" s="21">
        <f>BE545*62.04</f>
        <v/>
      </c>
    </row>
    <row r="546">
      <c r="A546" s="10" t="n">
        <v>46168</v>
      </c>
      <c r="B546" s="11" t="n">
        <v>5989568405</v>
      </c>
      <c r="C546" s="11" t="n">
        <v>2130706015.34</v>
      </c>
      <c r="D546" s="11" t="n">
        <v>244937554</v>
      </c>
      <c r="E546" s="11" t="n">
        <v>2291049.129739999</v>
      </c>
      <c r="F546" s="24" t="n">
        <v>738075257.7114282</v>
      </c>
      <c r="G546" s="24" t="n">
        <v>12948759.68354385</v>
      </c>
      <c r="H546" s="24" t="n">
        <v>4797544.058914957</v>
      </c>
      <c r="I546" s="24" t="n">
        <v>547925927.110851</v>
      </c>
      <c r="J546" s="24" t="n">
        <v>1134848.621435202</v>
      </c>
      <c r="K546" s="24" t="n">
        <v>825823678.1538266</v>
      </c>
      <c r="L546" s="21">
        <f>SUM(F546:K546)</f>
        <v/>
      </c>
      <c r="M546" s="28" t="n">
        <v>1.002038880602105</v>
      </c>
      <c r="N546" s="11" t="n">
        <v>2070518.07</v>
      </c>
      <c r="O546" s="11" t="n">
        <v>207607.89</v>
      </c>
      <c r="P546" s="11" t="n">
        <v>113474.54</v>
      </c>
      <c r="Q546" s="11" t="n">
        <v>23.12162845</v>
      </c>
      <c r="R546" s="21">
        <f>N546+O546+P546+N(Q546)</f>
        <v/>
      </c>
      <c r="S546" s="13" t="n">
        <v>0.01</v>
      </c>
      <c r="T546" s="21">
        <f>N(AC546)*S546</f>
        <v/>
      </c>
      <c r="U546" s="21">
        <f>N(AD546)*S546</f>
        <v/>
      </c>
      <c r="V546" s="21">
        <f>N(AE546)*S546</f>
        <v/>
      </c>
      <c r="W546" s="21">
        <f>IF(Q546="","",N(AF546)*S546)</f>
        <v/>
      </c>
      <c r="X546" s="11" t="n">
        <v>9670.35</v>
      </c>
      <c r="Y546" s="11" t="n">
        <v>102015.26</v>
      </c>
      <c r="Z546" s="11" t="n">
        <v>0</v>
      </c>
      <c r="AA546" s="21">
        <f>T546+U546+V546+N(W546)+X546+Y546+N(Z546)</f>
        <v/>
      </c>
      <c r="AB546" s="11" t="n">
        <v>122254.1963</v>
      </c>
      <c r="AC546" s="11" t="n">
        <v>2070518.07</v>
      </c>
      <c r="AD546" s="21">
        <f>O546-Y546</f>
        <v/>
      </c>
      <c r="AE546" s="21">
        <f>P546-X546</f>
        <v/>
      </c>
      <c r="AF546" s="21">
        <f>IF(Q546="","",Q546-Z546)</f>
        <v/>
      </c>
      <c r="AG546" s="22">
        <f>AC546+AD546+AE546+N(AF546)</f>
        <v/>
      </c>
      <c r="AH546" s="11" t="n">
        <v>1931355.1</v>
      </c>
      <c r="AI546" s="24">
        <f>AG546-AH546</f>
        <v/>
      </c>
      <c r="AJ546" s="14">
        <f>IF(OR(B546="",B546=0,N546=""),"",N546/B546*10000)</f>
        <v/>
      </c>
      <c r="AK546" s="14">
        <f>IF(OR(C546="",C546=0),"",O546/C546*10000)</f>
        <v/>
      </c>
      <c r="AL546" s="14">
        <f>IF(OR(D546="",D546=0),"",P546/D546*10000)</f>
        <v/>
      </c>
      <c r="AM546" s="14">
        <f>IF(OR(E546="",E546=0),"",Q546/E546*10000)</f>
        <v/>
      </c>
      <c r="AN546" s="11" t="n">
        <v>45778.7799040796</v>
      </c>
      <c r="AO546" s="11" t="n">
        <v>0</v>
      </c>
      <c r="AP546" s="21">
        <f>AH546+AN546+AO546</f>
        <v/>
      </c>
      <c r="AQ546" s="21">
        <f>AH546</f>
        <v/>
      </c>
      <c r="AR546" s="15" t="n">
        <v>31505.41</v>
      </c>
      <c r="AS546" s="27" t="n">
        <v>61.302332</v>
      </c>
      <c r="AT546" s="15" t="n">
        <v>44571681.90473923</v>
      </c>
      <c r="AU546" s="15" t="n">
        <v>26233.4631</v>
      </c>
      <c r="AV546" s="15" t="n">
        <v>1309.9773</v>
      </c>
      <c r="AW546" s="15" t="n"/>
      <c r="AX546" s="16" t="n">
        <v>431.406183921743</v>
      </c>
      <c r="AY546" s="13">
        <f>IF(OR(AX546="",AX546=0,AU546=""),"",AU546*365/(AX546*1000000))</f>
        <v/>
      </c>
      <c r="AZ546" s="15" t="n">
        <v>414559423.8674</v>
      </c>
      <c r="BA546" s="17" t="n">
        <v>60487233</v>
      </c>
      <c r="BB546" s="18" t="n">
        <v>44571681.90473923</v>
      </c>
      <c r="BC546" s="17" t="n">
        <v>2971663</v>
      </c>
      <c r="BD546" s="17">
        <f>1000000000-999209836.7797+259764.8928</f>
        <v/>
      </c>
      <c r="BE546" s="19">
        <f>1000000000-AZ546-BA546-BB546-BC546-BD546</f>
        <v/>
      </c>
      <c r="BF546" s="20" t="n">
        <v>234.063059</v>
      </c>
      <c r="BG546" s="20">
        <f>BE546/1000000-BF546</f>
        <v/>
      </c>
      <c r="BH546" s="21">
        <f>BE546*60.6</f>
        <v/>
      </c>
    </row>
    <row r="547">
      <c r="A547" s="10" t="n">
        <v>46169</v>
      </c>
      <c r="B547" s="11" t="n">
        <v>4835595358</v>
      </c>
      <c r="C547" s="11" t="n">
        <v>2875625920.63</v>
      </c>
      <c r="D547" s="11" t="n">
        <v>217977224</v>
      </c>
      <c r="E547" s="11" t="n">
        <v>2248032.66424</v>
      </c>
      <c r="F547" s="24" t="n">
        <v>1054485969.187162</v>
      </c>
      <c r="G547" s="24" t="n">
        <v>13556369.75458599</v>
      </c>
      <c r="H547" s="24" t="n">
        <v>4702013.683148378</v>
      </c>
      <c r="I547" s="24" t="n">
        <v>659947469.7783289</v>
      </c>
      <c r="J547" s="24" t="n">
        <v>1213006.109467982</v>
      </c>
      <c r="K547" s="24" t="n">
        <v>1141721092.117307</v>
      </c>
      <c r="L547" s="21">
        <f>SUM(F547:K547)</f>
        <v/>
      </c>
      <c r="M547" s="28" t="n">
        <v>1.006236173241806</v>
      </c>
      <c r="N547" s="11" t="n">
        <v>1486521.53</v>
      </c>
      <c r="O547" s="11" t="n">
        <v>248346.23</v>
      </c>
      <c r="P547" s="11" t="n">
        <v>94666.55</v>
      </c>
      <c r="Q547" s="11" t="n">
        <v>28.29474758</v>
      </c>
      <c r="R547" s="21">
        <f>N547+O547+P547+N(Q547)</f>
        <v/>
      </c>
      <c r="S547" s="13" t="n">
        <v>0.01</v>
      </c>
      <c r="T547" s="21">
        <f>N(AC547)*S547</f>
        <v/>
      </c>
      <c r="U547" s="21">
        <f>N(AD547)*S547</f>
        <v/>
      </c>
      <c r="V547" s="21">
        <f>N(AE547)*S547</f>
        <v/>
      </c>
      <c r="W547" s="21">
        <f>IF(Q547="","",N(AF547)*S547)</f>
        <v/>
      </c>
      <c r="X547" s="11" t="n">
        <v>12175.5</v>
      </c>
      <c r="Y547" s="11" t="n">
        <v>122370.48</v>
      </c>
      <c r="Z547" s="11" t="n">
        <v>0</v>
      </c>
      <c r="AA547" s="21">
        <f>T547+U547+V547+N(W547)+X547+Y547+N(Z547)</f>
        <v/>
      </c>
      <c r="AB547" s="11" t="n">
        <v>117591.3672</v>
      </c>
      <c r="AC547" s="11" t="n">
        <v>1486521.53</v>
      </c>
      <c r="AD547" s="21">
        <f>O547-Y547</f>
        <v/>
      </c>
      <c r="AE547" s="21">
        <f>P547-X547</f>
        <v/>
      </c>
      <c r="AF547" s="21">
        <f>IF(Q547="","",Q547-Z547)</f>
        <v/>
      </c>
      <c r="AG547" s="22">
        <f>AC547+AD547+AE547+N(AF547)</f>
        <v/>
      </c>
      <c r="AH547" s="11" t="n">
        <v>1576858.19</v>
      </c>
      <c r="AI547" s="24">
        <f>AG547-AH547</f>
        <v/>
      </c>
      <c r="AJ547" s="14">
        <f>IF(OR(B547="",B547=0,N547=""),"",N547/B547*10000)</f>
        <v/>
      </c>
      <c r="AK547" s="14">
        <f>IF(OR(C547="",C547=0),"",O547/C547*10000)</f>
        <v/>
      </c>
      <c r="AL547" s="14">
        <f>IF(OR(D547="",D547=0),"",P547/D547*10000)</f>
        <v/>
      </c>
      <c r="AM547" s="14">
        <f>IF(OR(E547="",E547=0),"",Q547/E547*10000)</f>
        <v/>
      </c>
      <c r="AN547" s="11" t="n">
        <v>22197.93836246794</v>
      </c>
      <c r="AO547" s="11" t="n">
        <v>89003.64</v>
      </c>
      <c r="AP547" s="21">
        <f>AH547+AN547+AO547</f>
        <v/>
      </c>
      <c r="AQ547" s="21">
        <f>AH547</f>
        <v/>
      </c>
      <c r="AR547" s="15" t="n">
        <v>26078.61</v>
      </c>
      <c r="AS547" s="27" t="n">
        <v>60.465577</v>
      </c>
      <c r="AT547" s="15" t="n">
        <v>44598263.35473923</v>
      </c>
      <c r="AU547" s="15" t="n">
        <v>26226.4409</v>
      </c>
      <c r="AV547" s="15" t="n">
        <v>1606.8676</v>
      </c>
      <c r="AW547" s="15" t="n"/>
      <c r="AX547" s="16" t="n">
        <v>430.4862595842305</v>
      </c>
      <c r="AY547" s="13">
        <f>IF(OR(AX547="",AX547=0,AU547=""),"",AU547*365/(AX547*1000000))</f>
        <v/>
      </c>
      <c r="AZ547" s="15" t="n">
        <v>414533197.4265</v>
      </c>
      <c r="BA547" s="17" t="n">
        <v>60487233</v>
      </c>
      <c r="BB547" s="18" t="n">
        <v>44598263.35473923</v>
      </c>
      <c r="BC547" s="17" t="n">
        <v>2971663</v>
      </c>
      <c r="BD547" s="17">
        <f>1000000000-999208229.912+260133.6844</f>
        <v/>
      </c>
      <c r="BE547" s="19">
        <f>1000000000-AZ547-BA547-BB547-BC547-BD547</f>
        <v/>
      </c>
      <c r="BF547" s="20" t="n">
        <v>234.063059</v>
      </c>
      <c r="BG547" s="20">
        <f>BE547/1000000-BF547</f>
        <v/>
      </c>
      <c r="BH547" s="21">
        <f>BE547*60.22</f>
        <v/>
      </c>
    </row>
    <row r="548">
      <c r="A548" s="10" t="n">
        <v>46170</v>
      </c>
      <c r="B548" s="11" t="n">
        <v>6081031158</v>
      </c>
      <c r="C548" s="11" t="n">
        <v>2484678221.74</v>
      </c>
      <c r="D548" s="11" t="n">
        <v>206858804</v>
      </c>
      <c r="E548" s="11" t="n">
        <v>2164806.46544</v>
      </c>
      <c r="F548" s="24" t="n">
        <v>1001094861.301065</v>
      </c>
      <c r="G548" s="24" t="n">
        <v>13965834.5660693</v>
      </c>
      <c r="H548" s="24" t="n">
        <v>5310764.031564252</v>
      </c>
      <c r="I548" s="24" t="n">
        <v>580633509.5338013</v>
      </c>
      <c r="J548" s="24" t="n">
        <v>9637779.732957004</v>
      </c>
      <c r="K548" s="24" t="n">
        <v>874035472.5745432</v>
      </c>
      <c r="L548" s="21">
        <f>SUM(F548:K548)</f>
        <v/>
      </c>
      <c r="M548" s="28" t="n">
        <v>1.002244444507639</v>
      </c>
      <c r="N548" s="11" t="n">
        <v>2031757.76</v>
      </c>
      <c r="O548" s="11" t="n">
        <v>286635.84</v>
      </c>
      <c r="P548" s="11" t="n">
        <v>97823.97</v>
      </c>
      <c r="Q548" s="11" t="n">
        <v>5.546524580000002</v>
      </c>
      <c r="R548" s="21">
        <f>N548+O548+P548+N(Q548)</f>
        <v/>
      </c>
      <c r="S548" s="13" t="n">
        <v>0.01</v>
      </c>
      <c r="T548" s="21">
        <f>N(AC548)*S548</f>
        <v/>
      </c>
      <c r="U548" s="21">
        <f>N(AD548)*S548</f>
        <v/>
      </c>
      <c r="V548" s="21">
        <f>N(AE548)*S548</f>
        <v/>
      </c>
      <c r="W548" s="21">
        <f>IF(Q548="","",N(AF548)*S548)</f>
        <v/>
      </c>
      <c r="X548" s="11" t="n">
        <v>10919.14</v>
      </c>
      <c r="Y548" s="11" t="n">
        <v>141272.04</v>
      </c>
      <c r="Z548" s="11" t="n">
        <v>0</v>
      </c>
      <c r="AA548" s="21">
        <f>T548+U548+V548+N(W548)+X548+Y548+N(Z548)</f>
        <v/>
      </c>
      <c r="AB548" s="11" t="n">
        <v>129445.3027</v>
      </c>
      <c r="AC548" s="11" t="n">
        <v>2031757.76</v>
      </c>
      <c r="AD548" s="21">
        <f>O548-Y548</f>
        <v/>
      </c>
      <c r="AE548" s="21">
        <f>P548-X548</f>
        <v/>
      </c>
      <c r="AF548" s="21">
        <f>IF(Q548="","",Q548-Z548)</f>
        <v/>
      </c>
      <c r="AG548" s="22">
        <f>AC548+AD548+AE548+N(AF548)</f>
        <v/>
      </c>
      <c r="AH548" s="11" t="n">
        <v>1940756.76</v>
      </c>
      <c r="AI548" s="24">
        <f>AG548-AH548</f>
        <v/>
      </c>
      <c r="AJ548" s="14">
        <f>IF(OR(B548="",B548=0,N548=""),"",N548/B548*10000)</f>
        <v/>
      </c>
      <c r="AK548" s="14">
        <f>IF(OR(C548="",C548=0),"",O548/C548*10000)</f>
        <v/>
      </c>
      <c r="AL548" s="14">
        <f>IF(OR(D548="",D548=0),"",P548/D548*10000)</f>
        <v/>
      </c>
      <c r="AM548" s="14">
        <f>IF(OR(E548="",E548=0),"",Q548/E548*10000)</f>
        <v/>
      </c>
      <c r="AN548" s="11" t="n">
        <v>23233.03603108036</v>
      </c>
      <c r="AO548" s="11" t="n">
        <v>0</v>
      </c>
      <c r="AP548" s="21">
        <f>AH548+AN548+AO548</f>
        <v/>
      </c>
      <c r="AQ548" s="21">
        <f>AH548</f>
        <v/>
      </c>
      <c r="AR548" s="15" t="n">
        <v>33367.53</v>
      </c>
      <c r="AS548" s="27" t="n">
        <v>58.163033</v>
      </c>
      <c r="AT548" s="15" t="n">
        <v>44631473.61473923</v>
      </c>
      <c r="AU548" s="15" t="n">
        <v>26218.4878</v>
      </c>
      <c r="AV548" s="15" t="n">
        <v>2975.1785</v>
      </c>
      <c r="AW548" s="15" t="n"/>
      <c r="AX548" s="16" t="n">
        <v>431.6081068002084</v>
      </c>
      <c r="AY548" s="13">
        <f>IF(OR(AX548="",AX548=0,AU548=""),"",AU548*365/(AX548*1000000))</f>
        <v/>
      </c>
      <c r="AZ548" s="15" t="n">
        <v>414506978.9387</v>
      </c>
      <c r="BA548" s="17" t="n">
        <v>60487233</v>
      </c>
      <c r="BB548" s="18" t="n">
        <v>44631473.61473923</v>
      </c>
      <c r="BC548" s="17" t="n">
        <v>2971663</v>
      </c>
      <c r="BD548" s="17">
        <f>1000000000-999205254.7335+260534.0193</f>
        <v/>
      </c>
      <c r="BE548" s="19">
        <f>1000000000-AZ548-BA548-BB548-BC548-BD548</f>
        <v/>
      </c>
      <c r="BF548" s="20" t="n">
        <v>234.063059</v>
      </c>
      <c r="BG548" s="20">
        <f>BE548/1000000-BF548</f>
        <v/>
      </c>
      <c r="BH548" s="21">
        <f>BE548*58.05</f>
        <v/>
      </c>
    </row>
    <row r="549">
      <c r="A549" s="10" t="n">
        <v>46171</v>
      </c>
      <c r="B549" s="11" t="n">
        <v>5709574256</v>
      </c>
      <c r="C549" s="11" t="n">
        <v>2231290275.41</v>
      </c>
      <c r="D549" s="11" t="n">
        <v>307390361</v>
      </c>
      <c r="E549" s="11" t="n">
        <v>2701955.085279999</v>
      </c>
      <c r="F549" s="24" t="n">
        <v>947739245.8371005</v>
      </c>
      <c r="G549" s="24" t="n">
        <v>5625543.56583244</v>
      </c>
      <c r="H549" s="24" t="n">
        <v>2893699.616700202</v>
      </c>
      <c r="I549" s="24" t="n">
        <v>467843556.6256143</v>
      </c>
      <c r="J549" s="24" t="n">
        <v>7124659.909316143</v>
      </c>
      <c r="K549" s="24" t="n">
        <v>800063569.8554364</v>
      </c>
      <c r="L549" s="21">
        <f>SUM(F549:K549)</f>
        <v/>
      </c>
      <c r="M549" s="28" t="n">
        <v>1.001497640125971</v>
      </c>
      <c r="N549" s="11" t="n">
        <v>1912383.71</v>
      </c>
      <c r="O549" s="11" t="n">
        <v>226585.29</v>
      </c>
      <c r="P549" s="11" t="n">
        <v>155480.85</v>
      </c>
      <c r="Q549" s="11" t="n">
        <v>12.28058268</v>
      </c>
      <c r="R549" s="21">
        <f>N549+O549+P549+N(Q549)</f>
        <v/>
      </c>
      <c r="S549" s="13" t="n">
        <v>0.01</v>
      </c>
      <c r="T549" s="21">
        <f>N(AC549)*S549</f>
        <v/>
      </c>
      <c r="U549" s="21">
        <f>N(AD549)*S549</f>
        <v/>
      </c>
      <c r="V549" s="21">
        <f>N(AE549)*S549</f>
        <v/>
      </c>
      <c r="W549" s="21">
        <f>IF(Q549="","",N(AF549)*S549)</f>
        <v/>
      </c>
      <c r="X549" s="11" t="n">
        <v>12030.09</v>
      </c>
      <c r="Y549" s="11" t="n">
        <v>112410.19</v>
      </c>
      <c r="Z549" s="11" t="n">
        <v>0</v>
      </c>
      <c r="AA549" s="21">
        <f>T549+U549+V549+N(W549)+X549+Y549+N(Z549)</f>
        <v/>
      </c>
      <c r="AB549" s="11" t="n">
        <v>102860.2188</v>
      </c>
      <c r="AC549" s="11" t="n">
        <v>1912383.71</v>
      </c>
      <c r="AD549" s="21">
        <f>O549-Y549</f>
        <v/>
      </c>
      <c r="AE549" s="21">
        <f>P549-X549</f>
        <v/>
      </c>
      <c r="AF549" s="21">
        <f>IF(Q549="","",Q549-Z549)</f>
        <v/>
      </c>
      <c r="AG549" s="22">
        <f>AC549+AD549+AE549+N(AF549)</f>
        <v/>
      </c>
      <c r="AH549" s="11" t="n">
        <v>1821481.39</v>
      </c>
      <c r="AI549" s="24">
        <f>AG549-AH549</f>
        <v/>
      </c>
      <c r="AJ549" s="14">
        <f>IF(OR(B549="",B549=0,N549=""),"",N549/B549*10000)</f>
        <v/>
      </c>
      <c r="AK549" s="14">
        <f>IF(OR(C549="",C549=0),"",O549/C549*10000)</f>
        <v/>
      </c>
      <c r="AL549" s="14">
        <f>IF(OR(D549="",D549=0),"",P549/D549*10000)</f>
        <v/>
      </c>
      <c r="AM549" s="14">
        <f>IF(OR(E549="",E549=0),"",Q549/E549*10000)</f>
        <v/>
      </c>
      <c r="AN549" s="11" t="n">
        <v>39285.06005125959</v>
      </c>
      <c r="AO549" s="11" t="n">
        <v>0</v>
      </c>
      <c r="AP549" s="21">
        <f>AH549+AN549+AO549</f>
        <v/>
      </c>
      <c r="AQ549" s="21">
        <f>AH549</f>
        <v/>
      </c>
      <c r="AR549" s="15" t="n">
        <v>28338.47</v>
      </c>
      <c r="AS549" s="27" t="n">
        <v>64.275926</v>
      </c>
      <c r="AT549" s="15" t="n">
        <v>44659622.07473923</v>
      </c>
      <c r="AU549" s="15" t="n">
        <v>26247.9266</v>
      </c>
      <c r="AV549" s="15" t="n">
        <v>1144.2663</v>
      </c>
      <c r="AW549" s="15" t="n"/>
      <c r="AX549" s="16" t="n">
        <v>431.6378008541552</v>
      </c>
      <c r="AY549" s="13">
        <f>IF(OR(AX549="",AX549=0,AU549=""),"",AU549*365/(AX549*1000000))</f>
        <v/>
      </c>
      <c r="AZ549" s="15" t="n">
        <v>414480731.012</v>
      </c>
      <c r="BA549" s="17" t="n">
        <v>60487233</v>
      </c>
      <c r="BB549" s="18" t="n">
        <v>44659622.07473923</v>
      </c>
      <c r="BC549" s="17" t="n">
        <v>2971663</v>
      </c>
      <c r="BD549" s="17">
        <f>1000000000-999204110.4673+261163.1541</f>
        <v/>
      </c>
      <c r="BE549" s="19">
        <f>1000000000-AZ549-BA549-BB549-BC549-BD549</f>
        <v/>
      </c>
      <c r="BF549" s="20" t="n">
        <v>234.063059</v>
      </c>
      <c r="BG549" s="20">
        <f>BE549/1000000-BF549</f>
        <v/>
      </c>
      <c r="BH549" s="21">
        <f>BE549*62.4</f>
        <v/>
      </c>
    </row>
    <row r="550">
      <c r="A550" s="10" t="n">
        <v>46172</v>
      </c>
      <c r="B550" s="11" t="n">
        <v>2954074057</v>
      </c>
      <c r="C550" s="11" t="n">
        <v>326014451.08</v>
      </c>
      <c r="D550" s="11" t="n">
        <v>185149823</v>
      </c>
      <c r="E550" s="11" t="n">
        <v>3157976.03036</v>
      </c>
      <c r="F550" s="24" t="n">
        <v>102536791.6496181</v>
      </c>
      <c r="G550" s="24" t="n">
        <v>3065535.623208228</v>
      </c>
      <c r="H550" s="24" t="n">
        <v>404071.1445290872</v>
      </c>
      <c r="I550" s="24" t="n">
        <v>89975868.89985934</v>
      </c>
      <c r="J550" s="24" t="n">
        <v>1152279.307346153</v>
      </c>
      <c r="K550" s="24" t="n">
        <v>128879904.4554391</v>
      </c>
      <c r="L550" s="21">
        <f>SUM(F550:K550)</f>
        <v/>
      </c>
      <c r="M550" s="28" t="n">
        <v>1.001244113958567</v>
      </c>
      <c r="N550" s="11" t="n">
        <v>1012428.33</v>
      </c>
      <c r="O550" s="11" t="n">
        <v>49902.9</v>
      </c>
      <c r="P550" s="11" t="n">
        <v>96195.45</v>
      </c>
      <c r="Q550" s="11" t="n">
        <v>24.64728677</v>
      </c>
      <c r="R550" s="21">
        <f>N550+O550+P550+N(Q550)</f>
        <v/>
      </c>
      <c r="S550" s="13" t="n">
        <v>0.01</v>
      </c>
      <c r="T550" s="21">
        <f>N(AC550)*S550</f>
        <v/>
      </c>
      <c r="U550" s="21">
        <f>N(AD550)*S550</f>
        <v/>
      </c>
      <c r="V550" s="21">
        <f>N(AE550)*S550</f>
        <v/>
      </c>
      <c r="W550" s="21">
        <f>IF(Q550="","",N(AF550)*S550)</f>
        <v/>
      </c>
      <c r="X550" s="11" t="n">
        <v>8118.87</v>
      </c>
      <c r="Y550" s="11" t="n">
        <v>24440.56</v>
      </c>
      <c r="Z550" s="11" t="n">
        <v>0</v>
      </c>
      <c r="AA550" s="21">
        <f>T550+U550+V550+N(W550)+X550+Y550+N(Z550)</f>
        <v/>
      </c>
      <c r="AB550" s="11" t="n">
        <v>49322.7396</v>
      </c>
      <c r="AC550" s="11" t="n">
        <v>1012428.33</v>
      </c>
      <c r="AD550" s="21">
        <f>O550-Y550</f>
        <v/>
      </c>
      <c r="AE550" s="21">
        <f>P550-X550</f>
        <v/>
      </c>
      <c r="AF550" s="21">
        <f>IF(Q550="","",Q550-Z550)</f>
        <v/>
      </c>
      <c r="AG550" s="22">
        <f>AC550+AD550+AE550+N(AF550)</f>
        <v/>
      </c>
      <c r="AH550" s="11" t="n">
        <v>931924.4399999999</v>
      </c>
      <c r="AI550" s="24">
        <f>AG550-AH550</f>
        <v/>
      </c>
      <c r="AJ550" s="14">
        <f>IF(OR(B550="",B550=0,N550=""),"",N550/B550*10000)</f>
        <v/>
      </c>
      <c r="AK550" s="14">
        <f>IF(OR(C550="",C550=0),"",O550/C550*10000)</f>
        <v/>
      </c>
      <c r="AL550" s="14">
        <f>IF(OR(D550="",D550=0),"",P550/D550*10000)</f>
        <v/>
      </c>
      <c r="AM550" s="14">
        <f>IF(OR(E550="",E550=0),"",Q550/E550*10000)</f>
        <v/>
      </c>
      <c r="AN550" s="11" t="n">
        <v>14919.65041600781</v>
      </c>
      <c r="AO550" s="11" t="n">
        <v>0</v>
      </c>
      <c r="AP550" s="21">
        <f>AH550+AN550+AO550</f>
        <v/>
      </c>
      <c r="AQ550" s="21">
        <f>AH550</f>
        <v/>
      </c>
      <c r="AR550" s="15" t="n">
        <v>13975.83</v>
      </c>
      <c r="AS550" s="27" t="n">
        <v>66.681151</v>
      </c>
      <c r="AT550" s="15" t="n">
        <v>44673442.34473923</v>
      </c>
      <c r="AU550" s="15" t="n">
        <v>26247.6573</v>
      </c>
      <c r="AV550" s="15" t="n">
        <v>2078.8074</v>
      </c>
      <c r="AW550" s="15" t="n"/>
      <c r="AX550" s="16" t="n">
        <v>430.9244244090558</v>
      </c>
      <c r="AY550" s="13">
        <f>IF(OR(AX550="",AX550=0,AU550=""),"",AU550*365/(AX550*1000000))</f>
        <v/>
      </c>
      <c r="AZ550" s="15" t="n">
        <v>414454483.3548</v>
      </c>
      <c r="BA550" s="17" t="n">
        <v>60487233</v>
      </c>
      <c r="BB550" s="18" t="n">
        <v>44673442.34473923</v>
      </c>
      <c r="BC550" s="17" t="n">
        <v>2971663</v>
      </c>
      <c r="BD550" s="17">
        <f>1000000000-999202031.6599+261394.0405</f>
        <v/>
      </c>
      <c r="BE550" s="19">
        <f>1000000000-AZ550-BA550-BB550-BC550-BD550</f>
        <v/>
      </c>
      <c r="BF550" s="20" t="n">
        <v>234.063059</v>
      </c>
      <c r="BG550" s="20">
        <f>BE550/1000000-BF550</f>
        <v/>
      </c>
      <c r="BH550" s="21">
        <f>BE550*64.7</f>
        <v/>
      </c>
    </row>
    <row r="551">
      <c r="A551" s="10" t="n">
        <v>46173</v>
      </c>
      <c r="B551" s="11" t="n">
        <v>3654574382</v>
      </c>
      <c r="C551" s="11" t="n">
        <v>564708895.01</v>
      </c>
      <c r="D551" s="11" t="n">
        <v>305508082</v>
      </c>
      <c r="E551" s="11" t="n">
        <v>1183013.789010001</v>
      </c>
      <c r="F551" s="24" t="n">
        <v>182378118.7490686</v>
      </c>
      <c r="G551" s="24" t="n">
        <v>5086840.812875448</v>
      </c>
      <c r="H551" s="24" t="n">
        <v>1585524.905817094</v>
      </c>
      <c r="I551" s="24" t="n">
        <v>180025321.0341692</v>
      </c>
      <c r="J551" s="24" t="n">
        <v>1294308.087483451</v>
      </c>
      <c r="K551" s="24" t="n">
        <v>194338781.4205863</v>
      </c>
      <c r="L551" s="21">
        <f>SUM(F551:K551)</f>
        <v/>
      </c>
      <c r="M551" s="28" t="n">
        <v>1.014761838899981</v>
      </c>
      <c r="N551" s="11" t="n">
        <v>1274430.75</v>
      </c>
      <c r="O551" s="11" t="n">
        <v>70121.64999999999</v>
      </c>
      <c r="P551" s="11" t="n">
        <v>144471.86</v>
      </c>
      <c r="Q551" s="11" t="n">
        <v>4.34156772</v>
      </c>
      <c r="R551" s="21">
        <f>N551+O551+P551+N(Q551)</f>
        <v/>
      </c>
      <c r="S551" s="13" t="n">
        <v>0.01</v>
      </c>
      <c r="T551" s="21">
        <f>N(AC551)*S551</f>
        <v/>
      </c>
      <c r="U551" s="21">
        <f>N(AD551)*S551</f>
        <v/>
      </c>
      <c r="V551" s="21">
        <f>N(AE551)*S551</f>
        <v/>
      </c>
      <c r="W551" s="21">
        <f>IF(Q551="","",N(AF551)*S551)</f>
        <v/>
      </c>
      <c r="X551" s="11" t="n">
        <v>8814.870000000001</v>
      </c>
      <c r="Y551" s="11" t="n">
        <v>34284.03</v>
      </c>
      <c r="Z551" s="11" t="n">
        <v>0</v>
      </c>
      <c r="AA551" s="21">
        <f>T551+U551+V551+N(W551)+X551+Y551+N(Z551)</f>
        <v/>
      </c>
      <c r="AB551" s="11" t="n">
        <v>57491.632</v>
      </c>
      <c r="AC551" s="11" t="n">
        <v>1274430.75</v>
      </c>
      <c r="AD551" s="21">
        <f>O551-Y551</f>
        <v/>
      </c>
      <c r="AE551" s="21">
        <f>P551-X551</f>
        <v/>
      </c>
      <c r="AF551" s="21">
        <f>IF(Q551="","",Q551-Z551)</f>
        <v/>
      </c>
      <c r="AG551" s="22">
        <f>AC551+AD551+AE551+N(AF551)</f>
        <v/>
      </c>
      <c r="AH551" s="11" t="n">
        <v>1192802.41</v>
      </c>
      <c r="AI551" s="24">
        <f>AG551-AH551</f>
        <v/>
      </c>
      <c r="AJ551" s="14">
        <f>IF(OR(B551="",B551=0,N551=""),"",N551/B551*10000)</f>
        <v/>
      </c>
      <c r="AK551" s="14">
        <f>IF(OR(C551="",C551=0),"",O551/C551*10000)</f>
        <v/>
      </c>
      <c r="AL551" s="14">
        <f>IF(OR(D551="",D551=0),"",P551/D551*10000)</f>
        <v/>
      </c>
      <c r="AM551" s="14">
        <f>IF(OR(E551="",E551=0),"",Q551/E551*10000)</f>
        <v/>
      </c>
      <c r="AN551" s="11" t="n">
        <v>20325.05746513702</v>
      </c>
      <c r="AO551" s="11" t="n">
        <v>0</v>
      </c>
      <c r="AP551" s="21">
        <f>AH551+AN551+AO551</f>
        <v/>
      </c>
      <c r="AQ551" s="21">
        <f>AH551</f>
        <v/>
      </c>
      <c r="AR551" s="15" t="n">
        <v>17143.48</v>
      </c>
      <c r="AS551" s="27" t="n">
        <v>69.577612</v>
      </c>
      <c r="AT551" s="15" t="n">
        <v>44690872.86473923</v>
      </c>
      <c r="AU551" s="15" t="n">
        <v>26470.6537</v>
      </c>
      <c r="AV551" s="15" t="n">
        <v>834.9552</v>
      </c>
      <c r="AW551" s="15" t="n"/>
      <c r="AX551" s="16" t="n">
        <v>431.1007442976487</v>
      </c>
      <c r="AY551" s="13">
        <f>IF(OR(AX551="",AX551=0,AU551=""),"",AU551*365/(AX551*1000000))</f>
        <v/>
      </c>
      <c r="AZ551" s="15" t="n">
        <v>414428012.7011</v>
      </c>
      <c r="BA551" s="17" t="n">
        <v>60487233</v>
      </c>
      <c r="BB551" s="18" t="n">
        <v>44690872.86473923</v>
      </c>
      <c r="BC551" s="17" t="n">
        <v>2971663</v>
      </c>
      <c r="BD551" s="17">
        <f>1000000000-999201196.7047+261689.7336</f>
        <v/>
      </c>
      <c r="BE551" s="19">
        <f>1000000000-AZ551-BA551-BB551-BC551-BD551</f>
        <v/>
      </c>
      <c r="BF551" s="20" t="n">
        <v>234.063059</v>
      </c>
      <c r="BG551" s="20">
        <f>BE551/1000000-BF551</f>
        <v/>
      </c>
      <c r="BH551" s="21">
        <f>BE551*68.75</f>
        <v/>
      </c>
    </row>
    <row r="552">
      <c r="A552" s="10" t="n">
        <v>46174</v>
      </c>
      <c r="B552" s="11" t="n">
        <v>7622731071</v>
      </c>
      <c r="C552" s="11" t="n">
        <v>2835900637.6</v>
      </c>
      <c r="D552" s="11" t="n">
        <v>398891474</v>
      </c>
      <c r="E552" s="11" t="n">
        <v>1977865.60771</v>
      </c>
      <c r="F552" s="24" t="n">
        <v>1086800803.889056</v>
      </c>
      <c r="G552" s="24" t="n">
        <v>8175994.060702258</v>
      </c>
      <c r="H552" s="24" t="n">
        <v>4117188.544377449</v>
      </c>
      <c r="I552" s="24" t="n">
        <v>633856368.1308762</v>
      </c>
      <c r="J552" s="24" t="n">
        <v>3895250.612723266</v>
      </c>
      <c r="K552" s="24" t="n">
        <v>1099055032.362265</v>
      </c>
      <c r="L552" s="21">
        <f>SUM(F552:K552)</f>
        <v/>
      </c>
      <c r="M552" s="28" t="n">
        <v>1.003029232118764</v>
      </c>
      <c r="N552" s="11" t="n">
        <v>2676097.71</v>
      </c>
      <c r="O552" s="11" t="n">
        <v>294122.26</v>
      </c>
      <c r="P552" s="11" t="n">
        <v>203368.39</v>
      </c>
      <c r="Q552" s="11" t="n">
        <v>11.01245204</v>
      </c>
      <c r="R552" s="21">
        <f>N552+O552+P552+N(Q552)</f>
        <v/>
      </c>
      <c r="S552" s="13" t="n">
        <v>0.01</v>
      </c>
      <c r="T552" s="21">
        <f>N(AC552)*S552</f>
        <v/>
      </c>
      <c r="U552" s="21">
        <f>N(AD552)*S552</f>
        <v/>
      </c>
      <c r="V552" s="21">
        <f>N(AE552)*S552</f>
        <v/>
      </c>
      <c r="W552" s="21">
        <f>IF(Q552="","",N(AF552)*S552)</f>
        <v/>
      </c>
      <c r="X552" s="11" t="n">
        <v>13190.64</v>
      </c>
      <c r="Y552" s="11" t="n">
        <v>145926.15</v>
      </c>
      <c r="Z552" s="11" t="n">
        <v>0</v>
      </c>
      <c r="AA552" s="21">
        <f>T552+U552+V552+N(W552)+X552+Y552+N(Z552)</f>
        <v/>
      </c>
      <c r="AB552" s="11" t="n">
        <v>138772.7677</v>
      </c>
      <c r="AC552" s="11" t="n">
        <v>2676097.71</v>
      </c>
      <c r="AD552" s="21">
        <f>O552-Y552</f>
        <v/>
      </c>
      <c r="AE552" s="21">
        <f>P552-X552</f>
        <v/>
      </c>
      <c r="AF552" s="21">
        <f>IF(Q552="","",Q552-Z552)</f>
        <v/>
      </c>
      <c r="AG552" s="22">
        <f>AC552+AD552+AE552+N(AF552)</f>
        <v/>
      </c>
      <c r="AH552" s="11" t="n">
        <v>2512562.06</v>
      </c>
      <c r="AI552" s="24">
        <f>AG552-AH552</f>
        <v/>
      </c>
      <c r="AJ552" s="14">
        <f>IF(OR(B552="",B552=0,N552=""),"",N552/B552*10000)</f>
        <v/>
      </c>
      <c r="AK552" s="14">
        <f>IF(OR(C552="",C552=0),"",O552/C552*10000)</f>
        <v/>
      </c>
      <c r="AL552" s="14">
        <f>IF(OR(D552="",D552=0),"",P552/D552*10000)</f>
        <v/>
      </c>
      <c r="AM552" s="14">
        <f>IF(OR(E552="",E552=0),"",Q552/E552*10000)</f>
        <v/>
      </c>
      <c r="AN552" s="11" t="n">
        <v>33471.19045748723</v>
      </c>
      <c r="AO552" s="11" t="n">
        <v>0</v>
      </c>
      <c r="AP552" s="21">
        <f>AH552+AN552+AO552</f>
        <v/>
      </c>
      <c r="AQ552" s="21">
        <f>AH552</f>
        <v/>
      </c>
      <c r="AR552" s="15" t="n">
        <v>34647.2</v>
      </c>
      <c r="AS552" s="27" t="n">
        <v>72.518474</v>
      </c>
      <c r="AT552" s="15" t="n">
        <v>44725505.09473923</v>
      </c>
      <c r="AU552" s="15" t="n">
        <v>26638.9932</v>
      </c>
      <c r="AV552" s="15" t="n">
        <v>1036.4945</v>
      </c>
      <c r="AW552" s="15" t="n"/>
      <c r="AX552" s="16" t="n">
        <v>430.3984687802723</v>
      </c>
      <c r="AY552" s="13">
        <f>IF(OR(AX552="",AX552=0,AU552=""),"",AU552*365/(AX552*1000000))</f>
        <v/>
      </c>
      <c r="AZ552" s="15" t="n">
        <v>414401373.7079</v>
      </c>
      <c r="BA552" s="17" t="n">
        <v>60487233</v>
      </c>
      <c r="BB552" s="18" t="n">
        <v>44725505.09473923</v>
      </c>
      <c r="BC552" s="17" t="n">
        <v>2971663</v>
      </c>
      <c r="BD552" s="17">
        <f>1000000000-999200160.2102+262148.8720</f>
        <v/>
      </c>
      <c r="BE552" s="19">
        <f>1000000000-AZ552-BA552-BB552-BC552-BD552</f>
        <v/>
      </c>
      <c r="BF552" s="20" t="n">
        <v>234.063059</v>
      </c>
      <c r="BG552" s="20">
        <f>BE552/1000000-BF552</f>
        <v/>
      </c>
      <c r="BH552" s="21">
        <f>BE552*72.81</f>
        <v/>
      </c>
    </row>
    <row r="553">
      <c r="A553" s="10" t="n">
        <v>46175</v>
      </c>
      <c r="B553" s="11" t="n">
        <v>11525362419</v>
      </c>
      <c r="C553" s="11" t="n">
        <v>2593227417.26</v>
      </c>
      <c r="D553" s="11" t="n">
        <v>426012653</v>
      </c>
      <c r="E553" s="11" t="n">
        <v>1846010.81632</v>
      </c>
      <c r="F553" s="24" t="n">
        <v>721577642.79712</v>
      </c>
      <c r="G553" s="24" t="n">
        <v>13628279.74091058</v>
      </c>
      <c r="H553" s="24" t="n">
        <v>7244321.894789807</v>
      </c>
      <c r="I553" s="24" t="n">
        <v>633025201.2285377</v>
      </c>
      <c r="J553" s="24" t="n">
        <v>2898761.148307967</v>
      </c>
      <c r="K553" s="24" t="n">
        <v>1214853210.450334</v>
      </c>
      <c r="L553" s="21">
        <f>SUM(F553:K553)</f>
        <v/>
      </c>
      <c r="M553" s="28" t="n">
        <v>1.001989645445182</v>
      </c>
      <c r="N553" s="11" t="n">
        <v>3869380.86</v>
      </c>
      <c r="O553" s="11" t="n">
        <v>277181.45</v>
      </c>
      <c r="P553" s="11" t="n">
        <v>219977.34</v>
      </c>
      <c r="Q553" s="11" t="n">
        <v>23.80561372</v>
      </c>
      <c r="R553" s="21">
        <f>N553+O553+P553+N(Q553)</f>
        <v/>
      </c>
      <c r="S553" s="13" t="n">
        <v>0.01</v>
      </c>
      <c r="T553" s="21">
        <f>N(AC553)*S553</f>
        <v/>
      </c>
      <c r="U553" s="21">
        <f>N(AD553)*S553</f>
        <v/>
      </c>
      <c r="V553" s="21">
        <f>N(AE553)*S553</f>
        <v/>
      </c>
      <c r="W553" s="21">
        <f>IF(Q553="","",N(AF553)*S553)</f>
        <v/>
      </c>
      <c r="X553" s="11" t="n">
        <v>26915.4</v>
      </c>
      <c r="Y553" s="11" t="n">
        <v>136600.14</v>
      </c>
      <c r="Z553" s="11" t="n">
        <v>0</v>
      </c>
      <c r="AA553" s="21">
        <f>T553+U553+V553+N(W553)+X553+Y553+N(Z553)</f>
        <v/>
      </c>
      <c r="AB553" s="11" t="n">
        <v>207527.978</v>
      </c>
      <c r="AC553" s="11" t="n">
        <v>3869380.86</v>
      </c>
      <c r="AD553" s="21">
        <f>O553-Y553</f>
        <v/>
      </c>
      <c r="AE553" s="21">
        <f>P553-X553</f>
        <v/>
      </c>
      <c r="AF553" s="21">
        <f>IF(Q553="","",Q553-Z553)</f>
        <v/>
      </c>
      <c r="AG553" s="22">
        <f>AC553+AD553+AE553+N(AF553)</f>
        <v/>
      </c>
      <c r="AH553" s="11" t="n">
        <v>3522838.43</v>
      </c>
      <c r="AI553" s="24">
        <f>AG553-AH553</f>
        <v/>
      </c>
      <c r="AJ553" s="14">
        <f>IF(OR(B553="",B553=0,N553=""),"",N553/B553*10000)</f>
        <v/>
      </c>
      <c r="AK553" s="14">
        <f>IF(OR(C553="",C553=0),"",O553/C553*10000)</f>
        <v/>
      </c>
      <c r="AL553" s="14">
        <f>IF(OR(D553="",D553=0),"",P553/D553*10000)</f>
        <v/>
      </c>
      <c r="AM553" s="14">
        <f>IF(OR(E553="",E553=0),"",Q553/E553*10000)</f>
        <v/>
      </c>
      <c r="AN553" s="11" t="n">
        <v>39700.82586949416</v>
      </c>
      <c r="AO553" s="11" t="n">
        <v>0</v>
      </c>
      <c r="AP553" s="21">
        <f>AH553+AN553+AO553</f>
        <v/>
      </c>
      <c r="AQ553" s="21">
        <f>AH553</f>
        <v/>
      </c>
      <c r="AR553" s="15" t="n">
        <v>49220.21</v>
      </c>
      <c r="AS553" s="27" t="n">
        <v>71.573007</v>
      </c>
      <c r="AT553" s="15" t="n">
        <v>44774453.23473923</v>
      </c>
      <c r="AU553" s="15" t="n">
        <v>26613.7818</v>
      </c>
      <c r="AV553" s="15" t="n">
        <v>2142.5263</v>
      </c>
      <c r="AW553" s="15" t="n"/>
      <c r="AX553" s="16" t="n">
        <v>429.8013833218643</v>
      </c>
      <c r="AY553" s="13">
        <f>IF(OR(AX553="",AX553=0,AU553=""),"",AU553*365/(AX553*1000000))</f>
        <v/>
      </c>
      <c r="AZ553" s="15" t="n">
        <v>414374759.9261</v>
      </c>
      <c r="BA553" s="17" t="n">
        <v>60487233</v>
      </c>
      <c r="BB553" s="18" t="n">
        <v>44774453.23473923</v>
      </c>
      <c r="BC553" s="17" t="n">
        <v>2971663</v>
      </c>
      <c r="BD553" s="17">
        <f>1000000000-999198017.6839+262682.9878</f>
        <v/>
      </c>
      <c r="BE553" s="19">
        <f>1000000000-AZ553-BA553-BB553-BC553-BD553</f>
        <v/>
      </c>
      <c r="BF553" s="20" t="n">
        <v>234.063059</v>
      </c>
      <c r="BG553" s="20">
        <f>BE553/1000000-BF553</f>
        <v/>
      </c>
      <c r="BH553" s="21">
        <f>BE553*74.29</f>
        <v/>
      </c>
    </row>
    <row r="554">
      <c r="A554" s="10" t="n">
        <v>46176</v>
      </c>
      <c r="B554" s="11" t="n">
        <v>9757775087</v>
      </c>
      <c r="C554" s="11" t="n">
        <v>2857088921.8</v>
      </c>
      <c r="D554" s="11" t="n">
        <v>508700077</v>
      </c>
      <c r="E554" s="11" t="n">
        <v>2153819.299199998</v>
      </c>
      <c r="F554" s="24" t="n">
        <v>753781364.4558088</v>
      </c>
      <c r="G554" s="24" t="n">
        <v>13887846.25461837</v>
      </c>
      <c r="H554" s="24" t="n">
        <v>3890543.107983166</v>
      </c>
      <c r="I554" s="24" t="n">
        <v>675497696.8254172</v>
      </c>
      <c r="J554" s="24" t="n">
        <v>3124046.514478729</v>
      </c>
      <c r="K554" s="24" t="n">
        <v>1406907424.641694</v>
      </c>
      <c r="L554" s="21">
        <f>SUM(F554:K554)</f>
        <v/>
      </c>
      <c r="M554" s="28" t="n">
        <v>1.004946346430037</v>
      </c>
      <c r="N554" s="11" t="n">
        <v>3198987.7</v>
      </c>
      <c r="O554" s="11" t="n">
        <v>297806.28</v>
      </c>
      <c r="P554" s="11" t="n">
        <v>208280.02</v>
      </c>
      <c r="Q554" s="11" t="n">
        <v>51.43126424999999</v>
      </c>
      <c r="R554" s="21">
        <f>N554+O554+P554+N(Q554)</f>
        <v/>
      </c>
      <c r="S554" s="13" t="n">
        <v>0.01</v>
      </c>
      <c r="T554" s="21">
        <f>N(AC554)*S554</f>
        <v/>
      </c>
      <c r="U554" s="21">
        <f>N(AD554)*S554</f>
        <v/>
      </c>
      <c r="V554" s="21">
        <f>N(AE554)*S554</f>
        <v/>
      </c>
      <c r="W554" s="21">
        <f>IF(Q554="","",N(AF554)*S554)</f>
        <v/>
      </c>
      <c r="X554" s="11" t="n">
        <v>26120.52</v>
      </c>
      <c r="Y554" s="11" t="n">
        <v>147127.81</v>
      </c>
      <c r="Z554" s="11" t="n">
        <v>0</v>
      </c>
      <c r="AA554" s="21">
        <f>T554+U554+V554+N(W554)+X554+Y554+N(Z554)</f>
        <v/>
      </c>
      <c r="AB554" s="11" t="n">
        <v>166370.6972</v>
      </c>
      <c r="AC554" s="11" t="n">
        <v>3198987.7</v>
      </c>
      <c r="AD554" s="21">
        <f>O554-Y554</f>
        <v/>
      </c>
      <c r="AE554" s="21">
        <f>P554-X554</f>
        <v/>
      </c>
      <c r="AF554" s="21">
        <f>IF(Q554="","",Q554-Z554)</f>
        <v/>
      </c>
      <c r="AG554" s="22">
        <f>AC554+AD554+AE554+N(AF554)</f>
        <v/>
      </c>
      <c r="AH554" s="11" t="n">
        <v>3079290.68</v>
      </c>
      <c r="AI554" s="24">
        <f>AG554-AH554</f>
        <v/>
      </c>
      <c r="AJ554" s="14">
        <f>IF(OR(B554="",B554=0,N554=""),"",N554/B554*10000)</f>
        <v/>
      </c>
      <c r="AK554" s="14">
        <f>IF(OR(C554="",C554=0),"",O554/C554*10000)</f>
        <v/>
      </c>
      <c r="AL554" s="14">
        <f>IF(OR(D554="",D554=0),"",P554/D554*10000)</f>
        <v/>
      </c>
      <c r="AM554" s="14">
        <f>IF(OR(E554="",E554=0),"",Q554/E554*10000)</f>
        <v/>
      </c>
      <c r="AN554" s="11" t="n">
        <v>33902.03777676846</v>
      </c>
      <c r="AO554" s="11" t="n">
        <v>0</v>
      </c>
      <c r="AP554" s="21">
        <f>AH554+AN554+AO554</f>
        <v/>
      </c>
      <c r="AQ554" s="21">
        <f>AH554</f>
        <v/>
      </c>
      <c r="AR554" s="15" t="n">
        <v>42474.53</v>
      </c>
      <c r="AS554" s="27" t="n">
        <v>72.49734599999999</v>
      </c>
      <c r="AT554" s="15" t="n">
        <v>44818417.39473923</v>
      </c>
      <c r="AU554" s="15" t="n">
        <v>26612.7415</v>
      </c>
      <c r="AV554" s="15" t="n">
        <v>1590.4883</v>
      </c>
      <c r="AW554" s="15" t="n"/>
      <c r="AX554" s="16" t="n">
        <v>430.5641378666483</v>
      </c>
      <c r="AY554" s="13">
        <f>IF(OR(AX554="",AX554=0,AU554=""),"",AU554*365/(AX554*1000000))</f>
        <v/>
      </c>
      <c r="AZ554" s="15" t="n">
        <v>414348147.1846</v>
      </c>
      <c r="BA554" s="17" t="n">
        <v>60487233</v>
      </c>
      <c r="BB554" s="18" t="n">
        <v>44818417.39473923</v>
      </c>
      <c r="BC554" s="17" t="n">
        <v>2971663</v>
      </c>
      <c r="BD554" s="17">
        <f>1000000000-999196427.1956+263164.4893</f>
        <v/>
      </c>
      <c r="BE554" s="19">
        <f>1000000000-AZ554-BA554-BB554-BC554-BD554</f>
        <v/>
      </c>
      <c r="BF554" s="20" t="n">
        <v>234.063059</v>
      </c>
      <c r="BG554" s="20">
        <f>BE554/1000000-BF554</f>
        <v/>
      </c>
      <c r="BH554" s="21">
        <f>BE554*70.38</f>
        <v/>
      </c>
    </row>
    <row r="555">
      <c r="A555" s="10" t="n">
        <v>46177</v>
      </c>
      <c r="B555" s="11" t="n">
        <v>12854393305</v>
      </c>
      <c r="C555" s="11" t="n">
        <v>3119395511.56</v>
      </c>
      <c r="D555" s="11" t="n">
        <v>602949586</v>
      </c>
      <c r="E555" s="11" t="n">
        <v>3199160.523150001</v>
      </c>
      <c r="F555" s="24" t="n">
        <v>632036870.0834624</v>
      </c>
      <c r="G555" s="24" t="n">
        <v>20519713.41247926</v>
      </c>
      <c r="H555" s="24" t="n">
        <v>3766294.630448803</v>
      </c>
      <c r="I555" s="24" t="n">
        <v>1192402832.764656</v>
      </c>
      <c r="J555" s="24" t="n">
        <v>56220525.8274508</v>
      </c>
      <c r="K555" s="24" t="n">
        <v>1214449274.841503</v>
      </c>
      <c r="L555" s="21">
        <f>SUM(F555:K555)</f>
        <v/>
      </c>
      <c r="M555" s="28" t="n">
        <v>1.000977801984318</v>
      </c>
      <c r="N555" s="11" t="n">
        <v>4301081.69</v>
      </c>
      <c r="O555" s="11" t="n">
        <v>331048.27</v>
      </c>
      <c r="P555" s="11" t="n">
        <v>295946.53</v>
      </c>
      <c r="Q555" s="11" t="n">
        <v>69.90881172000002</v>
      </c>
      <c r="R555" s="21">
        <f>N555+O555+P555+N(Q555)</f>
        <v/>
      </c>
      <c r="S555" s="13" t="n">
        <v>0.01</v>
      </c>
      <c r="T555" s="21">
        <f>N(AC555)*S555</f>
        <v/>
      </c>
      <c r="U555" s="21">
        <f>N(AD555)*S555</f>
        <v/>
      </c>
      <c r="V555" s="21">
        <f>N(AE555)*S555</f>
        <v/>
      </c>
      <c r="W555" s="21">
        <f>IF(Q555="","",N(AF555)*S555)</f>
        <v/>
      </c>
      <c r="X555" s="11" t="n">
        <v>41172.25</v>
      </c>
      <c r="Y555" s="11" t="n">
        <v>162740.44</v>
      </c>
      <c r="Z555" s="11" t="n">
        <v>0</v>
      </c>
      <c r="AA555" s="21">
        <f>T555+U555+V555+N(W555)+X555+Y555+N(Z555)</f>
        <v/>
      </c>
      <c r="AB555" s="11" t="n">
        <v>248299.0548</v>
      </c>
      <c r="AC555" s="11" t="n">
        <v>4301081.69</v>
      </c>
      <c r="AD555" s="21">
        <f>O555-Y555</f>
        <v/>
      </c>
      <c r="AE555" s="21">
        <f>P555-X555</f>
        <v/>
      </c>
      <c r="AF555" s="21">
        <f>IF(Q555="","",Q555-Z555)</f>
        <v/>
      </c>
      <c r="AG555" s="22">
        <f>AC555+AD555+AE555+N(AF555)</f>
        <v/>
      </c>
      <c r="AH555" s="11" t="n">
        <v>3978710.18</v>
      </c>
      <c r="AI555" s="24">
        <f>AG555-AH555</f>
        <v/>
      </c>
      <c r="AJ555" s="14">
        <f>IF(OR(B555="",B555=0,N555=""),"",N555/B555*10000)</f>
        <v/>
      </c>
      <c r="AK555" s="14">
        <f>IF(OR(C555="",C555=0),"",O555/C555*10000)</f>
        <v/>
      </c>
      <c r="AL555" s="14">
        <f>IF(OR(D555="",D555=0),"",P555/D555*10000)</f>
        <v/>
      </c>
      <c r="AM555" s="14">
        <f>IF(OR(E555="",E555=0),"",Q555/E555*10000)</f>
        <v/>
      </c>
      <c r="AN555" s="11" t="n">
        <v>78930.88434282845</v>
      </c>
      <c r="AO555" s="11" t="n">
        <v>0</v>
      </c>
      <c r="AP555" s="21">
        <f>AH555+AN555+AO555</f>
        <v/>
      </c>
      <c r="AQ555" s="21">
        <f>AH555</f>
        <v/>
      </c>
      <c r="AR555" s="15" t="n">
        <v>57808.65</v>
      </c>
      <c r="AS555" s="27" t="n">
        <v>68.82551599999999</v>
      </c>
      <c r="AT555" s="15" t="n">
        <v>44875399.84473923</v>
      </c>
      <c r="AU555" s="15" t="n">
        <v>26648.9459</v>
      </c>
      <c r="AV555" s="15" t="n">
        <v>2230.199</v>
      </c>
      <c r="AW555" s="15" t="n"/>
      <c r="AX555" s="16" t="n">
        <v>431.8188962880072</v>
      </c>
      <c r="AY555" s="13">
        <f>IF(OR(AX555="",AX555=0,AU555=""),"",AU555*365/(AX555*1000000))</f>
        <v/>
      </c>
      <c r="AZ555" s="15" t="n">
        <v>414321498.2387</v>
      </c>
      <c r="BA555" s="17" t="n">
        <v>60487233</v>
      </c>
      <c r="BB555" s="18" t="n">
        <v>44875399.84473923</v>
      </c>
      <c r="BC555" s="17" t="n">
        <v>2971663</v>
      </c>
      <c r="BD555" s="17">
        <f>1000000000-999194196.9966+264221.9770</f>
        <v/>
      </c>
      <c r="BE555" s="19">
        <f>1000000000-AZ555-BA555-BB555-BC555-BD555</f>
        <v/>
      </c>
      <c r="BF555" s="20" t="n">
        <v>234.063059</v>
      </c>
      <c r="BG555" s="20">
        <f>BE555/1000000-BF555</f>
        <v/>
      </c>
      <c r="BH555" s="21">
        <f>BE555*74.58</f>
        <v/>
      </c>
    </row>
    <row r="556">
      <c r="A556" s="10" t="n">
        <v>46178</v>
      </c>
      <c r="B556" s="11" t="n">
        <v>15878796718</v>
      </c>
      <c r="C556" s="11" t="n">
        <v>4286805777.08</v>
      </c>
      <c r="D556" s="11" t="n">
        <v>567946775</v>
      </c>
      <c r="E556" s="11" t="n">
        <v>3703083.41515</v>
      </c>
      <c r="F556" s="24" t="n">
        <v>825208635.8620244</v>
      </c>
      <c r="G556" s="24" t="n">
        <v>29347227.5650916</v>
      </c>
      <c r="H556" s="24" t="n">
        <v>7735432.823103785</v>
      </c>
      <c r="I556" s="24" t="n">
        <v>1984097993.712586</v>
      </c>
      <c r="J556" s="24" t="n">
        <v>26197201.58981451</v>
      </c>
      <c r="K556" s="24" t="n">
        <v>1414219285.52738</v>
      </c>
      <c r="L556" s="21">
        <f>SUM(F556:K556)</f>
        <v/>
      </c>
      <c r="M556" s="28" t="n">
        <v>1.001628730682452</v>
      </c>
      <c r="N556" s="11" t="n">
        <v>5157444.97</v>
      </c>
      <c r="O556" s="11" t="n">
        <v>459623.24</v>
      </c>
      <c r="P556" s="11" t="n">
        <v>288671.06</v>
      </c>
      <c r="Q556" s="11" t="n">
        <v>32.42920731</v>
      </c>
      <c r="R556" s="21">
        <f>N556+O556+P556+N(Q556)</f>
        <v/>
      </c>
      <c r="S556" s="13" t="n">
        <v>0.01</v>
      </c>
      <c r="T556" s="21">
        <f>N(AC556)*S556</f>
        <v/>
      </c>
      <c r="U556" s="21">
        <f>N(AD556)*S556</f>
        <v/>
      </c>
      <c r="V556" s="21">
        <f>N(AE556)*S556</f>
        <v/>
      </c>
      <c r="W556" s="21">
        <f>IF(Q556="","",N(AF556)*S556)</f>
        <v/>
      </c>
      <c r="X556" s="11" t="n">
        <v>51527.67</v>
      </c>
      <c r="Y556" s="11" t="n">
        <v>226676.82</v>
      </c>
      <c r="Z556" s="11" t="n">
        <v>0</v>
      </c>
      <c r="AA556" s="21">
        <f>T556+U556+V556+N(W556)+X556+Y556+N(Z556)</f>
        <v/>
      </c>
      <c r="AB556" s="11" t="n">
        <v>338129.8297</v>
      </c>
      <c r="AC556" s="11" t="n">
        <v>5157444.97</v>
      </c>
      <c r="AD556" s="21">
        <f>O556-Y556</f>
        <v/>
      </c>
      <c r="AE556" s="21">
        <f>P556-X556</f>
        <v/>
      </c>
      <c r="AF556" s="21">
        <f>IF(Q556="","",Q556-Z556)</f>
        <v/>
      </c>
      <c r="AG556" s="22">
        <f>AC556+AD556+AE556+N(AF556)</f>
        <v/>
      </c>
      <c r="AH556" s="11" t="n">
        <v>4627268.27</v>
      </c>
      <c r="AI556" s="24">
        <f>AG556-AH556</f>
        <v/>
      </c>
      <c r="AJ556" s="14">
        <f>IF(OR(B556="",B556=0,N556=""),"",N556/B556*10000)</f>
        <v/>
      </c>
      <c r="AK556" s="14">
        <f>IF(OR(C556="",C556=0),"",O556/C556*10000)</f>
        <v/>
      </c>
      <c r="AL556" s="14">
        <f>IF(OR(D556="",D556=0),"",P556/D556*10000)</f>
        <v/>
      </c>
      <c r="AM556" s="14">
        <f>IF(OR(E556="",E556=0),"",Q556/E556*10000)</f>
        <v/>
      </c>
      <c r="AN556" s="11" t="n">
        <v>79612.0660460051</v>
      </c>
      <c r="AO556" s="11" t="n">
        <v>0</v>
      </c>
      <c r="AP556" s="21">
        <f>AH556+AN556+AO556</f>
        <v/>
      </c>
      <c r="AQ556" s="21">
        <f>AH556</f>
        <v/>
      </c>
      <c r="AR556" s="15" t="n">
        <v>76548.58</v>
      </c>
      <c r="AS556" s="27" t="n">
        <v>60.44878</v>
      </c>
      <c r="AT556" s="15" t="n">
        <v>44951284.99473923</v>
      </c>
      <c r="AU556" s="15" t="n">
        <v>26679.3626</v>
      </c>
      <c r="AV556" s="15" t="n">
        <v>3126.4863</v>
      </c>
      <c r="AW556" s="15" t="n"/>
      <c r="AX556" s="16" t="n">
        <v>432.2627210275518</v>
      </c>
      <c r="AY556" s="13">
        <f>IF(OR(AX556="",AX556=0,AU556=""),"",AU556*365/(AX556*1000000))</f>
        <v/>
      </c>
      <c r="AZ556" s="15" t="n">
        <v>414294818.8761</v>
      </c>
      <c r="BA556" s="17" t="n">
        <v>60487233</v>
      </c>
      <c r="BB556" s="18" t="n">
        <v>44951284.99473923</v>
      </c>
      <c r="BC556" s="17" t="n">
        <v>2971663</v>
      </c>
      <c r="BD556" s="17">
        <f>1000000000-999191070.5103+265454.1521</f>
        <v/>
      </c>
      <c r="BE556" s="19">
        <f>1000000000-AZ556-BA556-BB556-BC556-BD556</f>
        <v/>
      </c>
      <c r="BF556" s="20" t="n">
        <v>234.063059</v>
      </c>
      <c r="BG556" s="20">
        <f>BE556/1000000-BF556</f>
        <v/>
      </c>
      <c r="BH556" s="21">
        <f>BE556*64.57</f>
        <v/>
      </c>
    </row>
    <row r="557">
      <c r="A557" s="10" t="n">
        <v>46179</v>
      </c>
      <c r="B557" s="11" t="n">
        <v>5719301661</v>
      </c>
      <c r="C557" s="11" t="n">
        <v>845934328.26</v>
      </c>
      <c r="D557" s="11" t="n">
        <v>193551087</v>
      </c>
      <c r="E557" s="11" t="n">
        <v>3175869.45595</v>
      </c>
      <c r="F557" s="24" t="n">
        <v>172650228.5070405</v>
      </c>
      <c r="G557" s="24" t="n">
        <v>7756574.487163969</v>
      </c>
      <c r="H557" s="24" t="n">
        <v>8185328.118044493</v>
      </c>
      <c r="I557" s="24" t="n">
        <v>274689063.9661875</v>
      </c>
      <c r="J557" s="24" t="n">
        <v>2060645.585010874</v>
      </c>
      <c r="K557" s="24" t="n">
        <v>380592487.5965526</v>
      </c>
      <c r="L557" s="21">
        <f>SUM(F557:K557)</f>
        <v/>
      </c>
      <c r="M557" s="28" t="n">
        <v>1.002089425343906</v>
      </c>
      <c r="N557" s="11" t="n">
        <v>1753212</v>
      </c>
      <c r="O557" s="11" t="n">
        <v>103755.05</v>
      </c>
      <c r="P557" s="11" t="n">
        <v>94010.81</v>
      </c>
      <c r="Q557" s="11" t="n">
        <v>8.49082434</v>
      </c>
      <c r="R557" s="21">
        <f>N557+O557+P557+N(Q557)</f>
        <v/>
      </c>
      <c r="S557" s="13" t="n">
        <v>0.01</v>
      </c>
      <c r="T557" s="21">
        <f>N(AC557)*S557</f>
        <v/>
      </c>
      <c r="U557" s="21">
        <f>N(AD557)*S557</f>
        <v/>
      </c>
      <c r="V557" s="21">
        <f>N(AE557)*S557</f>
        <v/>
      </c>
      <c r="W557" s="21">
        <f>IF(Q557="","",N(AF557)*S557)</f>
        <v/>
      </c>
      <c r="X557" s="11" t="n">
        <v>19722.63</v>
      </c>
      <c r="Y557" s="11" t="n">
        <v>50988.98</v>
      </c>
      <c r="Z557" s="11" t="n">
        <v>0</v>
      </c>
      <c r="AA557" s="21">
        <f>T557+U557+V557+N(W557)+X557+Y557+N(Z557)</f>
        <v/>
      </c>
      <c r="AB557" s="11" t="n">
        <v>98198.7138</v>
      </c>
      <c r="AC557" s="11" t="n">
        <v>1753212</v>
      </c>
      <c r="AD557" s="21">
        <f>O557-Y557</f>
        <v/>
      </c>
      <c r="AE557" s="21">
        <f>P557-X557</f>
        <v/>
      </c>
      <c r="AF557" s="21">
        <f>IF(Q557="","",Q557-Z557)</f>
        <v/>
      </c>
      <c r="AG557" s="22">
        <f>AC557+AD557+AE557+N(AF557)</f>
        <v/>
      </c>
      <c r="AH557" s="11" t="n">
        <v>1644970.96</v>
      </c>
      <c r="AI557" s="24">
        <f>AG557-AH557</f>
        <v/>
      </c>
      <c r="AJ557" s="14">
        <f>IF(OR(B557="",B557=0,N557=""),"",N557/B557*10000)</f>
        <v/>
      </c>
      <c r="AK557" s="14">
        <f>IF(OR(C557="",C557=0),"",O557/C557*10000)</f>
        <v/>
      </c>
      <c r="AL557" s="14">
        <f>IF(OR(D557="",D557=0),"",P557/D557*10000)</f>
        <v/>
      </c>
      <c r="AM557" s="14">
        <f>IF(OR(E557="",E557=0),"",Q557/E557*10000)</f>
        <v/>
      </c>
      <c r="AN557" s="11" t="n">
        <v>16124.09262209</v>
      </c>
      <c r="AO557" s="11" t="n">
        <v>29855.8</v>
      </c>
      <c r="AP557" s="21">
        <f>AH557+AN557+AO557</f>
        <v/>
      </c>
      <c r="AQ557" s="21">
        <f>AH557</f>
        <v/>
      </c>
      <c r="AR557" s="15" t="n">
        <v>28053.06</v>
      </c>
      <c r="AS557" s="27" t="n">
        <v>58.637844</v>
      </c>
      <c r="AT557" s="15" t="n">
        <v>44979691.67473923</v>
      </c>
      <c r="AU557" s="15" t="n">
        <v>26691.3098</v>
      </c>
      <c r="AV557" s="15" t="n">
        <v>3039.415</v>
      </c>
      <c r="AW557" s="15" t="n">
        <v>331757</v>
      </c>
      <c r="AX557" s="16" t="n">
        <v>432.3611725002289</v>
      </c>
      <c r="AY557" s="13">
        <f>IF(OR(AX557="",AX557=0,AU557=""),"",AU557*365/(AX557*1000000))</f>
        <v/>
      </c>
      <c r="AZ557" s="15" t="n">
        <v>414268127.5663</v>
      </c>
      <c r="BA557" s="17" t="n">
        <v>60487233</v>
      </c>
      <c r="BB557" s="18" t="n">
        <v>44979691.67473923</v>
      </c>
      <c r="BC557" s="17" t="n">
        <v>2971663</v>
      </c>
      <c r="BD557" s="17">
        <f>1000000000-999188031.0953+265722.0877</f>
        <v/>
      </c>
      <c r="BE557" s="19">
        <f>1000000000-AZ557-BA557-BB557-BC557-BD557</f>
        <v/>
      </c>
      <c r="BF557" s="20" t="n">
        <v>233.731302</v>
      </c>
      <c r="BG557" s="20">
        <f>BE557/1000000-BF557</f>
        <v/>
      </c>
      <c r="BH557" s="21">
        <f>BE557*60.15</f>
        <v/>
      </c>
    </row>
    <row r="558">
      <c r="A558" s="10" t="n">
        <v>46180</v>
      </c>
      <c r="B558" s="11" t="n">
        <v>5842742934</v>
      </c>
      <c r="C558" s="11" t="n">
        <v>1275429499.33</v>
      </c>
      <c r="D558" s="11" t="n">
        <v>174107136</v>
      </c>
      <c r="E558" s="11" t="n">
        <v>2307920.741439995</v>
      </c>
      <c r="F558" s="24" t="n">
        <v>497607952.3019677</v>
      </c>
      <c r="G558" s="24" t="n">
        <v>5978146.406097375</v>
      </c>
      <c r="H558" s="24" t="n">
        <v>3152366.060498455</v>
      </c>
      <c r="I558" s="24" t="n">
        <v>368979687.577408</v>
      </c>
      <c r="J558" s="24" t="n">
        <v>1188021.122771439</v>
      </c>
      <c r="K558" s="24" t="n">
        <v>398523325.8612569</v>
      </c>
      <c r="L558" s="21">
        <f>SUM(F558:K558)</f>
        <v/>
      </c>
      <c r="M558" s="28" t="n">
        <v>1.019680769107361</v>
      </c>
      <c r="N558" s="11" t="n">
        <v>1925480.11</v>
      </c>
      <c r="O558" s="11" t="n">
        <v>146827.67</v>
      </c>
      <c r="P558" s="11" t="n">
        <v>76158</v>
      </c>
      <c r="Q558" s="11" t="n">
        <v>16.35658479</v>
      </c>
      <c r="R558" s="21">
        <f>N558+O558+P558+N(Q558)</f>
        <v/>
      </c>
      <c r="S558" s="13" t="n">
        <v>0.01</v>
      </c>
      <c r="T558" s="21">
        <f>N(AC558)*S558</f>
        <v/>
      </c>
      <c r="U558" s="21">
        <f>N(AD558)*S558</f>
        <v/>
      </c>
      <c r="V558" s="21">
        <f>N(AE558)*S558</f>
        <v/>
      </c>
      <c r="W558" s="21">
        <f>IF(Q558="","",N(AF558)*S558)</f>
        <v/>
      </c>
      <c r="X558" s="11" t="n">
        <v>13865.83</v>
      </c>
      <c r="Y558" s="11" t="n">
        <v>72653.2</v>
      </c>
      <c r="Z558" s="11" t="n">
        <v>0</v>
      </c>
      <c r="AA558" s="21">
        <f>T558+U558+V558+N(W558)+X558+Y558+N(Z558)</f>
        <v/>
      </c>
      <c r="AB558" s="11" t="n">
        <v>119906.9478</v>
      </c>
      <c r="AC558" s="11" t="n">
        <v>1925480.11</v>
      </c>
      <c r="AD558" s="21">
        <f>O558-Y558</f>
        <v/>
      </c>
      <c r="AE558" s="21">
        <f>P558-X558</f>
        <v/>
      </c>
      <c r="AF558" s="21">
        <f>IF(Q558="","",Q558-Z558)</f>
        <v/>
      </c>
      <c r="AG558" s="22">
        <f>AC558+AD558+AE558+N(AF558)</f>
        <v/>
      </c>
      <c r="AH558" s="11" t="n">
        <v>1726268.47</v>
      </c>
      <c r="AI558" s="24">
        <f>AG558-AH558</f>
        <v/>
      </c>
      <c r="AJ558" s="14">
        <f>IF(OR(B558="",B558=0,N558=""),"",N558/B558*10000)</f>
        <v/>
      </c>
      <c r="AK558" s="14">
        <f>IF(OR(C558="",C558=0),"",O558/C558*10000)</f>
        <v/>
      </c>
      <c r="AL558" s="14">
        <f>IF(OR(D558="",D558=0),"",P558/D558*10000)</f>
        <v/>
      </c>
      <c r="AM558" s="14">
        <f>IF(OR(E558="",E558=0),"",Q558/E558*10000)</f>
        <v/>
      </c>
      <c r="AN558" s="11" t="n">
        <v>23423.92744168809</v>
      </c>
      <c r="AO558" s="11" t="n">
        <v>0</v>
      </c>
      <c r="AP558" s="21">
        <f>AH558+AN558+AO558</f>
        <v/>
      </c>
      <c r="AQ558" s="21">
        <f>AH558</f>
        <v/>
      </c>
      <c r="AR558" s="15" t="n">
        <v>29443.09</v>
      </c>
      <c r="AS558" s="27" t="n">
        <v>58.630683</v>
      </c>
      <c r="AT558" s="15" t="n">
        <v>45008781.14473923</v>
      </c>
      <c r="AU558" s="15" t="n">
        <v>26696.898</v>
      </c>
      <c r="AV558" s="15" t="n">
        <v>1738.4409</v>
      </c>
      <c r="AW558" s="15" t="n">
        <v>201995</v>
      </c>
      <c r="AX558" s="16" t="n">
        <v>432.6605072638236</v>
      </c>
      <c r="AY558" s="13">
        <f>IF(OR(AX558="",AX558=0,AU558=""),"",AU558*365/(AX558*1000000))</f>
        <v/>
      </c>
      <c r="AZ558" s="15" t="n">
        <v>414241430.6682</v>
      </c>
      <c r="BA558" s="17" t="n">
        <v>60487233</v>
      </c>
      <c r="BB558" s="18" t="n">
        <v>45008781.14473923</v>
      </c>
      <c r="BC558" s="17" t="n">
        <v>2971663</v>
      </c>
      <c r="BD558" s="17">
        <f>1000000000-999186292.6544+266138.3058</f>
        <v/>
      </c>
      <c r="BE558" s="19">
        <f>1000000000-AZ558-BA558-BB558-BC558-BD558</f>
        <v/>
      </c>
      <c r="BF558" s="20" t="n">
        <v>233.529307</v>
      </c>
      <c r="BG558" s="20">
        <f>BE558/1000000-BF558</f>
        <v/>
      </c>
      <c r="BH558" s="21">
        <f>BE558*56.32</f>
        <v/>
      </c>
    </row>
    <row r="559">
      <c r="A559" s="10" t="n">
        <v>46181</v>
      </c>
      <c r="B559" s="11" t="n">
        <v>6077209079</v>
      </c>
      <c r="C559" s="11" t="n">
        <v>3751411348.87</v>
      </c>
      <c r="D559" s="11" t="n">
        <v>252206207</v>
      </c>
      <c r="E559" s="11" t="n">
        <v>1644757.720480001</v>
      </c>
      <c r="F559" s="24" t="n">
        <v>938853818.4362719</v>
      </c>
      <c r="G559" s="24" t="n">
        <v>6217888.394500584</v>
      </c>
      <c r="H559" s="24" t="n">
        <v>3777532.394919129</v>
      </c>
      <c r="I559" s="24" t="n">
        <v>1538622855.347125</v>
      </c>
      <c r="J559" s="24" t="n">
        <v>4384898.101888962</v>
      </c>
      <c r="K559" s="24" t="n">
        <v>1259554356.195295</v>
      </c>
      <c r="L559" s="21">
        <f>SUM(F559:K559)</f>
        <v/>
      </c>
      <c r="M559" s="28" t="n">
        <v>1.001697959706829</v>
      </c>
      <c r="N559" s="11" t="n">
        <v>1933670.93</v>
      </c>
      <c r="O559" s="11" t="n">
        <v>338313.51</v>
      </c>
      <c r="P559" s="11" t="n">
        <v>132174.27</v>
      </c>
      <c r="Q559" s="11" t="n">
        <v>8.19342473</v>
      </c>
      <c r="R559" s="21">
        <f>N559+O559+P559+N(Q559)</f>
        <v/>
      </c>
      <c r="S559" s="13" t="n">
        <v>0.01</v>
      </c>
      <c r="T559" s="21">
        <f>N(AC559)*S559</f>
        <v/>
      </c>
      <c r="U559" s="21">
        <f>N(AD559)*S559</f>
        <v/>
      </c>
      <c r="V559" s="21">
        <f>N(AE559)*S559</f>
        <v/>
      </c>
      <c r="W559" s="21">
        <f>IF(Q559="","",N(AF559)*S559)</f>
        <v/>
      </c>
      <c r="X559" s="11" t="n">
        <v>16909.96</v>
      </c>
      <c r="Y559" s="11" t="n">
        <v>168150.58</v>
      </c>
      <c r="Z559" s="11" t="n">
        <v>0</v>
      </c>
      <c r="AA559" s="21">
        <f>T559+U559+V559+N(W559)+X559+Y559+N(Z559)</f>
        <v/>
      </c>
      <c r="AB559" s="11" t="n">
        <v>116382.3509</v>
      </c>
      <c r="AC559" s="11" t="n">
        <v>1933670.93</v>
      </c>
      <c r="AD559" s="21">
        <f>O559-Y559</f>
        <v/>
      </c>
      <c r="AE559" s="21">
        <f>P559-X559</f>
        <v/>
      </c>
      <c r="AF559" s="21">
        <f>IF(Q559="","",Q559-Z559)</f>
        <v/>
      </c>
      <c r="AG559" s="22">
        <f>AC559+AD559+AE559+N(AF559)</f>
        <v/>
      </c>
      <c r="AH559" s="11" t="n">
        <v>1945973.42</v>
      </c>
      <c r="AI559" s="24">
        <f>AG559-AH559</f>
        <v/>
      </c>
      <c r="AJ559" s="14">
        <f>IF(OR(B559="",B559=0,N559=""),"",N559/B559*10000)</f>
        <v/>
      </c>
      <c r="AK559" s="14">
        <f>IF(OR(C559="",C559=0),"",O559/C559*10000)</f>
        <v/>
      </c>
      <c r="AL559" s="14">
        <f>IF(OR(D559="",D559=0),"",P559/D559*10000)</f>
        <v/>
      </c>
      <c r="AM559" s="14">
        <f>IF(OR(E559="",E559=0),"",Q559/E559*10000)</f>
        <v/>
      </c>
      <c r="AN559" s="11" t="n">
        <v>30015.36703499208</v>
      </c>
      <c r="AO559" s="11" t="n">
        <v>0</v>
      </c>
      <c r="AP559" s="21">
        <f>AH559+AN559+AO559</f>
        <v/>
      </c>
      <c r="AQ559" s="21">
        <f>AH559</f>
        <v/>
      </c>
      <c r="AR559" s="15" t="n">
        <v>31028.13</v>
      </c>
      <c r="AS559" s="27" t="n">
        <v>62.716426</v>
      </c>
      <c r="AT559" s="15" t="n">
        <v>45040854.25473923</v>
      </c>
      <c r="AU559" s="15" t="n">
        <v>26717.8089</v>
      </c>
      <c r="AV559" s="15" t="n">
        <v>1649.4171</v>
      </c>
      <c r="AW559" s="15" t="n"/>
      <c r="AX559" s="16" t="n">
        <v>433.4444403197377</v>
      </c>
      <c r="AY559" s="13">
        <f>IF(OR(AX559="",AX559=0,AU559=""),"",AU559*365/(AX559*1000000))</f>
        <v/>
      </c>
      <c r="AZ559" s="15" t="n">
        <v>414214712.8593</v>
      </c>
      <c r="BA559" s="17" t="n">
        <v>60487233</v>
      </c>
      <c r="BB559" s="18" t="n">
        <v>45040854.25473923</v>
      </c>
      <c r="BC559" s="17" t="n">
        <v>2971663</v>
      </c>
      <c r="BD559" s="17">
        <f>1000000000-999184643.2373+266626.0117</f>
        <v/>
      </c>
      <c r="BE559" s="19">
        <f>1000000000-AZ559-BA559-BB559-BC559-BD559</f>
        <v/>
      </c>
      <c r="BF559" s="20" t="n">
        <v>233.529307</v>
      </c>
      <c r="BG559" s="20">
        <f>BE559/1000000-BF559</f>
        <v/>
      </c>
      <c r="BH559" s="21">
        <f>BE559*61.56</f>
        <v/>
      </c>
    </row>
    <row r="560">
      <c r="A560" s="10" t="n">
        <v>46182</v>
      </c>
      <c r="B560" s="11" t="n">
        <v>6510458901</v>
      </c>
      <c r="C560" s="11" t="n">
        <v>4767648514.79</v>
      </c>
      <c r="D560" s="11" t="n">
        <v>207271282</v>
      </c>
      <c r="E560" s="11" t="n">
        <v>2958253.778669999</v>
      </c>
      <c r="F560" s="24" t="n">
        <v>1067093463.830414</v>
      </c>
      <c r="G560" s="24" t="n">
        <v>6434246.819700988</v>
      </c>
      <c r="H560" s="24" t="n">
        <v>3549950.278044687</v>
      </c>
      <c r="I560" s="24" t="n">
        <v>2069995273.779542</v>
      </c>
      <c r="J560" s="24" t="n">
        <v>5139263.546072296</v>
      </c>
      <c r="K560" s="24" t="n">
        <v>1615436316.536226</v>
      </c>
      <c r="L560" s="21">
        <f>SUM(F560:K560)</f>
        <v/>
      </c>
      <c r="M560" s="28" t="n">
        <v>1.002111980694342</v>
      </c>
      <c r="N560" s="11" t="n">
        <v>1895433.68</v>
      </c>
      <c r="O560" s="11" t="n">
        <v>390090.39</v>
      </c>
      <c r="P560" s="11" t="n">
        <v>96615.41</v>
      </c>
      <c r="Q560" s="11" t="n">
        <v>17.72466713</v>
      </c>
      <c r="R560" s="21">
        <f>N560+O560+P560+N(Q560)</f>
        <v/>
      </c>
      <c r="S560" s="13" t="n">
        <v>0.01</v>
      </c>
      <c r="T560" s="21">
        <f>N(AC560)*S560</f>
        <v/>
      </c>
      <c r="U560" s="21">
        <f>N(AD560)*S560</f>
        <v/>
      </c>
      <c r="V560" s="21">
        <f>N(AE560)*S560</f>
        <v/>
      </c>
      <c r="W560" s="21">
        <f>IF(Q560="","",N(AF560)*S560)</f>
        <v/>
      </c>
      <c r="X560" s="11" t="n">
        <v>10591.94</v>
      </c>
      <c r="Y560" s="11" t="n">
        <v>194120.71</v>
      </c>
      <c r="Z560" s="11" t="n">
        <v>0</v>
      </c>
      <c r="AA560" s="21">
        <f>T560+U560+V560+N(W560)+X560+Y560+N(Z560)</f>
        <v/>
      </c>
      <c r="AB560" s="11" t="n">
        <v>119267.9249</v>
      </c>
      <c r="AC560" s="11" t="n">
        <v>1895433.68</v>
      </c>
      <c r="AD560" s="21">
        <f>O560-Y560</f>
        <v/>
      </c>
      <c r="AE560" s="21">
        <f>P560-X560</f>
        <v/>
      </c>
      <c r="AF560" s="21">
        <f>IF(Q560="","",Q560-Z560)</f>
        <v/>
      </c>
      <c r="AG560" s="22">
        <f>AC560+AD560+AE560+N(AF560)</f>
        <v/>
      </c>
      <c r="AH560" s="11" t="n">
        <v>2021796.31</v>
      </c>
      <c r="AI560" s="24">
        <f>AG560-AH560</f>
        <v/>
      </c>
      <c r="AJ560" s="14">
        <f>IF(OR(B560="",B560=0,N560=""),"",N560/B560*10000)</f>
        <v/>
      </c>
      <c r="AK560" s="14">
        <f>IF(OR(C560="",C560=0),"",O560/C560*10000)</f>
        <v/>
      </c>
      <c r="AL560" s="14">
        <f>IF(OR(D560="",D560=0),"",P560/D560*10000)</f>
        <v/>
      </c>
      <c r="AM560" s="14">
        <f>IF(OR(E560="",E560=0),"",Q560/E560*10000)</f>
        <v/>
      </c>
      <c r="AN560" s="11" t="n">
        <v>22789.42424309591</v>
      </c>
      <c r="AO560" s="11" t="n">
        <v>0</v>
      </c>
      <c r="AP560" s="21">
        <f>AH560+AN560+AO560</f>
        <v/>
      </c>
      <c r="AQ560" s="21">
        <f>AH560</f>
        <v/>
      </c>
      <c r="AR560" s="15" t="n">
        <v>33511.02</v>
      </c>
      <c r="AS560" s="27" t="n">
        <v>60.332282</v>
      </c>
      <c r="AT560" s="15" t="n">
        <v>45073666.27473923</v>
      </c>
      <c r="AU560" s="15" t="n">
        <v>26739.9892</v>
      </c>
      <c r="AV560" s="15" t="n">
        <v>1415.258</v>
      </c>
      <c r="AW560" s="15" t="n"/>
      <c r="AX560" s="16" t="n">
        <v>434.2593542813433</v>
      </c>
      <c r="AY560" s="13">
        <f>IF(OR(AX560="",AX560=0,AU560=""),"",AU560*365/(AX560*1000000))</f>
        <v/>
      </c>
      <c r="AZ560" s="15" t="n">
        <v>414187972.8702</v>
      </c>
      <c r="BA560" s="17" t="n">
        <v>60487233</v>
      </c>
      <c r="BB560" s="18" t="n">
        <v>45073666.27473923</v>
      </c>
      <c r="BC560" s="17" t="n">
        <v>2971663</v>
      </c>
      <c r="BD560" s="17">
        <f>1000000000-999183227.9793+266987.3815</f>
        <v/>
      </c>
      <c r="BE560" s="19">
        <f>1000000000-AZ560-BA560-BB560-BC560-BD560</f>
        <v/>
      </c>
      <c r="BF560" s="20" t="n">
        <v>233.529307</v>
      </c>
      <c r="BG560" s="20">
        <f>BE560/1000000-BF560</f>
        <v/>
      </c>
      <c r="BH560" s="21">
        <f>BE560*63.03</f>
        <v/>
      </c>
    </row>
    <row r="561">
      <c r="A561" s="10" t="n">
        <v>46183</v>
      </c>
      <c r="B561" s="11" t="n">
        <v>6232773283</v>
      </c>
      <c r="C561" s="11" t="n">
        <v>4605521315.02</v>
      </c>
      <c r="D561" s="11" t="n">
        <v>206263853</v>
      </c>
      <c r="E561" s="11" t="n">
        <v>1992600.27362</v>
      </c>
      <c r="F561" s="24" t="n">
        <v>1325261287.77948</v>
      </c>
      <c r="G561" s="24" t="n">
        <v>7088007.212708501</v>
      </c>
      <c r="H561" s="24" t="n">
        <v>3479883.659533925</v>
      </c>
      <c r="I561" s="24" t="n">
        <v>2039524682.760563</v>
      </c>
      <c r="J561" s="24" t="n">
        <v>6572225.419265544</v>
      </c>
      <c r="K561" s="24" t="n">
        <v>1223595228.18845</v>
      </c>
      <c r="L561" s="21">
        <f>SUM(F561:K561)</f>
        <v/>
      </c>
      <c r="M561" s="28" t="n">
        <v>1.00608158824736</v>
      </c>
      <c r="N561" s="11" t="n">
        <v>1974914.11</v>
      </c>
      <c r="O561" s="11" t="n">
        <v>415530.78</v>
      </c>
      <c r="P561" s="11" t="n">
        <v>100249.36</v>
      </c>
      <c r="Q561" s="11" t="n">
        <v>6.01528693</v>
      </c>
      <c r="R561" s="21">
        <f>N561+O561+P561+N(Q561)</f>
        <v/>
      </c>
      <c r="S561" s="13" t="n">
        <v>0.01</v>
      </c>
      <c r="T561" s="21">
        <f>N(AC561)*S561</f>
        <v/>
      </c>
      <c r="U561" s="21">
        <f>N(AD561)*S561</f>
        <v/>
      </c>
      <c r="V561" s="21">
        <f>N(AE561)*S561</f>
        <v/>
      </c>
      <c r="W561" s="21">
        <f>IF(Q561="","",N(AF561)*S561)</f>
        <v/>
      </c>
      <c r="X561" s="11" t="n">
        <v>8935.200000000001</v>
      </c>
      <c r="Y561" s="11" t="n">
        <v>206727.23</v>
      </c>
      <c r="Z561" s="11" t="n">
        <v>0</v>
      </c>
      <c r="AA561" s="21">
        <f>T561+U561+V561+N(W561)+X561+Y561+N(Z561)</f>
        <v/>
      </c>
      <c r="AB561" s="11" t="n">
        <v>120981.8316</v>
      </c>
      <c r="AC561" s="11" t="n">
        <v>1974914.11</v>
      </c>
      <c r="AD561" s="21">
        <f>O561-Y561</f>
        <v/>
      </c>
      <c r="AE561" s="21">
        <f>P561-X561</f>
        <v/>
      </c>
      <c r="AF561" s="21">
        <f>IF(Q561="","",Q561-Z561)</f>
        <v/>
      </c>
      <c r="AG561" s="22">
        <f>AC561+AD561+AE561+N(AF561)</f>
        <v/>
      </c>
      <c r="AH561" s="11" t="n">
        <v>1982907.04</v>
      </c>
      <c r="AI561" s="24">
        <f>AG561-AH561</f>
        <v/>
      </c>
      <c r="AJ561" s="14">
        <f>IF(OR(B561="",B561=0,N561=""),"",N561/B561*10000)</f>
        <v/>
      </c>
      <c r="AK561" s="14">
        <f>IF(OR(C561="",C561=0),"",O561/C561*10000)</f>
        <v/>
      </c>
      <c r="AL561" s="14">
        <f>IF(OR(D561="",D561=0),"",P561/D561*10000)</f>
        <v/>
      </c>
      <c r="AM561" s="14">
        <f>IF(OR(E561="",E561=0),"",Q561/E561*10000)</f>
        <v/>
      </c>
      <c r="AN561" s="11" t="n">
        <v>27898.97207210758</v>
      </c>
      <c r="AO561" s="11" t="n">
        <v>28879.88</v>
      </c>
      <c r="AP561" s="21">
        <f>AH561+AN561+AO561</f>
        <v/>
      </c>
      <c r="AQ561" s="21">
        <f>AH561</f>
        <v/>
      </c>
      <c r="AR561" s="15" t="n">
        <v>35537.79</v>
      </c>
      <c r="AS561" s="27" t="n">
        <v>55.79714</v>
      </c>
      <c r="AT561" s="15" t="n">
        <v>45108952.04473923</v>
      </c>
      <c r="AU561" s="15" t="n">
        <v>26732.8246</v>
      </c>
      <c r="AV561" s="15" t="n">
        <v>1315.5039</v>
      </c>
      <c r="AW561" s="15" t="n"/>
      <c r="AX561" s="16" t="n">
        <v>434.549475408751</v>
      </c>
      <c r="AY561" s="13">
        <f>IF(OR(AX561="",AX561=0,AU561=""),"",AU561*365/(AX561*1000000))</f>
        <v/>
      </c>
      <c r="AZ561" s="15" t="n">
        <v>414161240.0456</v>
      </c>
      <c r="BA561" s="17" t="n">
        <v>60487233</v>
      </c>
      <c r="BB561" s="18" t="n">
        <v>45108952.04473923</v>
      </c>
      <c r="BC561" s="17" t="n">
        <v>2971663</v>
      </c>
      <c r="BD561" s="17">
        <f>1000000000-999181912.4753+267469.8373</f>
        <v/>
      </c>
      <c r="BE561" s="19">
        <f>1000000000-AZ561-BA561-BB561-BC561-BD561</f>
        <v/>
      </c>
      <c r="BF561" s="20" t="n">
        <v>233.529307</v>
      </c>
      <c r="BG561" s="20">
        <f>BE561/1000000-BF561</f>
        <v/>
      </c>
      <c r="BH561" s="21">
        <f>BE561*57.83</f>
        <v/>
      </c>
    </row>
    <row r="562">
      <c r="A562" s="10" t="n">
        <v>46184</v>
      </c>
      <c r="B562" s="11" t="n">
        <v>5417781937</v>
      </c>
      <c r="C562" s="11" t="n">
        <v>4420845910.07</v>
      </c>
      <c r="D562" s="11" t="n">
        <v>151046425</v>
      </c>
      <c r="E562" s="11" t="n">
        <v>3210873.24101</v>
      </c>
      <c r="F562" s="24" t="n">
        <v>1546962157.910464</v>
      </c>
      <c r="G562" s="24" t="n">
        <v>4689199.369128963</v>
      </c>
      <c r="H562" s="24" t="n">
        <v>4763284.061235396</v>
      </c>
      <c r="I562" s="24" t="n">
        <v>1520261293.847676</v>
      </c>
      <c r="J562" s="24" t="n">
        <v>9582375.905559136</v>
      </c>
      <c r="K562" s="24" t="n">
        <v>1334587598.975937</v>
      </c>
      <c r="L562" s="21">
        <f>SUM(F562:K562)</f>
        <v/>
      </c>
      <c r="M562" s="28" t="n">
        <v>1.003682116761799</v>
      </c>
      <c r="N562" s="11" t="n">
        <v>1670760.96</v>
      </c>
      <c r="O562" s="11" t="n">
        <v>410483.45</v>
      </c>
      <c r="P562" s="11" t="n">
        <v>76382.18000000001</v>
      </c>
      <c r="Q562" s="11" t="n">
        <v>7.811282250000001</v>
      </c>
      <c r="R562" s="21">
        <f>N562+O562+P562+N(Q562)</f>
        <v/>
      </c>
      <c r="S562" s="13" t="n">
        <v>0.01</v>
      </c>
      <c r="T562" s="21">
        <f>N(AC562)*S562</f>
        <v/>
      </c>
      <c r="U562" s="21">
        <f>N(AD562)*S562</f>
        <v/>
      </c>
      <c r="V562" s="21">
        <f>N(AE562)*S562</f>
        <v/>
      </c>
      <c r="W562" s="21">
        <f>IF(Q562="","",N(AF562)*S562)</f>
        <v/>
      </c>
      <c r="X562" s="11" t="n">
        <v>10346.69</v>
      </c>
      <c r="Y562" s="11" t="n">
        <v>204584.39</v>
      </c>
      <c r="Z562" s="11" t="n">
        <v>0</v>
      </c>
      <c r="AA562" s="21">
        <f>T562+U562+V562+N(W562)+X562+Y562+N(Z562)</f>
        <v/>
      </c>
      <c r="AB562" s="11" t="n">
        <v>112135.3194</v>
      </c>
      <c r="AC562" s="11" t="n">
        <v>1670760.96</v>
      </c>
      <c r="AD562" s="21">
        <f>O562-Y562</f>
        <v/>
      </c>
      <c r="AE562" s="21">
        <f>P562-X562</f>
        <v/>
      </c>
      <c r="AF562" s="21">
        <f>IF(Q562="","",Q562-Z562)</f>
        <v/>
      </c>
      <c r="AG562" s="22">
        <f>AC562+AD562+AE562+N(AF562)</f>
        <v/>
      </c>
      <c r="AH562" s="11" t="n">
        <v>1678551.15</v>
      </c>
      <c r="AI562" s="24">
        <f>AG562-AH562</f>
        <v/>
      </c>
      <c r="AJ562" s="14">
        <f>IF(OR(B562="",B562=0,N562=""),"",N562/B562*10000)</f>
        <v/>
      </c>
      <c r="AK562" s="14">
        <f>IF(OR(C562="",C562=0),"",O562/C562*10000)</f>
        <v/>
      </c>
      <c r="AL562" s="14">
        <f>IF(OR(D562="",D562=0),"",P562/D562*10000)</f>
        <v/>
      </c>
      <c r="AM562" s="14">
        <f>IF(OR(E562="",E562=0),"",Q562/E562*10000)</f>
        <v/>
      </c>
      <c r="AN562" s="11" t="n">
        <v>22926.50735057026</v>
      </c>
      <c r="AO562" s="11" t="n">
        <v>0</v>
      </c>
      <c r="AP562" s="21">
        <f>AH562+AN562+AO562</f>
        <v/>
      </c>
      <c r="AQ562" s="21">
        <f>AH562</f>
        <v/>
      </c>
      <c r="AR562" s="15" t="n">
        <v>29645.76</v>
      </c>
      <c r="AS562" s="27" t="n">
        <v>56.620277</v>
      </c>
      <c r="AT562" s="15" t="n">
        <v>45138803.07473923</v>
      </c>
      <c r="AU562" s="15" t="n">
        <v>26496.1199</v>
      </c>
      <c r="AV562" s="15" t="n">
        <v>2317.9857</v>
      </c>
      <c r="AW562" s="15" t="n"/>
      <c r="AX562" s="16" t="n">
        <v>434.2107681251409</v>
      </c>
      <c r="AY562" s="13">
        <f>IF(OR(AX562="",AX562=0,AU562=""),"",AU562*365/(AX562*1000000))</f>
        <v/>
      </c>
      <c r="AZ562" s="15" t="n">
        <v>414134743.9257</v>
      </c>
      <c r="BA562" s="17" t="n">
        <v>60487233</v>
      </c>
      <c r="BB562" s="18" t="n">
        <v>45138803.07473923</v>
      </c>
      <c r="BC562" s="17" t="n">
        <v>2971663</v>
      </c>
      <c r="BD562" s="17">
        <f>1000000000-999179594.4896+267897.7223</f>
        <v/>
      </c>
      <c r="BE562" s="19">
        <f>1000000000-AZ562-BA562-BB562-BC562-BD562</f>
        <v/>
      </c>
      <c r="BF562" s="20" t="n">
        <v>233.529307</v>
      </c>
      <c r="BG562" s="20">
        <f>BE562/1000000-BF562</f>
        <v/>
      </c>
      <c r="BH562" s="21">
        <f>BE562*53.51</f>
        <v/>
      </c>
    </row>
    <row r="563">
      <c r="A563" s="10" t="n">
        <v>46185</v>
      </c>
      <c r="B563" s="11" t="n">
        <v>4730586753</v>
      </c>
      <c r="C563" s="11" t="n">
        <v>4594668549.81</v>
      </c>
      <c r="D563" s="11" t="n">
        <v>221114864</v>
      </c>
      <c r="E563" s="11" t="n">
        <v>2238408.756200001</v>
      </c>
      <c r="F563" s="24" t="n">
        <v>1051205076.643903</v>
      </c>
      <c r="G563" s="24" t="n">
        <v>5380228.232216652</v>
      </c>
      <c r="H563" s="24" t="n">
        <v>4364479.554758574</v>
      </c>
      <c r="I563" s="24" t="n">
        <v>1181598884.079159</v>
      </c>
      <c r="J563" s="24" t="n">
        <v>5801592.728372801</v>
      </c>
      <c r="K563" s="24" t="n">
        <v>2346318288.571589</v>
      </c>
      <c r="L563" s="21">
        <f>SUM(F563:K563)</f>
        <v/>
      </c>
      <c r="M563" s="28" t="n">
        <v>1.000634073122664</v>
      </c>
      <c r="N563" s="11" t="n">
        <v>1510212.75</v>
      </c>
      <c r="O563" s="11" t="n">
        <v>445674.12</v>
      </c>
      <c r="P563" s="11" t="n">
        <v>107714.91</v>
      </c>
      <c r="Q563" s="11" t="n">
        <v>4.881551890000001</v>
      </c>
      <c r="R563" s="21">
        <f>N563+O563+P563+N(Q563)</f>
        <v/>
      </c>
      <c r="S563" s="13" t="n">
        <v>0.01</v>
      </c>
      <c r="T563" s="21">
        <f>N(AC563)*S563</f>
        <v/>
      </c>
      <c r="U563" s="21">
        <f>N(AD563)*S563</f>
        <v/>
      </c>
      <c r="V563" s="21">
        <f>N(AE563)*S563</f>
        <v/>
      </c>
      <c r="W563" s="21">
        <f>IF(Q563="","",N(AF563)*S563)</f>
        <v/>
      </c>
      <c r="X563" s="11" t="n">
        <v>13362.01</v>
      </c>
      <c r="Y563" s="11" t="n">
        <v>222107.81</v>
      </c>
      <c r="Z563" s="11" t="n">
        <v>0</v>
      </c>
      <c r="AA563" s="21">
        <f>T563+U563+V563+N(W563)+X563+Y563+N(Z563)</f>
        <v/>
      </c>
      <c r="AB563" s="11" t="n">
        <v>136487.5626</v>
      </c>
      <c r="AC563" s="11" t="n">
        <v>1510212.75</v>
      </c>
      <c r="AD563" s="21">
        <f>O563-Y563</f>
        <v/>
      </c>
      <c r="AE563" s="21">
        <f>P563-X563</f>
        <v/>
      </c>
      <c r="AF563" s="21">
        <f>IF(Q563="","",Q563-Z563)</f>
        <v/>
      </c>
      <c r="AG563" s="22">
        <f>AC563+AD563+AE563+N(AF563)</f>
        <v/>
      </c>
      <c r="AH563" s="11" t="n">
        <v>1557212.95</v>
      </c>
      <c r="AI563" s="24">
        <f>AG563-AH563</f>
        <v/>
      </c>
      <c r="AJ563" s="14">
        <f>IF(OR(B563="",B563=0,N563=""),"",N563/B563*10000)</f>
        <v/>
      </c>
      <c r="AK563" s="14">
        <f>IF(OR(C563="",C563=0),"",O563/C563*10000)</f>
        <v/>
      </c>
      <c r="AL563" s="14">
        <f>IF(OR(D563="",D563=0),"",P563/D563*10000)</f>
        <v/>
      </c>
      <c r="AM563" s="14">
        <f>IF(OR(E563="",E563=0),"",Q563/E563*10000)</f>
        <v/>
      </c>
      <c r="AN563" s="11" t="n">
        <v>23174.6948647409</v>
      </c>
      <c r="AO563" s="11" t="n">
        <v>0</v>
      </c>
      <c r="AP563" s="21">
        <f>AH563+AN563+AO563</f>
        <v/>
      </c>
      <c r="AQ563" s="21">
        <f>AH563</f>
        <v/>
      </c>
      <c r="AR563" s="15" t="n">
        <v>26047.51</v>
      </c>
      <c r="AS563" s="27" t="n">
        <v>59.783563</v>
      </c>
      <c r="AT563" s="15" t="n">
        <v>45164885.25473923</v>
      </c>
      <c r="AU563" s="15" t="n">
        <v>26703.6597</v>
      </c>
      <c r="AV563" s="15" t="n">
        <v>1202.001</v>
      </c>
      <c r="AW563" s="15" t="n"/>
      <c r="AX563" s="16" t="n">
        <v>434.523586124289</v>
      </c>
      <c r="AY563" s="13">
        <f>IF(OR(AX563="",AX563=0,AU563=""),"",AU563*365/(AX563*1000000))</f>
        <v/>
      </c>
      <c r="AZ563" s="15" t="n">
        <v>414108040.266</v>
      </c>
      <c r="BA563" s="17" t="n">
        <v>60487233</v>
      </c>
      <c r="BB563" s="18" t="n">
        <v>45164885.25473923</v>
      </c>
      <c r="BC563" s="17" t="n">
        <v>2971663</v>
      </c>
      <c r="BD563" s="17">
        <f>1000000000-999178392.4886+268288.4541</f>
        <v/>
      </c>
      <c r="BE563" s="19">
        <f>1000000000-AZ563-BA563-BB563-BC563-BD563</f>
        <v/>
      </c>
      <c r="BF563" s="20" t="n">
        <v>233.529307</v>
      </c>
      <c r="BG563" s="20">
        <f>BE563/1000000-BF563</f>
        <v/>
      </c>
      <c r="BH563" s="21">
        <f>BE563*59.33</f>
        <v/>
      </c>
    </row>
    <row r="564">
      <c r="A564" s="10" t="n">
        <v>46186</v>
      </c>
      <c r="B564" s="11" t="n">
        <v>2369553152</v>
      </c>
      <c r="C564" s="11" t="n">
        <v>522062649.45</v>
      </c>
      <c r="D564" s="11" t="n">
        <v>94165324</v>
      </c>
      <c r="E564" s="11" t="n">
        <v>2303517.406390001</v>
      </c>
      <c r="F564" s="24" t="n">
        <v>148417404.9657925</v>
      </c>
      <c r="G564" s="24" t="n">
        <v>2429577.551085437</v>
      </c>
      <c r="H564" s="24" t="n">
        <v>1306195.77239583</v>
      </c>
      <c r="I564" s="24" t="n">
        <v>185197378.0127313</v>
      </c>
      <c r="J564" s="24" t="n">
        <v>819343.4023902563</v>
      </c>
      <c r="K564" s="24" t="n">
        <v>183892749.7456048</v>
      </c>
      <c r="L564" s="21">
        <f>SUM(F564:K564)</f>
        <v/>
      </c>
      <c r="M564" s="28" t="n">
        <v>1.000348041766708</v>
      </c>
      <c r="N564" s="11" t="n">
        <v>778447.83</v>
      </c>
      <c r="O564" s="11" t="n">
        <v>67594.63</v>
      </c>
      <c r="P564" s="11" t="n">
        <v>46288.07</v>
      </c>
      <c r="Q564" s="11" t="n">
        <v>1.20822766</v>
      </c>
      <c r="R564" s="21">
        <f>N564+O564+P564+N(Q564)</f>
        <v/>
      </c>
      <c r="S564" s="13" t="n">
        <v>0.01</v>
      </c>
      <c r="T564" s="21">
        <f>N(AC564)*S564</f>
        <v/>
      </c>
      <c r="U564" s="21">
        <f>N(AD564)*S564</f>
        <v/>
      </c>
      <c r="V564" s="21">
        <f>N(AE564)*S564</f>
        <v/>
      </c>
      <c r="W564" s="21">
        <f>IF(Q564="","",N(AF564)*S564)</f>
        <v/>
      </c>
      <c r="X564" s="11" t="n">
        <v>7918.15</v>
      </c>
      <c r="Y564" s="11" t="n">
        <v>33423.48</v>
      </c>
      <c r="Z564" s="11" t="n">
        <v>0</v>
      </c>
      <c r="AA564" s="21">
        <f>T564+U564+V564+N(W564)+X564+Y564+N(Z564)</f>
        <v/>
      </c>
      <c r="AB564" s="11" t="n">
        <v>62215.4447</v>
      </c>
      <c r="AC564" s="11" t="n">
        <v>778447.83</v>
      </c>
      <c r="AD564" s="21">
        <f>O564-Y564</f>
        <v/>
      </c>
      <c r="AE564" s="21">
        <f>P564-X564</f>
        <v/>
      </c>
      <c r="AF564" s="21">
        <f>IF(Q564="","",Q564-Z564)</f>
        <v/>
      </c>
      <c r="AG564" s="22">
        <f>AC564+AD564+AE564+N(AF564)</f>
        <v/>
      </c>
      <c r="AH564" s="11" t="n">
        <v>753393.76</v>
      </c>
      <c r="AI564" s="24">
        <f>AG564-AH564</f>
        <v/>
      </c>
      <c r="AJ564" s="14">
        <f>IF(OR(B564="",B564=0,N564=""),"",N564/B564*10000)</f>
        <v/>
      </c>
      <c r="AK564" s="14">
        <f>IF(OR(C564="",C564=0),"",O564/C564*10000)</f>
        <v/>
      </c>
      <c r="AL564" s="14">
        <f>IF(OR(D564="",D564=0),"",P564/D564*10000)</f>
        <v/>
      </c>
      <c r="AM564" s="14">
        <f>IF(OR(E564="",E564=0),"",Q564/E564*10000)</f>
        <v/>
      </c>
      <c r="AN564" s="11" t="n">
        <v>12047.19388002971</v>
      </c>
      <c r="AO564" s="11" t="n">
        <v>29643.71</v>
      </c>
      <c r="AP564" s="21">
        <f>AH564+AN564+AO564</f>
        <v/>
      </c>
      <c r="AQ564" s="21">
        <f>AH564</f>
        <v/>
      </c>
      <c r="AR564" s="15" t="n">
        <v>12700.1</v>
      </c>
      <c r="AS564" s="27" t="n">
        <v>59.321877</v>
      </c>
      <c r="AT564" s="15" t="n">
        <v>45177661.26473923</v>
      </c>
      <c r="AU564" s="15" t="n">
        <v>26725.5151</v>
      </c>
      <c r="AV564" s="15" t="n">
        <v>1984.2947</v>
      </c>
      <c r="AW564" s="15" t="n"/>
      <c r="AX564" s="16" t="n">
        <v>434.5190492639886</v>
      </c>
      <c r="AY564" s="13">
        <f>IF(OR(AX564="",AX564=0,AU564=""),"",AU564*365/(AX564*1000000))</f>
        <v/>
      </c>
      <c r="AZ564" s="15" t="n">
        <v>414081314.7509</v>
      </c>
      <c r="BA564" s="17" t="n">
        <v>60487233</v>
      </c>
      <c r="BB564" s="18" t="n">
        <v>45177661.26473923</v>
      </c>
      <c r="BC564" s="17" t="n">
        <v>2971663</v>
      </c>
      <c r="BD564" s="17">
        <f>1000000000-999176408.1939+268492.8898</f>
        <v/>
      </c>
      <c r="BE564" s="19">
        <f>1000000000-AZ564-BA564-BB564-BC564-BD564</f>
        <v/>
      </c>
      <c r="BF564" s="20" t="n">
        <v>233.529307</v>
      </c>
      <c r="BG564" s="20">
        <f>BE564/1000000-BF564</f>
        <v/>
      </c>
      <c r="BH564" s="21">
        <f>BE564*58.93</f>
        <v/>
      </c>
    </row>
    <row r="565">
      <c r="A565" s="10" t="n">
        <v>46187</v>
      </c>
      <c r="B565" s="11" t="n">
        <v>4072538755</v>
      </c>
      <c r="C565" s="11" t="n">
        <v>1194034760.87</v>
      </c>
      <c r="D565" s="11" t="n">
        <v>108891863</v>
      </c>
      <c r="E565" s="11" t="n">
        <v>4526124.29048</v>
      </c>
      <c r="F565" s="24" t="n">
        <v>545376381.9952059</v>
      </c>
      <c r="G565" s="24" t="n">
        <v>2378494.639824132</v>
      </c>
      <c r="H565" s="24" t="n">
        <v>3883334.484995359</v>
      </c>
      <c r="I565" s="24" t="n">
        <v>375737620.1513634</v>
      </c>
      <c r="J565" s="24" t="n">
        <v>665082.5784786877</v>
      </c>
      <c r="K565" s="24" t="n">
        <v>265993847.0201322</v>
      </c>
      <c r="L565" s="21">
        <f>SUM(F565:K565)</f>
        <v/>
      </c>
      <c r="M565" s="28" t="n">
        <v>1.018061353087939</v>
      </c>
      <c r="N565" s="11" t="n">
        <v>1252132.11</v>
      </c>
      <c r="O565" s="11" t="n">
        <v>153427.87</v>
      </c>
      <c r="P565" s="11" t="n">
        <v>54891.14</v>
      </c>
      <c r="Q565" s="11" t="n">
        <v>5.28797715</v>
      </c>
      <c r="R565" s="21">
        <f>N565+O565+P565+N(Q565)</f>
        <v/>
      </c>
      <c r="S565" s="13" t="n">
        <v>0.01</v>
      </c>
      <c r="T565" s="21">
        <f>N(AC565)*S565</f>
        <v/>
      </c>
      <c r="U565" s="21">
        <f>N(AD565)*S565</f>
        <v/>
      </c>
      <c r="V565" s="21">
        <f>N(AE565)*S565</f>
        <v/>
      </c>
      <c r="W565" s="21">
        <f>IF(Q565="","",N(AF565)*S565)</f>
        <v/>
      </c>
      <c r="X565" s="11" t="n">
        <v>7072.72</v>
      </c>
      <c r="Y565" s="11" t="n">
        <v>76392.82000000001</v>
      </c>
      <c r="Z565" s="11" t="n">
        <v>0</v>
      </c>
      <c r="AA565" s="21">
        <f>T565+U565+V565+N(W565)+X565+Y565+N(Z565)</f>
        <v/>
      </c>
      <c r="AB565" s="11" t="n">
        <v>83680.6924</v>
      </c>
      <c r="AC565" s="11" t="n">
        <v>1252132.11</v>
      </c>
      <c r="AD565" s="21">
        <f>O565-Y565</f>
        <v/>
      </c>
      <c r="AE565" s="21">
        <f>P565-X565</f>
        <v/>
      </c>
      <c r="AF565" s="21">
        <f>IF(Q565="","",Q565-Z565)</f>
        <v/>
      </c>
      <c r="AG565" s="22">
        <f>AC565+AD565+AE565+N(AF565)</f>
        <v/>
      </c>
      <c r="AH565" s="11" t="n">
        <v>677885.87</v>
      </c>
      <c r="AI565" s="24">
        <f>AG565-AH565</f>
        <v/>
      </c>
      <c r="AJ565" s="14">
        <f>IF(OR(B565="",B565=0,N565=""),"",N565/B565*10000)</f>
        <v/>
      </c>
      <c r="AK565" s="14">
        <f>IF(OR(C565="",C565=0),"",O565/C565*10000)</f>
        <v/>
      </c>
      <c r="AL565" s="14">
        <f>IF(OR(D565="",D565=0),"",P565/D565*10000)</f>
        <v/>
      </c>
      <c r="AM565" s="14">
        <f>IF(OR(E565="",E565=0),"",Q565/E565*10000)</f>
        <v/>
      </c>
      <c r="AN565" s="11" t="n">
        <v>18880.63171811279</v>
      </c>
      <c r="AO565" s="11" t="n">
        <v>0</v>
      </c>
      <c r="AP565" s="21">
        <f>AH565+AN565+AO565</f>
        <v/>
      </c>
      <c r="AQ565" s="21">
        <f>AH565</f>
        <v/>
      </c>
      <c r="AR565" s="15" t="n">
        <v>11222.13</v>
      </c>
      <c r="AS565" s="27" t="n">
        <v>60.406168</v>
      </c>
      <c r="AT565" s="15" t="n">
        <v>45193455.74473923</v>
      </c>
      <c r="AU565" s="15" t="n">
        <v>26758.479</v>
      </c>
      <c r="AV565" s="15" t="n">
        <v>1215.8048</v>
      </c>
      <c r="AW565" s="15" t="n"/>
      <c r="AX565" s="16" t="n">
        <v>434.5857897053459</v>
      </c>
      <c r="AY565" s="13">
        <f>IF(OR(AX565="",AX565=0,AU565=""),"",AU565*365/(AX565*1000000))</f>
        <v/>
      </c>
      <c r="AZ565" s="15" t="n">
        <v>414054556.2718</v>
      </c>
      <c r="BA565" s="17" t="n">
        <v>60487233</v>
      </c>
      <c r="BB565" s="18" t="n">
        <v>45193455.74473923</v>
      </c>
      <c r="BC565" s="17" t="n">
        <v>2971663</v>
      </c>
      <c r="BD565" s="17">
        <f>1000000000-999175192.3892+268803.8408</f>
        <v/>
      </c>
      <c r="BE565" s="19">
        <f>1000000000-AZ565-BA565-BB565-BC565-BD565</f>
        <v/>
      </c>
      <c r="BF565" s="20" t="n">
        <v>233.529307</v>
      </c>
      <c r="BG565" s="20">
        <f>BE565/1000000-BF565</f>
        <v/>
      </c>
      <c r="BH565" s="21">
        <f>BE565*60.77</f>
        <v/>
      </c>
    </row>
    <row r="566">
      <c r="A566" s="10" t="n">
        <v>46188</v>
      </c>
      <c r="B566" s="11" t="n">
        <v>5261593171</v>
      </c>
      <c r="C566" s="11" t="n">
        <v>3205817937.75</v>
      </c>
      <c r="D566" s="11" t="n">
        <v>234096578</v>
      </c>
      <c r="E566" s="11" t="n">
        <v>2273932.153089999</v>
      </c>
      <c r="F566" s="24" t="n">
        <v>495961656.9558204</v>
      </c>
      <c r="G566" s="24" t="n">
        <v>4355377.671290018</v>
      </c>
      <c r="H566" s="24" t="n">
        <v>4919706.137991917</v>
      </c>
      <c r="I566" s="24" t="n">
        <v>1240857606.025465</v>
      </c>
      <c r="J566" s="24" t="n">
        <v>1061484.990205496</v>
      </c>
      <c r="K566" s="24" t="n">
        <v>1458662105.969228</v>
      </c>
      <c r="L566" s="21">
        <f>SUM(F566:K566)</f>
        <v/>
      </c>
      <c r="M566" s="28" t="n">
        <v>1.005201382111804</v>
      </c>
      <c r="N566" s="11" t="n">
        <v>1825704.35</v>
      </c>
      <c r="O566" s="11" t="n">
        <v>329000.34</v>
      </c>
      <c r="P566" s="11" t="n">
        <v>117511.2</v>
      </c>
      <c r="Q566" s="11" t="n">
        <v>4.893538469999999</v>
      </c>
      <c r="R566" s="21">
        <f>N566+O566+P566+N(Q566)</f>
        <v/>
      </c>
      <c r="S566" s="13" t="n">
        <v>0.01</v>
      </c>
      <c r="T566" s="21">
        <f>N(AC566)*S566</f>
        <v/>
      </c>
      <c r="U566" s="21">
        <f>N(AD566)*S566</f>
        <v/>
      </c>
      <c r="V566" s="21">
        <f>N(AE566)*S566</f>
        <v/>
      </c>
      <c r="W566" s="21">
        <f>IF(Q566="","",N(AF566)*S566)</f>
        <v/>
      </c>
      <c r="X566" s="11" t="n">
        <v>21079.74</v>
      </c>
      <c r="Y566" s="11" t="n">
        <v>163881.4</v>
      </c>
      <c r="Z566" s="11" t="n">
        <v>0</v>
      </c>
      <c r="AA566" s="21">
        <f>T566+U566+V566+N(W566)+X566+Y566+N(Z566)</f>
        <v/>
      </c>
      <c r="AB566" s="11" t="n">
        <v>173735.8048</v>
      </c>
      <c r="AC566" s="11" t="n">
        <v>1825704.35</v>
      </c>
      <c r="AD566" s="21">
        <f>O566-Y566</f>
        <v/>
      </c>
      <c r="AE566" s="21">
        <f>P566-X566</f>
        <v/>
      </c>
      <c r="AF566" s="21">
        <f>IF(Q566="","",Q566-Z566)</f>
        <v/>
      </c>
      <c r="AG566" s="22">
        <f>AC566+AD566+AE566+N(AF566)</f>
        <v/>
      </c>
      <c r="AH566" s="11" t="n">
        <v>2389743.34</v>
      </c>
      <c r="AI566" s="24">
        <f>AG566-AH566</f>
        <v/>
      </c>
      <c r="AJ566" s="14">
        <f>IF(OR(B566="",B566=0,N566=""),"",N566/B566*10000)</f>
        <v/>
      </c>
      <c r="AK566" s="14">
        <f>IF(OR(C566="",C566=0),"",O566/C566*10000)</f>
        <v/>
      </c>
      <c r="AL566" s="14">
        <f>IF(OR(D566="",D566=0),"",P566/D566*10000)</f>
        <v/>
      </c>
      <c r="AM566" s="14">
        <f>IF(OR(E566="",E566=0),"",Q566/E566*10000)</f>
        <v/>
      </c>
      <c r="AN566" s="11" t="n">
        <v>24840.81495114723</v>
      </c>
      <c r="AO566" s="11" t="n">
        <v>0</v>
      </c>
      <c r="AP566" s="21">
        <f>AH566+AN566+AO566</f>
        <v/>
      </c>
      <c r="AQ566" s="21">
        <f>AH566</f>
        <v/>
      </c>
      <c r="AR566" s="15" t="n">
        <v>36133.73</v>
      </c>
      <c r="AS566" s="27" t="n">
        <v>66.136082</v>
      </c>
      <c r="AT566" s="15" t="n">
        <v>45225177.61473923</v>
      </c>
      <c r="AU566" s="15" t="n">
        <v>26771.8788</v>
      </c>
      <c r="AV566" s="15" t="n">
        <v>807.5774</v>
      </c>
      <c r="AW566" s="15" t="n"/>
      <c r="AX566" s="16" t="n">
        <v>435.1845483915827</v>
      </c>
      <c r="AY566" s="13">
        <f>IF(OR(AX566="",AX566=0,AU566=""),"",AU566*365/(AX566*1000000))</f>
        <v/>
      </c>
      <c r="AZ566" s="15" t="n">
        <v>414027784.393</v>
      </c>
      <c r="BA566" s="17" t="n">
        <v>60487233</v>
      </c>
      <c r="BB566" s="18" t="n">
        <v>45225177.61473923</v>
      </c>
      <c r="BC566" s="17" t="n">
        <v>2971663</v>
      </c>
      <c r="BD566" s="17">
        <f>1000000000-999174384.8118+269192.6164</f>
        <v/>
      </c>
      <c r="BE566" s="19">
        <f>1000000000-AZ566-BA566-BB566-BC566-BD566</f>
        <v/>
      </c>
      <c r="BF566" s="20" t="n">
        <v>233.529307</v>
      </c>
      <c r="BG566" s="20">
        <f>BE566/1000000-BF566</f>
        <v/>
      </c>
      <c r="BH566" s="21">
        <f>BE566*63.96</f>
        <v/>
      </c>
    </row>
    <row r="567">
      <c r="A567" s="10" t="n">
        <v>46189</v>
      </c>
      <c r="B567" s="11" t="n">
        <v>5348517973</v>
      </c>
      <c r="C567" s="11" t="n">
        <v>4008742834.8</v>
      </c>
      <c r="D567" s="11" t="n">
        <v>335785847</v>
      </c>
      <c r="E567" s="11" t="n">
        <v>3510896.723280001</v>
      </c>
      <c r="F567" s="24" t="n">
        <v>530259013.379764</v>
      </c>
      <c r="G567" s="24" t="n">
        <v>3482567.432613498</v>
      </c>
      <c r="H567" s="24" t="n">
        <v>4885047.052296381</v>
      </c>
      <c r="I567" s="24" t="n">
        <v>915058149.4891992</v>
      </c>
      <c r="J567" s="24" t="n">
        <v>1196758.177444412</v>
      </c>
      <c r="K567" s="24" t="n">
        <v>2553861299.268682</v>
      </c>
      <c r="L567" s="21">
        <f>SUM(F567:K567)</f>
        <v/>
      </c>
      <c r="M567" s="28" t="n">
        <v>1.001269161165407</v>
      </c>
      <c r="N567" s="11" t="n">
        <v>1808751.29</v>
      </c>
      <c r="O567" s="11" t="n">
        <v>422439.19</v>
      </c>
      <c r="P567" s="11" t="n">
        <v>165391.82</v>
      </c>
      <c r="Q567" s="11" t="n">
        <v>8.534488419999999</v>
      </c>
      <c r="R567" s="21">
        <f>N567+O567+P567+N(Q567)</f>
        <v/>
      </c>
      <c r="S567" s="13" t="n">
        <v>0.01</v>
      </c>
      <c r="T567" s="21">
        <f>N(AC567)*S567</f>
        <v/>
      </c>
      <c r="U567" s="21">
        <f>N(AD567)*S567</f>
        <v/>
      </c>
      <c r="V567" s="21">
        <f>N(AE567)*S567</f>
        <v/>
      </c>
      <c r="W567" s="21">
        <f>IF(Q567="","",N(AF567)*S567)</f>
        <v/>
      </c>
      <c r="X567" s="11" t="n">
        <v>11439.29</v>
      </c>
      <c r="Y567" s="11" t="n">
        <v>210690.05</v>
      </c>
      <c r="Z567" s="11" t="n">
        <v>0</v>
      </c>
      <c r="AA567" s="21">
        <f>T567+U567+V567+N(W567)+X567+Y567+N(Z567)</f>
        <v/>
      </c>
      <c r="AB567" s="11" t="n">
        <v>199519.1633</v>
      </c>
      <c r="AC567" s="11" t="n">
        <v>1808751.29</v>
      </c>
      <c r="AD567" s="21">
        <f>O567-Y567</f>
        <v/>
      </c>
      <c r="AE567" s="21">
        <f>P567-X567</f>
        <v/>
      </c>
      <c r="AF567" s="21">
        <f>IF(Q567="","",Q567-Z567)</f>
        <v/>
      </c>
      <c r="AG567" s="22">
        <f>AC567+AD567+AE567+N(AF567)</f>
        <v/>
      </c>
      <c r="AH567" s="11" t="n">
        <v>1784192.1</v>
      </c>
      <c r="AI567" s="24">
        <f>AG567-AH567</f>
        <v/>
      </c>
      <c r="AJ567" s="14">
        <f>IF(OR(B567="",B567=0,N567=""),"",N567/B567*10000)</f>
        <v/>
      </c>
      <c r="AK567" s="14">
        <f>IF(OR(C567="",C567=0),"",O567/C567*10000)</f>
        <v/>
      </c>
      <c r="AL567" s="14">
        <f>IF(OR(D567="",D567=0),"",P567/D567*10000)</f>
        <v/>
      </c>
      <c r="AM567" s="14">
        <f>IF(OR(E567="",E567=0),"",Q567/E567*10000)</f>
        <v/>
      </c>
      <c r="AN567" s="11" t="n">
        <v>51634.36900136417</v>
      </c>
      <c r="AO567" s="11" t="n">
        <v>0</v>
      </c>
      <c r="AP567" s="21">
        <f>AH567+AN567+AO567</f>
        <v/>
      </c>
      <c r="AQ567" s="21">
        <f>AH567</f>
        <v/>
      </c>
      <c r="AR567" s="15" t="n">
        <v>24529.14</v>
      </c>
      <c r="AS567" s="27" t="n">
        <v>72.73765400000001</v>
      </c>
      <c r="AT567" s="15" t="n">
        <v>45249408.63473923</v>
      </c>
      <c r="AU567" s="15" t="n">
        <v>26783.7397</v>
      </c>
      <c r="AV567" s="15" t="n">
        <v>1776.3804</v>
      </c>
      <c r="AW567" s="15" t="n"/>
      <c r="AX567" s="16" t="n">
        <v>435.5359807852525</v>
      </c>
      <c r="AY567" s="13">
        <f>IF(OR(AX567="",AX567=0,AU567=""),"",AU567*365/(AX567*1000000))</f>
        <v/>
      </c>
      <c r="AZ567" s="15" t="n">
        <v>414001000.6533</v>
      </c>
      <c r="BA567" s="17" t="n">
        <v>60487233</v>
      </c>
      <c r="BB567" s="18" t="n">
        <v>45249408.63473923</v>
      </c>
      <c r="BC567" s="17" t="n">
        <v>2971663</v>
      </c>
      <c r="BD567" s="17">
        <f>1000000000-999172608.4314+269969.9146</f>
        <v/>
      </c>
      <c r="BE567" s="19">
        <f>1000000000-AZ567-BA567-BB567-BC567-BD567</f>
        <v/>
      </c>
      <c r="BF567" s="20" t="n">
        <v>233.529307</v>
      </c>
      <c r="BG567" s="20">
        <f>BE567/1000000-BF567</f>
        <v/>
      </c>
      <c r="BH567" s="21">
        <f>BE567*66.45</f>
        <v/>
      </c>
    </row>
    <row r="568">
      <c r="A568" s="10" t="n">
        <v>46190</v>
      </c>
      <c r="B568" s="11" t="n">
        <v>6237913097</v>
      </c>
      <c r="C568" s="11" t="n">
        <v>3722778873.47</v>
      </c>
      <c r="D568" s="11" t="n">
        <v>288133376</v>
      </c>
      <c r="E568" s="11" t="n">
        <v>3927455.68507</v>
      </c>
      <c r="F568" s="24" t="n">
        <v>741923501.3211844</v>
      </c>
      <c r="G568" s="24" t="n">
        <v>5682917.043099354</v>
      </c>
      <c r="H568" s="24" t="n">
        <v>7810482.717429152</v>
      </c>
      <c r="I568" s="24" t="n">
        <v>1078618306.546016</v>
      </c>
      <c r="J568" s="24" t="n">
        <v>1978284.056378175</v>
      </c>
      <c r="K568" s="24" t="n">
        <v>1886765381.785892</v>
      </c>
      <c r="L568" s="21">
        <f>SUM(F568:K568)</f>
        <v/>
      </c>
      <c r="M568" s="28" t="n">
        <v>1.002332216455635</v>
      </c>
      <c r="N568" s="11" t="n">
        <v>2100203.9</v>
      </c>
      <c r="O568" s="11" t="n">
        <v>417691.37</v>
      </c>
      <c r="P568" s="11" t="n">
        <v>130133.45</v>
      </c>
      <c r="Q568" s="11" t="n">
        <v>36.81218671</v>
      </c>
      <c r="R568" s="21">
        <f>N568+O568+P568+N(Q568)</f>
        <v/>
      </c>
      <c r="S568" s="13" t="n">
        <v>0.01</v>
      </c>
      <c r="T568" s="21">
        <f>N(AC568)*S568</f>
        <v/>
      </c>
      <c r="U568" s="21">
        <f>N(AD568)*S568</f>
        <v/>
      </c>
      <c r="V568" s="21">
        <f>N(AE568)*S568</f>
        <v/>
      </c>
      <c r="W568" s="21">
        <f>IF(Q568="","",N(AF568)*S568)</f>
        <v/>
      </c>
      <c r="X568" s="11" t="n">
        <v>10766.94</v>
      </c>
      <c r="Y568" s="11" t="n">
        <v>208146.58</v>
      </c>
      <c r="Z568" s="11" t="n">
        <v>0</v>
      </c>
      <c r="AA568" s="21">
        <f>T568+U568+V568+N(W568)+X568+Y568+N(Z568)</f>
        <v/>
      </c>
      <c r="AB568" s="11" t="n">
        <v>204345.9437</v>
      </c>
      <c r="AC568" s="11" t="n">
        <v>2100203.9</v>
      </c>
      <c r="AD568" s="21">
        <f>O568-Y568</f>
        <v/>
      </c>
      <c r="AE568" s="21">
        <f>P568-X568</f>
        <v/>
      </c>
      <c r="AF568" s="21">
        <f>IF(Q568="","",Q568-Z568)</f>
        <v/>
      </c>
      <c r="AG568" s="22">
        <f>AC568+AD568+AE568+N(AF568)</f>
        <v/>
      </c>
      <c r="AH568" s="11" t="n">
        <v>2017140.28</v>
      </c>
      <c r="AI568" s="24">
        <f>AG568-AH568</f>
        <v/>
      </c>
      <c r="AJ568" s="14">
        <f>IF(OR(B568="",B568=0,N568=""),"",N568/B568*10000)</f>
        <v/>
      </c>
      <c r="AK568" s="14">
        <f>IF(OR(C568="",C568=0),"",O568/C568*10000)</f>
        <v/>
      </c>
      <c r="AL568" s="14">
        <f>IF(OR(D568="",D568=0),"",P568/D568*10000)</f>
        <v/>
      </c>
      <c r="AM568" s="14">
        <f>IF(OR(E568="",E568=0),"",Q568/E568*10000)</f>
        <v/>
      </c>
      <c r="AN568" s="11" t="n">
        <v>66030.44423060355</v>
      </c>
      <c r="AO568" s="11" t="n">
        <v>0</v>
      </c>
      <c r="AP568" s="21">
        <f>AH568+AN568+AO568</f>
        <v/>
      </c>
      <c r="AQ568" s="21">
        <f>AH568</f>
        <v/>
      </c>
      <c r="AR568" s="15" t="n">
        <v>27632.13</v>
      </c>
      <c r="AS568" s="27" t="n">
        <v>72.99981099999999</v>
      </c>
      <c r="AT568" s="15" t="n">
        <v>45276840.35473923</v>
      </c>
      <c r="AU568" s="15" t="n">
        <v>26803.602</v>
      </c>
      <c r="AV568" s="15" t="n">
        <v>2026.3433</v>
      </c>
      <c r="AW568" s="15" t="n"/>
      <c r="AX568" s="16" t="n">
        <v>436.0984346378222</v>
      </c>
      <c r="AY568" s="13">
        <f>IF(OR(AX568="",AX568=0,AU568=""),"",AU568*365/(AX568*1000000))</f>
        <v/>
      </c>
      <c r="AZ568" s="15" t="n">
        <v>413974197.0514</v>
      </c>
      <c r="BA568" s="17" t="n">
        <v>60487233</v>
      </c>
      <c r="BB568" s="18" t="n">
        <v>45276840.35473923</v>
      </c>
      <c r="BC568" s="17" t="n">
        <v>2971663</v>
      </c>
      <c r="BD568" s="17">
        <f>1000000000-999170582.0881+270868.7772</f>
        <v/>
      </c>
      <c r="BE568" s="19">
        <f>1000000000-AZ568-BA568-BB568-BC568-BD568</f>
        <v/>
      </c>
      <c r="BF568" s="20" t="n">
        <v>233.529307</v>
      </c>
      <c r="BG568" s="20">
        <f>BE568/1000000-BF568</f>
        <v/>
      </c>
      <c r="BH568" s="21">
        <f>BE568*73.43</f>
        <v/>
      </c>
    </row>
    <row r="569">
      <c r="A569" s="10" t="n">
        <v>46191</v>
      </c>
      <c r="B569" s="11" t="n">
        <v>6027780182</v>
      </c>
      <c r="C569" s="11" t="n">
        <v>3502671280.51</v>
      </c>
      <c r="D569" s="11" t="n">
        <v>278897676</v>
      </c>
      <c r="E569" s="11" t="n">
        <v>3337660.115089998</v>
      </c>
      <c r="F569" s="24" t="n">
        <v>489944540.5378712</v>
      </c>
      <c r="G569" s="24" t="n">
        <v>3749275.990302934</v>
      </c>
      <c r="H569" s="24" t="n">
        <v>8818250.407321753</v>
      </c>
      <c r="I569" s="24" t="n">
        <v>950592670.2064127</v>
      </c>
      <c r="J569" s="24" t="n">
        <v>3949828.442860551</v>
      </c>
      <c r="K569" s="24" t="n">
        <v>2045616714.925231</v>
      </c>
      <c r="L569" s="21">
        <f>SUM(F569:K569)</f>
        <v/>
      </c>
      <c r="M569" s="28" t="n">
        <v>1.002793937834618</v>
      </c>
      <c r="N569" s="11" t="n">
        <v>1943752.04</v>
      </c>
      <c r="O569" s="11" t="n">
        <v>361752.64</v>
      </c>
      <c r="P569" s="11" t="n">
        <v>131326.07</v>
      </c>
      <c r="Q569" s="11" t="n">
        <v>15.97003377</v>
      </c>
      <c r="R569" s="21">
        <f>N569+O569+P569+N(Q569)</f>
        <v/>
      </c>
      <c r="S569" s="13" t="n">
        <v>0.01</v>
      </c>
      <c r="T569" s="21">
        <f>N(AC569)*S569</f>
        <v/>
      </c>
      <c r="U569" s="21">
        <f>N(AD569)*S569</f>
        <v/>
      </c>
      <c r="V569" s="21">
        <f>N(AE569)*S569</f>
        <v/>
      </c>
      <c r="W569" s="21">
        <f>IF(Q569="","",N(AF569)*S569)</f>
        <v/>
      </c>
      <c r="X569" s="11" t="n">
        <v>13628.45</v>
      </c>
      <c r="Y569" s="11" t="n">
        <v>180371.72</v>
      </c>
      <c r="Z569" s="11" t="n">
        <v>0</v>
      </c>
      <c r="AA569" s="21">
        <f>T569+U569+V569+N(W569)+X569+Y569+N(Z569)</f>
        <v/>
      </c>
      <c r="AB569" s="11" t="n">
        <v>147145.6935</v>
      </c>
      <c r="AC569" s="11" t="n">
        <v>1943752.04</v>
      </c>
      <c r="AD569" s="21">
        <f>O569-Y569</f>
        <v/>
      </c>
      <c r="AE569" s="21">
        <f>P569-X569</f>
        <v/>
      </c>
      <c r="AF569" s="21">
        <f>IF(Q569="","",Q569-Z569)</f>
        <v/>
      </c>
      <c r="AG569" s="22">
        <f>AC569+AD569+AE569+N(AF569)</f>
        <v/>
      </c>
      <c r="AH569" s="11" t="n">
        <v>1900042.6</v>
      </c>
      <c r="AI569" s="24">
        <f>AG569-AH569</f>
        <v/>
      </c>
      <c r="AJ569" s="14">
        <f>IF(OR(B569="",B569=0,N569=""),"",N569/B569*10000)</f>
        <v/>
      </c>
      <c r="AK569" s="14">
        <f>IF(OR(C569="",C569=0),"",O569/C569*10000)</f>
        <v/>
      </c>
      <c r="AL569" s="14">
        <f>IF(OR(D569="",D569=0),"",P569/D569*10000)</f>
        <v/>
      </c>
      <c r="AM569" s="14">
        <f>IF(OR(E569="",E569=0),"",Q569/E569*10000)</f>
        <v/>
      </c>
      <c r="AN569" s="11" t="n">
        <v>37364.42678237442</v>
      </c>
      <c r="AO569" s="11" t="n">
        <v>0</v>
      </c>
      <c r="AP569" s="21">
        <f>AH569+AN569+AO569</f>
        <v/>
      </c>
      <c r="AQ569" s="21">
        <f>AH569</f>
        <v/>
      </c>
      <c r="AR569" s="15" t="n">
        <v>27356.74</v>
      </c>
      <c r="AS569" s="27" t="n">
        <v>69.454277</v>
      </c>
      <c r="AT569" s="15" t="n">
        <v>45304710.41473923</v>
      </c>
      <c r="AU569" s="15" t="n">
        <v>26810.6535</v>
      </c>
      <c r="AV569" s="15" t="n">
        <v>1721.3577</v>
      </c>
      <c r="AW569" s="15" t="n"/>
      <c r="AX569" s="16" t="n">
        <v>436.2191991798201</v>
      </c>
      <c r="AY569" s="13">
        <f>IF(OR(AX569="",AX569=0,AU569=""),"",AU569*365/(AX569*1000000))</f>
        <v/>
      </c>
      <c r="AZ569" s="15" t="n">
        <v>413947386.3978</v>
      </c>
      <c r="BA569" s="17" t="n">
        <v>60487233</v>
      </c>
      <c r="BB569" s="18" t="n">
        <v>45304710.41473923</v>
      </c>
      <c r="BC569" s="17" t="n">
        <v>2971663</v>
      </c>
      <c r="BD569" s="17">
        <f>1000000000-999168860.7303+271387.1444</f>
        <v/>
      </c>
      <c r="BE569" s="19">
        <f>1000000000-AZ569-BA569-BB569-BC569-BD569</f>
        <v/>
      </c>
      <c r="BF569" s="20" t="n">
        <v>233.529307</v>
      </c>
      <c r="BG569" s="20">
        <f>BE569/1000000-BF569</f>
        <v/>
      </c>
      <c r="BH569" s="21">
        <f>BE569*72.04</f>
        <v/>
      </c>
    </row>
    <row r="570">
      <c r="A570" s="10" t="n">
        <v>46192</v>
      </c>
      <c r="B570" s="11" t="n">
        <v>3381814476</v>
      </c>
      <c r="C570" s="11" t="n">
        <v>1217256085.2</v>
      </c>
      <c r="D570" s="11" t="n">
        <v>152154234</v>
      </c>
      <c r="E570" s="11" t="n">
        <v>2764811.708060002</v>
      </c>
      <c r="F570" s="24" t="n">
        <v>345617176.4969444</v>
      </c>
      <c r="G570" s="24" t="n">
        <v>2315824.5748578</v>
      </c>
      <c r="H570" s="24" t="n">
        <v>6774603.553528882</v>
      </c>
      <c r="I570" s="24" t="n">
        <v>309756458.5958866</v>
      </c>
      <c r="J570" s="24" t="n">
        <v>901069.2283104477</v>
      </c>
      <c r="K570" s="24" t="n">
        <v>551890952.7504718</v>
      </c>
      <c r="L570" s="21">
        <f>SUM(F570:K570)</f>
        <v/>
      </c>
      <c r="M570" s="28" t="n">
        <v>0.9995572650619957</v>
      </c>
      <c r="N570" s="11" t="n">
        <v>1106178.11</v>
      </c>
      <c r="O570" s="11" t="n">
        <v>146839.76</v>
      </c>
      <c r="P570" s="11" t="n">
        <v>74994.00999999999</v>
      </c>
      <c r="Q570" s="11" t="n">
        <v>6.806466240000001</v>
      </c>
      <c r="R570" s="21">
        <f>N570+O570+P570+N(Q570)</f>
        <v/>
      </c>
      <c r="S570" s="13" t="n">
        <v>0.01</v>
      </c>
      <c r="T570" s="21">
        <f>N(AC570)*S570</f>
        <v/>
      </c>
      <c r="U570" s="21">
        <f>N(AD570)*S570</f>
        <v/>
      </c>
      <c r="V570" s="21">
        <f>N(AE570)*S570</f>
        <v/>
      </c>
      <c r="W570" s="21">
        <f>IF(Q570="","",N(AF570)*S570)</f>
        <v/>
      </c>
      <c r="X570" s="11" t="n">
        <v>6537.7</v>
      </c>
      <c r="Y570" s="11" t="n">
        <v>73068.77</v>
      </c>
      <c r="Z570" s="11" t="n">
        <v>0</v>
      </c>
      <c r="AA570" s="21">
        <f>T570+U570+V570+N(W570)+X570+Y570+N(Z570)</f>
        <v/>
      </c>
      <c r="AB570" s="11" t="n">
        <v>85705.24159999999</v>
      </c>
      <c r="AC570" s="11" t="n">
        <v>1106178.11</v>
      </c>
      <c r="AD570" s="21">
        <f>O570-Y570</f>
        <v/>
      </c>
      <c r="AE570" s="21">
        <f>P570-X570</f>
        <v/>
      </c>
      <c r="AF570" s="21">
        <f>IF(Q570="","",Q570-Z570)</f>
        <v/>
      </c>
      <c r="AG570" s="22">
        <f>AC570+AD570+AE570+N(AF570)</f>
        <v/>
      </c>
      <c r="AH570" s="11" t="n">
        <v>1056690.55</v>
      </c>
      <c r="AI570" s="24">
        <f>AG570-AH570</f>
        <v/>
      </c>
      <c r="AJ570" s="14">
        <f>IF(OR(B570="",B570=0,N570=""),"",N570/B570*10000)</f>
        <v/>
      </c>
      <c r="AK570" s="14">
        <f>IF(OR(C570="",C570=0),"",O570/C570*10000)</f>
        <v/>
      </c>
      <c r="AL570" s="14">
        <f>IF(OR(D570="",D570=0),"",P570/D570*10000)</f>
        <v/>
      </c>
      <c r="AM570" s="14">
        <f>IF(OR(E570="",E570=0),"",Q570/E570*10000)</f>
        <v/>
      </c>
      <c r="AN570" s="11" t="n">
        <v>26935.21507831207</v>
      </c>
      <c r="AO570" s="11" t="n">
        <v>0</v>
      </c>
      <c r="AP570" s="21">
        <f>AH570+AN570+AO570</f>
        <v/>
      </c>
      <c r="AQ570" s="21">
        <f>AH570</f>
        <v/>
      </c>
      <c r="AR570" s="15" t="n">
        <v>15525.86</v>
      </c>
      <c r="AS570" s="27" t="n">
        <v>68.060033</v>
      </c>
      <c r="AT570" s="15" t="n">
        <v>45320009.79473923</v>
      </c>
      <c r="AU570" s="15" t="n">
        <v>26822.4233</v>
      </c>
      <c r="AV570" s="15" t="n">
        <v>1976.7035</v>
      </c>
      <c r="AW570" s="15" t="n"/>
      <c r="AX570" s="16" t="n">
        <v>436.9289008468955</v>
      </c>
      <c r="AY570" s="13">
        <f>IF(OR(AX570="",AX570=0,AU570=""),"",AU570*365/(AX570*1000000))</f>
        <v/>
      </c>
      <c r="AZ570" s="15" t="n">
        <v>413920563.9745</v>
      </c>
      <c r="BA570" s="17" t="n">
        <v>60487233</v>
      </c>
      <c r="BB570" s="18" t="n">
        <v>45320009.79473923</v>
      </c>
      <c r="BC570" s="17" t="n">
        <v>2971663</v>
      </c>
      <c r="BD570" s="17">
        <f>1000000000-999166884.0268+271783.6529</f>
        <v/>
      </c>
      <c r="BE570" s="19">
        <f>1000000000-AZ570-BA570-BB570-BC570-BD570</f>
        <v/>
      </c>
      <c r="BF570" s="20" t="n">
        <v>233.529307</v>
      </c>
      <c r="BG570" s="20">
        <f>BE570/1000000-BF570</f>
        <v/>
      </c>
      <c r="BH570" s="21">
        <f>BE570*67.88</f>
        <v/>
      </c>
    </row>
    <row r="571">
      <c r="A571" s="10" t="n">
        <v>46193</v>
      </c>
      <c r="B571" s="11" t="n">
        <v>2489984282</v>
      </c>
      <c r="C571" s="11" t="n">
        <v>438722835.07</v>
      </c>
      <c r="D571" s="11" t="n">
        <v>92356501</v>
      </c>
      <c r="E571" s="11" t="n">
        <v>4529448.436159997</v>
      </c>
      <c r="F571" s="24" t="n">
        <v>145539566.2756674</v>
      </c>
      <c r="G571" s="24" t="n">
        <v>1692522.090829699</v>
      </c>
      <c r="H571" s="24" t="n">
        <v>1581783.599569549</v>
      </c>
      <c r="I571" s="24" t="n">
        <v>92071422.02008921</v>
      </c>
      <c r="J571" s="24" t="n">
        <v>473926.803304536</v>
      </c>
      <c r="K571" s="24" t="n">
        <v>197363614.2805396</v>
      </c>
      <c r="L571" s="21">
        <f>SUM(F571:K571)</f>
        <v/>
      </c>
      <c r="M571" s="28" t="n">
        <v>1.004713787867564</v>
      </c>
      <c r="N571" s="11" t="n">
        <v>849188.12</v>
      </c>
      <c r="O571" s="11" t="n">
        <v>65540.67999999999</v>
      </c>
      <c r="P571" s="11" t="n">
        <v>42456.29</v>
      </c>
      <c r="Q571" s="11" t="n">
        <v>7.03950349</v>
      </c>
      <c r="R571" s="21">
        <f>N571+O571+P571+N(Q571)</f>
        <v/>
      </c>
      <c r="S571" s="13" t="n">
        <v>0.01</v>
      </c>
      <c r="T571" s="21">
        <f>N(AC571)*S571</f>
        <v/>
      </c>
      <c r="U571" s="21">
        <f>N(AD571)*S571</f>
        <v/>
      </c>
      <c r="V571" s="21">
        <f>N(AE571)*S571</f>
        <v/>
      </c>
      <c r="W571" s="21">
        <f>IF(Q571="","",N(AF571)*S571)</f>
        <v/>
      </c>
      <c r="X571" s="11" t="n">
        <v>7534.55</v>
      </c>
      <c r="Y571" s="11" t="n">
        <v>32559.28</v>
      </c>
      <c r="Z571" s="11" t="n">
        <v>0</v>
      </c>
      <c r="AA571" s="21">
        <f>T571+U571+V571+N(W571)+X571+Y571+N(Z571)</f>
        <v/>
      </c>
      <c r="AB571" s="11" t="n">
        <v>67561.8379</v>
      </c>
      <c r="AC571" s="11" t="n">
        <v>849188.12</v>
      </c>
      <c r="AD571" s="21">
        <f>O571-Y571</f>
        <v/>
      </c>
      <c r="AE571" s="21">
        <f>P571-X571</f>
        <v/>
      </c>
      <c r="AF571" s="21">
        <f>IF(Q571="","",Q571-Z571)</f>
        <v/>
      </c>
      <c r="AG571" s="22">
        <f>AC571+AD571+AE571+N(AF571)</f>
        <v/>
      </c>
      <c r="AH571" s="11" t="n">
        <v>781245.29</v>
      </c>
      <c r="AI571" s="24">
        <f>AG571-AH571</f>
        <v/>
      </c>
      <c r="AJ571" s="14">
        <f>IF(OR(B571="",B571=0,N571=""),"",N571/B571*10000)</f>
        <v/>
      </c>
      <c r="AK571" s="14">
        <f>IF(OR(C571="",C571=0),"",O571/C571*10000)</f>
        <v/>
      </c>
      <c r="AL571" s="14">
        <f>IF(OR(D571="",D571=0),"",P571/D571*10000)</f>
        <v/>
      </c>
      <c r="AM571" s="14">
        <f>IF(OR(E571="",E571=0),"",Q571/E571*10000)</f>
        <v/>
      </c>
      <c r="AN571" s="11" t="n">
        <v>13380.66727153509</v>
      </c>
      <c r="AO571" s="11" t="n">
        <v>0</v>
      </c>
      <c r="AP571" s="21">
        <f>AH571+AN571+AO571</f>
        <v/>
      </c>
      <c r="AQ571" s="21">
        <f>AH571</f>
        <v/>
      </c>
      <c r="AR571" s="15" t="n">
        <v>11136.33</v>
      </c>
      <c r="AS571" s="27" t="n">
        <v>70.15285</v>
      </c>
      <c r="AT571" s="15" t="n">
        <v>45331070.95473923</v>
      </c>
      <c r="AU571" s="15" t="n">
        <v>26831.2357</v>
      </c>
      <c r="AV571" s="15" t="n">
        <v>969.0717</v>
      </c>
      <c r="AW571" s="15" t="n"/>
      <c r="AX571" s="16" t="n">
        <v>436.4950108491814</v>
      </c>
      <c r="AY571" s="13">
        <f>IF(OR(AX571="",AX571=0,AU571=""),"",AU571*365/(AX571*1000000))</f>
        <v/>
      </c>
      <c r="AZ571" s="15" t="n">
        <v>413893732.7388</v>
      </c>
      <c r="BA571" s="17" t="n">
        <v>60487233</v>
      </c>
      <c r="BB571" s="18" t="n">
        <v>45331070.95473923</v>
      </c>
      <c r="BC571" s="17" t="n">
        <v>2971663</v>
      </c>
      <c r="BD571" s="17">
        <f>1000000000-999165914.9551+271976.1971</f>
        <v/>
      </c>
      <c r="BE571" s="19">
        <f>1000000000-AZ571-BA571-BB571-BC571-BD571</f>
        <v/>
      </c>
      <c r="BF571" s="20" t="n">
        <v>233.529307</v>
      </c>
      <c r="BG571" s="20">
        <f>BE571/1000000-BF571</f>
        <v/>
      </c>
      <c r="BH571" s="21">
        <f>BE571*69.5</f>
        <v/>
      </c>
    </row>
    <row r="572">
      <c r="A572" s="10" t="n">
        <v>46194</v>
      </c>
      <c r="B572" s="11" t="n">
        <v>2841777935</v>
      </c>
      <c r="C572" s="11" t="n">
        <v>734869317.99</v>
      </c>
      <c r="D572" s="11" t="n">
        <v>82254769</v>
      </c>
      <c r="E572" s="11" t="n">
        <v>4701216.851689997</v>
      </c>
      <c r="F572" s="24" t="n">
        <v>326721503.2361851</v>
      </c>
      <c r="G572" s="24" t="n">
        <v>1144548.978349253</v>
      </c>
      <c r="H572" s="24" t="n">
        <v>2211308.647673953</v>
      </c>
      <c r="I572" s="24" t="n">
        <v>182818633.1089325</v>
      </c>
      <c r="J572" s="24" t="n">
        <v>158870.9077880746</v>
      </c>
      <c r="K572" s="24" t="n">
        <v>221814453.1110711</v>
      </c>
      <c r="L572" s="21">
        <f>SUM(F572:K572)</f>
        <v/>
      </c>
      <c r="M572" s="28" t="n">
        <v>1.063804806834561</v>
      </c>
      <c r="N572" s="11" t="n">
        <v>939071.27</v>
      </c>
      <c r="O572" s="11" t="n">
        <v>96157.7</v>
      </c>
      <c r="P572" s="11" t="n">
        <v>36627.88</v>
      </c>
      <c r="Q572" s="11" t="n">
        <v>70.60184874999999</v>
      </c>
      <c r="R572" s="21">
        <f>N572+O572+P572+N(Q572)</f>
        <v/>
      </c>
      <c r="S572" s="13" t="n">
        <v>0.01</v>
      </c>
      <c r="T572" s="21">
        <f>N(AC572)*S572</f>
        <v/>
      </c>
      <c r="U572" s="21">
        <f>N(AD572)*S572</f>
        <v/>
      </c>
      <c r="V572" s="21">
        <f>N(AE572)*S572</f>
        <v/>
      </c>
      <c r="W572" s="21">
        <f>IF(Q572="","",N(AF572)*S572)</f>
        <v/>
      </c>
      <c r="X572" s="11" t="n">
        <v>5688.1</v>
      </c>
      <c r="Y572" s="11" t="n">
        <v>47946.45</v>
      </c>
      <c r="Z572" s="11" t="n">
        <v>0</v>
      </c>
      <c r="AA572" s="21">
        <f>T572+U572+V572+N(W572)+X572+Y572+N(Z572)</f>
        <v/>
      </c>
      <c r="AB572" s="11" t="n">
        <v>62477.8735</v>
      </c>
      <c r="AC572" s="11" t="n">
        <v>939071.27</v>
      </c>
      <c r="AD572" s="21">
        <f>O572-Y572</f>
        <v/>
      </c>
      <c r="AE572" s="21">
        <f>P572-X572</f>
        <v/>
      </c>
      <c r="AF572" s="21">
        <f>IF(Q572="","",Q572-Z572)</f>
        <v/>
      </c>
      <c r="AG572" s="22">
        <f>AC572+AD572+AE572+N(AF572)</f>
        <v/>
      </c>
      <c r="AH572" s="11" t="n">
        <v>874230.33</v>
      </c>
      <c r="AI572" s="24">
        <f>AG572-AH572</f>
        <v/>
      </c>
      <c r="AJ572" s="14">
        <f>IF(OR(B572="",B572=0,N572=""),"",N572/B572*10000)</f>
        <v/>
      </c>
      <c r="AK572" s="14">
        <f>IF(OR(C572="",C572=0),"",O572/C572*10000)</f>
        <v/>
      </c>
      <c r="AL572" s="14">
        <f>IF(OR(D572="",D572=0),"",P572/D572*10000)</f>
        <v/>
      </c>
      <c r="AM572" s="14">
        <f>IF(OR(E572="",E572=0),"",Q572/E572*10000)</f>
        <v/>
      </c>
      <c r="AN572" s="11" t="n">
        <v>11552.76370300887</v>
      </c>
      <c r="AO572" s="11" t="n">
        <v>0</v>
      </c>
      <c r="AP572" s="21">
        <f>AH572+AN572+AO572</f>
        <v/>
      </c>
      <c r="AQ572" s="21">
        <f>AH572</f>
        <v/>
      </c>
      <c r="AR572" s="15" t="n">
        <v>12797.8</v>
      </c>
      <c r="AS572" s="27" t="n">
        <v>68.310985</v>
      </c>
      <c r="AT572" s="15" t="n">
        <v>45343919.27473923</v>
      </c>
      <c r="AU572" s="15" t="n">
        <v>26804.6869</v>
      </c>
      <c r="AV572" s="15" t="n">
        <v>737.8586</v>
      </c>
      <c r="AW572" s="15" t="n"/>
      <c r="AX572" s="16" t="n">
        <v>436.5102963806913</v>
      </c>
      <c r="AY572" s="13">
        <f>IF(OR(AX572="",AX572=0,AU572=""),"",AU572*365/(AX572*1000000))</f>
        <v/>
      </c>
      <c r="AZ572" s="15" t="n">
        <v>413866928.0519</v>
      </c>
      <c r="BA572" s="17" t="n">
        <v>60487233</v>
      </c>
      <c r="BB572" s="18" t="n">
        <v>45343919.27473923</v>
      </c>
      <c r="BC572" s="17" t="n">
        <v>2971663</v>
      </c>
      <c r="BD572" s="17">
        <f>1000000000-999165177.0965+272140.2988</f>
        <v/>
      </c>
      <c r="BE572" s="19">
        <f>1000000000-AZ572-BA572-BB572-BC572-BD572</f>
        <v/>
      </c>
      <c r="BF572" s="20" t="n">
        <v>233.529307</v>
      </c>
      <c r="BG572" s="20">
        <f>BE572/1000000-BF572</f>
        <v/>
      </c>
      <c r="BH572" s="21">
        <f>BE572*70.4</f>
        <v/>
      </c>
    </row>
    <row r="573">
      <c r="A573" s="10" t="n">
        <v>46195</v>
      </c>
      <c r="B573" s="11" t="n">
        <v>5783149465</v>
      </c>
      <c r="C573" s="11" t="n">
        <v>3581195097.71</v>
      </c>
      <c r="D573" s="11" t="n">
        <v>139459641</v>
      </c>
      <c r="E573" s="11" t="n">
        <v>4402204.279669996</v>
      </c>
      <c r="F573" s="24" t="n">
        <v>499425350.083272</v>
      </c>
      <c r="G573" s="24" t="n">
        <v>2547819.151308569</v>
      </c>
      <c r="H573" s="24" t="n">
        <v>28926053.74528822</v>
      </c>
      <c r="I573" s="24" t="n">
        <v>839604375.7796955</v>
      </c>
      <c r="J573" s="24" t="n">
        <v>10860722.04500775</v>
      </c>
      <c r="K573" s="24" t="n">
        <v>2199830776.905428</v>
      </c>
      <c r="L573" s="21">
        <f>SUM(F573:K573)</f>
        <v/>
      </c>
      <c r="M573" s="28" t="n">
        <v>1.003986502651536</v>
      </c>
      <c r="N573" s="11" t="n">
        <v>1717671.16</v>
      </c>
      <c r="O573" s="11" t="n">
        <v>380784.75</v>
      </c>
      <c r="P573" s="11" t="n">
        <v>59187.5</v>
      </c>
      <c r="Q573" s="11" t="n">
        <v>6.19476257</v>
      </c>
      <c r="R573" s="21">
        <f>N573+O573+P573+N(Q573)</f>
        <v/>
      </c>
      <c r="S573" s="13" t="n">
        <v>0.01</v>
      </c>
      <c r="T573" s="21">
        <f>N(AC573)*S573</f>
        <v/>
      </c>
      <c r="U573" s="21">
        <f>N(AD573)*S573</f>
        <v/>
      </c>
      <c r="V573" s="21">
        <f>N(AE573)*S573</f>
        <v/>
      </c>
      <c r="W573" s="21">
        <f>IF(Q573="","",N(AF573)*S573)</f>
        <v/>
      </c>
      <c r="X573" s="11" t="n">
        <v>8223.940000000001</v>
      </c>
      <c r="Y573" s="11" t="n">
        <v>190041.89</v>
      </c>
      <c r="Z573" s="11" t="n">
        <v>0</v>
      </c>
      <c r="AA573" s="21">
        <f>T573+U573+V573+N(W573)+X573+Y573+N(Z573)</f>
        <v/>
      </c>
      <c r="AB573" s="11" t="n">
        <v>144891.0419</v>
      </c>
      <c r="AC573" s="11" t="n">
        <v>1717671.16</v>
      </c>
      <c r="AD573" s="21">
        <f>O573-Y573</f>
        <v/>
      </c>
      <c r="AE573" s="21">
        <f>P573-X573</f>
        <v/>
      </c>
      <c r="AF573" s="21">
        <f>IF(Q573="","",Q573-Z573)</f>
        <v/>
      </c>
      <c r="AG573" s="22">
        <f>AC573+AD573+AE573+N(AF573)</f>
        <v/>
      </c>
      <c r="AH573" s="11" t="n">
        <v>1704488.49</v>
      </c>
      <c r="AI573" s="24">
        <f>AG573-AH573</f>
        <v/>
      </c>
      <c r="AJ573" s="14">
        <f>IF(OR(B573="",B573=0,N573=""),"",N573/B573*10000)</f>
        <v/>
      </c>
      <c r="AK573" s="14">
        <f>IF(OR(C573="",C573=0),"",O573/C573*10000)</f>
        <v/>
      </c>
      <c r="AL573" s="14">
        <f>IF(OR(D573="",D573=0),"",P573/D573*10000)</f>
        <v/>
      </c>
      <c r="AM573" s="14">
        <f>IF(OR(E573="",E573=0),"",Q573/E573*10000)</f>
        <v/>
      </c>
      <c r="AN573" s="11" t="n">
        <v>21091.15019233454</v>
      </c>
      <c r="AO573" s="11" t="n">
        <v>0</v>
      </c>
      <c r="AP573" s="21">
        <f>AH573+AN573+AO573</f>
        <v/>
      </c>
      <c r="AQ573" s="21">
        <f>AH573</f>
        <v/>
      </c>
      <c r="AR573" s="15" t="n">
        <v>25197.72</v>
      </c>
      <c r="AS573" s="27" t="n">
        <v>67.644552</v>
      </c>
      <c r="AT573" s="15" t="n">
        <v>45369236.59473923</v>
      </c>
      <c r="AU573" s="15" t="n">
        <v>26825.0245</v>
      </c>
      <c r="AV573" s="15" t="n">
        <v>1340.2162</v>
      </c>
      <c r="AW573" s="15" t="n"/>
      <c r="AX573" s="16" t="n">
        <v>436.6638454211553</v>
      </c>
      <c r="AY573" s="13">
        <f>IF(OR(AX573="",AX573=0,AU573=""),"",AU573*365/(AX573*1000000))</f>
        <v/>
      </c>
      <c r="AZ573" s="15" t="n">
        <v>413840103.0274</v>
      </c>
      <c r="BA573" s="17" t="n">
        <v>60487233</v>
      </c>
      <c r="BB573" s="18" t="n">
        <v>45369236.59473923</v>
      </c>
      <c r="BC573" s="17" t="n">
        <v>2971663</v>
      </c>
      <c r="BD573" s="17">
        <f>1000000000-999163836.8803+272454.3375</f>
        <v/>
      </c>
      <c r="BE573" s="19">
        <f>1000000000-AZ573-BA573-BB573-BC573-BD573</f>
        <v/>
      </c>
      <c r="BF573" s="20" t="n">
        <v>233.529307</v>
      </c>
      <c r="BG573" s="20">
        <f>BE573/1000000-BF573</f>
        <v/>
      </c>
      <c r="BH573" s="21">
        <f>BE573*67.16</f>
        <v/>
      </c>
    </row>
    <row r="574">
      <c r="A574" s="10" t="n">
        <v>46196</v>
      </c>
      <c r="B574" s="11" t="n">
        <v>5365191360</v>
      </c>
      <c r="C574" s="11" t="n">
        <v>4920994757.8</v>
      </c>
      <c r="D574" s="11" t="n">
        <v>184224857</v>
      </c>
      <c r="E574" s="11" t="n">
        <v>4148965.5828</v>
      </c>
      <c r="F574" s="24" t="n">
        <v>521287274.393379</v>
      </c>
      <c r="G574" s="24" t="n">
        <v>8514664.196386648</v>
      </c>
      <c r="H574" s="24" t="n">
        <v>14370641.0009908</v>
      </c>
      <c r="I574" s="24" t="n">
        <v>1372716860.45021</v>
      </c>
      <c r="J574" s="24" t="n">
        <v>9842332.110907026</v>
      </c>
      <c r="K574" s="24" t="n">
        <v>2994262985.648127</v>
      </c>
      <c r="L574" s="21">
        <f>SUM(F574:K574)</f>
        <v/>
      </c>
      <c r="M574" s="28" t="n">
        <v>1.00268524275342</v>
      </c>
      <c r="N574" s="11" t="n">
        <v>1690048.57</v>
      </c>
      <c r="O574" s="11" t="n">
        <v>468849.55</v>
      </c>
      <c r="P574" s="11" t="n">
        <v>92810.84</v>
      </c>
      <c r="Q574" s="11" t="n">
        <v>9.994603939999999</v>
      </c>
      <c r="R574" s="21">
        <f>N574+O574+P574+N(Q574)</f>
        <v/>
      </c>
      <c r="S574" s="13" t="n">
        <v>0.01</v>
      </c>
      <c r="T574" s="21">
        <f>N(AC574)*S574</f>
        <v/>
      </c>
      <c r="U574" s="21">
        <f>N(AD574)*S574</f>
        <v/>
      </c>
      <c r="V574" s="21">
        <f>N(AE574)*S574</f>
        <v/>
      </c>
      <c r="W574" s="21">
        <f>IF(Q574="","",N(AF574)*S574)</f>
        <v/>
      </c>
      <c r="X574" s="11" t="n">
        <v>13854.12</v>
      </c>
      <c r="Y574" s="11" t="n">
        <v>232770.76</v>
      </c>
      <c r="Z574" s="11" t="n">
        <v>0</v>
      </c>
      <c r="AA574" s="21">
        <f>T574+U574+V574+N(W574)+X574+Y574+N(Z574)</f>
        <v/>
      </c>
      <c r="AB574" s="11" t="n">
        <v>149932.5669</v>
      </c>
      <c r="AC574" s="11" t="n">
        <v>1690048.57</v>
      </c>
      <c r="AD574" s="21">
        <f>O574-Y574</f>
        <v/>
      </c>
      <c r="AE574" s="21">
        <f>P574-X574</f>
        <v/>
      </c>
      <c r="AF574" s="21">
        <f>IF(Q574="","",Q574-Z574)</f>
        <v/>
      </c>
      <c r="AG574" s="22">
        <f>AC574+AD574+AE574+N(AF574)</f>
        <v/>
      </c>
      <c r="AH574" s="11" t="n">
        <v>1714929.13</v>
      </c>
      <c r="AI574" s="24">
        <f>AG574-AH574</f>
        <v/>
      </c>
      <c r="AJ574" s="14">
        <f>IF(OR(B574="",B574=0,N574=""),"",N574/B574*10000)</f>
        <v/>
      </c>
      <c r="AK574" s="14">
        <f>IF(OR(C574="",C574=0),"",O574/C574*10000)</f>
        <v/>
      </c>
      <c r="AL574" s="14">
        <f>IF(OR(D574="",D574=0),"",P574/D574*10000)</f>
        <v/>
      </c>
      <c r="AM574" s="14">
        <f>IF(OR(E574="",E574=0),"",Q574/E574*10000)</f>
        <v/>
      </c>
      <c r="AN574" s="11" t="n">
        <v>18578.77980308296</v>
      </c>
      <c r="AO574" s="11" t="n">
        <v>0</v>
      </c>
      <c r="AP574" s="21">
        <f>AH574+AN574+AO574</f>
        <v/>
      </c>
      <c r="AQ574" s="21">
        <f>AH574</f>
        <v/>
      </c>
      <c r="AR574" s="15" t="n">
        <v>26972.49</v>
      </c>
      <c r="AS574" s="27" t="n">
        <v>63.580675</v>
      </c>
      <c r="AT574" s="15" t="n">
        <v>45395755.52473923</v>
      </c>
      <c r="AU574" s="15" t="n">
        <v>26819.4391</v>
      </c>
      <c r="AV574" s="15" t="n">
        <v>2370.0089</v>
      </c>
      <c r="AW574" s="15" t="n"/>
      <c r="AX574" s="16" t="n">
        <v>436.4827856950692</v>
      </c>
      <c r="AY574" s="13">
        <f>IF(OR(AX574="",AX574=0,AU574=""),"",AU574*365/(AX574*1000000))</f>
        <v/>
      </c>
      <c r="AZ574" s="15" t="n">
        <v>413813283.5883</v>
      </c>
      <c r="BA574" s="17" t="n">
        <v>60487233</v>
      </c>
      <c r="BB574" s="18" t="n">
        <v>45395755.52473923</v>
      </c>
      <c r="BC574" s="17" t="n">
        <v>2971663</v>
      </c>
      <c r="BD574" s="17">
        <f>1000000000-999161466.8714+272735.6083</f>
        <v/>
      </c>
      <c r="BE574" s="19">
        <f>1000000000-AZ574-BA574-BB574-BC574-BD574</f>
        <v/>
      </c>
      <c r="BF574" s="20" t="n">
        <v>233.529307</v>
      </c>
      <c r="BG574" s="20">
        <f>BE574/1000000-BF574</f>
        <v/>
      </c>
      <c r="BH574" s="21">
        <f>BE574*66.04</f>
        <v/>
      </c>
    </row>
    <row r="575">
      <c r="A575" s="10" t="n">
        <v>46197</v>
      </c>
      <c r="B575" s="11" t="n">
        <v>6364058146</v>
      </c>
      <c r="C575" s="11" t="n">
        <v>4199262758.31</v>
      </c>
      <c r="D575" s="11" t="n">
        <v>212529856</v>
      </c>
      <c r="E575" s="11" t="n">
        <v>4485157.37438</v>
      </c>
      <c r="F575" s="24" t="n">
        <v>619310790.7545664</v>
      </c>
      <c r="G575" s="24" t="n">
        <v>6470848.017783902</v>
      </c>
      <c r="H575" s="24" t="n">
        <v>8541499.935811367</v>
      </c>
      <c r="I575" s="24" t="n">
        <v>1279091917.127167</v>
      </c>
      <c r="J575" s="24" t="n">
        <v>6490865.921539224</v>
      </c>
      <c r="K575" s="24" t="n">
        <v>2279356836.553131</v>
      </c>
      <c r="L575" s="21">
        <f>SUM(F575:K575)</f>
        <v/>
      </c>
      <c r="M575" s="28" t="n">
        <v>1.003510130751776</v>
      </c>
      <c r="N575" s="11" t="n">
        <v>2161693.47</v>
      </c>
      <c r="O575" s="11" t="n">
        <v>441280.4</v>
      </c>
      <c r="P575" s="11" t="n">
        <v>108074.92</v>
      </c>
      <c r="Q575" s="11" t="n">
        <v>10.8718458</v>
      </c>
      <c r="R575" s="21">
        <f>N575+O575+P575+N(Q575)</f>
        <v/>
      </c>
      <c r="S575" s="13" t="n">
        <v>0.01</v>
      </c>
      <c r="T575" s="21">
        <f>N(AC575)*S575</f>
        <v/>
      </c>
      <c r="U575" s="21">
        <f>N(AD575)*S575</f>
        <v/>
      </c>
      <c r="V575" s="21">
        <f>N(AE575)*S575</f>
        <v/>
      </c>
      <c r="W575" s="21">
        <f>IF(Q575="","",N(AF575)*S575)</f>
        <v/>
      </c>
      <c r="X575" s="11" t="n">
        <v>23242.11</v>
      </c>
      <c r="Y575" s="11" t="n">
        <v>219825.98</v>
      </c>
      <c r="Z575" s="11" t="n">
        <v>0</v>
      </c>
      <c r="AA575" s="21">
        <f>T575+U575+V575+N(W575)+X575+Y575+N(Z575)</f>
        <v/>
      </c>
      <c r="AB575" s="11" t="n">
        <v>184749.5206</v>
      </c>
      <c r="AC575" s="11" t="n">
        <v>2161693.47</v>
      </c>
      <c r="AD575" s="21">
        <f>O575-Y575</f>
        <v/>
      </c>
      <c r="AE575" s="21">
        <f>P575-X575</f>
        <v/>
      </c>
      <c r="AF575" s="21">
        <f>IF(Q575="","",Q575-Z575)</f>
        <v/>
      </c>
      <c r="AG575" s="22">
        <f>AC575+AD575+AE575+N(AF575)</f>
        <v/>
      </c>
      <c r="AH575" s="11" t="n">
        <v>1820091.97</v>
      </c>
      <c r="AI575" s="24">
        <f>AG575-AH575</f>
        <v/>
      </c>
      <c r="AJ575" s="14">
        <f>IF(OR(B575="",B575=0,N575=""),"",N575/B575*10000)</f>
        <v/>
      </c>
      <c r="AK575" s="14">
        <f>IF(OR(C575="",C575=0),"",O575/C575*10000)</f>
        <v/>
      </c>
      <c r="AL575" s="14">
        <f>IF(OR(D575="",D575=0),"",P575/D575*10000)</f>
        <v/>
      </c>
      <c r="AM575" s="14">
        <f>IF(OR(E575="",E575=0),"",Q575/E575*10000)</f>
        <v/>
      </c>
      <c r="AN575" s="11" t="n">
        <v>22770.58196207033</v>
      </c>
      <c r="AO575" s="11" t="n">
        <v>0</v>
      </c>
      <c r="AP575" s="21">
        <f>AH575+AN575+AO575</f>
        <v/>
      </c>
      <c r="AQ575" s="21">
        <f>AH575</f>
        <v/>
      </c>
      <c r="AR575" s="15" t="n">
        <v>29904.4</v>
      </c>
      <c r="AS575" s="27" t="n">
        <v>60.863684</v>
      </c>
      <c r="AT575" s="15" t="n">
        <v>45430265.22473923</v>
      </c>
      <c r="AU575" s="15" t="n">
        <v>26822.3927</v>
      </c>
      <c r="AV575" s="15" t="n">
        <v>3477.7289</v>
      </c>
      <c r="AW575" s="15" t="n"/>
      <c r="AX575" s="16" t="n">
        <v>436.4199550923827</v>
      </c>
      <c r="AY575" s="13">
        <f>IF(OR(AX575="",AX575=0,AU575=""),"",AU575*365/(AX575*1000000))</f>
        <v/>
      </c>
      <c r="AZ575" s="15" t="n">
        <v>413786461.1956</v>
      </c>
      <c r="BA575" s="17" t="n">
        <v>60487233</v>
      </c>
      <c r="BB575" s="18" t="n">
        <v>45430265.22473923</v>
      </c>
      <c r="BC575" s="17" t="n">
        <v>2971663</v>
      </c>
      <c r="BD575" s="17">
        <f>1000000000-999157989.1425+273099.2510</f>
        <v/>
      </c>
      <c r="BE575" s="19">
        <f>1000000000-AZ575-BA575-BB575-BC575-BD575</f>
        <v/>
      </c>
      <c r="BF575" s="20" t="n">
        <v>233.529307</v>
      </c>
      <c r="BG575" s="20">
        <f>BE575/1000000-BF575</f>
        <v/>
      </c>
      <c r="BH575" s="21">
        <f>BE575*62.57</f>
        <v/>
      </c>
    </row>
    <row r="576">
      <c r="A576" s="10" t="n">
        <v>46198</v>
      </c>
      <c r="B576" s="11" t="n">
        <v>6879035419</v>
      </c>
      <c r="C576" s="11" t="n">
        <v>3783181089.63</v>
      </c>
      <c r="D576" s="11" t="n">
        <v>217015449</v>
      </c>
      <c r="E576" s="11" t="n">
        <v>5941377.108710008</v>
      </c>
      <c r="F576" s="24" t="n">
        <v>561652927.8526083</v>
      </c>
      <c r="G576" s="24" t="n">
        <v>7579665.097602902</v>
      </c>
      <c r="H576" s="24" t="n">
        <v>6110885.248179358</v>
      </c>
      <c r="I576" s="24" t="n">
        <v>1096286085.167926</v>
      </c>
      <c r="J576" s="24" t="n">
        <v>5524913.786424277</v>
      </c>
      <c r="K576" s="24" t="n">
        <v>2106026612.477259</v>
      </c>
      <c r="L576" s="21">
        <f>SUM(F576:K576)</f>
        <v/>
      </c>
      <c r="M576" s="28" t="n">
        <v>1.006861784147774</v>
      </c>
      <c r="N576" s="11" t="n">
        <v>2317927.74</v>
      </c>
      <c r="O576" s="11" t="n">
        <v>375440.67</v>
      </c>
      <c r="P576" s="11" t="n">
        <v>103866.28</v>
      </c>
      <c r="Q576" s="11" t="n">
        <v>75.67997428999999</v>
      </c>
      <c r="R576" s="21">
        <f>N576+O576+P576+N(Q576)</f>
        <v/>
      </c>
      <c r="S576" s="13" t="n">
        <v>0.01</v>
      </c>
      <c r="T576" s="21">
        <f>N(AC576)*S576</f>
        <v/>
      </c>
      <c r="U576" s="21">
        <f>N(AD576)*S576</f>
        <v/>
      </c>
      <c r="V576" s="21">
        <f>N(AE576)*S576</f>
        <v/>
      </c>
      <c r="W576" s="21">
        <f>IF(Q576="","",N(AF576)*S576)</f>
        <v/>
      </c>
      <c r="X576" s="11" t="n">
        <v>19318.7</v>
      </c>
      <c r="Y576" s="11" t="n">
        <v>186843.96</v>
      </c>
      <c r="Z576" s="11" t="n">
        <v>0</v>
      </c>
      <c r="AA576" s="21">
        <f>T576+U576+V576+N(W576)+X576+Y576+N(Z576)</f>
        <v/>
      </c>
      <c r="AB576" s="11" t="n">
        <v>48495.50720000001</v>
      </c>
      <c r="AC576" s="11" t="n">
        <v>2317927.74</v>
      </c>
      <c r="AD576" s="21">
        <f>O576-Y576</f>
        <v/>
      </c>
      <c r="AE576" s="21">
        <f>P576-X576</f>
        <v/>
      </c>
      <c r="AF576" s="21">
        <f>IF(Q576="","",Q576-Z576)</f>
        <v/>
      </c>
      <c r="AG576" s="22">
        <f>AC576+AD576+AE576+N(AF576)</f>
        <v/>
      </c>
      <c r="AH576" s="11" t="n">
        <v>2510389.45</v>
      </c>
      <c r="AI576" s="24">
        <f>AG576-AH576</f>
        <v/>
      </c>
      <c r="AJ576" s="14">
        <f>IF(OR(B576="",B576=0,N576=""),"",N576/B576*10000)</f>
        <v/>
      </c>
      <c r="AK576" s="14">
        <f>IF(OR(C576="",C576=0),"",O576/C576*10000)</f>
        <v/>
      </c>
      <c r="AL576" s="14">
        <f>IF(OR(D576="",D576=0),"",P576/D576*10000)</f>
        <v/>
      </c>
      <c r="AM576" s="14">
        <f>IF(OR(E576="",E576=0),"",Q576/E576*10000)</f>
        <v/>
      </c>
      <c r="AN576" s="11" t="n">
        <v>35222.27486975089</v>
      </c>
      <c r="AO576" s="11" t="n">
        <v>0</v>
      </c>
      <c r="AP576" s="21">
        <f>AH576+AN576+AO576</f>
        <v/>
      </c>
      <c r="AQ576" s="21">
        <f>AH576</f>
        <v/>
      </c>
      <c r="AR576" s="15" t="n">
        <v>40349.78</v>
      </c>
      <c r="AS576" s="27" t="n">
        <v>62.215691</v>
      </c>
      <c r="AT576" s="15" t="n">
        <v>45466227.13473923</v>
      </c>
      <c r="AU576" s="15" t="n">
        <v>26818.6481</v>
      </c>
      <c r="AV576" s="15" t="n">
        <v>3186.3365</v>
      </c>
      <c r="AW576" s="15" t="n"/>
      <c r="AX576" s="16" t="n">
        <v>436.3858371294926</v>
      </c>
      <c r="AY576" s="13">
        <f>IF(OR(AX576="",AX576=0,AU576=""),"",AU576*365/(AX576*1000000))</f>
        <v/>
      </c>
      <c r="AZ576" s="15" t="n">
        <v>413759642.5475</v>
      </c>
      <c r="BA576" s="17" t="n">
        <v>60487233</v>
      </c>
      <c r="BB576" s="18" t="n">
        <v>45466227.13473923</v>
      </c>
      <c r="BC576" s="17" t="n">
        <v>2971663</v>
      </c>
      <c r="BD576" s="17">
        <f>1000000000-999154802.806+273655.0880</f>
        <v/>
      </c>
      <c r="BE576" s="19">
        <f>1000000000-AZ576-BA576-BB576-BC576-BD576</f>
        <v/>
      </c>
      <c r="BF576" s="20" t="n">
        <v>233.529307</v>
      </c>
      <c r="BG576" s="20">
        <f>BE576/1000000-BF576</f>
        <v/>
      </c>
      <c r="BH576" s="21">
        <f>BE576*63.4</f>
        <v/>
      </c>
    </row>
    <row r="577">
      <c r="A577" s="10" t="n">
        <v>46199</v>
      </c>
      <c r="B577" s="11" t="n">
        <v>5963427099</v>
      </c>
      <c r="C577" s="11" t="n">
        <v>3581704824.71</v>
      </c>
      <c r="D577" s="11" t="n">
        <v>96703594</v>
      </c>
      <c r="E577" s="11" t="n">
        <v>6246317.923990004</v>
      </c>
      <c r="F577" s="24" t="n">
        <v>566697283.9241641</v>
      </c>
      <c r="G577" s="24" t="n">
        <v>7809351.562291179</v>
      </c>
      <c r="H577" s="24" t="n">
        <v>6462665.877929542</v>
      </c>
      <c r="I577" s="24" t="n">
        <v>1159672245.465042</v>
      </c>
      <c r="J577" s="24" t="n">
        <v>6639328.741506018</v>
      </c>
      <c r="K577" s="24" t="n">
        <v>1834423949.139067</v>
      </c>
      <c r="L577" s="21">
        <f>SUM(F577:K577)</f>
        <v/>
      </c>
      <c r="M577" s="28" t="n">
        <v>1.000389966008481</v>
      </c>
      <c r="N577" s="11" t="n">
        <v>2021699.45</v>
      </c>
      <c r="O577" s="11" t="n">
        <v>364724.39</v>
      </c>
      <c r="P577" s="11" t="n">
        <v>87558.52</v>
      </c>
      <c r="Q577" s="11" t="n">
        <v>299.0765023000001</v>
      </c>
      <c r="R577" s="21">
        <f>N577+O577+P577+N(Q577)</f>
        <v/>
      </c>
      <c r="S577" s="13" t="n">
        <v>0.01</v>
      </c>
      <c r="T577" s="21">
        <f>N(AC577)*S577</f>
        <v/>
      </c>
      <c r="U577" s="21">
        <f>N(AD577)*S577</f>
        <v/>
      </c>
      <c r="V577" s="21">
        <f>N(AE577)*S577</f>
        <v/>
      </c>
      <c r="W577" s="21">
        <f>IF(Q577="","",N(AF577)*S577)</f>
        <v/>
      </c>
      <c r="X577" s="11" t="n">
        <v>14179.89</v>
      </c>
      <c r="Y577" s="11" t="n">
        <v>181362.9</v>
      </c>
      <c r="Z577" s="11" t="n">
        <v>0</v>
      </c>
      <c r="AA577" s="21">
        <f>T577+U577+V577+N(W577)+X577+Y577+N(Z577)</f>
        <v/>
      </c>
      <c r="AB577" s="11" t="n">
        <v>179990.4797</v>
      </c>
      <c r="AC577" s="11" t="n">
        <v>2021699.45</v>
      </c>
      <c r="AD577" s="21">
        <f>O577-Y577</f>
        <v/>
      </c>
      <c r="AE577" s="21">
        <f>P577-X577</f>
        <v/>
      </c>
      <c r="AF577" s="21">
        <f>IF(Q577="","",Q577-Z577)</f>
        <v/>
      </c>
      <c r="AG577" s="22">
        <f>AC577+AD577+AE577+N(AF577)</f>
        <v/>
      </c>
      <c r="AH577" s="11" t="n">
        <v>1907933.03</v>
      </c>
      <c r="AI577" s="24">
        <f>AG577-AH577</f>
        <v/>
      </c>
      <c r="AJ577" s="14">
        <f>IF(OR(B577="",B577=0,N577=""),"",N577/B577*10000)</f>
        <v/>
      </c>
      <c r="AK577" s="14">
        <f>IF(OR(C577="",C577=0),"",O577/C577*10000)</f>
        <v/>
      </c>
      <c r="AL577" s="14">
        <f>IF(OR(D577="",D577=0),"",P577/D577*10000)</f>
        <v/>
      </c>
      <c r="AM577" s="14">
        <f>IF(OR(E577="",E577=0),"",Q577/E577*10000)</f>
        <v/>
      </c>
      <c r="AN577" s="11" t="n">
        <v>29933.29283822182</v>
      </c>
      <c r="AO577" s="11" t="n">
        <v>0</v>
      </c>
      <c r="AP577" s="21">
        <f>AH577+AN577+AO577</f>
        <v/>
      </c>
      <c r="AQ577" s="21">
        <f>AH577</f>
        <v/>
      </c>
      <c r="AR577" s="15" t="n">
        <v>30113.28</v>
      </c>
      <c r="AS577" s="27" t="n">
        <v>63.358526</v>
      </c>
      <c r="AT577" s="15" t="n">
        <v>45496434.30473923</v>
      </c>
      <c r="AU577" s="15" t="n">
        <v>26820.1227</v>
      </c>
      <c r="AV577" s="15" t="n">
        <v>3234.0917</v>
      </c>
      <c r="AW577" s="15" t="n"/>
      <c r="AX577" s="16" t="n">
        <v>436.3241374300998</v>
      </c>
      <c r="AY577" s="13">
        <f>IF(OR(AX577="",AX577=0,AU577=""),"",AU577*365/(AX577*1000000))</f>
        <v/>
      </c>
      <c r="AZ577" s="15" t="n">
        <v>413732822.4248</v>
      </c>
      <c r="BA577" s="17" t="n">
        <v>60487233</v>
      </c>
      <c r="BB577" s="18" t="n">
        <v>45496434.30473923</v>
      </c>
      <c r="BC577" s="17" t="n">
        <v>2971663</v>
      </c>
      <c r="BD577" s="17">
        <f>1000000000-999151568.7142+274124.7182</f>
        <v/>
      </c>
      <c r="BE577" s="19">
        <f>1000000000-AZ577-BA577-BB577-BC577-BD577</f>
        <v/>
      </c>
      <c r="BF577" s="20" t="n">
        <v>233.529307</v>
      </c>
      <c r="BG577" s="20">
        <f>BE577/1000000-BF577</f>
        <v/>
      </c>
      <c r="BH577" s="21">
        <f>BE577*63.74</f>
        <v/>
      </c>
    </row>
    <row r="578">
      <c r="A578" s="10" t="n">
        <v>46200</v>
      </c>
      <c r="B578" s="11" t="n">
        <v>2028512212</v>
      </c>
      <c r="C578" s="11" t="n">
        <v>375075638.14</v>
      </c>
      <c r="D578" s="11" t="n">
        <v>77999006</v>
      </c>
      <c r="E578" s="11" t="n">
        <v>12449448.09180999</v>
      </c>
      <c r="F578" s="24" t="n">
        <v>103890898.0762665</v>
      </c>
      <c r="G578" s="24" t="n">
        <v>1167805.449473601</v>
      </c>
      <c r="H578" s="24" t="n">
        <v>1376004.083289657</v>
      </c>
      <c r="I578" s="24" t="n">
        <v>96264355.99821144</v>
      </c>
      <c r="J578" s="24" t="n">
        <v>672047.0538756071</v>
      </c>
      <c r="K578" s="24" t="n">
        <v>171704527.4788832</v>
      </c>
      <c r="L578" s="21">
        <f>SUM(F578:K578)</f>
        <v/>
      </c>
      <c r="M578" s="28" t="n">
        <v>1.022042398203037</v>
      </c>
      <c r="N578" s="11" t="n">
        <v>705711.8199999999</v>
      </c>
      <c r="O578" s="11" t="n">
        <v>50343.88</v>
      </c>
      <c r="P578" s="11" t="n">
        <v>40579.39</v>
      </c>
      <c r="Q578" s="11" t="n">
        <v>465.4652356600002</v>
      </c>
      <c r="R578" s="21">
        <f>N578+O578+P578+N(Q578)</f>
        <v/>
      </c>
      <c r="S578" s="13" t="n">
        <v>0.01</v>
      </c>
      <c r="T578" s="21">
        <f>N(AC578)*S578</f>
        <v/>
      </c>
      <c r="U578" s="21">
        <f>N(AD578)*S578</f>
        <v/>
      </c>
      <c r="V578" s="21">
        <f>N(AE578)*S578</f>
        <v/>
      </c>
      <c r="W578" s="21">
        <f>IF(Q578="","",N(AF578)*S578)</f>
        <v/>
      </c>
      <c r="X578" s="11" t="n">
        <v>9769.58</v>
      </c>
      <c r="Y578" s="11" t="n">
        <v>25034.26</v>
      </c>
      <c r="Z578" s="11" t="n">
        <v>0</v>
      </c>
      <c r="AA578" s="21">
        <f>T578+U578+V578+N(W578)+X578+Y578+N(Z578)</f>
        <v/>
      </c>
      <c r="AB578" s="11" t="n">
        <v>58091.8147</v>
      </c>
      <c r="AC578" s="11" t="n">
        <v>705711.8199999999</v>
      </c>
      <c r="AD578" s="21">
        <f>O578-Y578</f>
        <v/>
      </c>
      <c r="AE578" s="21">
        <f>P578-X578</f>
        <v/>
      </c>
      <c r="AF578" s="21">
        <f>IF(Q578="","",Q578-Z578)</f>
        <v/>
      </c>
      <c r="AG578" s="22">
        <f>AC578+AD578+AE578+N(AF578)</f>
        <v/>
      </c>
      <c r="AH578" s="11" t="n">
        <v>655211.0600000001</v>
      </c>
      <c r="AI578" s="24">
        <f>AG578-AH578</f>
        <v/>
      </c>
      <c r="AJ578" s="14">
        <f>IF(OR(B578="",B578=0,N578=""),"",N578/B578*10000)</f>
        <v/>
      </c>
      <c r="AK578" s="14">
        <f>IF(OR(C578="",C578=0),"",O578/C578*10000)</f>
        <v/>
      </c>
      <c r="AL578" s="14">
        <f>IF(OR(D578="",D578=0),"",P578/D578*10000)</f>
        <v/>
      </c>
      <c r="AM578" s="14">
        <f>IF(OR(E578="",E578=0),"",Q578/E578*10000)</f>
        <v/>
      </c>
      <c r="AN578" s="11" t="n">
        <v>10573.19495826739</v>
      </c>
      <c r="AO578" s="11" t="n">
        <v>0</v>
      </c>
      <c r="AP578" s="21">
        <f>AH578+AN578+AO578</f>
        <v/>
      </c>
      <c r="AQ578" s="21">
        <f>AH578</f>
        <v/>
      </c>
      <c r="AR578" s="15" t="n">
        <v>10349.19</v>
      </c>
      <c r="AS578" s="27" t="n">
        <v>63.310371</v>
      </c>
      <c r="AT578" s="15" t="n">
        <v>45506675.75473923</v>
      </c>
      <c r="AU578" s="15" t="n">
        <v>26830.6483</v>
      </c>
      <c r="AV578" s="15" t="n">
        <v>2904.786</v>
      </c>
      <c r="AW578" s="15" t="n"/>
      <c r="AX578" s="16" t="n">
        <v>438.521165143378</v>
      </c>
      <c r="AY578" s="13">
        <f>IF(OR(AX578="",AX578=0,AU578=""),"",AU578*365/(AX578*1000000))</f>
        <v/>
      </c>
      <c r="AZ578" s="15" t="n">
        <v>413705991.7766</v>
      </c>
      <c r="BA578" s="17" t="n">
        <v>60487233</v>
      </c>
      <c r="BB578" s="18" t="n">
        <v>45506675.75473923</v>
      </c>
      <c r="BC578" s="17" t="n">
        <v>2971663</v>
      </c>
      <c r="BD578" s="17">
        <f>1000000000-999148663.9283+274291.2016</f>
        <v/>
      </c>
      <c r="BE578" s="19">
        <f>1000000000-AZ578-BA578-BB578-BC578-BD578</f>
        <v/>
      </c>
      <c r="BF578" s="20" t="n">
        <v>233.529307</v>
      </c>
      <c r="BG578" s="20">
        <f>BE578/1000000-BF578</f>
        <v/>
      </c>
      <c r="BH578" s="21">
        <f>BE578*63.56</f>
        <v/>
      </c>
    </row>
    <row r="579">
      <c r="A579" s="10" t="n">
        <v>46201</v>
      </c>
      <c r="B579" s="11" t="n">
        <v>2335980769</v>
      </c>
      <c r="C579" s="11" t="n">
        <v>750501541.15</v>
      </c>
      <c r="D579" s="11" t="n">
        <v>88509402</v>
      </c>
      <c r="E579" s="11" t="n">
        <v>4937856.040020003</v>
      </c>
      <c r="F579" s="24" t="n">
        <v>225839415.4096124</v>
      </c>
      <c r="G579" s="24" t="n">
        <v>4040758.04432948</v>
      </c>
      <c r="H579" s="24" t="n">
        <v>1803613.413244498</v>
      </c>
      <c r="I579" s="24" t="n">
        <v>232811839.9506952</v>
      </c>
      <c r="J579" s="24" t="n">
        <v>177819.4756385778</v>
      </c>
      <c r="K579" s="24" t="n">
        <v>285828094.8564799</v>
      </c>
      <c r="L579" s="21">
        <f>SUM(F579:K579)</f>
        <v/>
      </c>
      <c r="M579" s="28" t="n">
        <v>1.021745487426275</v>
      </c>
      <c r="N579" s="11" t="n">
        <v>825217.67</v>
      </c>
      <c r="O579" s="11" t="n">
        <v>89354.26999999999</v>
      </c>
      <c r="P579" s="11" t="n">
        <v>42282.13</v>
      </c>
      <c r="Q579" s="11" t="n">
        <v>504.4918633800001</v>
      </c>
      <c r="R579" s="21">
        <f>N579+O579+P579+N(Q579)</f>
        <v/>
      </c>
      <c r="S579" s="13" t="n">
        <v>0.01</v>
      </c>
      <c r="T579" s="21">
        <f>N(AC579)*S579</f>
        <v/>
      </c>
      <c r="U579" s="21">
        <f>N(AD579)*S579</f>
        <v/>
      </c>
      <c r="V579" s="21">
        <f>N(AE579)*S579</f>
        <v/>
      </c>
      <c r="W579" s="21">
        <f>IF(Q579="","",N(AF579)*S579)</f>
        <v/>
      </c>
      <c r="X579" s="11" t="n">
        <v>10236.87</v>
      </c>
      <c r="Y579" s="11" t="n">
        <v>43952.64</v>
      </c>
      <c r="Z579" s="11" t="n">
        <v>0</v>
      </c>
      <c r="AA579" s="21">
        <f>T579+U579+V579+N(W579)+X579+Y579+N(Z579)</f>
        <v/>
      </c>
      <c r="AB579" s="11" t="n">
        <v>67705.87390000001</v>
      </c>
      <c r="AC579" s="11" t="n">
        <v>825217.67</v>
      </c>
      <c r="AD579" s="21">
        <f>O579-Y579</f>
        <v/>
      </c>
      <c r="AE579" s="21">
        <f>P579-X579</f>
        <v/>
      </c>
      <c r="AF579" s="21">
        <f>IF(Q579="","",Q579-Z579)</f>
        <v/>
      </c>
      <c r="AG579" s="22">
        <f>AC579+AD579+AE579+N(AF579)</f>
        <v/>
      </c>
      <c r="AH579" s="11" t="n">
        <v>731274.78</v>
      </c>
      <c r="AI579" s="24">
        <f>AG579-AH579</f>
        <v/>
      </c>
      <c r="AJ579" s="14">
        <f>IF(OR(B579="",B579=0,N579=""),"",N579/B579*10000)</f>
        <v/>
      </c>
      <c r="AK579" s="14">
        <f>IF(OR(C579="",C579=0),"",O579/C579*10000)</f>
        <v/>
      </c>
      <c r="AL579" s="14">
        <f>IF(OR(D579="",D579=0),"",P579/D579*10000)</f>
        <v/>
      </c>
      <c r="AM579" s="14">
        <f>IF(OR(E579="",E579=0),"",Q579/E579*10000)</f>
        <v/>
      </c>
      <c r="AN579" s="11" t="n">
        <v>9762.633731261103</v>
      </c>
      <c r="AO579" s="11" t="n">
        <v>0</v>
      </c>
      <c r="AP579" s="21">
        <f>AH579+AN579+AO579</f>
        <v/>
      </c>
      <c r="AQ579" s="21">
        <f>AH579</f>
        <v/>
      </c>
      <c r="AR579" s="15" t="n">
        <v>11787.75</v>
      </c>
      <c r="AS579" s="27" t="n">
        <v>62.036842</v>
      </c>
      <c r="AT579" s="15" t="n">
        <v>45519632.19473923</v>
      </c>
      <c r="AU579" s="15" t="n">
        <v>26890.2376</v>
      </c>
      <c r="AV579" s="15" t="n">
        <v>917.9385</v>
      </c>
      <c r="AW579" s="15" t="n"/>
      <c r="AX579" s="16" t="n">
        <v>438.6618069757572</v>
      </c>
      <c r="AY579" s="13">
        <f>IF(OR(AX579="",AX579=0,AU579=""),"",AU579*365/(AX579*1000000))</f>
        <v/>
      </c>
      <c r="AZ579" s="15" t="n">
        <v>413679101.539</v>
      </c>
      <c r="BA579" s="17" t="n">
        <v>60487233</v>
      </c>
      <c r="BB579" s="18" t="n">
        <v>45519632.19473923</v>
      </c>
      <c r="BC579" s="17" t="n">
        <v>2971663</v>
      </c>
      <c r="BD579" s="17">
        <f>1000000000-999147745.9897+274448.5239</f>
        <v/>
      </c>
      <c r="BE579" s="19">
        <f>1000000000-AZ579-BA579-BB579-BC579-BD579</f>
        <v/>
      </c>
      <c r="BF579" s="20" t="n">
        <v>233.529307</v>
      </c>
      <c r="BG579" s="20">
        <f>BE579/1000000-BF579</f>
        <v/>
      </c>
      <c r="BH579" s="21">
        <f>BE579*62.08</f>
        <v/>
      </c>
    </row>
    <row r="580">
      <c r="A580" s="10" t="n">
        <v>46202</v>
      </c>
      <c r="B580" s="11" t="n">
        <v>4609163647</v>
      </c>
      <c r="C580" s="11" t="n">
        <v>3261693886.06</v>
      </c>
      <c r="D580" s="11" t="n">
        <v>167118646</v>
      </c>
      <c r="E580" s="11" t="n">
        <v>5143186.165389988</v>
      </c>
      <c r="F580" s="24" t="n">
        <v>319268085.0694779</v>
      </c>
      <c r="G580" s="24" t="n">
        <v>11401487.01303602</v>
      </c>
      <c r="H580" s="24" t="n">
        <v>31072489.45275514</v>
      </c>
      <c r="I580" s="24" t="n">
        <v>1030044589.922664</v>
      </c>
      <c r="J580" s="24" t="n">
        <v>6058683.095561548</v>
      </c>
      <c r="K580" s="24" t="n">
        <v>1863848551.506505</v>
      </c>
      <c r="L580" s="21">
        <f>SUM(F580:K580)</f>
        <v/>
      </c>
      <c r="M580" s="28" t="n">
        <v>1.00181589806835</v>
      </c>
      <c r="N580" s="11" t="n">
        <v>1592152.42</v>
      </c>
      <c r="O580" s="11" t="n">
        <v>373870.93</v>
      </c>
      <c r="P580" s="11" t="n">
        <v>83609.92</v>
      </c>
      <c r="Q580" s="11" t="n">
        <v>256.38756133</v>
      </c>
      <c r="R580" s="21">
        <f>N580+O580+P580+N(Q580)</f>
        <v/>
      </c>
      <c r="S580" s="13" t="n">
        <v>0.01</v>
      </c>
      <c r="T580" s="21">
        <f>N(AC580)*S580</f>
        <v/>
      </c>
      <c r="U580" s="21">
        <f>N(AD580)*S580</f>
        <v/>
      </c>
      <c r="V580" s="21">
        <f>N(AE580)*S580</f>
        <v/>
      </c>
      <c r="W580" s="21">
        <f>IF(Q580="","",N(AF580)*S580)</f>
        <v/>
      </c>
      <c r="X580" s="11" t="n">
        <v>20193.4</v>
      </c>
      <c r="Y580" s="11" t="n">
        <v>185307.55</v>
      </c>
      <c r="Z580" s="11" t="n">
        <v>0</v>
      </c>
      <c r="AA580" s="21">
        <f>T580+U580+V580+N(W580)+X580+Y580+N(Z580)</f>
        <v/>
      </c>
      <c r="AB580" s="11" t="n">
        <v>136324.2529</v>
      </c>
      <c r="AC580" s="11" t="n">
        <v>1592152.42</v>
      </c>
      <c r="AD580" s="21">
        <f>O580-Y580</f>
        <v/>
      </c>
      <c r="AE580" s="21">
        <f>P580-X580</f>
        <v/>
      </c>
      <c r="AF580" s="21">
        <f>IF(Q580="","",Q580-Z580)</f>
        <v/>
      </c>
      <c r="AG580" s="22">
        <f>AC580+AD580+AE580+N(AF580)</f>
        <v/>
      </c>
      <c r="AH580" s="11" t="n">
        <v>1586444.15</v>
      </c>
      <c r="AI580" s="24">
        <f>AG580-AH580</f>
        <v/>
      </c>
      <c r="AJ580" s="14">
        <f>IF(OR(B580="",B580=0,N580=""),"",N580/B580*10000)</f>
        <v/>
      </c>
      <c r="AK580" s="14">
        <f>IF(OR(C580="",C580=0),"",O580/C580*10000)</f>
        <v/>
      </c>
      <c r="AL580" s="14">
        <f>IF(OR(D580="",D580=0),"",P580/D580*10000)</f>
        <v/>
      </c>
      <c r="AM580" s="14">
        <f>IF(OR(E580="",E580=0),"",Q580/E580*10000)</f>
        <v/>
      </c>
      <c r="AN580" s="11" t="n">
        <v>22619.96085869856</v>
      </c>
      <c r="AO580" s="11" t="n">
        <v>30710.21</v>
      </c>
      <c r="AP580" s="21">
        <f>AH580+AN580+AO580</f>
        <v/>
      </c>
      <c r="AQ580" s="21">
        <f>AH580</f>
        <v/>
      </c>
      <c r="AR580" s="15" t="n">
        <v>24814.76</v>
      </c>
      <c r="AS580" s="27" t="n">
        <v>63.931473</v>
      </c>
      <c r="AT580" s="15" t="n">
        <v>45543526.37473923</v>
      </c>
      <c r="AU580" s="15" t="n">
        <v>26867.9168</v>
      </c>
      <c r="AV580" s="15" t="n">
        <v>952.2797</v>
      </c>
      <c r="AW580" s="15" t="n"/>
      <c r="AX580" s="16" t="n">
        <v>438.6328782461741</v>
      </c>
      <c r="AY580" s="13">
        <f>IF(OR(AX580="",AX580=0,AU580=""),"",AU580*365/(AX580*1000000))</f>
        <v/>
      </c>
      <c r="AZ580" s="15" t="n">
        <v>413652233.6222</v>
      </c>
      <c r="BA580" s="17" t="n">
        <v>60487233</v>
      </c>
      <c r="BB580" s="18" t="n">
        <v>45543526.37473923</v>
      </c>
      <c r="BC580" s="17" t="n">
        <v>2971663</v>
      </c>
      <c r="BD580" s="17">
        <f>1000000000-999146793.71+274820.7035</f>
        <v/>
      </c>
      <c r="BE580" s="19">
        <f>1000000000-AZ580-BA580-BB580-BC580-BD580</f>
        <v/>
      </c>
      <c r="BF580" s="20" t="n">
        <v>233.529307</v>
      </c>
      <c r="BG580" s="20">
        <f>BE580/1000000-BF580</f>
        <v/>
      </c>
      <c r="BH580" s="21">
        <f>BE580*60.75</f>
        <v/>
      </c>
    </row>
    <row r="581">
      <c r="A581" s="10" t="n">
        <v>46203</v>
      </c>
      <c r="B581" s="11" t="n">
        <v>4275587709</v>
      </c>
      <c r="C581" s="11" t="n">
        <v>2552673808.03</v>
      </c>
      <c r="D581" s="11" t="n">
        <v>122699608</v>
      </c>
      <c r="E581" s="11" t="n">
        <v>5452152.553870003</v>
      </c>
      <c r="F581" s="24" t="n">
        <v>364589590.372457</v>
      </c>
      <c r="G581" s="24" t="n">
        <v>4662663.572499558</v>
      </c>
      <c r="H581" s="24" t="n">
        <v>11909317.98440808</v>
      </c>
      <c r="I581" s="24" t="n">
        <v>675494102.0322236</v>
      </c>
      <c r="J581" s="24" t="n">
        <v>7992489.795796556</v>
      </c>
      <c r="K581" s="24" t="n">
        <v>1488025644.272615</v>
      </c>
      <c r="L581" s="21">
        <f>SUM(F581:K581)</f>
        <v/>
      </c>
      <c r="M581" s="28" t="n">
        <v>1.004528315952498</v>
      </c>
      <c r="N581" s="11" t="n">
        <v>1471760.42</v>
      </c>
      <c r="O581" s="11" t="n">
        <v>267722.87</v>
      </c>
      <c r="P581" s="11" t="n">
        <v>61673.81</v>
      </c>
      <c r="Q581" s="11" t="n">
        <v>680.5884351399998</v>
      </c>
      <c r="R581" s="21">
        <f>N581+O581+P581+N(Q581)</f>
        <v/>
      </c>
      <c r="S581" s="13" t="n">
        <v>0.01</v>
      </c>
      <c r="T581" s="21">
        <f>N(AC581)*S581</f>
        <v/>
      </c>
      <c r="U581" s="21">
        <f>N(AD581)*S581</f>
        <v/>
      </c>
      <c r="V581" s="21">
        <f>N(AE581)*S581</f>
        <v/>
      </c>
      <c r="W581" s="21">
        <f>IF(Q581="","",N(AF581)*S581)</f>
        <v/>
      </c>
      <c r="X581" s="11" t="n">
        <v>12593.69</v>
      </c>
      <c r="Y581" s="11" t="n">
        <v>133236.71</v>
      </c>
      <c r="Z581" s="11" t="n">
        <v>0</v>
      </c>
      <c r="AA581" s="21">
        <f>T581+U581+V581+N(W581)+X581+Y581+N(Z581)</f>
        <v/>
      </c>
      <c r="AB581" s="11" t="n">
        <v>125376.9636</v>
      </c>
      <c r="AC581" s="11" t="n">
        <v>1471760.42</v>
      </c>
      <c r="AD581" s="21">
        <f>O581-Y581</f>
        <v/>
      </c>
      <c r="AE581" s="21">
        <f>P581-X581</f>
        <v/>
      </c>
      <c r="AF581" s="21">
        <f>IF(Q581="","",Q581-Z581)</f>
        <v/>
      </c>
      <c r="AG581" s="22">
        <f>AC581+AD581+AE581+N(AF581)</f>
        <v/>
      </c>
      <c r="AH581" s="11" t="n">
        <v>1385218.58</v>
      </c>
      <c r="AI581" s="24">
        <f>AG581-AH581</f>
        <v/>
      </c>
      <c r="AJ581" s="14">
        <f>IF(OR(B581="",B581=0,N581=""),"",N581/B581*10000)</f>
        <v/>
      </c>
      <c r="AK581" s="14">
        <f>IF(OR(C581="",C581=0),"",O581/C581*10000)</f>
        <v/>
      </c>
      <c r="AL581" s="14">
        <f>IF(OR(D581="",D581=0),"",P581/D581*10000)</f>
        <v/>
      </c>
      <c r="AM581" s="14">
        <f>IF(OR(E581="",E581=0),"",Q581/E581*10000)</f>
        <v/>
      </c>
      <c r="AN581" s="11" t="n">
        <v>21269.83479829552</v>
      </c>
      <c r="AO581" s="11" t="n">
        <v>0</v>
      </c>
      <c r="AP581" s="21">
        <f>AH581+AN581+AO581</f>
        <v/>
      </c>
      <c r="AQ581" s="21">
        <f>AH581</f>
        <v/>
      </c>
      <c r="AR581" s="15" t="n">
        <v>21245.65</v>
      </c>
      <c r="AS581" s="27" t="n">
        <v>65.200104</v>
      </c>
      <c r="AT581" s="15" t="n">
        <v>45564841.79473923</v>
      </c>
      <c r="AU581" s="15" t="n">
        <v>26885.214</v>
      </c>
      <c r="AV581" s="15" t="n">
        <v>3185.1797</v>
      </c>
      <c r="AW581" s="15" t="n"/>
      <c r="AX581" s="16" t="n">
        <v>438.1081247597259</v>
      </c>
      <c r="AY581" s="13">
        <f>IF(OR(AX581="",AX581=0,AU581=""),"",AU581*365/(AX581*1000000))</f>
        <v/>
      </c>
      <c r="AZ581" s="15" t="n">
        <v>413625348.4082</v>
      </c>
      <c r="BA581" s="17" t="n">
        <v>60487233</v>
      </c>
      <c r="BB581" s="18" t="n">
        <v>45564841.79473923</v>
      </c>
      <c r="BC581" s="17" t="n">
        <v>2971663</v>
      </c>
      <c r="BD581" s="17">
        <f>1000000000-999143608.5303+275142.7688</f>
        <v/>
      </c>
      <c r="BE581" s="19">
        <f>1000000000-AZ581-BA581-BB581-BC581-BD581</f>
        <v/>
      </c>
      <c r="BF581" s="20" t="n">
        <v>233.529307</v>
      </c>
      <c r="BG581" s="20">
        <f>BE581/1000000-BF581</f>
        <v/>
      </c>
      <c r="BH581" s="21">
        <f>BE581*66.05</f>
        <v/>
      </c>
    </row>
    <row r="582">
      <c r="A582" s="10" t="n">
        <v>46204</v>
      </c>
      <c r="B582" s="11" t="n">
        <v>5911005903</v>
      </c>
      <c r="C582" s="11" t="n">
        <v>3569373400.94</v>
      </c>
      <c r="D582" s="11" t="n">
        <v>159299323</v>
      </c>
      <c r="E582" s="11" t="n">
        <v>4678191.963279996</v>
      </c>
      <c r="F582" s="24" t="n">
        <v>370640633.0398122</v>
      </c>
      <c r="G582" s="24" t="n">
        <v>6003594.332623527</v>
      </c>
      <c r="H582" s="24" t="n">
        <v>5729710.887081117</v>
      </c>
      <c r="I582" s="24" t="n">
        <v>889994105.6004155</v>
      </c>
      <c r="J582" s="24" t="n">
        <v>5776806.53140703</v>
      </c>
      <c r="K582" s="24" t="n">
        <v>2291228550.548661</v>
      </c>
      <c r="L582" s="21">
        <f>SUM(F582:K582)</f>
        <v/>
      </c>
      <c r="M582" s="28" t="n">
        <v>1.008059371090355</v>
      </c>
      <c r="N582" s="11" t="n">
        <v>2061434.16</v>
      </c>
      <c r="O582" s="11" t="n">
        <v>377607.14</v>
      </c>
      <c r="P582" s="11" t="n">
        <v>80370.71000000001</v>
      </c>
      <c r="Q582" s="11" t="n">
        <v>395.9982626899996</v>
      </c>
      <c r="R582" s="21">
        <f>N582+O582+P582+N(Q582)</f>
        <v/>
      </c>
      <c r="S582" s="13" t="n">
        <v>0.01</v>
      </c>
      <c r="T582" s="21">
        <f>N(AC582)*S582</f>
        <v/>
      </c>
      <c r="U582" s="21">
        <f>N(AD582)*S582</f>
        <v/>
      </c>
      <c r="V582" s="21">
        <f>N(AE582)*S582</f>
        <v/>
      </c>
      <c r="W582" s="21">
        <f>IF(Q582="","",N(AF582)*S582)</f>
        <v/>
      </c>
      <c r="X582" s="11" t="n">
        <v>17596.73</v>
      </c>
      <c r="Y582" s="11" t="n">
        <v>188003.69</v>
      </c>
      <c r="Z582" s="11" t="n">
        <v>0</v>
      </c>
      <c r="AA582" s="21">
        <f>T582+U582+V582+N(W582)+X582+Y582+N(Z582)</f>
        <v/>
      </c>
      <c r="AB582" s="11" t="n">
        <v>188488.6478</v>
      </c>
      <c r="AC582" s="11" t="n">
        <v>2061434.16</v>
      </c>
      <c r="AD582" s="21">
        <f>O582-Y582</f>
        <v/>
      </c>
      <c r="AE582" s="21">
        <f>P582-X582</f>
        <v/>
      </c>
      <c r="AF582" s="21">
        <f>IF(Q582="","",Q582-Z582)</f>
        <v/>
      </c>
      <c r="AG582" s="22">
        <f>AC582+AD582+AE582+N(AF582)</f>
        <v/>
      </c>
      <c r="AH582" s="11" t="n">
        <v>1945507.76</v>
      </c>
      <c r="AI582" s="24">
        <f>AG582-AH582</f>
        <v/>
      </c>
      <c r="AJ582" s="14">
        <f>IF(OR(B582="",B582=0,N582=""),"",N582/B582*10000)</f>
        <v/>
      </c>
      <c r="AK582" s="14">
        <f>IF(OR(C582="",C582=0),"",O582/C582*10000)</f>
        <v/>
      </c>
      <c r="AL582" s="14">
        <f>IF(OR(D582="",D582=0),"",P582/D582*10000)</f>
        <v/>
      </c>
      <c r="AM582" s="14">
        <f>IF(OR(E582="",E582=0),"",Q582/E582*10000)</f>
        <v/>
      </c>
      <c r="AN582" s="11" t="n">
        <v>28409.70054150622</v>
      </c>
      <c r="AO582" s="11" t="n">
        <v>0</v>
      </c>
      <c r="AP582" s="21">
        <f>AH582+AN582+AO582</f>
        <v/>
      </c>
      <c r="AQ582" s="21">
        <f>AH582</f>
        <v/>
      </c>
      <c r="AR582" s="15" t="n">
        <v>30432.03</v>
      </c>
      <c r="AS582" s="27" t="n">
        <v>63.929608</v>
      </c>
      <c r="AT582" s="15" t="n">
        <v>45595389.92473923</v>
      </c>
      <c r="AU582" s="15" t="n">
        <v>26874.9419</v>
      </c>
      <c r="AV582" s="15" t="n">
        <v>1591.5108</v>
      </c>
      <c r="AW582" s="15" t="n"/>
      <c r="AX582" s="16" t="n">
        <v>438.1186299550484</v>
      </c>
      <c r="AY582" s="13">
        <f>IF(OR(AX582="",AX582=0,AU582=""),"",AU582*365/(AX582*1000000))</f>
        <v/>
      </c>
      <c r="AZ582" s="15" t="n">
        <v>413598473.4663</v>
      </c>
      <c r="BA582" s="17" t="n">
        <v>60487233</v>
      </c>
      <c r="BB582" s="18" t="n">
        <v>45595389.92473923</v>
      </c>
      <c r="BC582" s="17" t="n">
        <v>2971663</v>
      </c>
      <c r="BD582" s="17">
        <f>1000000000-999142017.0195+275584.5649</f>
        <v/>
      </c>
      <c r="BE582" s="19">
        <f>1000000000-AZ582-BA582-BB582-BC582-BD582</f>
        <v/>
      </c>
      <c r="BF582" s="20" t="n">
        <v>233.529307</v>
      </c>
      <c r="BG582" s="20">
        <f>BE582/1000000-BF582</f>
        <v/>
      </c>
      <c r="BH582" s="21">
        <f>BE582*64.26</f>
        <v/>
      </c>
    </row>
    <row r="583">
      <c r="A583" s="10" t="n">
        <v>46205</v>
      </c>
      <c r="B583" s="11" t="n">
        <v>5363488777</v>
      </c>
      <c r="C583" s="11" t="n">
        <v>4203200287.2</v>
      </c>
      <c r="D583" s="11" t="n">
        <v>120640092</v>
      </c>
      <c r="E583" s="11" t="n">
        <v>4590933.698210002</v>
      </c>
      <c r="F583" s="24" t="n">
        <v>337922061.062267</v>
      </c>
      <c r="G583" s="24" t="n">
        <v>3740494.016941051</v>
      </c>
      <c r="H583" s="24" t="n">
        <v>15797183.56657123</v>
      </c>
      <c r="I583" s="24" t="n">
        <v>1163904591.770828</v>
      </c>
      <c r="J583" s="24" t="n">
        <v>2826892.203416645</v>
      </c>
      <c r="K583" s="24" t="n">
        <v>2679009064.579976</v>
      </c>
      <c r="L583" s="21">
        <f>SUM(F583:K583)</f>
        <v/>
      </c>
      <c r="M583" s="28" t="n">
        <v>1.002739225693261</v>
      </c>
      <c r="N583" s="11" t="n">
        <v>1844286.95</v>
      </c>
      <c r="O583" s="11" t="n">
        <v>404686.37</v>
      </c>
      <c r="P583" s="11" t="n">
        <v>65629.2</v>
      </c>
      <c r="Q583" s="11" t="n">
        <v>603.1970371400001</v>
      </c>
      <c r="R583" s="21">
        <f>N583+O583+P583+N(Q583)</f>
        <v/>
      </c>
      <c r="S583" s="13" t="n">
        <v>0.01</v>
      </c>
      <c r="T583" s="21">
        <f>N(AC583)*S583</f>
        <v/>
      </c>
      <c r="U583" s="21">
        <f>N(AD583)*S583</f>
        <v/>
      </c>
      <c r="V583" s="21">
        <f>N(AE583)*S583</f>
        <v/>
      </c>
      <c r="W583" s="21">
        <f>IF(Q583="","",N(AF583)*S583)</f>
        <v/>
      </c>
      <c r="X583" s="11" t="n">
        <v>12121.13</v>
      </c>
      <c r="Y583" s="11" t="n">
        <v>201699.26</v>
      </c>
      <c r="Z583" s="11" t="n">
        <v>0</v>
      </c>
      <c r="AA583" s="21">
        <f>T583+U583+V583+N(W583)+X583+Y583+N(Z583)</f>
        <v/>
      </c>
      <c r="AB583" s="11" t="n">
        <v>146486.8795</v>
      </c>
      <c r="AC583" s="11" t="n">
        <v>1844286.95</v>
      </c>
      <c r="AD583" s="21">
        <f>O583-Y583</f>
        <v/>
      </c>
      <c r="AE583" s="21">
        <f>P583-X583</f>
        <v/>
      </c>
      <c r="AF583" s="21">
        <f>IF(Q583="","",Q583-Z583)</f>
        <v/>
      </c>
      <c r="AG583" s="22">
        <f>AC583+AD583+AE583+N(AF583)</f>
        <v/>
      </c>
      <c r="AH583" s="11" t="n">
        <v>1736647.61</v>
      </c>
      <c r="AI583" s="24">
        <f>AG583-AH583</f>
        <v/>
      </c>
      <c r="AJ583" s="14">
        <f>IF(OR(B583="",B583=0,N583=""),"",N583/B583*10000)</f>
        <v/>
      </c>
      <c r="AK583" s="14">
        <f>IF(OR(C583="",C583=0),"",O583/C583*10000)</f>
        <v/>
      </c>
      <c r="AL583" s="14">
        <f>IF(OR(D583="",D583=0),"",P583/D583*10000)</f>
        <v/>
      </c>
      <c r="AM583" s="14">
        <f>IF(OR(E583="",E583=0),"",Q583/E583*10000)</f>
        <v/>
      </c>
      <c r="AN583" s="11" t="n">
        <v>20359.65279295739</v>
      </c>
      <c r="AO583" s="11" t="n">
        <v>31176.44</v>
      </c>
      <c r="AP583" s="21">
        <f>AH583+AN583+AO583</f>
        <v/>
      </c>
      <c r="AQ583" s="21">
        <f>AH583</f>
        <v/>
      </c>
      <c r="AR583" s="15" t="n">
        <v>26823.01</v>
      </c>
      <c r="AS583" s="27" t="n">
        <v>64.74469499999999</v>
      </c>
      <c r="AT583" s="15" t="n">
        <v>45622237.83473923</v>
      </c>
      <c r="AU583" s="15" t="n">
        <v>26885.5156</v>
      </c>
      <c r="AV583" s="15" t="n">
        <v>1875.6274</v>
      </c>
      <c r="AW583" s="15" t="n"/>
      <c r="AX583" s="16" t="n">
        <v>438.5245379213306</v>
      </c>
      <c r="AY583" s="13">
        <f>IF(OR(AX583="",AX583=0,AU583=""),"",AU583*365/(AX583*1000000))</f>
        <v/>
      </c>
      <c r="AZ583" s="15" t="n">
        <v>413571587.9507</v>
      </c>
      <c r="BA583" s="17" t="n">
        <v>60487233</v>
      </c>
      <c r="BB583" s="18" t="n">
        <v>45622237.83473923</v>
      </c>
      <c r="BC583" s="17" t="n">
        <v>2971663</v>
      </c>
      <c r="BD583" s="17">
        <f>1000000000-999140141.3922+275911.8958</f>
        <v/>
      </c>
      <c r="BE583" s="19">
        <f>1000000000-AZ583-BA583-BB583-BC583-BD583</f>
        <v/>
      </c>
      <c r="BF583" s="20" t="n">
        <v>233.529307</v>
      </c>
      <c r="BG583" s="20">
        <f>BE583/1000000-BF583</f>
        <v/>
      </c>
      <c r="BH583" s="21">
        <f>BE583*62.25</f>
        <v/>
      </c>
    </row>
    <row r="584">
      <c r="A584" s="10" t="n">
        <v>46206</v>
      </c>
      <c r="B584" s="11" t="n">
        <v>3603063352</v>
      </c>
      <c r="C584" s="11" t="n">
        <v>1598787100.18</v>
      </c>
      <c r="D584" s="11" t="n">
        <v>120240100</v>
      </c>
      <c r="E584" s="11" t="n">
        <v>4860878.591959996</v>
      </c>
      <c r="F584" s="24" t="n">
        <v>181169867.4785095</v>
      </c>
      <c r="G584" s="24" t="n">
        <v>1779430.101468114</v>
      </c>
      <c r="H584" s="24" t="n">
        <v>3301177.258038265</v>
      </c>
      <c r="I584" s="24" t="n">
        <v>304259636.1407785</v>
      </c>
      <c r="J584" s="24" t="n">
        <v>88954.71774457427</v>
      </c>
      <c r="K584" s="24" t="n">
        <v>1108188034.483461</v>
      </c>
      <c r="L584" s="21">
        <f>SUM(F584:K584)</f>
        <v/>
      </c>
      <c r="M584" s="28" t="n">
        <v>1.000572299302693</v>
      </c>
      <c r="N584" s="11" t="n">
        <v>1253502.31</v>
      </c>
      <c r="O584" s="11" t="n">
        <v>178427.3</v>
      </c>
      <c r="P584" s="11" t="n">
        <v>65113.93</v>
      </c>
      <c r="Q584" s="11" t="n">
        <v>586.7711706699999</v>
      </c>
      <c r="R584" s="21">
        <f>N584+O584+P584+N(Q584)</f>
        <v/>
      </c>
      <c r="S584" s="13" t="n">
        <v>0.01</v>
      </c>
      <c r="T584" s="21">
        <f>N(AC584)*S584</f>
        <v/>
      </c>
      <c r="U584" s="21">
        <f>N(AD584)*S584</f>
        <v/>
      </c>
      <c r="V584" s="21">
        <f>N(AE584)*S584</f>
        <v/>
      </c>
      <c r="W584" s="21">
        <f>IF(Q584="","",N(AF584)*S584)</f>
        <v/>
      </c>
      <c r="X584" s="11" t="n">
        <v>11303.39</v>
      </c>
      <c r="Y584" s="11" t="n">
        <v>88928.44</v>
      </c>
      <c r="Z584" s="11" t="n">
        <v>0</v>
      </c>
      <c r="AA584" s="21">
        <f>T584+U584+V584+N(W584)+X584+Y584+N(Z584)</f>
        <v/>
      </c>
      <c r="AB584" s="11" t="n">
        <v>103671.8825</v>
      </c>
      <c r="AC584" s="11" t="n">
        <v>1253502.31</v>
      </c>
      <c r="AD584" s="21">
        <f>O584-Y584</f>
        <v/>
      </c>
      <c r="AE584" s="21">
        <f>P584-X584</f>
        <v/>
      </c>
      <c r="AF584" s="21">
        <f>IF(Q584="","",Q584-Z584)</f>
        <v/>
      </c>
      <c r="AG584" s="22">
        <f>AC584+AD584+AE584+N(AF584)</f>
        <v/>
      </c>
      <c r="AH584" s="11" t="n">
        <v>1194362.21</v>
      </c>
      <c r="AI584" s="24">
        <f>AG584-AH584</f>
        <v/>
      </c>
      <c r="AJ584" s="14">
        <f>IF(OR(B584="",B584=0,N584=""),"",N584/B584*10000)</f>
        <v/>
      </c>
      <c r="AK584" s="14">
        <f>IF(OR(C584="",C584=0),"",O584/C584*10000)</f>
        <v/>
      </c>
      <c r="AL584" s="14">
        <f>IF(OR(D584="",D584=0),"",P584/D584*10000)</f>
        <v/>
      </c>
      <c r="AM584" s="14">
        <f>IF(OR(E584="",E584=0),"",Q584/E584*10000)</f>
        <v/>
      </c>
      <c r="AN584" s="11" t="n">
        <v>15047.47037224248</v>
      </c>
      <c r="AO584" s="11" t="n">
        <v>0</v>
      </c>
      <c r="AP584" s="21">
        <f>AH584+AN584+AO584</f>
        <v/>
      </c>
      <c r="AQ584" s="21">
        <f>AH584</f>
        <v/>
      </c>
      <c r="AR584" s="15" t="n">
        <v>17340.85</v>
      </c>
      <c r="AS584" s="27" t="n">
        <v>68.87564399999999</v>
      </c>
      <c r="AT584" s="15" t="n">
        <v>45639199.34473923</v>
      </c>
      <c r="AU584" s="15" t="n">
        <v>26883.785</v>
      </c>
      <c r="AV584" s="15" t="n">
        <v>3006.8691</v>
      </c>
      <c r="AW584" s="15" t="n"/>
      <c r="AX584" s="16" t="n">
        <v>438.2719334594317</v>
      </c>
      <c r="AY584" s="13">
        <f>IF(OR(AX584="",AX584=0,AU584=""),"",AU584*365/(AX584*1000000))</f>
        <v/>
      </c>
      <c r="AZ584" s="15" t="n">
        <v>413544704.1657</v>
      </c>
      <c r="BA584" s="17" t="n">
        <v>60487233</v>
      </c>
      <c r="BB584" s="18" t="n">
        <v>45639199.34473923</v>
      </c>
      <c r="BC584" s="17" t="n">
        <v>2971663</v>
      </c>
      <c r="BD584" s="17">
        <f>1000000000-999137134.5231+276138.9623</f>
        <v/>
      </c>
      <c r="BE584" s="19">
        <f>1000000000-AZ584-BA584-BB584-BC584-BD584</f>
        <v/>
      </c>
      <c r="BF584" s="20" t="n">
        <v>233.529307</v>
      </c>
      <c r="BG584" s="20">
        <f>BE584/1000000-BF584</f>
        <v/>
      </c>
      <c r="BH584" s="21">
        <f>BE584*66.32</f>
        <v/>
      </c>
    </row>
    <row r="585">
      <c r="A585" s="10" t="n">
        <v>46207</v>
      </c>
      <c r="B585" s="11" t="n">
        <v>2818182509</v>
      </c>
      <c r="C585" s="11" t="n">
        <v>260604553.99</v>
      </c>
      <c r="D585" s="11" t="n">
        <v>71733557</v>
      </c>
      <c r="E585" s="11" t="n">
        <v>5188915.518409997</v>
      </c>
      <c r="F585" s="24" t="n">
        <v>51887449.30046962</v>
      </c>
      <c r="G585" s="24" t="n">
        <v>2106161.328671413</v>
      </c>
      <c r="H585" s="24" t="n">
        <v>2467592.295803722</v>
      </c>
      <c r="I585" s="24" t="n">
        <v>72891610.79283653</v>
      </c>
      <c r="J585" s="24" t="n">
        <v>118084.9787229355</v>
      </c>
      <c r="K585" s="24" t="n">
        <v>131133655.2934958</v>
      </c>
      <c r="L585" s="21">
        <f>SUM(F585:K585)</f>
        <v/>
      </c>
      <c r="M585" s="28" t="n">
        <v>1.003445301643034</v>
      </c>
      <c r="N585" s="11" t="n">
        <v>1005376.76</v>
      </c>
      <c r="O585" s="11" t="n">
        <v>48541.91</v>
      </c>
      <c r="P585" s="11" t="n">
        <v>36616.87</v>
      </c>
      <c r="Q585" s="11" t="n">
        <v>483.0935439</v>
      </c>
      <c r="R585" s="21">
        <f>N585+O585+P585+N(Q585)</f>
        <v/>
      </c>
      <c r="S585" s="13" t="n">
        <v>0.01</v>
      </c>
      <c r="T585" s="21">
        <f>N(AC585)*S585</f>
        <v/>
      </c>
      <c r="U585" s="21">
        <f>N(AD585)*S585</f>
        <v/>
      </c>
      <c r="V585" s="21">
        <f>N(AE585)*S585</f>
        <v/>
      </c>
      <c r="W585" s="21">
        <f>IF(Q585="","",N(AF585)*S585)</f>
        <v/>
      </c>
      <c r="X585" s="11" t="n">
        <v>6831.97</v>
      </c>
      <c r="Y585" s="11" t="n">
        <v>24046.57</v>
      </c>
      <c r="Z585" s="11" t="n">
        <v>0</v>
      </c>
      <c r="AA585" s="21">
        <f>T585+U585+V585+N(W585)+X585+Y585+N(Z585)</f>
        <v/>
      </c>
      <c r="AB585" s="11" t="n">
        <v>94533.13939999999</v>
      </c>
      <c r="AC585" s="11" t="n">
        <v>1005376.76</v>
      </c>
      <c r="AD585" s="21">
        <f>O585-Y585</f>
        <v/>
      </c>
      <c r="AE585" s="21">
        <f>P585-X585</f>
        <v/>
      </c>
      <c r="AF585" s="21">
        <f>IF(Q585="","",Q585-Z585)</f>
        <v/>
      </c>
      <c r="AG585" s="22">
        <f>AC585+AD585+AE585+N(AF585)</f>
        <v/>
      </c>
      <c r="AH585" s="11" t="n">
        <v>878302.28</v>
      </c>
      <c r="AI585" s="24">
        <f>AG585-AH585</f>
        <v/>
      </c>
      <c r="AJ585" s="14">
        <f>IF(OR(B585="",B585=0,N585=""),"",N585/B585*10000)</f>
        <v/>
      </c>
      <c r="AK585" s="14">
        <f>IF(OR(C585="",C585=0),"",O585/C585*10000)</f>
        <v/>
      </c>
      <c r="AL585" s="14">
        <f>IF(OR(D585="",D585=0),"",P585/D585*10000)</f>
        <v/>
      </c>
      <c r="AM585" s="14">
        <f>IF(OR(E585="",E585=0),"",Q585/E585*10000)</f>
        <v/>
      </c>
      <c r="AN585" s="11" t="n">
        <v>12432.61217256925</v>
      </c>
      <c r="AO585" s="11" t="n">
        <v>0</v>
      </c>
      <c r="AP585" s="21">
        <f>AH585+AN585+AO585</f>
        <v/>
      </c>
      <c r="AQ585" s="21">
        <f>AH585</f>
        <v/>
      </c>
      <c r="AR585" s="15" t="n">
        <v>12455.83</v>
      </c>
      <c r="AS585" s="27" t="n">
        <v>70.51334799999999</v>
      </c>
      <c r="AT585" s="15" t="n">
        <v>45651516.73473923</v>
      </c>
      <c r="AU585" s="15" t="n">
        <v>26881.5074</v>
      </c>
      <c r="AV585" s="15" t="n">
        <v>1284.9258</v>
      </c>
      <c r="AW585" s="15" t="n"/>
      <c r="AX585" s="16" t="n">
        <v>438.3328564128867</v>
      </c>
      <c r="AY585" s="13">
        <f>IF(OR(AX585="",AX585=0,AU585=""),"",AU585*365/(AX585*1000000))</f>
        <v/>
      </c>
      <c r="AZ585" s="15" t="n">
        <v>413517822.6583</v>
      </c>
      <c r="BA585" s="17" t="n">
        <v>60487233</v>
      </c>
      <c r="BB585" s="18" t="n">
        <v>45651516.73473923</v>
      </c>
      <c r="BC585" s="17" t="n">
        <v>2971663</v>
      </c>
      <c r="BD585" s="17">
        <f>1000000000-999135849.5973+276313.8847</f>
        <v/>
      </c>
      <c r="BE585" s="19">
        <f>1000000000-AZ585-BA585-BB585-BC585-BD585</f>
        <v/>
      </c>
      <c r="BF585" s="20" t="n">
        <v>233.529307</v>
      </c>
      <c r="BG585" s="20">
        <f>BE585/1000000-BF585</f>
        <v/>
      </c>
      <c r="BH585" s="21">
        <f>BE585*71.05</f>
        <v/>
      </c>
    </row>
    <row r="586">
      <c r="A586" s="10" t="n">
        <v>46208</v>
      </c>
      <c r="B586" s="11" t="n">
        <v>2375465564</v>
      </c>
      <c r="C586" s="11" t="n">
        <v>454738417.47</v>
      </c>
      <c r="D586" s="11" t="n">
        <v>83175061</v>
      </c>
      <c r="E586" s="11" t="n">
        <v>3597246.963150001</v>
      </c>
      <c r="F586" s="24" t="n">
        <v>60393881.43938255</v>
      </c>
      <c r="G586" s="24" t="n">
        <v>1359484.79119143</v>
      </c>
      <c r="H586" s="24" t="n">
        <v>1156053.709051178</v>
      </c>
      <c r="I586" s="24" t="n">
        <v>121617523.690617</v>
      </c>
      <c r="J586" s="24" t="n">
        <v>84867.09273631604</v>
      </c>
      <c r="K586" s="24" t="n">
        <v>270126606.7470216</v>
      </c>
      <c r="L586" s="21">
        <f>SUM(F586:K586)</f>
        <v/>
      </c>
      <c r="M586" s="28" t="n">
        <v>1.049527135826566</v>
      </c>
      <c r="N586" s="11" t="n">
        <v>849931.99</v>
      </c>
      <c r="O586" s="11" t="n">
        <v>56363.4</v>
      </c>
      <c r="P586" s="11" t="n">
        <v>40180.16</v>
      </c>
      <c r="Q586" s="11" t="n">
        <v>214.9984099</v>
      </c>
      <c r="R586" s="21">
        <f>N586+O586+P586+N(Q586)</f>
        <v/>
      </c>
      <c r="S586" s="13" t="n">
        <v>0.01</v>
      </c>
      <c r="T586" s="21">
        <f>N(AC586)*S586</f>
        <v/>
      </c>
      <c r="U586" s="21">
        <f>N(AD586)*S586</f>
        <v/>
      </c>
      <c r="V586" s="21">
        <f>N(AE586)*S586</f>
        <v/>
      </c>
      <c r="W586" s="21">
        <f>IF(Q586="","",N(AF586)*S586)</f>
        <v/>
      </c>
      <c r="X586" s="11" t="n">
        <v>7140.86</v>
      </c>
      <c r="Y586" s="11" t="n">
        <v>27996.81</v>
      </c>
      <c r="Z586" s="11" t="n">
        <v>0</v>
      </c>
      <c r="AA586" s="21">
        <f>T586+U586+V586+N(W586)+X586+Y586+N(Z586)</f>
        <v/>
      </c>
      <c r="AB586" s="11" t="n">
        <v>65044.4546</v>
      </c>
      <c r="AC586" s="11" t="n">
        <v>849931.99</v>
      </c>
      <c r="AD586" s="21">
        <f>O586-Y586</f>
        <v/>
      </c>
      <c r="AE586" s="21">
        <f>P586-X586</f>
        <v/>
      </c>
      <c r="AF586" s="21">
        <f>IF(Q586="","",Q586-Z586)</f>
        <v/>
      </c>
      <c r="AG586" s="22">
        <f>AC586+AD586+AE586+N(AF586)</f>
        <v/>
      </c>
      <c r="AH586" s="11" t="n">
        <v>770203.17</v>
      </c>
      <c r="AI586" s="24">
        <f>AG586-AH586</f>
        <v/>
      </c>
      <c r="AJ586" s="14">
        <f>IF(OR(B586="",B586=0,N586=""),"",N586/B586*10000)</f>
        <v/>
      </c>
      <c r="AK586" s="14">
        <f>IF(OR(C586="",C586=0),"",O586/C586*10000)</f>
        <v/>
      </c>
      <c r="AL586" s="14">
        <f>IF(OR(D586="",D586=0),"",P586/D586*10000)</f>
        <v/>
      </c>
      <c r="AM586" s="14">
        <f>IF(OR(E586="",E586=0),"",Q586/E586*10000)</f>
        <v/>
      </c>
      <c r="AN586" s="11" t="n">
        <v>9361.269867973731</v>
      </c>
      <c r="AO586" s="11" t="n">
        <v>0</v>
      </c>
      <c r="AP586" s="21">
        <f>AH586+AN586+AO586</f>
        <v/>
      </c>
      <c r="AQ586" s="21">
        <f>AH586</f>
        <v/>
      </c>
      <c r="AR586" s="15" t="n">
        <v>11052.26</v>
      </c>
      <c r="AS586" s="27" t="n">
        <v>69.68739100000001</v>
      </c>
      <c r="AT586" s="15" t="n">
        <v>45663048.67473923</v>
      </c>
      <c r="AU586" s="15" t="n">
        <v>26878.5307</v>
      </c>
      <c r="AV586" s="15" t="n">
        <v>808.4764</v>
      </c>
      <c r="AW586" s="15" t="n"/>
      <c r="AX586" s="16" t="n">
        <v>438.1732730425633</v>
      </c>
      <c r="AY586" s="13">
        <f>IF(OR(AX586="",AX586=0,AU586=""),"",AU586*365/(AX586*1000000))</f>
        <v/>
      </c>
      <c r="AZ586" s="15" t="n">
        <v>413490944.1277</v>
      </c>
      <c r="BA586" s="17" t="n">
        <v>60487233</v>
      </c>
      <c r="BB586" s="18" t="n">
        <v>45663048.67473923</v>
      </c>
      <c r="BC586" s="17" t="n">
        <v>2971663</v>
      </c>
      <c r="BD586" s="17">
        <f>1000000000-999135041.1209+276448.7209</f>
        <v/>
      </c>
      <c r="BE586" s="19">
        <f>1000000000-AZ586-BA586-BB586-BC586-BD586</f>
        <v/>
      </c>
      <c r="BF586" s="20" t="n">
        <v>233.529307</v>
      </c>
      <c r="BG586" s="20">
        <f>BE586/1000000-BF586</f>
        <v/>
      </c>
      <c r="BH586" s="21">
        <f>BE586*69.41</f>
        <v/>
      </c>
    </row>
    <row r="587">
      <c r="A587" s="10" t="n">
        <v>46209</v>
      </c>
      <c r="B587" s="11" t="n">
        <v>5247911017</v>
      </c>
      <c r="C587" s="11" t="n">
        <v>2641867259.41</v>
      </c>
      <c r="D587" s="11" t="n">
        <v>125891560</v>
      </c>
      <c r="E587" s="11" t="n">
        <v>4534297.56219</v>
      </c>
      <c r="F587" s="24" t="n">
        <v>214738208.5039033</v>
      </c>
      <c r="G587" s="24" t="n">
        <v>3992097.121315213</v>
      </c>
      <c r="H587" s="24" t="n">
        <v>8204104.064269453</v>
      </c>
      <c r="I587" s="24" t="n">
        <v>641715935.0053016</v>
      </c>
      <c r="J587" s="24" t="n">
        <v>3944157.685718299</v>
      </c>
      <c r="K587" s="24" t="n">
        <v>1769272757.029492</v>
      </c>
      <c r="L587" s="21">
        <f>SUM(F587:K587)</f>
        <v/>
      </c>
      <c r="M587" s="28" t="n">
        <v>1.009024181046112</v>
      </c>
      <c r="N587" s="11" t="n">
        <v>1856731.29</v>
      </c>
      <c r="O587" s="11" t="n">
        <v>253395.95</v>
      </c>
      <c r="P587" s="11" t="n">
        <v>65268.43000000001</v>
      </c>
      <c r="Q587" s="11" t="n">
        <v>338.0311838900001</v>
      </c>
      <c r="R587" s="21">
        <f>N587+O587+P587+N(Q587)</f>
        <v/>
      </c>
      <c r="S587" s="13" t="n">
        <v>0.01</v>
      </c>
      <c r="T587" s="21">
        <f>N(AC587)*S587</f>
        <v/>
      </c>
      <c r="U587" s="21">
        <f>N(AD587)*S587</f>
        <v/>
      </c>
      <c r="V587" s="21">
        <f>N(AE587)*S587</f>
        <v/>
      </c>
      <c r="W587" s="21">
        <f>IF(Q587="","",N(AF587)*S587)</f>
        <v/>
      </c>
      <c r="X587" s="11" t="n">
        <v>14486.27</v>
      </c>
      <c r="Y587" s="11" t="n">
        <v>126199.57</v>
      </c>
      <c r="Z587" s="11" t="n">
        <v>0</v>
      </c>
      <c r="AA587" s="21">
        <f>T587+U587+V587+N(W587)+X587+Y587+N(Z587)</f>
        <v/>
      </c>
      <c r="AB587" s="11" t="n">
        <v>156412.61</v>
      </c>
      <c r="AC587" s="11" t="n">
        <v>1856731.29</v>
      </c>
      <c r="AD587" s="21">
        <f>O587-Y587</f>
        <v/>
      </c>
      <c r="AE587" s="21">
        <f>P587-X587</f>
        <v/>
      </c>
      <c r="AF587" s="21">
        <f>IF(Q587="","",Q587-Z587)</f>
        <v/>
      </c>
      <c r="AG587" s="22">
        <f>AC587+AD587+AE587+N(AF587)</f>
        <v/>
      </c>
      <c r="AH587" s="11" t="n">
        <v>1724890.52</v>
      </c>
      <c r="AI587" s="24">
        <f>AG587-AH587</f>
        <v/>
      </c>
      <c r="AJ587" s="14">
        <f>IF(OR(B587="",B587=0,N587=""),"",N587/B587*10000)</f>
        <v/>
      </c>
      <c r="AK587" s="14">
        <f>IF(OR(C587="",C587=0),"",O587/C587*10000)</f>
        <v/>
      </c>
      <c r="AL587" s="14">
        <f>IF(OR(D587="",D587=0),"",P587/D587*10000)</f>
        <v/>
      </c>
      <c r="AM587" s="14">
        <f>IF(OR(E587="",E587=0),"",Q587/E587*10000)</f>
        <v/>
      </c>
      <c r="AN587" s="11" t="n">
        <v>19839.85828746675</v>
      </c>
      <c r="AO587" s="11" t="n">
        <v>0</v>
      </c>
      <c r="AP587" s="21">
        <f>AH587+AN587+AO587</f>
        <v/>
      </c>
      <c r="AQ587" s="21">
        <f>AH587</f>
        <v/>
      </c>
      <c r="AR587" s="15" t="n">
        <v>24413.23</v>
      </c>
      <c r="AS587" s="27" t="n">
        <v>70.653925</v>
      </c>
      <c r="AT587" s="15" t="n">
        <v>45686914.80473923</v>
      </c>
      <c r="AU587" s="15" t="n">
        <v>26876.7852</v>
      </c>
      <c r="AV587" s="15" t="n">
        <v>585.3637</v>
      </c>
      <c r="AW587" s="15" t="n"/>
      <c r="AX587" s="16" t="n">
        <v>438.2454243810258</v>
      </c>
      <c r="AY587" s="13">
        <f>IF(OR(AX587="",AX587=0,AU587=""),"",AU587*365/(AX587*1000000))</f>
        <v/>
      </c>
      <c r="AZ587" s="15" t="n">
        <v>413464067.3424</v>
      </c>
      <c r="BA587" s="17" t="n">
        <v>60487233</v>
      </c>
      <c r="BB587" s="18" t="n">
        <v>45686914.80473923</v>
      </c>
      <c r="BC587" s="17" t="n">
        <v>2971663</v>
      </c>
      <c r="BD587" s="17">
        <f>1000000000-999134455.7572+276726.2441</f>
        <v/>
      </c>
      <c r="BE587" s="19">
        <f>1000000000-AZ587-BA587-BB587-BC587-BD587</f>
        <v/>
      </c>
      <c r="BF587" s="20" t="n">
        <v>233.529307</v>
      </c>
      <c r="BG587" s="20">
        <f>BE587/1000000-BF587</f>
        <v/>
      </c>
      <c r="BH587" s="21">
        <f>BE587*71.49</f>
        <v/>
      </c>
    </row>
    <row r="588">
      <c r="A588" s="10" t="n">
        <v>46210</v>
      </c>
      <c r="B588" s="11" t="n">
        <v>4166149716</v>
      </c>
      <c r="C588" s="11" t="n">
        <v>3454801433.68</v>
      </c>
      <c r="D588" s="11" t="n">
        <v>130141572</v>
      </c>
      <c r="E588" s="11" t="n">
        <v>6653676.952489998</v>
      </c>
      <c r="F588" s="24" t="n">
        <v>482273339.135145</v>
      </c>
      <c r="G588" s="24" t="n">
        <v>2426717.380391013</v>
      </c>
      <c r="H588" s="24" t="n">
        <v>3160192.867701622</v>
      </c>
      <c r="I588" s="24" t="n">
        <v>759143848.0776017</v>
      </c>
      <c r="J588" s="24" t="n">
        <v>2617583.708239032</v>
      </c>
      <c r="K588" s="24" t="n">
        <v>2205179752.510922</v>
      </c>
      <c r="L588" s="21">
        <f>SUM(F588:K588)</f>
        <v/>
      </c>
      <c r="M588" s="28" t="n">
        <v>1.00413620077675</v>
      </c>
      <c r="N588" s="11" t="n">
        <v>1481726.39</v>
      </c>
      <c r="O588" s="11" t="n">
        <v>307447.94</v>
      </c>
      <c r="P588" s="11" t="n">
        <v>64520.68</v>
      </c>
      <c r="Q588" s="11" t="n">
        <v>377.0716807700001</v>
      </c>
      <c r="R588" s="21">
        <f>N588+O588+P588+N(Q588)</f>
        <v/>
      </c>
      <c r="S588" s="13" t="n">
        <v>0.01</v>
      </c>
      <c r="T588" s="21">
        <f>N(AC588)*S588</f>
        <v/>
      </c>
      <c r="U588" s="21">
        <f>N(AD588)*S588</f>
        <v/>
      </c>
      <c r="V588" s="21">
        <f>N(AE588)*S588</f>
        <v/>
      </c>
      <c r="W588" s="21">
        <f>IF(Q588="","",N(AF588)*S588)</f>
        <v/>
      </c>
      <c r="X588" s="11" t="n">
        <v>12445.1</v>
      </c>
      <c r="Y588" s="11" t="n">
        <v>153451.25</v>
      </c>
      <c r="Z588" s="11" t="n">
        <v>0</v>
      </c>
      <c r="AA588" s="21">
        <f>T588+U588+V588+N(W588)+X588+Y588+N(Z588)</f>
        <v/>
      </c>
      <c r="AB588" s="11" t="n">
        <v>162537.7946</v>
      </c>
      <c r="AC588" s="11" t="n">
        <v>1481726.39</v>
      </c>
      <c r="AD588" s="21">
        <f>O588-Y588</f>
        <v/>
      </c>
      <c r="AE588" s="21">
        <f>P588-X588</f>
        <v/>
      </c>
      <c r="AF588" s="21">
        <f>IF(Q588="","",Q588-Z588)</f>
        <v/>
      </c>
      <c r="AG588" s="22">
        <f>AC588+AD588+AE588+N(AF588)</f>
        <v/>
      </c>
      <c r="AH588" s="11" t="n">
        <v>1393264.18</v>
      </c>
      <c r="AI588" s="24">
        <f>AG588-AH588</f>
        <v/>
      </c>
      <c r="AJ588" s="14">
        <f>IF(OR(B588="",B588=0,N588=""),"",N588/B588*10000)</f>
        <v/>
      </c>
      <c r="AK588" s="14">
        <f>IF(OR(C588="",C588=0),"",O588/C588*10000)</f>
        <v/>
      </c>
      <c r="AL588" s="14">
        <f>IF(OR(D588="",D588=0),"",P588/D588*10000)</f>
        <v/>
      </c>
      <c r="AM588" s="14">
        <f>IF(OR(E588="",E588=0),"",Q588/E588*10000)</f>
        <v/>
      </c>
      <c r="AN588" s="11" t="n">
        <v>21745.8287624417</v>
      </c>
      <c r="AO588" s="11" t="n">
        <v>0</v>
      </c>
      <c r="AP588" s="21">
        <f>AH588+AN588+AO588</f>
        <v/>
      </c>
      <c r="AQ588" s="21">
        <f>AH588</f>
        <v/>
      </c>
      <c r="AR588" s="15" t="n">
        <v>19641.57</v>
      </c>
      <c r="AS588" s="27" t="n">
        <v>70.934461</v>
      </c>
      <c r="AT588" s="15" t="n">
        <v>45706806.51473923</v>
      </c>
      <c r="AU588" s="15" t="n">
        <v>26878.812</v>
      </c>
      <c r="AV588" s="15" t="n">
        <v>2075.6892</v>
      </c>
      <c r="AW588" s="15" t="n">
        <v>452000</v>
      </c>
      <c r="AX588" s="16" t="n">
        <v>438.3157298163815</v>
      </c>
      <c r="AY588" s="13">
        <f>IF(OR(AX588="",AX588=0,AU588=""),"",AU588*365/(AX588*1000000))</f>
        <v/>
      </c>
      <c r="AZ588" s="15" t="n">
        <v>413437188.5304</v>
      </c>
      <c r="BA588" s="17" t="n">
        <v>60487233</v>
      </c>
      <c r="BB588" s="18" t="n">
        <v>45706806.51473923</v>
      </c>
      <c r="BC588" s="17" t="n">
        <v>2971663</v>
      </c>
      <c r="BD588" s="17">
        <f>1000000000-999132380.068+277032.1916</f>
        <v/>
      </c>
      <c r="BE588" s="19">
        <f>1000000000-AZ588-BA588-BB588-BC588-BD588</f>
        <v/>
      </c>
      <c r="BF588" s="20" t="n">
        <v>233.077307</v>
      </c>
      <c r="BG588" s="20">
        <f>BE588/1000000-BF588</f>
        <v/>
      </c>
      <c r="BH588" s="21">
        <f>BE588*71.1</f>
        <v/>
      </c>
    </row>
    <row r="589">
      <c r="A589" s="10" t="n">
        <v>46211</v>
      </c>
      <c r="B589" s="11" t="n">
        <v>4099480938</v>
      </c>
      <c r="C589" s="11" t="n">
        <v>4827344700.92</v>
      </c>
      <c r="D589" s="11" t="n">
        <v>135519961</v>
      </c>
      <c r="E589" s="11" t="n">
        <v>2088686.990640001</v>
      </c>
      <c r="F589" s="24" t="n">
        <v>1017722639.40066</v>
      </c>
      <c r="G589" s="24" t="n">
        <v>3710034.921007078</v>
      </c>
      <c r="H589" s="24" t="n">
        <v>9720264.151030594</v>
      </c>
      <c r="I589" s="24" t="n">
        <v>1172365209.105026</v>
      </c>
      <c r="J589" s="24" t="n">
        <v>2197093.175981869</v>
      </c>
      <c r="K589" s="24" t="n">
        <v>2621629460.166294</v>
      </c>
      <c r="L589" s="21">
        <f>SUM(F589:K589)</f>
        <v/>
      </c>
      <c r="M589" s="28" t="n">
        <v>1.003721501263429</v>
      </c>
      <c r="N589" s="11" t="n">
        <v>1382862.31</v>
      </c>
      <c r="O589" s="11" t="n">
        <v>391558.77</v>
      </c>
      <c r="P589" s="11" t="n">
        <v>69301.49000000001</v>
      </c>
      <c r="Q589" s="11" t="n">
        <v>268.3205042799999</v>
      </c>
      <c r="R589" s="21">
        <f>N589+O589+P589+N(Q589)</f>
        <v/>
      </c>
      <c r="S589" s="13" t="n">
        <v>0.01</v>
      </c>
      <c r="T589" s="21">
        <f>N(AC589)*S589</f>
        <v/>
      </c>
      <c r="U589" s="21">
        <f>N(AD589)*S589</f>
        <v/>
      </c>
      <c r="V589" s="21">
        <f>N(AE589)*S589</f>
        <v/>
      </c>
      <c r="W589" s="21">
        <f>IF(Q589="","",N(AF589)*S589)</f>
        <v/>
      </c>
      <c r="X589" s="11" t="n">
        <v>15618.91</v>
      </c>
      <c r="Y589" s="11" t="n">
        <v>195286.75</v>
      </c>
      <c r="Z589" s="11" t="n">
        <v>0</v>
      </c>
      <c r="AA589" s="21">
        <f>T589+U589+V589+N(W589)+X589+Y589+N(Z589)</f>
        <v/>
      </c>
      <c r="AB589" s="11" t="n">
        <v>119076.1359</v>
      </c>
      <c r="AC589" s="11" t="n">
        <v>1382862.31</v>
      </c>
      <c r="AD589" s="21">
        <f>O589-Y589</f>
        <v/>
      </c>
      <c r="AE589" s="21">
        <f>P589-X589</f>
        <v/>
      </c>
      <c r="AF589" s="21">
        <f>IF(Q589="","",Q589-Z589)</f>
        <v/>
      </c>
      <c r="AG589" s="22">
        <f>AC589+AD589+AE589+N(AF589)</f>
        <v/>
      </c>
      <c r="AH589" s="11" t="n">
        <v>1366293.74</v>
      </c>
      <c r="AI589" s="24">
        <f>AG589-AH589</f>
        <v/>
      </c>
      <c r="AJ589" s="14">
        <f>IF(OR(B589="",B589=0,N589=""),"",N589/B589*10000)</f>
        <v/>
      </c>
      <c r="AK589" s="14">
        <f>IF(OR(C589="",C589=0),"",O589/C589*10000)</f>
        <v/>
      </c>
      <c r="AL589" s="14">
        <f>IF(OR(D589="",D589=0),"",P589/D589*10000)</f>
        <v/>
      </c>
      <c r="AM589" s="14">
        <f>IF(OR(E589="",E589=0),"",Q589/E589*10000)</f>
        <v/>
      </c>
      <c r="AN589" s="11" t="n">
        <v>14737.14229729368</v>
      </c>
      <c r="AO589" s="11" t="n">
        <v>34597.96</v>
      </c>
      <c r="AP589" s="21">
        <f>AH589+AN589+AO589</f>
        <v/>
      </c>
      <c r="AQ589" s="21">
        <f>AH589</f>
        <v/>
      </c>
      <c r="AR589" s="15" t="n">
        <v>20151.03</v>
      </c>
      <c r="AS589" s="27" t="n">
        <v>67.80267499999999</v>
      </c>
      <c r="AT589" s="15" t="n">
        <v>45727405.95473923</v>
      </c>
      <c r="AU589" s="15" t="n">
        <v>26902.5481</v>
      </c>
      <c r="AV589" s="15" t="n">
        <v>1858.5265</v>
      </c>
      <c r="AW589" s="15" t="n"/>
      <c r="AX589" s="16" t="n">
        <v>439.6156224914033</v>
      </c>
      <c r="AY589" s="13">
        <f>IF(OR(AX589="",AX589=0,AU589=""),"",AU589*365/(AX589*1000000))</f>
        <v/>
      </c>
      <c r="AZ589" s="15" t="n">
        <v>413410285.9823</v>
      </c>
      <c r="BA589" s="17" t="n">
        <v>60487233</v>
      </c>
      <c r="BB589" s="18" t="n">
        <v>45727405.95473923</v>
      </c>
      <c r="BC589" s="17" t="n">
        <v>2971663</v>
      </c>
      <c r="BD589" s="17">
        <f>1000000000-999130521.5415+277243.8987</f>
        <v/>
      </c>
      <c r="BE589" s="19">
        <f>1000000000-AZ589-BA589-BB589-BC589-BD589</f>
        <v/>
      </c>
      <c r="BF589" s="20" t="n">
        <v>233.077307</v>
      </c>
      <c r="BG589" s="20">
        <f>BE589/1000000-BF589</f>
        <v/>
      </c>
      <c r="BH589" s="21">
        <f>BE589*69.58</f>
        <v/>
      </c>
    </row>
    <row r="590">
      <c r="A590" s="10" t="n">
        <v>46212</v>
      </c>
      <c r="B590" s="11" t="n">
        <v>3232468983</v>
      </c>
      <c r="C590" s="11" t="n">
        <v>3874747270.62</v>
      </c>
      <c r="D590" s="11" t="n">
        <v>84299040</v>
      </c>
      <c r="E590" s="11" t="n">
        <v>5202696.891809998</v>
      </c>
      <c r="F590" s="24" t="n">
        <v>549581953.8854213</v>
      </c>
      <c r="G590" s="24" t="n">
        <v>1901948.068772546</v>
      </c>
      <c r="H590" s="24" t="n">
        <v>3529577.515162771</v>
      </c>
      <c r="I590" s="24" t="n">
        <v>967548890.7638435</v>
      </c>
      <c r="J590" s="24" t="n">
        <v>1181099.684313677</v>
      </c>
      <c r="K590" s="24" t="n">
        <v>2351003800.702486</v>
      </c>
      <c r="L590" s="21">
        <f>SUM(F590:K590)</f>
        <v/>
      </c>
      <c r="M590" s="28" t="n">
        <v>1.004327045195732</v>
      </c>
      <c r="N590" s="11" t="n">
        <v>1092756.33</v>
      </c>
      <c r="O590" s="11" t="n">
        <v>321517.31</v>
      </c>
      <c r="P590" s="11" t="n">
        <v>41732.74</v>
      </c>
      <c r="Q590" s="11" t="n">
        <v>640.9157148799986</v>
      </c>
      <c r="R590" s="21">
        <f>N590+O590+P590+N(Q590)</f>
        <v/>
      </c>
      <c r="S590" s="13" t="n">
        <v>0.01</v>
      </c>
      <c r="T590" s="21">
        <f>N(AC590)*S590</f>
        <v/>
      </c>
      <c r="U590" s="21">
        <f>N(AD590)*S590</f>
        <v/>
      </c>
      <c r="V590" s="21">
        <f>N(AE590)*S590</f>
        <v/>
      </c>
      <c r="W590" s="21">
        <f>IF(Q590="","",N(AF590)*S590)</f>
        <v/>
      </c>
      <c r="X590" s="11" t="n">
        <v>7913.88</v>
      </c>
      <c r="Y590" s="11" t="n">
        <v>160481.86</v>
      </c>
      <c r="Z590" s="11" t="n">
        <v>0</v>
      </c>
      <c r="AA590" s="21">
        <f>T590+U590+V590+N(W590)+X590+Y590+N(Z590)</f>
        <v/>
      </c>
      <c r="AB590" s="11" t="n">
        <v>93926.82909999999</v>
      </c>
      <c r="AC590" s="11" t="n">
        <v>1092756.33</v>
      </c>
      <c r="AD590" s="21">
        <f>O590-Y590</f>
        <v/>
      </c>
      <c r="AE590" s="21">
        <f>P590-X590</f>
        <v/>
      </c>
      <c r="AF590" s="21">
        <f>IF(Q590="","",Q590-Z590)</f>
        <v/>
      </c>
      <c r="AG590" s="22">
        <f>AC590+AD590+AE590+N(AF590)</f>
        <v/>
      </c>
      <c r="AH590" s="11" t="n">
        <v>1135980.5</v>
      </c>
      <c r="AI590" s="24">
        <f>AG590-AH590</f>
        <v/>
      </c>
      <c r="AJ590" s="14">
        <f>IF(OR(B590="",B590=0,N590=""),"",N590/B590*10000)</f>
        <v/>
      </c>
      <c r="AK590" s="14">
        <f>IF(OR(C590="",C590=0),"",O590/C590*10000)</f>
        <v/>
      </c>
      <c r="AL590" s="14">
        <f>IF(OR(D590="",D590=0),"",P590/D590*10000)</f>
        <v/>
      </c>
      <c r="AM590" s="14">
        <f>IF(OR(E590="",E590=0),"",Q590/E590*10000)</f>
        <v/>
      </c>
      <c r="AN590" s="11" t="n">
        <v>11262.96525206105</v>
      </c>
      <c r="AO590" s="11" t="n">
        <v>0</v>
      </c>
      <c r="AP590" s="21">
        <f>AH590+AN590+AO590</f>
        <v/>
      </c>
      <c r="AQ590" s="21">
        <f>AH590</f>
        <v/>
      </c>
      <c r="AR590" s="15" t="n">
        <v>16825.22</v>
      </c>
      <c r="AS590" s="27" t="n">
        <v>67.516532</v>
      </c>
      <c r="AT590" s="15" t="n">
        <v>45743813.01473923</v>
      </c>
      <c r="AU590" s="15" t="n">
        <v>26893.1728</v>
      </c>
      <c r="AV590" s="15" t="n">
        <v>3052.3933</v>
      </c>
      <c r="AW590" s="15" t="n"/>
      <c r="AX590" s="16" t="n">
        <v>439.6974811904939</v>
      </c>
      <c r="AY590" s="13">
        <f>IF(OR(AX590="",AX590=0,AU590=""),"",AU590*365/(AX590*1000000))</f>
        <v/>
      </c>
      <c r="AZ590" s="15" t="n">
        <v>413383392.8095</v>
      </c>
      <c r="BA590" s="17" t="n">
        <v>60487233</v>
      </c>
      <c r="BB590" s="18" t="n">
        <v>45743813.01473923</v>
      </c>
      <c r="BC590" s="17" t="n">
        <v>2971663</v>
      </c>
      <c r="BD590" s="17">
        <f>1000000000-999127469.1483+277410.8292</f>
        <v/>
      </c>
      <c r="BE590" s="19">
        <f>1000000000-AZ590-BA590-BB590-BC590-BD590</f>
        <v/>
      </c>
      <c r="BF590" s="20" t="n">
        <v>233.077307</v>
      </c>
      <c r="BG590" s="20">
        <f>BE590/1000000-BF590</f>
        <v/>
      </c>
      <c r="BH590" s="21">
        <f>BE590*67.46</f>
        <v/>
      </c>
    </row>
    <row r="591">
      <c r="A591" s="10" t="n">
        <v>46213</v>
      </c>
      <c r="B591" s="11" t="n">
        <v>3469258829</v>
      </c>
      <c r="C591" s="11" t="n">
        <v>3641072208.78</v>
      </c>
      <c r="D591" s="11" t="n">
        <v>98364106</v>
      </c>
      <c r="E591" s="11" t="n">
        <v>3858193.43029</v>
      </c>
      <c r="F591" s="24" t="n">
        <v>394319611.6738639</v>
      </c>
      <c r="G591" s="24" t="n">
        <v>2500072.828379864</v>
      </c>
      <c r="H591" s="24" t="n">
        <v>12514391.37762048</v>
      </c>
      <c r="I591" s="24" t="n">
        <v>725000309.9045062</v>
      </c>
      <c r="J591" s="24" t="n">
        <v>1258318.951659951</v>
      </c>
      <c r="K591" s="24" t="n">
        <v>2505479504.04397</v>
      </c>
      <c r="L591" s="21">
        <f>SUM(F591:K591)</f>
        <v/>
      </c>
      <c r="M591" s="28" t="n">
        <v>0.9991045971040948</v>
      </c>
      <c r="N591" s="11" t="n">
        <v>1182050.33</v>
      </c>
      <c r="O591" s="11" t="n">
        <v>333787.16</v>
      </c>
      <c r="P591" s="11" t="n">
        <v>51672.03</v>
      </c>
      <c r="Q591" s="11" t="n">
        <v>317.48179339</v>
      </c>
      <c r="R591" s="21">
        <f>N591+O591+P591+N(Q591)</f>
        <v/>
      </c>
      <c r="S591" s="13" t="n">
        <v>0.01</v>
      </c>
      <c r="T591" s="21">
        <f>N(AC591)*S591</f>
        <v/>
      </c>
      <c r="U591" s="21">
        <f>N(AD591)*S591</f>
        <v/>
      </c>
      <c r="V591" s="21">
        <f>N(AE591)*S591</f>
        <v/>
      </c>
      <c r="W591" s="21">
        <f>IF(Q591="","",N(AF591)*S591)</f>
        <v/>
      </c>
      <c r="X591" s="11" t="n">
        <v>14023.24</v>
      </c>
      <c r="Y591" s="11" t="n">
        <v>166548.79</v>
      </c>
      <c r="Z591" s="11" t="n">
        <v>0</v>
      </c>
      <c r="AA591" s="21">
        <f>T591+U591+V591+N(W591)+X591+Y591+N(Z591)</f>
        <v/>
      </c>
      <c r="AB591" s="11" t="n">
        <v>96413.33969999998</v>
      </c>
      <c r="AC591" s="11" t="n">
        <v>1182050.33</v>
      </c>
      <c r="AD591" s="21">
        <f>O591-Y591</f>
        <v/>
      </c>
      <c r="AE591" s="21">
        <f>P591-X591</f>
        <v/>
      </c>
      <c r="AF591" s="21">
        <f>IF(Q591="","",Q591-Z591)</f>
        <v/>
      </c>
      <c r="AG591" s="22">
        <f>AC591+AD591+AE591+N(AF591)</f>
        <v/>
      </c>
      <c r="AH591" s="11" t="n">
        <v>1159750.04</v>
      </c>
      <c r="AI591" s="24">
        <f>AG591-AH591</f>
        <v/>
      </c>
      <c r="AJ591" s="14">
        <f>IF(OR(B591="",B591=0,N591=""),"",N591/B591*10000)</f>
        <v/>
      </c>
      <c r="AK591" s="14">
        <f>IF(OR(C591="",C591=0),"",O591/C591*10000)</f>
        <v/>
      </c>
      <c r="AL591" s="14">
        <f>IF(OR(D591="",D591=0),"",P591/D591*10000)</f>
        <v/>
      </c>
      <c r="AM591" s="14">
        <f>IF(OR(E591="",E591=0),"",Q591/E591*10000)</f>
        <v/>
      </c>
      <c r="AN591" s="11" t="n">
        <v>8715.378035041336</v>
      </c>
      <c r="AO591" s="11" t="n">
        <v>0</v>
      </c>
      <c r="AP591" s="21">
        <f>AH591+AN591+AO591</f>
        <v/>
      </c>
      <c r="AQ591" s="21">
        <f>AH591</f>
        <v/>
      </c>
      <c r="AR591" s="15" t="n">
        <v>17054.23</v>
      </c>
      <c r="AS591" s="27" t="n">
        <v>68.003659</v>
      </c>
      <c r="AT591" s="15" t="n">
        <v>45760630.21473923</v>
      </c>
      <c r="AU591" s="15" t="n">
        <v>26923.0894</v>
      </c>
      <c r="AV591" s="15" t="n">
        <v>2239.2338</v>
      </c>
      <c r="AW591" s="15" t="n"/>
      <c r="AX591" s="16" t="n">
        <v>439.8514535348612</v>
      </c>
      <c r="AY591" s="13">
        <f>IF(OR(AX591="",AX591=0,AU591=""),"",AU591*365/(AX591*1000000))</f>
        <v/>
      </c>
      <c r="AZ591" s="15" t="n">
        <v>413356469.7201</v>
      </c>
      <c r="BA591" s="17" t="n">
        <v>60487233</v>
      </c>
      <c r="BB591" s="18" t="n">
        <v>45760630.21473923</v>
      </c>
      <c r="BC591" s="17" t="n">
        <v>2971663</v>
      </c>
      <c r="BD591" s="17">
        <f>1000000000-999125229.9145+277540.7834</f>
        <v/>
      </c>
      <c r="BE591" s="19">
        <f>1000000000-AZ591-BA591-BB591-BC591-BD591</f>
        <v/>
      </c>
      <c r="BF591" s="20" t="n">
        <v>233.077307</v>
      </c>
      <c r="BG591" s="20">
        <f>BE591/1000000-BF591</f>
        <v/>
      </c>
      <c r="BH591" s="21">
        <f>BE591*67.12</f>
        <v/>
      </c>
    </row>
    <row r="592">
      <c r="A592" s="10" t="n">
        <v>46214</v>
      </c>
      <c r="B592" s="11" t="n">
        <v>1828021219</v>
      </c>
      <c r="C592" s="11" t="n">
        <v>464284938.9</v>
      </c>
      <c r="D592" s="11" t="n">
        <v>80444385</v>
      </c>
      <c r="E592" s="11" t="n">
        <v>4475860.097009998</v>
      </c>
      <c r="F592" s="24" t="n">
        <v>128396978.9501048</v>
      </c>
      <c r="G592" s="24" t="n">
        <v>1679367.970985089</v>
      </c>
      <c r="H592" s="24" t="n">
        <v>1210165.693395696</v>
      </c>
      <c r="I592" s="24" t="n">
        <v>108404624.8710709</v>
      </c>
      <c r="J592" s="24" t="n">
        <v>135670.3705547017</v>
      </c>
      <c r="K592" s="24" t="n">
        <v>224458131.0438887</v>
      </c>
      <c r="L592" s="21">
        <f>SUM(F592:K592)</f>
        <v/>
      </c>
      <c r="M592" s="28" t="n">
        <v>1.014322455891602</v>
      </c>
      <c r="N592" s="11" t="n">
        <v>659297.29</v>
      </c>
      <c r="O592" s="11" t="n">
        <v>60974.39</v>
      </c>
      <c r="P592" s="11" t="n">
        <v>40910.9</v>
      </c>
      <c r="Q592" s="11" t="n">
        <v>222.76719281</v>
      </c>
      <c r="R592" s="21">
        <f>N592+O592+P592+N(Q592)</f>
        <v/>
      </c>
      <c r="S592" s="13" t="n">
        <v>0.01</v>
      </c>
      <c r="T592" s="21">
        <f>N(AC592)*S592</f>
        <v/>
      </c>
      <c r="U592" s="21">
        <f>N(AD592)*S592</f>
        <v/>
      </c>
      <c r="V592" s="21">
        <f>N(AE592)*S592</f>
        <v/>
      </c>
      <c r="W592" s="21">
        <f>IF(Q592="","",N(AF592)*S592)</f>
        <v/>
      </c>
      <c r="X592" s="11" t="n">
        <v>7833.99</v>
      </c>
      <c r="Y592" s="11" t="n">
        <v>30303.91</v>
      </c>
      <c r="Z592" s="11" t="n">
        <v>0</v>
      </c>
      <c r="AA592" s="21">
        <f>T592+U592+V592+N(W592)+X592+Y592+N(Z592)</f>
        <v/>
      </c>
      <c r="AB592" s="11" t="n">
        <v>49282.711</v>
      </c>
      <c r="AC592" s="11" t="n">
        <v>659297.29</v>
      </c>
      <c r="AD592" s="21">
        <f>O592-Y592</f>
        <v/>
      </c>
      <c r="AE592" s="21">
        <f>P592-X592</f>
        <v/>
      </c>
      <c r="AF592" s="21">
        <f>IF(Q592="","",Q592-Z592)</f>
        <v/>
      </c>
      <c r="AG592" s="22">
        <f>AC592+AD592+AE592+N(AF592)</f>
        <v/>
      </c>
      <c r="AH592" s="11" t="n">
        <v>608951.78</v>
      </c>
      <c r="AI592" s="24">
        <f>AG592-AH592</f>
        <v/>
      </c>
      <c r="AJ592" s="14">
        <f>IF(OR(B592="",B592=0,N592=""),"",N592/B592*10000)</f>
        <v/>
      </c>
      <c r="AK592" s="14">
        <f>IF(OR(C592="",C592=0),"",O592/C592*10000)</f>
        <v/>
      </c>
      <c r="AL592" s="14">
        <f>IF(OR(D592="",D592=0),"",P592/D592*10000)</f>
        <v/>
      </c>
      <c r="AM592" s="14">
        <f>IF(OR(E592="",E592=0),"",Q592/E592*10000)</f>
        <v/>
      </c>
      <c r="AN592" s="11" t="n">
        <v>9401.180973530669</v>
      </c>
      <c r="AO592" s="11" t="n">
        <v>0</v>
      </c>
      <c r="AP592" s="21">
        <f>AH592+AN592+AO592</f>
        <v/>
      </c>
      <c r="AQ592" s="21">
        <f>AH592</f>
        <v/>
      </c>
      <c r="AR592" s="15" t="n">
        <v>9065.620000000001</v>
      </c>
      <c r="AS592" s="27" t="n">
        <v>67.171554</v>
      </c>
      <c r="AT592" s="15" t="n">
        <v>45769874.06473923</v>
      </c>
      <c r="AU592" s="15" t="n">
        <v>26924.6127</v>
      </c>
      <c r="AV592" s="15" t="n">
        <v>1632.3775</v>
      </c>
      <c r="AW592" s="15" t="n"/>
      <c r="AX592" s="16" t="n">
        <v>439.7772659889664</v>
      </c>
      <c r="AY592" s="13">
        <f>IF(OR(AX592="",AX592=0,AU592=""),"",AU592*365/(AX592*1000000))</f>
        <v/>
      </c>
      <c r="AZ592" s="15" t="n">
        <v>413329545.1074</v>
      </c>
      <c r="BA592" s="17" t="n">
        <v>60487233</v>
      </c>
      <c r="BB592" s="18" t="n">
        <v>45769874.06473923</v>
      </c>
      <c r="BC592" s="17" t="n">
        <v>2971663</v>
      </c>
      <c r="BD592" s="17">
        <f>1000000000-999123597.5369+277680.2730</f>
        <v/>
      </c>
      <c r="BE592" s="19">
        <f>1000000000-AZ592-BA592-BB592-BC592-BD592</f>
        <v/>
      </c>
      <c r="BF592" s="20" t="n">
        <v>233.077307</v>
      </c>
      <c r="BG592" s="20">
        <f>BE592/1000000-BF592</f>
        <v/>
      </c>
      <c r="BH592" s="21">
        <f>BE592*67.41</f>
        <v/>
      </c>
    </row>
    <row r="593">
      <c r="A593" s="10" t="n">
        <v>46215</v>
      </c>
      <c r="B593" s="11" t="n">
        <v>1859411490</v>
      </c>
      <c r="C593" s="11" t="n">
        <v>839611813.98</v>
      </c>
      <c r="D593" s="11" t="n">
        <v>56464008</v>
      </c>
      <c r="E593" s="11" t="n">
        <v>4384327.752660003</v>
      </c>
      <c r="F593" s="24" t="n">
        <v>301564263.5593849</v>
      </c>
      <c r="G593" s="24" t="n">
        <v>1188741.526974382</v>
      </c>
      <c r="H593" s="24" t="n">
        <v>2105705.869316843</v>
      </c>
      <c r="I593" s="24" t="n">
        <v>207895302.2421697</v>
      </c>
      <c r="J593" s="24" t="n">
        <v>92461.65794405133</v>
      </c>
      <c r="K593" s="24" t="n">
        <v>326765339.1242102</v>
      </c>
      <c r="L593" s="21">
        <f>SUM(F593:K593)</f>
        <v/>
      </c>
      <c r="M593" s="28" t="n">
        <v>1.065333243474842</v>
      </c>
      <c r="N593" s="11" t="n">
        <v>685496.04</v>
      </c>
      <c r="O593" s="11" t="n">
        <v>91325.98000000001</v>
      </c>
      <c r="P593" s="11" t="n">
        <v>31232.63</v>
      </c>
      <c r="Q593" s="11" t="n">
        <v>328.51938842</v>
      </c>
      <c r="R593" s="21">
        <f>N593+O593+P593+N(Q593)</f>
        <v/>
      </c>
      <c r="S593" s="13" t="n">
        <v>0.01</v>
      </c>
      <c r="T593" s="21">
        <f>N(AC593)*S593</f>
        <v/>
      </c>
      <c r="U593" s="21">
        <f>N(AD593)*S593</f>
        <v/>
      </c>
      <c r="V593" s="21">
        <f>N(AE593)*S593</f>
        <v/>
      </c>
      <c r="W593" s="21">
        <f>IF(Q593="","",N(AF593)*S593)</f>
        <v/>
      </c>
      <c r="X593" s="11" t="n">
        <v>7278.04</v>
      </c>
      <c r="Y593" s="11" t="n">
        <v>45506.47</v>
      </c>
      <c r="Z593" s="11" t="n">
        <v>0</v>
      </c>
      <c r="AA593" s="21">
        <f>T593+U593+V593+N(W593)+X593+Y593+N(Z593)</f>
        <v/>
      </c>
      <c r="AB593" s="11" t="n">
        <v>59772.2095</v>
      </c>
      <c r="AC593" s="11" t="n">
        <v>685496.04</v>
      </c>
      <c r="AD593" s="21">
        <f>O593-Y593</f>
        <v/>
      </c>
      <c r="AE593" s="21">
        <f>P593-X593</f>
        <v/>
      </c>
      <c r="AF593" s="21">
        <f>IF(Q593="","",Q593-Z593)</f>
        <v/>
      </c>
      <c r="AG593" s="22">
        <f>AC593+AD593+AE593+N(AF593)</f>
        <v/>
      </c>
      <c r="AH593" s="11" t="n">
        <v>615870.09</v>
      </c>
      <c r="AI593" s="24">
        <f>AG593-AH593</f>
        <v/>
      </c>
      <c r="AJ593" s="14">
        <f>IF(OR(B593="",B593=0,N593=""),"",N593/B593*10000)</f>
        <v/>
      </c>
      <c r="AK593" s="14">
        <f>IF(OR(C593="",C593=0),"",O593/C593*10000)</f>
        <v/>
      </c>
      <c r="AL593" s="14">
        <f>IF(OR(D593="",D593=0),"",P593/D593*10000)</f>
        <v/>
      </c>
      <c r="AM593" s="14">
        <f>IF(OR(E593="",E593=0),"",Q593/E593*10000)</f>
        <v/>
      </c>
      <c r="AN593" s="11" t="n">
        <v>6543.845404488871</v>
      </c>
      <c r="AO593" s="11" t="n">
        <v>0</v>
      </c>
      <c r="AP593" s="21">
        <f>AH593+AN593+AO593</f>
        <v/>
      </c>
      <c r="AQ593" s="21">
        <f>AH593</f>
        <v/>
      </c>
      <c r="AR593" s="15" t="n">
        <v>9153.08</v>
      </c>
      <c r="AS593" s="27" t="n">
        <v>67.28555799999999</v>
      </c>
      <c r="AT593" s="15" t="n">
        <v>45778877.78473923</v>
      </c>
      <c r="AU593" s="15" t="n">
        <v>26912.1506</v>
      </c>
      <c r="AV593" s="15" t="n">
        <v>1011.1797</v>
      </c>
      <c r="AW593" s="15" t="n"/>
      <c r="AX593" s="16" t="n">
        <v>439.8147775246513</v>
      </c>
      <c r="AY593" s="13">
        <f>IF(OR(AX593="",AX593=0,AU593=""),"",AU593*365/(AX593*1000000))</f>
        <v/>
      </c>
      <c r="AZ593" s="15" t="n">
        <v>413302632.9569</v>
      </c>
      <c r="BA593" s="17" t="n">
        <v>60487233</v>
      </c>
      <c r="BB593" s="18" t="n">
        <v>45778877.78473923</v>
      </c>
      <c r="BC593" s="17" t="n">
        <v>2971663</v>
      </c>
      <c r="BD593" s="17">
        <f>1000000000-999122586.3573+277778.1336</f>
        <v/>
      </c>
      <c r="BE593" s="19">
        <f>1000000000-AZ593-BA593-BB593-BC593-BD593</f>
        <v/>
      </c>
      <c r="BF593" s="20" t="n">
        <v>233.077307</v>
      </c>
      <c r="BG593" s="20">
        <f>BE593/1000000-BF593</f>
        <v/>
      </c>
      <c r="BH593" s="21">
        <f>BE593*66.89</f>
        <v/>
      </c>
    </row>
    <row r="594">
      <c r="A594" s="10" t="n">
        <v>46216</v>
      </c>
      <c r="B594" s="11" t="n">
        <v>5001237674</v>
      </c>
      <c r="C594" s="11" t="n">
        <v>4671253555.42</v>
      </c>
      <c r="D594" s="11" t="n">
        <v>135561146</v>
      </c>
      <c r="E594" s="11" t="n">
        <v>1928658.112489999</v>
      </c>
      <c r="F594" s="24" t="n">
        <v>816108283.1422336</v>
      </c>
      <c r="G594" s="24" t="n">
        <v>4769253.254229723</v>
      </c>
      <c r="H594" s="24" t="n">
        <v>4866882.928083707</v>
      </c>
      <c r="I594" s="24" t="n">
        <v>871257241.8483366</v>
      </c>
      <c r="J594" s="24" t="n">
        <v>1740797.583069926</v>
      </c>
      <c r="K594" s="24" t="n">
        <v>2972511096.664047</v>
      </c>
      <c r="L594" s="21">
        <f>SUM(F594:K594)</f>
        <v/>
      </c>
      <c r="M594" s="28" t="n">
        <v>1.0039881102095</v>
      </c>
      <c r="N594" s="11" t="n">
        <v>1648360.4</v>
      </c>
      <c r="O594" s="11" t="n">
        <v>407984.09</v>
      </c>
      <c r="P594" s="11" t="n">
        <v>67840.55</v>
      </c>
      <c r="Q594" s="11" t="n">
        <v>126.82390787</v>
      </c>
      <c r="R594" s="21">
        <f>N594+O594+P594+N(Q594)</f>
        <v/>
      </c>
      <c r="S594" s="13" t="n">
        <v>0.01</v>
      </c>
      <c r="T594" s="21">
        <f>N(AC594)*S594</f>
        <v/>
      </c>
      <c r="U594" s="21">
        <f>N(AD594)*S594</f>
        <v/>
      </c>
      <c r="V594" s="21">
        <f>N(AE594)*S594</f>
        <v/>
      </c>
      <c r="W594" s="21">
        <f>IF(Q594="","",N(AF594)*S594)</f>
        <v/>
      </c>
      <c r="X594" s="11" t="n">
        <v>11943.19</v>
      </c>
      <c r="Y594" s="11" t="n">
        <v>203331.66</v>
      </c>
      <c r="Z594" s="11" t="n">
        <v>0</v>
      </c>
      <c r="AA594" s="21">
        <f>T594+U594+V594+N(W594)+X594+Y594+N(Z594)</f>
        <v/>
      </c>
      <c r="AB594" s="11" t="n">
        <v>122974.4422</v>
      </c>
      <c r="AC594" s="11" t="n">
        <v>1648360.4</v>
      </c>
      <c r="AD594" s="21">
        <f>O594-Y594</f>
        <v/>
      </c>
      <c r="AE594" s="21">
        <f>P594-X594</f>
        <v/>
      </c>
      <c r="AF594" s="21">
        <f>IF(Q594="","",Q594-Z594)</f>
        <v/>
      </c>
      <c r="AG594" s="22">
        <f>AC594+AD594+AE594+N(AF594)</f>
        <v/>
      </c>
      <c r="AH594" s="11" t="n">
        <v>1607063.88</v>
      </c>
      <c r="AI594" s="24">
        <f>AG594-AH594</f>
        <v/>
      </c>
      <c r="AJ594" s="14">
        <f>IF(OR(B594="",B594=0,N594=""),"",N594/B594*10000)</f>
        <v/>
      </c>
      <c r="AK594" s="14">
        <f>IF(OR(C594="",C594=0),"",O594/C594*10000)</f>
        <v/>
      </c>
      <c r="AL594" s="14">
        <f>IF(OR(D594="",D594=0),"",P594/D594*10000)</f>
        <v/>
      </c>
      <c r="AM594" s="14">
        <f>IF(OR(E594="",E594=0),"",Q594/E594*10000)</f>
        <v/>
      </c>
      <c r="AN594" s="11" t="n">
        <v>17404.92687757403</v>
      </c>
      <c r="AO594" s="11" t="n">
        <v>0</v>
      </c>
      <c r="AP594" s="21">
        <f>AH594+AN594+AO594</f>
        <v/>
      </c>
      <c r="AQ594" s="21">
        <f>AH594</f>
        <v/>
      </c>
      <c r="AR594" s="15" t="n">
        <v>24762.69</v>
      </c>
      <c r="AS594" s="27" t="n">
        <v>64.898599</v>
      </c>
      <c r="AT594" s="15" t="n">
        <v>45804664.51473923</v>
      </c>
      <c r="AU594" s="15" t="n">
        <v>26925.5446</v>
      </c>
      <c r="AV594" s="15" t="n">
        <v>1326.1526</v>
      </c>
      <c r="AW594" s="15" t="n"/>
      <c r="AX594" s="16" t="n">
        <v>439.900831517776</v>
      </c>
      <c r="AY594" s="13">
        <f>IF(OR(AX594="",AX594=0,AU594=""),"",AU594*365/(AX594*1000000))</f>
        <v/>
      </c>
      <c r="AZ594" s="15" t="n">
        <v>413275707.4123</v>
      </c>
      <c r="BA594" s="17" t="n">
        <v>60487233</v>
      </c>
      <c r="BB594" s="18" t="n">
        <v>45804664.51473923</v>
      </c>
      <c r="BC594" s="17" t="n">
        <v>2971663</v>
      </c>
      <c r="BD594" s="17">
        <f>1000000000-999121260.2047+278034.9382</f>
        <v/>
      </c>
      <c r="BE594" s="19">
        <f>1000000000-AZ594-BA594-BB594-BC594-BD594</f>
        <v/>
      </c>
      <c r="BF594" s="20" t="n">
        <v>233.077307</v>
      </c>
      <c r="BG594" s="20">
        <f>BE594/1000000-BF594</f>
        <v/>
      </c>
      <c r="BH594" s="21">
        <f>BE594*67.8</f>
        <v/>
      </c>
    </row>
    <row r="595">
      <c r="A595" s="10" t="n">
        <v>46217</v>
      </c>
      <c r="B595" s="11" t="n">
        <v>4691798769</v>
      </c>
      <c r="C595" s="11" t="n">
        <v>5353893495.03</v>
      </c>
      <c r="D595" s="11" t="n">
        <v>105439396</v>
      </c>
      <c r="E595" s="11" t="n">
        <v>6559194.85138</v>
      </c>
      <c r="F595" s="24" t="n">
        <v>902004639.4999667</v>
      </c>
      <c r="G595" s="24" t="n">
        <v>2675804.79732758</v>
      </c>
      <c r="H595" s="24" t="n">
        <v>8895348.535067534</v>
      </c>
      <c r="I595" s="24" t="n">
        <v>1003230203.883039</v>
      </c>
      <c r="J595" s="24" t="n">
        <v>1528783.984950039</v>
      </c>
      <c r="K595" s="24" t="n">
        <v>3435558714.329649</v>
      </c>
      <c r="L595" s="21">
        <f>SUM(F595:K595)</f>
        <v/>
      </c>
      <c r="M595" s="28" t="n">
        <v>0.9987871953025318</v>
      </c>
      <c r="N595" s="11" t="n">
        <v>1587730.69</v>
      </c>
      <c r="O595" s="11" t="n">
        <v>447516.36</v>
      </c>
      <c r="P595" s="11" t="n">
        <v>55297.96000000001</v>
      </c>
      <c r="Q595" s="11" t="n">
        <v>206.9275183300001</v>
      </c>
      <c r="R595" s="21">
        <f>N595+O595+P595+N(Q595)</f>
        <v/>
      </c>
      <c r="S595" s="13" t="n">
        <v>0.01</v>
      </c>
      <c r="T595" s="21">
        <f>N(AC595)*S595</f>
        <v/>
      </c>
      <c r="U595" s="21">
        <f>N(AD595)*S595</f>
        <v/>
      </c>
      <c r="V595" s="21">
        <f>N(AE595)*S595</f>
        <v/>
      </c>
      <c r="W595" s="21">
        <f>IF(Q595="","",N(AF595)*S595)</f>
        <v/>
      </c>
      <c r="X595" s="11" t="n">
        <v>13756.66</v>
      </c>
      <c r="Y595" s="11" t="n">
        <v>223365.54</v>
      </c>
      <c r="Z595" s="11" t="n">
        <v>0</v>
      </c>
      <c r="AA595" s="21">
        <f>T595+U595+V595+N(W595)+X595+Y595+N(Z595)</f>
        <v/>
      </c>
      <c r="AB595" s="11" t="n">
        <v>129938.1453</v>
      </c>
      <c r="AC595" s="11" t="n">
        <v>1587730.69</v>
      </c>
      <c r="AD595" s="21">
        <f>O595-Y595</f>
        <v/>
      </c>
      <c r="AE595" s="21">
        <f>P595-X595</f>
        <v/>
      </c>
      <c r="AF595" s="21">
        <f>IF(Q595="","",Q595-Z595)</f>
        <v/>
      </c>
      <c r="AG595" s="22">
        <f>AC595+AD595+AE595+N(AF595)</f>
        <v/>
      </c>
      <c r="AH595" s="11" t="n">
        <v>1650035.04</v>
      </c>
      <c r="AI595" s="24">
        <f>AG595-AH595</f>
        <v/>
      </c>
      <c r="AJ595" s="14">
        <f>IF(OR(B595="",B595=0,N595=""),"",N595/B595*10000)</f>
        <v/>
      </c>
      <c r="AK595" s="14">
        <f>IF(OR(C595="",C595=0),"",O595/C595*10000)</f>
        <v/>
      </c>
      <c r="AL595" s="14">
        <f>IF(OR(D595="",D595=0),"",P595/D595*10000)</f>
        <v/>
      </c>
      <c r="AM595" s="14">
        <f>IF(OR(E595="",E595=0),"",Q595/E595*10000)</f>
        <v/>
      </c>
      <c r="AN595" s="11" t="n">
        <v>9975.309125881897</v>
      </c>
      <c r="AO595" s="11" t="n">
        <v>0</v>
      </c>
      <c r="AP595" s="21">
        <f>AH595+AN595+AO595</f>
        <v/>
      </c>
      <c r="AQ595" s="21">
        <f>AH595</f>
        <v/>
      </c>
      <c r="AR595" s="15" t="n">
        <v>25592.91</v>
      </c>
      <c r="AS595" s="27" t="n">
        <v>64.47234899999999</v>
      </c>
      <c r="AT595" s="15" t="n">
        <v>45829352.99473923</v>
      </c>
      <c r="AU595" s="15" t="n">
        <v>26887.6757</v>
      </c>
      <c r="AV595" s="15" t="n">
        <v>2041.8195</v>
      </c>
      <c r="AW595" s="15" t="n"/>
      <c r="AX595" s="16" t="n">
        <v>439.2517462399322</v>
      </c>
      <c r="AY595" s="13">
        <f>IF(OR(AX595="",AX595=0,AU595=""),"",AU595*365/(AX595*1000000))</f>
        <v/>
      </c>
      <c r="AZ595" s="15" t="n">
        <v>413248819.7366</v>
      </c>
      <c r="BA595" s="17" t="n">
        <v>60487233</v>
      </c>
      <c r="BB595" s="18" t="n">
        <v>45829352.99473923</v>
      </c>
      <c r="BC595" s="17" t="n">
        <v>2971663</v>
      </c>
      <c r="BD595" s="17">
        <f>1000000000-999119218.3852+278192.1757</f>
        <v/>
      </c>
      <c r="BE595" s="19">
        <f>1000000000-AZ595-BA595-BB595-BC595-BD595</f>
        <v/>
      </c>
      <c r="BF595" s="20" t="n">
        <v>233.077307</v>
      </c>
      <c r="BG595" s="20">
        <f>BE595/1000000-BF595</f>
        <v/>
      </c>
      <c r="BH595" s="21">
        <f>BE595*63.38</f>
        <v/>
      </c>
    </row>
    <row r="596">
      <c r="A596" s="10" t="n">
        <v>46218</v>
      </c>
      <c r="B596" s="11" t="n">
        <v>3689077729</v>
      </c>
      <c r="C596" s="11" t="n">
        <v>4590878639.33</v>
      </c>
      <c r="D596" s="11" t="n">
        <v>126963792</v>
      </c>
      <c r="E596" s="11" t="n">
        <v>5949782.56568</v>
      </c>
      <c r="F596" s="24" t="n">
        <v>607324368.1092173</v>
      </c>
      <c r="G596" s="24" t="n">
        <v>2203489.100683669</v>
      </c>
      <c r="H596" s="24" t="n">
        <v>3741909.64957977</v>
      </c>
      <c r="I596" s="24" t="n">
        <v>881959070.8372635</v>
      </c>
      <c r="J596" s="24" t="n">
        <v>50313321.97653307</v>
      </c>
      <c r="K596" s="24" t="n">
        <v>3045336479.656723</v>
      </c>
      <c r="L596" s="21">
        <f>SUM(F596:K596)</f>
        <v/>
      </c>
      <c r="M596" s="28" t="n">
        <v>1.01106313671029</v>
      </c>
      <c r="N596" s="11" t="n">
        <v>1293046.93</v>
      </c>
      <c r="O596" s="11" t="n">
        <v>374967.43</v>
      </c>
      <c r="P596" s="11" t="n">
        <v>65000.45</v>
      </c>
      <c r="Q596" s="11" t="n">
        <v>143.7779946700001</v>
      </c>
      <c r="R596" s="21">
        <f>N596+O596+P596+N(Q596)</f>
        <v/>
      </c>
      <c r="S596" s="13" t="n">
        <v>0.01</v>
      </c>
      <c r="T596" s="21">
        <f>N(AC596)*S596</f>
        <v/>
      </c>
      <c r="U596" s="21">
        <f>N(AD596)*S596</f>
        <v/>
      </c>
      <c r="V596" s="21">
        <f>N(AE596)*S596</f>
        <v/>
      </c>
      <c r="W596" s="21">
        <f>IF(Q596="","",N(AF596)*S596)</f>
        <v/>
      </c>
      <c r="X596" s="11" t="n">
        <v>10933.43</v>
      </c>
      <c r="Y596" s="11" t="n">
        <v>187115.62</v>
      </c>
      <c r="Z596" s="11" t="n">
        <v>0</v>
      </c>
      <c r="AA596" s="21">
        <f>T596+U596+V596+N(W596)+X596+Y596+N(Z596)</f>
        <v/>
      </c>
      <c r="AB596" s="11" t="n">
        <v>113458.3171</v>
      </c>
      <c r="AC596" s="11" t="n">
        <v>1293046.93</v>
      </c>
      <c r="AD596" s="21">
        <f>O596-Y596</f>
        <v/>
      </c>
      <c r="AE596" s="21">
        <f>P596-X596</f>
        <v/>
      </c>
      <c r="AF596" s="21">
        <f>IF(Q596="","",Q596-Z596)</f>
        <v/>
      </c>
      <c r="AG596" s="22">
        <f>AC596+AD596+AE596+N(AF596)</f>
        <v/>
      </c>
      <c r="AH596" s="11" t="n">
        <v>1307357.36</v>
      </c>
      <c r="AI596" s="24">
        <f>AG596-AH596</f>
        <v/>
      </c>
      <c r="AJ596" s="14">
        <f>IF(OR(B596="",B596=0,N596=""),"",N596/B596*10000)</f>
        <v/>
      </c>
      <c r="AK596" s="14">
        <f>IF(OR(C596="",C596=0),"",O596/C596*10000)</f>
        <v/>
      </c>
      <c r="AL596" s="14">
        <f>IF(OR(D596="",D596=0),"",P596/D596*10000)</f>
        <v/>
      </c>
      <c r="AM596" s="14">
        <f>IF(OR(E596="",E596=0),"",Q596/E596*10000)</f>
        <v/>
      </c>
      <c r="AN596" s="11" t="n">
        <v>10534.50485660719</v>
      </c>
      <c r="AO596" s="11" t="n">
        <v>32741.68</v>
      </c>
      <c r="AP596" s="21">
        <f>AH596+AN596+AO596</f>
        <v/>
      </c>
      <c r="AQ596" s="21">
        <f>AH596</f>
        <v/>
      </c>
      <c r="AR596" s="15" t="n">
        <v>19373.01</v>
      </c>
      <c r="AS596" s="27" t="n">
        <v>67.48344</v>
      </c>
      <c r="AT596" s="15" t="n">
        <v>45848906.02473923</v>
      </c>
      <c r="AU596" s="15" t="n">
        <v>26903.6309</v>
      </c>
      <c r="AV596" s="15" t="n">
        <v>3025.1709</v>
      </c>
      <c r="AW596" s="15" t="n"/>
      <c r="AX596" s="16" t="n">
        <v>439.2214045575498</v>
      </c>
      <c r="AY596" s="13">
        <f>IF(OR(AX596="",AX596=0,AU596=""),"",AU596*365/(AX596*1000000))</f>
        <v/>
      </c>
      <c r="AZ596" s="15" t="n">
        <v>413221916.1057</v>
      </c>
      <c r="BA596" s="17" t="n">
        <v>60487233</v>
      </c>
      <c r="BB596" s="18" t="n">
        <v>45848906.02473923</v>
      </c>
      <c r="BC596" s="17" t="n">
        <v>2971663</v>
      </c>
      <c r="BD596" s="17">
        <f>1000000000-999116193.2144+278352.2673</f>
        <v/>
      </c>
      <c r="BE596" s="19">
        <f>1000000000-AZ596-BA596-BB596-BC596-BD596</f>
        <v/>
      </c>
      <c r="BF596" s="20" t="n">
        <v>233.077307</v>
      </c>
      <c r="BG596" s="20">
        <f>BE596/1000000-BF596</f>
        <v/>
      </c>
      <c r="BH596" s="21">
        <f>BE596*65.77</f>
        <v/>
      </c>
    </row>
    <row r="597">
      <c r="A597" s="10" t="n">
        <v>46219</v>
      </c>
      <c r="B597" s="11" t="n">
        <v>3724935567</v>
      </c>
      <c r="C597" s="11" t="n">
        <v>4419292128.02</v>
      </c>
      <c r="D597" s="11" t="n">
        <v>141977334</v>
      </c>
      <c r="E597" s="11" t="n">
        <v>2159535.637409999</v>
      </c>
      <c r="F597" s="24" t="n">
        <v>580705376.0543215</v>
      </c>
      <c r="G597" s="24" t="n">
        <v>1459242.12561413</v>
      </c>
      <c r="H597" s="24" t="n">
        <v>4159473.616856038</v>
      </c>
      <c r="I597" s="24" t="n">
        <v>1068213578.103094</v>
      </c>
      <c r="J597" s="24" t="n">
        <v>14071404.77753792</v>
      </c>
      <c r="K597" s="24" t="n">
        <v>2750683053.342576</v>
      </c>
      <c r="L597" s="21">
        <f>SUM(F597:K597)</f>
        <v/>
      </c>
      <c r="M597" s="28" t="n">
        <v>1.008225158803923</v>
      </c>
      <c r="N597" s="11" t="n">
        <v>1278173.49</v>
      </c>
      <c r="O597" s="11" t="n">
        <v>354889.44</v>
      </c>
      <c r="P597" s="11" t="n">
        <v>73643.78</v>
      </c>
      <c r="Q597" s="11" t="n">
        <v>49.90369553</v>
      </c>
      <c r="R597" s="21">
        <f>N597+O597+P597+N(Q597)</f>
        <v/>
      </c>
      <c r="S597" s="13" t="n">
        <v>0.01</v>
      </c>
      <c r="T597" s="21">
        <f>N(AC597)*S597</f>
        <v/>
      </c>
      <c r="U597" s="21">
        <f>N(AD597)*S597</f>
        <v/>
      </c>
      <c r="V597" s="21">
        <f>N(AE597)*S597</f>
        <v/>
      </c>
      <c r="W597" s="21">
        <f>IF(Q597="","",N(AF597)*S597)</f>
        <v/>
      </c>
      <c r="X597" s="11" t="n">
        <v>10815.02</v>
      </c>
      <c r="Y597" s="11" t="n">
        <v>177246.7</v>
      </c>
      <c r="Z597" s="11" t="n">
        <v>0</v>
      </c>
      <c r="AA597" s="21">
        <f>T597+U597+V597+N(W597)+X597+Y597+N(Z597)</f>
        <v/>
      </c>
      <c r="AB597" s="11" t="n">
        <v>112194.1091</v>
      </c>
      <c r="AC597" s="11" t="n">
        <v>1278173.49</v>
      </c>
      <c r="AD597" s="21">
        <f>O597-Y597</f>
        <v/>
      </c>
      <c r="AE597" s="21">
        <f>P597-X597</f>
        <v/>
      </c>
      <c r="AF597" s="21">
        <f>IF(Q597="","",Q597-Z597)</f>
        <v/>
      </c>
      <c r="AG597" s="22">
        <f>AC597+AD597+AE597+N(AF597)</f>
        <v/>
      </c>
      <c r="AH597" s="11" t="n">
        <v>1300884.42</v>
      </c>
      <c r="AI597" s="24">
        <f>AG597-AH597</f>
        <v/>
      </c>
      <c r="AJ597" s="14">
        <f>IF(OR(B597="",B597=0,N597=""),"",N597/B597*10000)</f>
        <v/>
      </c>
      <c r="AK597" s="14">
        <f>IF(OR(C597="",C597=0),"",O597/C597*10000)</f>
        <v/>
      </c>
      <c r="AL597" s="14">
        <f>IF(OR(D597="",D597=0),"",P597/D597*10000)</f>
        <v/>
      </c>
      <c r="AM597" s="14">
        <f>IF(OR(E597="",E597=0),"",Q597/E597*10000)</f>
        <v/>
      </c>
      <c r="AN597" s="11" t="n">
        <v>13490.02214492516</v>
      </c>
      <c r="AO597" s="11" t="n">
        <v>0</v>
      </c>
      <c r="AP597" s="21">
        <f>AH597+AN597+AO597</f>
        <v/>
      </c>
      <c r="AQ597" s="21">
        <f>AH597</f>
        <v/>
      </c>
      <c r="AR597" s="15" t="n">
        <v>20105.45</v>
      </c>
      <c r="AS597" s="27" t="n">
        <v>64.703074</v>
      </c>
      <c r="AT597" s="15" t="n">
        <v>45868890.04473923</v>
      </c>
      <c r="AU597" s="15" t="n">
        <v>26872.6865</v>
      </c>
      <c r="AV597" s="15" t="n">
        <v>3302.8737</v>
      </c>
      <c r="AW597" s="15" t="n"/>
      <c r="AX597" s="16" t="n">
        <v>439.2060457351707</v>
      </c>
      <c r="AY597" s="13">
        <f>IF(OR(AX597="",AX597=0,AU597=""),"",AU597*365/(AX597*1000000))</f>
        <v/>
      </c>
      <c r="AZ597" s="15" t="n">
        <v>413195043.4191</v>
      </c>
      <c r="BA597" s="17" t="n">
        <v>60487233</v>
      </c>
      <c r="BB597" s="18" t="n">
        <v>45868890.04473923</v>
      </c>
      <c r="BC597" s="17" t="n">
        <v>2971663</v>
      </c>
      <c r="BD597" s="17">
        <f>1000000000-999112890.3407+278554.7776</f>
        <v/>
      </c>
      <c r="BE597" s="19">
        <f>1000000000-AZ597-BA597-BB597-BC597-BD597</f>
        <v/>
      </c>
      <c r="BF597" s="20" t="n">
        <v>233.077307</v>
      </c>
      <c r="BG597" s="20">
        <f>BE597/1000000-BF597</f>
        <v/>
      </c>
      <c r="BH597" s="21">
        <f>BE597*66.55</f>
        <v/>
      </c>
    </row>
    <row r="598">
      <c r="A598" s="10" t="n">
        <v>46220</v>
      </c>
      <c r="B598" s="11" t="n">
        <v>3789773682</v>
      </c>
      <c r="C598" s="11" t="n">
        <v>5534002793.94</v>
      </c>
      <c r="D598" s="11" t="n">
        <v>154811603</v>
      </c>
      <c r="E598" s="11" t="n">
        <v>2159036.194600001</v>
      </c>
      <c r="F598" s="24" t="n">
        <v>763198104.3328135</v>
      </c>
      <c r="G598" s="24" t="n">
        <v>2938551.798361659</v>
      </c>
      <c r="H598" s="24" t="n">
        <v>3925779.150487556</v>
      </c>
      <c r="I598" s="24" t="n">
        <v>1413879567.393304</v>
      </c>
      <c r="J598" s="24" t="n">
        <v>13360385.38273809</v>
      </c>
      <c r="K598" s="24" t="n">
        <v>3336700405.882296</v>
      </c>
      <c r="L598" s="21">
        <f>SUM(F598:K598)</f>
        <v/>
      </c>
      <c r="M598" s="28" t="n">
        <v>1.001650425898021</v>
      </c>
      <c r="N598" s="11" t="n">
        <v>1326128.52</v>
      </c>
      <c r="O598" s="11" t="n">
        <v>428314.47</v>
      </c>
      <c r="P598" s="11" t="n">
        <v>84415.47</v>
      </c>
      <c r="Q598" s="11" t="n">
        <v>49.75526545</v>
      </c>
      <c r="R598" s="21">
        <f>N598+O598+P598+N(Q598)</f>
        <v/>
      </c>
      <c r="S598" s="13" t="n">
        <v>0.01</v>
      </c>
      <c r="T598" s="21">
        <f>N(AC598)*S598</f>
        <v/>
      </c>
      <c r="U598" s="21">
        <f>N(AD598)*S598</f>
        <v/>
      </c>
      <c r="V598" s="21">
        <f>N(AE598)*S598</f>
        <v/>
      </c>
      <c r="W598" s="21">
        <f>IF(Q598="","",N(AF598)*S598)</f>
        <v/>
      </c>
      <c r="X598" s="11" t="n">
        <v>11276.06</v>
      </c>
      <c r="Y598" s="11" t="n">
        <v>213707.82</v>
      </c>
      <c r="Z598" s="11" t="n">
        <v>0</v>
      </c>
      <c r="AA598" s="21">
        <f>T598+U598+V598+N(W598)+X598+Y598+N(Z598)</f>
        <v/>
      </c>
      <c r="AB598" s="11" t="n">
        <v>108118.104</v>
      </c>
      <c r="AC598" s="11" t="n">
        <v>1326128.52</v>
      </c>
      <c r="AD598" s="21">
        <f>O598-Y598</f>
        <v/>
      </c>
      <c r="AE598" s="21">
        <f>P598-X598</f>
        <v/>
      </c>
      <c r="AF598" s="21">
        <f>IF(Q598="","",Q598-Z598)</f>
        <v/>
      </c>
      <c r="AG598" s="22">
        <f>AC598+AD598+AE598+N(AF598)</f>
        <v/>
      </c>
      <c r="AH598" s="11" t="n">
        <v>1382885.21</v>
      </c>
      <c r="AI598" s="24">
        <f>AG598-AH598</f>
        <v/>
      </c>
      <c r="AJ598" s="14">
        <f>IF(OR(B598="",B598=0,N598=""),"",N598/B598*10000)</f>
        <v/>
      </c>
      <c r="AK598" s="14">
        <f>IF(OR(C598="",C598=0),"",O598/C598*10000)</f>
        <v/>
      </c>
      <c r="AL598" s="14">
        <f>IF(OR(D598="",D598=0),"",P598/D598*10000)</f>
        <v/>
      </c>
      <c r="AM598" s="14">
        <f>IF(OR(E598="",E598=0),"",Q598/E598*10000)</f>
        <v/>
      </c>
      <c r="AN598" s="11" t="n">
        <v>14856.51204305764</v>
      </c>
      <c r="AO598" s="11" t="n">
        <v>30343.32</v>
      </c>
      <c r="AP598" s="21">
        <f>AH598+AN598+AO598</f>
        <v/>
      </c>
      <c r="AQ598" s="21">
        <f>AH598</f>
        <v/>
      </c>
      <c r="AR598" s="15" t="n">
        <v>23026.4</v>
      </c>
      <c r="AS598" s="27" t="n">
        <v>60.056509</v>
      </c>
      <c r="AT598" s="15" t="n">
        <v>45891756.20473923</v>
      </c>
      <c r="AU598" s="15" t="n">
        <v>26896.072</v>
      </c>
      <c r="AV598" s="15" t="n">
        <v>2759.5327</v>
      </c>
      <c r="AW598" s="15" t="n"/>
      <c r="AX598" s="16" t="n">
        <v>439.2656066435003</v>
      </c>
      <c r="AY598" s="13">
        <f>IF(OR(AX598="",AX598=0,AU598=""),"",AU598*365/(AX598*1000000))</f>
        <v/>
      </c>
      <c r="AZ598" s="15" t="n">
        <v>413168147.3472</v>
      </c>
      <c r="BA598" s="17" t="n">
        <v>60487233</v>
      </c>
      <c r="BB598" s="18" t="n">
        <v>45891756.20473923</v>
      </c>
      <c r="BC598" s="17" t="n">
        <v>2971663</v>
      </c>
      <c r="BD598" s="17">
        <f>1000000000-999110130.808+278797.5708</f>
        <v/>
      </c>
      <c r="BE598" s="19">
        <f>1000000000-AZ598-BA598-BB598-BC598-BD598</f>
        <v/>
      </c>
      <c r="BF598" s="20" t="n">
        <v>233.077307</v>
      </c>
      <c r="BG598" s="20">
        <f>BE598/1000000-BF598</f>
        <v/>
      </c>
      <c r="BH598" s="21">
        <f>BE598*61.18</f>
        <v/>
      </c>
    </row>
    <row r="599">
      <c r="A599" s="10" t="n">
        <v>46221</v>
      </c>
      <c r="B599" s="11" t="n">
        <v>1573077481</v>
      </c>
      <c r="C599" s="11" t="n">
        <v>554012987.33</v>
      </c>
      <c r="D599" s="11" t="n">
        <v>53558776</v>
      </c>
      <c r="E599" s="11" t="n">
        <v>3968423.954740001</v>
      </c>
      <c r="F599" s="24" t="n">
        <v>198766758.0153346</v>
      </c>
      <c r="G599" s="24" t="n">
        <v>965965.6818871996</v>
      </c>
      <c r="H599" s="24" t="n">
        <v>1798246.59881713</v>
      </c>
      <c r="I599" s="24" t="n">
        <v>130713720.1776205</v>
      </c>
      <c r="J599" s="24" t="n">
        <v>4443497.891501137</v>
      </c>
      <c r="K599" s="24" t="n">
        <v>217324798.9648395</v>
      </c>
      <c r="L599" s="21">
        <f>SUM(F599:K599)</f>
        <v/>
      </c>
      <c r="M599" s="28" t="n">
        <v>1.004662938003448</v>
      </c>
      <c r="N599" s="11" t="n">
        <v>485246.81</v>
      </c>
      <c r="O599" s="11" t="n">
        <v>61608.78</v>
      </c>
      <c r="P599" s="11" t="n">
        <v>28479.28</v>
      </c>
      <c r="Q599" s="11" t="n">
        <v>111.14393214</v>
      </c>
      <c r="R599" s="21">
        <f>N599+O599+P599+N(Q599)</f>
        <v/>
      </c>
      <c r="S599" s="13" t="n">
        <v>0.01</v>
      </c>
      <c r="T599" s="21">
        <f>N(AC599)*S599</f>
        <v/>
      </c>
      <c r="U599" s="21">
        <f>N(AD599)*S599</f>
        <v/>
      </c>
      <c r="V599" s="21">
        <f>N(AE599)*S599</f>
        <v/>
      </c>
      <c r="W599" s="21">
        <f>IF(Q599="","",N(AF599)*S599)</f>
        <v/>
      </c>
      <c r="X599" s="11" t="n">
        <v>6216.5</v>
      </c>
      <c r="Y599" s="11" t="n">
        <v>30742.78</v>
      </c>
      <c r="Z599" s="11" t="n">
        <v>0</v>
      </c>
      <c r="AA599" s="21">
        <f>T599+U599+V599+N(W599)+X599+Y599+N(Z599)</f>
        <v/>
      </c>
      <c r="AB599" s="11" t="n">
        <v>34247.30700000001</v>
      </c>
      <c r="AC599" s="11" t="n">
        <v>485246.81</v>
      </c>
      <c r="AD599" s="21">
        <f>O599-Y599</f>
        <v/>
      </c>
      <c r="AE599" s="21">
        <f>P599-X599</f>
        <v/>
      </c>
      <c r="AF599" s="21">
        <f>IF(Q599="","",Q599-Z599)</f>
        <v/>
      </c>
      <c r="AG599" s="22">
        <f>AC599+AD599+AE599+N(AF599)</f>
        <v/>
      </c>
      <c r="AH599" s="11" t="n">
        <v>531349.89</v>
      </c>
      <c r="AI599" s="24">
        <f>AG599-AH599</f>
        <v/>
      </c>
      <c r="AJ599" s="14">
        <f>IF(OR(B599="",B599=0,N599=""),"",N599/B599*10000)</f>
        <v/>
      </c>
      <c r="AK599" s="14">
        <f>IF(OR(C599="",C599=0),"",O599/C599*10000)</f>
        <v/>
      </c>
      <c r="AL599" s="14">
        <f>IF(OR(D599="",D599=0),"",P599/D599*10000)</f>
        <v/>
      </c>
      <c r="AM599" s="14">
        <f>IF(OR(E599="",E599=0),"",Q599/E599*10000)</f>
        <v/>
      </c>
      <c r="AN599" s="11" t="n">
        <v>5577.532770932114</v>
      </c>
      <c r="AO599" s="11" t="n">
        <v>0</v>
      </c>
      <c r="AP599" s="21">
        <f>AH599+AN599+AO599</f>
        <v/>
      </c>
      <c r="AQ599" s="21">
        <f>AH599</f>
        <v/>
      </c>
      <c r="AR599" s="15" t="n">
        <v>8931.860000000001</v>
      </c>
      <c r="AS599" s="27" t="n">
        <v>59.489277</v>
      </c>
      <c r="AT599" s="15" t="n">
        <v>45900769.30473923</v>
      </c>
      <c r="AU599" s="15" t="n">
        <v>26883.9464</v>
      </c>
      <c r="AV599" s="15" t="n">
        <v>4344.2601</v>
      </c>
      <c r="AW599" s="15" t="n"/>
      <c r="AX599" s="16" t="n">
        <v>439.222538282136</v>
      </c>
      <c r="AY599" s="13">
        <f>IF(OR(AX599="",AX599=0,AU599=""),"",AU599*365/(AX599*1000000))</f>
        <v/>
      </c>
      <c r="AZ599" s="15" t="n">
        <v>413141263.4008</v>
      </c>
      <c r="BA599" s="17" t="n">
        <v>60487233</v>
      </c>
      <c r="BB599" s="18" t="n">
        <v>45900769.30473923</v>
      </c>
      <c r="BC599" s="17" t="n">
        <v>2971663</v>
      </c>
      <c r="BD599" s="17">
        <f>1000000000-999105786.5479+278890.6336</f>
        <v/>
      </c>
      <c r="BE599" s="19">
        <f>1000000000-AZ599-BA599-BB599-BC599-BD599</f>
        <v/>
      </c>
      <c r="BF599" s="20" t="n">
        <v>233.077307</v>
      </c>
      <c r="BG599" s="20">
        <f>BE599/1000000-BF599</f>
        <v/>
      </c>
      <c r="BH599" s="21">
        <f>BE599*59.93</f>
        <v/>
      </c>
    </row>
    <row r="600">
      <c r="A600" s="10" t="n">
        <v>46222</v>
      </c>
      <c r="B600" s="11" t="n">
        <v>1705178266</v>
      </c>
      <c r="C600" s="11" t="n">
        <v>941464851.84</v>
      </c>
      <c r="D600" s="11" t="n">
        <v>41592976</v>
      </c>
      <c r="E600" s="11" t="n">
        <v>5641595.039800003</v>
      </c>
      <c r="F600" s="24" t="n">
        <v>221101061.1968561</v>
      </c>
      <c r="G600" s="24" t="n">
        <v>992559.0894959698</v>
      </c>
      <c r="H600" s="24" t="n">
        <v>2293576.604320456</v>
      </c>
      <c r="I600" s="24" t="n">
        <v>235755490.6722333</v>
      </c>
      <c r="J600" s="24" t="n">
        <v>6368254.768053625</v>
      </c>
      <c r="K600" s="24" t="n">
        <v>474953909.5090407</v>
      </c>
      <c r="L600" s="21">
        <f>SUM(F600:K600)</f>
        <v/>
      </c>
      <c r="M600" s="28" t="n">
        <v>1.031028200001704</v>
      </c>
      <c r="N600" s="11" t="n">
        <v>605573.8199999999</v>
      </c>
      <c r="O600" s="11" t="n">
        <v>92314.04000000001</v>
      </c>
      <c r="P600" s="11" t="n">
        <v>22421.3</v>
      </c>
      <c r="Q600" s="11" t="n">
        <v>260.4393932900001</v>
      </c>
      <c r="R600" s="21">
        <f>N600+O600+P600+N(Q600)</f>
        <v/>
      </c>
      <c r="S600" s="13" t="n">
        <v>0.01</v>
      </c>
      <c r="T600" s="21">
        <f>N(AC600)*S600</f>
        <v/>
      </c>
      <c r="U600" s="21">
        <f>N(AD600)*S600</f>
        <v/>
      </c>
      <c r="V600" s="21">
        <f>N(AE600)*S600</f>
        <v/>
      </c>
      <c r="W600" s="21">
        <f>IF(Q600="","",N(AF600)*S600)</f>
        <v/>
      </c>
      <c r="X600" s="11" t="n">
        <v>6768.54</v>
      </c>
      <c r="Y600" s="11" t="n">
        <v>46021.62</v>
      </c>
      <c r="Z600" s="11" t="n">
        <v>0</v>
      </c>
      <c r="AA600" s="21">
        <f>T600+U600+V600+N(W600)+X600+Y600+N(Z600)</f>
        <v/>
      </c>
      <c r="AB600" s="11" t="n">
        <v>42884.67520000001</v>
      </c>
      <c r="AC600" s="11" t="n">
        <v>605573.8199999999</v>
      </c>
      <c r="AD600" s="21">
        <f>O600-Y600</f>
        <v/>
      </c>
      <c r="AE600" s="21">
        <f>P600-X600</f>
        <v/>
      </c>
      <c r="AF600" s="21">
        <f>IF(Q600="","",Q600-Z600)</f>
        <v/>
      </c>
      <c r="AG600" s="22">
        <f>AC600+AD600+AE600+N(AF600)</f>
        <v/>
      </c>
      <c r="AH600" s="11" t="n">
        <v>561896.08</v>
      </c>
      <c r="AI600" s="24">
        <f>AG600-AH600</f>
        <v/>
      </c>
      <c r="AJ600" s="14">
        <f>IF(OR(B600="",B600=0,N600=""),"",N600/B600*10000)</f>
        <v/>
      </c>
      <c r="AK600" s="14">
        <f>IF(OR(C600="",C600=0),"",O600/C600*10000)</f>
        <v/>
      </c>
      <c r="AL600" s="14">
        <f>IF(OR(D600="",D600=0),"",P600/D600*10000)</f>
        <v/>
      </c>
      <c r="AM600" s="14">
        <f>IF(OR(E600="",E600=0),"",Q600/E600*10000)</f>
        <v/>
      </c>
      <c r="AN600" s="11" t="n">
        <v>4715.705480782076</v>
      </c>
      <c r="AO600" s="11" t="n">
        <v>0</v>
      </c>
      <c r="AP600" s="21">
        <f>AH600+AN600+AO600</f>
        <v/>
      </c>
      <c r="AQ600" s="21">
        <f>AH600</f>
        <v/>
      </c>
      <c r="AR600" s="15" t="n">
        <v>9229.08</v>
      </c>
      <c r="AS600" s="27" t="n">
        <v>60.883217</v>
      </c>
      <c r="AT600" s="15" t="n">
        <v>45909913.44473923</v>
      </c>
      <c r="AU600" s="15" t="n">
        <v>26906.8588</v>
      </c>
      <c r="AV600" s="15" t="n">
        <v>1322.1028</v>
      </c>
      <c r="AW600" s="15" t="n"/>
      <c r="AX600" s="16" t="n">
        <v>439.2146993154153</v>
      </c>
      <c r="AY600" s="13">
        <f>IF(OR(AX600="",AX600=0,AU600=""),"",AU600*365/(AX600*1000000))</f>
        <v/>
      </c>
      <c r="AZ600" s="15" t="n">
        <v>413114356.5419</v>
      </c>
      <c r="BA600" s="17" t="n">
        <v>60487233</v>
      </c>
      <c r="BB600" s="18" t="n">
        <v>45909913.44473923</v>
      </c>
      <c r="BC600" s="17" t="n">
        <v>2971663</v>
      </c>
      <c r="BD600" s="17">
        <f>1000000000-999104464.4451+278968.8234</f>
        <v/>
      </c>
      <c r="BE600" s="19">
        <f>1000000000-AZ600-BA600-BB600-BC600-BD600</f>
        <v/>
      </c>
      <c r="BF600" s="20" t="n">
        <v>233.077307</v>
      </c>
      <c r="BG600" s="20">
        <f>BE600/1000000-BF600</f>
        <v/>
      </c>
      <c r="BH600" s="21">
        <f>BE600*60.34</f>
        <v/>
      </c>
    </row>
    <row r="601">
      <c r="A601" s="10" t="n">
        <v>46223</v>
      </c>
      <c r="B601" s="11" t="n">
        <v>4623652741</v>
      </c>
      <c r="C601" s="11" t="n">
        <v>3773706102.8</v>
      </c>
      <c r="D601" s="11" t="n">
        <v>78888589</v>
      </c>
      <c r="E601" s="11" t="n">
        <v>1303997.82225</v>
      </c>
      <c r="F601" s="24" t="n">
        <v>704168630.5378122</v>
      </c>
      <c r="G601" s="24" t="n">
        <v>1385500.23261518</v>
      </c>
      <c r="H601" s="24" t="n">
        <v>3796363.939738896</v>
      </c>
      <c r="I601" s="24" t="n">
        <v>810718862.6283697</v>
      </c>
      <c r="J601" s="24" t="n">
        <v>9523011.980757406</v>
      </c>
      <c r="K601" s="24" t="n">
        <v>2244113733.480707</v>
      </c>
      <c r="L601" s="21">
        <f>SUM(F601:K601)</f>
        <v/>
      </c>
      <c r="M601" s="28" t="n">
        <v>1.002243720005574</v>
      </c>
      <c r="N601" s="11" t="n">
        <v>1525144.91</v>
      </c>
      <c r="O601" s="11" t="n">
        <v>310119.8</v>
      </c>
      <c r="P601" s="11" t="n">
        <v>41579.18</v>
      </c>
      <c r="Q601" s="11" t="n">
        <v>20.69410032</v>
      </c>
      <c r="R601" s="21">
        <f>N601+O601+P601+N(Q601)</f>
        <v/>
      </c>
      <c r="S601" s="13" t="n">
        <v>0.01</v>
      </c>
      <c r="T601" s="21">
        <f>N(AC601)*S601</f>
        <v/>
      </c>
      <c r="U601" s="21">
        <f>N(AD601)*S601</f>
        <v/>
      </c>
      <c r="V601" s="21">
        <f>N(AE601)*S601</f>
        <v/>
      </c>
      <c r="W601" s="21">
        <f>IF(Q601="","",N(AF601)*S601)</f>
        <v/>
      </c>
      <c r="X601" s="11" t="n">
        <v>12560.51</v>
      </c>
      <c r="Y601" s="11" t="n">
        <v>154862.83</v>
      </c>
      <c r="Z601" s="11" t="n">
        <v>0</v>
      </c>
      <c r="AA601" s="21">
        <f>T601+U601+V601+N(W601)+X601+Y601+N(Z601)</f>
        <v/>
      </c>
      <c r="AB601" s="11" t="n">
        <v>106748.7463</v>
      </c>
      <c r="AC601" s="11" t="n">
        <v>1525144.91</v>
      </c>
      <c r="AD601" s="21">
        <f>O601-Y601</f>
        <v/>
      </c>
      <c r="AE601" s="21">
        <f>P601-X601</f>
        <v/>
      </c>
      <c r="AF601" s="21">
        <f>IF(Q601="","",Q601-Z601)</f>
        <v/>
      </c>
      <c r="AG601" s="22">
        <f>AC601+AD601+AE601+N(AF601)</f>
        <v/>
      </c>
      <c r="AH601" s="11" t="n">
        <v>1497938.94</v>
      </c>
      <c r="AI601" s="24">
        <f>AG601-AH601</f>
        <v/>
      </c>
      <c r="AJ601" s="14">
        <f>IF(OR(B601="",B601=0,N601=""),"",N601/B601*10000)</f>
        <v/>
      </c>
      <c r="AK601" s="14">
        <f>IF(OR(C601="",C601=0),"",O601/C601*10000)</f>
        <v/>
      </c>
      <c r="AL601" s="14">
        <f>IF(OR(D601="",D601=0),"",P601/D601*10000)</f>
        <v/>
      </c>
      <c r="AM601" s="14">
        <f>IF(OR(E601="",E601=0),"",Q601/E601*10000)</f>
        <v/>
      </c>
      <c r="AN601" s="11" t="n">
        <v>10421.67660201484</v>
      </c>
      <c r="AO601" s="11" t="n">
        <v>30554.76</v>
      </c>
      <c r="AP601" s="21">
        <f>AH601+AN601+AO601</f>
        <v/>
      </c>
      <c r="AQ601" s="21">
        <f>AH601</f>
        <v/>
      </c>
      <c r="AR601" s="15" t="n">
        <v>24445.89</v>
      </c>
      <c r="AS601" s="27" t="n">
        <v>61.275697</v>
      </c>
      <c r="AT601" s="15" t="n">
        <v>45934435.59473923</v>
      </c>
      <c r="AU601" s="15" t="n">
        <v>26907.3322</v>
      </c>
      <c r="AV601" s="15" t="n">
        <v>1403.0919</v>
      </c>
      <c r="AW601" s="15" t="n"/>
      <c r="AX601" s="16" t="n">
        <v>439.2663753271354</v>
      </c>
      <c r="AY601" s="13">
        <f>IF(OR(AX601="",AX601=0,AU601=""),"",AU601*365/(AX601*1000000))</f>
        <v/>
      </c>
      <c r="AZ601" s="15" t="n">
        <v>413087449.2097</v>
      </c>
      <c r="BA601" s="17" t="n">
        <v>60487233</v>
      </c>
      <c r="BB601" s="18" t="n">
        <v>45934435.59473923</v>
      </c>
      <c r="BC601" s="17" t="n">
        <v>2971663</v>
      </c>
      <c r="BD601" s="17">
        <f>1000000000-999103061.3532+279138.7568</f>
        <v/>
      </c>
      <c r="BE601" s="19">
        <f>1000000000-AZ601-BA601-BB601-BC601-BD601</f>
        <v/>
      </c>
      <c r="BF601" s="20" t="n">
        <v>233.077307</v>
      </c>
      <c r="BG601" s="20">
        <f>BE601/1000000-BF601</f>
        <v/>
      </c>
      <c r="BH601" s="21">
        <f>BE601*61.33</f>
        <v/>
      </c>
    </row>
    <row r="602">
      <c r="A602" s="10" t="n">
        <v>46224</v>
      </c>
      <c r="B602" s="11" t="n">
        <v>3775115765</v>
      </c>
      <c r="C602" s="11" t="n">
        <v>3728492697.92</v>
      </c>
      <c r="D602" s="11" t="n">
        <v>115258915</v>
      </c>
      <c r="E602" s="11" t="n">
        <v>573677.8418699999</v>
      </c>
      <c r="F602" s="24" t="n">
        <v>565455881.3125536</v>
      </c>
      <c r="G602" s="24" t="n">
        <v>690632.6207481448</v>
      </c>
      <c r="H602" s="24" t="n">
        <v>4362387.069204458</v>
      </c>
      <c r="I602" s="24" t="n">
        <v>706220758.4595748</v>
      </c>
      <c r="J602" s="24" t="n">
        <v>18101971.81361714</v>
      </c>
      <c r="K602" s="24" t="n">
        <v>2433661066.644302</v>
      </c>
      <c r="L602" s="21">
        <f>SUM(F602:K602)</f>
        <v/>
      </c>
      <c r="M602" s="28" t="n">
        <v>1.000239925060344</v>
      </c>
      <c r="N602" s="11" t="n">
        <v>1294144.24</v>
      </c>
      <c r="O602" s="11" t="n">
        <v>326905.85</v>
      </c>
      <c r="P602" s="11" t="n">
        <v>61487.60000000001</v>
      </c>
      <c r="Q602" s="11" t="n">
        <v>7.636263410000001</v>
      </c>
      <c r="R602" s="21">
        <f>N602+O602+P602+N(Q602)</f>
        <v/>
      </c>
      <c r="S602" s="13" t="n">
        <v>0.01</v>
      </c>
      <c r="T602" s="21">
        <f>N(AC602)*S602</f>
        <v/>
      </c>
      <c r="U602" s="21">
        <f>N(AD602)*S602</f>
        <v/>
      </c>
      <c r="V602" s="21">
        <f>N(AE602)*S602</f>
        <v/>
      </c>
      <c r="W602" s="21">
        <f>IF(Q602="","",N(AF602)*S602)</f>
        <v/>
      </c>
      <c r="X602" s="11" t="n">
        <v>13445.12</v>
      </c>
      <c r="Y602" s="11" t="n">
        <v>163331.52</v>
      </c>
      <c r="Z602" s="11" t="n">
        <v>0</v>
      </c>
      <c r="AA602" s="21">
        <f>T602+U602+V602+N(W602)+X602+Y602+N(Z602)</f>
        <v/>
      </c>
      <c r="AB602" s="11" t="n">
        <v>86367.65389999999</v>
      </c>
      <c r="AC602" s="11" t="n">
        <v>1294144.24</v>
      </c>
      <c r="AD602" s="21">
        <f>O602-Y602</f>
        <v/>
      </c>
      <c r="AE602" s="21">
        <f>P602-X602</f>
        <v/>
      </c>
      <c r="AF602" s="21">
        <f>IF(Q602="","",Q602-Z602)</f>
        <v/>
      </c>
      <c r="AG602" s="22">
        <f>AC602+AD602+AE602+N(AF602)</f>
        <v/>
      </c>
      <c r="AH602" s="11" t="n">
        <v>1286608.02</v>
      </c>
      <c r="AI602" s="24">
        <f>AG602-AH602</f>
        <v/>
      </c>
      <c r="AJ602" s="14">
        <f>IF(OR(B602="",B602=0,N602=""),"",N602/B602*10000)</f>
        <v/>
      </c>
      <c r="AK602" s="14">
        <f>IF(OR(C602="",C602=0),"",O602/C602*10000)</f>
        <v/>
      </c>
      <c r="AL602" s="14">
        <f>IF(OR(D602="",D602=0),"",P602/D602*10000)</f>
        <v/>
      </c>
      <c r="AM602" s="14">
        <f>IF(OR(E602="",E602=0),"",Q602/E602*10000)</f>
        <v/>
      </c>
      <c r="AN602" s="11" t="n">
        <v>8941.336641389345</v>
      </c>
      <c r="AO602" s="11" t="n">
        <v>0</v>
      </c>
      <c r="AP602" s="21">
        <f>AH602+AN602+AO602</f>
        <v/>
      </c>
      <c r="AQ602" s="21">
        <f>AH602</f>
        <v/>
      </c>
      <c r="AR602" s="15" t="n">
        <v>20734.06</v>
      </c>
      <c r="AS602" s="27" t="n">
        <v>62.052874</v>
      </c>
      <c r="AT602" s="15" t="n">
        <v>45954929.64473923</v>
      </c>
      <c r="AU602" s="15" t="n">
        <v>26865.9705</v>
      </c>
      <c r="AV602" s="15" t="n">
        <v>3253.8316</v>
      </c>
      <c r="AW602" s="15" t="n"/>
      <c r="AX602" s="16" t="n">
        <v>439.6160321898499</v>
      </c>
      <c r="AY602" s="13">
        <f>IF(OR(AX602="",AX602=0,AU602=""),"",AU602*365/(AX602*1000000))</f>
        <v/>
      </c>
      <c r="AZ602" s="15" t="n">
        <v>413060583.2392</v>
      </c>
      <c r="BA602" s="17" t="n">
        <v>60487233</v>
      </c>
      <c r="BB602" s="18" t="n">
        <v>45954929.64473923</v>
      </c>
      <c r="BC602" s="17" t="n">
        <v>2971663</v>
      </c>
      <c r="BD602" s="17">
        <f>1000000000-999099807.5216+279281.9258</f>
        <v/>
      </c>
      <c r="BE602" s="19">
        <f>1000000000-AZ602-BA602-BB602-BC602-BD602</f>
        <v/>
      </c>
      <c r="BF602" s="20" t="n">
        <v>233.077307</v>
      </c>
      <c r="BG602" s="20">
        <f>BE602/1000000-BF602</f>
        <v/>
      </c>
      <c r="BH602" s="21">
        <f>BE602*62.45</f>
        <v/>
      </c>
    </row>
    <row r="603">
      <c r="A603" s="10" t="n">
        <v>46225</v>
      </c>
      <c r="B603" s="11" t="n">
        <v>3792908558</v>
      </c>
      <c r="C603" s="11" t="n">
        <v>4436156123.5</v>
      </c>
      <c r="D603" s="11" t="n">
        <v>103078897</v>
      </c>
      <c r="E603" s="11" t="n">
        <v>1071094.54951</v>
      </c>
      <c r="F603" s="24" t="n">
        <v>710337066.8597736</v>
      </c>
      <c r="G603" s="24" t="n">
        <v>1156915.548704568</v>
      </c>
      <c r="H603" s="24" t="n">
        <v>2710356.819638805</v>
      </c>
      <c r="I603" s="24" t="n">
        <v>646297715.0592911</v>
      </c>
      <c r="J603" s="24" t="n">
        <v>13692037.10319703</v>
      </c>
      <c r="K603" s="24" t="n">
        <v>3061962032.109395</v>
      </c>
      <c r="L603" s="21">
        <f>SUM(F603:K603)</f>
        <v/>
      </c>
      <c r="M603" s="28" t="n">
        <v>1.000288597888741</v>
      </c>
      <c r="N603" s="11" t="n">
        <v>1285149.05</v>
      </c>
      <c r="O603" s="11" t="n">
        <v>371885.16</v>
      </c>
      <c r="P603" s="11" t="n">
        <v>54361</v>
      </c>
      <c r="Q603" s="11" t="n">
        <v>39.96877206999999</v>
      </c>
      <c r="R603" s="21">
        <f>N603+O603+P603+N(Q603)</f>
        <v/>
      </c>
      <c r="S603" s="13" t="n">
        <v>0.01</v>
      </c>
      <c r="T603" s="21">
        <f>N(AC603)*S603</f>
        <v/>
      </c>
      <c r="U603" s="21">
        <f>N(AD603)*S603</f>
        <v/>
      </c>
      <c r="V603" s="21">
        <f>N(AE603)*S603</f>
        <v/>
      </c>
      <c r="W603" s="21">
        <f>IF(Q603="","",N(AF603)*S603)</f>
        <v/>
      </c>
      <c r="X603" s="11" t="n">
        <v>10511.83</v>
      </c>
      <c r="Y603" s="11" t="n">
        <v>185766.58</v>
      </c>
      <c r="Z603" s="11" t="n">
        <v>0</v>
      </c>
      <c r="AA603" s="21">
        <f>T603+U603+V603+N(W603)+X603+Y603+N(Z603)</f>
        <v/>
      </c>
      <c r="AB603" s="11" t="n">
        <v>98995.5845</v>
      </c>
      <c r="AC603" s="11" t="n">
        <v>1285149.05</v>
      </c>
      <c r="AD603" s="21">
        <f>O603-Y603</f>
        <v/>
      </c>
      <c r="AE603" s="21">
        <f>P603-X603</f>
        <v/>
      </c>
      <c r="AF603" s="21">
        <f>IF(Q603="","",Q603-Z603)</f>
        <v/>
      </c>
      <c r="AG603" s="22">
        <f>AC603+AD603+AE603+N(AF603)</f>
        <v/>
      </c>
      <c r="AH603" s="11" t="n">
        <v>1275749.07</v>
      </c>
      <c r="AI603" s="24">
        <f>AG603-AH603</f>
        <v/>
      </c>
      <c r="AJ603" s="14">
        <f>IF(OR(B603="",B603=0,N603=""),"",N603/B603*10000)</f>
        <v/>
      </c>
      <c r="AK603" s="14">
        <f>IF(OR(C603="",C603=0),"",O603/C603*10000)</f>
        <v/>
      </c>
      <c r="AL603" s="14">
        <f>IF(OR(D603="",D603=0),"",P603/D603*10000)</f>
        <v/>
      </c>
      <c r="AM603" s="14">
        <f>IF(OR(E603="",E603=0),"",Q603/E603*10000)</f>
        <v/>
      </c>
      <c r="AN603" s="11" t="n">
        <v>12875.62204184276</v>
      </c>
      <c r="AO603" s="11" t="n">
        <v>30715.53</v>
      </c>
      <c r="AP603" s="21">
        <f>AH603+AN603+AO603</f>
        <v/>
      </c>
      <c r="AQ603" s="21">
        <f>AH603</f>
        <v/>
      </c>
      <c r="AR603" s="15" t="n">
        <v>21617</v>
      </c>
      <c r="AS603" s="27" t="n">
        <v>59.016009</v>
      </c>
      <c r="AT603" s="15" t="n">
        <v>45976546.64473923</v>
      </c>
      <c r="AU603" s="15" t="n">
        <v>26899.1895</v>
      </c>
      <c r="AV603" s="15" t="n">
        <v>2087.4199</v>
      </c>
      <c r="AW603" s="15" t="n"/>
      <c r="AX603" s="16" t="n">
        <v>437.2028225977076</v>
      </c>
      <c r="AY603" s="13">
        <f>IF(OR(AX603="",AX603=0,AU603=""),"",AU603*365/(AX603*1000000))</f>
        <v/>
      </c>
      <c r="AZ603" s="15" t="n">
        <v>413033684.0497</v>
      </c>
      <c r="BA603" s="17" t="n">
        <v>60487233</v>
      </c>
      <c r="BB603" s="18" t="n">
        <v>45976546.64473923</v>
      </c>
      <c r="BC603" s="17" t="n">
        <v>2971663</v>
      </c>
      <c r="BD603" s="17">
        <f>1000000000-999097720.1017+279492.8771</f>
        <v/>
      </c>
      <c r="BE603" s="19">
        <f>1000000000-AZ603-BA603-BB603-BC603-BD603</f>
        <v/>
      </c>
      <c r="BF603" s="20" t="n">
        <v>233.077307</v>
      </c>
      <c r="BG603" s="20">
        <f>BE603/1000000-BF603</f>
        <v/>
      </c>
      <c r="BH603" s="21">
        <f>BE603*61.08</f>
        <v/>
      </c>
    </row>
    <row r="604">
      <c r="A604" s="10" t="n">
        <v>46226</v>
      </c>
      <c r="B604" s="11" t="n">
        <v>3332642668</v>
      </c>
      <c r="C604" s="11" t="n">
        <v>5594344184.74</v>
      </c>
      <c r="D604" s="11" t="n">
        <v>90772125</v>
      </c>
      <c r="E604" s="11" t="n">
        <v>821489.5735699999</v>
      </c>
      <c r="F604" s="24" t="n">
        <v>883032299.7563411</v>
      </c>
      <c r="G604" s="24" t="n">
        <v>2246425.930402545</v>
      </c>
      <c r="H604" s="24" t="n">
        <v>13601498.5108706</v>
      </c>
      <c r="I604" s="24" t="n">
        <v>1379525375.65472</v>
      </c>
      <c r="J604" s="24" t="n">
        <v>12413716.46871714</v>
      </c>
      <c r="K604" s="24" t="n">
        <v>3303524868.418949</v>
      </c>
      <c r="L604" s="21">
        <f>SUM(F604:K604)</f>
        <v/>
      </c>
      <c r="M604" s="28" t="n">
        <v>1.003436456755947</v>
      </c>
      <c r="N604" s="11" t="n">
        <v>1146376.18</v>
      </c>
      <c r="O604" s="11" t="n">
        <v>456249.79</v>
      </c>
      <c r="P604" s="11" t="n">
        <v>48031.03</v>
      </c>
      <c r="Q604" s="11" t="n">
        <v>19.31165958</v>
      </c>
      <c r="R604" s="21">
        <f>N604+O604+P604+N(Q604)</f>
        <v/>
      </c>
      <c r="S604" s="13" t="n">
        <v>0.01</v>
      </c>
      <c r="T604" s="21">
        <f>N(AC604)*S604</f>
        <v/>
      </c>
      <c r="U604" s="21">
        <f>N(AD604)*S604</f>
        <v/>
      </c>
      <c r="V604" s="21">
        <f>N(AE604)*S604</f>
        <v/>
      </c>
      <c r="W604" s="21">
        <f>IF(Q604="","",N(AF604)*S604)</f>
        <v/>
      </c>
      <c r="X604" s="11" t="n">
        <v>10233.27</v>
      </c>
      <c r="Y604" s="11" t="n">
        <v>227777.67</v>
      </c>
      <c r="Z604" s="11" t="n">
        <v>0</v>
      </c>
      <c r="AA604" s="21">
        <f>T604+U604+V604+N(W604)+X604+Y604+N(Z604)</f>
        <v/>
      </c>
      <c r="AB604" s="11" t="n">
        <v>115232.9193</v>
      </c>
      <c r="AC604" s="11" t="n">
        <v>1146376.18</v>
      </c>
      <c r="AD604" s="21">
        <f>O604-Y604</f>
        <v/>
      </c>
      <c r="AE604" s="21">
        <f>P604-X604</f>
        <v/>
      </c>
      <c r="AF604" s="21">
        <f>IF(Q604="","",Q604-Z604)</f>
        <v/>
      </c>
      <c r="AG604" s="22">
        <f>AC604+AD604+AE604+N(AF604)</f>
        <v/>
      </c>
      <c r="AH604" s="11" t="n">
        <v>1221200.3</v>
      </c>
      <c r="AI604" s="24">
        <f>AG604-AH604</f>
        <v/>
      </c>
      <c r="AJ604" s="14">
        <f>IF(OR(B604="",B604=0,N604=""),"",N604/B604*10000)</f>
        <v/>
      </c>
      <c r="AK604" s="14">
        <f>IF(OR(C604="",C604=0),"",O604/C604*10000)</f>
        <v/>
      </c>
      <c r="AL604" s="14">
        <f>IF(OR(D604="",D604=0),"",P604/D604*10000)</f>
        <v/>
      </c>
      <c r="AM604" s="14">
        <f>IF(OR(E604="",E604=0),"",Q604/E604*10000)</f>
        <v/>
      </c>
      <c r="AN604" s="11" t="n">
        <v>7872.722273173287</v>
      </c>
      <c r="AO604" s="11" t="n">
        <v>0</v>
      </c>
      <c r="AP604" s="21">
        <f>AH604+AN604+AO604</f>
        <v/>
      </c>
      <c r="AQ604" s="21">
        <f>AH604</f>
        <v/>
      </c>
      <c r="AR604" s="15" t="n">
        <v>20736.6</v>
      </c>
      <c r="AS604" s="27" t="n">
        <v>58.891058</v>
      </c>
      <c r="AT604" s="15" t="n">
        <v>45997631.59473923</v>
      </c>
      <c r="AU604" s="15" t="n">
        <v>26836.6762</v>
      </c>
      <c r="AV604" s="15" t="n">
        <v>3536.6931</v>
      </c>
      <c r="AW604" s="15" t="n"/>
      <c r="AX604" s="16" t="n">
        <v>433.8131782747348</v>
      </c>
      <c r="AY604" s="13">
        <f>IF(OR(AX604="",AX604=0,AU604=""),"",AU604*365/(AX604*1000000))</f>
        <v/>
      </c>
      <c r="AZ604" s="15" t="n">
        <v>413006847.3735</v>
      </c>
      <c r="BA604" s="17" t="n">
        <v>60487233</v>
      </c>
      <c r="BB604" s="18" t="n">
        <v>45997631.59473923</v>
      </c>
      <c r="BC604" s="17" t="n">
        <v>2971663</v>
      </c>
      <c r="BD604" s="17">
        <f>1000000000-999094183.4086+279625.1051</f>
        <v/>
      </c>
      <c r="BE604" s="19">
        <f>1000000000-AZ604-BA604-BB604-BC604-BD604</f>
        <v/>
      </c>
      <c r="BF604" s="20" t="n">
        <v>233.077307</v>
      </c>
      <c r="BG604" s="20">
        <f>BE604/1000000-BF604</f>
        <v/>
      </c>
      <c r="BH604" s="21">
        <f>BE604*59.55</f>
        <v/>
      </c>
    </row>
    <row r="605">
      <c r="A605" s="10" t="n">
        <v>46227</v>
      </c>
      <c r="B605" s="11" t="n">
        <v>3568282845</v>
      </c>
      <c r="C605" s="11" t="n">
        <v>4278783661.83</v>
      </c>
      <c r="D605" s="11" t="n">
        <v>80440775</v>
      </c>
      <c r="E605" s="11" t="n">
        <v>828670.1956799998</v>
      </c>
      <c r="F605" s="24" t="n">
        <v>665314056.5899009</v>
      </c>
      <c r="G605" s="24" t="n">
        <v>1455809.317101222</v>
      </c>
      <c r="H605" s="24" t="n">
        <v>10542565.63182732</v>
      </c>
      <c r="I605" s="24" t="n">
        <v>1072290172.976134</v>
      </c>
      <c r="J605" s="24" t="n">
        <v>16780038.42952433</v>
      </c>
      <c r="K605" s="24" t="n">
        <v>2512401018.885512</v>
      </c>
      <c r="L605" s="21">
        <f>SUM(F605:K605)</f>
        <v/>
      </c>
      <c r="M605" s="28" t="n">
        <v>1.002715705075882</v>
      </c>
      <c r="N605" s="11" t="n">
        <v>1220713.31</v>
      </c>
      <c r="O605" s="11" t="n">
        <v>337983.48</v>
      </c>
      <c r="P605" s="11" t="n">
        <v>45042.18</v>
      </c>
      <c r="Q605" s="11" t="n">
        <v>25.08815951</v>
      </c>
      <c r="R605" s="21">
        <f>N605+O605+P605+N(Q605)</f>
        <v/>
      </c>
      <c r="S605" s="13" t="n">
        <v>0.01</v>
      </c>
      <c r="T605" s="21">
        <f>N(AC605)*S605</f>
        <v/>
      </c>
      <c r="U605" s="21">
        <f>N(AD605)*S605</f>
        <v/>
      </c>
      <c r="V605" s="21">
        <f>N(AE605)*S605</f>
        <v/>
      </c>
      <c r="W605" s="21">
        <f>IF(Q605="","",N(AF605)*S605)</f>
        <v/>
      </c>
      <c r="X605" s="11" t="n">
        <v>9206.969999999999</v>
      </c>
      <c r="Y605" s="11" t="n">
        <v>168776.67</v>
      </c>
      <c r="Z605" s="11" t="n">
        <v>0</v>
      </c>
      <c r="AA605" s="21">
        <f>T605+U605+V605+N(W605)+X605+Y605+N(Z605)</f>
        <v/>
      </c>
      <c r="AB605" s="11" t="n">
        <v>86697.64709999999</v>
      </c>
      <c r="AC605" s="11" t="n">
        <v>1220713.31</v>
      </c>
      <c r="AD605" s="21">
        <f>O605-Y605</f>
        <v/>
      </c>
      <c r="AE605" s="21">
        <f>P605-X605</f>
        <v/>
      </c>
      <c r="AF605" s="21">
        <f>IF(Q605="","",Q605-Z605)</f>
        <v/>
      </c>
      <c r="AG605" s="22">
        <f>AC605+AD605+AE605+N(AF605)</f>
        <v/>
      </c>
      <c r="AH605" s="11" t="n">
        <v>1192653.51</v>
      </c>
      <c r="AI605" s="24">
        <f>AG605-AH605</f>
        <v/>
      </c>
      <c r="AJ605" s="14">
        <f>IF(OR(B605="",B605=0,N605=""),"",N605/B605*10000)</f>
        <v/>
      </c>
      <c r="AK605" s="14">
        <f>IF(OR(C605="",C605=0),"",O605/C605*10000)</f>
        <v/>
      </c>
      <c r="AL605" s="14">
        <f>IF(OR(D605="",D605=0),"",P605/D605*10000)</f>
        <v/>
      </c>
      <c r="AM605" s="14">
        <f>IF(OR(E605="",E605=0),"",Q605/E605*10000)</f>
        <v/>
      </c>
      <c r="AN605" s="11" t="n">
        <v>8803.843735574234</v>
      </c>
      <c r="AO605" s="11" t="n">
        <v>28754.66</v>
      </c>
      <c r="AP605" s="21">
        <f>AH605+AN605+AO605</f>
        <v/>
      </c>
      <c r="AQ605" s="21">
        <f>AH605</f>
        <v/>
      </c>
      <c r="AR605" s="15" t="n">
        <v>20456.91</v>
      </c>
      <c r="AS605" s="27" t="n">
        <v>58.300765</v>
      </c>
      <c r="AT605" s="15" t="n">
        <v>46017952.46473923</v>
      </c>
      <c r="AU605" s="15" t="n">
        <v>26720.2076</v>
      </c>
      <c r="AV605" s="15" t="n">
        <v>2960.5276</v>
      </c>
      <c r="AW605" s="15" t="n"/>
      <c r="AX605" s="16" t="n">
        <v>434.8578195584558</v>
      </c>
      <c r="AY605" s="13">
        <f>IF(OR(AX605="",AX605=0,AU605=""),"",AU605*365/(AX605*1000000))</f>
        <v/>
      </c>
      <c r="AZ605" s="15" t="n">
        <v>412980127.1659</v>
      </c>
      <c r="BA605" s="17" t="n">
        <v>60487233</v>
      </c>
      <c r="BB605" s="18" t="n">
        <v>46017952.46473923</v>
      </c>
      <c r="BC605" s="17" t="n">
        <v>2971663</v>
      </c>
      <c r="BD605" s="17">
        <f>1000000000-999091222.881+279778.5089</f>
        <v/>
      </c>
      <c r="BE605" s="19">
        <f>1000000000-AZ605-BA605-BB605-BC605-BD605</f>
        <v/>
      </c>
      <c r="BF605" s="20" t="n">
        <v>233.077307</v>
      </c>
      <c r="BG605" s="20">
        <f>BE605/1000000-BF605</f>
        <v/>
      </c>
      <c r="BH605" s="21">
        <f>BE605*57.41</f>
        <v/>
      </c>
    </row>
    <row r="606">
      <c r="A606" s="10" t="n">
        <v>46228</v>
      </c>
      <c r="B606" s="11" t="n">
        <v>1322134565</v>
      </c>
      <c r="C606" s="11" t="n">
        <v>572983028.38</v>
      </c>
      <c r="D606" s="11" t="n">
        <v>44118131</v>
      </c>
      <c r="E606" s="11" t="n">
        <v>440373.8508399999</v>
      </c>
      <c r="F606" s="24" t="n">
        <v>221426810.854478</v>
      </c>
      <c r="G606" s="24" t="n">
        <v>523446.4678057677</v>
      </c>
      <c r="H606" s="24" t="n">
        <v>7638145.540277062</v>
      </c>
      <c r="I606" s="24" t="n">
        <v>106606234.9020551</v>
      </c>
      <c r="J606" s="24" t="n">
        <v>18849420.24794954</v>
      </c>
      <c r="K606" s="24" t="n">
        <v>217938970.3674344</v>
      </c>
      <c r="L606" s="21">
        <f>SUM(F606:K606)</f>
        <v/>
      </c>
      <c r="M606" s="28" t="n">
        <v>0.9998360673914996</v>
      </c>
      <c r="N606" s="11" t="n">
        <v>471742.59</v>
      </c>
      <c r="O606" s="11" t="n">
        <v>70919.7</v>
      </c>
      <c r="P606" s="11" t="n">
        <v>24240.67</v>
      </c>
      <c r="Q606" s="11" t="n">
        <v>19.71240509</v>
      </c>
      <c r="R606" s="21">
        <f>N606+O606+P606+N(Q606)</f>
        <v/>
      </c>
      <c r="S606" s="13" t="n">
        <v>0.01</v>
      </c>
      <c r="T606" s="21">
        <f>N(AC606)*S606</f>
        <v/>
      </c>
      <c r="U606" s="21">
        <f>N(AD606)*S606</f>
        <v/>
      </c>
      <c r="V606" s="21">
        <f>N(AE606)*S606</f>
        <v/>
      </c>
      <c r="W606" s="21">
        <f>IF(Q606="","",N(AF606)*S606)</f>
        <v/>
      </c>
      <c r="X606" s="11" t="n">
        <v>9245.26</v>
      </c>
      <c r="Y606" s="11" t="n">
        <v>35359.82</v>
      </c>
      <c r="Z606" s="11" t="n">
        <v>0</v>
      </c>
      <c r="AA606" s="21">
        <f>T606+U606+V606+N(W606)+X606+Y606+N(Z606)</f>
        <v/>
      </c>
      <c r="AB606" s="11" t="n">
        <v>41884.1862</v>
      </c>
      <c r="AC606" s="11" t="n">
        <v>471742.59</v>
      </c>
      <c r="AD606" s="21">
        <f>O606-Y606</f>
        <v/>
      </c>
      <c r="AE606" s="21">
        <f>P606-X606</f>
        <v/>
      </c>
      <c r="AF606" s="21">
        <f>IF(Q606="","",Q606-Z606)</f>
        <v/>
      </c>
      <c r="AG606" s="22">
        <f>AC606+AD606+AE606+N(AF606)</f>
        <v/>
      </c>
      <c r="AH606" s="11" t="n">
        <v>436110.46</v>
      </c>
      <c r="AI606" s="24">
        <f>AG606-AH606</f>
        <v/>
      </c>
      <c r="AJ606" s="14">
        <f>IF(OR(B606="",B606=0,N606=""),"",N606/B606*10000)</f>
        <v/>
      </c>
      <c r="AK606" s="14">
        <f>IF(OR(C606="",C606=0),"",O606/C606*10000)</f>
        <v/>
      </c>
      <c r="AL606" s="14">
        <f>IF(OR(D606="",D606=0),"",P606/D606*10000)</f>
        <v/>
      </c>
      <c r="AM606" s="14">
        <f>IF(OR(E606="",E606=0),"",Q606/E606*10000)</f>
        <v/>
      </c>
      <c r="AN606" s="11" t="n">
        <v>3273.048534635</v>
      </c>
      <c r="AO606" s="11" t="n">
        <v>34163.24</v>
      </c>
      <c r="AP606" s="21">
        <f>AH606+AN606+AO606</f>
        <v/>
      </c>
      <c r="AQ606" s="21">
        <f>AH606</f>
        <v/>
      </c>
      <c r="AR606" s="15" t="n">
        <v>7570.15</v>
      </c>
      <c r="AS606" s="27" t="n">
        <v>57.609224</v>
      </c>
      <c r="AT606" s="15" t="n">
        <v>46025482.73473923</v>
      </c>
      <c r="AU606" s="15" t="n">
        <v>26805.6265</v>
      </c>
      <c r="AV606" s="15" t="n">
        <v>3008.3671</v>
      </c>
      <c r="AW606" s="15" t="n"/>
      <c r="AX606" s="16" t="n">
        <v>436.122798556322</v>
      </c>
      <c r="AY606" s="13">
        <f>IF(OR(AX606="",AX606=0,AU606=""),"",AU606*365/(AX606*1000000))</f>
        <v/>
      </c>
      <c r="AZ606" s="15" t="n">
        <v>412953321.5394</v>
      </c>
      <c r="BA606" s="17" t="n">
        <v>60487233</v>
      </c>
      <c r="BB606" s="18" t="n">
        <v>46025482.73473923</v>
      </c>
      <c r="BC606" s="17" t="n">
        <v>2971663</v>
      </c>
      <c r="BD606" s="17">
        <f>1000000000-999088214.5139+279835.5277</f>
        <v/>
      </c>
      <c r="BE606" s="19">
        <f>1000000000-AZ606-BA606-BB606-BC606-BD606</f>
        <v/>
      </c>
      <c r="BF606" s="20" t="n">
        <v>233.077307</v>
      </c>
      <c r="BG606" s="20">
        <f>BE606/1000000-BF606</f>
        <v/>
      </c>
      <c r="BH606" s="21">
        <f>BE606*57.44</f>
        <v/>
      </c>
    </row>
    <row r="607">
      <c r="A607" s="10" t="n">
        <v>46229</v>
      </c>
      <c r="B607" s="11" t="n">
        <v>1803944904</v>
      </c>
      <c r="C607" s="11" t="n">
        <v>1012822639.25</v>
      </c>
      <c r="D607" s="11" t="n">
        <v>44737809</v>
      </c>
      <c r="E607" s="11" t="n">
        <v>607407.4399200001</v>
      </c>
      <c r="F607" s="24" t="n">
        <v>426427054.5629377</v>
      </c>
      <c r="G607" s="24" t="n">
        <v>748351.2035039626</v>
      </c>
      <c r="H607" s="24" t="n">
        <v>1642555.142659605</v>
      </c>
      <c r="I607" s="24" t="n">
        <v>215760555.9652351</v>
      </c>
      <c r="J607" s="24" t="n">
        <v>25737916.5585607</v>
      </c>
      <c r="K607" s="24" t="n">
        <v>342506205.8171028</v>
      </c>
      <c r="L607" s="21">
        <f>SUM(F607:K607)</f>
        <v/>
      </c>
      <c r="M607" s="28" t="n">
        <v>1.011545821281499</v>
      </c>
      <c r="N607" s="11" t="n">
        <v>667860.65</v>
      </c>
      <c r="O607" s="11" t="n">
        <v>100690.65</v>
      </c>
      <c r="P607" s="11" t="n">
        <v>24637.59</v>
      </c>
      <c r="Q607" s="11" t="n">
        <v>42.68234620000001</v>
      </c>
      <c r="R607" s="21">
        <f>N607+O607+P607+N(Q607)</f>
        <v/>
      </c>
      <c r="S607" s="13" t="n">
        <v>0.01</v>
      </c>
      <c r="T607" s="21">
        <f>N(AC607)*S607</f>
        <v/>
      </c>
      <c r="U607" s="21">
        <f>N(AD607)*S607</f>
        <v/>
      </c>
      <c r="V607" s="21">
        <f>N(AE607)*S607</f>
        <v/>
      </c>
      <c r="W607" s="21">
        <f>IF(Q607="","",N(AF607)*S607)</f>
        <v/>
      </c>
      <c r="X607" s="11" t="n">
        <v>6117.65</v>
      </c>
      <c r="Y607" s="11" t="n">
        <v>50261.38</v>
      </c>
      <c r="Z607" s="11" t="n">
        <v>0</v>
      </c>
      <c r="AA607" s="21">
        <f>T607+U607+V607+N(W607)+X607+Y607+N(Z607)</f>
        <v/>
      </c>
      <c r="AB607" s="11" t="n">
        <v>53675.63789999999</v>
      </c>
      <c r="AC607" s="11" t="n">
        <v>667860.65</v>
      </c>
      <c r="AD607" s="21">
        <f>O607-Y607</f>
        <v/>
      </c>
      <c r="AE607" s="21">
        <f>P607-X607</f>
        <v/>
      </c>
      <c r="AF607" s="21">
        <f>IF(Q607="","",Q607-Z607)</f>
        <v/>
      </c>
      <c r="AG607" s="22">
        <f>AC607+AD607+AE607+N(AF607)</f>
        <v/>
      </c>
      <c r="AH607" s="11" t="n">
        <v>621753.64</v>
      </c>
      <c r="AI607" s="24">
        <f>AG607-AH607</f>
        <v/>
      </c>
      <c r="AJ607" s="14">
        <f>IF(OR(B607="",B607=0,N607=""),"",N607/B607*10000)</f>
        <v/>
      </c>
      <c r="AK607" s="14">
        <f>IF(OR(C607="",C607=0),"",O607/C607*10000)</f>
        <v/>
      </c>
      <c r="AL607" s="14">
        <f>IF(OR(D607="",D607=0),"",P607/D607*10000)</f>
        <v/>
      </c>
      <c r="AM607" s="14">
        <f>IF(OR(E607="",E607=0),"",Q607/E607*10000)</f>
        <v/>
      </c>
      <c r="AN607" s="11" t="n">
        <v>2947.881468543325</v>
      </c>
      <c r="AO607" s="11" t="n">
        <v>0</v>
      </c>
      <c r="AP607" s="21">
        <f>AH607+AN607+AO607</f>
        <v/>
      </c>
      <c r="AQ607" s="21">
        <f>AH607</f>
        <v/>
      </c>
      <c r="AR607" s="15" t="n">
        <v>10535.06</v>
      </c>
      <c r="AS607" s="27" t="n">
        <v>59.01757</v>
      </c>
      <c r="AT607" s="15" t="n">
        <v>46036486.47473923</v>
      </c>
      <c r="AU607" s="15" t="n">
        <v>26811.0491</v>
      </c>
      <c r="AV607" s="15" t="n">
        <v>1365.9182</v>
      </c>
      <c r="AW607" s="15" t="n"/>
      <c r="AX607" s="16" t="n">
        <v>436.2469745151993</v>
      </c>
      <c r="AY607" s="13">
        <f>IF(OR(AX607="",AX607=0,AU607=""),"",AU607*365/(AX607*1000000))</f>
        <v/>
      </c>
      <c r="AZ607" s="15" t="n">
        <v>412926510.4902</v>
      </c>
      <c r="BA607" s="17" t="n">
        <v>60487233</v>
      </c>
      <c r="BB607" s="18" t="n">
        <v>46036486.47473923</v>
      </c>
      <c r="BC607" s="17" t="n">
        <v>2971663</v>
      </c>
      <c r="BD607" s="17">
        <f>1000000000-999086848.5957+279886.0518</f>
        <v/>
      </c>
      <c r="BE607" s="19">
        <f>1000000000-AZ607-BA607-BB607-BC607-BD607</f>
        <v/>
      </c>
      <c r="BF607" s="20" t="n">
        <v>233.077307</v>
      </c>
      <c r="BG607" s="20">
        <f>BE607/1000000-BF607</f>
        <v/>
      </c>
      <c r="BH607" s="21">
        <f>BE607*58.37</f>
        <v/>
      </c>
    </row>
    <row r="608">
      <c r="A608" s="10" t="n">
        <v>46230</v>
      </c>
      <c r="B608" s="11" t="n">
        <v>3994856538</v>
      </c>
      <c r="C608" s="11" t="n">
        <v>5609487387.44</v>
      </c>
      <c r="D608" s="11" t="n">
        <v>114263923</v>
      </c>
      <c r="E608" s="11" t="n">
        <v>872380.1930599998</v>
      </c>
      <c r="F608" s="24" t="n">
        <v>691816901.1688472</v>
      </c>
      <c r="G608" s="24" t="n">
        <v>2535618.123840784</v>
      </c>
      <c r="H608" s="24" t="n">
        <v>4137614.725095981</v>
      </c>
      <c r="I608" s="24" t="n">
        <v>1238693569.410776</v>
      </c>
      <c r="J608" s="24" t="n">
        <v>232995721.4688936</v>
      </c>
      <c r="K608" s="24" t="n">
        <v>3439307962.542546</v>
      </c>
      <c r="L608" s="21">
        <f>SUM(F608:K608)</f>
        <v/>
      </c>
      <c r="M608" s="28" t="n">
        <v>1.00621840072479</v>
      </c>
      <c r="N608" s="11" t="n">
        <v>1401069.85</v>
      </c>
      <c r="O608" s="11" t="n">
        <v>464894.08</v>
      </c>
      <c r="P608" s="11" t="n">
        <v>61211.14</v>
      </c>
      <c r="Q608" s="11" t="n">
        <v>70.11622899000001</v>
      </c>
      <c r="R608" s="21">
        <f>N608+O608+P608+N(Q608)</f>
        <v/>
      </c>
      <c r="S608" s="13" t="n">
        <v>0.01</v>
      </c>
      <c r="T608" s="21">
        <f>N(AC608)*S608</f>
        <v/>
      </c>
      <c r="U608" s="21">
        <f>N(AD608)*S608</f>
        <v/>
      </c>
      <c r="V608" s="21">
        <f>N(AE608)*S608</f>
        <v/>
      </c>
      <c r="W608" s="21">
        <f>IF(Q608="","",N(AF608)*S608)</f>
        <v/>
      </c>
      <c r="X608" s="11" t="n">
        <v>14220.2</v>
      </c>
      <c r="Y608" s="11" t="n">
        <v>232174.6</v>
      </c>
      <c r="Z608" s="11" t="n">
        <v>0</v>
      </c>
      <c r="AA608" s="21">
        <f>T608+U608+V608+N(W608)+X608+Y608+N(Z608)</f>
        <v/>
      </c>
      <c r="AB608" s="11" t="n">
        <v>127088.076</v>
      </c>
      <c r="AC608" s="11" t="n">
        <v>1401069.85</v>
      </c>
      <c r="AD608" s="21">
        <f>O608-Y608</f>
        <v/>
      </c>
      <c r="AE608" s="21">
        <f>P608-X608</f>
        <v/>
      </c>
      <c r="AF608" s="21">
        <f>IF(Q608="","",Q608-Z608)</f>
        <v/>
      </c>
      <c r="AG608" s="22">
        <f>AC608+AD608+AE608+N(AF608)</f>
        <v/>
      </c>
      <c r="AH608" s="11" t="n">
        <v>1465166.02</v>
      </c>
      <c r="AI608" s="24">
        <f>AG608-AH608</f>
        <v/>
      </c>
      <c r="AJ608" s="14">
        <f>IF(OR(B608="",B608=0,N608=""),"",N608/B608*10000)</f>
        <v/>
      </c>
      <c r="AK608" s="14">
        <f>IF(OR(C608="",C608=0),"",O608/C608*10000)</f>
        <v/>
      </c>
      <c r="AL608" s="14">
        <f>IF(OR(D608="",D608=0),"",P608/D608*10000)</f>
        <v/>
      </c>
      <c r="AM608" s="14">
        <f>IF(OR(E608="",E608=0),"",Q608/E608*10000)</f>
        <v/>
      </c>
      <c r="AN608" s="11" t="n">
        <v>9423.60710990308</v>
      </c>
      <c r="AO608" s="11" t="n">
        <v>30892.42</v>
      </c>
      <c r="AP608" s="21">
        <f>AH608+AN608+AO608</f>
        <v/>
      </c>
      <c r="AQ608" s="21">
        <f>AH608</f>
        <v/>
      </c>
      <c r="AR608" s="15" t="n">
        <v>25180.67</v>
      </c>
      <c r="AS608" s="27" t="n">
        <v>58.186141</v>
      </c>
      <c r="AT608" s="15" t="n">
        <v>46061915.53473923</v>
      </c>
      <c r="AU608" s="15" t="n">
        <v>26780.6235</v>
      </c>
      <c r="AV608" s="15" t="n">
        <v>1620.4355</v>
      </c>
      <c r="AW608" s="15" t="n"/>
      <c r="AX608" s="16" t="n">
        <v>436.3029086202436</v>
      </c>
      <c r="AY608" s="13">
        <f>IF(OR(AX608="",AX608=0,AU608=""),"",AU608*365/(AX608*1000000))</f>
        <v/>
      </c>
      <c r="AZ608" s="15" t="n">
        <v>412899729.8667</v>
      </c>
      <c r="BA608" s="17" t="n">
        <v>60487233</v>
      </c>
      <c r="BB608" s="18" t="n">
        <v>46061915.53473923</v>
      </c>
      <c r="BC608" s="17" t="n">
        <v>2971663</v>
      </c>
      <c r="BD608" s="17">
        <f>1000000000-999085228.1603+280044.8347</f>
        <v/>
      </c>
      <c r="BE608" s="19">
        <f>1000000000-AZ608-BA608-BB608-BC608-BD608</f>
        <v/>
      </c>
      <c r="BF608" s="20" t="n">
        <v>233.077307</v>
      </c>
      <c r="BG608" s="20">
        <f>BE608/1000000-BF608</f>
        <v/>
      </c>
      <c r="BH608" s="21">
        <f>BE608*59.36</f>
        <v/>
      </c>
    </row>
    <row r="609">
      <c r="A609" s="10" t="n">
        <v>46231</v>
      </c>
      <c r="B609" s="11" t="n">
        <v>3848215242</v>
      </c>
      <c r="C609" s="11" t="n">
        <v>6169364273.82</v>
      </c>
      <c r="D609" s="11" t="n">
        <v>117735564</v>
      </c>
      <c r="E609" s="11" t="n">
        <v>994164.8989400003</v>
      </c>
      <c r="F609" s="24" t="n">
        <v>886241138.7117392</v>
      </c>
      <c r="G609" s="24" t="n">
        <v>2700309.952308971</v>
      </c>
      <c r="H609" s="24" t="n">
        <v>5933421.24516023</v>
      </c>
      <c r="I609" s="24" t="n">
        <v>1174355295.759268</v>
      </c>
      <c r="J609" s="24" t="n">
        <v>79914054.01848876</v>
      </c>
      <c r="K609" s="24" t="n">
        <v>4020220054.133035</v>
      </c>
      <c r="L609" s="21">
        <f>SUM(F609:K609)</f>
        <v/>
      </c>
      <c r="M609" s="28" t="n">
        <v>1.004639592034049</v>
      </c>
      <c r="N609" s="11" t="n">
        <v>1379890.8</v>
      </c>
      <c r="O609" s="11" t="n">
        <v>484746.35</v>
      </c>
      <c r="P609" s="11" t="n">
        <v>64123.2</v>
      </c>
      <c r="Q609" s="11" t="n">
        <v>60.69619684999999</v>
      </c>
      <c r="R609" s="21">
        <f>N609+O609+P609+N(Q609)</f>
        <v/>
      </c>
      <c r="S609" s="13" t="n">
        <v>0.01</v>
      </c>
      <c r="T609" s="21">
        <f>N(AC609)*S609</f>
        <v/>
      </c>
      <c r="U609" s="21">
        <f>N(AD609)*S609</f>
        <v/>
      </c>
      <c r="V609" s="21">
        <f>N(AE609)*S609</f>
        <v/>
      </c>
      <c r="W609" s="21">
        <f>IF(Q609="","",N(AF609)*S609)</f>
        <v/>
      </c>
      <c r="X609" s="11" t="n">
        <v>9855.17</v>
      </c>
      <c r="Y609" s="11" t="n">
        <v>242050.22</v>
      </c>
      <c r="Z609" s="11" t="n">
        <v>0</v>
      </c>
      <c r="AA609" s="21">
        <f>T609+U609+V609+N(W609)+X609+Y609+N(Z609)</f>
        <v/>
      </c>
      <c r="AB609" s="11" t="n">
        <v>151651.194</v>
      </c>
      <c r="AC609" s="11" t="n">
        <v>1379890.8</v>
      </c>
      <c r="AD609" s="21">
        <f>O609-Y609</f>
        <v/>
      </c>
      <c r="AE609" s="21">
        <f>P609-X609</f>
        <v/>
      </c>
      <c r="AF609" s="21">
        <f>IF(Q609="","",Q609-Z609)</f>
        <v/>
      </c>
      <c r="AG609" s="22">
        <f>AC609+AD609+AE609+N(AF609)</f>
        <v/>
      </c>
      <c r="AH609" s="11" t="n">
        <v>1383443.82</v>
      </c>
      <c r="AI609" s="24">
        <f>AG609-AH609</f>
        <v/>
      </c>
      <c r="AJ609" s="14">
        <f>IF(OR(B609="",B609=0,N609=""),"",N609/B609*10000)</f>
        <v/>
      </c>
      <c r="AK609" s="14">
        <f>IF(OR(C609="",C609=0),"",O609/C609*10000)</f>
        <v/>
      </c>
      <c r="AL609" s="14">
        <f>IF(OR(D609="",D609=0),"",P609/D609*10000)</f>
        <v/>
      </c>
      <c r="AM609" s="14">
        <f>IF(OR(E609="",E609=0),"",Q609/E609*10000)</f>
        <v/>
      </c>
      <c r="AN609" s="11" t="n">
        <v>6498.965016920412</v>
      </c>
      <c r="AO609" s="11" t="n">
        <v>0</v>
      </c>
      <c r="AP609" s="21">
        <f>AH609+AN609+AO609</f>
        <v/>
      </c>
      <c r="AQ609" s="21">
        <f>AH609</f>
        <v/>
      </c>
      <c r="AR609" s="15" t="n">
        <v>25065.92</v>
      </c>
      <c r="AS609" s="27" t="n">
        <v>55.192222</v>
      </c>
      <c r="AT609" s="15" t="n">
        <v>46086091.95473923</v>
      </c>
      <c r="AU609" s="15" t="n">
        <v>26777.6742</v>
      </c>
      <c r="AV609" s="15" t="n">
        <v>3838.6483</v>
      </c>
      <c r="AW609" s="15" t="n"/>
      <c r="AX609" s="16" t="n">
        <v>436.3584039182672</v>
      </c>
      <c r="AY609" s="13">
        <f>IF(OR(AX609="",AX609=0,AU609=""),"",AU609*365/(AX609*1000000))</f>
        <v/>
      </c>
      <c r="AZ609" s="15" t="n">
        <v>412872952.1925</v>
      </c>
      <c r="BA609" s="17" t="n">
        <v>60487233</v>
      </c>
      <c r="BB609" s="18" t="n">
        <v>46086091.95473923</v>
      </c>
      <c r="BC609" s="17" t="n">
        <v>2971663</v>
      </c>
      <c r="BD609" s="17">
        <f>1000000000-999081389.512+280160.7366</f>
        <v/>
      </c>
      <c r="BE609" s="19">
        <f>1000000000-AZ609-BA609-BB609-BC609-BD609</f>
        <v/>
      </c>
      <c r="BF609" s="20" t="n">
        <v>233.077307</v>
      </c>
      <c r="BG609" s="20">
        <f>BE609/1000000-BF609</f>
        <v/>
      </c>
      <c r="BH609" s="21">
        <f>BE609*56.07</f>
        <v/>
      </c>
    </row>
    <row r="610">
      <c r="A610" s="10" t="n">
        <v>46232</v>
      </c>
      <c r="B610" s="11" t="n">
        <v>4380428561</v>
      </c>
      <c r="C610" s="11" t="n">
        <v>9072567823.23</v>
      </c>
      <c r="D610" s="11" t="n">
        <v>96180351</v>
      </c>
      <c r="E610" s="11" t="n">
        <v>2252827.80706</v>
      </c>
      <c r="F610" s="24" t="n">
        <v>851249815.7491281</v>
      </c>
      <c r="G610" s="24" t="n">
        <v>2710642.276773693</v>
      </c>
      <c r="H610" s="24" t="n">
        <v>5585681.514748515</v>
      </c>
      <c r="I610" s="24" t="n">
        <v>2190835571.11497</v>
      </c>
      <c r="J610" s="24" t="n">
        <v>68786487.69057295</v>
      </c>
      <c r="K610" s="24" t="n">
        <v>5953399624.883807</v>
      </c>
      <c r="L610" s="21">
        <f>SUM(F610:K610)</f>
        <v/>
      </c>
      <c r="M610" s="28" t="n">
        <v>1.000869356356584</v>
      </c>
      <c r="N610" s="11" t="n">
        <v>1498366.91</v>
      </c>
      <c r="O610" s="11" t="n">
        <v>727291.26</v>
      </c>
      <c r="P610" s="11" t="n">
        <v>51506.17</v>
      </c>
      <c r="Q610" s="11" t="n">
        <v>61.66531546000002</v>
      </c>
      <c r="R610" s="21">
        <f>N610+O610+P610+N(Q610)</f>
        <v/>
      </c>
      <c r="S610" s="13" t="n">
        <v>0.01</v>
      </c>
      <c r="T610" s="21">
        <f>N(AC610)*S610</f>
        <v/>
      </c>
      <c r="U610" s="21">
        <f>N(AD610)*S610</f>
        <v/>
      </c>
      <c r="V610" s="21">
        <f>N(AE610)*S610</f>
        <v/>
      </c>
      <c r="W610" s="21">
        <f>IF(Q610="","",N(AF610)*S610)</f>
        <v/>
      </c>
      <c r="X610" s="11" t="n">
        <v>8027.54</v>
      </c>
      <c r="Y610" s="11" t="n">
        <v>363366.85</v>
      </c>
      <c r="Z610" s="11" t="n">
        <v>0</v>
      </c>
      <c r="AA610" s="21">
        <f>T610+U610+V610+N(W610)+X610+Y610+N(Z610)</f>
        <v/>
      </c>
      <c r="AB610" s="11" t="n">
        <v>182586.3484</v>
      </c>
      <c r="AC610" s="11" t="n">
        <v>1498366.91</v>
      </c>
      <c r="AD610" s="21">
        <f>O610-Y610</f>
        <v/>
      </c>
      <c r="AE610" s="21">
        <f>P610-X610</f>
        <v/>
      </c>
      <c r="AF610" s="21">
        <f>IF(Q610="","",Q610-Z610)</f>
        <v/>
      </c>
      <c r="AG610" s="22">
        <f>AC610+AD610+AE610+N(AF610)</f>
        <v/>
      </c>
      <c r="AH610" s="11" t="n">
        <v>1544914.9</v>
      </c>
      <c r="AI610" s="24">
        <f>AG610-AH610</f>
        <v/>
      </c>
      <c r="AJ610" s="14">
        <f>IF(OR(B610="",B610=0,N610=""),"",N610/B610*10000)</f>
        <v/>
      </c>
      <c r="AK610" s="14">
        <f>IF(OR(C610="",C610=0),"",O610/C610*10000)</f>
        <v/>
      </c>
      <c r="AL610" s="14">
        <f>IF(OR(D610="",D610=0),"",P610/D610*10000)</f>
        <v/>
      </c>
      <c r="AM610" s="14">
        <f>IF(OR(E610="",E610=0),"",Q610/E610*10000)</f>
        <v/>
      </c>
      <c r="AN610" s="11" t="n">
        <v>8441.460004063061</v>
      </c>
      <c r="AO610" s="11" t="n">
        <v>27567.02</v>
      </c>
      <c r="AP610" s="21">
        <f>AH610+AN610+AO610</f>
        <v/>
      </c>
      <c r="AQ610" s="21">
        <f>AH610</f>
        <v/>
      </c>
      <c r="AR610" s="15" t="n">
        <v>28323.86</v>
      </c>
      <c r="AS610" s="27" t="n">
        <v>54.544646</v>
      </c>
      <c r="AT610" s="15" t="n">
        <v>46115078.20473923</v>
      </c>
      <c r="AU610" s="15" t="n">
        <v>26809.5535</v>
      </c>
      <c r="AV610" s="15" t="n">
        <v>3898.3652</v>
      </c>
      <c r="AW610" s="15" t="n"/>
      <c r="AX610" s="16" t="n">
        <v>436.2920720830352</v>
      </c>
      <c r="AY610" s="13">
        <f>IF(OR(AX610="",AX610=0,AU610=""),"",AU610*365/(AX610*1000000))</f>
        <v/>
      </c>
      <c r="AZ610" s="15" t="n">
        <v>412846142.639</v>
      </c>
      <c r="BA610" s="17" t="n">
        <v>60487233</v>
      </c>
      <c r="BB610" s="18" t="n">
        <v>46115078.20473923</v>
      </c>
      <c r="BC610" s="17" t="n">
        <v>2971663</v>
      </c>
      <c r="BD610" s="17">
        <f>1000000000-999077491.1468+280313.8113</f>
        <v/>
      </c>
      <c r="BE610" s="19">
        <f>1000000000-AZ610-BA610-BB610-BC610-BD610</f>
        <v/>
      </c>
      <c r="BF610" s="20" t="n">
        <v>233.077307</v>
      </c>
      <c r="BG610" s="20">
        <f>BE610/1000000-BF610</f>
        <v/>
      </c>
      <c r="BH610" s="21">
        <f>BE610*55.16</f>
        <v/>
      </c>
    </row>
    <row r="611">
      <c r="A611" s="10" t="n">
        <v>46233</v>
      </c>
      <c r="B611" s="11" t="n">
        <v>2663662350</v>
      </c>
      <c r="C611" s="11" t="n">
        <v>7507065672.68</v>
      </c>
      <c r="D611" s="11" t="n">
        <v>94834215</v>
      </c>
      <c r="E611" s="11" t="n">
        <v>1465460.043059998</v>
      </c>
      <c r="F611" s="24" t="n">
        <v>599921889.1812979</v>
      </c>
      <c r="G611" s="24" t="n">
        <v>1570227.443204322</v>
      </c>
      <c r="H611" s="24" t="n">
        <v>29217305.42954828</v>
      </c>
      <c r="I611" s="24" t="n">
        <v>1661770687.825145</v>
      </c>
      <c r="J611" s="24" t="n">
        <v>83414124.24366562</v>
      </c>
      <c r="K611" s="24" t="n">
        <v>5131171438.557139</v>
      </c>
      <c r="L611" s="21">
        <f>SUM(F611:K611)</f>
        <v/>
      </c>
      <c r="M611" s="28" t="n">
        <v>0.9944027498344926</v>
      </c>
      <c r="N611" s="11" t="n">
        <v>839637.14</v>
      </c>
      <c r="O611" s="11" t="n">
        <v>536821.04</v>
      </c>
      <c r="P611" s="11" t="n">
        <v>44729.46</v>
      </c>
      <c r="Q611" s="11" t="n">
        <v>32.05296928</v>
      </c>
      <c r="R611" s="21">
        <f>N611+O611+P611+N(Q611)</f>
        <v/>
      </c>
      <c r="S611" s="13" t="n">
        <v>0.01</v>
      </c>
      <c r="T611" s="21">
        <f>N(AC611)*S611</f>
        <v/>
      </c>
      <c r="U611" s="21">
        <f>N(AD611)*S611</f>
        <v/>
      </c>
      <c r="V611" s="21">
        <f>N(AE611)*S611</f>
        <v/>
      </c>
      <c r="W611" s="21">
        <f>IF(Q611="","",N(AF611)*S611)</f>
        <v/>
      </c>
      <c r="X611" s="11" t="n">
        <v>6734.78</v>
      </c>
      <c r="Y611" s="11" t="n">
        <v>268200.37</v>
      </c>
      <c r="Z611" s="11" t="n">
        <v>0</v>
      </c>
      <c r="AA611" s="21">
        <f>T611+U611+V611+N(W611)+X611+Y611+N(Z611)</f>
        <v/>
      </c>
      <c r="AB611" s="11" t="n">
        <v>132885.6109</v>
      </c>
      <c r="AC611" s="11" t="n">
        <v>839637.14</v>
      </c>
      <c r="AD611" s="21">
        <f>O611-Y611</f>
        <v/>
      </c>
      <c r="AE611" s="21">
        <f>P611-X611</f>
        <v/>
      </c>
      <c r="AF611" s="21">
        <f>IF(Q611="","",Q611-Z611)</f>
        <v/>
      </c>
      <c r="AG611" s="22">
        <f>AC611+AD611+AE611+N(AF611)</f>
        <v/>
      </c>
      <c r="AH611" s="11" t="n">
        <v>1144205</v>
      </c>
      <c r="AI611" s="24">
        <f>AG611-AH611</f>
        <v/>
      </c>
      <c r="AJ611" s="14">
        <f>IF(OR(B611="",B611=0,N611=""),"",N611/B611*10000)</f>
        <v/>
      </c>
      <c r="AK611" s="14">
        <f>IF(OR(C611="",C611=0),"",O611/C611*10000)</f>
        <v/>
      </c>
      <c r="AL611" s="14">
        <f>IF(OR(D611="",D611=0),"",P611/D611*10000)</f>
        <v/>
      </c>
      <c r="AM611" s="14">
        <f>IF(OR(E611="",E611=0),"",Q611/E611*10000)</f>
        <v/>
      </c>
      <c r="AN611" s="11" t="n">
        <v>6790.574752774401</v>
      </c>
      <c r="AO611" s="11" t="n">
        <v>0</v>
      </c>
      <c r="AP611" s="21">
        <f>AH611+AN611+AO611</f>
        <v/>
      </c>
      <c r="AQ611" s="21">
        <f>AH611</f>
        <v/>
      </c>
      <c r="AR611" s="15" t="n">
        <v>21122.19</v>
      </c>
      <c r="AS611" s="27" t="n">
        <v>54.170756</v>
      </c>
      <c r="AT611" s="15" t="n">
        <v>46135975.83473923</v>
      </c>
      <c r="AU611" s="15" t="n">
        <v>26791.7229</v>
      </c>
      <c r="AV611" s="15" t="n">
        <v>4467.4467</v>
      </c>
      <c r="AW611" s="15" t="n"/>
      <c r="AX611" s="16" t="n">
        <v>435.6555103503467</v>
      </c>
      <c r="AY611" s="13">
        <f>IF(OR(AX611="",AX611=0,AU611=""),"",AU611*365/(AX611*1000000))</f>
        <v/>
      </c>
      <c r="AZ611" s="15" t="n">
        <v>412819350.9161</v>
      </c>
      <c r="BA611" s="17" t="n">
        <v>60487233</v>
      </c>
      <c r="BB611" s="18" t="n">
        <v>46135975.83473923</v>
      </c>
      <c r="BC611" s="17" t="n">
        <v>2971663</v>
      </c>
      <c r="BD611" s="17">
        <f>1000000000-999073023.7001+280439.4859</f>
        <v/>
      </c>
      <c r="BE611" s="19">
        <f>1000000000-AZ611-BA611-BB611-BC611-BD611</f>
        <v/>
      </c>
      <c r="BF611" s="20" t="n">
        <v>233.077307</v>
      </c>
      <c r="BG611" s="20">
        <f>BE611/1000000-BF611</f>
        <v/>
      </c>
      <c r="BH611" s="21">
        <f>BE611*54.05</f>
        <v/>
      </c>
    </row>
    <row r="612">
      <c r="A612" s="10" t="n">
        <v>46234</v>
      </c>
      <c r="B612" s="11" t="n">
        <v>3824668041</v>
      </c>
      <c r="C612" s="11" t="n">
        <v>7138708167.51</v>
      </c>
      <c r="D612" s="11" t="n">
        <v>114142882</v>
      </c>
      <c r="E612" s="11" t="n">
        <v>577695.2446200001</v>
      </c>
      <c r="F612" s="24" t="n">
        <v>720300547.5746639</v>
      </c>
      <c r="G612" s="24" t="n">
        <v>2620454.300295696</v>
      </c>
      <c r="H612" s="24" t="n">
        <v>18978831.68194285</v>
      </c>
      <c r="I612" s="24" t="n">
        <v>1538948743.915899</v>
      </c>
      <c r="J612" s="24" t="n">
        <v>63236577.85442729</v>
      </c>
      <c r="K612" s="24" t="n">
        <v>4794623012.182773</v>
      </c>
      <c r="L612" s="21">
        <f>SUM(F612:K612)</f>
        <v/>
      </c>
      <c r="M612" s="28" t="n">
        <v>1.005107348116147</v>
      </c>
      <c r="N612" s="11" t="n">
        <v>1319491.02</v>
      </c>
      <c r="O612" s="11" t="n">
        <v>581556.1699999999</v>
      </c>
      <c r="P612" s="11" t="n">
        <v>61496.73</v>
      </c>
      <c r="Q612" s="11" t="n">
        <v>8.293615520000001</v>
      </c>
      <c r="R612" s="21">
        <f>N612+O612+P612+N(Q612)</f>
        <v/>
      </c>
      <c r="S612" s="13" t="n">
        <v>0.01</v>
      </c>
      <c r="T612" s="21">
        <f>N(AC612)*S612</f>
        <v/>
      </c>
      <c r="U612" s="21">
        <f>N(AD612)*S612</f>
        <v/>
      </c>
      <c r="V612" s="21">
        <f>N(AE612)*S612</f>
        <v/>
      </c>
      <c r="W612" s="21">
        <f>IF(Q612="","",N(AF612)*S612)</f>
        <v/>
      </c>
      <c r="X612" s="11" t="n">
        <v>11753.29</v>
      </c>
      <c r="Y612" s="11" t="n">
        <v>290463.56</v>
      </c>
      <c r="Z612" s="11" t="n">
        <v>0</v>
      </c>
      <c r="AA612" s="21">
        <f>T612+U612+V612+N(W612)+X612+Y612+N(Z612)</f>
        <v/>
      </c>
      <c r="AB612" s="11" t="n">
        <v>152394.5344</v>
      </c>
      <c r="AC612" s="11" t="n">
        <v>1319491.02</v>
      </c>
      <c r="AD612" s="21">
        <f>O612-Y612</f>
        <v/>
      </c>
      <c r="AE612" s="21">
        <f>P612-X612</f>
        <v/>
      </c>
      <c r="AF612" s="21">
        <f>IF(Q612="","",Q612-Z612)</f>
        <v/>
      </c>
      <c r="AG612" s="22">
        <f>AC612+AD612+AE612+N(AF612)</f>
        <v/>
      </c>
      <c r="AH612" s="11" t="n">
        <v>1410754.99</v>
      </c>
      <c r="AI612" s="24">
        <f>AG612-AH612</f>
        <v/>
      </c>
      <c r="AJ612" s="14">
        <f>IF(OR(B612="",B612=0,N612=""),"",N612/B612*10000)</f>
        <v/>
      </c>
      <c r="AK612" s="14">
        <f>IF(OR(C612="",C612=0),"",O612/C612*10000)</f>
        <v/>
      </c>
      <c r="AL612" s="14">
        <f>IF(OR(D612="",D612=0),"",P612/D612*10000)</f>
        <v/>
      </c>
      <c r="AM612" s="14">
        <f>IF(OR(E612="",E612=0),"",Q612/E612*10000)</f>
        <v/>
      </c>
      <c r="AN612" s="11" t="n">
        <v>13252.62956474308</v>
      </c>
      <c r="AO612" s="11" t="n">
        <v>27921.09</v>
      </c>
      <c r="AP612" s="21">
        <f>AH612+AN612+AO612</f>
        <v/>
      </c>
      <c r="AQ612" s="21">
        <f>AH612</f>
        <v/>
      </c>
      <c r="AR612" s="15" t="n">
        <v>25835.11</v>
      </c>
      <c r="AS612" s="27" t="n">
        <v>54.606115</v>
      </c>
      <c r="AT612" s="15" t="n">
        <v>46161586.66473923</v>
      </c>
      <c r="AU612" s="15" t="n">
        <v>26792.5624</v>
      </c>
      <c r="AV612" s="15" t="n">
        <v>2972.664</v>
      </c>
      <c r="AW612" s="15" t="n"/>
      <c r="AX612" s="16" t="n">
        <v>435.9437889705117</v>
      </c>
      <c r="AY612" s="13">
        <f>IF(OR(AX612="",AX612=0,AU612=""),"",AU612*365/(AX612*1000000))</f>
        <v/>
      </c>
      <c r="AZ612" s="15" t="n">
        <v>412792558.3536</v>
      </c>
      <c r="BA612" s="17" t="n">
        <v>60487233</v>
      </c>
      <c r="BB612" s="18" t="n">
        <v>46161586.66473923</v>
      </c>
      <c r="BC612" s="17" t="n">
        <v>2971663</v>
      </c>
      <c r="BD612" s="17">
        <f>1000000000-999070051.0361+280676.3219</f>
        <v/>
      </c>
      <c r="BE612" s="19">
        <f>1000000000-AZ612-BA612-BB612-BC612-BD612</f>
        <v/>
      </c>
      <c r="BF612" s="20" t="n">
        <v>233.077307</v>
      </c>
      <c r="BG612" s="20">
        <f>BE612/1000000-BF612</f>
        <v/>
      </c>
      <c r="BH612" s="21">
        <f>BE612*56</f>
        <v/>
      </c>
    </row>
    <row r="613">
      <c r="A613" s="10" t="n">
        <v>46235</v>
      </c>
      <c r="B613" s="11" t="n">
        <v>1488434945</v>
      </c>
      <c r="C613" s="11" t="n">
        <v>529095347.78</v>
      </c>
      <c r="D613" s="11" t="n">
        <v>51338276</v>
      </c>
      <c r="E613" s="11" t="n">
        <v>657589.1216200001</v>
      </c>
      <c r="F613" s="24" t="n">
        <v>174420495.6890603</v>
      </c>
      <c r="G613" s="24" t="n">
        <v>2360094.673511147</v>
      </c>
      <c r="H613" s="24" t="n">
        <v>10530134.65386611</v>
      </c>
      <c r="I613" s="24" t="n">
        <v>111738648.1764204</v>
      </c>
      <c r="J613" s="24" t="n">
        <v>3846022.913126778</v>
      </c>
      <c r="K613" s="24" t="n">
        <v>226199951.6740152</v>
      </c>
      <c r="L613" s="21">
        <f>SUM(F613:K613)</f>
        <v/>
      </c>
      <c r="M613" s="28" t="n">
        <v>0.9995714590485465</v>
      </c>
      <c r="N613" s="11" t="n">
        <v>538557.3100000001</v>
      </c>
      <c r="O613" s="11" t="n">
        <v>64404.93</v>
      </c>
      <c r="P613" s="11" t="n">
        <v>29560.8</v>
      </c>
      <c r="Q613" s="11" t="n">
        <v>5.649443550000002</v>
      </c>
      <c r="R613" s="21">
        <f>N613+O613+P613+N(Q613)</f>
        <v/>
      </c>
      <c r="S613" s="13" t="n">
        <v>0.01</v>
      </c>
      <c r="T613" s="21">
        <f>N(AC613)*S613</f>
        <v/>
      </c>
      <c r="U613" s="21">
        <f>N(AD613)*S613</f>
        <v/>
      </c>
      <c r="V613" s="21">
        <f>N(AE613)*S613</f>
        <v/>
      </c>
      <c r="W613" s="21">
        <f>IF(Q613="","",N(AF613)*S613)</f>
        <v/>
      </c>
      <c r="X613" s="11" t="n">
        <v>4510.98</v>
      </c>
      <c r="Y613" s="11" t="n">
        <v>32108.34</v>
      </c>
      <c r="Z613" s="11" t="n">
        <v>0</v>
      </c>
      <c r="AA613" s="21">
        <f>T613+U613+V613+N(W613)+X613+Y613+N(Z613)</f>
        <v/>
      </c>
      <c r="AB613" s="11" t="n">
        <v>46748.6133</v>
      </c>
      <c r="AC613" s="11" t="n">
        <v>538557.3100000001</v>
      </c>
      <c r="AD613" s="21">
        <f>O613-Y613</f>
        <v/>
      </c>
      <c r="AE613" s="21">
        <f>P613-X613</f>
        <v/>
      </c>
      <c r="AF613" s="21">
        <f>IF(Q613="","",Q613-Z613)</f>
        <v/>
      </c>
      <c r="AG613" s="22">
        <f>AC613+AD613+AE613+N(AF613)</f>
        <v/>
      </c>
      <c r="AH613" s="11" t="n">
        <v>503677.34</v>
      </c>
      <c r="AI613" s="24">
        <f>AG613-AH613</f>
        <v/>
      </c>
      <c r="AJ613" s="14">
        <f>IF(OR(B613="",B613=0,N613=""),"",N613/B613*10000)</f>
        <v/>
      </c>
      <c r="AK613" s="14">
        <f>IF(OR(C613="",C613=0),"",O613/C613*10000)</f>
        <v/>
      </c>
      <c r="AL613" s="14">
        <f>IF(OR(D613="",D613=0),"",P613/D613*10000)</f>
        <v/>
      </c>
      <c r="AM613" s="14">
        <f>IF(OR(E613="",E613=0),"",Q613/E613*10000)</f>
        <v/>
      </c>
      <c r="AN613" s="11" t="n">
        <v>6529.10662692557</v>
      </c>
      <c r="AO613" s="11" t="n">
        <v>0</v>
      </c>
      <c r="AP613" s="21">
        <f>AH613+AN613+AO613</f>
        <v/>
      </c>
      <c r="AQ613" s="21">
        <f>AH613</f>
        <v/>
      </c>
      <c r="AR613" s="15" t="n">
        <v>9668.299999999999</v>
      </c>
      <c r="AS613" s="27" t="n">
        <v>52.09575</v>
      </c>
      <c r="AT613" s="15" t="n">
        <v>46171041.41473923</v>
      </c>
      <c r="AU613" s="15" t="n">
        <v>26794.9612</v>
      </c>
      <c r="AV613" s="15" t="n">
        <v>3232.2323</v>
      </c>
      <c r="AW613" s="15" t="n"/>
      <c r="AX613" s="16" t="n">
        <v>436.235580414419</v>
      </c>
      <c r="AY613" s="13">
        <f>IF(OR(AX613="",AX613=0,AU613=""),"",AU613*365/(AX613*1000000))</f>
        <v/>
      </c>
      <c r="AZ613" s="15" t="n">
        <v>412765763.3924</v>
      </c>
      <c r="BA613" s="17" t="n">
        <v>60487233</v>
      </c>
      <c r="BB613" s="18" t="n">
        <v>46171041.41473923</v>
      </c>
      <c r="BC613" s="17" t="n">
        <v>2971663</v>
      </c>
      <c r="BD613" s="17">
        <f>1000000000-999066818.8038+280800.9160</f>
        <v/>
      </c>
      <c r="BE613" s="19">
        <f>1000000000-AZ613-BA613-BB613-BC613-BD613</f>
        <v/>
      </c>
      <c r="BF613" s="20" t="n">
        <v>233.077307</v>
      </c>
      <c r="BG613" s="20">
        <f>BE613/1000000-BF613</f>
        <v/>
      </c>
      <c r="BH613" s="21">
        <f>BE613*52.41</f>
        <v/>
      </c>
    </row>
    <row r="614">
      <c r="A614" s="10" t="n">
        <v>46236</v>
      </c>
      <c r="B614" s="11" t="n">
        <v>2182631936</v>
      </c>
      <c r="C614" s="11" t="n">
        <v>1450683948.08</v>
      </c>
      <c r="D614" s="11" t="n">
        <v>65216588</v>
      </c>
      <c r="E614" s="11" t="n">
        <v>701923.55767</v>
      </c>
      <c r="F614" s="24" t="n">
        <v>486133407.3810023</v>
      </c>
      <c r="G614" s="24" t="n">
        <v>709381.5154939876</v>
      </c>
      <c r="H614" s="24" t="n">
        <v>20163976.8571372</v>
      </c>
      <c r="I614" s="24" t="n">
        <v>370045591.4751261</v>
      </c>
      <c r="J614" s="24" t="n">
        <v>7956315.400092676</v>
      </c>
      <c r="K614" s="24" t="n">
        <v>565675275.4511476</v>
      </c>
      <c r="L614" s="21">
        <f>SUM(F614:K614)</f>
        <v/>
      </c>
      <c r="M614" s="28" t="n">
        <v>1.002840388082299</v>
      </c>
      <c r="N614" s="11" t="n">
        <v>789600.34</v>
      </c>
      <c r="O614" s="11" t="n">
        <v>154589.34</v>
      </c>
      <c r="P614" s="11" t="n">
        <v>33400.71</v>
      </c>
      <c r="Q614" s="11" t="n">
        <v>4.64388942</v>
      </c>
      <c r="R614" s="21">
        <f>N614+O614+P614+N(Q614)</f>
        <v/>
      </c>
      <c r="S614" s="13" t="n">
        <v>0.01</v>
      </c>
      <c r="T614" s="21">
        <f>N(AC614)*S614</f>
        <v/>
      </c>
      <c r="U614" s="21">
        <f>N(AD614)*S614</f>
        <v/>
      </c>
      <c r="V614" s="21">
        <f>N(AE614)*S614</f>
        <v/>
      </c>
      <c r="W614" s="21">
        <f>IF(Q614="","",N(AF614)*S614)</f>
        <v/>
      </c>
      <c r="X614" s="11" t="n">
        <v>5799.32</v>
      </c>
      <c r="Y614" s="11" t="n">
        <v>77210.41</v>
      </c>
      <c r="Z614" s="11" t="n">
        <v>0</v>
      </c>
      <c r="AA614" s="21">
        <f>T614+U614+V614+N(W614)+X614+Y614+N(Z614)</f>
        <v/>
      </c>
      <c r="AB614" s="11" t="n">
        <v>84062.9825</v>
      </c>
      <c r="AC614" s="11" t="n">
        <v>789600.34</v>
      </c>
      <c r="AD614" s="21">
        <f>O614-Y614</f>
        <v/>
      </c>
      <c r="AE614" s="21">
        <f>P614-X614</f>
        <v/>
      </c>
      <c r="AF614" s="21">
        <f>IF(Q614="","",Q614-Z614)</f>
        <v/>
      </c>
      <c r="AG614" s="22">
        <f>AC614+AD614+AE614+N(AF614)</f>
        <v/>
      </c>
      <c r="AH614" s="11" t="n">
        <v>740773.86</v>
      </c>
      <c r="AI614" s="24">
        <f>AG614-AH614</f>
        <v/>
      </c>
      <c r="AJ614" s="14">
        <f>IF(OR(B614="",B614=0,N614=""),"",N614/B614*10000)</f>
        <v/>
      </c>
      <c r="AK614" s="14">
        <f>IF(OR(C614="",C614=0),"",O614/C614*10000)</f>
        <v/>
      </c>
      <c r="AL614" s="14">
        <f>IF(OR(D614="",D614=0),"",P614/D614*10000)</f>
        <v/>
      </c>
      <c r="AM614" s="14">
        <f>IF(OR(E614="",E614=0),"",Q614/E614*10000)</f>
        <v/>
      </c>
      <c r="AN614" s="11" t="n">
        <v>6575.285024799986</v>
      </c>
      <c r="AO614" s="11" t="n">
        <v>29439</v>
      </c>
      <c r="AP614" s="21">
        <f>AH614+AN614+AO614</f>
        <v/>
      </c>
      <c r="AQ614" s="21">
        <f>AH614</f>
        <v/>
      </c>
      <c r="AR614" s="15" t="n">
        <v>14171.64</v>
      </c>
      <c r="AS614" s="27" t="n">
        <v>52.271569</v>
      </c>
      <c r="AT614" s="15" t="n">
        <v>46185780.85473923</v>
      </c>
      <c r="AU614" s="15" t="n">
        <v>26801.6119</v>
      </c>
      <c r="AV614" s="15" t="n">
        <v>1305.776</v>
      </c>
      <c r="AW614" s="15" t="n"/>
      <c r="AX614" s="16" t="n">
        <v>436.2325772345131</v>
      </c>
      <c r="AY614" s="13">
        <f>IF(OR(AX614="",AX614=0,AU614=""),"",AU614*365/(AX614*1000000))</f>
        <v/>
      </c>
      <c r="AZ614" s="15" t="n">
        <v>412738961.7805</v>
      </c>
      <c r="BA614" s="17" t="n">
        <v>60487233</v>
      </c>
      <c r="BB614" s="18" t="n">
        <v>46185780.85473923</v>
      </c>
      <c r="BC614" s="17" t="n">
        <v>2971663</v>
      </c>
      <c r="BD614" s="17">
        <f>1000000000-999065513.0278+280926.6553</f>
        <v/>
      </c>
      <c r="BE614" s="19">
        <f>1000000000-AZ614-BA614-BB614-BC614-BD614</f>
        <v/>
      </c>
      <c r="BF614" s="20" t="n">
        <v>233.077307</v>
      </c>
      <c r="BG614" s="20">
        <f>BE614/1000000-BF614</f>
        <v/>
      </c>
      <c r="BH614" s="21">
        <f>BE614*52.29</f>
        <v/>
      </c>
    </row>
    <row r="615">
      <c r="A615" s="10" t="n">
        <v>46237</v>
      </c>
      <c r="B615" s="11" t="n">
        <v>3029460890</v>
      </c>
      <c r="C615" s="11" t="n">
        <v>4779493771.79</v>
      </c>
      <c r="D615" s="11" t="n">
        <v>61977951</v>
      </c>
      <c r="E615" s="11" t="n">
        <v>609748.6804000002</v>
      </c>
      <c r="F615" s="24" t="n">
        <v>575104538.2474735</v>
      </c>
      <c r="G615" s="24" t="n">
        <v>1217088.506630559</v>
      </c>
      <c r="H615" s="24" t="n">
        <v>20374738.9503438</v>
      </c>
      <c r="I615" s="24" t="n">
        <v>1167711685.025062</v>
      </c>
      <c r="J615" s="24" t="n">
        <v>39231999.80179226</v>
      </c>
      <c r="K615" s="24" t="n">
        <v>2975853721.258698</v>
      </c>
      <c r="L615" s="21">
        <f>SUM(F615:K615)</f>
        <v/>
      </c>
      <c r="M615" s="28" t="n">
        <v>1.000471149553894</v>
      </c>
      <c r="N615" s="11" t="n">
        <v>1088967.41</v>
      </c>
      <c r="O615" s="11" t="n">
        <v>396475.95</v>
      </c>
      <c r="P615" s="11" t="n">
        <v>34911.1</v>
      </c>
      <c r="Q615" s="11" t="n">
        <v>2.18479554</v>
      </c>
      <c r="R615" s="21">
        <f>N615+O615+P615+N(Q615)</f>
        <v/>
      </c>
      <c r="S615" s="13" t="n">
        <v>0.01</v>
      </c>
      <c r="T615" s="21">
        <f>N(AC615)*S615</f>
        <v/>
      </c>
      <c r="U615" s="21">
        <f>N(AD615)*S615</f>
        <v/>
      </c>
      <c r="V615" s="21">
        <f>N(AE615)*S615</f>
        <v/>
      </c>
      <c r="W615" s="21">
        <f>IF(Q615="","",N(AF615)*S615)</f>
        <v/>
      </c>
      <c r="X615" s="11" t="n">
        <v>6911.18</v>
      </c>
      <c r="Y615" s="11" t="n">
        <v>198095.04</v>
      </c>
      <c r="Z615" s="11" t="n">
        <v>0</v>
      </c>
      <c r="AA615" s="21">
        <f>T615+U615+V615+N(W615)+X615+Y615+N(Z615)</f>
        <v/>
      </c>
      <c r="AB615" s="11" t="n">
        <v>141013.4494</v>
      </c>
      <c r="AC615" s="11" t="n">
        <v>1088967.41</v>
      </c>
      <c r="AD615" s="21">
        <f>O615-Y615</f>
        <v/>
      </c>
      <c r="AE615" s="21">
        <f>P615-X615</f>
        <v/>
      </c>
      <c r="AF615" s="21">
        <f>IF(Q615="","",Q615-Z615)</f>
        <v/>
      </c>
      <c r="AG615" s="22">
        <f>AC615+AD615+AE615+N(AF615)</f>
        <v/>
      </c>
      <c r="AH615" s="11" t="n">
        <v>1092610.97</v>
      </c>
      <c r="AI615" s="24">
        <f>AG615-AH615</f>
        <v/>
      </c>
      <c r="AJ615" s="14">
        <f>IF(OR(B615="",B615=0,N615=""),"",N615/B615*10000)</f>
        <v/>
      </c>
      <c r="AK615" s="14">
        <f>IF(OR(C615="",C615=0),"",O615/C615*10000)</f>
        <v/>
      </c>
      <c r="AL615" s="14">
        <f>IF(OR(D615="",D615=0),"",P615/D615*10000)</f>
        <v/>
      </c>
      <c r="AM615" s="14">
        <f>IF(OR(E615="",E615=0),"",Q615/E615*10000)</f>
        <v/>
      </c>
      <c r="AN615" s="11" t="n">
        <v>7693.868333371813</v>
      </c>
      <c r="AO615" s="11" t="n">
        <v>0</v>
      </c>
      <c r="AP615" s="21">
        <f>AH615+AN615+AO615</f>
        <v/>
      </c>
      <c r="AQ615" s="21">
        <f>AH615</f>
        <v/>
      </c>
      <c r="AR615" s="15" t="n">
        <v>20396.04</v>
      </c>
      <c r="AS615" s="27" t="n">
        <v>53.56976</v>
      </c>
      <c r="AT615" s="15" t="n">
        <v>46205981.36473923</v>
      </c>
      <c r="AU615" s="15" t="n">
        <v>26801.2852</v>
      </c>
      <c r="AV615" s="15" t="n">
        <v>2756.7143</v>
      </c>
      <c r="AW615" s="15" t="n"/>
      <c r="AX615" s="16" t="n">
        <v>436.2324773218252</v>
      </c>
      <c r="AY615" s="13">
        <f>IF(OR(AX615="",AX615=0,AU615=""),"",AU615*365/(AX615*1000000))</f>
        <v/>
      </c>
      <c r="AZ615" s="15" t="n">
        <v>412712160.4953</v>
      </c>
      <c r="BA615" s="17" t="n">
        <v>60487233</v>
      </c>
      <c r="BB615" s="18" t="n">
        <v>46205981.36473923</v>
      </c>
      <c r="BC615" s="17" t="n">
        <v>2971663</v>
      </c>
      <c r="BD615" s="17">
        <f>1000000000-999062756.3134+281073.2890</f>
        <v/>
      </c>
      <c r="BE615" s="19">
        <f>1000000000-AZ615-BA615-BB615-BC615-BD615</f>
        <v/>
      </c>
      <c r="BF615" s="20" t="n">
        <v>233.077307</v>
      </c>
      <c r="BG615" s="20">
        <f>BE615/1000000-BF615</f>
        <v/>
      </c>
      <c r="BH615" s="21">
        <f>BE615*52.51</f>
        <v/>
      </c>
    </row>
    <row r="616">
      <c r="A616" s="10" t="n">
        <v>46238</v>
      </c>
      <c r="B616" s="11" t="n">
        <v>3234216901</v>
      </c>
      <c r="C616" s="11" t="n">
        <v>6173094918.74</v>
      </c>
      <c r="D616" s="11" t="n">
        <v>78028904</v>
      </c>
      <c r="E616" s="11" t="n">
        <v>632427.04801</v>
      </c>
      <c r="F616" s="24" t="n">
        <v>863624767.5250108</v>
      </c>
      <c r="G616" s="24" t="n">
        <v>1371539.932890632</v>
      </c>
      <c r="H616" s="24" t="n">
        <v>5919882.18523638</v>
      </c>
      <c r="I616" s="24" t="n">
        <v>1674558038.381462</v>
      </c>
      <c r="J616" s="24" t="n">
        <v>32333962.33537756</v>
      </c>
      <c r="K616" s="24" t="n">
        <v>3595286728.380022</v>
      </c>
      <c r="L616" s="21">
        <f>SUM(F616:K616)</f>
        <v/>
      </c>
      <c r="M616" s="28" t="n">
        <v>1.000393586599202</v>
      </c>
      <c r="N616" s="11" t="n">
        <v>1162571.52</v>
      </c>
      <c r="O616" s="11" t="n">
        <v>573195.3</v>
      </c>
      <c r="P616" s="11" t="n">
        <v>39454.83</v>
      </c>
      <c r="Q616" s="11" t="n">
        <v>9.191494930000001</v>
      </c>
      <c r="R616" s="21">
        <f>N616+O616+P616+N(Q616)</f>
        <v/>
      </c>
      <c r="S616" s="13" t="n">
        <v>0.01</v>
      </c>
      <c r="T616" s="21">
        <f>N(AC616)*S616</f>
        <v/>
      </c>
      <c r="U616" s="21">
        <f>N(AD616)*S616</f>
        <v/>
      </c>
      <c r="V616" s="21">
        <f>N(AE616)*S616</f>
        <v/>
      </c>
      <c r="W616" s="21">
        <f>IF(Q616="","",N(AF616)*S616)</f>
        <v/>
      </c>
      <c r="X616" s="11" t="n">
        <v>6673.01</v>
      </c>
      <c r="Y616" s="11" t="n">
        <v>286456.77</v>
      </c>
      <c r="Z616" s="11" t="n">
        <v>0</v>
      </c>
      <c r="AA616" s="21">
        <f>T616+U616+V616+N(W616)+X616+Y616+N(Z616)</f>
        <v/>
      </c>
      <c r="AB616" s="11" t="n">
        <v>165646.255</v>
      </c>
      <c r="AC616" s="11" t="n">
        <v>1162571.52</v>
      </c>
      <c r="AD616" s="21">
        <f>O616-Y616</f>
        <v/>
      </c>
      <c r="AE616" s="21">
        <f>P616-X616</f>
        <v/>
      </c>
      <c r="AF616" s="21">
        <f>IF(Q616="","",Q616-Z616)</f>
        <v/>
      </c>
      <c r="AG616" s="22">
        <f>AC616+AD616+AE616+N(AF616)</f>
        <v/>
      </c>
      <c r="AH616" s="11" t="n">
        <v>1218456.03</v>
      </c>
      <c r="AI616" s="24">
        <f>AG616-AH616</f>
        <v/>
      </c>
      <c r="AJ616" s="14">
        <f>IF(OR(B616="",B616=0,N616=""),"",N616/B616*10000)</f>
        <v/>
      </c>
      <c r="AK616" s="14">
        <f>IF(OR(C616="",C616=0),"",O616/C616*10000)</f>
        <v/>
      </c>
      <c r="AL616" s="14">
        <f>IF(OR(D616="",D616=0),"",P616/D616*10000)</f>
        <v/>
      </c>
      <c r="AM616" s="14">
        <f>IF(OR(E616="",E616=0),"",Q616/E616*10000)</f>
        <v/>
      </c>
      <c r="AN616" s="11" t="n">
        <v>24436.3954390785</v>
      </c>
      <c r="AO616" s="11" t="n">
        <v>26980.98</v>
      </c>
      <c r="AP616" s="21">
        <f>AH616+AN616+AO616</f>
        <v/>
      </c>
      <c r="AQ616" s="21">
        <f>AH616</f>
        <v/>
      </c>
      <c r="AR616" s="15" t="n">
        <v>22146.29</v>
      </c>
      <c r="AS616" s="27" t="n">
        <v>55.018517</v>
      </c>
      <c r="AT616" s="15" t="n">
        <v>46228363.52473923</v>
      </c>
      <c r="AU616" s="15" t="n">
        <v>26806.1538</v>
      </c>
      <c r="AV616" s="15" t="n">
        <v>1757.0289</v>
      </c>
      <c r="AW616" s="15" t="n"/>
      <c r="AX616" s="16" t="n">
        <v>436.8235286980938</v>
      </c>
      <c r="AY616" s="13">
        <f>IF(OR(AX616="",AX616=0,AU616=""),"",AU616*365/(AX616*1000000))</f>
        <v/>
      </c>
      <c r="AZ616" s="15" t="n">
        <v>412685354.3414</v>
      </c>
      <c r="BA616" s="17" t="n">
        <v>60487233</v>
      </c>
      <c r="BB616" s="18" t="n">
        <v>46228363.52473923</v>
      </c>
      <c r="BC616" s="17" t="n">
        <v>2971663</v>
      </c>
      <c r="BD616" s="17">
        <f>1000000000-999060999.2846+281527.8604</f>
        <v/>
      </c>
      <c r="BE616" s="19">
        <f>1000000000-AZ616-BA616-BB616-BC616-BD616</f>
        <v/>
      </c>
      <c r="BF616" s="20" t="n">
        <v>233.077307</v>
      </c>
      <c r="BG616" s="20">
        <f>BE616/1000000-BF616</f>
        <v/>
      </c>
      <c r="BH616" s="21">
        <f>BE616*53.78</f>
        <v/>
      </c>
    </row>
    <row r="617">
      <c r="A617" s="10" t="n">
        <v>46239</v>
      </c>
      <c r="B617" s="11" t="n">
        <v>3581031250</v>
      </c>
      <c r="C617" s="11" t="n">
        <v>5383612525.93</v>
      </c>
      <c r="D617" s="11" t="n">
        <v>103053755</v>
      </c>
      <c r="E617" s="11" t="n">
        <v>769301.5262399998</v>
      </c>
      <c r="F617" s="24" t="n">
        <v>689686012.048553</v>
      </c>
      <c r="G617" s="24" t="n">
        <v>865251.1703087756</v>
      </c>
      <c r="H617" s="24" t="n">
        <v>4563696.13143607</v>
      </c>
      <c r="I617" s="24" t="n">
        <v>1178881957.059267</v>
      </c>
      <c r="J617" s="24" t="n">
        <v>32693993.5647946</v>
      </c>
      <c r="K617" s="24" t="n">
        <v>3476921615.95564</v>
      </c>
      <c r="L617" s="21">
        <f>SUM(F617:K617)</f>
        <v/>
      </c>
      <c r="M617" s="28" t="n">
        <v>1.001549616510801</v>
      </c>
      <c r="N617" s="11" t="n">
        <v>1247588.24</v>
      </c>
      <c r="O617" s="11" t="n">
        <v>561281.2</v>
      </c>
      <c r="P617" s="11" t="n">
        <v>56486.15</v>
      </c>
      <c r="Q617" s="11" t="n">
        <v>33.24164434</v>
      </c>
      <c r="R617" s="21">
        <f>N617+O617+P617+N(Q617)</f>
        <v/>
      </c>
      <c r="S617" s="13" t="n">
        <v>0.01</v>
      </c>
      <c r="T617" s="21">
        <f>N(AC617)*S617</f>
        <v/>
      </c>
      <c r="U617" s="21">
        <f>N(AD617)*S617</f>
        <v/>
      </c>
      <c r="V617" s="21">
        <f>N(AE617)*S617</f>
        <v/>
      </c>
      <c r="W617" s="21">
        <f>IF(Q617="","",N(AF617)*S617)</f>
        <v/>
      </c>
      <c r="X617" s="11" t="n">
        <v>10755.14</v>
      </c>
      <c r="Y617" s="11" t="n">
        <v>280545.43</v>
      </c>
      <c r="Z617" s="11" t="n">
        <v>0</v>
      </c>
      <c r="AA617" s="21">
        <f>T617+U617+V617+N(W617)+X617+Y617+N(Z617)</f>
        <v/>
      </c>
      <c r="AB617" s="11" t="n">
        <v>189548.154</v>
      </c>
      <c r="AC617" s="11" t="n">
        <v>1247588.24</v>
      </c>
      <c r="AD617" s="21">
        <f>O617-Y617</f>
        <v/>
      </c>
      <c r="AE617" s="21">
        <f>P617-X617</f>
        <v/>
      </c>
      <c r="AF617" s="21">
        <f>IF(Q617="","",Q617-Z617)</f>
        <v/>
      </c>
      <c r="AG617" s="22">
        <f>AC617+AD617+AE617+N(AF617)</f>
        <v/>
      </c>
      <c r="AH617" s="11" t="n">
        <v>1326354.23</v>
      </c>
      <c r="AI617" s="24">
        <f>AG617-AH617</f>
        <v/>
      </c>
      <c r="AJ617" s="14">
        <f>IF(OR(B617="",B617=0,N617=""),"",N617/B617*10000)</f>
        <v/>
      </c>
      <c r="AK617" s="14">
        <f>IF(OR(C617="",C617=0),"",O617/C617*10000)</f>
        <v/>
      </c>
      <c r="AL617" s="14">
        <f>IF(OR(D617="",D617=0),"",P617/D617*10000)</f>
        <v/>
      </c>
      <c r="AM617" s="14">
        <f>IF(OR(E617="",E617=0),"",Q617/E617*10000)</f>
        <v/>
      </c>
      <c r="AN617" s="11" t="n">
        <v>10736.07272278287</v>
      </c>
      <c r="AO617" s="11" t="n">
        <v>0</v>
      </c>
      <c r="AP617" s="21">
        <f>AH617+AN617+AO617</f>
        <v/>
      </c>
      <c r="AQ617" s="21">
        <f>AH617</f>
        <v/>
      </c>
      <c r="AR617" s="15" t="n">
        <v>23323.81</v>
      </c>
      <c r="AS617" s="27" t="n">
        <v>56.866963</v>
      </c>
      <c r="AT617" s="15" t="n">
        <v>46251079.19473923</v>
      </c>
      <c r="AU617" s="15" t="n">
        <v>26815.8163</v>
      </c>
      <c r="AV617" s="15" t="n">
        <v>3546.257</v>
      </c>
      <c r="AW617" s="15" t="n"/>
      <c r="AX617" s="16" t="n">
        <v>436.5213684847593</v>
      </c>
      <c r="AY617" s="13">
        <f>IF(OR(AX617="",AX617=0,AU617=""),"",AU617*365/(AX617*1000000))</f>
        <v/>
      </c>
      <c r="AZ617" s="15" t="n">
        <v>412658538.5251</v>
      </c>
      <c r="BA617" s="17" t="n">
        <v>60487233</v>
      </c>
      <c r="BB617" s="18" t="n">
        <v>46251079.19473923</v>
      </c>
      <c r="BC617" s="17" t="n">
        <v>2971663</v>
      </c>
      <c r="BD617" s="17">
        <f>1000000000-999057453.0276+281723.2820</f>
        <v/>
      </c>
      <c r="BE617" s="19">
        <f>1000000000-AZ617-BA617-BB617-BC617-BD617</f>
        <v/>
      </c>
      <c r="BF617" s="20" t="n">
        <v>233.077307</v>
      </c>
      <c r="BG617" s="20">
        <f>BE617/1000000-BF617</f>
        <v/>
      </c>
      <c r="BH617" s="21">
        <f>BE617*54.97</f>
        <v/>
      </c>
    </row>
    <row r="618">
      <c r="A618" s="10" t="n">
        <v>46240</v>
      </c>
      <c r="B618" s="11" t="n">
        <v>2569377524</v>
      </c>
      <c r="C618" s="11" t="n">
        <v>4585473962</v>
      </c>
      <c r="D618" s="11" t="n">
        <v>68060874</v>
      </c>
      <c r="E618" s="11" t="n">
        <v>705073.9993</v>
      </c>
      <c r="F618" s="24" t="n">
        <v>678019348.5327033</v>
      </c>
      <c r="G618" s="24" t="n">
        <v>1096472.040706208</v>
      </c>
      <c r="H618" s="24" t="n">
        <v>4614398.272642625</v>
      </c>
      <c r="I618" s="24" t="n">
        <v>1005419342.00691</v>
      </c>
      <c r="J618" s="24" t="n">
        <v>26979575.09672851</v>
      </c>
      <c r="K618" s="24" t="n">
        <v>2869344826.05031</v>
      </c>
      <c r="L618" s="21">
        <f>SUM(F618:K618)</f>
        <v/>
      </c>
      <c r="M618" s="28" t="n">
        <v>1.001121153107607</v>
      </c>
      <c r="N618" s="11" t="n">
        <v>918205.67</v>
      </c>
      <c r="O618" s="11" t="n">
        <v>445887.61</v>
      </c>
      <c r="P618" s="11" t="n">
        <v>40450.18</v>
      </c>
      <c r="Q618" s="11" t="n">
        <v>22.3691091</v>
      </c>
      <c r="R618" s="21">
        <f>N618+O618+P618+N(Q618)</f>
        <v/>
      </c>
      <c r="S618" s="13" t="n">
        <v>0.01</v>
      </c>
      <c r="T618" s="21">
        <f>N(AC618)*S618</f>
        <v/>
      </c>
      <c r="U618" s="21">
        <f>N(AD618)*S618</f>
        <v/>
      </c>
      <c r="V618" s="21">
        <f>N(AE618)*S618</f>
        <v/>
      </c>
      <c r="W618" s="21">
        <f>IF(Q618="","",N(AF618)*S618)</f>
        <v/>
      </c>
      <c r="X618" s="11" t="n">
        <v>5491.6</v>
      </c>
      <c r="Y618" s="11" t="n">
        <v>222790.54</v>
      </c>
      <c r="Z618" s="11" t="n">
        <v>0</v>
      </c>
      <c r="AA618" s="21">
        <f>T618+U618+V618+N(W618)+X618+Y618+N(Z618)</f>
        <v/>
      </c>
      <c r="AB618" s="11" t="n">
        <v>143249.4489</v>
      </c>
      <c r="AC618" s="11" t="n">
        <v>918205.67</v>
      </c>
      <c r="AD618" s="21">
        <f>O618-Y618</f>
        <v/>
      </c>
      <c r="AE618" s="21">
        <f>P618-X618</f>
        <v/>
      </c>
      <c r="AF618" s="21">
        <f>IF(Q618="","",Q618-Z618)</f>
        <v/>
      </c>
      <c r="AG618" s="22">
        <f>AC618+AD618+AE618+N(AF618)</f>
        <v/>
      </c>
      <c r="AH618" s="11" t="n">
        <v>955335.0699999999</v>
      </c>
      <c r="AI618" s="24">
        <f>AG618-AH618</f>
        <v/>
      </c>
      <c r="AJ618" s="14">
        <f>IF(OR(B618="",B618=0,N618=""),"",N618/B618*10000)</f>
        <v/>
      </c>
      <c r="AK618" s="14">
        <f>IF(OR(C618="",C618=0),"",O618/C618*10000)</f>
        <v/>
      </c>
      <c r="AL618" s="14">
        <f>IF(OR(D618="",D618=0),"",P618/D618*10000)</f>
        <v/>
      </c>
      <c r="AM618" s="14">
        <f>IF(OR(E618="",E618=0),"",Q618/E618*10000)</f>
        <v/>
      </c>
      <c r="AN618" s="11" t="n">
        <v>5763.083005324875</v>
      </c>
      <c r="AO618" s="11" t="n">
        <v>28536.17</v>
      </c>
      <c r="AP618" s="21">
        <f>AH618+AN618+AO618</f>
        <v/>
      </c>
      <c r="AQ618" s="21">
        <f>AH618</f>
        <v/>
      </c>
      <c r="AR618" s="15" t="n">
        <v>17096.36</v>
      </c>
      <c r="AS618" s="27" t="n">
        <v>55.879443</v>
      </c>
      <c r="AT618" s="15" t="n">
        <v>46268537.25473923</v>
      </c>
      <c r="AU618" s="15" t="n">
        <v>26745.7713</v>
      </c>
      <c r="AV618" s="15" t="n">
        <v>3239.4026</v>
      </c>
      <c r="AW618" s="15" t="n">
        <v>433024</v>
      </c>
      <c r="AX618" s="16" t="n">
        <v>436.731779299676</v>
      </c>
      <c r="AY618" s="13">
        <f>IF(OR(AX618="",AX618=0,AU618=""),"",AU618*365/(AX618*1000000))</f>
        <v/>
      </c>
      <c r="AZ618" s="15" t="n">
        <v>412631792.7538</v>
      </c>
      <c r="BA618" s="17" t="n">
        <v>60487233</v>
      </c>
      <c r="BB618" s="18" t="n">
        <v>46268537.25473923</v>
      </c>
      <c r="BC618" s="17" t="n">
        <v>2971663</v>
      </c>
      <c r="BD618" s="17">
        <f>1000000000-999054213.625+281824.3639</f>
        <v/>
      </c>
      <c r="BE618" s="19">
        <f>1000000000-AZ618-BA618-BB618-BC618-BD618</f>
        <v/>
      </c>
      <c r="BF618" s="20" t="n">
        <v>232.644283</v>
      </c>
      <c r="BG618" s="20">
        <f>BE618/1000000-BF618</f>
        <v/>
      </c>
      <c r="BH618" s="21">
        <f>BE618*57.04</f>
        <v/>
      </c>
    </row>
    <row r="619">
      <c r="A619" s="10" t="n">
        <v>46241</v>
      </c>
      <c r="B619" s="11" t="n">
        <v>3054649075</v>
      </c>
      <c r="C619" s="11" t="n">
        <v>4349848221.98</v>
      </c>
      <c r="D619" s="11" t="n">
        <v>88259912</v>
      </c>
      <c r="E619" s="11" t="n">
        <v>427668.29075</v>
      </c>
      <c r="F619" s="24" t="n">
        <v>835401249.5592517</v>
      </c>
      <c r="G619" s="24" t="n">
        <v>1088730.599988854</v>
      </c>
      <c r="H619" s="24" t="n">
        <v>7745815.384293001</v>
      </c>
      <c r="I619" s="24" t="n">
        <v>820443251.6877742</v>
      </c>
      <c r="J619" s="24" t="n">
        <v>31292200.18470474</v>
      </c>
      <c r="K619" s="24" t="n">
        <v>2653876974.563987</v>
      </c>
      <c r="L619" s="21">
        <f>SUM(F619:K619)</f>
        <v/>
      </c>
      <c r="M619" s="28" t="n">
        <v>1.001132444028605</v>
      </c>
      <c r="N619" s="11" t="n">
        <v>1101846.15</v>
      </c>
      <c r="O619" s="11" t="n">
        <v>483706.25</v>
      </c>
      <c r="P619" s="11" t="n">
        <v>50092.72</v>
      </c>
      <c r="Q619" s="11" t="n">
        <v>9.21373393</v>
      </c>
      <c r="R619" s="21">
        <f>N619+O619+P619+N(Q619)</f>
        <v/>
      </c>
      <c r="S619" s="13" t="n">
        <v>0.01</v>
      </c>
      <c r="T619" s="21">
        <f>N(AC619)*S619</f>
        <v/>
      </c>
      <c r="U619" s="21">
        <f>N(AD619)*S619</f>
        <v/>
      </c>
      <c r="V619" s="21">
        <f>N(AE619)*S619</f>
        <v/>
      </c>
      <c r="W619" s="21">
        <f>IF(Q619="","",N(AF619)*S619)</f>
        <v/>
      </c>
      <c r="X619" s="11" t="n">
        <v>11019.18</v>
      </c>
      <c r="Y619" s="11" t="n">
        <v>241713.71</v>
      </c>
      <c r="Z619" s="11" t="n">
        <v>0</v>
      </c>
      <c r="AA619" s="21">
        <f>T619+U619+V619+N(W619)+X619+Y619+N(Z619)</f>
        <v/>
      </c>
      <c r="AB619" s="11" t="n">
        <v>162386.6988</v>
      </c>
      <c r="AC619" s="11" t="n">
        <v>1101846.15</v>
      </c>
      <c r="AD619" s="21">
        <f>O619-Y619</f>
        <v/>
      </c>
      <c r="AE619" s="21">
        <f>P619-X619</f>
        <v/>
      </c>
      <c r="AF619" s="21">
        <f>IF(Q619="","",Q619-Z619)</f>
        <v/>
      </c>
      <c r="AG619" s="22">
        <f>AC619+AD619+AE619+N(AF619)</f>
        <v/>
      </c>
      <c r="AH619" s="11" t="n">
        <v>1158314.41</v>
      </c>
      <c r="AI619" s="24">
        <f>AG619-AH619</f>
        <v/>
      </c>
      <c r="AJ619" s="14">
        <f>IF(OR(B619="",B619=0,N619=""),"",N619/B619*10000)</f>
        <v/>
      </c>
      <c r="AK619" s="14">
        <f>IF(OR(C619="",C619=0),"",O619/C619*10000)</f>
        <v/>
      </c>
      <c r="AL619" s="14">
        <f>IF(OR(D619="",D619=0),"",P619/D619*10000)</f>
        <v/>
      </c>
      <c r="AM619" s="14">
        <f>IF(OR(E619="",E619=0),"",Q619/E619*10000)</f>
        <v/>
      </c>
      <c r="AN619" s="11" t="n">
        <v>9031.810693408486</v>
      </c>
      <c r="AO619" s="11" t="n">
        <v>0</v>
      </c>
      <c r="AP619" s="21">
        <f>AH619+AN619+AO619</f>
        <v/>
      </c>
      <c r="AQ619" s="21">
        <f>AH619</f>
        <v/>
      </c>
      <c r="AR619" s="15" t="n">
        <v>20771.16</v>
      </c>
      <c r="AS619" s="27" t="n">
        <v>55.765514</v>
      </c>
      <c r="AT619" s="15" t="n">
        <v>46289039.15473923</v>
      </c>
      <c r="AU619" s="15" t="n">
        <v>26693.1426</v>
      </c>
      <c r="AV619" s="15" t="n">
        <v>4433.8722</v>
      </c>
      <c r="AW619" s="15" t="n"/>
      <c r="AX619" s="16" t="n">
        <v>436.8583110506827</v>
      </c>
      <c r="AY619" s="13">
        <f>IF(OR(AX619="",AX619=0,AU619=""),"",AU619*365/(AX619*1000000))</f>
        <v/>
      </c>
      <c r="AZ619" s="15" t="n">
        <v>412605099.6112</v>
      </c>
      <c r="BA619" s="17" t="n">
        <v>60487233</v>
      </c>
      <c r="BB619" s="18" t="n">
        <v>46289039.15473923</v>
      </c>
      <c r="BC619" s="17" t="n">
        <v>2971663</v>
      </c>
      <c r="BD619" s="17">
        <f>1000000000-999049779.7528+281986.4538</f>
        <v/>
      </c>
      <c r="BE619" s="19">
        <f>1000000000-AZ619-BA619-BB619-BC619-BD619</f>
        <v/>
      </c>
      <c r="BF619" s="20" t="n">
        <v>232.644283</v>
      </c>
      <c r="BG619" s="20">
        <f>BE619/1000000-BF619</f>
        <v/>
      </c>
      <c r="BH619" s="21">
        <f>BE619*55.74</f>
        <v/>
      </c>
    </row>
    <row r="620">
      <c r="A620" s="10" t="n">
        <v>46242</v>
      </c>
      <c r="B620" s="11" t="n">
        <v>1036862253</v>
      </c>
      <c r="C620" s="11" t="n">
        <v>492765489.43</v>
      </c>
      <c r="D620" s="11" t="n">
        <v>31322322</v>
      </c>
      <c r="E620" s="11" t="n">
        <v>399274.47697</v>
      </c>
      <c r="F620" s="24" t="n">
        <v>88751992.0395077</v>
      </c>
      <c r="G620" s="24" t="n">
        <v>1687406.442605679</v>
      </c>
      <c r="H620" s="24" t="n">
        <v>885186.3198788356</v>
      </c>
      <c r="I620" s="24" t="n">
        <v>119016806.6337633</v>
      </c>
      <c r="J620" s="24" t="n">
        <v>5444135.249317886</v>
      </c>
      <c r="K620" s="24" t="n">
        <v>276979962.7449266</v>
      </c>
      <c r="L620" s="21">
        <f>SUM(F620:K620)</f>
        <v/>
      </c>
      <c r="M620" s="28" t="n">
        <v>1.00551296166598</v>
      </c>
      <c r="N620" s="11" t="n">
        <v>526893.61</v>
      </c>
      <c r="O620" s="11" t="n">
        <v>90738.95</v>
      </c>
      <c r="P620" s="11" t="n">
        <v>18605.49</v>
      </c>
      <c r="Q620" s="11" t="n">
        <v>2.974113159999999</v>
      </c>
      <c r="R620" s="21">
        <f>N620+O620+P620+N(Q620)</f>
        <v/>
      </c>
      <c r="S620" s="13" t="n">
        <v>0.01</v>
      </c>
      <c r="T620" s="21">
        <f>N(AC620)*S620</f>
        <v/>
      </c>
      <c r="U620" s="21">
        <f>N(AD620)*S620</f>
        <v/>
      </c>
      <c r="V620" s="21">
        <f>N(AE620)*S620</f>
        <v/>
      </c>
      <c r="W620" s="21">
        <f>IF(Q620="","",N(AF620)*S620)</f>
        <v/>
      </c>
      <c r="X620" s="11" t="n">
        <v>3763.26</v>
      </c>
      <c r="Y620" s="11" t="n">
        <v>45248.35</v>
      </c>
      <c r="Z620" s="11" t="n">
        <v>0</v>
      </c>
      <c r="AA620" s="21">
        <f>T620+U620+V620+N(W620)+X620+Y620+N(Z620)</f>
        <v/>
      </c>
      <c r="AB620" s="11" t="n">
        <v>68106.20179999998</v>
      </c>
      <c r="AC620" s="11" t="n">
        <v>526893.61</v>
      </c>
      <c r="AD620" s="21">
        <f>O620-Y620</f>
        <v/>
      </c>
      <c r="AE620" s="21">
        <f>P620-X620</f>
        <v/>
      </c>
      <c r="AF620" s="21">
        <f>IF(Q620="","",Q620-Z620)</f>
        <v/>
      </c>
      <c r="AG620" s="22">
        <f>AC620+AD620+AE620+N(AF620)</f>
        <v/>
      </c>
      <c r="AH620" s="11" t="n">
        <v>376973.63</v>
      </c>
      <c r="AI620" s="24">
        <f>AG620-AH620</f>
        <v/>
      </c>
      <c r="AJ620" s="14">
        <f>IF(OR(B620="",B620=0,N620=""),"",N620/B620*10000)</f>
        <v/>
      </c>
      <c r="AK620" s="14">
        <f>IF(OR(C620="",C620=0),"",O620/C620*10000)</f>
        <v/>
      </c>
      <c r="AL620" s="14">
        <f>IF(OR(D620="",D620=0),"",P620/D620*10000)</f>
        <v/>
      </c>
      <c r="AM620" s="14">
        <f>IF(OR(E620="",E620=0),"",Q620/E620*10000)</f>
        <v/>
      </c>
      <c r="AN620" s="11" t="n">
        <v>2114.696097578957</v>
      </c>
      <c r="AO620" s="11" t="n">
        <v>27039.62</v>
      </c>
      <c r="AP620" s="21">
        <f>AH620+AN620+AO620</f>
        <v/>
      </c>
      <c r="AQ620" s="21">
        <f>AH620</f>
        <v/>
      </c>
      <c r="AR620" s="15" t="n">
        <v>6897.34</v>
      </c>
      <c r="AS620" s="27" t="n">
        <v>54.654929</v>
      </c>
      <c r="AT620" s="15" t="n">
        <v>46295844.51473923</v>
      </c>
      <c r="AU620" s="15" t="n">
        <v>26673.5741</v>
      </c>
      <c r="AV620" s="15" t="n">
        <v>2558.6773</v>
      </c>
      <c r="AW620" s="15" t="n"/>
      <c r="AX620" s="16" t="n">
        <v>436.5339377400356</v>
      </c>
      <c r="AY620" s="13">
        <f>IF(OR(AX620="",AX620=0,AU620=""),"",AU620*365/(AX620*1000000))</f>
        <v/>
      </c>
      <c r="AZ620" s="15" t="n">
        <v>412578426.0371</v>
      </c>
      <c r="BA620" s="17" t="n">
        <v>60487233</v>
      </c>
      <c r="BB620" s="18" t="n">
        <v>46295844.51473923</v>
      </c>
      <c r="BC620" s="17" t="n">
        <v>2971663</v>
      </c>
      <c r="BD620" s="17">
        <f>1000000000-999047221.0754+282025.5562</f>
        <v/>
      </c>
      <c r="BE620" s="19">
        <f>1000000000-AZ620-BA620-BB620-BC620-BD620</f>
        <v/>
      </c>
      <c r="BF620" s="20" t="n">
        <v>232.644283</v>
      </c>
      <c r="BG620" s="20">
        <f>BE620/1000000-BF620</f>
        <v/>
      </c>
      <c r="BH620" s="21">
        <f>BE620*54.11</f>
        <v/>
      </c>
    </row>
    <row r="621">
      <c r="A621" s="10" t="n">
        <v>46243</v>
      </c>
      <c r="B621" s="11" t="n">
        <v>1421013424</v>
      </c>
      <c r="C621" s="11" t="n">
        <v>666680923.78</v>
      </c>
      <c r="D621" s="11" t="n">
        <v>44600862</v>
      </c>
      <c r="E621" s="11" t="n">
        <v>429053.7479599998</v>
      </c>
      <c r="F621" s="24" t="n">
        <v>182313333.3297947</v>
      </c>
      <c r="G621" s="24" t="n">
        <v>675713.3721016544</v>
      </c>
      <c r="H621" s="24" t="n">
        <v>1858366.701585495</v>
      </c>
      <c r="I621" s="24" t="n">
        <v>216257879.9388403</v>
      </c>
      <c r="J621" s="24" t="n">
        <v>5876318.827492513</v>
      </c>
      <c r="K621" s="24" t="n">
        <v>259699311.6101853</v>
      </c>
      <c r="L621" s="21">
        <f>SUM(F621:K621)</f>
        <v/>
      </c>
      <c r="M621" s="28" t="n">
        <v>1.014026343685044</v>
      </c>
      <c r="N621" s="11" t="n">
        <v>698524.51</v>
      </c>
      <c r="O621" s="11" t="n">
        <v>105138.11</v>
      </c>
      <c r="P621" s="11" t="n">
        <v>26560.93</v>
      </c>
      <c r="Q621" s="11" t="n">
        <v>6.31232158</v>
      </c>
      <c r="R621" s="21">
        <f>N621+O621+P621+N(Q621)</f>
        <v/>
      </c>
      <c r="S621" s="13" t="n">
        <v>0.01</v>
      </c>
      <c r="T621" s="21">
        <f>N(AC621)*S621</f>
        <v/>
      </c>
      <c r="U621" s="21">
        <f>N(AD621)*S621</f>
        <v/>
      </c>
      <c r="V621" s="21">
        <f>N(AE621)*S621</f>
        <v/>
      </c>
      <c r="W621" s="21">
        <f>IF(Q621="","",N(AF621)*S621)</f>
        <v/>
      </c>
      <c r="X621" s="11" t="n">
        <v>6707.03</v>
      </c>
      <c r="Y621" s="11" t="n">
        <v>52506.96</v>
      </c>
      <c r="Z621" s="11" t="n">
        <v>0</v>
      </c>
      <c r="AA621" s="21">
        <f>T621+U621+V621+N(W621)+X621+Y621+N(Z621)</f>
        <v/>
      </c>
      <c r="AB621" s="11" t="n">
        <v>76406.30999999998</v>
      </c>
      <c r="AC621" s="11" t="n">
        <v>698524.51</v>
      </c>
      <c r="AD621" s="21">
        <f>O621-Y621</f>
        <v/>
      </c>
      <c r="AE621" s="21">
        <f>P621-X621</f>
        <v/>
      </c>
      <c r="AF621" s="21">
        <f>IF(Q621="","",Q621-Z621)</f>
        <v/>
      </c>
      <c r="AG621" s="22">
        <f>AC621+AD621+AE621+N(AF621)</f>
        <v/>
      </c>
      <c r="AH621" s="11" t="n">
        <v>528359.37</v>
      </c>
      <c r="AI621" s="24">
        <f>AG621-AH621</f>
        <v/>
      </c>
      <c r="AJ621" s="14">
        <f>IF(OR(B621="",B621=0,N621=""),"",N621/B621*10000)</f>
        <v/>
      </c>
      <c r="AK621" s="14">
        <f>IF(OR(C621="",C621=0),"",O621/C621*10000)</f>
        <v/>
      </c>
      <c r="AL621" s="14">
        <f>IF(OR(D621="",D621=0),"",P621/D621*10000)</f>
        <v/>
      </c>
      <c r="AM621" s="14">
        <f>IF(OR(E621="",E621=0),"",Q621/E621*10000)</f>
        <v/>
      </c>
      <c r="AN621" s="11" t="n">
        <v>3202.562200683221</v>
      </c>
      <c r="AO621" s="11" t="n">
        <v>0</v>
      </c>
      <c r="AP621" s="21">
        <f>AH621+AN621+AO621</f>
        <v/>
      </c>
      <c r="AQ621" s="21">
        <f>AH621</f>
        <v/>
      </c>
      <c r="AR621" s="15" t="n">
        <v>9681.389999999999</v>
      </c>
      <c r="AS621" s="27" t="n">
        <v>54.574743</v>
      </c>
      <c r="AT621" s="15" t="n">
        <v>46306397.61473923</v>
      </c>
      <c r="AU621" s="15" t="n">
        <v>26661.0197</v>
      </c>
      <c r="AV621" s="15" t="n">
        <v>1171.6269</v>
      </c>
      <c r="AW621" s="15" t="n"/>
      <c r="AX621" s="16" t="n">
        <v>436.5763923645583</v>
      </c>
      <c r="AY621" s="13">
        <f>IF(OR(AX621="",AX621=0,AU621=""),"",AU621*365/(AX621*1000000))</f>
        <v/>
      </c>
      <c r="AZ621" s="15" t="n">
        <v>412551765.0174</v>
      </c>
      <c r="BA621" s="17" t="n">
        <v>60487233</v>
      </c>
      <c r="BB621" s="18" t="n">
        <v>46306397.61473923</v>
      </c>
      <c r="BC621" s="17" t="n">
        <v>2971663</v>
      </c>
      <c r="BD621" s="17">
        <f>1000000000-999046049.4485+282083.6937</f>
        <v/>
      </c>
      <c r="BE621" s="19">
        <f>1000000000-AZ621-BA621-BB621-BC621-BD621</f>
        <v/>
      </c>
      <c r="BF621" s="20" t="n">
        <v>232.644283</v>
      </c>
      <c r="BG621" s="20">
        <f>BE621/1000000-BF621</f>
        <v/>
      </c>
      <c r="BH621" s="21">
        <f>BE621*55.12</f>
        <v/>
      </c>
    </row>
    <row r="622">
      <c r="A622" s="10" t="n">
        <v>46244</v>
      </c>
      <c r="B622" s="11" t="n">
        <v>3102743771</v>
      </c>
      <c r="C622" s="11" t="n">
        <v>3352041531.68</v>
      </c>
      <c r="D622" s="11" t="n">
        <v>71507029</v>
      </c>
      <c r="E622" s="11" t="n">
        <v>599414.99622</v>
      </c>
      <c r="F622" s="24" t="n">
        <v>651677619.6541314</v>
      </c>
      <c r="G622" s="24" t="n">
        <v>616049.0083516838</v>
      </c>
      <c r="H622" s="24" t="n">
        <v>5312528.924916789</v>
      </c>
      <c r="I622" s="24" t="n">
        <v>662190792.9444919</v>
      </c>
      <c r="J622" s="24" t="n">
        <v>18569038.61611263</v>
      </c>
      <c r="K622" s="24" t="n">
        <v>2013675502.531996</v>
      </c>
      <c r="L622" s="21">
        <f>SUM(F622:K622)</f>
        <v/>
      </c>
      <c r="M622" s="28" t="n">
        <v>1.003102684089342</v>
      </c>
      <c r="N622" s="11" t="n">
        <v>1127397.63</v>
      </c>
      <c r="O622" s="11" t="n">
        <v>326131.76</v>
      </c>
      <c r="P622" s="11" t="n">
        <v>41384.84</v>
      </c>
      <c r="Q622" s="11" t="n">
        <v>11.28228775</v>
      </c>
      <c r="R622" s="21">
        <f>N622+O622+P622+N(Q622)</f>
        <v/>
      </c>
      <c r="S622" s="13" t="n">
        <v>0.01</v>
      </c>
      <c r="T622" s="21">
        <f>N(AC622)*S622</f>
        <v/>
      </c>
      <c r="U622" s="21">
        <f>N(AD622)*S622</f>
        <v/>
      </c>
      <c r="V622" s="21">
        <f>N(AE622)*S622</f>
        <v/>
      </c>
      <c r="W622" s="21">
        <f>IF(Q622="","",N(AF622)*S622)</f>
        <v/>
      </c>
      <c r="X622" s="11" t="n">
        <v>11371.89</v>
      </c>
      <c r="Y622" s="11" t="n">
        <v>162997.08</v>
      </c>
      <c r="Z622" s="11" t="n">
        <v>0</v>
      </c>
      <c r="AA622" s="21">
        <f>T622+U622+V622+N(W622)+X622+Y622+N(Z622)</f>
        <v/>
      </c>
      <c r="AB622" s="11" t="n">
        <v>132420.2214</v>
      </c>
      <c r="AC622" s="11" t="n">
        <v>1127397.63</v>
      </c>
      <c r="AD622" s="21">
        <f>O622-Y622</f>
        <v/>
      </c>
      <c r="AE622" s="21">
        <f>P622-X622</f>
        <v/>
      </c>
      <c r="AF622" s="21">
        <f>IF(Q622="","",Q622-Z622)</f>
        <v/>
      </c>
      <c r="AG622" s="22">
        <f>AC622+AD622+AE622+N(AF622)</f>
        <v/>
      </c>
      <c r="AH622" s="11" t="n">
        <v>1105475.01</v>
      </c>
      <c r="AI622" s="24">
        <f>AG622-AH622</f>
        <v/>
      </c>
      <c r="AJ622" s="14">
        <f>IF(OR(B622="",B622=0,N622=""),"",N622/B622*10000)</f>
        <v/>
      </c>
      <c r="AK622" s="14">
        <f>IF(OR(C622="",C622=0),"",O622/C622*10000)</f>
        <v/>
      </c>
      <c r="AL622" s="14">
        <f>IF(OR(D622="",D622=0),"",P622/D622*10000)</f>
        <v/>
      </c>
      <c r="AM622" s="14">
        <f>IF(OR(E622="",E622=0),"",Q622/E622*10000)</f>
        <v/>
      </c>
      <c r="AN622" s="11" t="n">
        <v>7010.672764561914</v>
      </c>
      <c r="AO622" s="11" t="n">
        <v>26927.05</v>
      </c>
      <c r="AP622" s="21">
        <f>AH622+AN622+AO622</f>
        <v/>
      </c>
      <c r="AQ622" s="21">
        <f>AH622</f>
        <v/>
      </c>
      <c r="AR622" s="15" t="n">
        <v>20254.15</v>
      </c>
      <c r="AS622" s="27" t="n">
        <v>54.580173</v>
      </c>
      <c r="AT622" s="15" t="n">
        <v>46326169.97473923</v>
      </c>
      <c r="AU622" s="15" t="n">
        <v>26663.4814</v>
      </c>
      <c r="AV622" s="15" t="n">
        <v>1463.8551</v>
      </c>
      <c r="AW622" s="15" t="n"/>
      <c r="AX622" s="16" t="n">
        <v>436.7394935535133</v>
      </c>
      <c r="AY622" s="13">
        <f>IF(OR(AX622="",AX622=0,AU622=""),"",AU622*365/(AX622*1000000))</f>
        <v/>
      </c>
      <c r="AZ622" s="15" t="n">
        <v>412525101.536</v>
      </c>
      <c r="BA622" s="17" t="n">
        <v>60487233</v>
      </c>
      <c r="BB622" s="18" t="n">
        <v>46326169.97473923</v>
      </c>
      <c r="BC622" s="17" t="n">
        <v>2971663</v>
      </c>
      <c r="BD622" s="17">
        <f>1000000000-999044585.5935+282213.7328</f>
        <v/>
      </c>
      <c r="BE622" s="19">
        <f>1000000000-AZ622-BA622-BB622-BC622-BD622</f>
        <v/>
      </c>
      <c r="BF622" s="20" t="n">
        <v>232.644283</v>
      </c>
      <c r="BG622" s="20">
        <f>BE622/1000000-BF622</f>
        <v/>
      </c>
      <c r="BH622" s="21">
        <f>BE622*53.94</f>
        <v/>
      </c>
    </row>
    <row r="623">
      <c r="A623" s="10" t="n">
        <v>46245</v>
      </c>
      <c r="B623" s="11" t="n">
        <v>2495473821</v>
      </c>
      <c r="C623" s="11" t="n">
        <v>2852247265.64</v>
      </c>
      <c r="D623" s="11" t="n">
        <v>73000655</v>
      </c>
      <c r="E623" s="11" t="n">
        <v>438511.4493399999</v>
      </c>
      <c r="F623" s="24" t="n">
        <v>705373448.3485608</v>
      </c>
      <c r="G623" s="24" t="n">
        <v>1121763.972043115</v>
      </c>
      <c r="H623" s="24" t="n">
        <v>2209035.629413966</v>
      </c>
      <c r="I623" s="24" t="n">
        <v>546521014.3998511</v>
      </c>
      <c r="J623" s="24" t="n">
        <v>18934023.98567964</v>
      </c>
      <c r="K623" s="24" t="n">
        <v>1578087979.304451</v>
      </c>
      <c r="L623" s="21">
        <f>SUM(F623:K623)</f>
        <v/>
      </c>
      <c r="M623" s="28" t="n">
        <v>1.00025365746232</v>
      </c>
      <c r="N623" s="11" t="n">
        <v>926673.22</v>
      </c>
      <c r="O623" s="11" t="n">
        <v>314801.94</v>
      </c>
      <c r="P623" s="11" t="n">
        <v>44609.55</v>
      </c>
      <c r="Q623" s="11" t="n">
        <v>2.87733619</v>
      </c>
      <c r="R623" s="21">
        <f>N623+O623+P623+N(Q623)</f>
        <v/>
      </c>
      <c r="S623" s="13" t="n">
        <v>0.01</v>
      </c>
      <c r="T623" s="21">
        <f>N(AC623)*S623</f>
        <v/>
      </c>
      <c r="U623" s="21">
        <f>N(AD623)*S623</f>
        <v/>
      </c>
      <c r="V623" s="21">
        <f>N(AE623)*S623</f>
        <v/>
      </c>
      <c r="W623" s="21">
        <f>IF(Q623="","",N(AF623)*S623)</f>
        <v/>
      </c>
      <c r="X623" s="11" t="n">
        <v>12538.43</v>
      </c>
      <c r="Y623" s="11" t="n">
        <v>157254.68</v>
      </c>
      <c r="Z623" s="11" t="n">
        <v>0</v>
      </c>
      <c r="AA623" s="21">
        <f>T623+U623+V623+N(W623)+X623+Y623+N(Z623)</f>
        <v/>
      </c>
      <c r="AB623" s="11" t="n">
        <v>134686.7377</v>
      </c>
      <c r="AC623" s="11" t="n">
        <v>926673.22</v>
      </c>
      <c r="AD623" s="21">
        <f>O623-Y623</f>
        <v/>
      </c>
      <c r="AE623" s="21">
        <f>P623-X623</f>
        <v/>
      </c>
      <c r="AF623" s="21">
        <f>IF(Q623="","",Q623-Z623)</f>
        <v/>
      </c>
      <c r="AG623" s="22">
        <f>AC623+AD623+AE623+N(AF623)</f>
        <v/>
      </c>
      <c r="AH623" s="11" t="n">
        <v>899682.1</v>
      </c>
      <c r="AI623" s="24">
        <f>AG623-AH623</f>
        <v/>
      </c>
      <c r="AJ623" s="14">
        <f>IF(OR(B623="",B623=0,N623=""),"",N623/B623*10000)</f>
        <v/>
      </c>
      <c r="AK623" s="14">
        <f>IF(OR(C623="",C623=0),"",O623/C623*10000)</f>
        <v/>
      </c>
      <c r="AL623" s="14">
        <f>IF(OR(D623="",D623=0),"",P623/D623*10000)</f>
        <v/>
      </c>
      <c r="AM623" s="14">
        <f>IF(OR(E623="",E623=0),"",Q623/E623*10000)</f>
        <v/>
      </c>
      <c r="AN623" s="11" t="n">
        <v>5602.290326933964</v>
      </c>
      <c r="AO623" s="11" t="n">
        <v>0</v>
      </c>
      <c r="AP623" s="21">
        <f>AH623+AN623+AO623</f>
        <v/>
      </c>
      <c r="AQ623" s="21">
        <f>AH623</f>
        <v/>
      </c>
      <c r="AR623" s="15" t="n">
        <v>16464.11</v>
      </c>
      <c r="AS623" s="27" t="n">
        <v>54.645049</v>
      </c>
      <c r="AT623" s="15" t="n">
        <v>46342893.70473923</v>
      </c>
      <c r="AU623" s="15" t="n">
        <v>26665.6513</v>
      </c>
      <c r="AV623" s="15" t="n">
        <v>2805.3251</v>
      </c>
      <c r="AW623" s="15" t="n"/>
      <c r="AX623" s="16" t="n">
        <v>436.7867585960813</v>
      </c>
      <c r="AY623" s="13">
        <f>IF(OR(AX623="",AX623=0,AU623=""),"",AU623*365/(AX623*1000000))</f>
        <v/>
      </c>
      <c r="AZ623" s="15" t="n">
        <v>412498435.8847</v>
      </c>
      <c r="BA623" s="17" t="n">
        <v>60487233</v>
      </c>
      <c r="BB623" s="18" t="n">
        <v>46342893.70473923</v>
      </c>
      <c r="BC623" s="17" t="n">
        <v>2971663</v>
      </c>
      <c r="BD623" s="17">
        <f>1000000000-999041780.2683+282315.6705</f>
        <v/>
      </c>
      <c r="BE623" s="19">
        <f>1000000000-AZ623-BA623-BB623-BC623-BD623</f>
        <v/>
      </c>
      <c r="BF623" s="20" t="n">
        <v>232.644283</v>
      </c>
      <c r="BG623" s="20">
        <f>BE623/1000000-BF623</f>
        <v/>
      </c>
      <c r="BH623" s="21">
        <f>BE623*54.96</f>
        <v/>
      </c>
    </row>
    <row r="624">
      <c r="A624" s="10" t="n">
        <v>46246</v>
      </c>
      <c r="B624" s="11" t="n">
        <v>3008298890</v>
      </c>
      <c r="C624" s="11" t="n">
        <v>3651438232.75</v>
      </c>
      <c r="D624" s="11" t="n">
        <v>74193896</v>
      </c>
      <c r="E624" s="11" t="n">
        <v>405927.09394</v>
      </c>
      <c r="F624" s="24" t="n">
        <v>605889809.9912454</v>
      </c>
      <c r="G624" s="24" t="n">
        <v>725810.1957827585</v>
      </c>
      <c r="H624" s="24" t="n">
        <v>5295591.144878046</v>
      </c>
      <c r="I624" s="24" t="n">
        <v>611673025.7676723</v>
      </c>
      <c r="J624" s="24" t="n">
        <v>40645184.39716031</v>
      </c>
      <c r="K624" s="24" t="n">
        <v>2387208811.253262</v>
      </c>
      <c r="L624" s="21">
        <f>SUM(F624:K624)</f>
        <v/>
      </c>
      <c r="M624" s="28" t="n">
        <v>0.9998163041127736</v>
      </c>
      <c r="N624" s="11" t="n">
        <v>1101499.91</v>
      </c>
      <c r="O624" s="11" t="n">
        <v>395668.88</v>
      </c>
      <c r="P624" s="11" t="n">
        <v>42290.61</v>
      </c>
      <c r="Q624" s="11" t="n">
        <v>10.1096706</v>
      </c>
      <c r="R624" s="21">
        <f>N624+O624+P624+N(Q624)</f>
        <v/>
      </c>
      <c r="S624" s="13" t="n">
        <v>0.01</v>
      </c>
      <c r="T624" s="21">
        <f>N(AC624)*S624</f>
        <v/>
      </c>
      <c r="U624" s="21">
        <f>N(AD624)*S624</f>
        <v/>
      </c>
      <c r="V624" s="21">
        <f>N(AE624)*S624</f>
        <v/>
      </c>
      <c r="W624" s="21">
        <f>IF(Q624="","",N(AF624)*S624)</f>
        <v/>
      </c>
      <c r="X624" s="11" t="n">
        <v>9945.719999999999</v>
      </c>
      <c r="Y624" s="11" t="n">
        <v>197731.43</v>
      </c>
      <c r="Z624" s="11" t="n">
        <v>0</v>
      </c>
      <c r="AA624" s="21">
        <f>T624+U624+V624+N(W624)+X624+Y624+N(Z624)</f>
        <v/>
      </c>
      <c r="AB624" s="11" t="n">
        <v>150988.8988</v>
      </c>
      <c r="AC624" s="11" t="n">
        <v>1101499.91</v>
      </c>
      <c r="AD624" s="21">
        <f>O624-Y624</f>
        <v/>
      </c>
      <c r="AE624" s="21">
        <f>P624-X624</f>
        <v/>
      </c>
      <c r="AF624" s="21">
        <f>IF(Q624="","",Q624-Z624)</f>
        <v/>
      </c>
      <c r="AG624" s="22">
        <f>AC624+AD624+AE624+N(AF624)</f>
        <v/>
      </c>
      <c r="AH624" s="11" t="n">
        <v>1103857.14</v>
      </c>
      <c r="AI624" s="24">
        <f>AG624-AH624</f>
        <v/>
      </c>
      <c r="AJ624" s="14">
        <f>IF(OR(B624="",B624=0,N624=""),"",N624/B624*10000)</f>
        <v/>
      </c>
      <c r="AK624" s="14">
        <f>IF(OR(C624="",C624=0),"",O624/C624*10000)</f>
        <v/>
      </c>
      <c r="AL624" s="14">
        <f>IF(OR(D624="",D624=0),"",P624/D624*10000)</f>
        <v/>
      </c>
      <c r="AM624" s="14">
        <f>IF(OR(E624="",E624=0),"",Q624/E624*10000)</f>
        <v/>
      </c>
      <c r="AN624" s="11" t="n">
        <v>7368.049573428426</v>
      </c>
      <c r="AO624" s="11" t="n">
        <v>0</v>
      </c>
      <c r="AP624" s="21">
        <f>AH624+AN624+AO624</f>
        <v/>
      </c>
      <c r="AQ624" s="21">
        <f>AH624</f>
        <v/>
      </c>
      <c r="AR624" s="15" t="n">
        <v>19864.4</v>
      </c>
      <c r="AS624" s="27" t="n">
        <v>55.569619</v>
      </c>
      <c r="AT624" s="15" t="n">
        <v>46362108.10473923</v>
      </c>
      <c r="AU624" s="15" t="n">
        <v>26668.2378</v>
      </c>
      <c r="AV624" s="15" t="n">
        <v>1939.0798</v>
      </c>
      <c r="AW624" s="15" t="n"/>
      <c r="AX624" s="16" t="n">
        <v>436.8585104141699</v>
      </c>
      <c r="AY624" s="13">
        <f>IF(OR(AX624="",AX624=0,AU624=""),"",AU624*365/(AX624*1000000))</f>
        <v/>
      </c>
      <c r="AZ624" s="15" t="n">
        <v>412471767.6469</v>
      </c>
      <c r="BA624" s="17" t="n">
        <v>60487233</v>
      </c>
      <c r="BB624" s="18" t="n">
        <v>46362108.10473923</v>
      </c>
      <c r="BC624" s="17" t="n">
        <v>2971663</v>
      </c>
      <c r="BD624" s="17">
        <f>1000000000-999039841.1885+282450.9336</f>
        <v/>
      </c>
      <c r="BE624" s="19">
        <f>1000000000-AZ624-BA624-BB624-BC624-BD624</f>
        <v/>
      </c>
      <c r="BF624" s="20" t="n">
        <v>232.644283</v>
      </c>
      <c r="BG624" s="20">
        <f>BE624/1000000-BF624</f>
        <v/>
      </c>
      <c r="BH624" s="21">
        <f>BE624*54.45</f>
        <v/>
      </c>
    </row>
    <row r="625">
      <c r="A625" s="10" t="n">
        <v>46247</v>
      </c>
      <c r="B625" s="11" t="n">
        <v>3132507217</v>
      </c>
      <c r="C625" s="11" t="n">
        <v>4183540739.62</v>
      </c>
      <c r="D625" s="11" t="n">
        <v>72950611</v>
      </c>
      <c r="E625" s="11" t="n">
        <v>492422.00388</v>
      </c>
      <c r="F625" s="24" t="n">
        <v>601534140.5367182</v>
      </c>
      <c r="G625" s="24" t="n">
        <v>725361.6658578982</v>
      </c>
      <c r="H625" s="24" t="n">
        <v>2300112.514757668</v>
      </c>
      <c r="I625" s="24" t="n">
        <v>874541797.834729</v>
      </c>
      <c r="J625" s="24" t="n">
        <v>37172286.06046834</v>
      </c>
      <c r="K625" s="24" t="n">
        <v>2667267041.007468</v>
      </c>
      <c r="L625" s="21">
        <f>SUM(F625:K625)</f>
        <v/>
      </c>
      <c r="M625" s="28" t="n">
        <v>0.9993063418081272</v>
      </c>
      <c r="N625" s="11" t="n">
        <v>1113839.08</v>
      </c>
      <c r="O625" s="11" t="n">
        <v>467315.41</v>
      </c>
      <c r="P625" s="11" t="n">
        <v>43221.21</v>
      </c>
      <c r="Q625" s="11" t="n">
        <v>13.11918721</v>
      </c>
      <c r="R625" s="21">
        <f>N625+O625+P625+N(Q625)</f>
        <v/>
      </c>
      <c r="S625" s="13" t="n">
        <v>0.01</v>
      </c>
      <c r="T625" s="21">
        <f>N(AC625)*S625</f>
        <v/>
      </c>
      <c r="U625" s="21">
        <f>N(AD625)*S625</f>
        <v/>
      </c>
      <c r="V625" s="21">
        <f>N(AE625)*S625</f>
        <v/>
      </c>
      <c r="W625" s="21">
        <f>IF(Q625="","",N(AF625)*S625)</f>
        <v/>
      </c>
      <c r="X625" s="11" t="n">
        <v>7719.33</v>
      </c>
      <c r="Y625" s="11" t="n">
        <v>233547.58</v>
      </c>
      <c r="Z625" s="11" t="n">
        <v>0</v>
      </c>
      <c r="AA625" s="21">
        <f>T625+U625+V625+N(W625)+X625+Y625+N(Z625)</f>
        <v/>
      </c>
      <c r="AB625" s="11" t="n">
        <v>158271.6016</v>
      </c>
      <c r="AC625" s="11" t="n">
        <v>1113839.08</v>
      </c>
      <c r="AD625" s="21">
        <f>O625-Y625</f>
        <v/>
      </c>
      <c r="AE625" s="21">
        <f>P625-X625</f>
        <v/>
      </c>
      <c r="AF625" s="21">
        <f>IF(Q625="","",Q625-Z625)</f>
        <v/>
      </c>
      <c r="AG625" s="22">
        <f>AC625+AD625+AE625+N(AF625)</f>
        <v/>
      </c>
      <c r="AH625" s="11" t="n">
        <v>1145040.13</v>
      </c>
      <c r="AI625" s="24">
        <f>AG625-AH625</f>
        <v/>
      </c>
      <c r="AJ625" s="14">
        <f>IF(OR(B625="",B625=0,N625=""),"",N625/B625*10000)</f>
        <v/>
      </c>
      <c r="AK625" s="14">
        <f>IF(OR(C625="",C625=0),"",O625/C625*10000)</f>
        <v/>
      </c>
      <c r="AL625" s="14">
        <f>IF(OR(D625="",D625=0),"",P625/D625*10000)</f>
        <v/>
      </c>
      <c r="AM625" s="14">
        <f>IF(OR(E625="",E625=0),"",Q625/E625*10000)</f>
        <v/>
      </c>
      <c r="AN625" s="11" t="n">
        <v>6483.893301175535</v>
      </c>
      <c r="AO625" s="11" t="n">
        <v>28018.11</v>
      </c>
      <c r="AP625" s="21">
        <f>AH625+AN625+AO625</f>
        <v/>
      </c>
      <c r="AQ625" s="21">
        <f>AH625</f>
        <v/>
      </c>
      <c r="AR625" s="15" t="n">
        <v>19952.41</v>
      </c>
      <c r="AS625" s="27" t="n">
        <v>57.388562</v>
      </c>
      <c r="AT625" s="15" t="n">
        <v>46382410.67473923</v>
      </c>
      <c r="AU625" s="15" t="n">
        <v>26674.8495</v>
      </c>
      <c r="AV625" s="15" t="n">
        <v>1796.9511</v>
      </c>
      <c r="AW625" s="15" t="n"/>
      <c r="AX625" s="16" t="n">
        <v>437.3887250141426</v>
      </c>
      <c r="AY625" s="13">
        <f>IF(OR(AX625="",AX625=0,AU625=""),"",AU625*365/(AX625*1000000))</f>
        <v/>
      </c>
      <c r="AZ625" s="15" t="n">
        <v>412445092.7975</v>
      </c>
      <c r="BA625" s="17" t="n">
        <v>60487233</v>
      </c>
      <c r="BB625" s="18" t="n">
        <v>46382410.67473923</v>
      </c>
      <c r="BC625" s="17" t="n">
        <v>2971663</v>
      </c>
      <c r="BD625" s="17">
        <f>1000000000-999038044.2374+282565.8046</f>
        <v/>
      </c>
      <c r="BE625" s="19">
        <f>1000000000-AZ625-BA625-BB625-BC625-BD625</f>
        <v/>
      </c>
      <c r="BF625" s="20" t="n">
        <v>232.644283</v>
      </c>
      <c r="BG625" s="20">
        <f>BE625/1000000-BF625</f>
        <v/>
      </c>
      <c r="BH625" s="21">
        <f>BE625*56.42</f>
        <v/>
      </c>
    </row>
    <row r="626">
      <c r="A626" s="10" t="n">
        <v>46248</v>
      </c>
      <c r="B626" s="11" t="n">
        <v>2257619731</v>
      </c>
      <c r="C626" s="11" t="n">
        <v>3409427345.18</v>
      </c>
      <c r="D626" s="11" t="n">
        <v>59627124</v>
      </c>
      <c r="E626" s="11" t="n">
        <v>383126.06803</v>
      </c>
      <c r="F626" s="24" t="n">
        <v>421560450.5852437</v>
      </c>
      <c r="G626" s="24" t="n">
        <v>601452.4429792062</v>
      </c>
      <c r="H626" s="24" t="n">
        <v>5541449.750440923</v>
      </c>
      <c r="I626" s="24" t="n">
        <v>699111420.6556472</v>
      </c>
      <c r="J626" s="24" t="n">
        <v>24847345.6667144</v>
      </c>
      <c r="K626" s="24" t="n">
        <v>2257765226.078975</v>
      </c>
      <c r="L626" s="21">
        <f>SUM(F626:K626)</f>
        <v/>
      </c>
      <c r="M626" s="28" t="n">
        <v>1.00003287794332</v>
      </c>
      <c r="N626" s="11" t="n">
        <v>861779.02</v>
      </c>
      <c r="O626" s="11" t="n">
        <v>332372.74</v>
      </c>
      <c r="P626" s="11" t="n">
        <v>37763.01</v>
      </c>
      <c r="Q626" s="11" t="n">
        <v>0.40077846</v>
      </c>
      <c r="R626" s="21">
        <f>N626+O626+P626+N(Q626)</f>
        <v/>
      </c>
      <c r="S626" s="13" t="n">
        <v>0.01</v>
      </c>
      <c r="T626" s="21">
        <f>N(AC626)*S626</f>
        <v/>
      </c>
      <c r="U626" s="21">
        <f>N(AD626)*S626</f>
        <v/>
      </c>
      <c r="V626" s="21">
        <f>N(AE626)*S626</f>
        <v/>
      </c>
      <c r="W626" s="21">
        <f>IF(Q626="","",N(AF626)*S626)</f>
        <v/>
      </c>
      <c r="X626" s="11" t="n">
        <v>8641.059999999999</v>
      </c>
      <c r="Y626" s="11" t="n">
        <v>166106.35</v>
      </c>
      <c r="Z626" s="11" t="n">
        <v>0</v>
      </c>
      <c r="AA626" s="21">
        <f>T626+U626+V626+N(W626)+X626+Y626+N(Z626)</f>
        <v/>
      </c>
      <c r="AB626" s="11" t="n">
        <v>136795.047</v>
      </c>
      <c r="AC626" s="11" t="n">
        <v>861779.02</v>
      </c>
      <c r="AD626" s="21">
        <f>O626-Y626</f>
        <v/>
      </c>
      <c r="AE626" s="21">
        <f>P626-X626</f>
        <v/>
      </c>
      <c r="AF626" s="21">
        <f>IF(Q626="","",Q626-Z626)</f>
        <v/>
      </c>
      <c r="AG626" s="22">
        <f>AC626+AD626+AE626+N(AF626)</f>
        <v/>
      </c>
      <c r="AH626" s="11" t="n">
        <v>832659.65</v>
      </c>
      <c r="AI626" s="24">
        <f>AG626-AH626</f>
        <v/>
      </c>
      <c r="AJ626" s="14">
        <f>IF(OR(B626="",B626=0,N626=""),"",N626/B626*10000)</f>
        <v/>
      </c>
      <c r="AK626" s="14">
        <f>IF(OR(C626="",C626=0),"",O626/C626*10000)</f>
        <v/>
      </c>
      <c r="AL626" s="14">
        <f>IF(OR(D626="",D626=0),"",P626/D626*10000)</f>
        <v/>
      </c>
      <c r="AM626" s="14">
        <f>IF(OR(E626="",E626=0),"",Q626/E626*10000)</f>
        <v/>
      </c>
      <c r="AN626" s="11" t="n">
        <v>4468.325929027769</v>
      </c>
      <c r="AO626" s="11" t="n">
        <v>28725.3</v>
      </c>
      <c r="AP626" s="21">
        <f>AH626+AN626+AO626</f>
        <v/>
      </c>
      <c r="AQ626" s="21">
        <f>AH626</f>
        <v/>
      </c>
      <c r="AR626" s="15" t="n">
        <v>14809.31</v>
      </c>
      <c r="AS626" s="27" t="n">
        <v>56.225418</v>
      </c>
      <c r="AT626" s="15" t="n">
        <v>46397199.69473923</v>
      </c>
      <c r="AU626" s="15" t="n">
        <v>26686.6219</v>
      </c>
      <c r="AV626" s="15" t="n">
        <v>2665.4972</v>
      </c>
      <c r="AW626" s="15" t="n"/>
      <c r="AX626" s="16" t="n">
        <v>437.3532680884797</v>
      </c>
      <c r="AY626" s="13">
        <f>IF(OR(AX626="",AX626=0,AU626=""),"",AU626*365/(AX626*1000000))</f>
        <v/>
      </c>
      <c r="AZ626" s="15" t="n">
        <v>412418406.1756</v>
      </c>
      <c r="BA626" s="17" t="n">
        <v>60487233</v>
      </c>
      <c r="BB626" s="18" t="n">
        <v>46397199.69473923</v>
      </c>
      <c r="BC626" s="17" t="n">
        <v>2971663</v>
      </c>
      <c r="BD626" s="17">
        <f>1000000000-999035378.7402+282643.6445</f>
        <v/>
      </c>
      <c r="BE626" s="19">
        <f>1000000000-AZ626-BA626-BB626-BC626-BD626</f>
        <v/>
      </c>
      <c r="BF626" s="20" t="n">
        <v>232.644283</v>
      </c>
      <c r="BG626" s="20">
        <f>BE626/1000000-BF626</f>
        <v/>
      </c>
      <c r="BH626" s="21">
        <f>BE626*57.45</f>
        <v/>
      </c>
    </row>
    <row r="627">
      <c r="A627" s="10" t="n">
        <v>46249</v>
      </c>
      <c r="B627" s="11" t="n">
        <v>781170684</v>
      </c>
      <c r="C627" s="11" t="n">
        <v>294873210.58</v>
      </c>
      <c r="D627" s="11" t="n">
        <v>30495522</v>
      </c>
      <c r="E627" s="11" t="n">
        <v>331672.77827</v>
      </c>
      <c r="F627" s="24" t="n">
        <v>76994127.95055804</v>
      </c>
      <c r="G627" s="24" t="n">
        <v>1132485.943106627</v>
      </c>
      <c r="H627" s="24" t="n">
        <v>1334607.443104795</v>
      </c>
      <c r="I627" s="24" t="n">
        <v>80174203.46225099</v>
      </c>
      <c r="J627" s="24" t="n">
        <v>3643001.237160414</v>
      </c>
      <c r="K627" s="24" t="n">
        <v>131594784.5438191</v>
      </c>
      <c r="L627" s="21">
        <f>SUM(F627:K627)</f>
        <v/>
      </c>
      <c r="M627" s="28" t="n">
        <v>0.999815353416851</v>
      </c>
      <c r="N627" s="11" t="n">
        <v>312628.09</v>
      </c>
      <c r="O627" s="11" t="n">
        <v>40579.95</v>
      </c>
      <c r="P627" s="11" t="n">
        <v>19209.6</v>
      </c>
      <c r="Q627" s="11" t="n">
        <v>26.69983437</v>
      </c>
      <c r="R627" s="21">
        <f>N627+O627+P627+N(Q627)</f>
        <v/>
      </c>
      <c r="S627" s="13" t="n">
        <v>0.01</v>
      </c>
      <c r="T627" s="21">
        <f>N(AC627)*S627</f>
        <v/>
      </c>
      <c r="U627" s="21">
        <f>N(AD627)*S627</f>
        <v/>
      </c>
      <c r="V627" s="21">
        <f>N(AE627)*S627</f>
        <v/>
      </c>
      <c r="W627" s="21">
        <f>IF(Q627="","",N(AF627)*S627)</f>
        <v/>
      </c>
      <c r="X627" s="11" t="n">
        <v>3419.59</v>
      </c>
      <c r="Y627" s="11" t="n">
        <v>20097.01</v>
      </c>
      <c r="Z627" s="11" t="n">
        <v>0</v>
      </c>
      <c r="AA627" s="21">
        <f>T627+U627+V627+N(W627)+X627+Y627+N(Z627)</f>
        <v/>
      </c>
      <c r="AB627" s="11" t="n">
        <v>41155.4443</v>
      </c>
      <c r="AC627" s="11" t="n">
        <v>312628.09</v>
      </c>
      <c r="AD627" s="21">
        <f>O627-Y627</f>
        <v/>
      </c>
      <c r="AE627" s="21">
        <f>P627-X627</f>
        <v/>
      </c>
      <c r="AF627" s="21">
        <f>IF(Q627="","",Q627-Z627)</f>
        <v/>
      </c>
      <c r="AG627" s="22">
        <f>AC627+AD627+AE627+N(AF627)</f>
        <v/>
      </c>
      <c r="AH627" s="11" t="n">
        <v>300036.74</v>
      </c>
      <c r="AI627" s="24">
        <f>AG627-AH627</f>
        <v/>
      </c>
      <c r="AJ627" s="14">
        <f>IF(OR(B627="",B627=0,N627=""),"",N627/B627*10000)</f>
        <v/>
      </c>
      <c r="AK627" s="14">
        <f>IF(OR(C627="",C627=0),"",O627/C627*10000)</f>
        <v/>
      </c>
      <c r="AL627" s="14">
        <f>IF(OR(D627="",D627=0),"",P627/D627*10000)</f>
        <v/>
      </c>
      <c r="AM627" s="14">
        <f>IF(OR(E627="",E627=0),"",Q627/E627*10000)</f>
        <v/>
      </c>
      <c r="AN627" s="11" t="n">
        <v>3572.837123898753</v>
      </c>
      <c r="AO627" s="11" t="n">
        <v>28234.13</v>
      </c>
      <c r="AP627" s="21">
        <f>AH627+AN627+AO627</f>
        <v/>
      </c>
      <c r="AQ627" s="21">
        <f>AH627</f>
        <v/>
      </c>
      <c r="AR627" s="15" t="n">
        <v>5307.89</v>
      </c>
      <c r="AS627" s="27" t="n">
        <v>56.526555</v>
      </c>
      <c r="AT627" s="15" t="n">
        <v>46402177.71473923</v>
      </c>
      <c r="AU627" s="15" t="n">
        <v>26684.4272</v>
      </c>
      <c r="AV627" s="15" t="n">
        <v>4429.7886</v>
      </c>
      <c r="AW627" s="15" t="n"/>
      <c r="AX627" s="16" t="n">
        <v>437.2368765862547</v>
      </c>
      <c r="AY627" s="13">
        <f>IF(OR(AX627="",AX627=0,AU627=""),"",AU627*365/(AX627*1000000))</f>
        <v/>
      </c>
      <c r="AZ627" s="15" t="n">
        <v>412391721.7484</v>
      </c>
      <c r="BA627" s="17" t="n">
        <v>60487233</v>
      </c>
      <c r="BB627" s="18" t="n">
        <v>46402177.71473923</v>
      </c>
      <c r="BC627" s="17" t="n">
        <v>2971663</v>
      </c>
      <c r="BD627" s="17">
        <f>1000000000-999030948.9516+282707.0242</f>
        <v/>
      </c>
      <c r="BE627" s="19">
        <f>1000000000-AZ627-BA627-BB627-BC627-BD627</f>
        <v/>
      </c>
      <c r="BF627" s="20" t="n">
        <v>232.644283</v>
      </c>
      <c r="BG627" s="20">
        <f>BE627/1000000-BF627</f>
        <v/>
      </c>
      <c r="BH627" s="21">
        <f>BE627*56.38</f>
        <v/>
      </c>
    </row>
    <row r="628">
      <c r="A628" s="10" t="n">
        <v>46250</v>
      </c>
      <c r="B628" s="11" t="n">
        <v>1283970730</v>
      </c>
      <c r="C628" s="11" t="n">
        <v>316060404.6</v>
      </c>
      <c r="D628" s="11" t="n">
        <v>32558574</v>
      </c>
      <c r="E628" s="11" t="n">
        <v>407471.9373299999</v>
      </c>
      <c r="F628" s="24" t="n">
        <v>77035924.47173889</v>
      </c>
      <c r="G628" s="24" t="n">
        <v>401977.9402436098</v>
      </c>
      <c r="H628" s="24" t="n">
        <v>663761.189803511</v>
      </c>
      <c r="I628" s="24" t="n">
        <v>84811665.95228067</v>
      </c>
      <c r="J628" s="24" t="n">
        <v>4136788.511128913</v>
      </c>
      <c r="K628" s="24" t="n">
        <v>149010286.5348044</v>
      </c>
      <c r="L628" s="21">
        <f>SUM(F628:K628)</f>
        <v/>
      </c>
      <c r="M628" s="28" t="n">
        <v>1.006804363140171</v>
      </c>
      <c r="N628" s="11" t="n">
        <v>463750.37</v>
      </c>
      <c r="O628" s="11" t="n">
        <v>43147.22</v>
      </c>
      <c r="P628" s="11" t="n">
        <v>17578.92</v>
      </c>
      <c r="Q628" s="11" t="n">
        <v>60.45918623</v>
      </c>
      <c r="R628" s="21">
        <f>N628+O628+P628+N(Q628)</f>
        <v/>
      </c>
      <c r="S628" s="13" t="n">
        <v>0.01</v>
      </c>
      <c r="T628" s="21">
        <f>N(AC628)*S628</f>
        <v/>
      </c>
      <c r="U628" s="21">
        <f>N(AD628)*S628</f>
        <v/>
      </c>
      <c r="V628" s="21">
        <f>N(AE628)*S628</f>
        <v/>
      </c>
      <c r="W628" s="21">
        <f>IF(Q628="","",N(AF628)*S628)</f>
        <v/>
      </c>
      <c r="X628" s="11" t="n">
        <v>4669.93</v>
      </c>
      <c r="Y628" s="11" t="n">
        <v>21511.08</v>
      </c>
      <c r="Z628" s="11" t="n">
        <v>0</v>
      </c>
      <c r="AA628" s="21">
        <f>T628+U628+V628+N(W628)+X628+Y628+N(Z628)</f>
        <v/>
      </c>
      <c r="AB628" s="11" t="n">
        <v>42124.7313</v>
      </c>
      <c r="AC628" s="11" t="n">
        <v>463750.37</v>
      </c>
      <c r="AD628" s="21">
        <f>O628-Y628</f>
        <v/>
      </c>
      <c r="AE628" s="21">
        <f>P628-X628</f>
        <v/>
      </c>
      <c r="AF628" s="21">
        <f>IF(Q628="","",Q628-Z628)</f>
        <v/>
      </c>
      <c r="AG628" s="22">
        <f>AC628+AD628+AE628+N(AF628)</f>
        <v/>
      </c>
      <c r="AH628" s="11" t="n">
        <v>414334.36</v>
      </c>
      <c r="AI628" s="24">
        <f>AG628-AH628</f>
        <v/>
      </c>
      <c r="AJ628" s="14">
        <f>IF(OR(B628="",B628=0,N628=""),"",N628/B628*10000)</f>
        <v/>
      </c>
      <c r="AK628" s="14">
        <f>IF(OR(C628="",C628=0),"",O628/C628*10000)</f>
        <v/>
      </c>
      <c r="AL628" s="14">
        <f>IF(OR(D628="",D628=0),"",P628/D628*10000)</f>
        <v/>
      </c>
      <c r="AM628" s="14">
        <f>IF(OR(E628="",E628=0),"",Q628/E628*10000)</f>
        <v/>
      </c>
      <c r="AN628" s="11" t="n">
        <v>3094.44008180111</v>
      </c>
      <c r="AO628" s="11" t="n">
        <v>0</v>
      </c>
      <c r="AP628" s="21">
        <f>AH628+AN628+AO628</f>
        <v/>
      </c>
      <c r="AQ628" s="21">
        <f>AH628</f>
        <v/>
      </c>
      <c r="AR628" s="15" t="n">
        <v>7219.24</v>
      </c>
      <c r="AS628" s="27" t="n">
        <v>57.393072</v>
      </c>
      <c r="AT628" s="15" t="n">
        <v>46409752.69473923</v>
      </c>
      <c r="AU628" s="15" t="n">
        <v>26682.1414</v>
      </c>
      <c r="AV628" s="15" t="n">
        <v>993.8798</v>
      </c>
      <c r="AW628" s="15" t="n"/>
      <c r="AX628" s="16" t="n">
        <v>437.2475769911204</v>
      </c>
      <c r="AY628" s="13">
        <f>IF(OR(AX628="",AX628=0,AU628=""),"",AU628*365/(AX628*1000000))</f>
        <v/>
      </c>
      <c r="AZ628" s="15" t="n">
        <v>412365039.607</v>
      </c>
      <c r="BA628" s="17" t="n">
        <v>60487233</v>
      </c>
      <c r="BB628" s="18" t="n">
        <v>46409752.69473923</v>
      </c>
      <c r="BC628" s="17" t="n">
        <v>2971663</v>
      </c>
      <c r="BD628" s="17">
        <f>1000000000-999029955.0718+282761.5614</f>
        <v/>
      </c>
      <c r="BE628" s="19">
        <f>1000000000-AZ628-BA628-BB628-BC628-BD628</f>
        <v/>
      </c>
      <c r="BF628" s="20" t="n">
        <v>232.644283</v>
      </c>
      <c r="BG628" s="20">
        <f>BE628/1000000-BF628</f>
        <v/>
      </c>
      <c r="BH628" s="21">
        <f>BE628*56.75</f>
        <v/>
      </c>
    </row>
    <row r="629">
      <c r="A629" s="10" t="n">
        <v>46251</v>
      </c>
      <c r="B629" s="11" t="n">
        <v>3158203449</v>
      </c>
      <c r="C629" s="11" t="n">
        <v>3535705560.08</v>
      </c>
      <c r="D629" s="11" t="n">
        <v>81728318</v>
      </c>
      <c r="E629" s="11" t="n">
        <v>495394.18567</v>
      </c>
      <c r="F629" s="24" t="n">
        <v>445761327.5536895</v>
      </c>
      <c r="G629" s="24" t="n">
        <v>715486.9794618231</v>
      </c>
      <c r="H629" s="24" t="n">
        <v>6194918.493755087</v>
      </c>
      <c r="I629" s="24" t="n">
        <v>677647715.7693104</v>
      </c>
      <c r="J629" s="24" t="n">
        <v>58563400.02432453</v>
      </c>
      <c r="K629" s="24" t="n">
        <v>2346822711.259459</v>
      </c>
      <c r="L629" s="21">
        <f>SUM(F629:K629)</f>
        <v/>
      </c>
      <c r="M629" s="28" t="n">
        <v>1.006592686505432</v>
      </c>
      <c r="N629" s="11" t="n">
        <v>1151487.96</v>
      </c>
      <c r="O629" s="11" t="n">
        <v>363086.59</v>
      </c>
      <c r="P629" s="11" t="n">
        <v>48269.83</v>
      </c>
      <c r="Q629" s="11" t="n">
        <v>72.43696301</v>
      </c>
      <c r="R629" s="21">
        <f>N629+O629+P629+N(Q629)</f>
        <v/>
      </c>
      <c r="S629" s="13" t="n">
        <v>0.01</v>
      </c>
      <c r="T629" s="21">
        <f>N(AC629)*S629</f>
        <v/>
      </c>
      <c r="U629" s="21">
        <f>N(AD629)*S629</f>
        <v/>
      </c>
      <c r="V629" s="21">
        <f>N(AE629)*S629</f>
        <v/>
      </c>
      <c r="W629" s="21">
        <f>IF(Q629="","",N(AF629)*S629)</f>
        <v/>
      </c>
      <c r="X629" s="11" t="n">
        <v>11781.93</v>
      </c>
      <c r="Y629" s="11" t="n">
        <v>181434.82</v>
      </c>
      <c r="Z629" s="11" t="n">
        <v>0</v>
      </c>
      <c r="AA629" s="21">
        <f>T629+U629+V629+N(W629)+X629+Y629+N(Z629)</f>
        <v/>
      </c>
      <c r="AB629" s="11" t="n">
        <v>154279.1065</v>
      </c>
      <c r="AC629" s="11" t="n">
        <v>1151487.96</v>
      </c>
      <c r="AD629" s="21">
        <f>O629-Y629</f>
        <v/>
      </c>
      <c r="AE629" s="21">
        <f>P629-X629</f>
        <v/>
      </c>
      <c r="AF629" s="21">
        <f>IF(Q629="","",Q629-Z629)</f>
        <v/>
      </c>
      <c r="AG629" s="22">
        <f>AC629+AD629+AE629+N(AF629)</f>
        <v/>
      </c>
      <c r="AH629" s="11" t="n">
        <v>1078725.18</v>
      </c>
      <c r="AI629" s="24">
        <f>AG629-AH629</f>
        <v/>
      </c>
      <c r="AJ629" s="14">
        <f>IF(OR(B629="",B629=0,N629=""),"",N629/B629*10000)</f>
        <v/>
      </c>
      <c r="AK629" s="14">
        <f>IF(OR(C629="",C629=0),"",O629/C629*10000)</f>
        <v/>
      </c>
      <c r="AL629" s="14">
        <f>IF(OR(D629="",D629=0),"",P629/D629*10000)</f>
        <v/>
      </c>
      <c r="AM629" s="14">
        <f>IF(OR(E629="",E629=0),"",Q629/E629*10000)</f>
        <v/>
      </c>
      <c r="AN629" s="11" t="n">
        <v>5328.584084722477</v>
      </c>
      <c r="AO629" s="11" t="n">
        <v>28559.32</v>
      </c>
      <c r="AP629" s="21">
        <f>AH629+AN629+AO629</f>
        <v/>
      </c>
      <c r="AQ629" s="21">
        <f>AH629</f>
        <v/>
      </c>
      <c r="AR629" s="15" t="n">
        <v>18266.36</v>
      </c>
      <c r="AS629" s="27" t="n">
        <v>59.05529</v>
      </c>
      <c r="AT629" s="15" t="n">
        <v>46427663.31473923</v>
      </c>
      <c r="AU629" s="15" t="n">
        <v>26682.7994</v>
      </c>
      <c r="AV629" s="15" t="n">
        <v>1117.763</v>
      </c>
      <c r="AW629" s="15" t="n"/>
      <c r="AX629" s="16" t="n">
        <v>437.2253705306517</v>
      </c>
      <c r="AY629" s="13">
        <f>IF(OR(AX629="",AX629=0,AU629=""),"",AU629*365/(AX629*1000000))</f>
        <v/>
      </c>
      <c r="AZ629" s="15" t="n">
        <v>412338356.8076</v>
      </c>
      <c r="BA629" s="17" t="n">
        <v>60487233</v>
      </c>
      <c r="BB629" s="18" t="n">
        <v>46427663.31473923</v>
      </c>
      <c r="BC629" s="17" t="n">
        <v>2971663</v>
      </c>
      <c r="BD629" s="17">
        <f>1000000000-999028837.3088+282854.6566</f>
        <v/>
      </c>
      <c r="BE629" s="19">
        <f>1000000000-AZ629-BA629-BB629-BC629-BD629</f>
        <v/>
      </c>
      <c r="BF629" s="20" t="n">
        <v>232.644283</v>
      </c>
      <c r="BG629" s="20">
        <f>BE629/1000000-BF629</f>
        <v/>
      </c>
      <c r="BH629" s="21">
        <f>BE629*57.22</f>
        <v/>
      </c>
    </row>
    <row r="630">
      <c r="A630" s="10" t="n">
        <v>46252</v>
      </c>
      <c r="B630" s="11" t="n">
        <v>2671252505</v>
      </c>
      <c r="C630" s="11" t="n">
        <v>4094136487.17</v>
      </c>
      <c r="D630" s="11" t="n">
        <v>83213833</v>
      </c>
      <c r="E630" s="11" t="n">
        <v>331776.45077</v>
      </c>
      <c r="F630" s="24" t="n">
        <v>424413453.6424899</v>
      </c>
      <c r="G630" s="24" t="n">
        <v>1026037.000300184</v>
      </c>
      <c r="H630" s="24" t="n">
        <v>5343047.114540839</v>
      </c>
      <c r="I630" s="24" t="n">
        <v>985181188.3458955</v>
      </c>
      <c r="J630" s="24" t="n">
        <v>46031273.31481436</v>
      </c>
      <c r="K630" s="24" t="n">
        <v>2632141487.751959</v>
      </c>
      <c r="L630" s="21">
        <f>SUM(F630:K630)</f>
        <v/>
      </c>
      <c r="M630" s="28" t="n">
        <v>1.007608554628499</v>
      </c>
      <c r="N630" s="11" t="n">
        <v>965424.6899999999</v>
      </c>
      <c r="O630" s="11" t="n">
        <v>397480.41</v>
      </c>
      <c r="P630" s="11" t="n">
        <v>46746.49000000001</v>
      </c>
      <c r="Q630" s="11" t="n">
        <v>51.40345592</v>
      </c>
      <c r="R630" s="21">
        <f>N630+O630+P630+N(Q630)</f>
        <v/>
      </c>
      <c r="S630" s="13" t="n">
        <v>0.01</v>
      </c>
      <c r="T630" s="21">
        <f>N(AC630)*S630</f>
        <v/>
      </c>
      <c r="U630" s="21">
        <f>N(AD630)*S630</f>
        <v/>
      </c>
      <c r="V630" s="21">
        <f>N(AE630)*S630</f>
        <v/>
      </c>
      <c r="W630" s="21">
        <f>IF(Q630="","",N(AF630)*S630)</f>
        <v/>
      </c>
      <c r="X630" s="11" t="n">
        <v>8867.58</v>
      </c>
      <c r="Y630" s="11" t="n">
        <v>198576.4</v>
      </c>
      <c r="Z630" s="11" t="n">
        <v>0</v>
      </c>
      <c r="AA630" s="21">
        <f>T630+U630+V630+N(W630)+X630+Y630+N(Z630)</f>
        <v/>
      </c>
      <c r="AB630" s="11" t="n">
        <v>120511.4482</v>
      </c>
      <c r="AC630" s="11" t="n">
        <v>965424.6899999999</v>
      </c>
      <c r="AD630" s="21">
        <f>O630-Y630</f>
        <v/>
      </c>
      <c r="AE630" s="21">
        <f>P630-X630</f>
        <v/>
      </c>
      <c r="AF630" s="21">
        <f>IF(Q630="","",Q630-Z630)</f>
        <v/>
      </c>
      <c r="AG630" s="22">
        <f>AC630+AD630+AE630+N(AF630)</f>
        <v/>
      </c>
      <c r="AH630" s="11" t="n">
        <v>1064398.49</v>
      </c>
      <c r="AI630" s="24">
        <f>AG630-AH630</f>
        <v/>
      </c>
      <c r="AJ630" s="14">
        <f>IF(OR(B630="",B630=0,N630=""),"",N630/B630*10000)</f>
        <v/>
      </c>
      <c r="AK630" s="14">
        <f>IF(OR(C630="",C630=0),"",O630/C630*10000)</f>
        <v/>
      </c>
      <c r="AL630" s="14">
        <f>IF(OR(D630="",D630=0),"",P630/D630*10000)</f>
        <v/>
      </c>
      <c r="AM630" s="14">
        <f>IF(OR(E630="",E630=0),"",Q630/E630*10000)</f>
        <v/>
      </c>
      <c r="AN630" s="11" t="n">
        <v>9094.436386044155</v>
      </c>
      <c r="AO630" s="11" t="n">
        <v>29711.8</v>
      </c>
      <c r="AP630" s="21">
        <f>AH630+AN630+AO630</f>
        <v/>
      </c>
      <c r="AQ630" s="21">
        <f>AH630</f>
        <v/>
      </c>
      <c r="AR630" s="15" t="n">
        <v>17969.67</v>
      </c>
      <c r="AS630" s="27" t="n">
        <v>59.233057</v>
      </c>
      <c r="AT630" s="15" t="n">
        <v>46446219.01473923</v>
      </c>
      <c r="AU630" s="15" t="n">
        <v>26682.4589</v>
      </c>
      <c r="AV630" s="15" t="n">
        <v>2228.1206</v>
      </c>
      <c r="AW630" s="15" t="n"/>
      <c r="AX630" s="16" t="n">
        <v>437.295387919134</v>
      </c>
      <c r="AY630" s="13">
        <f>IF(OR(AX630="",AX630=0,AU630=""),"",AU630*365/(AX630*1000000))</f>
        <v/>
      </c>
      <c r="AZ630" s="15" t="n">
        <v>412311674.3487</v>
      </c>
      <c r="BA630" s="17" t="n">
        <v>60487233</v>
      </c>
      <c r="BB630" s="18" t="n">
        <v>46446219.01473923</v>
      </c>
      <c r="BC630" s="17" t="n">
        <v>2971663</v>
      </c>
      <c r="BD630" s="17">
        <f>1000000000-999026609.1881+283007.4503</f>
        <v/>
      </c>
      <c r="BE630" s="19">
        <f>1000000000-AZ630-BA630-BB630-BC630-BD630</f>
        <v/>
      </c>
      <c r="BF630" s="20" t="n">
        <v>232.644283</v>
      </c>
      <c r="BG630" s="20">
        <f>BE630/1000000-BF630</f>
        <v/>
      </c>
      <c r="BH630" s="21">
        <f>BE630*59.56</f>
        <v/>
      </c>
    </row>
    <row r="631">
      <c r="A631" s="10" t="n">
        <v>46253</v>
      </c>
      <c r="B631" s="11" t="n">
        <v>12280971014</v>
      </c>
      <c r="C631" s="11" t="n">
        <v>5346201118.29</v>
      </c>
      <c r="D631" s="11" t="n">
        <v>339480253</v>
      </c>
      <c r="E631" s="11" t="n">
        <v>539045.4516900001</v>
      </c>
      <c r="F631" s="24" t="n">
        <v>519619602.0259787</v>
      </c>
      <c r="G631" s="24" t="n">
        <v>3911051.993277982</v>
      </c>
      <c r="H631" s="24" t="n">
        <v>15790710.16883188</v>
      </c>
      <c r="I631" s="24" t="n">
        <v>1076423308.600311</v>
      </c>
      <c r="J631" s="24" t="n">
        <v>156304012.7725605</v>
      </c>
      <c r="K631" s="24" t="n">
        <v>3574152432.72904</v>
      </c>
      <c r="L631" s="21">
        <f>SUM(F631:K631)</f>
        <v/>
      </c>
      <c r="M631" s="28" t="n">
        <v>1.001460805318013</v>
      </c>
      <c r="N631" s="11" t="n">
        <v>4582812.61</v>
      </c>
      <c r="O631" s="11" t="n">
        <v>598715.28</v>
      </c>
      <c r="P631" s="11" t="n">
        <v>192665.81</v>
      </c>
      <c r="Q631" s="11" t="n">
        <v>65.34133034999999</v>
      </c>
      <c r="R631" s="21">
        <f>N631+O631+P631+N(Q631)</f>
        <v/>
      </c>
      <c r="S631" s="13" t="n">
        <v>0.01</v>
      </c>
      <c r="T631" s="21">
        <f>N(AC631)*S631</f>
        <v/>
      </c>
      <c r="U631" s="21">
        <f>N(AD631)*S631</f>
        <v/>
      </c>
      <c r="V631" s="21">
        <f>N(AE631)*S631</f>
        <v/>
      </c>
      <c r="W631" s="21">
        <f>IF(Q631="","",N(AF631)*S631)</f>
        <v/>
      </c>
      <c r="X631" s="11" t="n">
        <v>28788.27</v>
      </c>
      <c r="Y631" s="11" t="n">
        <v>298894.18</v>
      </c>
      <c r="Z631" s="11" t="n">
        <v>0</v>
      </c>
      <c r="AA631" s="21">
        <f>T631+U631+V631+N(W631)+X631+Y631+N(Z631)</f>
        <v/>
      </c>
      <c r="AB631" s="11" t="n">
        <v>397945.6712999999</v>
      </c>
      <c r="AC631" s="11" t="n">
        <v>4582812.61</v>
      </c>
      <c r="AD631" s="21">
        <f>O631-Y631</f>
        <v/>
      </c>
      <c r="AE631" s="21">
        <f>P631-X631</f>
        <v/>
      </c>
      <c r="AF631" s="21">
        <f>IF(Q631="","",Q631-Z631)</f>
        <v/>
      </c>
      <c r="AG631" s="22">
        <f>AC631+AD631+AE631+N(AF631)</f>
        <v/>
      </c>
      <c r="AH631" s="11" t="n">
        <v>4227964.21</v>
      </c>
      <c r="AI631" s="24">
        <f>AG631-AH631</f>
        <v/>
      </c>
      <c r="AJ631" s="14">
        <f>IF(OR(B631="",B631=0,N631=""),"",N631/B631*10000)</f>
        <v/>
      </c>
      <c r="AK631" s="14">
        <f>IF(OR(C631="",C631=0),"",O631/C631*10000)</f>
        <v/>
      </c>
      <c r="AL631" s="14">
        <f>IF(OR(D631="",D631=0),"",P631/D631*10000)</f>
        <v/>
      </c>
      <c r="AM631" s="14">
        <f>IF(OR(E631="",E631=0),"",Q631/E631*10000)</f>
        <v/>
      </c>
      <c r="AN631" s="11" t="n">
        <v>138400.8591308312</v>
      </c>
      <c r="AO631" s="11" t="n">
        <v>35868.46</v>
      </c>
      <c r="AP631" s="21">
        <f>AH631+AN631+AO631</f>
        <v/>
      </c>
      <c r="AQ631" s="21">
        <f>AH631</f>
        <v/>
      </c>
      <c r="AR631" s="15" t="n">
        <v>66080.66</v>
      </c>
      <c r="AS631" s="27" t="n">
        <v>63.98187</v>
      </c>
      <c r="AT631" s="15" t="n">
        <v>46512446.87473923</v>
      </c>
      <c r="AU631" s="15" t="n">
        <v>26684.1946</v>
      </c>
      <c r="AV631" s="15" t="n">
        <v>2734.0567</v>
      </c>
      <c r="AW631" s="15" t="n"/>
      <c r="AX631" s="16" t="n">
        <v>437.3125426760334</v>
      </c>
      <c r="AY631" s="13">
        <f>IF(OR(AX631="",AX631=0,AU631=""),"",AU631*365/(AX631*1000000))</f>
        <v/>
      </c>
      <c r="AZ631" s="15" t="n">
        <v>412284990.1541</v>
      </c>
      <c r="BA631" s="17" t="n">
        <v>60487233</v>
      </c>
      <c r="BB631" s="18" t="n">
        <v>46512446.87473923</v>
      </c>
      <c r="BC631" s="17" t="n">
        <v>2971663</v>
      </c>
      <c r="BD631" s="17">
        <f>1000000000-999023875.1314+285372.5493</f>
        <v/>
      </c>
      <c r="BE631" s="19">
        <f>1000000000-AZ631-BA631-BB631-BC631-BD631</f>
        <v/>
      </c>
      <c r="BF631" s="20" t="n">
        <v>232.644283</v>
      </c>
      <c r="BG631" s="20">
        <f>BE631/1000000-BF631</f>
        <v/>
      </c>
      <c r="BH631" s="21">
        <f>BE631*58.56</f>
        <v/>
      </c>
    </row>
    <row r="632">
      <c r="A632" s="10" t="n">
        <v>46254</v>
      </c>
      <c r="B632" s="11" t="n">
        <v>9619444078</v>
      </c>
      <c r="C632" s="11" t="n">
        <v>3697678655.35</v>
      </c>
      <c r="D632" s="11" t="n">
        <v>318784347</v>
      </c>
      <c r="E632" s="11" t="n">
        <v>323949.66512</v>
      </c>
      <c r="F632" s="24" t="n">
        <v>487260437.6321084</v>
      </c>
      <c r="G632" s="24" t="n">
        <v>5719767.850833313</v>
      </c>
      <c r="H632" s="24" t="n">
        <v>10536970.4329921</v>
      </c>
      <c r="I632" s="24" t="n">
        <v>788452552.8137046</v>
      </c>
      <c r="J632" s="24" t="n">
        <v>99959702.40761919</v>
      </c>
      <c r="K632" s="24" t="n">
        <v>2305749224.212742</v>
      </c>
      <c r="L632" s="21">
        <f>SUM(F632:K632)</f>
        <v/>
      </c>
      <c r="M632" s="28" t="n">
        <v>1.006238128039563</v>
      </c>
      <c r="N632" s="11" t="n">
        <v>3502311</v>
      </c>
      <c r="O632" s="11" t="n">
        <v>421633.29</v>
      </c>
      <c r="P632" s="11" t="n">
        <v>185319.66</v>
      </c>
      <c r="Q632" s="11" t="n">
        <v>48.74434176</v>
      </c>
      <c r="R632" s="21">
        <f>N632+O632+P632+N(Q632)</f>
        <v/>
      </c>
      <c r="S632" s="13" t="n">
        <v>0.01</v>
      </c>
      <c r="T632" s="21">
        <f>N(AC632)*S632</f>
        <v/>
      </c>
      <c r="U632" s="21">
        <f>N(AD632)*S632</f>
        <v/>
      </c>
      <c r="V632" s="21">
        <f>N(AE632)*S632</f>
        <v/>
      </c>
      <c r="W632" s="21">
        <f>IF(Q632="","",N(AF632)*S632)</f>
        <v/>
      </c>
      <c r="X632" s="11" t="n">
        <v>34288.91</v>
      </c>
      <c r="Y632" s="11" t="n">
        <v>210164.01</v>
      </c>
      <c r="Z632" s="11" t="n">
        <v>0</v>
      </c>
      <c r="AA632" s="21">
        <f>T632+U632+V632+N(W632)+X632+Y632+N(Z632)</f>
        <v/>
      </c>
      <c r="AB632" s="11" t="n">
        <v>349204.2982</v>
      </c>
      <c r="AC632" s="11" t="n">
        <v>3502311</v>
      </c>
      <c r="AD632" s="21">
        <f>O632-Y632</f>
        <v/>
      </c>
      <c r="AE632" s="21">
        <f>P632-X632</f>
        <v/>
      </c>
      <c r="AF632" s="21">
        <f>IF(Q632="","",Q632-Z632)</f>
        <v/>
      </c>
      <c r="AG632" s="22">
        <f>AC632+AD632+AE632+N(AF632)</f>
        <v/>
      </c>
      <c r="AH632" s="11" t="n">
        <v>3207960.39</v>
      </c>
      <c r="AI632" s="24">
        <f>AG632-AH632</f>
        <v/>
      </c>
      <c r="AJ632" s="14">
        <f>IF(OR(B632="",B632=0,N632=""),"",N632/B632*10000)</f>
        <v/>
      </c>
      <c r="AK632" s="14">
        <f>IF(OR(C632="",C632=0),"",O632/C632*10000)</f>
        <v/>
      </c>
      <c r="AL632" s="14">
        <f>IF(OR(D632="",D632=0),"",P632/D632*10000)</f>
        <v/>
      </c>
      <c r="AM632" s="14">
        <f>IF(OR(E632="",E632=0),"",Q632/E632*10000)</f>
        <v/>
      </c>
      <c r="AN632" s="11" t="n">
        <v>39687.26795446234</v>
      </c>
      <c r="AO632" s="11" t="n">
        <v>0</v>
      </c>
      <c r="AP632" s="21">
        <f>AH632+AN632+AO632</f>
        <v/>
      </c>
      <c r="AQ632" s="21">
        <f>AH632</f>
        <v/>
      </c>
      <c r="AR632" s="15" t="n">
        <v>44384.82</v>
      </c>
      <c r="AS632" s="27" t="n">
        <v>72.276071</v>
      </c>
      <c r="AT632" s="15" t="n">
        <v>46557754.90473923</v>
      </c>
      <c r="AU632" s="15" t="n">
        <v>26676.6731</v>
      </c>
      <c r="AV632" s="15" t="n">
        <v>6590.0482</v>
      </c>
      <c r="AW632" s="15" t="n"/>
      <c r="AX632" s="16" t="n">
        <v>437.2279522073026</v>
      </c>
      <c r="AY632" s="13">
        <f>IF(OR(AX632="",AX632=0,AU632=""),"",AU632*365/(AX632*1000000))</f>
        <v/>
      </c>
      <c r="AZ632" s="15" t="n">
        <v>412258313.481</v>
      </c>
      <c r="BA632" s="17" t="n">
        <v>60487233</v>
      </c>
      <c r="BB632" s="18" t="n">
        <v>46557754.90473923</v>
      </c>
      <c r="BC632" s="17" t="n">
        <v>2971663</v>
      </c>
      <c r="BD632" s="17">
        <f>1000000000-999017285.0832+285933.5238</f>
        <v/>
      </c>
      <c r="BE632" s="19">
        <f>1000000000-AZ632-BA632-BB632-BC632-BD632</f>
        <v/>
      </c>
      <c r="BF632" s="20" t="n">
        <v>232.644283</v>
      </c>
      <c r="BG632" s="20">
        <f>BE632/1000000-BF632</f>
        <v/>
      </c>
      <c r="BH632" s="21">
        <f>BE632*70.62</f>
        <v/>
      </c>
    </row>
    <row r="633">
      <c r="A633" s="10" t="n">
        <v>46255</v>
      </c>
      <c r="B633" s="11" t="n">
        <v>16150193127</v>
      </c>
      <c r="C633" s="11" t="n">
        <v>3256017018.71</v>
      </c>
      <c r="D633" s="11" t="n">
        <v>457003817</v>
      </c>
      <c r="E633" s="11" t="n">
        <v>698749.9185</v>
      </c>
      <c r="F633" s="24" t="n">
        <v>374881218.4620745</v>
      </c>
      <c r="G633" s="24" t="n">
        <v>12909640.78316469</v>
      </c>
      <c r="H633" s="24" t="n">
        <v>7053725.119041199</v>
      </c>
      <c r="I633" s="24" t="n">
        <v>653795990.6659949</v>
      </c>
      <c r="J633" s="24" t="n">
        <v>78015326.93093316</v>
      </c>
      <c r="K633" s="24" t="n">
        <v>2129361116.748791</v>
      </c>
      <c r="L633" s="21">
        <f>SUM(F633:K633)</f>
        <v/>
      </c>
      <c r="M633" s="28" t="n">
        <v>1.000070350173885</v>
      </c>
      <c r="N633" s="11" t="n">
        <v>5843907.44</v>
      </c>
      <c r="O633" s="11" t="n">
        <v>395594.1</v>
      </c>
      <c r="P633" s="11" t="n">
        <v>256917.79</v>
      </c>
      <c r="Q633" s="11" t="n">
        <v>136.49826133</v>
      </c>
      <c r="R633" s="21">
        <f>N633+O633+P633+N(Q633)</f>
        <v/>
      </c>
      <c r="S633" s="13" t="n">
        <v>0.01</v>
      </c>
      <c r="T633" s="21">
        <f>N(AC633)*S633</f>
        <v/>
      </c>
      <c r="U633" s="21">
        <f>N(AD633)*S633</f>
        <v/>
      </c>
      <c r="V633" s="21">
        <f>N(AE633)*S633</f>
        <v/>
      </c>
      <c r="W633" s="21">
        <f>IF(Q633="","",N(AF633)*S633)</f>
        <v/>
      </c>
      <c r="X633" s="11" t="n">
        <v>62293.17</v>
      </c>
      <c r="Y633" s="11" t="n">
        <v>196295.4</v>
      </c>
      <c r="Z633" s="11" t="n">
        <v>0</v>
      </c>
      <c r="AA633" s="21">
        <f>T633+U633+V633+N(W633)+X633+Y633+N(Z633)</f>
        <v/>
      </c>
      <c r="AB633" s="11" t="n">
        <v>535147.2124</v>
      </c>
      <c r="AC633" s="11" t="n">
        <v>5843907.44</v>
      </c>
      <c r="AD633" s="21">
        <f>O633-Y633</f>
        <v/>
      </c>
      <c r="AE633" s="21">
        <f>P633-X633</f>
        <v/>
      </c>
      <c r="AF633" s="21">
        <f>IF(Q633="","",Q633-Z633)</f>
        <v/>
      </c>
      <c r="AG633" s="22">
        <f>AC633+AD633+AE633+N(AF633)</f>
        <v/>
      </c>
      <c r="AH633" s="11" t="n">
        <v>5145795.83</v>
      </c>
      <c r="AI633" s="24">
        <f>AG633-AH633</f>
        <v/>
      </c>
      <c r="AJ633" s="14">
        <f>IF(OR(B633="",B633=0,N633=""),"",N633/B633*10000)</f>
        <v/>
      </c>
      <c r="AK633" s="14">
        <f>IF(OR(C633="",C633=0),"",O633/C633*10000)</f>
        <v/>
      </c>
      <c r="AL633" s="14">
        <f>IF(OR(D633="",D633=0),"",P633/D633*10000)</f>
        <v/>
      </c>
      <c r="AM633" s="14">
        <f>IF(OR(E633="",E633=0),"",Q633/E633*10000)</f>
        <v/>
      </c>
      <c r="AN633" s="11" t="n">
        <v>82876.73134433494</v>
      </c>
      <c r="AO633" s="11" t="n">
        <v>0</v>
      </c>
      <c r="AP633" s="21">
        <f>AH633+AN633+AO633</f>
        <v/>
      </c>
      <c r="AQ633" s="21">
        <f>AH633</f>
        <v/>
      </c>
      <c r="AR633" s="15" t="n">
        <v>68874.38</v>
      </c>
      <c r="AS633" s="27" t="n">
        <v>74.712772</v>
      </c>
      <c r="AT633" s="15" t="n">
        <v>46626209.69473923</v>
      </c>
      <c r="AU633" s="15" t="n">
        <v>26655.7233</v>
      </c>
      <c r="AV633" s="15" t="n">
        <v>4786.355</v>
      </c>
      <c r="AW633" s="15" t="n"/>
      <c r="AX633" s="16" t="n">
        <v>436.8045814989648</v>
      </c>
      <c r="AY633" s="13">
        <f>IF(OR(AX633="",AX633=0,AU633=""),"",AU633*365/(AX633*1000000))</f>
        <v/>
      </c>
      <c r="AZ633" s="15" t="n">
        <v>412231657.7578</v>
      </c>
      <c r="BA633" s="17" t="n">
        <v>60487233</v>
      </c>
      <c r="BB633" s="18" t="n">
        <v>46626209.69473923</v>
      </c>
      <c r="BC633" s="17" t="n">
        <v>2971663</v>
      </c>
      <c r="BD633" s="17">
        <f>1000000000-999012498.7282+287057.9927</f>
        <v/>
      </c>
      <c r="BE633" s="19">
        <f>1000000000-AZ633-BA633-BB633-BC633-BD633</f>
        <v/>
      </c>
      <c r="BF633" s="20" t="n">
        <v>232.644283</v>
      </c>
      <c r="BG633" s="20">
        <f>BE633/1000000-BF633</f>
        <v/>
      </c>
      <c r="BH633" s="21">
        <f>BE633*73.62</f>
        <v/>
      </c>
    </row>
    <row r="634">
      <c r="A634" s="10" t="n">
        <v>46256</v>
      </c>
      <c r="B634" s="11" t="n">
        <v>10311012646</v>
      </c>
      <c r="C634" s="11" t="n">
        <v>445241153.72</v>
      </c>
      <c r="D634" s="11" t="n">
        <v>350046248</v>
      </c>
      <c r="E634" s="11" t="n">
        <v>537778.4203</v>
      </c>
      <c r="F634" s="24" t="n">
        <v>75767446.37961893</v>
      </c>
      <c r="G634" s="24" t="n">
        <v>9297058.949922508</v>
      </c>
      <c r="H634" s="24" t="n">
        <v>4750611.704014978</v>
      </c>
      <c r="I634" s="24" t="n">
        <v>117545114.083628</v>
      </c>
      <c r="J634" s="24" t="n">
        <v>5061540.475079853</v>
      </c>
      <c r="K634" s="24" t="n">
        <v>232819382.1277358</v>
      </c>
      <c r="L634" s="21">
        <f>SUM(F634:K634)</f>
        <v/>
      </c>
      <c r="M634" s="28" t="n">
        <v>1.002935447165724</v>
      </c>
      <c r="N634" s="11" t="n">
        <v>3777093.63</v>
      </c>
      <c r="O634" s="11" t="n">
        <v>71452.32000000001</v>
      </c>
      <c r="P634" s="11" t="n">
        <v>187479.81</v>
      </c>
      <c r="Q634" s="11" t="n">
        <v>98.29577589000003</v>
      </c>
      <c r="R634" s="21">
        <f>N634+O634+P634+N(Q634)</f>
        <v/>
      </c>
      <c r="S634" s="13" t="n">
        <v>0.01</v>
      </c>
      <c r="T634" s="21">
        <f>N(AC634)*S634</f>
        <v/>
      </c>
      <c r="U634" s="21">
        <f>N(AD634)*S634</f>
        <v/>
      </c>
      <c r="V634" s="21">
        <f>N(AE634)*S634</f>
        <v/>
      </c>
      <c r="W634" s="21">
        <f>IF(Q634="","",N(AF634)*S634)</f>
        <v/>
      </c>
      <c r="X634" s="11" t="n">
        <v>32264.61</v>
      </c>
      <c r="Y634" s="11" t="n">
        <v>34457.71</v>
      </c>
      <c r="Z634" s="11" t="n">
        <v>0</v>
      </c>
      <c r="AA634" s="21">
        <f>T634+U634+V634+N(W634)+X634+Y634+N(Z634)</f>
        <v/>
      </c>
      <c r="AB634" s="11" t="n">
        <v>347124.9139</v>
      </c>
      <c r="AC634" s="11" t="n">
        <v>3777093.63</v>
      </c>
      <c r="AD634" s="21">
        <f>O634-Y634</f>
        <v/>
      </c>
      <c r="AE634" s="21">
        <f>P634-X634</f>
        <v/>
      </c>
      <c r="AF634" s="21">
        <f>IF(Q634="","",Q634-Z634)</f>
        <v/>
      </c>
      <c r="AG634" s="22">
        <f>AC634+AD634+AE634+N(AF634)</f>
        <v/>
      </c>
      <c r="AH634" s="11" t="n">
        <v>3296756.88</v>
      </c>
      <c r="AI634" s="24">
        <f>AG634-AH634</f>
        <v/>
      </c>
      <c r="AJ634" s="14">
        <f>IF(OR(B634="",B634=0,N634=""),"",N634/B634*10000)</f>
        <v/>
      </c>
      <c r="AK634" s="14">
        <f>IF(OR(C634="",C634=0),"",O634/C634*10000)</f>
        <v/>
      </c>
      <c r="AL634" s="14">
        <f>IF(OR(D634="",D634=0),"",P634/D634*10000)</f>
        <v/>
      </c>
      <c r="AM634" s="14">
        <f>IF(OR(E634="",E634=0),"",Q634/E634*10000)</f>
        <v/>
      </c>
      <c r="AN634" s="11" t="n">
        <v>120983.5848837846</v>
      </c>
      <c r="AO634" s="11" t="n">
        <v>0</v>
      </c>
      <c r="AP634" s="21">
        <f>AH634+AN634+AO634</f>
        <v/>
      </c>
      <c r="AQ634" s="21">
        <f>AH634</f>
        <v/>
      </c>
      <c r="AR634" s="15" t="n">
        <v>41905.68</v>
      </c>
      <c r="AS634" s="27" t="n">
        <v>78.670884</v>
      </c>
      <c r="AT634" s="15" t="n">
        <v>46667384.96473923</v>
      </c>
      <c r="AU634" s="15" t="n">
        <v>26778.6091</v>
      </c>
      <c r="AV634" s="15" t="n">
        <v>5124.2498</v>
      </c>
      <c r="AW634" s="15" t="n"/>
      <c r="AX634" s="16" t="n">
        <v>436.7008720651045</v>
      </c>
      <c r="AY634" s="13">
        <f>IF(OR(AX634="",AX634=0,AU634=""),"",AU634*365/(AX634*1000000))</f>
        <v/>
      </c>
      <c r="AZ634" s="15" t="n">
        <v>412204879.1487</v>
      </c>
      <c r="BA634" s="17" t="n">
        <v>60487233</v>
      </c>
      <c r="BB634" s="18" t="n">
        <v>46667384.96473923</v>
      </c>
      <c r="BC634" s="17" t="n">
        <v>2971663</v>
      </c>
      <c r="BD634" s="17">
        <f>1000000000-999007374.4784+288667.1594</f>
        <v/>
      </c>
      <c r="BE634" s="19">
        <f>1000000000-AZ634-BA634-BB634-BC634-BD634</f>
        <v/>
      </c>
      <c r="BF634" s="20" t="n">
        <v>232.644283</v>
      </c>
      <c r="BG634" s="20">
        <f>BE634/1000000-BF634</f>
        <v/>
      </c>
      <c r="BH634" s="21">
        <f>BE634*75.14</f>
        <v/>
      </c>
    </row>
    <row r="635">
      <c r="A635" s="10" t="n">
        <v>46257</v>
      </c>
      <c r="B635" s="11" t="n">
        <v>7035384735</v>
      </c>
      <c r="C635" s="11" t="n">
        <v>702593877.45</v>
      </c>
      <c r="D635" s="11" t="n">
        <v>240924036</v>
      </c>
      <c r="E635" s="11" t="n">
        <v>581363.46665</v>
      </c>
      <c r="F635" s="24" t="n">
        <v>87169331.46141329</v>
      </c>
      <c r="G635" s="24" t="n">
        <v>9140398.219393261</v>
      </c>
      <c r="H635" s="24" t="n">
        <v>17762114.4231604</v>
      </c>
      <c r="I635" s="24" t="n">
        <v>231923629.882661</v>
      </c>
      <c r="J635" s="24" t="n">
        <v>8683147.389876639</v>
      </c>
      <c r="K635" s="24" t="n">
        <v>347915256.0734956</v>
      </c>
      <c r="L635" s="21">
        <f>SUM(F635:K635)</f>
        <v/>
      </c>
      <c r="M635" s="28" t="n">
        <v>1.038236726706144</v>
      </c>
      <c r="N635" s="11" t="n">
        <v>2643930.69</v>
      </c>
      <c r="O635" s="11" t="n">
        <v>91541.75</v>
      </c>
      <c r="P635" s="11" t="n">
        <v>139570.48</v>
      </c>
      <c r="Q635" s="11" t="n">
        <v>161.22163338</v>
      </c>
      <c r="R635" s="21">
        <f>N635+O635+P635+N(Q635)</f>
        <v/>
      </c>
      <c r="S635" s="13" t="n">
        <v>0.01</v>
      </c>
      <c r="T635" s="21">
        <f>N(AC635)*S635</f>
        <v/>
      </c>
      <c r="U635" s="21">
        <f>N(AD635)*S635</f>
        <v/>
      </c>
      <c r="V635" s="21">
        <f>N(AE635)*S635</f>
        <v/>
      </c>
      <c r="W635" s="21">
        <f>IF(Q635="","",N(AF635)*S635)</f>
        <v/>
      </c>
      <c r="X635" s="11" t="n">
        <v>27928.05</v>
      </c>
      <c r="Y635" s="11" t="n">
        <v>44747.38</v>
      </c>
      <c r="Z635" s="11" t="n">
        <v>0</v>
      </c>
      <c r="AA635" s="21">
        <f>T635+U635+V635+N(W635)+X635+Y635+N(Z635)</f>
        <v/>
      </c>
      <c r="AB635" s="11" t="n">
        <v>312014.8973</v>
      </c>
      <c r="AC635" s="11" t="n">
        <v>2643930.69</v>
      </c>
      <c r="AD635" s="21">
        <f>O635-Y635</f>
        <v/>
      </c>
      <c r="AE635" s="21">
        <f>P635-X635</f>
        <v/>
      </c>
      <c r="AF635" s="21">
        <f>IF(Q635="","",Q635-Z635)</f>
        <v/>
      </c>
      <c r="AG635" s="22">
        <f>AC635+AD635+AE635+N(AF635)</f>
        <v/>
      </c>
      <c r="AH635" s="11" t="n">
        <v>2220476.09</v>
      </c>
      <c r="AI635" s="24">
        <f>AG635-AH635</f>
        <v/>
      </c>
      <c r="AJ635" s="14">
        <f>IF(OR(B635="",B635=0,N635=""),"",N635/B635*10000)</f>
        <v/>
      </c>
      <c r="AK635" s="14">
        <f>IF(OR(C635="",C635=0),"",O635/C635*10000)</f>
        <v/>
      </c>
      <c r="AL635" s="14">
        <f>IF(OR(D635="",D635=0),"",P635/D635*10000)</f>
        <v/>
      </c>
      <c r="AM635" s="14">
        <f>IF(OR(E635="",E635=0),"",Q635/E635*10000)</f>
        <v/>
      </c>
      <c r="AN635" s="11" t="n">
        <v>498792.2083530517</v>
      </c>
      <c r="AO635" s="11" t="n">
        <v>39745.84</v>
      </c>
      <c r="AP635" s="21">
        <f>AH635+AN635+AO635</f>
        <v/>
      </c>
      <c r="AQ635" s="21">
        <f>AH635</f>
        <v/>
      </c>
      <c r="AR635" s="15" t="n">
        <v>27826.04</v>
      </c>
      <c r="AS635" s="27" t="n">
        <v>79.79849400000001</v>
      </c>
      <c r="AT635" s="15" t="n">
        <v>46695577.85473923</v>
      </c>
      <c r="AU635" s="15" t="n">
        <v>26773.6725</v>
      </c>
      <c r="AV635" s="15" t="n">
        <v>4311.7878</v>
      </c>
      <c r="AW635" s="15" t="n"/>
      <c r="AX635" s="16" t="n">
        <v>436.4974474562819</v>
      </c>
      <c r="AY635" s="13">
        <f>IF(OR(AX635="",AX635=0,AU635=""),"",AU635*365/(AX635*1000000))</f>
        <v/>
      </c>
      <c r="AZ635" s="15" t="n">
        <v>412178105.4762</v>
      </c>
      <c r="BA635" s="17" t="n">
        <v>60487233</v>
      </c>
      <c r="BB635" s="18" t="n">
        <v>46695577.85473923</v>
      </c>
      <c r="BC635" s="17" t="n">
        <v>2971663</v>
      </c>
      <c r="BD635" s="17">
        <f>1000000000-999003062.6906+294885.5056</f>
        <v/>
      </c>
      <c r="BE635" s="19">
        <f>1000000000-AZ635-BA635-BB635-BC635-BD635</f>
        <v/>
      </c>
      <c r="BF635" s="20" t="n">
        <v>232.644283</v>
      </c>
      <c r="BG635" s="20">
        <f>BE635/1000000-BF635</f>
        <v/>
      </c>
      <c r="BH635" s="21">
        <f>BE635*80.12</f>
        <v/>
      </c>
    </row>
    <row r="636">
      <c r="A636" s="10" t="n">
        <v>46258</v>
      </c>
      <c r="B636" s="11" t="n">
        <v>9860122393</v>
      </c>
      <c r="C636" s="11" t="n">
        <v>3285976542.51</v>
      </c>
      <c r="D636" s="11" t="n">
        <v>268743177</v>
      </c>
      <c r="E636" s="11" t="n">
        <v>700612.9272800001</v>
      </c>
      <c r="F636" s="24" t="n">
        <v>359561810.9303786</v>
      </c>
      <c r="G636" s="24" t="n">
        <v>5354134.181007461</v>
      </c>
      <c r="H636" s="24" t="n">
        <v>10481037.2405629</v>
      </c>
      <c r="I636" s="24" t="n">
        <v>774437569.0629187</v>
      </c>
      <c r="J636" s="24" t="n">
        <v>50477412.8780031</v>
      </c>
      <c r="K636" s="24" t="n">
        <v>2085664578.21713</v>
      </c>
      <c r="L636" s="21">
        <f>SUM(F636:K636)</f>
        <v/>
      </c>
      <c r="M636" s="28" t="n">
        <v>1.044596492710881</v>
      </c>
      <c r="N636" s="11" t="n">
        <v>3504317.01</v>
      </c>
      <c r="O636" s="11" t="n">
        <v>331861.28</v>
      </c>
      <c r="P636" s="11" t="n">
        <v>142289.52</v>
      </c>
      <c r="Q636" s="11" t="n">
        <v>113.42396011</v>
      </c>
      <c r="R636" s="21">
        <f>N636+O636+P636+N(Q636)</f>
        <v/>
      </c>
      <c r="S636" s="13" t="n">
        <v>0.01</v>
      </c>
      <c r="T636" s="21">
        <f>N(AC636)*S636</f>
        <v/>
      </c>
      <c r="U636" s="21">
        <f>N(AD636)*S636</f>
        <v/>
      </c>
      <c r="V636" s="21">
        <f>N(AE636)*S636</f>
        <v/>
      </c>
      <c r="W636" s="21">
        <f>IF(Q636="","",N(AF636)*S636)</f>
        <v/>
      </c>
      <c r="X636" s="11" t="n">
        <v>34786.13</v>
      </c>
      <c r="Y636" s="11" t="n">
        <v>165362.02</v>
      </c>
      <c r="Z636" s="11" t="n">
        <v>0</v>
      </c>
      <c r="AA636" s="21">
        <f>T636+U636+V636+N(W636)+X636+Y636+N(Z636)</f>
        <v/>
      </c>
      <c r="AB636" s="11" t="n">
        <v>341304.7509</v>
      </c>
      <c r="AC636" s="11" t="n">
        <v>3504317.01</v>
      </c>
      <c r="AD636" s="21">
        <f>O636-Y636</f>
        <v/>
      </c>
      <c r="AE636" s="21">
        <f>P636-X636</f>
        <v/>
      </c>
      <c r="AF636" s="21">
        <f>IF(Q636="","",Q636-Z636)</f>
        <v/>
      </c>
      <c r="AG636" s="22">
        <f>AC636+AD636+AE636+N(AF636)</f>
        <v/>
      </c>
      <c r="AH636" s="11" t="n">
        <v>3073623.29</v>
      </c>
      <c r="AI636" s="24">
        <f>AG636-AH636</f>
        <v/>
      </c>
      <c r="AJ636" s="14">
        <f>IF(OR(B636="",B636=0,N636=""),"",N636/B636*10000)</f>
        <v/>
      </c>
      <c r="AK636" s="14">
        <f>IF(OR(C636="",C636=0),"",O636/C636*10000)</f>
        <v/>
      </c>
      <c r="AL636" s="14">
        <f>IF(OR(D636="",D636=0),"",P636/D636*10000)</f>
        <v/>
      </c>
      <c r="AM636" s="14">
        <f>IF(OR(E636="",E636=0),"",Q636/E636*10000)</f>
        <v/>
      </c>
      <c r="AN636" s="11" t="n">
        <v>113933.9420371255</v>
      </c>
      <c r="AO636" s="11" t="n">
        <v>48851.26</v>
      </c>
      <c r="AP636" s="21">
        <f>AH636+AN636+AO636</f>
        <v/>
      </c>
      <c r="AQ636" s="21">
        <f>AH636</f>
        <v/>
      </c>
      <c r="AR636" s="15" t="n">
        <v>38817.1</v>
      </c>
      <c r="AS636" s="27" t="n">
        <v>79.182198</v>
      </c>
      <c r="AT636" s="25" t="n">
        <v>46734394.95473923</v>
      </c>
      <c r="AU636" s="15" t="n">
        <v>26771.4718</v>
      </c>
      <c r="AV636" s="15" t="n">
        <v>3662.8623</v>
      </c>
      <c r="AW636" s="15" t="n"/>
      <c r="AX636" s="16" t="n">
        <v>436.4309478754482</v>
      </c>
      <c r="AY636" s="13">
        <f>IF(OR(AX636="",AX636=0,AU636=""),"",AU636*365/(AX636*1000000))</f>
        <v/>
      </c>
      <c r="AZ636" s="15" t="n">
        <v>412151334.0044</v>
      </c>
      <c r="BA636" s="17" t="n">
        <v>60487233</v>
      </c>
      <c r="BB636" s="25" t="n">
        <v>46734394.95473923</v>
      </c>
      <c r="BC636" s="17" t="n">
        <v>2971663</v>
      </c>
      <c r="BD636" s="17">
        <f>1000000000-998999399.8283+296292.5492</f>
        <v/>
      </c>
      <c r="BE636" s="29">
        <f>1000000000-AZ636-BA636-BB636-BC636-BD636</f>
        <v/>
      </c>
      <c r="BF636" s="20" t="n">
        <v>232.644283</v>
      </c>
      <c r="BG636" s="30">
        <f>BE636/1000000-BF636</f>
        <v/>
      </c>
      <c r="BH636" s="31">
        <f>BE636*80.96</f>
        <v/>
      </c>
    </row>
    <row r="637">
      <c r="A637" s="10" t="n">
        <v>46259</v>
      </c>
      <c r="B637" s="11" t="n">
        <v>10589799269</v>
      </c>
      <c r="C637" s="11" t="n">
        <v>2774058815.82</v>
      </c>
      <c r="D637" s="11" t="n">
        <v>317008845</v>
      </c>
      <c r="E637" s="11" t="n">
        <v>438590.4299699999</v>
      </c>
      <c r="F637" s="24" t="n">
        <v>591203074.5605965</v>
      </c>
      <c r="G637" s="24" t="n">
        <v>3246065.476801777</v>
      </c>
      <c r="H637" s="24" t="n">
        <v>8886435.368550209</v>
      </c>
      <c r="I637" s="24" t="n">
        <v>511234522.5724507</v>
      </c>
      <c r="J637" s="24" t="n">
        <v>367997.882671241</v>
      </c>
      <c r="K637" s="24" t="n">
        <v>1659120719.95893</v>
      </c>
      <c r="L637" s="21">
        <f>SUM(F637:K637)</f>
        <v/>
      </c>
      <c r="M637" s="28" t="n">
        <v>1.101728798958219</v>
      </c>
      <c r="N637" s="11" t="n">
        <v>3567816.97</v>
      </c>
      <c r="O637" s="11" t="n">
        <v>305444.38</v>
      </c>
      <c r="P637" s="11" t="n">
        <v>171906.94</v>
      </c>
      <c r="Q637" s="11" t="n">
        <v>72.85430572000001</v>
      </c>
      <c r="R637" s="21">
        <f>N637+O637+P637+N(Q637)</f>
        <v/>
      </c>
      <c r="S637" s="13" t="n">
        <v>0.01</v>
      </c>
      <c r="T637" s="21">
        <f>N(AC637)*S637</f>
        <v/>
      </c>
      <c r="U637" s="21">
        <f>N(AD637)*S637</f>
        <v/>
      </c>
      <c r="V637" s="21">
        <f>N(AE637)*S637</f>
        <v/>
      </c>
      <c r="W637" s="21">
        <f>IF(Q637="","",N(AF637)*S637)</f>
        <v/>
      </c>
      <c r="X637" s="11" t="n">
        <v>48343.52</v>
      </c>
      <c r="Y637" s="11" t="n">
        <v>152312.66</v>
      </c>
      <c r="Z637" s="11" t="n">
        <v>0</v>
      </c>
      <c r="AA637" s="21">
        <f>T637+U637+V637+N(W637)+X637+Y637+N(Z637)</f>
        <v/>
      </c>
      <c r="AB637" s="11" t="n">
        <v>354394.2708000001</v>
      </c>
      <c r="AC637" s="11" t="n">
        <v>3567816.97</v>
      </c>
      <c r="AD637" s="21">
        <f>O637-Y637</f>
        <v/>
      </c>
      <c r="AE637" s="21">
        <f>P637-X637</f>
        <v/>
      </c>
      <c r="AF637" s="21">
        <f>IF(Q637="","",Q637-Z637)</f>
        <v/>
      </c>
      <c r="AG637" s="22">
        <f>AC637+AD637+AE637+N(AF637)</f>
        <v/>
      </c>
      <c r="AH637" s="11" t="n">
        <v>3277850.75</v>
      </c>
      <c r="AI637" s="24">
        <f>AG637-AH637</f>
        <v/>
      </c>
      <c r="AJ637" s="14">
        <f>IF(OR(B637="",B637=0,N637=""),"",N637/B637*10000)</f>
        <v/>
      </c>
      <c r="AK637" s="14">
        <f>IF(OR(C637="",C637=0),"",O637/C637*10000)</f>
        <v/>
      </c>
      <c r="AL637" s="14">
        <f>IF(OR(D637="",D637=0),"",P637/D637*10000)</f>
        <v/>
      </c>
      <c r="AM637" s="14">
        <f>IF(OR(E637="",E637=0),"",Q637/E637*10000)</f>
        <v/>
      </c>
      <c r="AN637" s="11" t="n">
        <v>57086.85241825184</v>
      </c>
      <c r="AO637" s="11" t="n">
        <v>0</v>
      </c>
      <c r="AP637" s="21">
        <f>AH637+AN637+AO637</f>
        <v/>
      </c>
      <c r="AQ637" s="21">
        <f>AH637</f>
        <v/>
      </c>
      <c r="AR637" s="15" t="n">
        <v>40776.01</v>
      </c>
      <c r="AS637" s="27" t="n">
        <v>80.386746</v>
      </c>
      <c r="AT637" s="15" t="n">
        <v>46774544.46473923</v>
      </c>
      <c r="AU637" s="15" t="n">
        <v>26759.2587</v>
      </c>
      <c r="AV637" s="15" t="n">
        <v>4129.3857</v>
      </c>
      <c r="AW637" s="15" t="n"/>
      <c r="AX637" s="16" t="n">
        <v>436.0263255813306</v>
      </c>
      <c r="AY637" s="13">
        <f>IF(OR(AX637="",AX637=0,AU637=""),"",AU637*365/(AX637*1000000))</f>
        <v/>
      </c>
      <c r="AZ637" s="15" t="n">
        <v>412124574.7457</v>
      </c>
      <c r="BA637" s="17" t="n">
        <v>60487233</v>
      </c>
      <c r="BB637" s="18" t="n">
        <v>46774544.46473923</v>
      </c>
      <c r="BC637" s="17" t="n">
        <v>2971663</v>
      </c>
      <c r="BD637" s="17">
        <f>1000000000-998995270.4427+297015.0212</f>
        <v/>
      </c>
      <c r="BE637" s="19">
        <f>1000000000-AZ637-BA637-BB637-BC637-BD637</f>
        <v/>
      </c>
      <c r="BF637" s="20" t="n">
        <v>232.644283</v>
      </c>
      <c r="BG637" s="20">
        <f>BE637/1000000-BF637</f>
        <v/>
      </c>
      <c r="BH637" s="21">
        <f>BE637*78.92</f>
        <v/>
      </c>
    </row>
    <row r="638">
      <c r="A638" s="10" t="n">
        <v>46260</v>
      </c>
      <c r="B638" s="11" t="n">
        <v>6806646652</v>
      </c>
      <c r="C638" s="11" t="n">
        <v>2802438913.62</v>
      </c>
      <c r="D638" s="11" t="n">
        <v>279622217</v>
      </c>
      <c r="E638" s="11" t="n">
        <v>389083.1158999999</v>
      </c>
      <c r="F638" s="24" t="n">
        <v>405192725.7995885</v>
      </c>
      <c r="G638" s="24" t="n">
        <v>1951070.460635361</v>
      </c>
      <c r="H638" s="24" t="n">
        <v>4418985.198787129</v>
      </c>
      <c r="I638" s="24" t="n">
        <v>547879768.0224129</v>
      </c>
      <c r="J638" s="24" t="n">
        <v>329509.2100652116</v>
      </c>
      <c r="K638" s="24" t="n">
        <v>1842666854.92851</v>
      </c>
      <c r="L638" s="21">
        <f>SUM(F638:K638)</f>
        <v/>
      </c>
      <c r="M638" s="28" t="n">
        <v>1.111179469870725</v>
      </c>
      <c r="N638" s="11" t="n">
        <v>2316198.14</v>
      </c>
      <c r="O638" s="11" t="n">
        <v>295597.96</v>
      </c>
      <c r="P638" s="11" t="n">
        <v>149094.67</v>
      </c>
      <c r="Q638" s="11" t="n">
        <v>57.974147</v>
      </c>
      <c r="R638" s="21">
        <f>N638+O638+P638+N(Q638)</f>
        <v/>
      </c>
      <c r="S638" s="13" t="n">
        <v>0.01</v>
      </c>
      <c r="T638" s="21">
        <f>N(AC638)*S638</f>
        <v/>
      </c>
      <c r="U638" s="21">
        <f>N(AD638)*S638</f>
        <v/>
      </c>
      <c r="V638" s="21">
        <f>N(AE638)*S638</f>
        <v/>
      </c>
      <c r="W638" s="21">
        <f>IF(Q638="","",N(AF638)*S638)</f>
        <v/>
      </c>
      <c r="X638" s="11" t="n">
        <v>43041.51</v>
      </c>
      <c r="Y638" s="11" t="n">
        <v>147573.24</v>
      </c>
      <c r="Z638" s="11" t="n">
        <v>0</v>
      </c>
      <c r="AA638" s="21">
        <f>T638+U638+V638+N(W638)+X638+Y638+N(Z638)</f>
        <v/>
      </c>
      <c r="AB638" s="11" t="n">
        <v>243045.9582</v>
      </c>
      <c r="AC638" s="11" t="n">
        <v>2316198.14</v>
      </c>
      <c r="AD638" s="21">
        <f>O638-Y638</f>
        <v/>
      </c>
      <c r="AE638" s="21">
        <f>P638-X638</f>
        <v/>
      </c>
      <c r="AF638" s="21">
        <f>IF(Q638="","",Q638-Z638)</f>
        <v/>
      </c>
      <c r="AG638" s="22">
        <f>AC638+AD638+AE638+N(AF638)</f>
        <v/>
      </c>
      <c r="AH638" s="11" t="n">
        <v>2073412.29</v>
      </c>
      <c r="AI638" s="24">
        <f>AG638-AH638</f>
        <v/>
      </c>
      <c r="AJ638" s="14">
        <f>IF(OR(B638="",B638=0,N638=""),"",N638/B638*10000)</f>
        <v/>
      </c>
      <c r="AK638" s="14">
        <f>IF(OR(C638="",C638=0),"",O638/C638*10000)</f>
        <v/>
      </c>
      <c r="AL638" s="14">
        <f>IF(OR(D638="",D638=0),"",P638/D638*10000)</f>
        <v/>
      </c>
      <c r="AM638" s="14">
        <f>IF(OR(E638="",E638=0),"",Q638/E638*10000)</f>
        <v/>
      </c>
      <c r="AN638" s="11" t="n">
        <v>52655.6505664916</v>
      </c>
      <c r="AO638" s="11" t="n">
        <v>39818.41</v>
      </c>
      <c r="AP638" s="21">
        <f>AH638+AN638+AO638</f>
        <v/>
      </c>
      <c r="AQ638" s="21">
        <f>AH638</f>
        <v/>
      </c>
      <c r="AR638" s="15" t="n">
        <v>25437.39</v>
      </c>
      <c r="AS638" s="27" t="n">
        <v>81.510418</v>
      </c>
      <c r="AT638" s="15" t="n">
        <v>46800905.46473923</v>
      </c>
      <c r="AU638" s="15" t="n">
        <v>26757.3959</v>
      </c>
      <c r="AV638" s="15" t="n">
        <v>3503.4292</v>
      </c>
      <c r="AW638" s="15" t="n"/>
      <c r="AX638" s="16" t="n">
        <v>436.0401456006131</v>
      </c>
      <c r="AY638" s="13">
        <f>IF(OR(AX638="",AX638=0,AU638=""),"",AU638*365/(AX638*1000000))</f>
        <v/>
      </c>
      <c r="AZ638" s="15" t="n">
        <v>412097817.3498</v>
      </c>
      <c r="BA638" s="17" t="n">
        <v>60487233</v>
      </c>
      <c r="BB638" s="18" t="n">
        <v>46800905.46473923</v>
      </c>
      <c r="BC638" s="17" t="n">
        <v>2971663</v>
      </c>
      <c r="BD638" s="17">
        <f>1000000000-998991767.0135+297668.5036</f>
        <v/>
      </c>
      <c r="BE638" s="19">
        <f>1000000000-AZ638-BA638-BB638-BC638-BD638</f>
        <v/>
      </c>
      <c r="BF638" s="20" t="n">
        <v>232.644283</v>
      </c>
      <c r="BG638" s="20">
        <f>BE638/1000000-BF638</f>
        <v/>
      </c>
      <c r="BH638" s="21">
        <f>BE638*80.58</f>
        <v/>
      </c>
    </row>
    <row r="639">
      <c r="A639" s="10" t="n">
        <v>46261</v>
      </c>
      <c r="B639" s="11" t="n">
        <v>8691970269</v>
      </c>
      <c r="C639" s="11" t="n">
        <v>3083142755.51</v>
      </c>
      <c r="D639" s="11" t="n">
        <v>301035217</v>
      </c>
      <c r="E639" s="11" t="n">
        <v>509993.50234</v>
      </c>
      <c r="F639" s="24" t="n">
        <v>567499677.800215</v>
      </c>
      <c r="G639" s="24" t="n">
        <v>3684882.08554655</v>
      </c>
      <c r="H639" s="24" t="n">
        <v>6190219.335215322</v>
      </c>
      <c r="I639" s="24" t="n">
        <v>656058757.5032672</v>
      </c>
      <c r="J639" s="24" t="n">
        <v>273927.5728393515</v>
      </c>
      <c r="K639" s="24" t="n">
        <v>1849435291.212916</v>
      </c>
      <c r="L639" s="21">
        <f>SUM(F639:K639)</f>
        <v/>
      </c>
      <c r="M639" s="28" t="n">
        <v>1.086098719761265</v>
      </c>
      <c r="N639" s="11" t="n">
        <v>3011326.45</v>
      </c>
      <c r="O639" s="11" t="n">
        <v>378938.57</v>
      </c>
      <c r="P639" s="11" t="n">
        <v>161278.21</v>
      </c>
      <c r="Q639" s="11" t="n">
        <v>90.05590422</v>
      </c>
      <c r="R639" s="21">
        <f>N639+O639+P639+N(Q639)</f>
        <v/>
      </c>
      <c r="S639" s="13" t="n">
        <v>0.01</v>
      </c>
      <c r="T639" s="21">
        <f>N(AC639)*S639</f>
        <v/>
      </c>
      <c r="U639" s="21">
        <f>N(AD639)*S639</f>
        <v/>
      </c>
      <c r="V639" s="21">
        <f>N(AE639)*S639</f>
        <v/>
      </c>
      <c r="W639" s="21">
        <f>IF(Q639="","",N(AF639)*S639)</f>
        <v/>
      </c>
      <c r="X639" s="11" t="n">
        <v>40799.31</v>
      </c>
      <c r="Y639" s="11" t="n">
        <v>189043.93</v>
      </c>
      <c r="Z639" s="11" t="n">
        <v>0</v>
      </c>
      <c r="AA639" s="21">
        <f>T639+U639+V639+N(W639)+X639+Y639+N(Z639)</f>
        <v/>
      </c>
      <c r="AB639" s="11" t="n">
        <v>354972.0230999999</v>
      </c>
      <c r="AC639" s="11" t="n">
        <v>3011326.45</v>
      </c>
      <c r="AD639" s="21">
        <f>O639-Y639</f>
        <v/>
      </c>
      <c r="AE639" s="21">
        <f>P639-X639</f>
        <v/>
      </c>
      <c r="AF639" s="21">
        <f>IF(Q639="","",Q639-Z639)</f>
        <v/>
      </c>
      <c r="AG639" s="22">
        <f>AC639+AD639+AE639+N(AF639)</f>
        <v/>
      </c>
      <c r="AH639" s="11" t="n">
        <v>2736390.66</v>
      </c>
      <c r="AI639" s="24">
        <f>AG639-AH639</f>
        <v/>
      </c>
      <c r="AJ639" s="14">
        <f>IF(OR(B639="",B639=0,N639=""),"",N639/B639*10000)</f>
        <v/>
      </c>
      <c r="AK639" s="14">
        <f>IF(OR(C639="",C639=0),"",O639/C639*10000)</f>
        <v/>
      </c>
      <c r="AL639" s="14">
        <f>IF(OR(D639="",D639=0),"",P639/D639*10000)</f>
        <v/>
      </c>
      <c r="AM639" s="14">
        <f>IF(OR(E639="",E639=0),"",Q639/E639*10000)</f>
        <v/>
      </c>
      <c r="AN639" s="11" t="n">
        <v>47006.5164704826</v>
      </c>
      <c r="AO639" s="11" t="n">
        <v>0</v>
      </c>
      <c r="AP639" s="21">
        <f>AH639+AN639+AO639</f>
        <v/>
      </c>
      <c r="AQ639" s="21">
        <f>AH639</f>
        <v/>
      </c>
      <c r="AR639" s="15" t="n">
        <v>32836.66</v>
      </c>
      <c r="AS639" s="27" t="n">
        <v>83.333404</v>
      </c>
      <c r="AT639" s="15" t="n">
        <v>46832944.50473923</v>
      </c>
      <c r="AU639" s="15" t="n">
        <v>26755.4963</v>
      </c>
      <c r="AV639" s="15" t="n">
        <v>3486.1441</v>
      </c>
      <c r="AW639" s="15" t="n"/>
      <c r="AX639" s="16" t="n">
        <v>436.5518954799842</v>
      </c>
      <c r="AY639" s="13">
        <f>IF(OR(AX639="",AX639=0,AU639=""),"",AU639*365/(AX639*1000000))</f>
        <v/>
      </c>
      <c r="AZ639" s="15" t="n">
        <v>412071061.8535</v>
      </c>
      <c r="BA639" s="17" t="n">
        <v>60487233</v>
      </c>
      <c r="BB639" s="18" t="n">
        <v>46832944.50473923</v>
      </c>
      <c r="BC639" s="17" t="n">
        <v>2971663</v>
      </c>
      <c r="BD639" s="17">
        <f>1000000000-998988280.8694+298242.0406</f>
        <v/>
      </c>
      <c r="BE639" s="19">
        <f>1000000000-AZ639-BA639-BB639-BC639-BD639</f>
        <v/>
      </c>
      <c r="BF639" s="20" t="n">
        <v>232.644283</v>
      </c>
      <c r="BG639" s="20">
        <f>BE639/1000000-BF639</f>
        <v/>
      </c>
      <c r="BH639" s="21">
        <f>BE639*81.92</f>
        <v/>
      </c>
    </row>
    <row r="640">
      <c r="A640" s="10" t="n">
        <v>46262</v>
      </c>
      <c r="B640" s="11" t="n">
        <v>8946040654</v>
      </c>
      <c r="C640" s="11" t="n">
        <v>2780197060.3</v>
      </c>
      <c r="D640" s="11" t="n">
        <v>299802521</v>
      </c>
      <c r="E640" s="11" t="n">
        <v>594239.5936800002</v>
      </c>
      <c r="F640" s="24" t="n">
        <v>571919229.7557344</v>
      </c>
      <c r="G640" s="24" t="n">
        <v>4283477.946212759</v>
      </c>
      <c r="H640" s="24" t="n">
        <v>8287719.45542337</v>
      </c>
      <c r="I640" s="24" t="n">
        <v>640173027.9434557</v>
      </c>
      <c r="J640" s="24" t="n">
        <v>618827.9070534458</v>
      </c>
      <c r="K640" s="24" t="n">
        <v>1554914777.292121</v>
      </c>
      <c r="L640" s="21">
        <f>SUM(F640:K640)</f>
        <v/>
      </c>
      <c r="M640" s="28" t="n">
        <v>1.081742467053707</v>
      </c>
      <c r="N640" s="11" t="n">
        <v>3098332.59</v>
      </c>
      <c r="O640" s="11" t="n">
        <v>381331.6800000001</v>
      </c>
      <c r="P640" s="11" t="n">
        <v>156469.19</v>
      </c>
      <c r="Q640" s="11" t="n">
        <v>120.01068</v>
      </c>
      <c r="R640" s="21">
        <f>N640+O640+P640+N(Q640)</f>
        <v/>
      </c>
      <c r="S640" s="13" t="n">
        <v>0.01</v>
      </c>
      <c r="T640" s="21">
        <f>N(AC640)*S640</f>
        <v/>
      </c>
      <c r="U640" s="21">
        <f>N(AD640)*S640</f>
        <v/>
      </c>
      <c r="V640" s="21">
        <f>N(AE640)*S640</f>
        <v/>
      </c>
      <c r="W640" s="21">
        <f>IF(Q640="","",N(AF640)*S640)</f>
        <v/>
      </c>
      <c r="X640" s="11" t="n">
        <v>30751.65</v>
      </c>
      <c r="Y640" s="11" t="n">
        <v>190128.45</v>
      </c>
      <c r="Z640" s="11" t="n">
        <v>0</v>
      </c>
      <c r="AA640" s="21">
        <f>T640+U640+V640+N(W640)+X640+Y640+N(Z640)</f>
        <v/>
      </c>
      <c r="AB640" s="11" t="n">
        <v>328834.2615</v>
      </c>
      <c r="AC640" s="11" t="n">
        <v>3098332.59</v>
      </c>
      <c r="AD640" s="21">
        <f>O640-Y640</f>
        <v/>
      </c>
      <c r="AE640" s="21">
        <f>P640-X640</f>
        <v/>
      </c>
      <c r="AF640" s="21">
        <f>IF(Q640="","",Q640-Z640)</f>
        <v/>
      </c>
      <c r="AG640" s="22">
        <f>AC640+AD640+AE640+N(AF640)</f>
        <v/>
      </c>
      <c r="AH640" s="11" t="n">
        <v>2799105.79</v>
      </c>
      <c r="AI640" s="24">
        <f>AG640-AH640</f>
        <v/>
      </c>
      <c r="AJ640" s="14">
        <f>IF(OR(B640="",B640=0,N640=""),"",N640/B640*10000)</f>
        <v/>
      </c>
      <c r="AK640" s="14">
        <f>IF(OR(C640="",C640=0),"",O640/C640*10000)</f>
        <v/>
      </c>
      <c r="AL640" s="14">
        <f>IF(OR(D640="",D640=0),"",P640/D640*10000)</f>
        <v/>
      </c>
      <c r="AM640" s="14">
        <f>IF(OR(E640="",E640=0),"",Q640/E640*10000)</f>
        <v/>
      </c>
      <c r="AN640" s="11" t="n">
        <v>38051.09412554586</v>
      </c>
      <c r="AO640" s="11" t="n">
        <v>42340.63</v>
      </c>
      <c r="AP640" s="21">
        <f>AH640+AN640+AO640</f>
        <v/>
      </c>
      <c r="AQ640" s="21">
        <f>AH640</f>
        <v/>
      </c>
      <c r="AR640" s="15" t="n">
        <v>33962.03</v>
      </c>
      <c r="AS640" s="27" t="n">
        <v>82.418683</v>
      </c>
      <c r="AT640" s="15" t="n">
        <v>46867083.26473923</v>
      </c>
      <c r="AU640" s="15" t="n">
        <v>26773.3433</v>
      </c>
      <c r="AV640" s="15" t="n">
        <v>3420.9639</v>
      </c>
      <c r="AW640" s="15" t="n"/>
      <c r="AX640" s="16" t="n">
        <v>436.4368100766029</v>
      </c>
      <c r="AY640" s="13">
        <f>IF(OR(AX640="",AX640=0,AU640=""),"",AU640*365/(AX640*1000000))</f>
        <v/>
      </c>
      <c r="AZ640" s="15" t="n">
        <v>412044288.5102</v>
      </c>
      <c r="BA640" s="17" t="n">
        <v>60487233</v>
      </c>
      <c r="BB640" s="18" t="n">
        <v>46867083.26473923</v>
      </c>
      <c r="BC640" s="17" t="n">
        <v>2971663</v>
      </c>
      <c r="BD640" s="17">
        <f>1000000000-998984859.9055+298692.5466</f>
        <v/>
      </c>
      <c r="BE640" s="19">
        <f>1000000000-AZ640-BA640-BB640-BC640-BD640</f>
        <v/>
      </c>
      <c r="BF640" s="20" t="n">
        <v>232.644283</v>
      </c>
      <c r="BG640" s="20">
        <f>BE640/1000000-BF640</f>
        <v/>
      </c>
      <c r="BH640" s="21">
        <f>BE640*84.51</f>
        <v/>
      </c>
    </row>
    <row r="641">
      <c r="A641" s="10" t="n">
        <v>46263</v>
      </c>
      <c r="B641" s="11" t="n">
        <v>2337127194</v>
      </c>
      <c r="C641" s="11" t="n">
        <v>287866059.35</v>
      </c>
      <c r="D641" s="11" t="n">
        <v>182830199</v>
      </c>
      <c r="E641" s="11" t="n">
        <v>564174.1457100001</v>
      </c>
      <c r="F641" s="24" t="n">
        <v>81138090.57219243</v>
      </c>
      <c r="G641" s="24" t="n">
        <v>3219305.276724631</v>
      </c>
      <c r="H641" s="24" t="n">
        <v>1227029.353572852</v>
      </c>
      <c r="I641" s="24" t="n">
        <v>65643387.05700488</v>
      </c>
      <c r="J641" s="24" t="n">
        <v>22363.42424374457</v>
      </c>
      <c r="K641" s="24" t="n">
        <v>136615883.6662615</v>
      </c>
      <c r="L641" s="21">
        <f>SUM(F641:K641)</f>
        <v/>
      </c>
      <c r="M641" s="28" t="n">
        <v>1.291713674124016</v>
      </c>
      <c r="N641" s="11" t="n">
        <v>819596.9300000001</v>
      </c>
      <c r="O641" s="11" t="n">
        <v>43245.48</v>
      </c>
      <c r="P641" s="11" t="n">
        <v>94287.69</v>
      </c>
      <c r="Q641" s="11" t="n">
        <v>178.70902204</v>
      </c>
      <c r="R641" s="21">
        <f>N641+O641+P641+N(Q641)</f>
        <v/>
      </c>
      <c r="S641" s="13" t="n">
        <v>0.01</v>
      </c>
      <c r="T641" s="21">
        <f>N(AC641)*S641</f>
        <v/>
      </c>
      <c r="U641" s="21">
        <f>N(AD641)*S641</f>
        <v/>
      </c>
      <c r="V641" s="21">
        <f>N(AE641)*S641</f>
        <v/>
      </c>
      <c r="W641" s="21">
        <f>IF(Q641="","",N(AF641)*S641)</f>
        <v/>
      </c>
      <c r="X641" s="11" t="n">
        <v>25670.09</v>
      </c>
      <c r="Y641" s="11" t="n">
        <v>21237.86</v>
      </c>
      <c r="Z641" s="12" t="n">
        <v>49.72123726</v>
      </c>
      <c r="AA641" s="21">
        <f>T641+U641+V641+N(W641)+X641+Y641+N(Z641)</f>
        <v/>
      </c>
      <c r="AB641" s="11" t="n">
        <v>83382.61609999998</v>
      </c>
      <c r="AC641" s="11" t="n">
        <v>819596.9300000001</v>
      </c>
      <c r="AD641" s="21">
        <f>O641-Y641</f>
        <v/>
      </c>
      <c r="AE641" s="21">
        <f>P641-X641</f>
        <v/>
      </c>
      <c r="AF641" s="21">
        <f>IF(Q641="","",Q641-Z641)</f>
        <v/>
      </c>
      <c r="AG641" s="22">
        <f>AC641+AD641+AE641+N(AF641)</f>
        <v/>
      </c>
      <c r="AH641" s="11" t="n">
        <v>729680.4399999999</v>
      </c>
      <c r="AI641" s="24">
        <f>AG641-AH641</f>
        <v/>
      </c>
      <c r="AJ641" s="14">
        <f>IF(OR(B641="",B641=0,N641=""),"",N641/B641*10000)</f>
        <v/>
      </c>
      <c r="AK641" s="14">
        <f>IF(OR(C641="",C641=0),"",O641/C641*10000)</f>
        <v/>
      </c>
      <c r="AL641" s="14">
        <f>IF(OR(D641="",D641=0),"",P641/D641*10000)</f>
        <v/>
      </c>
      <c r="AM641" s="14">
        <f>IF(OR(E641="",E641=0),"",Q641/E641*10000)</f>
        <v/>
      </c>
      <c r="AN641" s="11" t="n">
        <v>11918.45959111253</v>
      </c>
      <c r="AO641" s="11" t="n">
        <v>0</v>
      </c>
      <c r="AP641" s="21">
        <f>AH641+AN641+AO641</f>
        <v/>
      </c>
      <c r="AQ641" s="21">
        <f>AH641</f>
        <v/>
      </c>
      <c r="AR641" s="15" t="n">
        <v>8879.440000000001</v>
      </c>
      <c r="AS641" s="27" t="n">
        <v>82.17640299999999</v>
      </c>
      <c r="AT641" s="15" t="n">
        <v>46875687.13473923</v>
      </c>
      <c r="AU641" s="15" t="n">
        <v>26779.1672</v>
      </c>
      <c r="AV641" s="15" t="n">
        <v>4089.1116</v>
      </c>
      <c r="AW641" s="15" t="n"/>
      <c r="AX641" s="16" t="n">
        <v>436.8392320457972</v>
      </c>
      <c r="AY641" s="13">
        <f>IF(OR(AX641="",AX641=0,AU641=""),"",AU641*365/(AX641*1000000))</f>
        <v/>
      </c>
      <c r="AZ641" s="15" t="n">
        <v>412017509.343</v>
      </c>
      <c r="BA641" s="17" t="n">
        <v>60487233</v>
      </c>
      <c r="BB641" s="18" t="n">
        <v>46875687.13473923</v>
      </c>
      <c r="BC641" s="17" t="n">
        <v>2971663</v>
      </c>
      <c r="BD641" s="17">
        <f>1000000000-998980770.7939+298840.4165</f>
        <v/>
      </c>
      <c r="BE641" s="19">
        <f>1000000000-AZ641-BA641-BB641-BC641-BD641</f>
        <v/>
      </c>
      <c r="BF641" s="20" t="n">
        <v>232.644283</v>
      </c>
      <c r="BG641" s="20">
        <f>BE641/1000000-BF641</f>
        <v/>
      </c>
      <c r="BH641" s="21">
        <f>BE641*80.61</f>
        <v/>
      </c>
    </row>
    <row r="642">
      <c r="A642" s="10" t="n">
        <v>46264</v>
      </c>
      <c r="B642" s="11" t="n">
        <v>4796600904</v>
      </c>
      <c r="C642" s="11" t="n">
        <v>941755092.67</v>
      </c>
      <c r="D642" s="11" t="n">
        <v>148240207</v>
      </c>
      <c r="E642" s="11" t="n">
        <v>1541457.93436</v>
      </c>
      <c r="F642" s="24" t="n">
        <v>321000807.4761851</v>
      </c>
      <c r="G642" s="24" t="n">
        <v>1912502.351380004</v>
      </c>
      <c r="H642" s="24" t="n">
        <v>1383776.915443601</v>
      </c>
      <c r="I642" s="24" t="n">
        <v>215131502.0749009</v>
      </c>
      <c r="J642" s="24" t="n">
        <v>29869.88849339049</v>
      </c>
      <c r="K642" s="24" t="n">
        <v>402296633.9635971</v>
      </c>
      <c r="L642" s="21">
        <f>SUM(F642:K642)</f>
        <v/>
      </c>
      <c r="M642" s="28" t="n">
        <v>1.12156237481949</v>
      </c>
      <c r="N642" s="11" t="n">
        <v>1645403.06</v>
      </c>
      <c r="O642" s="11" t="n">
        <v>131945.82</v>
      </c>
      <c r="P642" s="11" t="n">
        <v>76037.8</v>
      </c>
      <c r="Q642" s="11" t="n">
        <v>764.8329730499999</v>
      </c>
      <c r="R642" s="21">
        <f>N642+O642+P642+N(Q642)</f>
        <v/>
      </c>
      <c r="S642" s="13" t="n">
        <v>0.01</v>
      </c>
      <c r="T642" s="21">
        <f>N(AC642)*S642</f>
        <v/>
      </c>
      <c r="U642" s="21">
        <f>N(AD642)*S642</f>
        <v/>
      </c>
      <c r="V642" s="21">
        <f>N(AE642)*S642</f>
        <v/>
      </c>
      <c r="W642" s="21">
        <f>IF(Q642="","",N(AF642)*S642)</f>
        <v/>
      </c>
      <c r="X642" s="11" t="n">
        <v>20859.3</v>
      </c>
      <c r="Y642" s="11" t="n">
        <v>65726.64999999999</v>
      </c>
      <c r="Z642" s="12" t="n">
        <v>336.3077897549997</v>
      </c>
      <c r="AA642" s="21">
        <f>T642+U642+V642+N(W642)+X642+Y642+N(Z642)</f>
        <v/>
      </c>
      <c r="AB642" s="11" t="n">
        <v>158266.6842</v>
      </c>
      <c r="AC642" s="11" t="n">
        <v>1645403.06</v>
      </c>
      <c r="AD642" s="21">
        <f>O642-Y642</f>
        <v/>
      </c>
      <c r="AE642" s="21">
        <f>P642-X642</f>
        <v/>
      </c>
      <c r="AF642" s="21">
        <f>IF(Q642="","",Q642-Z642)</f>
        <v/>
      </c>
      <c r="AG642" s="22">
        <f>AC642+AD642+AE642+N(AF642)</f>
        <v/>
      </c>
      <c r="AH642" s="11" t="n">
        <v>1469774.99</v>
      </c>
      <c r="AI642" s="24">
        <f>AG642-AH642</f>
        <v/>
      </c>
      <c r="AJ642" s="14">
        <f>IF(OR(B642="",B642=0,N642=""),"",N642/B642*10000)</f>
        <v/>
      </c>
      <c r="AK642" s="14">
        <f>IF(OR(C642="",C642=0),"",O642/C642*10000)</f>
        <v/>
      </c>
      <c r="AL642" s="14">
        <f>IF(OR(D642="",D642=0),"",P642/D642*10000)</f>
        <v/>
      </c>
      <c r="AM642" s="14">
        <f>IF(OR(E642="",E642=0),"",Q642/E642*10000)</f>
        <v/>
      </c>
      <c r="AN642" s="11" t="n">
        <v>14772.28153019895</v>
      </c>
      <c r="AO642" s="11" t="n">
        <v>41836.48</v>
      </c>
      <c r="AP642" s="21">
        <f>AH642+AN642+AO642</f>
        <v/>
      </c>
      <c r="AQ642" s="21">
        <f>AH642</f>
        <v/>
      </c>
      <c r="AR642" s="15" t="n">
        <v>17858.82</v>
      </c>
      <c r="AS642" s="27" t="n">
        <v>82.29967000000001</v>
      </c>
      <c r="AT642" s="15" t="n">
        <v>46893938.05473923</v>
      </c>
      <c r="AU642" s="15" t="n">
        <v>26823.8742</v>
      </c>
      <c r="AV642" s="15" t="n">
        <v>1888.2301</v>
      </c>
      <c r="AW642" s="15" t="n"/>
      <c r="AX642" s="16" t="n">
        <v>436.0633991814856</v>
      </c>
      <c r="AY642" s="13">
        <f>IF(OR(AX642="",AX642=0,AU642=""),"",AU642*365/(AX642*1000000))</f>
        <v/>
      </c>
      <c r="AZ642" s="15" t="n">
        <v>411990685.4688</v>
      </c>
      <c r="BA642" s="17" t="n">
        <v>60487233</v>
      </c>
      <c r="BB642" s="18" t="n">
        <v>46893938.05473923</v>
      </c>
      <c r="BC642" s="17" t="n">
        <v>2971663</v>
      </c>
      <c r="BD642" s="17">
        <f>1000000000-998978882.5638+299018.0149</f>
        <v/>
      </c>
      <c r="BE642" s="19">
        <f>1000000000-AZ642-BA642-BB642-BC642-BD642</f>
        <v/>
      </c>
      <c r="BF642" s="20" t="n">
        <v>232.644283</v>
      </c>
      <c r="BG642" s="20">
        <f>BE642/1000000-BF642</f>
        <v/>
      </c>
      <c r="BH642" s="21">
        <f>BE642*83.19</f>
        <v/>
      </c>
    </row>
    <row r="643">
      <c r="A643" s="10" t="n">
        <v>46265</v>
      </c>
      <c r="B643" s="11" t="n">
        <v>5743480379</v>
      </c>
      <c r="C643" s="11" t="n">
        <v>2515478612.72</v>
      </c>
      <c r="D643" s="11" t="n">
        <v>211275154</v>
      </c>
      <c r="E643" s="11" t="n">
        <v>1909851.38654</v>
      </c>
      <c r="F643" s="24" t="n">
        <v>563342271.3663893</v>
      </c>
      <c r="G643" s="24" t="n">
        <v>3246907.173459818</v>
      </c>
      <c r="H643" s="24" t="n">
        <v>4809799.854123153</v>
      </c>
      <c r="I643" s="24" t="n">
        <v>471099154.2137506</v>
      </c>
      <c r="J643" s="24" t="n">
        <v>439760.539081204</v>
      </c>
      <c r="K643" s="24" t="n">
        <v>1472540719.573195</v>
      </c>
      <c r="L643" s="21">
        <f>SUM(F643:K643)</f>
        <v/>
      </c>
      <c r="M643" s="28" t="n">
        <v>1.101541741095327</v>
      </c>
      <c r="N643" s="11" t="n">
        <v>1942767.29</v>
      </c>
      <c r="O643" s="11" t="n">
        <v>293841.84</v>
      </c>
      <c r="P643" s="11" t="n">
        <v>108531.26</v>
      </c>
      <c r="Q643" s="11" t="n">
        <v>758.12135733</v>
      </c>
      <c r="R643" s="21">
        <f>N643+O643+P643+N(Q643)</f>
        <v/>
      </c>
      <c r="S643" s="13" t="n">
        <v>0.01</v>
      </c>
      <c r="T643" s="21">
        <f>N(AC643)*S643</f>
        <v/>
      </c>
      <c r="U643" s="21">
        <f>N(AD643)*S643</f>
        <v/>
      </c>
      <c r="V643" s="21">
        <f>N(AE643)*S643</f>
        <v/>
      </c>
      <c r="W643" s="21">
        <f>IF(Q643="","",N(AF643)*S643)</f>
        <v/>
      </c>
      <c r="X643" s="11" t="n">
        <v>31758.22</v>
      </c>
      <c r="Y643" s="11" t="n">
        <v>146433.73</v>
      </c>
      <c r="Z643" s="12" t="n">
        <v>341.151760665</v>
      </c>
      <c r="AA643" s="21">
        <f>T643+U643+V643+N(W643)+X643+Y643+N(Z643)</f>
        <v/>
      </c>
      <c r="AB643" s="11" t="n">
        <v>199168.0204</v>
      </c>
      <c r="AC643" s="11" t="n">
        <v>1942767.29</v>
      </c>
      <c r="AD643" s="21">
        <f>O643-Y643</f>
        <v/>
      </c>
      <c r="AE643" s="21">
        <f>P643-X643</f>
        <v/>
      </c>
      <c r="AF643" s="21">
        <f>IF(Q643="","",Q643-Z643)</f>
        <v/>
      </c>
      <c r="AG643" s="22">
        <f>AC643+AD643+AE643+N(AF643)</f>
        <v/>
      </c>
      <c r="AH643" s="11" t="n">
        <v>1785981.78</v>
      </c>
      <c r="AI643" s="24">
        <f>AG643-AH643</f>
        <v/>
      </c>
      <c r="AJ643" s="14">
        <f>IF(OR(B643="",B643=0,N643=""),"",N643/B643*10000)</f>
        <v/>
      </c>
      <c r="AK643" s="14">
        <f>IF(OR(C643="",C643=0),"",O643/C643*10000)</f>
        <v/>
      </c>
      <c r="AL643" s="14">
        <f>IF(OR(D643="",D643=0),"",P643/D643*10000)</f>
        <v/>
      </c>
      <c r="AM643" s="14">
        <f>IF(OR(E643="",E643=0),"",Q643/E643*10000)</f>
        <v/>
      </c>
      <c r="AN643" s="11" t="n">
        <v>58281.25934584336</v>
      </c>
      <c r="AO643" s="11" t="n">
        <v>40023.37</v>
      </c>
      <c r="AP643" s="21">
        <f>AH643+AN643+AO643</f>
        <v/>
      </c>
      <c r="AQ643" s="21">
        <f>AH643</f>
        <v/>
      </c>
      <c r="AR643" s="15" t="n">
        <v>21824.51</v>
      </c>
      <c r="AS643" s="27" t="n">
        <v>81.833763</v>
      </c>
      <c r="AT643" s="15" t="n">
        <v>46915496.98473923</v>
      </c>
      <c r="AU643" s="15" t="n">
        <v>26810.4908</v>
      </c>
      <c r="AV643" s="15" t="n">
        <v>2256.3228</v>
      </c>
      <c r="AW643" s="15" t="n"/>
      <c r="AX643" s="16" t="n">
        <v>436.1899595411401</v>
      </c>
      <c r="AY643" s="13">
        <f>IF(OR(AX643="",AX643=0,AU643=""),"",AU643*365/(AX643*1000000))</f>
        <v/>
      </c>
      <c r="AZ643" s="15" t="n">
        <v>411963874.978</v>
      </c>
      <c r="BA643" s="17" t="n">
        <v>60487233</v>
      </c>
      <c r="BB643" s="18" t="n">
        <v>46915496.98473923</v>
      </c>
      <c r="BC643" s="17" t="n">
        <v>2971663</v>
      </c>
      <c r="BD643" s="17">
        <f>1000000000-998976626.241+299743.3573</f>
        <v/>
      </c>
      <c r="BE643" s="19">
        <f>1000000000-AZ643-BA643-BB643-BC643-BD643</f>
        <v/>
      </c>
      <c r="BF643" s="20" t="n">
        <v>232.644283</v>
      </c>
      <c r="BG643" s="20">
        <f>BE643/1000000-BF643</f>
        <v/>
      </c>
      <c r="BH643" s="21">
        <f>BE643*80.36</f>
        <v/>
      </c>
    </row>
    <row r="644">
      <c r="A644" s="10" t="n">
        <v>46266</v>
      </c>
      <c r="B644" s="11" t="n">
        <v>5842941864</v>
      </c>
      <c r="C644" s="11" t="n">
        <v>2815379391.69</v>
      </c>
      <c r="D644" s="11" t="n">
        <v>176649339</v>
      </c>
      <c r="E644" s="11" t="n">
        <v>3258364.571620005</v>
      </c>
      <c r="F644" s="24" t="n">
        <v>832940660.3812584</v>
      </c>
      <c r="G644" s="24" t="n">
        <v>2275545.390971948</v>
      </c>
      <c r="H644" s="24" t="n">
        <v>6004302.370447147</v>
      </c>
      <c r="I644" s="24" t="n">
        <v>723596277.3972671</v>
      </c>
      <c r="J644" s="24" t="n">
        <v>977303.7012143011</v>
      </c>
      <c r="K644" s="24" t="n">
        <v>1249585302.448841</v>
      </c>
      <c r="L644" s="21">
        <f>SUM(F644:K644)</f>
        <v/>
      </c>
      <c r="M644" s="28" t="n">
        <v>1.085345863569863</v>
      </c>
      <c r="N644" s="11" t="n">
        <v>2036593.84</v>
      </c>
      <c r="O644" s="11" t="n">
        <v>380163.77</v>
      </c>
      <c r="P644" s="11" t="n">
        <v>91110.04000000001</v>
      </c>
      <c r="Q644" s="11" t="n">
        <v>2367.199298080002</v>
      </c>
      <c r="R644" s="21">
        <f>N644+O644+P644+N(Q644)</f>
        <v/>
      </c>
      <c r="S644" s="13" t="n">
        <v>0.01</v>
      </c>
      <c r="T644" s="21">
        <f>N(AC644)*S644</f>
        <v/>
      </c>
      <c r="U644" s="21">
        <f>N(AD644)*S644</f>
        <v/>
      </c>
      <c r="V644" s="21">
        <f>N(AE644)*S644</f>
        <v/>
      </c>
      <c r="W644" s="21">
        <f>IF(Q644="","",N(AF644)*S644)</f>
        <v/>
      </c>
      <c r="X644" s="11" t="n">
        <v>22069.79</v>
      </c>
      <c r="Y644" s="11" t="n">
        <v>189802.63</v>
      </c>
      <c r="Z644" s="12" t="n">
        <v>1161.212202025001</v>
      </c>
      <c r="AA644" s="21">
        <f>T644+U644+V644+N(W644)+X644+Y644+N(Z644)</f>
        <v/>
      </c>
      <c r="AB644" s="11" t="n">
        <v>274447.1944</v>
      </c>
      <c r="AC644" s="11" t="n">
        <v>2036593.84</v>
      </c>
      <c r="AD644" s="21">
        <f>O644-Y644</f>
        <v/>
      </c>
      <c r="AE644" s="21">
        <f>P644-X644</f>
        <v/>
      </c>
      <c r="AF644" s="21">
        <f>IF(Q644="","",Q644-Z644)</f>
        <v/>
      </c>
      <c r="AG644" s="22">
        <f>AC644+AD644+AE644+N(AF644)</f>
        <v/>
      </c>
      <c r="AH644" s="11" t="n">
        <v>1828875.68</v>
      </c>
      <c r="AI644" s="24">
        <f>AG644-AH644</f>
        <v/>
      </c>
      <c r="AJ644" s="14">
        <f>IF(OR(B644="",B644=0,N644=""),"",N644/B644*10000)</f>
        <v/>
      </c>
      <c r="AK644" s="14">
        <f>IF(OR(C644="",C644=0),"",O644/C644*10000)</f>
        <v/>
      </c>
      <c r="AL644" s="14">
        <f>IF(OR(D644="",D644=0),"",P644/D644*10000)</f>
        <v/>
      </c>
      <c r="AM644" s="14">
        <f>IF(OR(E644="",E644=0),"",Q644/E644*10000)</f>
        <v/>
      </c>
      <c r="AN644" s="11" t="n">
        <v>48156.26783270008</v>
      </c>
      <c r="AO644" s="11" t="n">
        <v>0</v>
      </c>
      <c r="AP644" s="21">
        <f>AH644+AN644+AO644</f>
        <v/>
      </c>
      <c r="AQ644" s="21">
        <f>AH644</f>
        <v/>
      </c>
      <c r="AR644" s="15" t="n">
        <v>22061.38</v>
      </c>
      <c r="AS644" s="27" t="n">
        <v>82.899423</v>
      </c>
      <c r="AT644" s="15" t="n">
        <v>46937278.60473923</v>
      </c>
      <c r="AU644" s="15" t="n">
        <v>26814.4686</v>
      </c>
      <c r="AV644" s="15" t="n">
        <v>3008.9126</v>
      </c>
      <c r="AW644" s="15" t="n"/>
      <c r="AX644" s="16" t="n">
        <v>437.2746770647985</v>
      </c>
      <c r="AY644" s="13">
        <f>IF(OR(AX644="",AX644=0,AU644=""),"",AU644*365/(AX644*1000000))</f>
        <v/>
      </c>
      <c r="AZ644" s="15" t="n">
        <v>411937060.5094</v>
      </c>
      <c r="BA644" s="17" t="n">
        <v>60487233</v>
      </c>
      <c r="BB644" s="18" t="n">
        <v>46937278.60473923</v>
      </c>
      <c r="BC644" s="17" t="n">
        <v>2971663</v>
      </c>
      <c r="BD644" s="17">
        <f>1000000000-998973617.3284+300314.8297</f>
        <v/>
      </c>
      <c r="BE644" s="19">
        <f>1000000000-AZ644-BA644-BB644-BC644-BD644</f>
        <v/>
      </c>
      <c r="BF644" s="20" t="n">
        <v>232.644283</v>
      </c>
      <c r="BG644" s="20">
        <f>BE644/1000000-BF644</f>
        <v/>
      </c>
      <c r="BH644" s="21">
        <f>BE644*84.21</f>
        <v/>
      </c>
    </row>
    <row r="645">
      <c r="A645" s="10" t="n">
        <v>46267</v>
      </c>
      <c r="B645" s="11" t="n">
        <v>5428862578</v>
      </c>
      <c r="C645" s="11" t="n">
        <v>2374679691.74</v>
      </c>
      <c r="D645" s="11" t="n">
        <v>190554439</v>
      </c>
      <c r="E645" s="11" t="n">
        <v>3626046.55188</v>
      </c>
      <c r="F645" s="24" t="n">
        <v>777602963.1144466</v>
      </c>
      <c r="G645" s="24" t="n">
        <v>981274.6849812334</v>
      </c>
      <c r="H645" s="24" t="n">
        <v>13556170.03277595</v>
      </c>
      <c r="I645" s="24" t="n">
        <v>472312974.8196943</v>
      </c>
      <c r="J645" s="24" t="n">
        <v>588244.1490918244</v>
      </c>
      <c r="K645" s="24" t="n">
        <v>1109638064.93901</v>
      </c>
      <c r="L645" s="21">
        <f>SUM(F645:K645)</f>
        <v/>
      </c>
      <c r="M645" s="28" t="n">
        <v>1.077065129998427</v>
      </c>
      <c r="N645" s="11" t="n">
        <v>1790800.97</v>
      </c>
      <c r="O645" s="11" t="n">
        <v>306695.12</v>
      </c>
      <c r="P645" s="11" t="n">
        <v>94099.82000000001</v>
      </c>
      <c r="Q645" s="11" t="n">
        <v>2295.876773800002</v>
      </c>
      <c r="R645" s="21">
        <f>N645+O645+P645+N(Q645)</f>
        <v/>
      </c>
      <c r="S645" s="13" t="n">
        <v>0.01</v>
      </c>
      <c r="T645" s="21">
        <f>N(AC645)*S645</f>
        <v/>
      </c>
      <c r="U645" s="21">
        <f>N(AD645)*S645</f>
        <v/>
      </c>
      <c r="V645" s="21">
        <f>N(AE645)*S645</f>
        <v/>
      </c>
      <c r="W645" s="21">
        <f>IF(Q645="","",N(AF645)*S645)</f>
        <v/>
      </c>
      <c r="X645" s="11" t="n">
        <v>18866.38</v>
      </c>
      <c r="Y645" s="11" t="n">
        <v>153200.96</v>
      </c>
      <c r="Z645" s="12" t="n">
        <v>1118.658996490001</v>
      </c>
      <c r="AA645" s="21">
        <f>T645+U645+V645+N(W645)+X645+Y645+N(Z645)</f>
        <v/>
      </c>
      <c r="AB645" s="11" t="n">
        <v>165897.6714</v>
      </c>
      <c r="AC645" s="11" t="n">
        <v>1790800.97</v>
      </c>
      <c r="AD645" s="21">
        <f>O645-Y645</f>
        <v/>
      </c>
      <c r="AE645" s="21">
        <f>P645-X645</f>
        <v/>
      </c>
      <c r="AF645" s="21">
        <f>IF(Q645="","",Q645-Z645)</f>
        <v/>
      </c>
      <c r="AG645" s="22">
        <f>AC645+AD645+AE645+N(AF645)</f>
        <v/>
      </c>
      <c r="AH645" s="11" t="n">
        <v>1713354.46</v>
      </c>
      <c r="AI645" s="24">
        <f>AG645-AH645</f>
        <v/>
      </c>
      <c r="AJ645" s="14">
        <f>IF(OR(B645="",B645=0,N645=""),"",N645/B645*10000)</f>
        <v/>
      </c>
      <c r="AK645" s="14">
        <f>IF(OR(C645="",C645=0),"",O645/C645*10000)</f>
        <v/>
      </c>
      <c r="AL645" s="14">
        <f>IF(OR(D645="",D645=0),"",P645/D645*10000)</f>
        <v/>
      </c>
      <c r="AM645" s="14">
        <f>IF(OR(E645="",E645=0),"",Q645/E645*10000)</f>
        <v/>
      </c>
      <c r="AN645" s="11" t="n">
        <v>16009.46139407927</v>
      </c>
      <c r="AO645" s="11" t="n">
        <v>0</v>
      </c>
      <c r="AP645" s="21">
        <f>AH645+AN645+AO645</f>
        <v/>
      </c>
      <c r="AQ645" s="21">
        <f>AH645</f>
        <v/>
      </c>
      <c r="AR645" s="15" t="n">
        <v>20962.42</v>
      </c>
      <c r="AS645" s="27" t="n">
        <v>81.73457399999999</v>
      </c>
      <c r="AT645" s="15" t="n">
        <v>46958725.42473923</v>
      </c>
      <c r="AU645" s="15" t="n">
        <v>26850.2166</v>
      </c>
      <c r="AV645" s="15" t="n">
        <v>3025.9423</v>
      </c>
      <c r="AW645" s="15" t="n"/>
      <c r="AX645" s="16" t="n">
        <v>437.5311368816143</v>
      </c>
      <c r="AY645" s="13">
        <f>IF(OR(AX645="",AX645=0,AU645=""),"",AU645*365/(AX645*1000000))</f>
        <v/>
      </c>
      <c r="AZ645" s="15" t="n">
        <v>411910210.2928</v>
      </c>
      <c r="BA645" s="17" t="n">
        <v>60487233</v>
      </c>
      <c r="BB645" s="18" t="n">
        <v>46958725.42473923</v>
      </c>
      <c r="BC645" s="17" t="n">
        <v>2971663</v>
      </c>
      <c r="BD645" s="17">
        <f>1000000000-998970591.3862+300508.1130</f>
        <v/>
      </c>
      <c r="BE645" s="19">
        <f>1000000000-AZ645-BA645-BB645-BC645-BD645</f>
        <v/>
      </c>
      <c r="BF645" s="20" t="n">
        <v>232.644283</v>
      </c>
      <c r="BG645" s="20">
        <f>BE645/1000000-BF645</f>
        <v/>
      </c>
      <c r="BH645" s="21">
        <f>BE645*82.87</f>
        <v/>
      </c>
    </row>
    <row r="646">
      <c r="A646" s="10" t="n">
        <v>46268</v>
      </c>
      <c r="B646" s="11" t="n">
        <v>8312744611</v>
      </c>
      <c r="C646" s="11" t="n">
        <v>2802713657.5</v>
      </c>
      <c r="D646" s="11" t="n">
        <v>237152223</v>
      </c>
      <c r="E646" s="11" t="n">
        <v>2907843.50717</v>
      </c>
      <c r="F646" s="24" t="n">
        <v>722230979.5114937</v>
      </c>
      <c r="G646" s="24" t="n">
        <v>577716.8040752558</v>
      </c>
      <c r="H646" s="24" t="n">
        <v>25418528.88812848</v>
      </c>
      <c r="I646" s="24" t="n">
        <v>555519955.4226999</v>
      </c>
      <c r="J646" s="24" t="n">
        <v>372611.9920746236</v>
      </c>
      <c r="K646" s="24" t="n">
        <v>1498593864.881529</v>
      </c>
      <c r="L646" s="21">
        <f>SUM(F646:K646)</f>
        <v/>
      </c>
      <c r="M646" s="28" t="n">
        <v>1.087412479777816</v>
      </c>
      <c r="N646" s="11" t="n">
        <v>2914010.65</v>
      </c>
      <c r="O646" s="11" t="n">
        <v>347039.52</v>
      </c>
      <c r="P646" s="11" t="n">
        <v>114650.02</v>
      </c>
      <c r="Q646" s="11" t="n">
        <v>1363.27436954</v>
      </c>
      <c r="R646" s="21">
        <f>N646+O646+P646+N(Q646)</f>
        <v/>
      </c>
      <c r="S646" s="13" t="n">
        <v>0.01</v>
      </c>
      <c r="T646" s="21">
        <f>N(AC646)*S646</f>
        <v/>
      </c>
      <c r="U646" s="21">
        <f>N(AD646)*S646</f>
        <v/>
      </c>
      <c r="V646" s="21">
        <f>N(AE646)*S646</f>
        <v/>
      </c>
      <c r="W646" s="21">
        <f>IF(Q646="","",N(AF646)*S646)</f>
        <v/>
      </c>
      <c r="X646" s="11" t="n">
        <v>27647.24</v>
      </c>
      <c r="Y646" s="11" t="n">
        <v>173519.76</v>
      </c>
      <c r="Z646" s="12" t="n">
        <v>633.64330595</v>
      </c>
      <c r="AA646" s="21">
        <f>T646+U646+V646+N(W646)+X646+Y646+N(Z646)</f>
        <v/>
      </c>
      <c r="AB646" s="11" t="n">
        <v>342740.5523</v>
      </c>
      <c r="AC646" s="11" t="n">
        <v>2914010.65</v>
      </c>
      <c r="AD646" s="21">
        <f>O646-Y646</f>
        <v/>
      </c>
      <c r="AE646" s="21">
        <f>P646-X646</f>
        <v/>
      </c>
      <c r="AF646" s="21">
        <f>IF(Q646="","",Q646-Z646)</f>
        <v/>
      </c>
      <c r="AG646" s="22">
        <f>AC646+AD646+AE646+N(AF646)</f>
        <v/>
      </c>
      <c r="AH646" s="11" t="n">
        <v>2492959.3</v>
      </c>
      <c r="AI646" s="24">
        <f>AG646-AH646</f>
        <v/>
      </c>
      <c r="AJ646" s="14">
        <f>IF(OR(B646="",B646=0,N646=""),"",N646/B646*10000)</f>
        <v/>
      </c>
      <c r="AK646" s="14">
        <f>IF(OR(C646="",C646=0),"",O646/C646*10000)</f>
        <v/>
      </c>
      <c r="AL646" s="14">
        <f>IF(OR(D646="",D646=0),"",P646/D646*10000)</f>
        <v/>
      </c>
      <c r="AM646" s="14">
        <f>IF(OR(E646="",E646=0),"",Q646/E646*10000)</f>
        <v/>
      </c>
      <c r="AN646" s="11" t="n">
        <v>17591.53962978718</v>
      </c>
      <c r="AO646" s="11" t="n">
        <v>40958.13</v>
      </c>
      <c r="AP646" s="21">
        <f>AH646+AN646+AO646</f>
        <v/>
      </c>
      <c r="AQ646" s="21">
        <f>AH646</f>
        <v/>
      </c>
      <c r="AR646" s="15" t="n">
        <v>29850.37</v>
      </c>
      <c r="AS646" s="27" t="n">
        <v>83.51518900000001</v>
      </c>
      <c r="AT646" s="15" t="n">
        <v>46989515.39473923</v>
      </c>
      <c r="AU646" s="15" t="n">
        <v>26863.5967</v>
      </c>
      <c r="AV646" s="15" t="n">
        <v>2397.9483</v>
      </c>
      <c r="AW646" s="15" t="n"/>
      <c r="AX646" s="16" t="n">
        <v>438.2154043256529</v>
      </c>
      <c r="AY646" s="13">
        <f>IF(OR(AX646="",AX646=0,AU646=""),"",AU646*365/(AX646*1000000))</f>
        <v/>
      </c>
      <c r="AZ646" s="15" t="n">
        <v>411883346.6961</v>
      </c>
      <c r="BA646" s="17" t="n">
        <v>60487233</v>
      </c>
      <c r="BB646" s="18" t="n">
        <v>46989515.39473923</v>
      </c>
      <c r="BC646" s="17" t="n">
        <v>2971663</v>
      </c>
      <c r="BD646" s="17">
        <f>1000000000-998968193.4379+300723.7643</f>
        <v/>
      </c>
      <c r="BE646" s="19">
        <f>1000000000-AZ646-BA646-BB646-BC646-BD646</f>
        <v/>
      </c>
      <c r="BF646" s="20" t="n">
        <v>232.644283</v>
      </c>
      <c r="BG646" s="20">
        <f>BE646/1000000-BF646</f>
        <v/>
      </c>
      <c r="BH646" s="21">
        <f>BE646*81.59</f>
        <v/>
      </c>
    </row>
    <row r="647">
      <c r="A647" s="10" t="n">
        <v>46269</v>
      </c>
      <c r="B647" s="11" t="n">
        <v>6662518670</v>
      </c>
      <c r="C647" s="11" t="n">
        <v>2640071944.81</v>
      </c>
      <c r="D647" s="11" t="n">
        <v>237936953</v>
      </c>
      <c r="E647" s="11" t="n">
        <v>2166389.450370001</v>
      </c>
      <c r="F647" s="24" t="n">
        <v>782773126.7774905</v>
      </c>
      <c r="G647" s="24" t="n">
        <v>227796.9173015852</v>
      </c>
      <c r="H647" s="24" t="n">
        <v>20748382.49578217</v>
      </c>
      <c r="I647" s="24" t="n">
        <v>413830761.2699316</v>
      </c>
      <c r="J647" s="24" t="n">
        <v>532951.3372267983</v>
      </c>
      <c r="K647" s="24" t="n">
        <v>1421958926.012268</v>
      </c>
      <c r="L647" s="21">
        <f>SUM(F647:K647)</f>
        <v/>
      </c>
      <c r="M647" s="28" t="n">
        <v>1.076333248396285</v>
      </c>
      <c r="N647" s="11" t="n">
        <v>2402887.19</v>
      </c>
      <c r="O647" s="11" t="n">
        <v>336126.14</v>
      </c>
      <c r="P647" s="11" t="n">
        <v>126465.95</v>
      </c>
      <c r="Q647" s="11" t="n">
        <v>1034.232967059999</v>
      </c>
      <c r="R647" s="21">
        <f>N647+O647+P647+N(Q647)</f>
        <v/>
      </c>
      <c r="S647" s="13" t="n">
        <v>0.01</v>
      </c>
      <c r="T647" s="21">
        <f>N(AC647)*S647</f>
        <v/>
      </c>
      <c r="U647" s="21">
        <f>N(AD647)*S647</f>
        <v/>
      </c>
      <c r="V647" s="21">
        <f>N(AE647)*S647</f>
        <v/>
      </c>
      <c r="W647" s="21">
        <f>IF(Q647="","",N(AF647)*S647)</f>
        <v/>
      </c>
      <c r="X647" s="11" t="n">
        <v>29569.49</v>
      </c>
      <c r="Y647" s="11" t="n">
        <v>168063.07</v>
      </c>
      <c r="Z647" s="12" t="n">
        <v>494.5381448849998</v>
      </c>
      <c r="AA647" s="21">
        <f>T647+U647+V647+N(W647)+X647+Y647+N(Z647)</f>
        <v/>
      </c>
      <c r="AB647" s="11" t="n">
        <v>245226.8913</v>
      </c>
      <c r="AC647" s="11" t="n">
        <v>2402887.19</v>
      </c>
      <c r="AD647" s="21">
        <f>O647-Y647</f>
        <v/>
      </c>
      <c r="AE647" s="21">
        <f>P647-X647</f>
        <v/>
      </c>
      <c r="AF647" s="21">
        <f>IF(Q647="","",Q647-Z647)</f>
        <v/>
      </c>
      <c r="AG647" s="22">
        <f>AC647+AD647+AE647+N(AF647)</f>
        <v/>
      </c>
      <c r="AH647" s="11" t="n">
        <v>2183542.93</v>
      </c>
      <c r="AI647" s="24">
        <f>AG647-AH647</f>
        <v/>
      </c>
      <c r="AJ647" s="14">
        <f>IF(OR(B647="",B647=0,N647=""),"",N647/B647*10000)</f>
        <v/>
      </c>
      <c r="AK647" s="14">
        <f>IF(OR(C647="",C647=0),"",O647/C647*10000)</f>
        <v/>
      </c>
      <c r="AL647" s="14">
        <f>IF(OR(D647="",D647=0),"",P647/D647*10000)</f>
        <v/>
      </c>
      <c r="AM647" s="14">
        <f>IF(OR(E647="",E647=0),"",Q647/E647*10000)</f>
        <v/>
      </c>
      <c r="AN647" s="11" t="n">
        <v>17869.48580927877</v>
      </c>
      <c r="AO647" s="11" t="n">
        <v>0</v>
      </c>
      <c r="AP647" s="21">
        <f>AH647+AN647+AO647</f>
        <v/>
      </c>
      <c r="AQ647" s="21">
        <f>AH647</f>
        <v/>
      </c>
      <c r="AR647" s="15" t="n">
        <v>25496.59</v>
      </c>
      <c r="AS647" s="27" t="n">
        <v>85.640587</v>
      </c>
      <c r="AT647" s="15" t="n">
        <v>47013846.01473923</v>
      </c>
      <c r="AU647" s="15" t="n">
        <v>26878.7916</v>
      </c>
      <c r="AV647" s="15" t="n">
        <v>3200.529</v>
      </c>
      <c r="AW647" s="15" t="n"/>
      <c r="AX647" s="16" t="n">
        <v>438.4963495972885</v>
      </c>
      <c r="AY647" s="13">
        <f>IF(OR(AX647="",AX647=0,AU647=""),"",AU647*365/(AX647*1000000))</f>
        <v/>
      </c>
      <c r="AZ647" s="15" t="n">
        <v>411856467.9045</v>
      </c>
      <c r="BA647" s="17" t="n">
        <v>60487233</v>
      </c>
      <c r="BB647" s="18" t="n">
        <v>47013846.01473923</v>
      </c>
      <c r="BC647" s="17" t="n">
        <v>2971663</v>
      </c>
      <c r="BD647" s="17">
        <f>1000000000-998964992.9088+300929.2741</f>
        <v/>
      </c>
      <c r="BE647" s="19">
        <f>1000000000-AZ647-BA647-BB647-BC647-BD647</f>
        <v/>
      </c>
      <c r="BF647" s="20" t="n">
        <v>232.644283</v>
      </c>
      <c r="BG647" s="20">
        <f>BE647/1000000-BF647</f>
        <v/>
      </c>
      <c r="BH647" s="21">
        <f>BE647*86.9</f>
        <v/>
      </c>
    </row>
    <row r="648">
      <c r="A648" s="10" t="n">
        <v>46270</v>
      </c>
      <c r="B648" s="11" t="n">
        <v>2437498577</v>
      </c>
      <c r="C648" s="11" t="n">
        <v>350678392.29</v>
      </c>
      <c r="D648" s="11" t="n">
        <v>99912719</v>
      </c>
      <c r="E648" s="11" t="n">
        <v>1280655.08487</v>
      </c>
      <c r="F648" s="24" t="n">
        <v>95448771.2466629</v>
      </c>
      <c r="G648" s="24" t="n">
        <v>310851.0358204265</v>
      </c>
      <c r="H648" s="24" t="n">
        <v>2761006.174496664</v>
      </c>
      <c r="I648" s="24" t="n">
        <v>73424241.97886318</v>
      </c>
      <c r="J648" s="24" t="n">
        <v>60542.24425387745</v>
      </c>
      <c r="K648" s="24" t="n">
        <v>178672979.609903</v>
      </c>
      <c r="L648" s="21">
        <f>SUM(F648:K648)</f>
        <v/>
      </c>
      <c r="M648" s="28" t="n">
        <v>1.138195609417969</v>
      </c>
      <c r="N648" s="11" t="n">
        <v>921935</v>
      </c>
      <c r="O648" s="11" t="n">
        <v>51295.64</v>
      </c>
      <c r="P648" s="11" t="n">
        <v>52746.25</v>
      </c>
      <c r="Q648" s="11" t="n">
        <v>642.0449818899998</v>
      </c>
      <c r="R648" s="21">
        <f>N648+O648+P648+N(Q648)</f>
        <v/>
      </c>
      <c r="S648" s="13" t="n">
        <v>0.01</v>
      </c>
      <c r="T648" s="21">
        <f>N(AC648)*S648</f>
        <v/>
      </c>
      <c r="U648" s="21">
        <f>N(AD648)*S648</f>
        <v/>
      </c>
      <c r="V648" s="21">
        <f>N(AE648)*S648</f>
        <v/>
      </c>
      <c r="W648" s="21">
        <f>IF(Q648="","",N(AF648)*S648)</f>
        <v/>
      </c>
      <c r="X648" s="11" t="n">
        <v>9526.610000000001</v>
      </c>
      <c r="Y648" s="11" t="n">
        <v>25647.82</v>
      </c>
      <c r="Z648" s="12" t="n">
        <v>308.0477587849999</v>
      </c>
      <c r="AA648" s="21">
        <f>T648+U648+V648+N(W648)+X648+Y648+N(Z648)</f>
        <v/>
      </c>
      <c r="AB648" s="11" t="n">
        <v>99579.13599999997</v>
      </c>
      <c r="AC648" s="11" t="n">
        <v>921935</v>
      </c>
      <c r="AD648" s="21">
        <f>O648-Y648</f>
        <v/>
      </c>
      <c r="AE648" s="21">
        <f>P648-X648</f>
        <v/>
      </c>
      <c r="AF648" s="21">
        <f>IF(Q648="","",Q648-Z648)</f>
        <v/>
      </c>
      <c r="AG648" s="22">
        <f>AC648+AD648+AE648+N(AF648)</f>
        <v/>
      </c>
      <c r="AH648" s="11" t="n">
        <v>825319.38</v>
      </c>
      <c r="AI648" s="24">
        <f>AG648-AH648</f>
        <v/>
      </c>
      <c r="AJ648" s="14">
        <f>IF(OR(B648="",B648=0,N648=""),"",N648/B648*10000)</f>
        <v/>
      </c>
      <c r="AK648" s="14">
        <f>IF(OR(C648="",C648=0),"",O648/C648*10000)</f>
        <v/>
      </c>
      <c r="AL648" s="14">
        <f>IF(OR(D648="",D648=0),"",P648/D648*10000)</f>
        <v/>
      </c>
      <c r="AM648" s="14">
        <f>IF(OR(E648="",E648=0),"",Q648/E648*10000)</f>
        <v/>
      </c>
      <c r="AN648" s="11" t="n">
        <v>7822.320888536797</v>
      </c>
      <c r="AO648" s="11" t="n">
        <v>42213.57</v>
      </c>
      <c r="AP648" s="21">
        <f>AH648+AN648+AO648</f>
        <v/>
      </c>
      <c r="AQ648" s="21">
        <f>AH648</f>
        <v/>
      </c>
      <c r="AR648" s="15" t="n">
        <v>9703.719999999999</v>
      </c>
      <c r="AS648" s="27" t="n">
        <v>85.05185400000001</v>
      </c>
      <c r="AT648" s="15" t="n">
        <v>47023171.49473923</v>
      </c>
      <c r="AU648" s="15" t="n">
        <v>26888.84</v>
      </c>
      <c r="AV648" s="15" t="n">
        <v>2293.4684</v>
      </c>
      <c r="AW648" s="15" t="n"/>
      <c r="AX648" s="16" t="n">
        <v>438.6920276835842</v>
      </c>
      <c r="AY648" s="13">
        <f>IF(OR(AX648="",AX648=0,AU648=""),"",AU648*365/(AX648*1000000))</f>
        <v/>
      </c>
      <c r="AZ648" s="15" t="n">
        <v>411829579.0645</v>
      </c>
      <c r="BA648" s="17" t="n">
        <v>60487233</v>
      </c>
      <c r="BB648" s="18" t="n">
        <v>47023171.49473923</v>
      </c>
      <c r="BC648" s="17" t="n">
        <v>2971663</v>
      </c>
      <c r="BD648" s="17">
        <f>1000000000-998962699.4405+301021.7409</f>
        <v/>
      </c>
      <c r="BE648" s="19">
        <f>1000000000-AZ648-BA648-BB648-BC648-BD648</f>
        <v/>
      </c>
      <c r="BF648" s="20" t="n">
        <v>232.644283</v>
      </c>
      <c r="BG648" s="20">
        <f>BE648/1000000-BF648</f>
        <v/>
      </c>
      <c r="BH648" s="21">
        <f>BE648*84.54</f>
        <v/>
      </c>
    </row>
    <row r="649">
      <c r="A649" s="10" t="n">
        <v>46271</v>
      </c>
      <c r="B649" s="11" t="n">
        <v>3836039708</v>
      </c>
      <c r="C649" s="11" t="n">
        <v>547880644.4299999</v>
      </c>
      <c r="D649" s="11" t="n">
        <v>180702339</v>
      </c>
      <c r="E649" s="11" t="n">
        <v>1142321.459650001</v>
      </c>
      <c r="F649" s="24" t="n">
        <v>137587566.3356519</v>
      </c>
      <c r="G649" s="24" t="n">
        <v>199309.1267919636</v>
      </c>
      <c r="H649" s="24" t="n">
        <v>4190742.510958153</v>
      </c>
      <c r="I649" s="24" t="n">
        <v>142673467.9314937</v>
      </c>
      <c r="J649" s="24" t="n">
        <v>138917.8593080056</v>
      </c>
      <c r="K649" s="24" t="n">
        <v>263090640.6657962</v>
      </c>
      <c r="L649" s="21">
        <f>SUM(F649:K649)</f>
        <v/>
      </c>
      <c r="M649" s="28" t="n">
        <v>1.117307578334527</v>
      </c>
      <c r="N649" s="11" t="n">
        <v>1446980.73</v>
      </c>
      <c r="O649" s="11" t="n">
        <v>69957.89999999999</v>
      </c>
      <c r="P649" s="11" t="n">
        <v>93106.67</v>
      </c>
      <c r="Q649" s="11" t="n">
        <v>652.6733639299998</v>
      </c>
      <c r="R649" s="21">
        <f>N649+O649+P649+N(Q649)</f>
        <v/>
      </c>
      <c r="S649" s="13" t="n">
        <v>0.01</v>
      </c>
      <c r="T649" s="21">
        <f>N(AC649)*S649</f>
        <v/>
      </c>
      <c r="U649" s="21">
        <f>N(AD649)*S649</f>
        <v/>
      </c>
      <c r="V649" s="21">
        <f>N(AE649)*S649</f>
        <v/>
      </c>
      <c r="W649" s="21">
        <f>IF(Q649="","",N(AF649)*S649)</f>
        <v/>
      </c>
      <c r="X649" s="11" t="n">
        <v>20542.06</v>
      </c>
      <c r="Y649" s="11" t="n">
        <v>34978.95</v>
      </c>
      <c r="Z649" s="12" t="n">
        <v>265.534567155</v>
      </c>
      <c r="AA649" s="21">
        <f>T649+U649+V649+N(W649)+X649+Y649+N(Z649)</f>
        <v/>
      </c>
      <c r="AB649" s="11" t="n">
        <v>154813.3337</v>
      </c>
      <c r="AC649" s="11" t="n">
        <v>1446980.73</v>
      </c>
      <c r="AD649" s="21">
        <f>O649-Y649</f>
        <v/>
      </c>
      <c r="AE649" s="21">
        <f>P649-X649</f>
        <v/>
      </c>
      <c r="AF649" s="21">
        <f>IF(Q649="","",Q649-Z649)</f>
        <v/>
      </c>
      <c r="AG649" s="22">
        <f>AC649+AD649+AE649+N(AF649)</f>
        <v/>
      </c>
      <c r="AH649" s="11" t="n">
        <v>1176712.31</v>
      </c>
      <c r="AI649" s="24">
        <f>AG649-AH649</f>
        <v/>
      </c>
      <c r="AJ649" s="14">
        <f>IF(OR(B649="",B649=0,N649=""),"",N649/B649*10000)</f>
        <v/>
      </c>
      <c r="AK649" s="14">
        <f>IF(OR(C649="",C649=0),"",O649/C649*10000)</f>
        <v/>
      </c>
      <c r="AL649" s="14">
        <f>IF(OR(D649="",D649=0),"",P649/D649*10000)</f>
        <v/>
      </c>
      <c r="AM649" s="14">
        <f>IF(OR(E649="",E649=0),"",Q649/E649*10000)</f>
        <v/>
      </c>
      <c r="AN649" s="11" t="n">
        <v>28498.76598885116</v>
      </c>
      <c r="AO649" s="11" t="n">
        <v>0</v>
      </c>
      <c r="AP649" s="21">
        <f>AH649+AN649+AO649</f>
        <v/>
      </c>
      <c r="AQ649" s="21">
        <f>AH649</f>
        <v/>
      </c>
      <c r="AR649" s="15" t="n">
        <v>13463.69</v>
      </c>
      <c r="AS649" s="27" t="n">
        <v>87.398946</v>
      </c>
      <c r="AT649" s="15" t="n">
        <v>47037928.65473923</v>
      </c>
      <c r="AU649" s="15" t="n">
        <v>26908.1213</v>
      </c>
      <c r="AV649" s="15" t="n">
        <v>2223.0171</v>
      </c>
      <c r="AW649" s="15" t="n">
        <v>433419</v>
      </c>
      <c r="AX649" s="16" t="n">
        <v>440.0147342973821</v>
      </c>
      <c r="AY649" s="13">
        <f>IF(OR(AX649="",AX649=0,AU649=""),"",AU649*365/(AX649*1000000))</f>
        <v/>
      </c>
      <c r="AZ649" s="15" t="n">
        <v>411802670.9432</v>
      </c>
      <c r="BA649" s="17" t="n">
        <v>60487233</v>
      </c>
      <c r="BB649" s="18" t="n">
        <v>47037928.65473923</v>
      </c>
      <c r="BC649" s="17" t="n">
        <v>2971663</v>
      </c>
      <c r="BD649" s="17">
        <f>1000000000-998960476.4233+301354.9039</f>
        <v/>
      </c>
      <c r="BE649" s="19">
        <f>1000000000-AZ649-BA649-BB649-BC649-BD649</f>
        <v/>
      </c>
      <c r="BF649" s="20" t="n">
        <v>232.210864</v>
      </c>
      <c r="BG649" s="20">
        <f>BE649/1000000-BF649</f>
        <v/>
      </c>
      <c r="BH649" s="21">
        <f>BE649*85.55</f>
        <v/>
      </c>
    </row>
    <row r="650">
      <c r="A650" s="10" t="n">
        <v>46272</v>
      </c>
      <c r="B650" s="11" t="n">
        <v>4153793549</v>
      </c>
      <c r="C650" s="11" t="n">
        <v>1257497481.78</v>
      </c>
      <c r="D650" s="11" t="n">
        <v>157741904</v>
      </c>
      <c r="E650" s="11" t="n">
        <v>1005415.60907</v>
      </c>
      <c r="F650" s="24" t="n">
        <v>443988109.4904028</v>
      </c>
      <c r="G650" s="24" t="n">
        <v>321005.4051850407</v>
      </c>
      <c r="H650" s="24" t="n">
        <v>7022189.097918404</v>
      </c>
      <c r="I650" s="24" t="n">
        <v>233894902.2831981</v>
      </c>
      <c r="J650" s="24" t="n">
        <v>63114.93872384248</v>
      </c>
      <c r="K650" s="24" t="n">
        <v>572208160.5645719</v>
      </c>
      <c r="L650" s="21">
        <f>SUM(F650:K650)</f>
        <v/>
      </c>
      <c r="M650" s="28" t="n">
        <v>1.105114330277276</v>
      </c>
      <c r="N650" s="11" t="n">
        <v>1517784.71</v>
      </c>
      <c r="O650" s="11" t="n">
        <v>166588.76</v>
      </c>
      <c r="P650" s="11" t="n">
        <v>79044.69</v>
      </c>
      <c r="Q650" s="11" t="n">
        <v>528.5977794000001</v>
      </c>
      <c r="R650" s="21">
        <f>N650+O650+P650+N(Q650)</f>
        <v/>
      </c>
      <c r="S650" s="13" t="n">
        <v>0.01</v>
      </c>
      <c r="T650" s="21">
        <f>N(AC650)*S650</f>
        <v/>
      </c>
      <c r="U650" s="21">
        <f>N(AD650)*S650</f>
        <v/>
      </c>
      <c r="V650" s="21">
        <f>N(AE650)*S650</f>
        <v/>
      </c>
      <c r="W650" s="21">
        <f>IF(Q650="","",N(AF650)*S650)</f>
        <v/>
      </c>
      <c r="X650" s="11" t="n">
        <v>15522.4</v>
      </c>
      <c r="Y650" s="11" t="n">
        <v>83294.38</v>
      </c>
      <c r="Z650" s="12" t="n">
        <v>197.747299515</v>
      </c>
      <c r="AA650" s="21">
        <f>T650+U650+V650+N(W650)+X650+Y650+N(Z650)</f>
        <v/>
      </c>
      <c r="AB650" s="11" t="n">
        <v>160669.8238</v>
      </c>
      <c r="AC650" s="11" t="n">
        <v>1517784.71</v>
      </c>
      <c r="AD650" s="21">
        <f>O650-Y650</f>
        <v/>
      </c>
      <c r="AE650" s="21">
        <f>P650-X650</f>
        <v/>
      </c>
      <c r="AF650" s="21">
        <f>IF(Q650="","",Q650-Z650)</f>
        <v/>
      </c>
      <c r="AG650" s="22">
        <f>AC650+AD650+AE650+N(AF650)</f>
        <v/>
      </c>
      <c r="AH650" s="11" t="n">
        <v>1429820.62</v>
      </c>
      <c r="AI650" s="24">
        <f>AG650-AH650</f>
        <v/>
      </c>
      <c r="AJ650" s="14">
        <f>IF(OR(B650="",B650=0,N650=""),"",N650/B650*10000)</f>
        <v/>
      </c>
      <c r="AK650" s="14">
        <f>IF(OR(C650="",C650=0),"",O650/C650*10000)</f>
        <v/>
      </c>
      <c r="AL650" s="14">
        <f>IF(OR(D650="",D650=0),"",P650/D650*10000)</f>
        <v/>
      </c>
      <c r="AM650" s="14">
        <f>IF(OR(E650="",E650=0),"",Q650/E650*10000)</f>
        <v/>
      </c>
      <c r="AN650" s="11" t="n">
        <v>11559.88797268914</v>
      </c>
      <c r="AO650" s="11" t="n">
        <v>0</v>
      </c>
      <c r="AP650" s="21">
        <f>AH650+AN650+AO650</f>
        <v/>
      </c>
      <c r="AQ650" s="21">
        <f>AH650</f>
        <v/>
      </c>
      <c r="AR650" s="15" t="n">
        <v>16539.32</v>
      </c>
      <c r="AS650" s="27" t="n">
        <v>86.449783</v>
      </c>
      <c r="AT650" s="15" t="n">
        <v>47053409.17473923</v>
      </c>
      <c r="AU650" s="15" t="n">
        <v>26929.8344</v>
      </c>
      <c r="AV650" s="15" t="n">
        <v>2178.4429</v>
      </c>
      <c r="AX650" s="16" t="n">
        <v>440.0169305542257</v>
      </c>
      <c r="AY650" s="13">
        <f>IF(OR(AX650="",AX650=0,AU650=""),"",AU650*365/(AX650*1000000))</f>
        <v/>
      </c>
      <c r="AZ650" s="15" t="n">
        <v>411775741.1088</v>
      </c>
      <c r="BA650" s="17" t="n">
        <v>60487233</v>
      </c>
      <c r="BB650" s="18" t="n">
        <v>47053409.17473923</v>
      </c>
      <c r="BC650" s="17" t="n">
        <v>2971663</v>
      </c>
      <c r="BD650" s="17">
        <f>1000000000-998958297.9804+301486.6916</f>
        <v/>
      </c>
      <c r="BE650" s="19">
        <f>1000000000-AZ650-BA650-BB650-BC650-BD650</f>
        <v/>
      </c>
      <c r="BF650" s="30" t="n">
        <v>232.210864</v>
      </c>
      <c r="BG650" s="30">
        <f>BE650/1000000-BF650</f>
        <v/>
      </c>
      <c r="BH650" s="21">
        <f>BE650*87.72</f>
        <v/>
      </c>
    </row>
    <row r="651">
      <c r="A651" s="10" t="n">
        <v>46273</v>
      </c>
      <c r="B651" s="11" t="n">
        <v>5209148370</v>
      </c>
      <c r="C651" s="11" t="n">
        <v>3127780260.56</v>
      </c>
      <c r="D651" s="11" t="n">
        <v>168110612</v>
      </c>
      <c r="E651" s="11" t="n">
        <v>1631268.63361</v>
      </c>
      <c r="F651" s="24" t="n">
        <v>704542339.5383382</v>
      </c>
      <c r="G651" s="24" t="n">
        <v>358132.801754972</v>
      </c>
      <c r="H651" s="24" t="n">
        <v>30011892.36394791</v>
      </c>
      <c r="I651" s="24" t="n">
        <v>599873476.997601</v>
      </c>
      <c r="J651" s="24" t="n">
        <v>1100023.676193743</v>
      </c>
      <c r="K651" s="24" t="n">
        <v>1791894395.182164</v>
      </c>
      <c r="L651" s="21">
        <f>SUM(F651:K651)</f>
        <v/>
      </c>
      <c r="M651" s="28" t="n">
        <v>1.08051887596412</v>
      </c>
      <c r="N651" s="11" t="n">
        <v>1824806.88</v>
      </c>
      <c r="O651" s="11" t="n">
        <v>334785.76</v>
      </c>
      <c r="P651" s="11" t="n">
        <v>88527.47</v>
      </c>
      <c r="Q651" s="11" t="n">
        <v>856.0260484400007</v>
      </c>
      <c r="R651" s="21">
        <f>N651+O651+P651+N(Q651)</f>
        <v/>
      </c>
      <c r="S651" s="13" t="n">
        <v>0.01</v>
      </c>
      <c r="T651" s="21">
        <f>N(AC651)*S651</f>
        <v/>
      </c>
      <c r="U651" s="21">
        <f>N(AD651)*S651</f>
        <v/>
      </c>
      <c r="V651" s="21">
        <f>N(AE651)*S651</f>
        <v/>
      </c>
      <c r="W651" s="21">
        <f>IF(Q651="","",N(AF651)*S651)</f>
        <v/>
      </c>
      <c r="X651" s="11" t="n">
        <v>24769.78</v>
      </c>
      <c r="Y651" s="11" t="n">
        <v>167392.88</v>
      </c>
      <c r="Z651" s="12" t="n">
        <v>401.5825991400002</v>
      </c>
      <c r="AA651" s="21">
        <f>T651+U651+V651+N(W651)+X651+Y651+N(Z651)</f>
        <v/>
      </c>
      <c r="AB651" s="11" t="n">
        <v>210935.5838</v>
      </c>
      <c r="AC651" s="11" t="n">
        <v>1824806.88</v>
      </c>
      <c r="AD651" s="21">
        <f>O651-Y651</f>
        <v/>
      </c>
      <c r="AE651" s="21">
        <f>P651-X651</f>
        <v/>
      </c>
      <c r="AF651" s="21">
        <f>IF(Q651="","",Q651-Z651)</f>
        <v/>
      </c>
      <c r="AG651" s="22">
        <f>AC651+AD651+AE651+N(AF651)</f>
        <v/>
      </c>
      <c r="AH651" s="11" t="n">
        <v>1686963.54</v>
      </c>
      <c r="AI651" s="24">
        <f>AG651-AH651</f>
        <v/>
      </c>
      <c r="AJ651" s="14">
        <f>IF(OR(B651="",B651=0,N651=""),"",N651/B651*10000)</f>
        <v/>
      </c>
      <c r="AK651" s="14">
        <f>IF(OR(C651="",C651=0),"",O651/C651*10000)</f>
        <v/>
      </c>
      <c r="AL651" s="14">
        <f>IF(OR(D651="",D651=0),"",P651/D651*10000)</f>
        <v/>
      </c>
      <c r="AM651" s="14">
        <f>IF(OR(E651="",E651=0),"",Q651/E651*10000)</f>
        <v/>
      </c>
      <c r="AN651" s="11" t="n">
        <v>16341.83771997655</v>
      </c>
      <c r="AO651" s="11" t="n">
        <v>0</v>
      </c>
      <c r="AP651" s="21">
        <f>AH651+AN651+AO651</f>
        <v/>
      </c>
      <c r="AQ651" s="21">
        <f>AH651</f>
        <v/>
      </c>
      <c r="AR651" s="15" t="n">
        <v>20126.09</v>
      </c>
      <c r="AS651" s="27" t="n">
        <v>83.81973600000001</v>
      </c>
      <c r="AT651" s="15" t="n">
        <v>47073300.10473923</v>
      </c>
      <c r="AU651" s="15" t="n">
        <v>26945.0686</v>
      </c>
      <c r="AV651" s="15" t="n">
        <v>2132.7332</v>
      </c>
      <c r="AX651" s="16" t="n">
        <v>440.4604628323904</v>
      </c>
      <c r="AY651" s="13">
        <f>IF(OR(AX651="",AX651=0,AU651=""),"",AU651*365/(AX651*1000000))</f>
        <v/>
      </c>
      <c r="AZ651" s="15" t="n">
        <v>411748796.0401</v>
      </c>
      <c r="BA651" s="17" t="n">
        <v>60487233</v>
      </c>
      <c r="BB651" s="18" t="n">
        <v>47073300.10473923</v>
      </c>
      <c r="BC651" s="17" t="n">
        <v>2971663</v>
      </c>
      <c r="BD651" s="17">
        <f>1000000000-998956165.2473+301679.4611</f>
        <v/>
      </c>
      <c r="BE651" s="19">
        <f>1000000000-AZ651-BA651-BB651-BC651-BD651</f>
        <v/>
      </c>
      <c r="BF651" s="30" t="n">
        <v>232.210864</v>
      </c>
      <c r="BG651" s="30">
        <f>BE651/1000000-BF651</f>
        <v/>
      </c>
      <c r="BH651" s="21">
        <f>BE651*84.75</f>
        <v/>
      </c>
    </row>
    <row r="652">
      <c r="A652" s="10" t="n">
        <v>46274</v>
      </c>
      <c r="B652" s="11" t="n">
        <v>6728011579</v>
      </c>
      <c r="C652" s="11" t="n">
        <v>2808920525.98</v>
      </c>
      <c r="D652" s="11" t="n">
        <v>180725138</v>
      </c>
      <c r="E652" s="11" t="n">
        <v>1730758.434689999</v>
      </c>
      <c r="F652" s="24" t="n">
        <v>711843455.4896067</v>
      </c>
      <c r="G652" s="24" t="n">
        <v>704264.0633859881</v>
      </c>
      <c r="H652" s="24" t="n">
        <v>24185037.52851143</v>
      </c>
      <c r="I652" s="24" t="n">
        <v>567552211.6799669</v>
      </c>
      <c r="J652" s="24" t="n">
        <v>918011.515559713</v>
      </c>
      <c r="K652" s="24" t="n">
        <v>1503717545.702969</v>
      </c>
      <c r="L652" s="21">
        <f>SUM(F652:K652)</f>
        <v/>
      </c>
      <c r="M652" s="28" t="n">
        <v>1.09228053292583</v>
      </c>
      <c r="N652" s="11" t="n">
        <v>2353760.95</v>
      </c>
      <c r="O652" s="11" t="n">
        <v>325131.64</v>
      </c>
      <c r="P652" s="11" t="n">
        <v>92751.92</v>
      </c>
      <c r="Q652" s="11" t="n">
        <v>951.2050424500007</v>
      </c>
      <c r="R652" s="21">
        <f>N652+O652+P652+N(Q652)</f>
        <v/>
      </c>
      <c r="S652" s="13" t="n">
        <v>0.01</v>
      </c>
      <c r="T652" s="21">
        <f>N(AC652)*S652</f>
        <v/>
      </c>
      <c r="U652" s="21">
        <f>N(AD652)*S652</f>
        <v/>
      </c>
      <c r="V652" s="21">
        <f>N(AE652)*S652</f>
        <v/>
      </c>
      <c r="W652" s="21">
        <f>IF(Q652="","",N(AF652)*S652)</f>
        <v/>
      </c>
      <c r="X652" s="11" t="n">
        <v>18978.13</v>
      </c>
      <c r="Y652" s="11" t="n">
        <v>162565.82</v>
      </c>
      <c r="Z652" s="12" t="n">
        <v>434.54647257</v>
      </c>
      <c r="AA652" s="21">
        <f>T652+U652+V652+N(W652)+X652+Y652+N(Z652)</f>
        <v/>
      </c>
      <c r="AB652" s="11" t="n">
        <v>246698.2289</v>
      </c>
      <c r="AC652" s="11" t="n">
        <v>2353760.95</v>
      </c>
      <c r="AD652" s="21">
        <f>O652-Y652</f>
        <v/>
      </c>
      <c r="AE652" s="21">
        <f>P652-X652</f>
        <v/>
      </c>
      <c r="AF652" s="21">
        <f>IF(Q652="","",Q652-Z652)</f>
        <v/>
      </c>
      <c r="AG652" s="22">
        <f>AC652+AD652+AE652+N(AF652)</f>
        <v/>
      </c>
      <c r="AH652" s="11" t="n">
        <v>2175473.92</v>
      </c>
      <c r="AI652" s="24">
        <f>AG652-AH652</f>
        <v/>
      </c>
      <c r="AJ652" s="14">
        <f>IF(OR(B652="",B652=0,N652=""),"",N652/B652*10000)</f>
        <v/>
      </c>
      <c r="AK652" s="14">
        <f>IF(OR(C652="",C652=0),"",O652/C652*10000)</f>
        <v/>
      </c>
      <c r="AL652" s="14">
        <f>IF(OR(D652="",D652=0),"",P652/D652*10000)</f>
        <v/>
      </c>
      <c r="AM652" s="14">
        <f>IF(OR(E652="",E652=0),"",Q652/E652*10000)</f>
        <v/>
      </c>
      <c r="AN652" s="11" t="n">
        <v>69125.45124692532</v>
      </c>
      <c r="AO652" s="11" t="n">
        <v>0</v>
      </c>
      <c r="AP652" s="21">
        <f>AH652+AN652+AO652</f>
        <v/>
      </c>
      <c r="AQ652" s="21">
        <f>AH652</f>
        <v/>
      </c>
      <c r="AR652" s="15" t="n">
        <v>25409.44</v>
      </c>
      <c r="AS652" s="27" t="n">
        <v>85.61676</v>
      </c>
      <c r="AT652" s="15" t="n">
        <v>47099207.77473923</v>
      </c>
      <c r="AU652" s="15" t="n">
        <v>26939.7897</v>
      </c>
      <c r="AV652" s="15" t="n">
        <v>1957.9325</v>
      </c>
      <c r="AX652" s="16" t="n">
        <v>440.342900459727</v>
      </c>
      <c r="AY652" s="13">
        <f>IF(OR(AX652="",AX652=0,AU652=""),"",AU652*365/(AX652*1000000))</f>
        <v/>
      </c>
      <c r="AZ652" s="15" t="n">
        <v>411721856.2504</v>
      </c>
      <c r="BA652" s="17" t="n">
        <v>60487233</v>
      </c>
      <c r="BB652" s="18" t="n">
        <v>47099207.77473923</v>
      </c>
      <c r="BC652" s="17" t="n">
        <v>2971663</v>
      </c>
      <c r="BD652" s="17">
        <f>1000000000-998954207.3147+302487.7568</f>
        <v/>
      </c>
      <c r="BE652" s="19">
        <f>1000000000-AZ652-BA652-BB652-BC652-BD652</f>
        <v/>
      </c>
      <c r="BF652" s="30" t="n">
        <v>232.210864</v>
      </c>
      <c r="BG652" s="30">
        <f>BE652/1000000-BF652</f>
        <v/>
      </c>
      <c r="BH652" s="21">
        <f>BE652*85.56</f>
        <v/>
      </c>
    </row>
    <row r="653">
      <c r="A653" s="10" t="n">
        <v>46275</v>
      </c>
      <c r="B653" s="11" t="n">
        <v>5858288919</v>
      </c>
      <c r="C653" s="11" t="n">
        <v>3099438597.24</v>
      </c>
      <c r="D653" s="11" t="n">
        <v>214237818</v>
      </c>
      <c r="E653" s="11" t="n">
        <v>2070322.91768</v>
      </c>
      <c r="F653" s="24" t="n">
        <v>1209599981.706116</v>
      </c>
      <c r="G653" s="24" t="n">
        <v>521804.0720766102</v>
      </c>
      <c r="H653" s="24" t="n">
        <v>7086106.120014425</v>
      </c>
      <c r="I653" s="24" t="n">
        <v>550782882.4022948</v>
      </c>
      <c r="J653" s="24" t="n">
        <v>642173.0243762785</v>
      </c>
      <c r="K653" s="24" t="n">
        <v>1330805649.915122</v>
      </c>
      <c r="L653" s="21">
        <f>SUM(F653:K653)</f>
        <v/>
      </c>
      <c r="M653" s="28" t="n">
        <v>1.078647569497211</v>
      </c>
      <c r="N653" s="11" t="n">
        <v>2174370.16</v>
      </c>
      <c r="O653" s="11" t="n">
        <v>353088.26</v>
      </c>
      <c r="P653" s="11" t="n">
        <v>98035.92000000001</v>
      </c>
      <c r="Q653" s="11" t="n">
        <v>1049.38869502</v>
      </c>
      <c r="R653" s="21">
        <f>N653+O653+P653+N(Q653)</f>
        <v/>
      </c>
      <c r="S653" s="13" t="n">
        <v>0.01</v>
      </c>
      <c r="T653" s="21">
        <f>N(AC653)*S653</f>
        <v/>
      </c>
      <c r="U653" s="21">
        <f>N(AD653)*S653</f>
        <v/>
      </c>
      <c r="V653" s="21">
        <f>N(AE653)*S653</f>
        <v/>
      </c>
      <c r="W653" s="21">
        <f>IF(Q653="","",N(AF653)*S653)</f>
        <v/>
      </c>
      <c r="X653" s="11" t="n">
        <v>19824.9</v>
      </c>
      <c r="Y653" s="11" t="n">
        <v>176544.13</v>
      </c>
      <c r="Z653" s="12" t="n">
        <v>510.9219517150005</v>
      </c>
      <c r="AA653" s="21">
        <f>T653+U653+V653+N(W653)+X653+Y653+N(Z653)</f>
        <v/>
      </c>
      <c r="AB653" s="11" t="n">
        <v>363571.3450999999</v>
      </c>
      <c r="AC653" s="11" t="n">
        <v>2174370.16</v>
      </c>
      <c r="AD653" s="21">
        <f>O653-Y653</f>
        <v/>
      </c>
      <c r="AE653" s="21">
        <f>P653-X653</f>
        <v/>
      </c>
      <c r="AF653" s="21">
        <f>IF(Q653="","",Q653-Z653)</f>
        <v/>
      </c>
      <c r="AG653" s="22">
        <f>AC653+AD653+AE653+N(AF653)</f>
        <v/>
      </c>
      <c r="AH653" s="11" t="n">
        <v>1919760.77</v>
      </c>
      <c r="AI653" s="24">
        <f>AG653-AH653</f>
        <v/>
      </c>
      <c r="AJ653" s="14">
        <f>IF(OR(B653="",B653=0,N653=""),"",N653/B653*10000)</f>
        <v/>
      </c>
      <c r="AK653" s="14">
        <f>IF(OR(C653="",C653=0),"",O653/C653*10000)</f>
        <v/>
      </c>
      <c r="AL653" s="14">
        <f>IF(OR(D653="",D653=0),"",P653/D653*10000)</f>
        <v/>
      </c>
      <c r="AM653" s="14">
        <f>IF(OR(E653="",E653=0),"",Q653/E653*10000)</f>
        <v/>
      </c>
      <c r="AN653" s="11" t="n">
        <v>17440.60969250082</v>
      </c>
      <c r="AO653" s="11" t="n">
        <v>41781.64</v>
      </c>
      <c r="AP653" s="21">
        <f>AH653+AN653+AO653</f>
        <v/>
      </c>
      <c r="AQ653" s="21">
        <f>AH653</f>
        <v/>
      </c>
      <c r="AR653" s="15" t="n">
        <v>23569.12</v>
      </c>
      <c r="AS653" s="27" t="n">
        <v>81.45237400000001</v>
      </c>
      <c r="AT653" s="15" t="n">
        <v>47122745.89473923</v>
      </c>
      <c r="AU653" s="15" t="n">
        <v>26918.7237</v>
      </c>
      <c r="AV653" s="15" t="n">
        <v>2762.3273</v>
      </c>
      <c r="AX653" s="16" t="n">
        <v>440.0448895322131</v>
      </c>
      <c r="AY653" s="13">
        <f>IF(OR(AX653="",AX653=0,AU653=""),"",AU653*365/(AX653*1000000))</f>
        <v/>
      </c>
      <c r="AZ653" s="15" t="n">
        <v>411694937.5267</v>
      </c>
      <c r="BA653" s="17" t="n">
        <v>60487233</v>
      </c>
      <c r="BB653" s="18" t="n">
        <v>47122745.89473923</v>
      </c>
      <c r="BC653" s="17" t="n">
        <v>2971663</v>
      </c>
      <c r="BD653" s="17">
        <f>1000000000-998951444.9874+302697.0525</f>
        <v/>
      </c>
      <c r="BE653" s="19">
        <f>1000000000-AZ653-BA653-BB653-BC653-BD653</f>
        <v/>
      </c>
      <c r="BF653" s="30" t="n">
        <v>232.210864</v>
      </c>
      <c r="BG653" s="30">
        <f>BE653/1000000-BF653</f>
        <v/>
      </c>
      <c r="BH653" s="21">
        <f>BE653*83.37</f>
        <v/>
      </c>
    </row>
    <row r="654">
      <c r="A654" s="10" t="n">
        <v>46276</v>
      </c>
      <c r="B654" s="11" t="n">
        <v>8801070032</v>
      </c>
      <c r="C654" s="11" t="n">
        <v>2521879983.49</v>
      </c>
      <c r="D654" s="11" t="n">
        <v>258990256</v>
      </c>
      <c r="E654" s="11" t="n">
        <v>2031581.28907</v>
      </c>
      <c r="F654" s="24" t="n">
        <v>856724876.7869599</v>
      </c>
      <c r="G654" s="24" t="n">
        <v>254564.5678596317</v>
      </c>
      <c r="H654" s="24" t="n">
        <v>22606485.41360112</v>
      </c>
      <c r="I654" s="24" t="n">
        <v>617139782.85072</v>
      </c>
      <c r="J654" s="24" t="n">
        <v>407580.451813216</v>
      </c>
      <c r="K654" s="24" t="n">
        <v>1024746693.419046</v>
      </c>
      <c r="L654" s="21">
        <f>SUM(F654:K654)</f>
        <v/>
      </c>
      <c r="M654" s="28" t="n">
        <v>1.073366030213979</v>
      </c>
      <c r="N654" s="11" t="n">
        <v>2132286.04</v>
      </c>
      <c r="O654" s="11" t="n">
        <v>206045.38</v>
      </c>
      <c r="P654" s="11" t="n">
        <v>111783.47</v>
      </c>
      <c r="Q654" s="11" t="n">
        <v>991.0599523600004</v>
      </c>
      <c r="R654" s="21">
        <f>N654+O654+P654+N(Q654)</f>
        <v/>
      </c>
      <c r="S654" s="13" t="n">
        <v>0.01</v>
      </c>
      <c r="T654" s="21">
        <f>N(AC654)*S654</f>
        <v/>
      </c>
      <c r="U654" s="21">
        <f>N(AD654)*S654</f>
        <v/>
      </c>
      <c r="V654" s="21">
        <f>N(AE654)*S654</f>
        <v/>
      </c>
      <c r="W654" s="21">
        <f>IF(Q654="","",N(AF654)*S654)</f>
        <v/>
      </c>
      <c r="X654" s="11" t="n">
        <v>22056.7</v>
      </c>
      <c r="Y654" s="11" t="n">
        <v>103022.69</v>
      </c>
      <c r="Z654" s="12" t="n">
        <v>462.5467634500002</v>
      </c>
      <c r="AA654" s="21">
        <f>T654+U654+V654+N(W654)+X654+Y654+N(Z654)</f>
        <v/>
      </c>
      <c r="AB654" s="11" t="n">
        <v>209205.3009</v>
      </c>
      <c r="AC654" s="11" t="n">
        <v>2132286.04</v>
      </c>
      <c r="AD654" s="21">
        <f>O654-Y654</f>
        <v/>
      </c>
      <c r="AE654" s="21">
        <f>P654-X654</f>
        <v/>
      </c>
      <c r="AF654" s="21">
        <f>IF(Q654="","",Q654-Z654)</f>
        <v/>
      </c>
      <c r="AG654" s="22">
        <f>AC654+AD654+AE654+N(AF654)</f>
        <v/>
      </c>
      <c r="AH654" s="11" t="n">
        <v>2688383.28</v>
      </c>
      <c r="AI654" s="24">
        <f>AG654-AH654</f>
        <v/>
      </c>
      <c r="AJ654" s="14">
        <f>IF(OR(B654="",B654=0,N654=""),"",N654/B654*10000)</f>
        <v/>
      </c>
      <c r="AK654" s="14">
        <f>IF(OR(C654="",C654=0),"",O654/C654*10000)</f>
        <v/>
      </c>
      <c r="AL654" s="14">
        <f>IF(OR(D654="",D654=0),"",P654/D654*10000)</f>
        <v/>
      </c>
      <c r="AM654" s="14">
        <f>IF(OR(E654="",E654=0),"",Q654/E654*10000)</f>
        <v/>
      </c>
      <c r="AN654" s="11" t="n">
        <v>26759.74131497199</v>
      </c>
      <c r="AO654" s="11" t="n">
        <v>0</v>
      </c>
      <c r="AP654" s="21">
        <f>AH654+AN654+AO654</f>
        <v/>
      </c>
      <c r="AQ654" s="21">
        <f>AH654</f>
        <v/>
      </c>
      <c r="AR654" s="15" t="n">
        <v>33194.67</v>
      </c>
      <c r="AS654" s="27" t="n">
        <v>80.98840199999999</v>
      </c>
      <c r="AT654" s="15" t="n">
        <v>47155741.70473923</v>
      </c>
      <c r="AU654" s="15" t="n">
        <v>26919.0398</v>
      </c>
      <c r="AV654" s="15" t="n">
        <v>3319.5816</v>
      </c>
      <c r="AX654" s="16" t="n">
        <v>438.8122369071652</v>
      </c>
      <c r="AY654" s="13">
        <f>IF(OR(AX654="",AX654=0,AU654=""),"",AU654*365/(AX654*1000000))</f>
        <v/>
      </c>
      <c r="AZ654" s="15" t="n">
        <v>411668018.4869</v>
      </c>
      <c r="BA654" s="17" t="n">
        <v>60487233</v>
      </c>
      <c r="BB654" s="18" t="n">
        <v>47155741.70473923</v>
      </c>
      <c r="BC654" s="17" t="n">
        <v>2971663</v>
      </c>
      <c r="BD654" s="17">
        <f>1000000000-998948125.4058+303035.4065</f>
        <v/>
      </c>
      <c r="BE654" s="19">
        <f>1000000000-AZ654-BA654-BB654-BC654-BD654</f>
        <v/>
      </c>
      <c r="BF654" s="30" t="n">
        <v>232.210864</v>
      </c>
      <c r="BG654" s="30">
        <f>BE654/1000000-BF654</f>
        <v/>
      </c>
      <c r="BH654" s="21">
        <f>BE654*79.09</f>
        <v/>
      </c>
    </row>
    <row r="655">
      <c r="A655" s="10" t="n">
        <v>46277</v>
      </c>
      <c r="B655" s="11" t="n">
        <v>1722833811</v>
      </c>
      <c r="C655" s="11" t="n">
        <v>357342726.21</v>
      </c>
      <c r="D655" s="11" t="n">
        <v>123612963</v>
      </c>
      <c r="E655" s="11" t="n">
        <v>1730893.45183</v>
      </c>
      <c r="F655" s="24" t="n">
        <v>87671124.89132941</v>
      </c>
      <c r="G655" s="24" t="n">
        <v>128570.2245014801</v>
      </c>
      <c r="H655" s="24" t="n">
        <v>711789.2346497339</v>
      </c>
      <c r="I655" s="24" t="n">
        <v>60740410.45276041</v>
      </c>
      <c r="J655" s="24" t="n">
        <v>10712.31033766593</v>
      </c>
      <c r="K655" s="24" t="n">
        <v>208080119.0964212</v>
      </c>
      <c r="L655" s="21">
        <f>SUM(F655:K655)</f>
        <v/>
      </c>
      <c r="M655" s="28" t="n">
        <v>1.107520330661286</v>
      </c>
      <c r="N655" s="11" t="n">
        <v>590633.73</v>
      </c>
      <c r="O655" s="11" t="n">
        <v>44572.62</v>
      </c>
      <c r="P655" s="11" t="n">
        <v>60752.75</v>
      </c>
      <c r="Q655" s="11" t="n">
        <v>994.2284894399997</v>
      </c>
      <c r="R655" s="21">
        <f>N655+O655+P655+N(Q655)</f>
        <v/>
      </c>
      <c r="S655" s="13" t="n">
        <v>0.01</v>
      </c>
      <c r="T655" s="21">
        <f>N(AC655)*S655</f>
        <v/>
      </c>
      <c r="U655" s="21">
        <f>N(AD655)*S655</f>
        <v/>
      </c>
      <c r="V655" s="21">
        <f>N(AE655)*S655</f>
        <v/>
      </c>
      <c r="W655" s="21">
        <f>IF(Q655="","",N(AF655)*S655)</f>
        <v/>
      </c>
      <c r="X655" s="11" t="n">
        <v>11279.33</v>
      </c>
      <c r="Y655" s="11" t="n">
        <v>22286.31</v>
      </c>
      <c r="Z655" s="12" t="n">
        <v>444.19227935</v>
      </c>
      <c r="AA655" s="21">
        <f>T655+U655+V655+N(W655)+X655+Y655+N(Z655)</f>
        <v/>
      </c>
      <c r="AB655" s="11" t="n">
        <v>53530.61240000001</v>
      </c>
      <c r="AC655" s="11" t="n">
        <v>590633.73</v>
      </c>
      <c r="AD655" s="21">
        <f>O655-Y655</f>
        <v/>
      </c>
      <c r="AE655" s="21">
        <f>P655-X655</f>
        <v/>
      </c>
      <c r="AF655" s="21">
        <f>IF(Q655="","",Q655-Z655)</f>
        <v/>
      </c>
      <c r="AG655" s="22">
        <f>AC655+AD655+AE655+N(AF655)</f>
        <v/>
      </c>
      <c r="AH655" s="11" t="n">
        <v>560618.25</v>
      </c>
      <c r="AI655" s="24">
        <f>AG655-AH655</f>
        <v/>
      </c>
      <c r="AJ655" s="14">
        <f>IF(OR(B655="",B655=0,N655=""),"",N655/B655*10000)</f>
        <v/>
      </c>
      <c r="AK655" s="14">
        <f>IF(OR(C655="",C655=0),"",O655/C655*10000)</f>
        <v/>
      </c>
      <c r="AL655" s="14">
        <f>IF(OR(D655="",D655=0),"",P655/D655*10000)</f>
        <v/>
      </c>
      <c r="AM655" s="14">
        <f>IF(OR(E655="",E655=0),"",Q655/E655*10000)</f>
        <v/>
      </c>
      <c r="AN655" s="11" t="n">
        <v>5910.758142722305</v>
      </c>
      <c r="AO655" s="11" t="n">
        <v>0</v>
      </c>
      <c r="AP655" s="21">
        <f>AH655+AN655+AO655</f>
        <v/>
      </c>
      <c r="AQ655" s="21">
        <f>AH655</f>
        <v/>
      </c>
      <c r="AR655" s="15" t="n">
        <v>7045.85</v>
      </c>
      <c r="AS655" s="27" t="n">
        <v>79.567156</v>
      </c>
      <c r="AT655" s="15" t="n">
        <v>47162644.83473923</v>
      </c>
      <c r="AU655" s="15" t="n">
        <v>26865.3969</v>
      </c>
      <c r="AV655" s="15" t="n">
        <v>2707.8112</v>
      </c>
      <c r="AX655" s="16" t="n">
        <v>441.1677283846832</v>
      </c>
      <c r="AY655" s="13">
        <f>IF(OR(AX655="",AX655=0,AU655=""),"",AU655*365/(AX655*1000000))</f>
        <v/>
      </c>
      <c r="AZ655" s="15" t="n">
        <v>411641153.09</v>
      </c>
      <c r="BA655" s="17" t="n">
        <v>60487233</v>
      </c>
      <c r="BB655" s="18" t="n">
        <v>47162644.83473923</v>
      </c>
      <c r="BC655" s="17" t="n">
        <v>2971663</v>
      </c>
      <c r="BD655" s="17">
        <f>1000000000-998945417.5946+303110.4275</f>
        <v/>
      </c>
      <c r="BE655" s="19">
        <f>1000000000-AZ655-BA655-BB655-BC655-BD655</f>
        <v/>
      </c>
      <c r="BF655" s="30" t="n">
        <v>232.210864</v>
      </c>
      <c r="BG655" s="30">
        <f>BE655/1000000-BF655</f>
        <v/>
      </c>
      <c r="BH655" s="21">
        <f>BE655*78.83</f>
        <v/>
      </c>
    </row>
    <row r="656">
      <c r="A656" s="10" t="n">
        <v>46278</v>
      </c>
      <c r="B656" s="11" t="n">
        <v>3350173809</v>
      </c>
      <c r="C656" s="11" t="n">
        <v>1243272297.93</v>
      </c>
      <c r="D656" s="11" t="n">
        <v>106844645</v>
      </c>
      <c r="E656" s="11" t="n">
        <v>1335417.59403</v>
      </c>
      <c r="F656" s="24" t="n">
        <v>310010495.0044178</v>
      </c>
      <c r="G656" s="24" t="n">
        <v>426707.5217369117</v>
      </c>
      <c r="H656" s="24" t="n">
        <v>2038723.716953626</v>
      </c>
      <c r="I656" s="24" t="n">
        <v>351528192.7650063</v>
      </c>
      <c r="J656" s="24" t="n">
        <v>77294.76083682</v>
      </c>
      <c r="K656" s="24" t="n">
        <v>579190884.1610485</v>
      </c>
      <c r="L656" s="21">
        <f>SUM(F656:K656)</f>
        <v/>
      </c>
      <c r="M656" s="28" t="n">
        <v>1.107648904646686</v>
      </c>
      <c r="N656" s="11" t="n">
        <v>1136800.45</v>
      </c>
      <c r="O656" s="11" t="n">
        <v>137587.44</v>
      </c>
      <c r="P656" s="11" t="n">
        <v>53607.33</v>
      </c>
      <c r="Q656" s="11" t="n">
        <v>811.02577954</v>
      </c>
      <c r="R656" s="21">
        <f>N656+O656+P656+N(Q656)</f>
        <v/>
      </c>
      <c r="S656" s="13" t="n">
        <v>0.01</v>
      </c>
      <c r="T656" s="21">
        <f>N(AC656)*S656</f>
        <v/>
      </c>
      <c r="U656" s="21">
        <f>N(AD656)*S656</f>
        <v/>
      </c>
      <c r="V656" s="21">
        <f>N(AE656)*S656</f>
        <v/>
      </c>
      <c r="W656" s="21">
        <f>IF(Q656="","",N(AF656)*S656)</f>
        <v/>
      </c>
      <c r="X656" s="11" t="n">
        <v>11256.52</v>
      </c>
      <c r="Y656" s="11" t="n">
        <v>68793.72</v>
      </c>
      <c r="Z656" s="12" t="n">
        <v>390.0602731650001</v>
      </c>
      <c r="AA656" s="21">
        <f>T656+U656+V656+N(W656)+X656+Y656+N(Z656)</f>
        <v/>
      </c>
      <c r="AB656" s="11" t="n">
        <v>118014.3839</v>
      </c>
      <c r="AC656" s="11" t="n">
        <v>1136800.45</v>
      </c>
      <c r="AD656" s="21">
        <f>O656-Y656</f>
        <v/>
      </c>
      <c r="AE656" s="21">
        <f>P656-X656</f>
        <v/>
      </c>
      <c r="AF656" s="21">
        <f>IF(Q656="","",Q656-Z656)</f>
        <v/>
      </c>
      <c r="AG656" s="22">
        <f>AC656+AD656+AE656+N(AF656)</f>
        <v/>
      </c>
      <c r="AH656" s="11" t="n">
        <v>1045807.78</v>
      </c>
      <c r="AI656" s="24">
        <f>AG656-AH656</f>
        <v/>
      </c>
      <c r="AJ656" s="14">
        <f>IF(OR(B656="",B656=0,N656=""),"",N656/B656*10000)</f>
        <v/>
      </c>
      <c r="AK656" s="14">
        <f>IF(OR(C656="",C656=0),"",O656/C656*10000)</f>
        <v/>
      </c>
      <c r="AL656" s="14">
        <f>IF(OR(D656="",D656=0),"",P656/D656*10000)</f>
        <v/>
      </c>
      <c r="AM656" s="14">
        <f>IF(OR(E656="",E656=0),"",Q656/E656*10000)</f>
        <v/>
      </c>
      <c r="AN656" s="11" t="n">
        <v>9618.751681388332</v>
      </c>
      <c r="AO656" s="11" t="n">
        <v>0</v>
      </c>
      <c r="AP656" s="21">
        <f>AH656+AN656+AO656</f>
        <v/>
      </c>
      <c r="AQ656" s="21">
        <f>AH656</f>
        <v/>
      </c>
      <c r="AR656" s="15" t="n">
        <v>13400.38</v>
      </c>
      <c r="AS656" s="27" t="n">
        <v>78.043143</v>
      </c>
      <c r="AT656" s="15" t="n">
        <v>47176497.77473923</v>
      </c>
      <c r="AU656" s="15" t="n">
        <v>26895.6244</v>
      </c>
      <c r="AV656" s="15" t="n">
        <v>995.1623</v>
      </c>
      <c r="AX656" s="16" t="n">
        <v>441.5286580383298</v>
      </c>
      <c r="AY656" s="13">
        <f>IF(OR(AX656="",AX656=0,AU656=""),"",AU656*365/(AX656*1000000))</f>
        <v/>
      </c>
      <c r="AZ656" s="15" t="n">
        <v>411614257.4656</v>
      </c>
      <c r="BA656" s="17" t="n">
        <v>60487233</v>
      </c>
      <c r="BB656" s="18" t="n">
        <v>47176497.77473923</v>
      </c>
      <c r="BC656" s="17" t="n">
        <v>2971663</v>
      </c>
      <c r="BD656" s="17">
        <f>1000000000-998944422.4323+303231.5004</f>
        <v/>
      </c>
      <c r="BE656" s="19">
        <f>1000000000-AZ656-BA656-BB656-BC656-BD656</f>
        <v/>
      </c>
      <c r="BF656" s="30" t="n">
        <v>232.210864</v>
      </c>
      <c r="BG656" s="30">
        <f>BE656/1000000-BF656</f>
        <v/>
      </c>
      <c r="BH656" s="21">
        <f>BE656*79.45</f>
        <v/>
      </c>
    </row>
    <row r="657">
      <c r="A657" s="10" t="n">
        <v>46279</v>
      </c>
      <c r="B657" s="11" t="n">
        <v>6543389385</v>
      </c>
      <c r="C657" s="11" t="n">
        <v>3155178841.25</v>
      </c>
      <c r="D657" s="11" t="n">
        <v>178028986</v>
      </c>
      <c r="E657" s="11" t="n">
        <v>1510093.74002</v>
      </c>
      <c r="F657" s="24" t="n">
        <v>833085809.0821863</v>
      </c>
      <c r="G657" s="24" t="n">
        <v>88756.18727869968</v>
      </c>
      <c r="H657" s="24" t="n">
        <v>10415032.3257092</v>
      </c>
      <c r="I657" s="24" t="n">
        <v>724803191.6283454</v>
      </c>
      <c r="J657" s="24" t="n">
        <v>207370.3000396813</v>
      </c>
      <c r="K657" s="24" t="n">
        <v>1586578681.726441</v>
      </c>
      <c r="L657" s="21">
        <f>SUM(F657:K657)</f>
        <v/>
      </c>
      <c r="M657" s="28" t="n">
        <v>1.081763966198013</v>
      </c>
      <c r="N657" s="11" t="n">
        <v>2311979.22</v>
      </c>
      <c r="O657" s="11" t="n">
        <v>360598.44</v>
      </c>
      <c r="P657" s="11" t="n">
        <v>105500.2</v>
      </c>
      <c r="Q657" s="11" t="n">
        <v>921.2146483900003</v>
      </c>
      <c r="R657" s="21">
        <f>N657+O657+P657+N(Q657)</f>
        <v/>
      </c>
      <c r="S657" s="13" t="n">
        <v>0.01</v>
      </c>
      <c r="T657" s="21">
        <f>N(AC657)*S657</f>
        <v/>
      </c>
      <c r="U657" s="21">
        <f>N(AD657)*S657</f>
        <v/>
      </c>
      <c r="V657" s="21">
        <f>N(AE657)*S657</f>
        <v/>
      </c>
      <c r="W657" s="21">
        <f>IF(Q657="","",N(AF657)*S657)</f>
        <v/>
      </c>
      <c r="X657" s="11" t="n">
        <v>23089</v>
      </c>
      <c r="Y657" s="11" t="n">
        <v>180299.22</v>
      </c>
      <c r="Z657" s="12" t="n">
        <v>425.1738386750002</v>
      </c>
      <c r="AA657" s="21">
        <f>T657+U657+V657+N(W657)+X657+Y657+N(Z657)</f>
        <v/>
      </c>
      <c r="AB657" s="11" t="n">
        <v>311134.0235</v>
      </c>
      <c r="AC657" s="11" t="n">
        <v>2311979.22</v>
      </c>
      <c r="AD657" s="21">
        <f>O657-Y657</f>
        <v/>
      </c>
      <c r="AE657" s="21">
        <f>P657-X657</f>
        <v/>
      </c>
      <c r="AF657" s="21">
        <f>IF(Q657="","",Q657-Z657)</f>
        <v/>
      </c>
      <c r="AG657" s="22">
        <f>AC657+AD657+AE657+N(AF657)</f>
        <v/>
      </c>
      <c r="AH657" s="11" t="n">
        <v>2017864.56</v>
      </c>
      <c r="AI657" s="24">
        <f>AG657-AH657</f>
        <v/>
      </c>
      <c r="AJ657" s="14">
        <f>IF(OR(B657="",B657=0,N657=""),"",N657/B657*10000)</f>
        <v/>
      </c>
      <c r="AK657" s="14">
        <f>IF(OR(C657="",C657=0),"",O657/C657*10000)</f>
        <v/>
      </c>
      <c r="AL657" s="14">
        <f>IF(OR(D657="",D657=0),"",P657/D657*10000)</f>
        <v/>
      </c>
      <c r="AM657" s="14">
        <f>IF(OR(E657="",E657=0),"",Q657/E657*10000)</f>
        <v/>
      </c>
      <c r="AN657" s="11" t="n">
        <v>16435.42104766187</v>
      </c>
      <c r="AO657" s="11" t="n">
        <v>0</v>
      </c>
      <c r="AP657" s="21">
        <f>AH657+AN657+AO657</f>
        <v/>
      </c>
      <c r="AQ657" s="21">
        <f>AH657</f>
        <v/>
      </c>
      <c r="AR657" s="15" t="n">
        <v>25139.75</v>
      </c>
      <c r="AS657" s="27" t="n">
        <v>80.265896</v>
      </c>
      <c r="AT657" s="15" t="n">
        <v>47201728.56473923</v>
      </c>
      <c r="AU657" s="15" t="n">
        <v>26971.2079</v>
      </c>
      <c r="AV657" s="15" t="n">
        <v>2113.7479</v>
      </c>
      <c r="AX657" s="16" t="n">
        <v>441.7869879584026</v>
      </c>
      <c r="AY657" s="13">
        <f>IF(OR(AX657="",AX657=0,AU657=""),"",AU657*365/(AX657*1000000))</f>
        <v/>
      </c>
      <c r="AZ657" s="15" t="n">
        <v>411587286.2578</v>
      </c>
      <c r="BA657" s="17" t="n">
        <v>60487233</v>
      </c>
      <c r="BB657" s="18" t="n">
        <v>47201728.56473923</v>
      </c>
      <c r="BC657" s="17" t="n">
        <v>2971663</v>
      </c>
      <c r="BD657" s="17">
        <f>1000000000-998942308.6845+303444.6567</f>
        <v/>
      </c>
      <c r="BE657" s="19">
        <f>1000000000-AZ657-BA657-BB657-BC657-BD657</f>
        <v/>
      </c>
      <c r="BF657" s="30" t="n">
        <v>232.210864</v>
      </c>
      <c r="BG657" s="30">
        <f>BE657/1000000-BF657</f>
        <v/>
      </c>
      <c r="BH657" s="21">
        <f>BE657*77.13</f>
        <v/>
      </c>
    </row>
    <row r="658">
      <c r="A658" s="10" t="n">
        <v>46280</v>
      </c>
      <c r="B658" s="11" t="n">
        <v>10071659644</v>
      </c>
      <c r="C658" s="11" t="n">
        <v>2321093913.62</v>
      </c>
      <c r="D658" s="11" t="n">
        <v>184764421</v>
      </c>
      <c r="E658" s="11" t="n">
        <v>3074499.231260003</v>
      </c>
      <c r="F658" s="24" t="n">
        <v>764614947.6800947</v>
      </c>
      <c r="G658" s="24" t="n">
        <v>810506.3477795802</v>
      </c>
      <c r="H658" s="24" t="n">
        <v>6575103.260644726</v>
      </c>
      <c r="I658" s="24" t="n">
        <v>530728641.2421572</v>
      </c>
      <c r="J658" s="24" t="n">
        <v>269046.7033173272</v>
      </c>
      <c r="K658" s="24" t="n">
        <v>1018095668.386006</v>
      </c>
      <c r="L658" s="21">
        <f>SUM(F658:K658)</f>
        <v/>
      </c>
      <c r="M658" s="28" t="n">
        <v>1.080382410122065</v>
      </c>
      <c r="N658" s="11" t="n">
        <v>3433523.56</v>
      </c>
      <c r="O658" s="11" t="n">
        <v>261983.78</v>
      </c>
      <c r="P658" s="11" t="n">
        <v>99405.32999999999</v>
      </c>
      <c r="Q658" s="11" t="n">
        <v>1449.58990164</v>
      </c>
      <c r="R658" s="21">
        <f>N658+O658+P658+N(Q658)</f>
        <v/>
      </c>
      <c r="S658" s="13" t="n">
        <v>0.01</v>
      </c>
      <c r="T658" s="21">
        <f>N(AC658)*S658</f>
        <v/>
      </c>
      <c r="U658" s="21">
        <f>N(AD658)*S658</f>
        <v/>
      </c>
      <c r="V658" s="21">
        <f>N(AE658)*S658</f>
        <v/>
      </c>
      <c r="W658" s="21">
        <f>IF(Q658="","",N(AF658)*S658)</f>
        <v/>
      </c>
      <c r="X658" s="11" t="n">
        <v>23060.21</v>
      </c>
      <c r="Y658" s="11" t="n">
        <v>130991.89</v>
      </c>
      <c r="Z658" s="12" t="n">
        <v>694.6013150000002</v>
      </c>
      <c r="AA658" s="21">
        <f>T658+U658+V658+N(W658)+X658+Y658+N(Z658)</f>
        <v/>
      </c>
      <c r="AB658" s="11" t="n">
        <v>348382.0017999999</v>
      </c>
      <c r="AC658" s="11" t="n">
        <v>3433523.56</v>
      </c>
      <c r="AD658" s="21">
        <f>O658-Y658</f>
        <v/>
      </c>
      <c r="AE658" s="21">
        <f>P658-X658</f>
        <v/>
      </c>
      <c r="AF658" s="21">
        <f>IF(Q658="","",Q658-Z658)</f>
        <v/>
      </c>
      <c r="AG658" s="22">
        <f>AC658+AD658+AE658+N(AF658)</f>
        <v/>
      </c>
      <c r="AH658" s="11" t="n">
        <v>3072207.61</v>
      </c>
      <c r="AI658" s="24">
        <f>AG658-AH658</f>
        <v/>
      </c>
      <c r="AJ658" s="14">
        <f>IF(OR(B658="",B658=0,N658=""),"",N658/B658*10000)</f>
        <v/>
      </c>
      <c r="AK658" s="14">
        <f>IF(OR(C658="",C658=0),"",O658/C658*10000)</f>
        <v/>
      </c>
      <c r="AL658" s="14">
        <f>IF(OR(D658="",D658=0),"",P658/D658*10000)</f>
        <v/>
      </c>
      <c r="AM658" s="14">
        <f>IF(OR(E658="",E658=0),"",Q658/E658*10000)</f>
        <v/>
      </c>
      <c r="AN658" s="11" t="n">
        <v>20280.38448846716</v>
      </c>
      <c r="AO658" s="11" t="n">
        <v>0</v>
      </c>
      <c r="AP658" s="21">
        <f>AH658+AN658+AO658</f>
        <v/>
      </c>
      <c r="AQ658" s="21">
        <f>AH658</f>
        <v/>
      </c>
      <c r="AR658" s="15" t="n">
        <v>39527.16</v>
      </c>
      <c r="AS658" s="27" t="n">
        <v>77.72396500000001</v>
      </c>
      <c r="AT658" s="15" t="n">
        <v>47240610.12473923</v>
      </c>
      <c r="AU658" s="15" t="n">
        <v>26913.9029</v>
      </c>
      <c r="AV658" s="15" t="n">
        <v>2327.0685</v>
      </c>
      <c r="AX658" s="16" t="n">
        <v>442.1256325193649</v>
      </c>
      <c r="AY658" s="13">
        <f>IF(OR(AX658="",AX658=0,AU658=""),"",AU658*365/(AX658*1000000))</f>
        <v/>
      </c>
      <c r="AZ658" s="15" t="n">
        <v>411560372.3549</v>
      </c>
      <c r="BA658" s="17" t="n">
        <v>60487233</v>
      </c>
      <c r="BB658" s="18" t="n">
        <v>47240610.12473923</v>
      </c>
      <c r="BC658" s="17" t="n">
        <v>2971663</v>
      </c>
      <c r="BD658" s="17">
        <f>1000000000-998939981.6159+303697.1924</f>
        <v/>
      </c>
      <c r="BE658" s="19">
        <f>1000000000-AZ658-BA658-BB658-BC658-BD658</f>
        <v/>
      </c>
      <c r="BF658" s="30" t="n">
        <v>232.210864</v>
      </c>
      <c r="BG658" s="30">
        <f>BE658/1000000-BF658</f>
        <v/>
      </c>
      <c r="BH658" s="21">
        <f>BE658*80.32</f>
        <v/>
      </c>
    </row>
    <row r="659">
      <c r="A659" s="10" t="n">
        <v>46281</v>
      </c>
      <c r="B659" s="11" t="n">
        <v>6664213028</v>
      </c>
      <c r="C659" s="11" t="n">
        <v>2425358713.72</v>
      </c>
      <c r="D659" s="11" t="n">
        <v>224771820</v>
      </c>
      <c r="E659" s="11" t="n">
        <v>2634720.161189998</v>
      </c>
      <c r="F659" s="24" t="n">
        <v>647587834.6047145</v>
      </c>
      <c r="G659" s="24" t="n">
        <v>134367.7424776487</v>
      </c>
      <c r="H659" s="24" t="n">
        <v>9678784.049219999</v>
      </c>
      <c r="I659" s="24" t="n">
        <v>686693021.0513533</v>
      </c>
      <c r="J659" s="24" t="n">
        <v>345087.2321770698</v>
      </c>
      <c r="K659" s="24" t="n">
        <v>1080919619.040057</v>
      </c>
      <c r="L659" s="21">
        <f>SUM(F659:K659)</f>
        <v/>
      </c>
      <c r="M659" s="28" t="n">
        <v>1.080769925935988</v>
      </c>
      <c r="N659" s="11" t="n">
        <v>1740999.37</v>
      </c>
      <c r="O659" s="11" t="n">
        <v>224331.62</v>
      </c>
      <c r="P659" s="11" t="n">
        <v>100065.05</v>
      </c>
      <c r="Q659" s="11" t="n">
        <v>1297.84985877</v>
      </c>
      <c r="R659" s="21">
        <f>N659+O659+P659+N(Q659)</f>
        <v/>
      </c>
      <c r="S659" s="13" t="n">
        <v>0.01</v>
      </c>
      <c r="T659" s="21">
        <f>N(AC659)*S659</f>
        <v/>
      </c>
      <c r="U659" s="21">
        <f>N(AD659)*S659</f>
        <v/>
      </c>
      <c r="V659" s="21">
        <f>N(AE659)*S659</f>
        <v/>
      </c>
      <c r="W659" s="21">
        <f>IF(Q659="","",N(AF659)*S659)</f>
        <v/>
      </c>
      <c r="X659" s="11" t="n">
        <v>28522.07</v>
      </c>
      <c r="Y659" s="11" t="n">
        <v>112165.81</v>
      </c>
      <c r="Z659" s="12" t="n">
        <v>616.5098819499995</v>
      </c>
      <c r="AA659" s="21">
        <f>T659+U659+V659+N(W659)+X659+Y659+N(Z659)</f>
        <v/>
      </c>
      <c r="AB659" s="11" t="n">
        <v>192122.2492</v>
      </c>
      <c r="AC659" s="11" t="n">
        <v>1740999.37</v>
      </c>
      <c r="AD659" s="21">
        <f>O659-Y659</f>
        <v/>
      </c>
      <c r="AE659" s="21">
        <f>P659-X659</f>
        <v/>
      </c>
      <c r="AF659" s="21">
        <f>IF(Q659="","",Q659-Z659)</f>
        <v/>
      </c>
      <c r="AG659" s="22">
        <f>AC659+AD659+AE659+N(AF659)</f>
        <v/>
      </c>
      <c r="AH659" s="11" t="n">
        <v>2082466.74</v>
      </c>
      <c r="AI659" s="24">
        <f>AG659-AH659</f>
        <v/>
      </c>
      <c r="AJ659" s="14">
        <f>IF(OR(B659="",B659=0,N659=""),"",N659/B659*10000)</f>
        <v/>
      </c>
      <c r="AK659" s="14">
        <f>IF(OR(C659="",C659=0),"",O659/C659*10000)</f>
        <v/>
      </c>
      <c r="AL659" s="14">
        <f>IF(OR(D659="",D659=0),"",P659/D659*10000)</f>
        <v/>
      </c>
      <c r="AM659" s="14">
        <f>IF(OR(E659="",E659=0),"",Q659/E659*10000)</f>
        <v/>
      </c>
      <c r="AN659" s="11" t="n">
        <v>22882.99125813038</v>
      </c>
      <c r="AO659" s="11" t="n">
        <v>0</v>
      </c>
      <c r="AP659" s="21">
        <f>AH659+AN659+AO659</f>
        <v/>
      </c>
      <c r="AQ659" s="21">
        <f>AH659</f>
        <v/>
      </c>
      <c r="AR659" s="15" t="n">
        <v>26585.38</v>
      </c>
      <c r="AS659" s="27" t="n">
        <v>78.331276</v>
      </c>
      <c r="AT659" s="15" t="n">
        <v>47267919.81473923</v>
      </c>
      <c r="AU659" s="15" t="n">
        <v>26973.1993</v>
      </c>
      <c r="AV659" s="15" t="n">
        <v>4789.7023</v>
      </c>
      <c r="AX659" s="16" t="n">
        <v>442.0779311478925</v>
      </c>
      <c r="AY659" s="13">
        <f>IF(OR(AX659="",AX659=0,AU659=""),"",AU659*365/(AX659*1000000))</f>
        <v/>
      </c>
      <c r="AZ659" s="15" t="n">
        <v>411533399.1555</v>
      </c>
      <c r="BA659" s="17" t="n">
        <v>60487233</v>
      </c>
      <c r="BB659" s="18" t="n">
        <v>47267919.81473923</v>
      </c>
      <c r="BC659" s="17" t="n">
        <v>2971663</v>
      </c>
      <c r="BD659" s="17">
        <f>1000000000-998935191.9136+303993.4469</f>
        <v/>
      </c>
      <c r="BE659" s="19">
        <f>1000000000-AZ659-BA659-BB659-BC659-BD659</f>
        <v/>
      </c>
      <c r="BF659" s="30" t="n">
        <v>232.210864</v>
      </c>
      <c r="BG659" s="30">
        <f>BE659/1000000-BF659</f>
        <v/>
      </c>
      <c r="BH659" s="21">
        <f>BE659*77.25</f>
        <v/>
      </c>
    </row>
    <row r="660">
      <c r="A660" s="10" t="n">
        <v>46282</v>
      </c>
      <c r="B660" s="11" t="n">
        <v>5352836823</v>
      </c>
      <c r="C660" s="11" t="n">
        <v>2183735364.74</v>
      </c>
      <c r="D660" s="11" t="n">
        <v>264650339</v>
      </c>
      <c r="E660" s="11" t="n">
        <v>1559320.40254</v>
      </c>
      <c r="F660" s="24" t="n">
        <v>460887695.7483473</v>
      </c>
      <c r="G660" s="24" t="n">
        <v>786370.6487766173</v>
      </c>
      <c r="H660" s="24" t="n">
        <v>8412681.879111277</v>
      </c>
      <c r="I660" s="24" t="n">
        <v>658892881.8841908</v>
      </c>
      <c r="J660" s="24" t="n">
        <v>374777.2502840998</v>
      </c>
      <c r="K660" s="24" t="n">
        <v>1054380957.32929</v>
      </c>
      <c r="L660" s="21">
        <f>SUM(F660:K660)</f>
        <v/>
      </c>
      <c r="M660" s="28" t="n">
        <v>1.067546351797313</v>
      </c>
      <c r="N660" s="11" t="n">
        <v>2007037.9</v>
      </c>
      <c r="O660" s="11" t="n">
        <v>242698.58</v>
      </c>
      <c r="P660" s="11" t="n">
        <v>145406.66</v>
      </c>
      <c r="Q660" s="11" t="n">
        <v>720.9590939399997</v>
      </c>
      <c r="R660" s="21">
        <f>N660+O660+P660+N(Q660)</f>
        <v/>
      </c>
      <c r="S660" s="13" t="n">
        <v>0.01</v>
      </c>
      <c r="T660" s="21">
        <f>N(AC660)*S660</f>
        <v/>
      </c>
      <c r="U660" s="21">
        <f>N(AD660)*S660</f>
        <v/>
      </c>
      <c r="V660" s="21">
        <f>N(AE660)*S660</f>
        <v/>
      </c>
      <c r="W660" s="21">
        <f>IF(Q660="","",N(AF660)*S660)</f>
        <v/>
      </c>
      <c r="X660" s="11" t="n">
        <v>24344</v>
      </c>
      <c r="Y660" s="11" t="n">
        <v>121349.29</v>
      </c>
      <c r="Z660" s="12" t="n">
        <v>339.6549764449998</v>
      </c>
      <c r="AA660" s="21">
        <f>T660+U660+V660+N(W660)+X660+Y660+N(Z660)</f>
        <v/>
      </c>
      <c r="AB660" s="11" t="n">
        <v>235334.5547</v>
      </c>
      <c r="AC660" s="11" t="n">
        <v>2007037.9</v>
      </c>
      <c r="AD660" s="21">
        <f>O660-Y660</f>
        <v/>
      </c>
      <c r="AE660" s="21">
        <f>P660-X660</f>
        <v/>
      </c>
      <c r="AF660" s="21">
        <f>IF(Q660="","",Q660-Z660)</f>
        <v/>
      </c>
      <c r="AG660" s="22">
        <f>AC660+AD660+AE660+N(AF660)</f>
        <v/>
      </c>
      <c r="AH660" s="11" t="n">
        <v>1742851.12</v>
      </c>
      <c r="AI660" s="24">
        <f>AG660-AH660</f>
        <v/>
      </c>
      <c r="AJ660" s="14">
        <f>IF(OR(B660="",B660=0,N660=""),"",N660/B660*10000)</f>
        <v/>
      </c>
      <c r="AK660" s="14">
        <f>IF(OR(C660="",C660=0),"",O660/C660*10000)</f>
        <v/>
      </c>
      <c r="AL660" s="14">
        <f>IF(OR(D660="",D660=0),"",P660/D660*10000)</f>
        <v/>
      </c>
      <c r="AM660" s="14">
        <f>IF(OR(E660="",E660=0),"",Q660/E660*10000)</f>
        <v/>
      </c>
      <c r="AN660" s="11" t="n">
        <v>25626.96066656178</v>
      </c>
      <c r="AO660" s="11" t="n">
        <v>0</v>
      </c>
      <c r="AP660" s="21">
        <f>AH660+AN660+AO660</f>
        <v/>
      </c>
      <c r="AQ660" s="21">
        <f>AH660</f>
        <v/>
      </c>
      <c r="AR660" s="15" t="n">
        <v>21535.7</v>
      </c>
      <c r="AS660" s="27" t="n">
        <v>80.92846400000001</v>
      </c>
      <c r="AT660" s="15" t="n">
        <v>47288707.55473923</v>
      </c>
      <c r="AU660" s="15" t="n">
        <v>26973.7757</v>
      </c>
      <c r="AV660" s="15" t="n">
        <v>2416.9803</v>
      </c>
      <c r="AX660" s="16" t="n">
        <v>442.193683328835</v>
      </c>
      <c r="AY660" s="13">
        <f>IF(OR(AX660="",AX660=0,AU660=""),"",AU660*365/(AX660*1000000))</f>
        <v/>
      </c>
      <c r="AZ660" s="15" t="n">
        <v>411506425.3799</v>
      </c>
      <c r="BA660" s="17" t="n">
        <v>60487233</v>
      </c>
      <c r="BB660" s="18" t="n">
        <v>47288707.55473923</v>
      </c>
      <c r="BC660" s="17" t="n">
        <v>2971663</v>
      </c>
      <c r="BD660" s="17">
        <f>1000000000-998932774.9333+304321.6905</f>
        <v/>
      </c>
      <c r="BE660" s="19">
        <f>1000000000-AZ660-BA660-BB660-BC660-BD660</f>
        <v/>
      </c>
      <c r="BF660" s="30" t="n">
        <v>232.210864</v>
      </c>
      <c r="BG660" s="30">
        <f>BE660/1000000-BF660</f>
        <v/>
      </c>
      <c r="BH660" s="21">
        <f>BE660*78.07</f>
        <v/>
      </c>
    </row>
    <row r="661">
      <c r="A661" s="10" t="n">
        <v>46283</v>
      </c>
      <c r="B661" s="11" t="n">
        <v>8842011852</v>
      </c>
      <c r="C661" s="11" t="n">
        <v>2179986040.18</v>
      </c>
      <c r="D661" s="11" t="n">
        <v>436499056</v>
      </c>
      <c r="E661" s="11" t="n">
        <v>2018166.82221</v>
      </c>
      <c r="F661" s="24" t="n">
        <v>460963246.5012584</v>
      </c>
      <c r="G661" s="24" t="n">
        <v>963755.311939426</v>
      </c>
      <c r="H661" s="24" t="n">
        <v>9482672.047093336</v>
      </c>
      <c r="I661" s="24" t="n">
        <v>679495208.3107836</v>
      </c>
      <c r="J661" s="24" t="n">
        <v>300447.2806691027</v>
      </c>
      <c r="K661" s="24" t="n">
        <v>1028780710.728256</v>
      </c>
      <c r="L661" s="21">
        <f>SUM(F661:K661)</f>
        <v/>
      </c>
      <c r="M661" s="28" t="n">
        <v>1.081094632992307</v>
      </c>
      <c r="N661" s="11" t="n">
        <v>3304032.51</v>
      </c>
      <c r="O661" s="11" t="n">
        <v>255336.68</v>
      </c>
      <c r="P661" s="11" t="n">
        <v>242920.34</v>
      </c>
      <c r="Q661" s="11" t="n">
        <v>807.8031519399997</v>
      </c>
      <c r="R661" s="21">
        <f>N661+O661+P661+N(Q661)</f>
        <v/>
      </c>
      <c r="S661" s="13" t="n">
        <v>0.01</v>
      </c>
      <c r="T661" s="21">
        <f>N(AC661)*S661</f>
        <v/>
      </c>
      <c r="U661" s="21">
        <f>N(AD661)*S661</f>
        <v/>
      </c>
      <c r="V661" s="21">
        <f>N(AE661)*S661</f>
        <v/>
      </c>
      <c r="W661" s="21">
        <f>IF(Q661="","",N(AF661)*S661)</f>
        <v/>
      </c>
      <c r="X661" s="11" t="n">
        <v>80445.39999999999</v>
      </c>
      <c r="Y661" s="11" t="n">
        <v>127668.34</v>
      </c>
      <c r="Z661" s="12" t="n">
        <v>387.2642862999998</v>
      </c>
      <c r="AA661" s="21">
        <f>T661+U661+V661+N(W661)+X661+Y661+N(Z661)</f>
        <v/>
      </c>
      <c r="AB661" s="11" t="n">
        <v>367539.2510999999</v>
      </c>
      <c r="AC661" s="11" t="n">
        <v>3304032.51</v>
      </c>
      <c r="AD661" s="21">
        <f>O661-Y661</f>
        <v/>
      </c>
      <c r="AE661" s="21">
        <f>P661-X661</f>
        <v/>
      </c>
      <c r="AF661" s="21">
        <f>IF(Q661="","",Q661-Z661)</f>
        <v/>
      </c>
      <c r="AG661" s="22">
        <f>AC661+AD661+AE661+N(AF661)</f>
        <v/>
      </c>
      <c r="AH661" s="11" t="n">
        <v>2973288.14</v>
      </c>
      <c r="AI661" s="24">
        <f>AG661-AH661</f>
        <v/>
      </c>
      <c r="AJ661" s="14">
        <f>IF(OR(B661="",B661=0,N661=""),"",N661/B661*10000)</f>
        <v/>
      </c>
      <c r="AK661" s="14">
        <f>IF(OR(C661="",C661=0),"",O661/C661*10000)</f>
        <v/>
      </c>
      <c r="AL661" s="14">
        <f>IF(OR(D661="",D661=0),"",P661/D661*10000)</f>
        <v/>
      </c>
      <c r="AM661" s="14">
        <f>IF(OR(E661="",E661=0),"",Q661/E661*10000)</f>
        <v/>
      </c>
      <c r="AN661" s="11" t="n">
        <v>18589.73460861138</v>
      </c>
      <c r="AO661" s="11" t="n">
        <v>0</v>
      </c>
      <c r="AP661" s="21">
        <f>AH661+AN661+AO661</f>
        <v/>
      </c>
      <c r="AQ661" s="21">
        <f>AH661</f>
        <v/>
      </c>
      <c r="AR661" s="15" t="n">
        <v>33015.7</v>
      </c>
      <c r="AS661" s="27" t="n">
        <v>90.05679499999999</v>
      </c>
      <c r="AT661" s="15" t="n">
        <v>47321831.45473923</v>
      </c>
      <c r="AU661" s="15" t="n">
        <v>26974.9974</v>
      </c>
      <c r="AV661" s="15" t="n">
        <v>3470.9873</v>
      </c>
      <c r="AX661" s="16" t="n">
        <v>442.0525205997557</v>
      </c>
      <c r="AY661" s="13">
        <f>IF(OR(AX661="",AX661=0,AU661=""),"",AU661*365/(AX661*1000000))</f>
        <v/>
      </c>
      <c r="AZ661" s="15" t="n">
        <v>411479450.3825</v>
      </c>
      <c r="BA661" s="17" t="n">
        <v>60487233</v>
      </c>
      <c r="BB661" s="18" t="n">
        <v>47321831.45473923</v>
      </c>
      <c r="BC661" s="17" t="n">
        <v>2971663</v>
      </c>
      <c r="BD661" s="17">
        <f>1000000000-998929303.946+304539.2440</f>
        <v/>
      </c>
      <c r="BE661" s="19">
        <f>1000000000-AZ661-BA661-BB661-BC661-BD661</f>
        <v/>
      </c>
      <c r="BF661" s="30" t="n">
        <v>232.210864</v>
      </c>
      <c r="BG661" s="30">
        <f>BE661/1000000-BF661</f>
        <v/>
      </c>
      <c r="BH661" s="21">
        <f>BE661*85.45</f>
        <v/>
      </c>
    </row>
    <row r="662">
      <c r="A662" s="10" t="n">
        <v>46284</v>
      </c>
      <c r="B662" s="11" t="n">
        <v>4354713969</v>
      </c>
      <c r="C662" s="11" t="n">
        <v>359350400.42</v>
      </c>
      <c r="D662" s="11" t="n">
        <v>171765339</v>
      </c>
      <c r="E662" s="11" t="n">
        <v>1455311.183</v>
      </c>
      <c r="F662" s="24" t="n">
        <v>88958278.88740145</v>
      </c>
      <c r="G662" s="24" t="n">
        <v>1110115.434033393</v>
      </c>
      <c r="H662" s="24" t="n">
        <v>28247070.31405391</v>
      </c>
      <c r="I662" s="24" t="n">
        <v>81821522.44423099</v>
      </c>
      <c r="J662" s="24" t="n">
        <v>45188.32150968155</v>
      </c>
      <c r="K662" s="24" t="n">
        <v>159168225.0187706</v>
      </c>
      <c r="L662" s="21">
        <f>SUM(F662:K662)</f>
        <v/>
      </c>
      <c r="M662" s="28" t="n">
        <v>1.091549072288929</v>
      </c>
      <c r="N662" s="11" t="n">
        <v>1669467.25</v>
      </c>
      <c r="O662" s="11" t="n">
        <v>59494.8</v>
      </c>
      <c r="P662" s="11" t="n">
        <v>99705.73999999999</v>
      </c>
      <c r="Q662" s="11" t="n">
        <v>838.1132570300003</v>
      </c>
      <c r="R662" s="21">
        <f>N662+O662+P662+N(Q662)</f>
        <v/>
      </c>
      <c r="S662" s="13" t="n">
        <v>0.01</v>
      </c>
      <c r="T662" s="21">
        <f>N(AC662)*S662</f>
        <v/>
      </c>
      <c r="U662" s="21">
        <f>N(AD662)*S662</f>
        <v/>
      </c>
      <c r="V662" s="21">
        <f>N(AE662)*S662</f>
        <v/>
      </c>
      <c r="W662" s="21">
        <f>IF(Q662="","",N(AF662)*S662)</f>
        <v/>
      </c>
      <c r="X662" s="11" t="n">
        <v>19721.51</v>
      </c>
      <c r="Y662" s="11" t="n">
        <v>29747.4</v>
      </c>
      <c r="Z662" s="12" t="n">
        <v>403.9748699500002</v>
      </c>
      <c r="AA662" s="21">
        <f>T662+U662+V662+N(W662)+X662+Y662+N(Z662)</f>
        <v/>
      </c>
      <c r="AB662" s="11" t="n">
        <v>183495.6396</v>
      </c>
      <c r="AC662" s="11" t="n">
        <v>1669467.25</v>
      </c>
      <c r="AD662" s="21">
        <f>O662-Y662</f>
        <v/>
      </c>
      <c r="AE662" s="21">
        <f>P662-X662</f>
        <v/>
      </c>
      <c r="AF662" s="21">
        <f>IF(Q662="","",Q662-Z662)</f>
        <v/>
      </c>
      <c r="AG662" s="22">
        <f>AC662+AD662+AE662+N(AF662)</f>
        <v/>
      </c>
      <c r="AH662" s="11" t="n">
        <v>1390214.56</v>
      </c>
      <c r="AI662" s="24">
        <f>AG662-AH662</f>
        <v/>
      </c>
      <c r="AJ662" s="14">
        <f>IF(OR(B662="",B662=0,N662=""),"",N662/B662*10000)</f>
        <v/>
      </c>
      <c r="AK662" s="14">
        <f>IF(OR(C662="",C662=0),"",O662/C662*10000)</f>
        <v/>
      </c>
      <c r="AL662" s="14">
        <f>IF(OR(D662="",D662=0),"",P662/D662*10000)</f>
        <v/>
      </c>
      <c r="AM662" s="14">
        <f>IF(OR(E662="",E662=0),"",Q662/E662*10000)</f>
        <v/>
      </c>
      <c r="AN662" s="11" t="n">
        <v>11706.92082436489</v>
      </c>
      <c r="AO662" s="11" t="n">
        <v>46269.73</v>
      </c>
      <c r="AP662" s="21">
        <f>AH662+AN662+AO662</f>
        <v/>
      </c>
      <c r="AQ662" s="21">
        <f>AH662</f>
        <v/>
      </c>
      <c r="AR662" s="15" t="n">
        <v>15011.55</v>
      </c>
      <c r="AS662" s="27" t="n">
        <v>92.609661</v>
      </c>
      <c r="AT662" s="15" t="n">
        <v>47336734.80473923</v>
      </c>
      <c r="AU662" s="15" t="n">
        <v>26995.2567</v>
      </c>
      <c r="AV662" s="15" t="n">
        <v>2986.8773</v>
      </c>
      <c r="AX662" s="16" t="n">
        <v>441.893489882026</v>
      </c>
      <c r="AY662" s="13">
        <f>IF(OR(AX662="",AX662=0,AU662=""),"",AU662*365/(AX662*1000000))</f>
        <v/>
      </c>
      <c r="AZ662" s="15" t="n">
        <v>411452455.1258</v>
      </c>
      <c r="BA662" s="17" t="n">
        <v>60487233</v>
      </c>
      <c r="BB662" s="18" t="n">
        <v>47336734.80473923</v>
      </c>
      <c r="BC662" s="17" t="n">
        <v>2971663</v>
      </c>
      <c r="BD662" s="17">
        <f>1000000000-998926317.0688+304664.8144</f>
        <v/>
      </c>
      <c r="BE662" s="19">
        <f>1000000000-AZ662-BA662-BB662-BC662-BD662</f>
        <v/>
      </c>
      <c r="BF662" s="30" t="n">
        <v>232.210864</v>
      </c>
      <c r="BG662" s="30">
        <f>BE662/1000000-BF662</f>
        <v/>
      </c>
      <c r="BH662" s="21">
        <f>BE662*93.18</f>
        <v/>
      </c>
    </row>
    <row r="663">
      <c r="A663" s="10" t="n">
        <v>46285</v>
      </c>
      <c r="B663" s="11" t="n">
        <v>5220465959</v>
      </c>
      <c r="C663" s="11" t="n">
        <v>698231645.9400001</v>
      </c>
      <c r="D663" s="11" t="n">
        <v>183252118</v>
      </c>
      <c r="E663" s="11" t="n">
        <v>2166221.331290001</v>
      </c>
      <c r="F663" s="24" t="n">
        <v>255694782.393698</v>
      </c>
      <c r="G663" s="24" t="n">
        <v>46198.81868381082</v>
      </c>
      <c r="H663" s="24" t="n">
        <v>14192659.14550725</v>
      </c>
      <c r="I663" s="24" t="n">
        <v>191327412.4012376</v>
      </c>
      <c r="J663" s="24" t="n">
        <v>28898.02448667089</v>
      </c>
      <c r="K663" s="24" t="n">
        <v>236941695.1563867</v>
      </c>
      <c r="L663" s="21">
        <f>SUM(F663:K663)</f>
        <v/>
      </c>
      <c r="M663" s="28" t="n">
        <v>1.063269675088327</v>
      </c>
      <c r="N663" s="11" t="n">
        <v>1922248.77</v>
      </c>
      <c r="O663" s="11" t="n">
        <v>96130.66</v>
      </c>
      <c r="P663" s="11" t="n">
        <v>94166.97</v>
      </c>
      <c r="Q663" s="11" t="n">
        <v>1061.56899787</v>
      </c>
      <c r="R663" s="21">
        <f>N663+O663+P663+N(Q663)</f>
        <v/>
      </c>
      <c r="S663" s="13" t="n">
        <v>0.01</v>
      </c>
      <c r="T663" s="21">
        <f>N(AC663)*S663</f>
        <v/>
      </c>
      <c r="U663" s="21">
        <f>N(AD663)*S663</f>
        <v/>
      </c>
      <c r="V663" s="21">
        <f>N(AE663)*S663</f>
        <v/>
      </c>
      <c r="W663" s="21">
        <f>IF(Q663="","",N(AF663)*S663)</f>
        <v/>
      </c>
      <c r="X663" s="11" t="n">
        <v>20399.3</v>
      </c>
      <c r="Y663" s="11" t="n">
        <v>48065.33</v>
      </c>
      <c r="Z663" s="12" t="n">
        <v>510.3138130350004</v>
      </c>
      <c r="AA663" s="21">
        <f>T663+U663+V663+N(W663)+X663+Y663+N(Z663)</f>
        <v/>
      </c>
      <c r="AB663" s="11" t="n">
        <v>207835.9217</v>
      </c>
      <c r="AC663" s="11" t="n">
        <v>1922248.77</v>
      </c>
      <c r="AD663" s="21">
        <f>O663-Y663</f>
        <v/>
      </c>
      <c r="AE663" s="21">
        <f>P663-X663</f>
        <v/>
      </c>
      <c r="AF663" s="21">
        <f>IF(Q663="","",Q663-Z663)</f>
        <v/>
      </c>
      <c r="AG663" s="22">
        <f>AC663+AD663+AE663+N(AF663)</f>
        <v/>
      </c>
      <c r="AH663" s="11" t="n">
        <v>1630118.82</v>
      </c>
      <c r="AI663" s="24">
        <f>AG663-AH663</f>
        <v/>
      </c>
      <c r="AJ663" s="14">
        <f>IF(OR(B663="",B663=0,N663=""),"",N663/B663*10000)</f>
        <v/>
      </c>
      <c r="AK663" s="14">
        <f>IF(OR(C663="",C663=0),"",O663/C663*10000)</f>
        <v/>
      </c>
      <c r="AL663" s="14">
        <f>IF(OR(D663="",D663=0),"",P663/D663*10000)</f>
        <v/>
      </c>
      <c r="AM663" s="14">
        <f>IF(OR(E663="",E663=0),"",Q663/E663*10000)</f>
        <v/>
      </c>
      <c r="AN663" s="11" t="n">
        <v>10805.92324173884</v>
      </c>
      <c r="AO663" s="11" t="n">
        <v>0</v>
      </c>
      <c r="AP663" s="21">
        <f>AH663+AN663+AO663</f>
        <v/>
      </c>
      <c r="AQ663" s="21">
        <f>AH663</f>
        <v/>
      </c>
      <c r="AR663" s="15" t="n">
        <v>17749.99</v>
      </c>
      <c r="AS663" s="27" t="n">
        <v>91.837732</v>
      </c>
      <c r="AT663" s="15" t="n">
        <v>47354995.03473923</v>
      </c>
      <c r="AU663" s="15" t="n">
        <v>26989.6645</v>
      </c>
      <c r="AV663" s="15" t="n">
        <v>1977.5278</v>
      </c>
      <c r="AX663" s="16" t="n">
        <v>442.0387978041127</v>
      </c>
      <c r="AY663" s="13">
        <f>IF(OR(AX663="",AX663=0,AU663=""),"",AU663*365/(AX663*1000000))</f>
        <v/>
      </c>
      <c r="AZ663" s="15" t="n">
        <v>411425465.4612</v>
      </c>
      <c r="BA663" s="17" t="n">
        <v>60487233</v>
      </c>
      <c r="BB663" s="18" t="n">
        <v>47354995.03473923</v>
      </c>
      <c r="BC663" s="17" t="n">
        <v>2971663</v>
      </c>
      <c r="BD663" s="17">
        <f>1000000000-998924339.541+304781.9848</f>
        <v/>
      </c>
      <c r="BE663" s="19">
        <f>1000000000-AZ663-BA663-BB663-BC663-BD663</f>
        <v/>
      </c>
      <c r="BF663" s="30" t="n">
        <v>232.210864</v>
      </c>
      <c r="BG663" s="30">
        <f>BE663/1000000-BF663</f>
        <v/>
      </c>
      <c r="BH663" s="21">
        <f>BE663*92.19</f>
        <v/>
      </c>
    </row>
    <row r="664">
      <c r="A664" s="10" t="n">
        <v>46286</v>
      </c>
      <c r="B664" s="11" t="n">
        <v>11006860758</v>
      </c>
      <c r="C664" s="11" t="n">
        <v>2722355529.83</v>
      </c>
      <c r="D664" s="11" t="n">
        <v>379248254</v>
      </c>
      <c r="E664" s="11" t="n">
        <v>2202325.687329999</v>
      </c>
      <c r="F664" s="24" t="n">
        <v>607636908.3554457</v>
      </c>
      <c r="G664" s="24" t="n">
        <v>691482.5362694715</v>
      </c>
      <c r="H664" s="24" t="n">
        <v>6642651.764062974</v>
      </c>
      <c r="I664" s="24" t="n">
        <v>583885994.3183895</v>
      </c>
      <c r="J664" s="24" t="n">
        <v>366613.1143546518</v>
      </c>
      <c r="K664" s="24" t="n">
        <v>1523131879.741477</v>
      </c>
      <c r="L664" s="21">
        <f>SUM(F664:K664)</f>
        <v/>
      </c>
      <c r="M664" s="28" t="n">
        <v>1.079463708812874</v>
      </c>
      <c r="N664" s="11" t="n">
        <v>3871008.3</v>
      </c>
      <c r="O664" s="11" t="n">
        <v>327093.02</v>
      </c>
      <c r="P664" s="11" t="n">
        <v>211137.46</v>
      </c>
      <c r="Q664" s="11" t="n">
        <v>1022.24188539</v>
      </c>
      <c r="R664" s="21">
        <f>N664+O664+P664+N(Q664)</f>
        <v/>
      </c>
      <c r="S664" s="13" t="n">
        <v>0.01</v>
      </c>
      <c r="T664" s="21">
        <f>N(AC664)*S664</f>
        <v/>
      </c>
      <c r="U664" s="21">
        <f>N(AD664)*S664</f>
        <v/>
      </c>
      <c r="V664" s="21">
        <f>N(AE664)*S664</f>
        <v/>
      </c>
      <c r="W664" s="21">
        <f>IF(Q664="","",N(AF664)*S664)</f>
        <v/>
      </c>
      <c r="X664" s="11" t="n">
        <v>55281.61</v>
      </c>
      <c r="Y664" s="11" t="n">
        <v>163546.51</v>
      </c>
      <c r="Z664" s="12" t="n">
        <v>495.4511245749997</v>
      </c>
      <c r="AA664" s="21">
        <f>T664+U664+V664+N(W664)+X664+Y664+N(Z664)</f>
        <v/>
      </c>
      <c r="AB664" s="11" t="n">
        <v>390904.8491000001</v>
      </c>
      <c r="AC664" s="11" t="n">
        <v>3871008.3</v>
      </c>
      <c r="AD664" s="21">
        <f>O664-Y664</f>
        <v/>
      </c>
      <c r="AE664" s="21">
        <f>P664-X664</f>
        <v/>
      </c>
      <c r="AF664" s="21">
        <f>IF(Q664="","",Q664-Z664)</f>
        <v/>
      </c>
      <c r="AG664" s="22">
        <f>AC664+AD664+AE664+N(AF664)</f>
        <v/>
      </c>
      <c r="AH664" s="11" t="n">
        <v>3628500.26</v>
      </c>
      <c r="AI664" s="24">
        <f>AG664-AH664</f>
        <v/>
      </c>
      <c r="AJ664" s="14">
        <f>IF(OR(B664="",B664=0,N664=""),"",N664/B664*10000)</f>
        <v/>
      </c>
      <c r="AK664" s="14">
        <f>IF(OR(C664="",C664=0),"",O664/C664*10000)</f>
        <v/>
      </c>
      <c r="AL664" s="14">
        <f>IF(OR(D664="",D664=0),"",P664/D664*10000)</f>
        <v/>
      </c>
      <c r="AM664" s="14">
        <f>IF(OR(E664="",E664=0),"",Q664/E664*10000)</f>
        <v/>
      </c>
      <c r="AN664" s="11" t="n">
        <v>20814.36016212773</v>
      </c>
      <c r="AO664" s="11" t="n">
        <v>0</v>
      </c>
      <c r="AP664" s="21">
        <f>AH664+AN664+AO664</f>
        <v/>
      </c>
      <c r="AQ664" s="21">
        <f>AH664</f>
        <v/>
      </c>
      <c r="AR664" s="15" t="n">
        <v>38532.3</v>
      </c>
      <c r="AS664" s="27" t="n">
        <v>94.16775699999999</v>
      </c>
      <c r="AT664" s="15" t="n">
        <v>47393278.87473923</v>
      </c>
      <c r="AU664" s="15" t="n">
        <v>26992.8687</v>
      </c>
      <c r="AV664" s="15" t="n">
        <v>1433.8609</v>
      </c>
      <c r="AX664" s="16" t="n">
        <v>441.9145340635736</v>
      </c>
      <c r="AY664" s="13">
        <f>IF(OR(AX664="",AX664=0,AU664=""),"",AU664*365/(AX664*1000000))</f>
        <v/>
      </c>
      <c r="AZ664" s="15" t="n">
        <v>411398472.5926</v>
      </c>
      <c r="BA664" s="17" t="n">
        <v>60487233</v>
      </c>
      <c r="BB664" s="18" t="n">
        <v>47393278.87473923</v>
      </c>
      <c r="BC664" s="17" t="n">
        <v>2971663</v>
      </c>
      <c r="BD664" s="17">
        <f>1000000000-998922905.6801+305003.0426</f>
        <v/>
      </c>
      <c r="BE664" s="19">
        <f>1000000000-AZ664-BA664-BB664-BC664-BD664</f>
        <v/>
      </c>
      <c r="BF664" s="30" t="n">
        <v>232.210864</v>
      </c>
      <c r="BG664" s="30">
        <f>BE664/1000000-BF664</f>
        <v/>
      </c>
      <c r="BH664" s="21">
        <f>BE664*94.05</f>
        <v/>
      </c>
    </row>
  </sheetData>
  <autoFilter ref="A3:BH664"/>
  <mergeCells count="10">
    <mergeCell ref="AQ2:AY2"/>
    <mergeCell ref="F2:M2"/>
    <mergeCell ref="AJ2:AM2"/>
    <mergeCell ref="AN2:AP2"/>
    <mergeCell ref="AZ2:BH2"/>
    <mergeCell ref="A1:BH1"/>
    <mergeCell ref="N2:R2"/>
    <mergeCell ref="B2:E2"/>
    <mergeCell ref="S2:AB2"/>
    <mergeCell ref="AC2:AI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J11"/>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s>
  <sheetData>
    <row r="1" ht="24" customHeight="1">
      <c r="A1" s="1" t="inlineStr">
        <is>
          <t>HYPERLIQUID (HYPE) — QUARTERLY MODEL.  Same columns as Daily.  Flows summed (SUMIFS); stocks/rates at period-end; OTS at quarter-end.</t>
        </is>
      </c>
    </row>
    <row r="2" ht="14" customHeight="1">
      <c r="D2" s="2" t="inlineStr">
        <is>
          <t>VOLUME ($)</t>
        </is>
      </c>
      <c r="H2" s="3" t="inlineStr">
        <is>
          <t>HIP-3 VOLUME BY CATEGORY ($)</t>
        </is>
      </c>
      <c r="P2" s="4" t="inlineStr">
        <is>
          <t>GROSS FEES ($)  [user-paid]</t>
        </is>
      </c>
      <c r="U2" s="5" t="inlineStr">
        <is>
          <t>FEE → REVENUE BRIDGE  [deductions, $]</t>
        </is>
      </c>
      <c r="AE2" s="6" t="inlineStr">
        <is>
          <t>REVENUE TO HYPERCORE ($)</t>
        </is>
      </c>
      <c r="AL2" s="5" t="inlineStr">
        <is>
          <t>IMPLIED TAKE-RATE (bps)</t>
        </is>
      </c>
      <c r="AP2" s="7" t="inlineStr">
        <is>
          <t>OTHER REVENUE ($)</t>
        </is>
      </c>
      <c r="AS2" s="2" t="inlineStr">
        <is>
          <t>ASSISTANCE FUND &amp; SUPPLY</t>
        </is>
      </c>
      <c r="BB2" s="3" t="inlineStr">
        <is>
          <t>OTS (Hyperliquid Strategies basis)</t>
        </is>
      </c>
    </row>
    <row r="3" ht="62" customHeight="1">
      <c r="A3" s="8" t="inlineStr">
        <is>
          <t>Quarter</t>
        </is>
      </c>
      <c r="B3" s="8" t="inlineStr">
        <is>
          <t>Start</t>
        </is>
      </c>
      <c r="C3" s="8" t="inlineStr">
        <is>
          <t>End</t>
        </is>
      </c>
      <c r="D3" s="9" t="inlineStr">
        <is>
          <t>Core Crypto Perp Vol ($)</t>
        </is>
      </c>
      <c r="E3" s="9" t="inlineStr">
        <is>
          <t>HIP-3 Perp Vol ($)</t>
        </is>
      </c>
      <c r="F3" s="9" t="inlineStr">
        <is>
          <t>Spot Vol ($)</t>
        </is>
      </c>
      <c r="G3" s="9" t="inlineStr">
        <is>
          <t>HIP-4 Vol ($)</t>
        </is>
      </c>
      <c r="H3" s="9" t="inlineStr">
        <is>
          <t>HIP-3 Commodities ($)</t>
        </is>
      </c>
      <c r="I3" s="9" t="inlineStr">
        <is>
          <t>HIP-3 Crypto ($)</t>
        </is>
      </c>
      <c r="J3" s="9" t="inlineStr">
        <is>
          <t>HIP-3 FX ($)</t>
        </is>
      </c>
      <c r="K3" s="9" t="inlineStr">
        <is>
          <t>HIP-3 Indices ($)</t>
        </is>
      </c>
      <c r="L3" s="9" t="inlineStr">
        <is>
          <t>HIP-3 Pre-IPO ($)</t>
        </is>
      </c>
      <c r="M3" s="9" t="inlineStr">
        <is>
          <t>HIP-3 Equities ($)</t>
        </is>
      </c>
      <c r="N3" s="9" t="inlineStr">
        <is>
          <t>HIP-3 Cat Total ($)</t>
        </is>
      </c>
      <c r="O3" s="9" t="inlineStr">
        <is>
          <t>Pro-rate Factor Applied</t>
        </is>
      </c>
      <c r="P3" s="9" t="inlineStr">
        <is>
          <t>Core Crypto Perp Fees ($)</t>
        </is>
      </c>
      <c r="Q3" s="9" t="inlineStr">
        <is>
          <t>HIP-3 Gross Fees ($)</t>
        </is>
      </c>
      <c r="R3" s="9" t="inlineStr">
        <is>
          <t>Spot Fees incl Unit ($)</t>
        </is>
      </c>
      <c r="S3" s="9" t="inlineStr">
        <is>
          <t>HIP-4 Fees ($)</t>
        </is>
      </c>
      <c r="T3" s="9" t="inlineStr">
        <is>
          <t>Total Gross Fees ($)</t>
        </is>
      </c>
      <c r="U3" s="9" t="inlineStr">
        <is>
          <t>HLP Rate</t>
        </is>
      </c>
      <c r="V3" s="9" t="inlineStr">
        <is>
          <t>(-) HLP on Core Perp ($)</t>
        </is>
      </c>
      <c r="W3" s="9" t="inlineStr">
        <is>
          <t>(-) HLP on HIP-3 ($)</t>
        </is>
      </c>
      <c r="X3" s="9" t="inlineStr">
        <is>
          <t>(-) HLP on Spot ($)</t>
        </is>
      </c>
      <c r="Y3" s="9" t="inlineStr">
        <is>
          <t>(-) HLP on HIP-4 ($)</t>
        </is>
      </c>
      <c r="Z3" s="9" t="inlineStr">
        <is>
          <t>(-) Unit Protocol Fees ($)</t>
        </is>
      </c>
      <c r="AA3" s="9" t="inlineStr">
        <is>
          <t>(-) HIP-3 Deployer Fees ($)</t>
        </is>
      </c>
      <c r="AB3" s="9" t="inlineStr">
        <is>
          <t>(-) HIP-4 Deployer Fees ($)</t>
        </is>
      </c>
      <c r="AC3" s="9" t="inlineStr">
        <is>
          <t>Total Deductions ($)</t>
        </is>
      </c>
      <c r="AD3" s="9" t="inlineStr">
        <is>
          <t>Builder Code Fees [on-top, not deducted] ($)</t>
        </is>
      </c>
      <c r="AE3" s="9" t="inlineStr">
        <is>
          <t>Core Crypto Perp Revenue ($)</t>
        </is>
      </c>
      <c r="AF3" s="9" t="inlineStr">
        <is>
          <t>HIP-3 Revenue ($)</t>
        </is>
      </c>
      <c r="AG3" s="9" t="inlineStr">
        <is>
          <t>Spot Revenue ($)</t>
        </is>
      </c>
      <c r="AH3" s="9" t="inlineStr">
        <is>
          <t>HIP-4 Revenue ($)</t>
        </is>
      </c>
      <c r="AI3" s="9" t="inlineStr">
        <is>
          <t>= HyperCore Revenue (model) ($)</t>
        </is>
      </c>
      <c r="AJ3" s="9" t="inlineStr">
        <is>
          <t>HyperCore Revenue ($)</t>
        </is>
      </c>
      <c r="AK3" s="9" t="inlineStr">
        <is>
          <t>Accrual less Buyback ($)</t>
        </is>
      </c>
      <c r="AL3" s="9" t="inlineStr">
        <is>
          <t>Core Perp Take-Rate (bps)</t>
        </is>
      </c>
      <c r="AM3" s="9" t="inlineStr">
        <is>
          <t>HIP-3 Take-Rate (bps)</t>
        </is>
      </c>
      <c r="AN3" s="9" t="inlineStr">
        <is>
          <t>Spot Take-Rate (bps)</t>
        </is>
      </c>
      <c r="AO3" s="9" t="inlineStr">
        <is>
          <t>HIP-4 Take-Rate (bps)</t>
        </is>
      </c>
      <c r="AP3" s="9" t="inlineStr">
        <is>
          <t>HyperEVM Burn ($)</t>
        </is>
      </c>
      <c r="AQ3" s="9" t="inlineStr">
        <is>
          <t>Auction Burn ($)</t>
        </is>
      </c>
      <c r="AR3" s="9" t="inlineStr">
        <is>
          <t>Total Revenue ($)</t>
        </is>
      </c>
      <c r="AS3" s="9" t="inlineStr">
        <is>
          <t>Revenue -&gt; AF ($)</t>
        </is>
      </c>
      <c r="AT3" s="9" t="inlineStr">
        <is>
          <t>Buyback HYPE</t>
        </is>
      </c>
      <c r="AU3" s="9" t="inlineStr">
        <is>
          <t>Buyback Avg Price ($)</t>
        </is>
      </c>
      <c r="AV3" s="9" t="inlineStr">
        <is>
          <t>AF HYPE Balance</t>
        </is>
      </c>
      <c r="AW3" s="9" t="inlineStr">
        <is>
          <t>Staking Emissions (HYPE)</t>
        </is>
      </c>
      <c r="AX3" s="9" t="inlineStr">
        <is>
          <t>Fee Burn (HYPE)</t>
        </is>
      </c>
      <c r="AY3" s="9" t="inlineStr">
        <is>
          <t>Team Tokens Unlocked (HYPE)</t>
        </is>
      </c>
      <c r="AZ3" s="9" t="inlineStr">
        <is>
          <t>HYPE Staked (M)</t>
        </is>
      </c>
      <c r="BA3" s="9" t="inlineStr">
        <is>
          <t>Implied Staking Yield</t>
        </is>
      </c>
      <c r="BB3" s="9" t="inlineStr">
        <is>
          <t>(-) Future Emissions &amp; CR (HYPE)</t>
        </is>
      </c>
      <c r="BC3" s="9" t="inlineStr">
        <is>
          <t>(-) Hyper Foundation (HYPE)</t>
        </is>
      </c>
      <c r="BD3" s="9" t="inlineStr">
        <is>
          <t>(-) Assistance Fund (HYPE)</t>
        </is>
      </c>
      <c r="BE3" s="9" t="inlineStr">
        <is>
          <t>(-) Community Grants (HYPE)</t>
        </is>
      </c>
      <c r="BF3" s="9" t="inlineStr">
        <is>
          <t>(-) HC&amp;EVM Fee Burns (HYPE)</t>
        </is>
      </c>
      <c r="BG3" s="9" t="inlineStr">
        <is>
          <t>= OTS (HYPE)</t>
        </is>
      </c>
      <c r="BH3" s="9" t="inlineStr">
        <is>
          <t>Core Contributors Locked (M)</t>
        </is>
      </c>
      <c r="BI3" s="9" t="inlineStr">
        <is>
          <t>Circulating Token Supply (M)</t>
        </is>
      </c>
      <c r="BJ3" s="9" t="inlineStr">
        <is>
          <t>OTS Value ($)</t>
        </is>
      </c>
    </row>
    <row r="4">
      <c r="A4" s="32" t="inlineStr">
        <is>
          <t>Q4 2024 (Nov-Dec)</t>
        </is>
      </c>
      <c r="B4" s="33" t="n">
        <v>45626</v>
      </c>
      <c r="C4" s="33" t="n">
        <v>45657</v>
      </c>
      <c r="D4" s="21">
        <f>SUMIFS('Daily Model'!$B$4:$B$664,'Daily Model'!$A$4:$A$664,"&gt;="&amp;$B4,'Daily Model'!$A$4:$A$664,"&lt;="&amp;$C4)</f>
        <v/>
      </c>
      <c r="E4" s="21">
        <f>SUMIFS('Daily Model'!$C$4:$C$664,'Daily Model'!$A$4:$A$664,"&gt;="&amp;$B4,'Daily Model'!$A$4:$A$664,"&lt;="&amp;$C4)</f>
        <v/>
      </c>
      <c r="F4" s="21">
        <f>SUMIFS('Daily Model'!$D$4:$D$664,'Daily Model'!$A$4:$A$664,"&gt;="&amp;$B4,'Daily Model'!$A$4:$A$664,"&lt;="&amp;$C4)</f>
        <v/>
      </c>
      <c r="G4" s="21">
        <f>SUMIFS('Daily Model'!$E$4:$E$664,'Daily Model'!$A$4:$A$664,"&gt;="&amp;$B4,'Daily Model'!$A$4:$A$664,"&lt;="&amp;$C4)</f>
        <v/>
      </c>
      <c r="H4" s="21">
        <f>SUMIFS('Daily Model'!$F$4:$F$664,'Daily Model'!$A$4:$A$664,"&gt;="&amp;$B4,'Daily Model'!$A$4:$A$664,"&lt;="&amp;$C4)</f>
        <v/>
      </c>
      <c r="I4" s="21">
        <f>SUMIFS('Daily Model'!$G$4:$G$664,'Daily Model'!$A$4:$A$664,"&gt;="&amp;$B4,'Daily Model'!$A$4:$A$664,"&lt;="&amp;$C4)</f>
        <v/>
      </c>
      <c r="J4" s="21">
        <f>SUMIFS('Daily Model'!$H$4:$H$664,'Daily Model'!$A$4:$A$664,"&gt;="&amp;$B4,'Daily Model'!$A$4:$A$664,"&lt;="&amp;$C4)</f>
        <v/>
      </c>
      <c r="K4" s="21">
        <f>SUMIFS('Daily Model'!$I$4:$I$664,'Daily Model'!$A$4:$A$664,"&gt;="&amp;$B4,'Daily Model'!$A$4:$A$664,"&lt;="&amp;$C4)</f>
        <v/>
      </c>
      <c r="L4" s="21">
        <f>SUMIFS('Daily Model'!$J$4:$J$664,'Daily Model'!$A$4:$A$664,"&gt;="&amp;$B4,'Daily Model'!$A$4:$A$664,"&lt;="&amp;$C4)</f>
        <v/>
      </c>
      <c r="M4" s="21">
        <f>SUMIFS('Daily Model'!$K$4:$K$664,'Daily Model'!$A$4:$A$664,"&gt;="&amp;$B4,'Daily Model'!$A$4:$A$664,"&lt;="&amp;$C4)</f>
        <v/>
      </c>
      <c r="N4" s="21">
        <f>SUMIFS('Daily Model'!$L$4:$L$664,'Daily Model'!$A$4:$A$664,"&gt;="&amp;$B4,'Daily Model'!$A$4:$A$664,"&lt;="&amp;$C4)</f>
        <v/>
      </c>
      <c r="O4" s="28">
        <f>IF(E4=0,"",N4/E4)</f>
        <v/>
      </c>
      <c r="P4" s="21">
        <f>SUMIFS('Daily Model'!$N$4:$N$664,'Daily Model'!$A$4:$A$664,"&gt;="&amp;$B4,'Daily Model'!$A$4:$A$664,"&lt;="&amp;$C4)</f>
        <v/>
      </c>
      <c r="Q4" s="21">
        <f>SUMIFS('Daily Model'!$O$4:$O$664,'Daily Model'!$A$4:$A$664,"&gt;="&amp;$B4,'Daily Model'!$A$4:$A$664,"&lt;="&amp;$C4)</f>
        <v/>
      </c>
      <c r="R4" s="21">
        <f>SUMIFS('Daily Model'!$P$4:$P$664,'Daily Model'!$A$4:$A$664,"&gt;="&amp;$B4,'Daily Model'!$A$4:$A$664,"&lt;="&amp;$C4)</f>
        <v/>
      </c>
      <c r="S4" s="21">
        <f>SUMIFS('Daily Model'!$Q$4:$Q$664,'Daily Model'!$A$4:$A$664,"&gt;="&amp;$B4,'Daily Model'!$A$4:$A$664,"&lt;="&amp;$C4)</f>
        <v/>
      </c>
      <c r="T4" s="21">
        <f>SUMIFS('Daily Model'!$R$4:$R$664,'Daily Model'!$A$4:$A$664,"&gt;="&amp;$B4,'Daily Model'!$A$4:$A$664,"&lt;="&amp;$C4)</f>
        <v/>
      </c>
      <c r="U4" s="13" t="n"/>
      <c r="V4" s="21">
        <f>SUMIFS('Daily Model'!$T$4:$T$664,'Daily Model'!$A$4:$A$664,"&gt;="&amp;$B4,'Daily Model'!$A$4:$A$664,"&lt;="&amp;$C4)</f>
        <v/>
      </c>
      <c r="W4" s="21">
        <f>SUMIFS('Daily Model'!$U$4:$U$664,'Daily Model'!$A$4:$A$664,"&gt;="&amp;$B4,'Daily Model'!$A$4:$A$664,"&lt;="&amp;$C4)</f>
        <v/>
      </c>
      <c r="X4" s="21">
        <f>SUMIFS('Daily Model'!$V$4:$V$664,'Daily Model'!$A$4:$A$664,"&gt;="&amp;$B4,'Daily Model'!$A$4:$A$664,"&lt;="&amp;$C4)</f>
        <v/>
      </c>
      <c r="Y4" s="21">
        <f>SUMIFS('Daily Model'!$W$4:$W$664,'Daily Model'!$A$4:$A$664,"&gt;="&amp;$B4,'Daily Model'!$A$4:$A$664,"&lt;="&amp;$C4)</f>
        <v/>
      </c>
      <c r="Z4" s="21">
        <f>SUMIFS('Daily Model'!$X$4:$X$664,'Daily Model'!$A$4:$A$664,"&gt;="&amp;$B4,'Daily Model'!$A$4:$A$664,"&lt;="&amp;$C4)</f>
        <v/>
      </c>
      <c r="AA4" s="21">
        <f>SUMIFS('Daily Model'!$Y$4:$Y$664,'Daily Model'!$A$4:$A$664,"&gt;="&amp;$B4,'Daily Model'!$A$4:$A$664,"&lt;="&amp;$C4)</f>
        <v/>
      </c>
      <c r="AB4" s="21">
        <f>SUMIFS('Daily Model'!$Z$4:$Z$664,'Daily Model'!$A$4:$A$664,"&gt;="&amp;$B4,'Daily Model'!$A$4:$A$664,"&lt;="&amp;$C4)</f>
        <v/>
      </c>
      <c r="AC4" s="21">
        <f>SUMIFS('Daily Model'!$AA$4:$AA$664,'Daily Model'!$A$4:$A$664,"&gt;="&amp;$B4,'Daily Model'!$A$4:$A$664,"&lt;="&amp;$C4)</f>
        <v/>
      </c>
      <c r="AD4" s="21">
        <f>SUMIFS('Daily Model'!$AB$4:$AB$664,'Daily Model'!$A$4:$A$664,"&gt;="&amp;$B4,'Daily Model'!$A$4:$A$664,"&lt;="&amp;$C4)</f>
        <v/>
      </c>
      <c r="AE4" s="21">
        <f>SUMIFS('Daily Model'!$AC$4:$AC$664,'Daily Model'!$A$4:$A$664,"&gt;="&amp;$B4,'Daily Model'!$A$4:$A$664,"&lt;="&amp;$C4)</f>
        <v/>
      </c>
      <c r="AF4" s="21">
        <f>SUMIFS('Daily Model'!$AD$4:$AD$664,'Daily Model'!$A$4:$A$664,"&gt;="&amp;$B4,'Daily Model'!$A$4:$A$664,"&lt;="&amp;$C4)</f>
        <v/>
      </c>
      <c r="AG4" s="21">
        <f>SUMIFS('Daily Model'!$AE$4:$AE$664,'Daily Model'!$A$4:$A$664,"&gt;="&amp;$B4,'Daily Model'!$A$4:$A$664,"&lt;="&amp;$C4)</f>
        <v/>
      </c>
      <c r="AH4" s="21">
        <f>SUMIFS('Daily Model'!$AF$4:$AF$664,'Daily Model'!$A$4:$A$664,"&gt;="&amp;$B4,'Daily Model'!$A$4:$A$664,"&lt;="&amp;$C4)</f>
        <v/>
      </c>
      <c r="AI4" s="21">
        <f>SUMIFS('Daily Model'!$AG$4:$AG$664,'Daily Model'!$A$4:$A$664,"&gt;="&amp;$B4,'Daily Model'!$A$4:$A$664,"&lt;="&amp;$C4)</f>
        <v/>
      </c>
      <c r="AJ4" s="21">
        <f>SUMIFS('Daily Model'!$AH$4:$AH$664,'Daily Model'!$A$4:$A$664,"&gt;="&amp;$B4,'Daily Model'!$A$4:$A$664,"&lt;="&amp;$C4)</f>
        <v/>
      </c>
      <c r="AK4" s="24">
        <f>AI4-AJ4</f>
        <v/>
      </c>
      <c r="AL4" s="14">
        <f>IF(D4=0,"",P4/D4*10000)</f>
        <v/>
      </c>
      <c r="AM4" s="14">
        <f>IF(E4=0,"",Q4/E4*10000)</f>
        <v/>
      </c>
      <c r="AN4" s="14">
        <f>IF(F4=0,"",R4/F4*10000)</f>
        <v/>
      </c>
      <c r="AO4" s="14">
        <f>IF(G4=0,"",S4/G4*10000)</f>
        <v/>
      </c>
      <c r="AP4" s="21">
        <f>SUMIFS('Daily Model'!$AN$4:$AN$664,'Daily Model'!$A$4:$A$664,"&gt;="&amp;$B4,'Daily Model'!$A$4:$A$664,"&lt;="&amp;$C4)</f>
        <v/>
      </c>
      <c r="AQ4" s="21">
        <f>SUMIFS('Daily Model'!$AO$4:$AO$664,'Daily Model'!$A$4:$A$664,"&gt;="&amp;$B4,'Daily Model'!$A$4:$A$664,"&lt;="&amp;$C4)</f>
        <v/>
      </c>
      <c r="AR4" s="21">
        <f>SUMIFS('Daily Model'!$AP$4:$AP$664,'Daily Model'!$A$4:$A$664,"&gt;="&amp;$B4,'Daily Model'!$A$4:$A$664,"&lt;="&amp;$C4)</f>
        <v/>
      </c>
      <c r="AS4" s="21">
        <f>SUMIFS('Daily Model'!$AQ$4:$AQ$664,'Daily Model'!$A$4:$A$664,"&gt;="&amp;$B4,'Daily Model'!$A$4:$A$664,"&lt;="&amp;$C4)</f>
        <v/>
      </c>
      <c r="AT4" s="17">
        <f>SUMIFS('Daily Model'!$AR$4:$AR$664,'Daily Model'!$A$4:$A$664,"&gt;="&amp;$B4,'Daily Model'!$A$4:$A$664,"&lt;="&amp;$C4)</f>
        <v/>
      </c>
      <c r="AU4" s="34">
        <f>IF(AT4=0,"",AS4/AT4)</f>
        <v/>
      </c>
      <c r="AV4" s="17" t="n">
        <v>11670797.46</v>
      </c>
      <c r="AW4" s="17">
        <f>SUMIFS('Daily Model'!$AU$4:$AU$664,'Daily Model'!$A$4:$A$664,"&gt;="&amp;$B4,'Daily Model'!$A$4:$A$664,"&lt;="&amp;$C4)</f>
        <v/>
      </c>
      <c r="AX4" s="17">
        <f>SUMIFS('Daily Model'!$AV$4:$AV$664,'Daily Model'!$A$4:$A$664,"&gt;="&amp;$B4,'Daily Model'!$A$4:$A$664,"&lt;="&amp;$C4)</f>
        <v/>
      </c>
      <c r="AY4" s="17">
        <f>SUMIFS('Daily Model'!$AW$4:$AW$664,'Daily Model'!$A$4:$A$664,"&gt;="&amp;$B4,'Daily Model'!$A$4:$A$664,"&lt;="&amp;$C4)</f>
        <v/>
      </c>
      <c r="AZ4" s="20" t="n">
        <v>352.7986</v>
      </c>
      <c r="BA4" s="13" t="n">
        <v>0.0127</v>
      </c>
      <c r="BB4" s="17" t="n">
        <v>428004781.7919</v>
      </c>
      <c r="BC4" s="17" t="n">
        <v>60487233</v>
      </c>
      <c r="BD4" s="17" t="n">
        <v>11670797.46</v>
      </c>
      <c r="BE4" s="17" t="n">
        <v>2971663</v>
      </c>
      <c r="BF4" s="17" t="n">
        <v>110094.6672</v>
      </c>
      <c r="BG4" s="19" t="n">
        <v>496755430.0809</v>
      </c>
      <c r="BH4" s="20" t="n">
        <v>238</v>
      </c>
      <c r="BI4" s="20" t="n">
        <v>258.7554</v>
      </c>
      <c r="BJ4" s="21" t="n">
        <v>13387558840.6803</v>
      </c>
    </row>
    <row r="5">
      <c r="A5" s="32" t="inlineStr">
        <is>
          <t>Q1 2025</t>
        </is>
      </c>
      <c r="B5" s="33" t="n">
        <v>45658</v>
      </c>
      <c r="C5" s="33" t="n">
        <v>45747</v>
      </c>
      <c r="D5" s="21">
        <f>SUMIFS('Daily Model'!$B$4:$B$664,'Daily Model'!$A$4:$A$664,"&gt;="&amp;$B5,'Daily Model'!$A$4:$A$664,"&lt;="&amp;$C5)</f>
        <v/>
      </c>
      <c r="E5" s="21">
        <f>SUMIFS('Daily Model'!$C$4:$C$664,'Daily Model'!$A$4:$A$664,"&gt;="&amp;$B5,'Daily Model'!$A$4:$A$664,"&lt;="&amp;$C5)</f>
        <v/>
      </c>
      <c r="F5" s="21">
        <f>SUMIFS('Daily Model'!$D$4:$D$664,'Daily Model'!$A$4:$A$664,"&gt;="&amp;$B5,'Daily Model'!$A$4:$A$664,"&lt;="&amp;$C5)</f>
        <v/>
      </c>
      <c r="G5" s="21">
        <f>SUMIFS('Daily Model'!$E$4:$E$664,'Daily Model'!$A$4:$A$664,"&gt;="&amp;$B5,'Daily Model'!$A$4:$A$664,"&lt;="&amp;$C5)</f>
        <v/>
      </c>
      <c r="H5" s="21">
        <f>SUMIFS('Daily Model'!$F$4:$F$664,'Daily Model'!$A$4:$A$664,"&gt;="&amp;$B5,'Daily Model'!$A$4:$A$664,"&lt;="&amp;$C5)</f>
        <v/>
      </c>
      <c r="I5" s="21">
        <f>SUMIFS('Daily Model'!$G$4:$G$664,'Daily Model'!$A$4:$A$664,"&gt;="&amp;$B5,'Daily Model'!$A$4:$A$664,"&lt;="&amp;$C5)</f>
        <v/>
      </c>
      <c r="J5" s="21">
        <f>SUMIFS('Daily Model'!$H$4:$H$664,'Daily Model'!$A$4:$A$664,"&gt;="&amp;$B5,'Daily Model'!$A$4:$A$664,"&lt;="&amp;$C5)</f>
        <v/>
      </c>
      <c r="K5" s="21">
        <f>SUMIFS('Daily Model'!$I$4:$I$664,'Daily Model'!$A$4:$A$664,"&gt;="&amp;$B5,'Daily Model'!$A$4:$A$664,"&lt;="&amp;$C5)</f>
        <v/>
      </c>
      <c r="L5" s="21">
        <f>SUMIFS('Daily Model'!$J$4:$J$664,'Daily Model'!$A$4:$A$664,"&gt;="&amp;$B5,'Daily Model'!$A$4:$A$664,"&lt;="&amp;$C5)</f>
        <v/>
      </c>
      <c r="M5" s="21">
        <f>SUMIFS('Daily Model'!$K$4:$K$664,'Daily Model'!$A$4:$A$664,"&gt;="&amp;$B5,'Daily Model'!$A$4:$A$664,"&lt;="&amp;$C5)</f>
        <v/>
      </c>
      <c r="N5" s="21">
        <f>SUMIFS('Daily Model'!$L$4:$L$664,'Daily Model'!$A$4:$A$664,"&gt;="&amp;$B5,'Daily Model'!$A$4:$A$664,"&lt;="&amp;$C5)</f>
        <v/>
      </c>
      <c r="O5" s="28">
        <f>IF(E5=0,"",N5/E5)</f>
        <v/>
      </c>
      <c r="P5" s="21">
        <f>SUMIFS('Daily Model'!$N$4:$N$664,'Daily Model'!$A$4:$A$664,"&gt;="&amp;$B5,'Daily Model'!$A$4:$A$664,"&lt;="&amp;$C5)</f>
        <v/>
      </c>
      <c r="Q5" s="21">
        <f>SUMIFS('Daily Model'!$O$4:$O$664,'Daily Model'!$A$4:$A$664,"&gt;="&amp;$B5,'Daily Model'!$A$4:$A$664,"&lt;="&amp;$C5)</f>
        <v/>
      </c>
      <c r="R5" s="21">
        <f>SUMIFS('Daily Model'!$P$4:$P$664,'Daily Model'!$A$4:$A$664,"&gt;="&amp;$B5,'Daily Model'!$A$4:$A$664,"&lt;="&amp;$C5)</f>
        <v/>
      </c>
      <c r="S5" s="21">
        <f>SUMIFS('Daily Model'!$Q$4:$Q$664,'Daily Model'!$A$4:$A$664,"&gt;="&amp;$B5,'Daily Model'!$A$4:$A$664,"&lt;="&amp;$C5)</f>
        <v/>
      </c>
      <c r="T5" s="21">
        <f>SUMIFS('Daily Model'!$R$4:$R$664,'Daily Model'!$A$4:$A$664,"&gt;="&amp;$B5,'Daily Model'!$A$4:$A$664,"&lt;="&amp;$C5)</f>
        <v/>
      </c>
      <c r="U5" s="13" t="n"/>
      <c r="V5" s="21">
        <f>SUMIFS('Daily Model'!$T$4:$T$664,'Daily Model'!$A$4:$A$664,"&gt;="&amp;$B5,'Daily Model'!$A$4:$A$664,"&lt;="&amp;$C5)</f>
        <v/>
      </c>
      <c r="W5" s="21">
        <f>SUMIFS('Daily Model'!$U$4:$U$664,'Daily Model'!$A$4:$A$664,"&gt;="&amp;$B5,'Daily Model'!$A$4:$A$664,"&lt;="&amp;$C5)</f>
        <v/>
      </c>
      <c r="X5" s="21">
        <f>SUMIFS('Daily Model'!$V$4:$V$664,'Daily Model'!$A$4:$A$664,"&gt;="&amp;$B5,'Daily Model'!$A$4:$A$664,"&lt;="&amp;$C5)</f>
        <v/>
      </c>
      <c r="Y5" s="21">
        <f>SUMIFS('Daily Model'!$W$4:$W$664,'Daily Model'!$A$4:$A$664,"&gt;="&amp;$B5,'Daily Model'!$A$4:$A$664,"&lt;="&amp;$C5)</f>
        <v/>
      </c>
      <c r="Z5" s="21">
        <f>SUMIFS('Daily Model'!$X$4:$X$664,'Daily Model'!$A$4:$A$664,"&gt;="&amp;$B5,'Daily Model'!$A$4:$A$664,"&lt;="&amp;$C5)</f>
        <v/>
      </c>
      <c r="AA5" s="21">
        <f>SUMIFS('Daily Model'!$Y$4:$Y$664,'Daily Model'!$A$4:$A$664,"&gt;="&amp;$B5,'Daily Model'!$A$4:$A$664,"&lt;="&amp;$C5)</f>
        <v/>
      </c>
      <c r="AB5" s="21">
        <f>SUMIFS('Daily Model'!$Z$4:$Z$664,'Daily Model'!$A$4:$A$664,"&gt;="&amp;$B5,'Daily Model'!$A$4:$A$664,"&lt;="&amp;$C5)</f>
        <v/>
      </c>
      <c r="AC5" s="21">
        <f>SUMIFS('Daily Model'!$AA$4:$AA$664,'Daily Model'!$A$4:$A$664,"&gt;="&amp;$B5,'Daily Model'!$A$4:$A$664,"&lt;="&amp;$C5)</f>
        <v/>
      </c>
      <c r="AD5" s="21">
        <f>SUMIFS('Daily Model'!$AB$4:$AB$664,'Daily Model'!$A$4:$A$664,"&gt;="&amp;$B5,'Daily Model'!$A$4:$A$664,"&lt;="&amp;$C5)</f>
        <v/>
      </c>
      <c r="AE5" s="21">
        <f>SUMIFS('Daily Model'!$AC$4:$AC$664,'Daily Model'!$A$4:$A$664,"&gt;="&amp;$B5,'Daily Model'!$A$4:$A$664,"&lt;="&amp;$C5)</f>
        <v/>
      </c>
      <c r="AF5" s="21">
        <f>SUMIFS('Daily Model'!$AD$4:$AD$664,'Daily Model'!$A$4:$A$664,"&gt;="&amp;$B5,'Daily Model'!$A$4:$A$664,"&lt;="&amp;$C5)</f>
        <v/>
      </c>
      <c r="AG5" s="21">
        <f>SUMIFS('Daily Model'!$AE$4:$AE$664,'Daily Model'!$A$4:$A$664,"&gt;="&amp;$B5,'Daily Model'!$A$4:$A$664,"&lt;="&amp;$C5)</f>
        <v/>
      </c>
      <c r="AH5" s="21">
        <f>SUMIFS('Daily Model'!$AF$4:$AF$664,'Daily Model'!$A$4:$A$664,"&gt;="&amp;$B5,'Daily Model'!$A$4:$A$664,"&lt;="&amp;$C5)</f>
        <v/>
      </c>
      <c r="AI5" s="21">
        <f>SUMIFS('Daily Model'!$AG$4:$AG$664,'Daily Model'!$A$4:$A$664,"&gt;="&amp;$B5,'Daily Model'!$A$4:$A$664,"&lt;="&amp;$C5)</f>
        <v/>
      </c>
      <c r="AJ5" s="21">
        <f>SUMIFS('Daily Model'!$AH$4:$AH$664,'Daily Model'!$A$4:$A$664,"&gt;="&amp;$B5,'Daily Model'!$A$4:$A$664,"&lt;="&amp;$C5)</f>
        <v/>
      </c>
      <c r="AK5" s="24">
        <f>AI5-AJ5</f>
        <v/>
      </c>
      <c r="AL5" s="14">
        <f>IF(D5=0,"",P5/D5*10000)</f>
        <v/>
      </c>
      <c r="AM5" s="14">
        <f>IF(E5=0,"",Q5/E5*10000)</f>
        <v/>
      </c>
      <c r="AN5" s="14">
        <f>IF(F5=0,"",R5/F5*10000)</f>
        <v/>
      </c>
      <c r="AO5" s="14">
        <f>IF(G5=0,"",S5/G5*10000)</f>
        <v/>
      </c>
      <c r="AP5" s="21">
        <f>SUMIFS('Daily Model'!$AN$4:$AN$664,'Daily Model'!$A$4:$A$664,"&gt;="&amp;$B5,'Daily Model'!$A$4:$A$664,"&lt;="&amp;$C5)</f>
        <v/>
      </c>
      <c r="AQ5" s="21">
        <f>SUMIFS('Daily Model'!$AO$4:$AO$664,'Daily Model'!$A$4:$A$664,"&gt;="&amp;$B5,'Daily Model'!$A$4:$A$664,"&lt;="&amp;$C5)</f>
        <v/>
      </c>
      <c r="AR5" s="21">
        <f>SUMIFS('Daily Model'!$AP$4:$AP$664,'Daily Model'!$A$4:$A$664,"&gt;="&amp;$B5,'Daily Model'!$A$4:$A$664,"&lt;="&amp;$C5)</f>
        <v/>
      </c>
      <c r="AS5" s="21">
        <f>SUMIFS('Daily Model'!$AQ$4:$AQ$664,'Daily Model'!$A$4:$A$664,"&gt;="&amp;$B5,'Daily Model'!$A$4:$A$664,"&lt;="&amp;$C5)</f>
        <v/>
      </c>
      <c r="AT5" s="17">
        <f>SUMIFS('Daily Model'!$AR$4:$AR$664,'Daily Model'!$A$4:$A$664,"&gt;="&amp;$B5,'Daily Model'!$A$4:$A$664,"&lt;="&amp;$C5)</f>
        <v/>
      </c>
      <c r="AU5" s="34">
        <f>IF(AT5=0,"",AS5/AT5)</f>
        <v/>
      </c>
      <c r="AV5" s="17" t="n">
        <v>18407963.61</v>
      </c>
      <c r="AW5" s="17">
        <f>SUMIFS('Daily Model'!$AU$4:$AU$664,'Daily Model'!$A$4:$A$664,"&gt;="&amp;$B5,'Daily Model'!$A$4:$A$664,"&lt;="&amp;$C5)</f>
        <v/>
      </c>
      <c r="AX5" s="17">
        <f>SUMIFS('Daily Model'!$AV$4:$AV$664,'Daily Model'!$A$4:$A$664,"&gt;="&amp;$B5,'Daily Model'!$A$4:$A$664,"&lt;="&amp;$C5)</f>
        <v/>
      </c>
      <c r="AY5" s="17">
        <f>SUMIFS('Daily Model'!$AW$4:$AW$664,'Daily Model'!$A$4:$A$664,"&gt;="&amp;$B5,'Daily Model'!$A$4:$A$664,"&lt;="&amp;$C5)</f>
        <v/>
      </c>
      <c r="AZ5" s="20" t="n">
        <v>421.3321</v>
      </c>
      <c r="BA5" s="13" t="n">
        <v>0.0228</v>
      </c>
      <c r="BB5" s="17" t="n">
        <v>425634265.66</v>
      </c>
      <c r="BC5" s="17" t="n">
        <v>60487233</v>
      </c>
      <c r="BD5" s="17" t="n">
        <v>18407963.61</v>
      </c>
      <c r="BE5" s="17" t="n">
        <v>2971663</v>
      </c>
      <c r="BF5" s="17" t="n">
        <v>195393.4451</v>
      </c>
      <c r="BG5" s="19" t="n">
        <v>492303481.2849</v>
      </c>
      <c r="BH5" s="20" t="n">
        <v>238</v>
      </c>
      <c r="BI5" s="20" t="n">
        <v>254.3035</v>
      </c>
      <c r="BJ5" s="21" t="n">
        <v>6143947446.4354</v>
      </c>
    </row>
    <row r="6">
      <c r="A6" s="32" t="inlineStr">
        <is>
          <t>Q2 2025</t>
        </is>
      </c>
      <c r="B6" s="33" t="n">
        <v>45748</v>
      </c>
      <c r="C6" s="33" t="n">
        <v>45838</v>
      </c>
      <c r="D6" s="21">
        <f>SUMIFS('Daily Model'!$B$4:$B$664,'Daily Model'!$A$4:$A$664,"&gt;="&amp;$B6,'Daily Model'!$A$4:$A$664,"&lt;="&amp;$C6)</f>
        <v/>
      </c>
      <c r="E6" s="21">
        <f>SUMIFS('Daily Model'!$C$4:$C$664,'Daily Model'!$A$4:$A$664,"&gt;="&amp;$B6,'Daily Model'!$A$4:$A$664,"&lt;="&amp;$C6)</f>
        <v/>
      </c>
      <c r="F6" s="21">
        <f>SUMIFS('Daily Model'!$D$4:$D$664,'Daily Model'!$A$4:$A$664,"&gt;="&amp;$B6,'Daily Model'!$A$4:$A$664,"&lt;="&amp;$C6)</f>
        <v/>
      </c>
      <c r="G6" s="21">
        <f>SUMIFS('Daily Model'!$E$4:$E$664,'Daily Model'!$A$4:$A$664,"&gt;="&amp;$B6,'Daily Model'!$A$4:$A$664,"&lt;="&amp;$C6)</f>
        <v/>
      </c>
      <c r="H6" s="21">
        <f>SUMIFS('Daily Model'!$F$4:$F$664,'Daily Model'!$A$4:$A$664,"&gt;="&amp;$B6,'Daily Model'!$A$4:$A$664,"&lt;="&amp;$C6)</f>
        <v/>
      </c>
      <c r="I6" s="21">
        <f>SUMIFS('Daily Model'!$G$4:$G$664,'Daily Model'!$A$4:$A$664,"&gt;="&amp;$B6,'Daily Model'!$A$4:$A$664,"&lt;="&amp;$C6)</f>
        <v/>
      </c>
      <c r="J6" s="21">
        <f>SUMIFS('Daily Model'!$H$4:$H$664,'Daily Model'!$A$4:$A$664,"&gt;="&amp;$B6,'Daily Model'!$A$4:$A$664,"&lt;="&amp;$C6)</f>
        <v/>
      </c>
      <c r="K6" s="21">
        <f>SUMIFS('Daily Model'!$I$4:$I$664,'Daily Model'!$A$4:$A$664,"&gt;="&amp;$B6,'Daily Model'!$A$4:$A$664,"&lt;="&amp;$C6)</f>
        <v/>
      </c>
      <c r="L6" s="21">
        <f>SUMIFS('Daily Model'!$J$4:$J$664,'Daily Model'!$A$4:$A$664,"&gt;="&amp;$B6,'Daily Model'!$A$4:$A$664,"&lt;="&amp;$C6)</f>
        <v/>
      </c>
      <c r="M6" s="21">
        <f>SUMIFS('Daily Model'!$K$4:$K$664,'Daily Model'!$A$4:$A$664,"&gt;="&amp;$B6,'Daily Model'!$A$4:$A$664,"&lt;="&amp;$C6)</f>
        <v/>
      </c>
      <c r="N6" s="21">
        <f>SUMIFS('Daily Model'!$L$4:$L$664,'Daily Model'!$A$4:$A$664,"&gt;="&amp;$B6,'Daily Model'!$A$4:$A$664,"&lt;="&amp;$C6)</f>
        <v/>
      </c>
      <c r="O6" s="28">
        <f>IF(E6=0,"",N6/E6)</f>
        <v/>
      </c>
      <c r="P6" s="21">
        <f>SUMIFS('Daily Model'!$N$4:$N$664,'Daily Model'!$A$4:$A$664,"&gt;="&amp;$B6,'Daily Model'!$A$4:$A$664,"&lt;="&amp;$C6)</f>
        <v/>
      </c>
      <c r="Q6" s="21">
        <f>SUMIFS('Daily Model'!$O$4:$O$664,'Daily Model'!$A$4:$A$664,"&gt;="&amp;$B6,'Daily Model'!$A$4:$A$664,"&lt;="&amp;$C6)</f>
        <v/>
      </c>
      <c r="R6" s="21">
        <f>SUMIFS('Daily Model'!$P$4:$P$664,'Daily Model'!$A$4:$A$664,"&gt;="&amp;$B6,'Daily Model'!$A$4:$A$664,"&lt;="&amp;$C6)</f>
        <v/>
      </c>
      <c r="S6" s="21">
        <f>SUMIFS('Daily Model'!$Q$4:$Q$664,'Daily Model'!$A$4:$A$664,"&gt;="&amp;$B6,'Daily Model'!$A$4:$A$664,"&lt;="&amp;$C6)</f>
        <v/>
      </c>
      <c r="T6" s="21">
        <f>SUMIFS('Daily Model'!$R$4:$R$664,'Daily Model'!$A$4:$A$664,"&gt;="&amp;$B6,'Daily Model'!$A$4:$A$664,"&lt;="&amp;$C6)</f>
        <v/>
      </c>
      <c r="U6" s="13" t="n"/>
      <c r="V6" s="21">
        <f>SUMIFS('Daily Model'!$T$4:$T$664,'Daily Model'!$A$4:$A$664,"&gt;="&amp;$B6,'Daily Model'!$A$4:$A$664,"&lt;="&amp;$C6)</f>
        <v/>
      </c>
      <c r="W6" s="21">
        <f>SUMIFS('Daily Model'!$U$4:$U$664,'Daily Model'!$A$4:$A$664,"&gt;="&amp;$B6,'Daily Model'!$A$4:$A$664,"&lt;="&amp;$C6)</f>
        <v/>
      </c>
      <c r="X6" s="21">
        <f>SUMIFS('Daily Model'!$V$4:$V$664,'Daily Model'!$A$4:$A$664,"&gt;="&amp;$B6,'Daily Model'!$A$4:$A$664,"&lt;="&amp;$C6)</f>
        <v/>
      </c>
      <c r="Y6" s="21">
        <f>SUMIFS('Daily Model'!$W$4:$W$664,'Daily Model'!$A$4:$A$664,"&gt;="&amp;$B6,'Daily Model'!$A$4:$A$664,"&lt;="&amp;$C6)</f>
        <v/>
      </c>
      <c r="Z6" s="21">
        <f>SUMIFS('Daily Model'!$X$4:$X$664,'Daily Model'!$A$4:$A$664,"&gt;="&amp;$B6,'Daily Model'!$A$4:$A$664,"&lt;="&amp;$C6)</f>
        <v/>
      </c>
      <c r="AA6" s="21">
        <f>SUMIFS('Daily Model'!$Y$4:$Y$664,'Daily Model'!$A$4:$A$664,"&gt;="&amp;$B6,'Daily Model'!$A$4:$A$664,"&lt;="&amp;$C6)</f>
        <v/>
      </c>
      <c r="AB6" s="21">
        <f>SUMIFS('Daily Model'!$Z$4:$Z$664,'Daily Model'!$A$4:$A$664,"&gt;="&amp;$B6,'Daily Model'!$A$4:$A$664,"&lt;="&amp;$C6)</f>
        <v/>
      </c>
      <c r="AC6" s="21">
        <f>SUMIFS('Daily Model'!$AA$4:$AA$664,'Daily Model'!$A$4:$A$664,"&gt;="&amp;$B6,'Daily Model'!$A$4:$A$664,"&lt;="&amp;$C6)</f>
        <v/>
      </c>
      <c r="AD6" s="21">
        <f>SUMIFS('Daily Model'!$AB$4:$AB$664,'Daily Model'!$A$4:$A$664,"&gt;="&amp;$B6,'Daily Model'!$A$4:$A$664,"&lt;="&amp;$C6)</f>
        <v/>
      </c>
      <c r="AE6" s="21">
        <f>SUMIFS('Daily Model'!$AC$4:$AC$664,'Daily Model'!$A$4:$A$664,"&gt;="&amp;$B6,'Daily Model'!$A$4:$A$664,"&lt;="&amp;$C6)</f>
        <v/>
      </c>
      <c r="AF6" s="21">
        <f>SUMIFS('Daily Model'!$AD$4:$AD$664,'Daily Model'!$A$4:$A$664,"&gt;="&amp;$B6,'Daily Model'!$A$4:$A$664,"&lt;="&amp;$C6)</f>
        <v/>
      </c>
      <c r="AG6" s="21">
        <f>SUMIFS('Daily Model'!$AE$4:$AE$664,'Daily Model'!$A$4:$A$664,"&gt;="&amp;$B6,'Daily Model'!$A$4:$A$664,"&lt;="&amp;$C6)</f>
        <v/>
      </c>
      <c r="AH6" s="21">
        <f>SUMIFS('Daily Model'!$AF$4:$AF$664,'Daily Model'!$A$4:$A$664,"&gt;="&amp;$B6,'Daily Model'!$A$4:$A$664,"&lt;="&amp;$C6)</f>
        <v/>
      </c>
      <c r="AI6" s="21">
        <f>SUMIFS('Daily Model'!$AG$4:$AG$664,'Daily Model'!$A$4:$A$664,"&gt;="&amp;$B6,'Daily Model'!$A$4:$A$664,"&lt;="&amp;$C6)</f>
        <v/>
      </c>
      <c r="AJ6" s="21">
        <f>SUMIFS('Daily Model'!$AH$4:$AH$664,'Daily Model'!$A$4:$A$664,"&gt;="&amp;$B6,'Daily Model'!$A$4:$A$664,"&lt;="&amp;$C6)</f>
        <v/>
      </c>
      <c r="AK6" s="24">
        <f>AI6-AJ6</f>
        <v/>
      </c>
      <c r="AL6" s="14">
        <f>IF(D6=0,"",P6/D6*10000)</f>
        <v/>
      </c>
      <c r="AM6" s="14">
        <f>IF(E6=0,"",Q6/E6*10000)</f>
        <v/>
      </c>
      <c r="AN6" s="14">
        <f>IF(F6=0,"",R6/F6*10000)</f>
        <v/>
      </c>
      <c r="AO6" s="14">
        <f>IF(G6=0,"",S6/G6*10000)</f>
        <v/>
      </c>
      <c r="AP6" s="21">
        <f>SUMIFS('Daily Model'!$AN$4:$AN$664,'Daily Model'!$A$4:$A$664,"&gt;="&amp;$B6,'Daily Model'!$A$4:$A$664,"&lt;="&amp;$C6)</f>
        <v/>
      </c>
      <c r="AQ6" s="21">
        <f>SUMIFS('Daily Model'!$AO$4:$AO$664,'Daily Model'!$A$4:$A$664,"&gt;="&amp;$B6,'Daily Model'!$A$4:$A$664,"&lt;="&amp;$C6)</f>
        <v/>
      </c>
      <c r="AR6" s="21">
        <f>SUMIFS('Daily Model'!$AP$4:$AP$664,'Daily Model'!$A$4:$A$664,"&gt;="&amp;$B6,'Daily Model'!$A$4:$A$664,"&lt;="&amp;$C6)</f>
        <v/>
      </c>
      <c r="AS6" s="21">
        <f>SUMIFS('Daily Model'!$AQ$4:$AQ$664,'Daily Model'!$A$4:$A$664,"&gt;="&amp;$B6,'Daily Model'!$A$4:$A$664,"&lt;="&amp;$C6)</f>
        <v/>
      </c>
      <c r="AT6" s="17">
        <f>SUMIFS('Daily Model'!$AR$4:$AR$664,'Daily Model'!$A$4:$A$664,"&gt;="&amp;$B6,'Daily Model'!$A$4:$A$664,"&lt;="&amp;$C6)</f>
        <v/>
      </c>
      <c r="AU6" s="34">
        <f>IF(AT6=0,"",AS6/AT6)</f>
        <v/>
      </c>
      <c r="AV6" s="17" t="n">
        <v>25508875.62</v>
      </c>
      <c r="AW6" s="17">
        <f>SUMIFS('Daily Model'!$AU$4:$AU$664,'Daily Model'!$A$4:$A$664,"&gt;="&amp;$B6,'Daily Model'!$A$4:$A$664,"&lt;="&amp;$C6)</f>
        <v/>
      </c>
      <c r="AX6" s="17">
        <f>SUMIFS('Daily Model'!$AV$4:$AV$664,'Daily Model'!$A$4:$A$664,"&gt;="&amp;$B6,'Daily Model'!$A$4:$A$664,"&lt;="&amp;$C6)</f>
        <v/>
      </c>
      <c r="AY6" s="17">
        <f>SUMIFS('Daily Model'!$AW$4:$AW$664,'Daily Model'!$A$4:$A$664,"&gt;="&amp;$B6,'Daily Model'!$A$4:$A$664,"&lt;="&amp;$C6)</f>
        <v/>
      </c>
      <c r="AZ6" s="20" t="n">
        <v>422.0714</v>
      </c>
      <c r="BA6" s="13" t="n">
        <v>0.0226</v>
      </c>
      <c r="BB6" s="17" t="n">
        <v>423245951.291</v>
      </c>
      <c r="BC6" s="17" t="n">
        <v>60487233</v>
      </c>
      <c r="BD6" s="17" t="n">
        <v>25508875.62</v>
      </c>
      <c r="BE6" s="17" t="n">
        <v>2971663</v>
      </c>
      <c r="BF6" s="17" t="n">
        <v>355352.0151</v>
      </c>
      <c r="BG6" s="19" t="n">
        <v>487430925.0739</v>
      </c>
      <c r="BH6" s="20" t="n">
        <v>238</v>
      </c>
      <c r="BI6" s="20" t="n">
        <v>249.4309</v>
      </c>
      <c r="BJ6" s="21" t="n">
        <v>19268144468.1713</v>
      </c>
    </row>
    <row r="7">
      <c r="A7" s="32" t="inlineStr">
        <is>
          <t>Q3 2025</t>
        </is>
      </c>
      <c r="B7" s="33" t="n">
        <v>45839</v>
      </c>
      <c r="C7" s="33" t="n">
        <v>45930</v>
      </c>
      <c r="D7" s="21">
        <f>SUMIFS('Daily Model'!$B$4:$B$664,'Daily Model'!$A$4:$A$664,"&gt;="&amp;$B7,'Daily Model'!$A$4:$A$664,"&lt;="&amp;$C7)</f>
        <v/>
      </c>
      <c r="E7" s="21">
        <f>SUMIFS('Daily Model'!$C$4:$C$664,'Daily Model'!$A$4:$A$664,"&gt;="&amp;$B7,'Daily Model'!$A$4:$A$664,"&lt;="&amp;$C7)</f>
        <v/>
      </c>
      <c r="F7" s="21">
        <f>SUMIFS('Daily Model'!$D$4:$D$664,'Daily Model'!$A$4:$A$664,"&gt;="&amp;$B7,'Daily Model'!$A$4:$A$664,"&lt;="&amp;$C7)</f>
        <v/>
      </c>
      <c r="G7" s="21">
        <f>SUMIFS('Daily Model'!$E$4:$E$664,'Daily Model'!$A$4:$A$664,"&gt;="&amp;$B7,'Daily Model'!$A$4:$A$664,"&lt;="&amp;$C7)</f>
        <v/>
      </c>
      <c r="H7" s="21">
        <f>SUMIFS('Daily Model'!$F$4:$F$664,'Daily Model'!$A$4:$A$664,"&gt;="&amp;$B7,'Daily Model'!$A$4:$A$664,"&lt;="&amp;$C7)</f>
        <v/>
      </c>
      <c r="I7" s="21">
        <f>SUMIFS('Daily Model'!$G$4:$G$664,'Daily Model'!$A$4:$A$664,"&gt;="&amp;$B7,'Daily Model'!$A$4:$A$664,"&lt;="&amp;$C7)</f>
        <v/>
      </c>
      <c r="J7" s="21">
        <f>SUMIFS('Daily Model'!$H$4:$H$664,'Daily Model'!$A$4:$A$664,"&gt;="&amp;$B7,'Daily Model'!$A$4:$A$664,"&lt;="&amp;$C7)</f>
        <v/>
      </c>
      <c r="K7" s="21">
        <f>SUMIFS('Daily Model'!$I$4:$I$664,'Daily Model'!$A$4:$A$664,"&gt;="&amp;$B7,'Daily Model'!$A$4:$A$664,"&lt;="&amp;$C7)</f>
        <v/>
      </c>
      <c r="L7" s="21">
        <f>SUMIFS('Daily Model'!$J$4:$J$664,'Daily Model'!$A$4:$A$664,"&gt;="&amp;$B7,'Daily Model'!$A$4:$A$664,"&lt;="&amp;$C7)</f>
        <v/>
      </c>
      <c r="M7" s="21">
        <f>SUMIFS('Daily Model'!$K$4:$K$664,'Daily Model'!$A$4:$A$664,"&gt;="&amp;$B7,'Daily Model'!$A$4:$A$664,"&lt;="&amp;$C7)</f>
        <v/>
      </c>
      <c r="N7" s="21">
        <f>SUMIFS('Daily Model'!$L$4:$L$664,'Daily Model'!$A$4:$A$664,"&gt;="&amp;$B7,'Daily Model'!$A$4:$A$664,"&lt;="&amp;$C7)</f>
        <v/>
      </c>
      <c r="O7" s="28">
        <f>IF(E7=0,"",N7/E7)</f>
        <v/>
      </c>
      <c r="P7" s="21">
        <f>SUMIFS('Daily Model'!$N$4:$N$664,'Daily Model'!$A$4:$A$664,"&gt;="&amp;$B7,'Daily Model'!$A$4:$A$664,"&lt;="&amp;$C7)</f>
        <v/>
      </c>
      <c r="Q7" s="21">
        <f>SUMIFS('Daily Model'!$O$4:$O$664,'Daily Model'!$A$4:$A$664,"&gt;="&amp;$B7,'Daily Model'!$A$4:$A$664,"&lt;="&amp;$C7)</f>
        <v/>
      </c>
      <c r="R7" s="21">
        <f>SUMIFS('Daily Model'!$P$4:$P$664,'Daily Model'!$A$4:$A$664,"&gt;="&amp;$B7,'Daily Model'!$A$4:$A$664,"&lt;="&amp;$C7)</f>
        <v/>
      </c>
      <c r="S7" s="21">
        <f>SUMIFS('Daily Model'!$Q$4:$Q$664,'Daily Model'!$A$4:$A$664,"&gt;="&amp;$B7,'Daily Model'!$A$4:$A$664,"&lt;="&amp;$C7)</f>
        <v/>
      </c>
      <c r="T7" s="21">
        <f>SUMIFS('Daily Model'!$R$4:$R$664,'Daily Model'!$A$4:$A$664,"&gt;="&amp;$B7,'Daily Model'!$A$4:$A$664,"&lt;="&amp;$C7)</f>
        <v/>
      </c>
      <c r="U7" s="13" t="n"/>
      <c r="V7" s="21">
        <f>SUMIFS('Daily Model'!$T$4:$T$664,'Daily Model'!$A$4:$A$664,"&gt;="&amp;$B7,'Daily Model'!$A$4:$A$664,"&lt;="&amp;$C7)</f>
        <v/>
      </c>
      <c r="W7" s="21">
        <f>SUMIFS('Daily Model'!$U$4:$U$664,'Daily Model'!$A$4:$A$664,"&gt;="&amp;$B7,'Daily Model'!$A$4:$A$664,"&lt;="&amp;$C7)</f>
        <v/>
      </c>
      <c r="X7" s="21">
        <f>SUMIFS('Daily Model'!$V$4:$V$664,'Daily Model'!$A$4:$A$664,"&gt;="&amp;$B7,'Daily Model'!$A$4:$A$664,"&lt;="&amp;$C7)</f>
        <v/>
      </c>
      <c r="Y7" s="21">
        <f>SUMIFS('Daily Model'!$W$4:$W$664,'Daily Model'!$A$4:$A$664,"&gt;="&amp;$B7,'Daily Model'!$A$4:$A$664,"&lt;="&amp;$C7)</f>
        <v/>
      </c>
      <c r="Z7" s="21">
        <f>SUMIFS('Daily Model'!$X$4:$X$664,'Daily Model'!$A$4:$A$664,"&gt;="&amp;$B7,'Daily Model'!$A$4:$A$664,"&lt;="&amp;$C7)</f>
        <v/>
      </c>
      <c r="AA7" s="21">
        <f>SUMIFS('Daily Model'!$Y$4:$Y$664,'Daily Model'!$A$4:$A$664,"&gt;="&amp;$B7,'Daily Model'!$A$4:$A$664,"&lt;="&amp;$C7)</f>
        <v/>
      </c>
      <c r="AB7" s="21">
        <f>SUMIFS('Daily Model'!$Z$4:$Z$664,'Daily Model'!$A$4:$A$664,"&gt;="&amp;$B7,'Daily Model'!$A$4:$A$664,"&lt;="&amp;$C7)</f>
        <v/>
      </c>
      <c r="AC7" s="21">
        <f>SUMIFS('Daily Model'!$AA$4:$AA$664,'Daily Model'!$A$4:$A$664,"&gt;="&amp;$B7,'Daily Model'!$A$4:$A$664,"&lt;="&amp;$C7)</f>
        <v/>
      </c>
      <c r="AD7" s="21">
        <f>SUMIFS('Daily Model'!$AB$4:$AB$664,'Daily Model'!$A$4:$A$664,"&gt;="&amp;$B7,'Daily Model'!$A$4:$A$664,"&lt;="&amp;$C7)</f>
        <v/>
      </c>
      <c r="AE7" s="21">
        <f>SUMIFS('Daily Model'!$AC$4:$AC$664,'Daily Model'!$A$4:$A$664,"&gt;="&amp;$B7,'Daily Model'!$A$4:$A$664,"&lt;="&amp;$C7)</f>
        <v/>
      </c>
      <c r="AF7" s="21">
        <f>SUMIFS('Daily Model'!$AD$4:$AD$664,'Daily Model'!$A$4:$A$664,"&gt;="&amp;$B7,'Daily Model'!$A$4:$A$664,"&lt;="&amp;$C7)</f>
        <v/>
      </c>
      <c r="AG7" s="21">
        <f>SUMIFS('Daily Model'!$AE$4:$AE$664,'Daily Model'!$A$4:$A$664,"&gt;="&amp;$B7,'Daily Model'!$A$4:$A$664,"&lt;="&amp;$C7)</f>
        <v/>
      </c>
      <c r="AH7" s="21">
        <f>SUMIFS('Daily Model'!$AF$4:$AF$664,'Daily Model'!$A$4:$A$664,"&gt;="&amp;$B7,'Daily Model'!$A$4:$A$664,"&lt;="&amp;$C7)</f>
        <v/>
      </c>
      <c r="AI7" s="21">
        <f>SUMIFS('Daily Model'!$AG$4:$AG$664,'Daily Model'!$A$4:$A$664,"&gt;="&amp;$B7,'Daily Model'!$A$4:$A$664,"&lt;="&amp;$C7)</f>
        <v/>
      </c>
      <c r="AJ7" s="21">
        <f>SUMIFS('Daily Model'!$AH$4:$AH$664,'Daily Model'!$A$4:$A$664,"&gt;="&amp;$B7,'Daily Model'!$A$4:$A$664,"&lt;="&amp;$C7)</f>
        <v/>
      </c>
      <c r="AK7" s="24">
        <f>AI7-AJ7</f>
        <v/>
      </c>
      <c r="AL7" s="14">
        <f>IF(D7=0,"",P7/D7*10000)</f>
        <v/>
      </c>
      <c r="AM7" s="14">
        <f>IF(E7=0,"",Q7/E7*10000)</f>
        <v/>
      </c>
      <c r="AN7" s="14">
        <f>IF(F7=0,"",R7/F7*10000)</f>
        <v/>
      </c>
      <c r="AO7" s="14">
        <f>IF(G7=0,"",S7/G7*10000)</f>
        <v/>
      </c>
      <c r="AP7" s="21">
        <f>SUMIFS('Daily Model'!$AN$4:$AN$664,'Daily Model'!$A$4:$A$664,"&gt;="&amp;$B7,'Daily Model'!$A$4:$A$664,"&lt;="&amp;$C7)</f>
        <v/>
      </c>
      <c r="AQ7" s="21">
        <f>SUMIFS('Daily Model'!$AO$4:$AO$664,'Daily Model'!$A$4:$A$664,"&gt;="&amp;$B7,'Daily Model'!$A$4:$A$664,"&lt;="&amp;$C7)</f>
        <v/>
      </c>
      <c r="AR7" s="21">
        <f>SUMIFS('Daily Model'!$AP$4:$AP$664,'Daily Model'!$A$4:$A$664,"&gt;="&amp;$B7,'Daily Model'!$A$4:$A$664,"&lt;="&amp;$C7)</f>
        <v/>
      </c>
      <c r="AS7" s="21">
        <f>SUMIFS('Daily Model'!$AQ$4:$AQ$664,'Daily Model'!$A$4:$A$664,"&gt;="&amp;$B7,'Daily Model'!$A$4:$A$664,"&lt;="&amp;$C7)</f>
        <v/>
      </c>
      <c r="AT7" s="17">
        <f>SUMIFS('Daily Model'!$AR$4:$AR$664,'Daily Model'!$A$4:$A$664,"&gt;="&amp;$B7,'Daily Model'!$A$4:$A$664,"&lt;="&amp;$C7)</f>
        <v/>
      </c>
      <c r="AU7" s="34">
        <f>IF(AT7=0,"",AS7/AT7)</f>
        <v/>
      </c>
      <c r="AV7" s="17" t="n">
        <v>31785059.15</v>
      </c>
      <c r="AW7" s="17">
        <f>SUMIFS('Daily Model'!$AU$4:$AU$664,'Daily Model'!$A$4:$A$664,"&gt;="&amp;$B7,'Daily Model'!$A$4:$A$664,"&lt;="&amp;$C7)</f>
        <v/>
      </c>
      <c r="AX7" s="17">
        <f>SUMIFS('Daily Model'!$AV$4:$AV$664,'Daily Model'!$A$4:$A$664,"&gt;="&amp;$B7,'Daily Model'!$A$4:$A$664,"&lt;="&amp;$C7)</f>
        <v/>
      </c>
      <c r="AY7" s="17">
        <f>SUMIFS('Daily Model'!$AW$4:$AW$664,'Daily Model'!$A$4:$A$664,"&gt;="&amp;$B7,'Daily Model'!$A$4:$A$664,"&lt;="&amp;$C7)</f>
        <v/>
      </c>
      <c r="AZ7" s="20" t="n">
        <v>425.4931</v>
      </c>
      <c r="BA7" s="13" t="n">
        <v>0.0224</v>
      </c>
      <c r="BB7" s="17" t="n">
        <v>420824355.7069</v>
      </c>
      <c r="BC7" s="17" t="n">
        <v>60487233</v>
      </c>
      <c r="BD7" s="17" t="n">
        <v>31785059.15</v>
      </c>
      <c r="BE7" s="17" t="n">
        <v>2971663</v>
      </c>
      <c r="BF7" s="17" t="n">
        <v>529777.166</v>
      </c>
      <c r="BG7" s="19" t="n">
        <v>483401911.9771</v>
      </c>
      <c r="BH7" s="20" t="n">
        <v>238</v>
      </c>
      <c r="BI7" s="20" t="n">
        <v>245.4019</v>
      </c>
      <c r="BJ7" s="21" t="n">
        <v>22289662161.2629</v>
      </c>
    </row>
    <row r="8">
      <c r="A8" s="32" t="inlineStr">
        <is>
          <t>Q4 2025</t>
        </is>
      </c>
      <c r="B8" s="33" t="n">
        <v>45931</v>
      </c>
      <c r="C8" s="33" t="n">
        <v>46022</v>
      </c>
      <c r="D8" s="21">
        <f>SUMIFS('Daily Model'!$B$4:$B$664,'Daily Model'!$A$4:$A$664,"&gt;="&amp;$B8,'Daily Model'!$A$4:$A$664,"&lt;="&amp;$C8)</f>
        <v/>
      </c>
      <c r="E8" s="21">
        <f>SUMIFS('Daily Model'!$C$4:$C$664,'Daily Model'!$A$4:$A$664,"&gt;="&amp;$B8,'Daily Model'!$A$4:$A$664,"&lt;="&amp;$C8)</f>
        <v/>
      </c>
      <c r="F8" s="21">
        <f>SUMIFS('Daily Model'!$D$4:$D$664,'Daily Model'!$A$4:$A$664,"&gt;="&amp;$B8,'Daily Model'!$A$4:$A$664,"&lt;="&amp;$C8)</f>
        <v/>
      </c>
      <c r="G8" s="21">
        <f>SUMIFS('Daily Model'!$E$4:$E$664,'Daily Model'!$A$4:$A$664,"&gt;="&amp;$B8,'Daily Model'!$A$4:$A$664,"&lt;="&amp;$C8)</f>
        <v/>
      </c>
      <c r="H8" s="21">
        <f>SUMIFS('Daily Model'!$F$4:$F$664,'Daily Model'!$A$4:$A$664,"&gt;="&amp;$B8,'Daily Model'!$A$4:$A$664,"&lt;="&amp;$C8)</f>
        <v/>
      </c>
      <c r="I8" s="21">
        <f>SUMIFS('Daily Model'!$G$4:$G$664,'Daily Model'!$A$4:$A$664,"&gt;="&amp;$B8,'Daily Model'!$A$4:$A$664,"&lt;="&amp;$C8)</f>
        <v/>
      </c>
      <c r="J8" s="21">
        <f>SUMIFS('Daily Model'!$H$4:$H$664,'Daily Model'!$A$4:$A$664,"&gt;="&amp;$B8,'Daily Model'!$A$4:$A$664,"&lt;="&amp;$C8)</f>
        <v/>
      </c>
      <c r="K8" s="21">
        <f>SUMIFS('Daily Model'!$I$4:$I$664,'Daily Model'!$A$4:$A$664,"&gt;="&amp;$B8,'Daily Model'!$A$4:$A$664,"&lt;="&amp;$C8)</f>
        <v/>
      </c>
      <c r="L8" s="21">
        <f>SUMIFS('Daily Model'!$J$4:$J$664,'Daily Model'!$A$4:$A$664,"&gt;="&amp;$B8,'Daily Model'!$A$4:$A$664,"&lt;="&amp;$C8)</f>
        <v/>
      </c>
      <c r="M8" s="21">
        <f>SUMIFS('Daily Model'!$K$4:$K$664,'Daily Model'!$A$4:$A$664,"&gt;="&amp;$B8,'Daily Model'!$A$4:$A$664,"&lt;="&amp;$C8)</f>
        <v/>
      </c>
      <c r="N8" s="21">
        <f>SUMIFS('Daily Model'!$L$4:$L$664,'Daily Model'!$A$4:$A$664,"&gt;="&amp;$B8,'Daily Model'!$A$4:$A$664,"&lt;="&amp;$C8)</f>
        <v/>
      </c>
      <c r="O8" s="28">
        <f>IF(E8=0,"",N8/E8)</f>
        <v/>
      </c>
      <c r="P8" s="21">
        <f>SUMIFS('Daily Model'!$N$4:$N$664,'Daily Model'!$A$4:$A$664,"&gt;="&amp;$B8,'Daily Model'!$A$4:$A$664,"&lt;="&amp;$C8)</f>
        <v/>
      </c>
      <c r="Q8" s="21">
        <f>SUMIFS('Daily Model'!$O$4:$O$664,'Daily Model'!$A$4:$A$664,"&gt;="&amp;$B8,'Daily Model'!$A$4:$A$664,"&lt;="&amp;$C8)</f>
        <v/>
      </c>
      <c r="R8" s="21">
        <f>SUMIFS('Daily Model'!$P$4:$P$664,'Daily Model'!$A$4:$A$664,"&gt;="&amp;$B8,'Daily Model'!$A$4:$A$664,"&lt;="&amp;$C8)</f>
        <v/>
      </c>
      <c r="S8" s="21">
        <f>SUMIFS('Daily Model'!$Q$4:$Q$664,'Daily Model'!$A$4:$A$664,"&gt;="&amp;$B8,'Daily Model'!$A$4:$A$664,"&lt;="&amp;$C8)</f>
        <v/>
      </c>
      <c r="T8" s="21">
        <f>SUMIFS('Daily Model'!$R$4:$R$664,'Daily Model'!$A$4:$A$664,"&gt;="&amp;$B8,'Daily Model'!$A$4:$A$664,"&lt;="&amp;$C8)</f>
        <v/>
      </c>
      <c r="U8" s="13" t="n"/>
      <c r="V8" s="21">
        <f>SUMIFS('Daily Model'!$T$4:$T$664,'Daily Model'!$A$4:$A$664,"&gt;="&amp;$B8,'Daily Model'!$A$4:$A$664,"&lt;="&amp;$C8)</f>
        <v/>
      </c>
      <c r="W8" s="21">
        <f>SUMIFS('Daily Model'!$U$4:$U$664,'Daily Model'!$A$4:$A$664,"&gt;="&amp;$B8,'Daily Model'!$A$4:$A$664,"&lt;="&amp;$C8)</f>
        <v/>
      </c>
      <c r="X8" s="21">
        <f>SUMIFS('Daily Model'!$V$4:$V$664,'Daily Model'!$A$4:$A$664,"&gt;="&amp;$B8,'Daily Model'!$A$4:$A$664,"&lt;="&amp;$C8)</f>
        <v/>
      </c>
      <c r="Y8" s="21">
        <f>SUMIFS('Daily Model'!$W$4:$W$664,'Daily Model'!$A$4:$A$664,"&gt;="&amp;$B8,'Daily Model'!$A$4:$A$664,"&lt;="&amp;$C8)</f>
        <v/>
      </c>
      <c r="Z8" s="21">
        <f>SUMIFS('Daily Model'!$X$4:$X$664,'Daily Model'!$A$4:$A$664,"&gt;="&amp;$B8,'Daily Model'!$A$4:$A$664,"&lt;="&amp;$C8)</f>
        <v/>
      </c>
      <c r="AA8" s="21">
        <f>SUMIFS('Daily Model'!$Y$4:$Y$664,'Daily Model'!$A$4:$A$664,"&gt;="&amp;$B8,'Daily Model'!$A$4:$A$664,"&lt;="&amp;$C8)</f>
        <v/>
      </c>
      <c r="AB8" s="21">
        <f>SUMIFS('Daily Model'!$Z$4:$Z$664,'Daily Model'!$A$4:$A$664,"&gt;="&amp;$B8,'Daily Model'!$A$4:$A$664,"&lt;="&amp;$C8)</f>
        <v/>
      </c>
      <c r="AC8" s="21">
        <f>SUMIFS('Daily Model'!$AA$4:$AA$664,'Daily Model'!$A$4:$A$664,"&gt;="&amp;$B8,'Daily Model'!$A$4:$A$664,"&lt;="&amp;$C8)</f>
        <v/>
      </c>
      <c r="AD8" s="21">
        <f>SUMIFS('Daily Model'!$AB$4:$AB$664,'Daily Model'!$A$4:$A$664,"&gt;="&amp;$B8,'Daily Model'!$A$4:$A$664,"&lt;="&amp;$C8)</f>
        <v/>
      </c>
      <c r="AE8" s="21">
        <f>SUMIFS('Daily Model'!$AC$4:$AC$664,'Daily Model'!$A$4:$A$664,"&gt;="&amp;$B8,'Daily Model'!$A$4:$A$664,"&lt;="&amp;$C8)</f>
        <v/>
      </c>
      <c r="AF8" s="21">
        <f>SUMIFS('Daily Model'!$AD$4:$AD$664,'Daily Model'!$A$4:$A$664,"&gt;="&amp;$B8,'Daily Model'!$A$4:$A$664,"&lt;="&amp;$C8)</f>
        <v/>
      </c>
      <c r="AG8" s="21">
        <f>SUMIFS('Daily Model'!$AE$4:$AE$664,'Daily Model'!$A$4:$A$664,"&gt;="&amp;$B8,'Daily Model'!$A$4:$A$664,"&lt;="&amp;$C8)</f>
        <v/>
      </c>
      <c r="AH8" s="21">
        <f>SUMIFS('Daily Model'!$AF$4:$AF$664,'Daily Model'!$A$4:$A$664,"&gt;="&amp;$B8,'Daily Model'!$A$4:$A$664,"&lt;="&amp;$C8)</f>
        <v/>
      </c>
      <c r="AI8" s="21">
        <f>SUMIFS('Daily Model'!$AG$4:$AG$664,'Daily Model'!$A$4:$A$664,"&gt;="&amp;$B8,'Daily Model'!$A$4:$A$664,"&lt;="&amp;$C8)</f>
        <v/>
      </c>
      <c r="AJ8" s="21">
        <f>SUMIFS('Daily Model'!$AH$4:$AH$664,'Daily Model'!$A$4:$A$664,"&gt;="&amp;$B8,'Daily Model'!$A$4:$A$664,"&lt;="&amp;$C8)</f>
        <v/>
      </c>
      <c r="AK8" s="24">
        <f>AI8-AJ8</f>
        <v/>
      </c>
      <c r="AL8" s="14">
        <f>IF(D8=0,"",P8/D8*10000)</f>
        <v/>
      </c>
      <c r="AM8" s="14">
        <f>IF(E8=0,"",Q8/E8*10000)</f>
        <v/>
      </c>
      <c r="AN8" s="14">
        <f>IF(F8=0,"",R8/F8*10000)</f>
        <v/>
      </c>
      <c r="AO8" s="14">
        <f>IF(G8=0,"",S8/G8*10000)</f>
        <v/>
      </c>
      <c r="AP8" s="21">
        <f>SUMIFS('Daily Model'!$AN$4:$AN$664,'Daily Model'!$A$4:$A$664,"&gt;="&amp;$B8,'Daily Model'!$A$4:$A$664,"&lt;="&amp;$C8)</f>
        <v/>
      </c>
      <c r="AQ8" s="21">
        <f>SUMIFS('Daily Model'!$AO$4:$AO$664,'Daily Model'!$A$4:$A$664,"&gt;="&amp;$B8,'Daily Model'!$A$4:$A$664,"&lt;="&amp;$C8)</f>
        <v/>
      </c>
      <c r="AR8" s="21">
        <f>SUMIFS('Daily Model'!$AP$4:$AP$664,'Daily Model'!$A$4:$A$664,"&gt;="&amp;$B8,'Daily Model'!$A$4:$A$664,"&lt;="&amp;$C8)</f>
        <v/>
      </c>
      <c r="AS8" s="21">
        <f>SUMIFS('Daily Model'!$AQ$4:$AQ$664,'Daily Model'!$A$4:$A$664,"&gt;="&amp;$B8,'Daily Model'!$A$4:$A$664,"&lt;="&amp;$C8)</f>
        <v/>
      </c>
      <c r="AT8" s="17">
        <f>SUMIFS('Daily Model'!$AR$4:$AR$664,'Daily Model'!$A$4:$A$664,"&gt;="&amp;$B8,'Daily Model'!$A$4:$A$664,"&lt;="&amp;$C8)</f>
        <v/>
      </c>
      <c r="AU8" s="34">
        <f>IF(AT8=0,"",AS8/AT8)</f>
        <v/>
      </c>
      <c r="AV8" s="17" t="n">
        <v>37855111.8226</v>
      </c>
      <c r="AW8" s="17">
        <f>SUMIFS('Daily Model'!$AU$4:$AU$664,'Daily Model'!$A$4:$A$664,"&gt;="&amp;$B8,'Daily Model'!$A$4:$A$664,"&lt;="&amp;$C8)</f>
        <v/>
      </c>
      <c r="AX8" s="17">
        <f>SUMIFS('Daily Model'!$AV$4:$AV$664,'Daily Model'!$A$4:$A$664,"&gt;="&amp;$B8,'Daily Model'!$A$4:$A$664,"&lt;="&amp;$C8)</f>
        <v/>
      </c>
      <c r="AY8" s="17">
        <f>SUMIFS('Daily Model'!$AW$4:$AW$664,'Daily Model'!$A$4:$A$664,"&gt;="&amp;$B8,'Daily Model'!$A$4:$A$664,"&lt;="&amp;$C8)</f>
        <v/>
      </c>
      <c r="AZ8" s="20" t="n">
        <v>432.3217</v>
      </c>
      <c r="BA8" s="13" t="n">
        <v>0.0223</v>
      </c>
      <c r="BB8" s="17" t="n">
        <v>418419030.7485</v>
      </c>
      <c r="BC8" s="17" t="n">
        <v>60487233</v>
      </c>
      <c r="BD8" s="17" t="n">
        <v>37855111.8226</v>
      </c>
      <c r="BE8" s="17" t="n">
        <v>2971663</v>
      </c>
      <c r="BF8" s="17" t="n">
        <v>744540.8557</v>
      </c>
      <c r="BG8" s="19" t="n">
        <v>479522420.5732</v>
      </c>
      <c r="BH8" s="20" t="n">
        <v>236.2543</v>
      </c>
      <c r="BI8" s="20" t="n">
        <v>243.2682</v>
      </c>
      <c r="BJ8" s="21" t="n">
        <v>12400449796.0236</v>
      </c>
    </row>
    <row r="9">
      <c r="A9" s="32" t="inlineStr">
        <is>
          <t>Q1 2026</t>
        </is>
      </c>
      <c r="B9" s="33" t="n">
        <v>46023</v>
      </c>
      <c r="C9" s="33" t="n">
        <v>46112</v>
      </c>
      <c r="D9" s="21">
        <f>SUMIFS('Daily Model'!$B$4:$B$664,'Daily Model'!$A$4:$A$664,"&gt;="&amp;$B9,'Daily Model'!$A$4:$A$664,"&lt;="&amp;$C9)</f>
        <v/>
      </c>
      <c r="E9" s="21">
        <f>SUMIFS('Daily Model'!$C$4:$C$664,'Daily Model'!$A$4:$A$664,"&gt;="&amp;$B9,'Daily Model'!$A$4:$A$664,"&lt;="&amp;$C9)</f>
        <v/>
      </c>
      <c r="F9" s="21">
        <f>SUMIFS('Daily Model'!$D$4:$D$664,'Daily Model'!$A$4:$A$664,"&gt;="&amp;$B9,'Daily Model'!$A$4:$A$664,"&lt;="&amp;$C9)</f>
        <v/>
      </c>
      <c r="G9" s="21">
        <f>SUMIFS('Daily Model'!$E$4:$E$664,'Daily Model'!$A$4:$A$664,"&gt;="&amp;$B9,'Daily Model'!$A$4:$A$664,"&lt;="&amp;$C9)</f>
        <v/>
      </c>
      <c r="H9" s="21">
        <f>SUMIFS('Daily Model'!$F$4:$F$664,'Daily Model'!$A$4:$A$664,"&gt;="&amp;$B9,'Daily Model'!$A$4:$A$664,"&lt;="&amp;$C9)</f>
        <v/>
      </c>
      <c r="I9" s="21">
        <f>SUMIFS('Daily Model'!$G$4:$G$664,'Daily Model'!$A$4:$A$664,"&gt;="&amp;$B9,'Daily Model'!$A$4:$A$664,"&lt;="&amp;$C9)</f>
        <v/>
      </c>
      <c r="J9" s="21">
        <f>SUMIFS('Daily Model'!$H$4:$H$664,'Daily Model'!$A$4:$A$664,"&gt;="&amp;$B9,'Daily Model'!$A$4:$A$664,"&lt;="&amp;$C9)</f>
        <v/>
      </c>
      <c r="K9" s="21">
        <f>SUMIFS('Daily Model'!$I$4:$I$664,'Daily Model'!$A$4:$A$664,"&gt;="&amp;$B9,'Daily Model'!$A$4:$A$664,"&lt;="&amp;$C9)</f>
        <v/>
      </c>
      <c r="L9" s="21">
        <f>SUMIFS('Daily Model'!$J$4:$J$664,'Daily Model'!$A$4:$A$664,"&gt;="&amp;$B9,'Daily Model'!$A$4:$A$664,"&lt;="&amp;$C9)</f>
        <v/>
      </c>
      <c r="M9" s="21">
        <f>SUMIFS('Daily Model'!$K$4:$K$664,'Daily Model'!$A$4:$A$664,"&gt;="&amp;$B9,'Daily Model'!$A$4:$A$664,"&lt;="&amp;$C9)</f>
        <v/>
      </c>
      <c r="N9" s="21">
        <f>SUMIFS('Daily Model'!$L$4:$L$664,'Daily Model'!$A$4:$A$664,"&gt;="&amp;$B9,'Daily Model'!$A$4:$A$664,"&lt;="&amp;$C9)</f>
        <v/>
      </c>
      <c r="O9" s="28">
        <f>IF(E9=0,"",N9/E9)</f>
        <v/>
      </c>
      <c r="P9" s="21">
        <f>SUMIFS('Daily Model'!$N$4:$N$664,'Daily Model'!$A$4:$A$664,"&gt;="&amp;$B9,'Daily Model'!$A$4:$A$664,"&lt;="&amp;$C9)</f>
        <v/>
      </c>
      <c r="Q9" s="21">
        <f>SUMIFS('Daily Model'!$O$4:$O$664,'Daily Model'!$A$4:$A$664,"&gt;="&amp;$B9,'Daily Model'!$A$4:$A$664,"&lt;="&amp;$C9)</f>
        <v/>
      </c>
      <c r="R9" s="21">
        <f>SUMIFS('Daily Model'!$P$4:$P$664,'Daily Model'!$A$4:$A$664,"&gt;="&amp;$B9,'Daily Model'!$A$4:$A$664,"&lt;="&amp;$C9)</f>
        <v/>
      </c>
      <c r="S9" s="21">
        <f>SUMIFS('Daily Model'!$Q$4:$Q$664,'Daily Model'!$A$4:$A$664,"&gt;="&amp;$B9,'Daily Model'!$A$4:$A$664,"&lt;="&amp;$C9)</f>
        <v/>
      </c>
      <c r="T9" s="21">
        <f>SUMIFS('Daily Model'!$R$4:$R$664,'Daily Model'!$A$4:$A$664,"&gt;="&amp;$B9,'Daily Model'!$A$4:$A$664,"&lt;="&amp;$C9)</f>
        <v/>
      </c>
      <c r="U9" s="13" t="n"/>
      <c r="V9" s="21">
        <f>SUMIFS('Daily Model'!$T$4:$T$664,'Daily Model'!$A$4:$A$664,"&gt;="&amp;$B9,'Daily Model'!$A$4:$A$664,"&lt;="&amp;$C9)</f>
        <v/>
      </c>
      <c r="W9" s="21">
        <f>SUMIFS('Daily Model'!$U$4:$U$664,'Daily Model'!$A$4:$A$664,"&gt;="&amp;$B9,'Daily Model'!$A$4:$A$664,"&lt;="&amp;$C9)</f>
        <v/>
      </c>
      <c r="X9" s="21">
        <f>SUMIFS('Daily Model'!$V$4:$V$664,'Daily Model'!$A$4:$A$664,"&gt;="&amp;$B9,'Daily Model'!$A$4:$A$664,"&lt;="&amp;$C9)</f>
        <v/>
      </c>
      <c r="Y9" s="21">
        <f>SUMIFS('Daily Model'!$W$4:$W$664,'Daily Model'!$A$4:$A$664,"&gt;="&amp;$B9,'Daily Model'!$A$4:$A$664,"&lt;="&amp;$C9)</f>
        <v/>
      </c>
      <c r="Z9" s="21">
        <f>SUMIFS('Daily Model'!$X$4:$X$664,'Daily Model'!$A$4:$A$664,"&gt;="&amp;$B9,'Daily Model'!$A$4:$A$664,"&lt;="&amp;$C9)</f>
        <v/>
      </c>
      <c r="AA9" s="21">
        <f>SUMIFS('Daily Model'!$Y$4:$Y$664,'Daily Model'!$A$4:$A$664,"&gt;="&amp;$B9,'Daily Model'!$A$4:$A$664,"&lt;="&amp;$C9)</f>
        <v/>
      </c>
      <c r="AB9" s="21">
        <f>SUMIFS('Daily Model'!$Z$4:$Z$664,'Daily Model'!$A$4:$A$664,"&gt;="&amp;$B9,'Daily Model'!$A$4:$A$664,"&lt;="&amp;$C9)</f>
        <v/>
      </c>
      <c r="AC9" s="21">
        <f>SUMIFS('Daily Model'!$AA$4:$AA$664,'Daily Model'!$A$4:$A$664,"&gt;="&amp;$B9,'Daily Model'!$A$4:$A$664,"&lt;="&amp;$C9)</f>
        <v/>
      </c>
      <c r="AD9" s="21">
        <f>SUMIFS('Daily Model'!$AB$4:$AB$664,'Daily Model'!$A$4:$A$664,"&gt;="&amp;$B9,'Daily Model'!$A$4:$A$664,"&lt;="&amp;$C9)</f>
        <v/>
      </c>
      <c r="AE9" s="21">
        <f>SUMIFS('Daily Model'!$AC$4:$AC$664,'Daily Model'!$A$4:$A$664,"&gt;="&amp;$B9,'Daily Model'!$A$4:$A$664,"&lt;="&amp;$C9)</f>
        <v/>
      </c>
      <c r="AF9" s="21">
        <f>SUMIFS('Daily Model'!$AD$4:$AD$664,'Daily Model'!$A$4:$A$664,"&gt;="&amp;$B9,'Daily Model'!$A$4:$A$664,"&lt;="&amp;$C9)</f>
        <v/>
      </c>
      <c r="AG9" s="21">
        <f>SUMIFS('Daily Model'!$AE$4:$AE$664,'Daily Model'!$A$4:$A$664,"&gt;="&amp;$B9,'Daily Model'!$A$4:$A$664,"&lt;="&amp;$C9)</f>
        <v/>
      </c>
      <c r="AH9" s="21">
        <f>SUMIFS('Daily Model'!$AF$4:$AF$664,'Daily Model'!$A$4:$A$664,"&gt;="&amp;$B9,'Daily Model'!$A$4:$A$664,"&lt;="&amp;$C9)</f>
        <v/>
      </c>
      <c r="AI9" s="21">
        <f>SUMIFS('Daily Model'!$AG$4:$AG$664,'Daily Model'!$A$4:$A$664,"&gt;="&amp;$B9,'Daily Model'!$A$4:$A$664,"&lt;="&amp;$C9)</f>
        <v/>
      </c>
      <c r="AJ9" s="21">
        <f>SUMIFS('Daily Model'!$AH$4:$AH$664,'Daily Model'!$A$4:$A$664,"&gt;="&amp;$B9,'Daily Model'!$A$4:$A$664,"&lt;="&amp;$C9)</f>
        <v/>
      </c>
      <c r="AK9" s="24">
        <f>AI9-AJ9</f>
        <v/>
      </c>
      <c r="AL9" s="14">
        <f>IF(D9=0,"",P9/D9*10000)</f>
        <v/>
      </c>
      <c r="AM9" s="14">
        <f>IF(E9=0,"",Q9/E9*10000)</f>
        <v/>
      </c>
      <c r="AN9" s="14">
        <f>IF(F9=0,"",R9/F9*10000)</f>
        <v/>
      </c>
      <c r="AO9" s="14">
        <f>IF(G9=0,"",S9/G9*10000)</f>
        <v/>
      </c>
      <c r="AP9" s="21">
        <f>SUMIFS('Daily Model'!$AN$4:$AN$664,'Daily Model'!$A$4:$A$664,"&gt;="&amp;$B9,'Daily Model'!$A$4:$A$664,"&lt;="&amp;$C9)</f>
        <v/>
      </c>
      <c r="AQ9" s="21">
        <f>SUMIFS('Daily Model'!$AO$4:$AO$664,'Daily Model'!$A$4:$A$664,"&gt;="&amp;$B9,'Daily Model'!$A$4:$A$664,"&lt;="&amp;$C9)</f>
        <v/>
      </c>
      <c r="AR9" s="21">
        <f>SUMIFS('Daily Model'!$AP$4:$AP$664,'Daily Model'!$A$4:$A$664,"&gt;="&amp;$B9,'Daily Model'!$A$4:$A$664,"&lt;="&amp;$C9)</f>
        <v/>
      </c>
      <c r="AS9" s="21">
        <f>SUMIFS('Daily Model'!$AQ$4:$AQ$664,'Daily Model'!$A$4:$A$664,"&gt;="&amp;$B9,'Daily Model'!$A$4:$A$664,"&lt;="&amp;$C9)</f>
        <v/>
      </c>
      <c r="AT9" s="17">
        <f>SUMIFS('Daily Model'!$AR$4:$AR$664,'Daily Model'!$A$4:$A$664,"&gt;="&amp;$B9,'Daily Model'!$A$4:$A$664,"&lt;="&amp;$C9)</f>
        <v/>
      </c>
      <c r="AU9" s="34">
        <f>IF(AT9=0,"",AS9/AT9)</f>
        <v/>
      </c>
      <c r="AV9" s="17" t="n">
        <v>42797054.9926</v>
      </c>
      <c r="AW9" s="17">
        <f>SUMIFS('Daily Model'!$AU$4:$AU$664,'Daily Model'!$A$4:$A$664,"&gt;="&amp;$B9,'Daily Model'!$A$4:$A$664,"&lt;="&amp;$C9)</f>
        <v/>
      </c>
      <c r="AX9" s="17">
        <f>SUMIFS('Daily Model'!$AV$4:$AV$664,'Daily Model'!$A$4:$A$664,"&gt;="&amp;$B9,'Daily Model'!$A$4:$A$664,"&lt;="&amp;$C9)</f>
        <v/>
      </c>
      <c r="AY9" s="17">
        <f>SUMIFS('Daily Model'!$AW$4:$AW$664,'Daily Model'!$A$4:$A$664,"&gt;="&amp;$B9,'Daily Model'!$A$4:$A$664,"&lt;="&amp;$C9)</f>
        <v/>
      </c>
      <c r="AZ9" s="20" t="n">
        <v>434.6766</v>
      </c>
      <c r="BA9" s="13" t="n">
        <v>0.0222</v>
      </c>
      <c r="BB9" s="17" t="n">
        <v>416037389.3162</v>
      </c>
      <c r="BC9" s="17" t="n">
        <v>60487233</v>
      </c>
      <c r="BD9" s="17" t="n">
        <v>42797054.9926</v>
      </c>
      <c r="BE9" s="17" t="n">
        <v>2971663</v>
      </c>
      <c r="BF9" s="17" t="n">
        <v>974830.6497</v>
      </c>
      <c r="BG9" s="19" t="n">
        <v>476731829.0416</v>
      </c>
      <c r="BH9" s="20" t="n">
        <v>234.8149</v>
      </c>
      <c r="BI9" s="20" t="n">
        <v>241.9169</v>
      </c>
      <c r="BJ9" s="21" t="n">
        <v>17567567900.1821</v>
      </c>
    </row>
    <row r="10">
      <c r="A10" s="32" t="inlineStr">
        <is>
          <t>Q2 2026</t>
        </is>
      </c>
      <c r="B10" s="33" t="n">
        <v>46113</v>
      </c>
      <c r="C10" s="33" t="n">
        <v>46203</v>
      </c>
      <c r="D10" s="21">
        <f>SUMIFS('Daily Model'!$B$4:$B$664,'Daily Model'!$A$4:$A$664,"&gt;="&amp;$B10,'Daily Model'!$A$4:$A$664,"&lt;="&amp;$C10)</f>
        <v/>
      </c>
      <c r="E10" s="21">
        <f>SUMIFS('Daily Model'!$C$4:$C$664,'Daily Model'!$A$4:$A$664,"&gt;="&amp;$B10,'Daily Model'!$A$4:$A$664,"&lt;="&amp;$C10)</f>
        <v/>
      </c>
      <c r="F10" s="21">
        <f>SUMIFS('Daily Model'!$D$4:$D$664,'Daily Model'!$A$4:$A$664,"&gt;="&amp;$B10,'Daily Model'!$A$4:$A$664,"&lt;="&amp;$C10)</f>
        <v/>
      </c>
      <c r="G10" s="21">
        <f>SUMIFS('Daily Model'!$E$4:$E$664,'Daily Model'!$A$4:$A$664,"&gt;="&amp;$B10,'Daily Model'!$A$4:$A$664,"&lt;="&amp;$C10)</f>
        <v/>
      </c>
      <c r="H10" s="21">
        <f>SUMIFS('Daily Model'!$F$4:$F$664,'Daily Model'!$A$4:$A$664,"&gt;="&amp;$B10,'Daily Model'!$A$4:$A$664,"&lt;="&amp;$C10)</f>
        <v/>
      </c>
      <c r="I10" s="21">
        <f>SUMIFS('Daily Model'!$G$4:$G$664,'Daily Model'!$A$4:$A$664,"&gt;="&amp;$B10,'Daily Model'!$A$4:$A$664,"&lt;="&amp;$C10)</f>
        <v/>
      </c>
      <c r="J10" s="21">
        <f>SUMIFS('Daily Model'!$H$4:$H$664,'Daily Model'!$A$4:$A$664,"&gt;="&amp;$B10,'Daily Model'!$A$4:$A$664,"&lt;="&amp;$C10)</f>
        <v/>
      </c>
      <c r="K10" s="21">
        <f>SUMIFS('Daily Model'!$I$4:$I$664,'Daily Model'!$A$4:$A$664,"&gt;="&amp;$B10,'Daily Model'!$A$4:$A$664,"&lt;="&amp;$C10)</f>
        <v/>
      </c>
      <c r="L10" s="21">
        <f>SUMIFS('Daily Model'!$J$4:$J$664,'Daily Model'!$A$4:$A$664,"&gt;="&amp;$B10,'Daily Model'!$A$4:$A$664,"&lt;="&amp;$C10)</f>
        <v/>
      </c>
      <c r="M10" s="21">
        <f>SUMIFS('Daily Model'!$K$4:$K$664,'Daily Model'!$A$4:$A$664,"&gt;="&amp;$B10,'Daily Model'!$A$4:$A$664,"&lt;="&amp;$C10)</f>
        <v/>
      </c>
      <c r="N10" s="21">
        <f>SUMIFS('Daily Model'!$L$4:$L$664,'Daily Model'!$A$4:$A$664,"&gt;="&amp;$B10,'Daily Model'!$A$4:$A$664,"&lt;="&amp;$C10)</f>
        <v/>
      </c>
      <c r="O10" s="28">
        <f>IF(E10=0,"",N10/E10)</f>
        <v/>
      </c>
      <c r="P10" s="21">
        <f>SUMIFS('Daily Model'!$N$4:$N$664,'Daily Model'!$A$4:$A$664,"&gt;="&amp;$B10,'Daily Model'!$A$4:$A$664,"&lt;="&amp;$C10)</f>
        <v/>
      </c>
      <c r="Q10" s="21">
        <f>SUMIFS('Daily Model'!$O$4:$O$664,'Daily Model'!$A$4:$A$664,"&gt;="&amp;$B10,'Daily Model'!$A$4:$A$664,"&lt;="&amp;$C10)</f>
        <v/>
      </c>
      <c r="R10" s="21">
        <f>SUMIFS('Daily Model'!$P$4:$P$664,'Daily Model'!$A$4:$A$664,"&gt;="&amp;$B10,'Daily Model'!$A$4:$A$664,"&lt;="&amp;$C10)</f>
        <v/>
      </c>
      <c r="S10" s="21">
        <f>SUMIFS('Daily Model'!$Q$4:$Q$664,'Daily Model'!$A$4:$A$664,"&gt;="&amp;$B10,'Daily Model'!$A$4:$A$664,"&lt;="&amp;$C10)</f>
        <v/>
      </c>
      <c r="T10" s="21">
        <f>SUMIFS('Daily Model'!$R$4:$R$664,'Daily Model'!$A$4:$A$664,"&gt;="&amp;$B10,'Daily Model'!$A$4:$A$664,"&lt;="&amp;$C10)</f>
        <v/>
      </c>
      <c r="U10" s="13" t="n"/>
      <c r="V10" s="21">
        <f>SUMIFS('Daily Model'!$T$4:$T$664,'Daily Model'!$A$4:$A$664,"&gt;="&amp;$B10,'Daily Model'!$A$4:$A$664,"&lt;="&amp;$C10)</f>
        <v/>
      </c>
      <c r="W10" s="21">
        <f>SUMIFS('Daily Model'!$U$4:$U$664,'Daily Model'!$A$4:$A$664,"&gt;="&amp;$B10,'Daily Model'!$A$4:$A$664,"&lt;="&amp;$C10)</f>
        <v/>
      </c>
      <c r="X10" s="21">
        <f>SUMIFS('Daily Model'!$V$4:$V$664,'Daily Model'!$A$4:$A$664,"&gt;="&amp;$B10,'Daily Model'!$A$4:$A$664,"&lt;="&amp;$C10)</f>
        <v/>
      </c>
      <c r="Y10" s="21">
        <f>SUMIFS('Daily Model'!$W$4:$W$664,'Daily Model'!$A$4:$A$664,"&gt;="&amp;$B10,'Daily Model'!$A$4:$A$664,"&lt;="&amp;$C10)</f>
        <v/>
      </c>
      <c r="Z10" s="21">
        <f>SUMIFS('Daily Model'!$X$4:$X$664,'Daily Model'!$A$4:$A$664,"&gt;="&amp;$B10,'Daily Model'!$A$4:$A$664,"&lt;="&amp;$C10)</f>
        <v/>
      </c>
      <c r="AA10" s="21">
        <f>SUMIFS('Daily Model'!$Y$4:$Y$664,'Daily Model'!$A$4:$A$664,"&gt;="&amp;$B10,'Daily Model'!$A$4:$A$664,"&lt;="&amp;$C10)</f>
        <v/>
      </c>
      <c r="AB10" s="21">
        <f>SUMIFS('Daily Model'!$Z$4:$Z$664,'Daily Model'!$A$4:$A$664,"&gt;="&amp;$B10,'Daily Model'!$A$4:$A$664,"&lt;="&amp;$C10)</f>
        <v/>
      </c>
      <c r="AC10" s="21">
        <f>SUMIFS('Daily Model'!$AA$4:$AA$664,'Daily Model'!$A$4:$A$664,"&gt;="&amp;$B10,'Daily Model'!$A$4:$A$664,"&lt;="&amp;$C10)</f>
        <v/>
      </c>
      <c r="AD10" s="21">
        <f>SUMIFS('Daily Model'!$AB$4:$AB$664,'Daily Model'!$A$4:$A$664,"&gt;="&amp;$B10,'Daily Model'!$A$4:$A$664,"&lt;="&amp;$C10)</f>
        <v/>
      </c>
      <c r="AE10" s="21">
        <f>SUMIFS('Daily Model'!$AC$4:$AC$664,'Daily Model'!$A$4:$A$664,"&gt;="&amp;$B10,'Daily Model'!$A$4:$A$664,"&lt;="&amp;$C10)</f>
        <v/>
      </c>
      <c r="AF10" s="21">
        <f>SUMIFS('Daily Model'!$AD$4:$AD$664,'Daily Model'!$A$4:$A$664,"&gt;="&amp;$B10,'Daily Model'!$A$4:$A$664,"&lt;="&amp;$C10)</f>
        <v/>
      </c>
      <c r="AG10" s="21">
        <f>SUMIFS('Daily Model'!$AE$4:$AE$664,'Daily Model'!$A$4:$A$664,"&gt;="&amp;$B10,'Daily Model'!$A$4:$A$664,"&lt;="&amp;$C10)</f>
        <v/>
      </c>
      <c r="AH10" s="21">
        <f>SUMIFS('Daily Model'!$AF$4:$AF$664,'Daily Model'!$A$4:$A$664,"&gt;="&amp;$B10,'Daily Model'!$A$4:$A$664,"&lt;="&amp;$C10)</f>
        <v/>
      </c>
      <c r="AI10" s="21">
        <f>SUMIFS('Daily Model'!$AG$4:$AG$664,'Daily Model'!$A$4:$A$664,"&gt;="&amp;$B10,'Daily Model'!$A$4:$A$664,"&lt;="&amp;$C10)</f>
        <v/>
      </c>
      <c r="AJ10" s="21">
        <f>SUMIFS('Daily Model'!$AH$4:$AH$664,'Daily Model'!$A$4:$A$664,"&gt;="&amp;$B10,'Daily Model'!$A$4:$A$664,"&lt;="&amp;$C10)</f>
        <v/>
      </c>
      <c r="AK10" s="24">
        <f>AI10-AJ10</f>
        <v/>
      </c>
      <c r="AL10" s="14">
        <f>IF(D10=0,"",P10/D10*10000)</f>
        <v/>
      </c>
      <c r="AM10" s="14">
        <f>IF(E10=0,"",Q10/E10*10000)</f>
        <v/>
      </c>
      <c r="AN10" s="14">
        <f>IF(F10=0,"",R10/F10*10000)</f>
        <v/>
      </c>
      <c r="AO10" s="14">
        <f>IF(G10=0,"",S10/G10*10000)</f>
        <v/>
      </c>
      <c r="AP10" s="21">
        <f>SUMIFS('Daily Model'!$AN$4:$AN$664,'Daily Model'!$A$4:$A$664,"&gt;="&amp;$B10,'Daily Model'!$A$4:$A$664,"&lt;="&amp;$C10)</f>
        <v/>
      </c>
      <c r="AQ10" s="21">
        <f>SUMIFS('Daily Model'!$AO$4:$AO$664,'Daily Model'!$A$4:$A$664,"&gt;="&amp;$B10,'Daily Model'!$A$4:$A$664,"&lt;="&amp;$C10)</f>
        <v/>
      </c>
      <c r="AR10" s="21">
        <f>SUMIFS('Daily Model'!$AP$4:$AP$664,'Daily Model'!$A$4:$A$664,"&gt;="&amp;$B10,'Daily Model'!$A$4:$A$664,"&lt;="&amp;$C10)</f>
        <v/>
      </c>
      <c r="AS10" s="21">
        <f>SUMIFS('Daily Model'!$AQ$4:$AQ$664,'Daily Model'!$A$4:$A$664,"&gt;="&amp;$B10,'Daily Model'!$A$4:$A$664,"&lt;="&amp;$C10)</f>
        <v/>
      </c>
      <c r="AT10" s="17">
        <f>SUMIFS('Daily Model'!$AR$4:$AR$664,'Daily Model'!$A$4:$A$664,"&gt;="&amp;$B10,'Daily Model'!$A$4:$A$664,"&lt;="&amp;$C10)</f>
        <v/>
      </c>
      <c r="AU10" s="34">
        <f>IF(AT10=0,"",AS10/AT10)</f>
        <v/>
      </c>
      <c r="AV10" s="17" t="n">
        <v>45564841.7947</v>
      </c>
      <c r="AW10" s="17">
        <f>SUMIFS('Daily Model'!$AU$4:$AU$664,'Daily Model'!$A$4:$A$664,"&gt;="&amp;$B10,'Daily Model'!$A$4:$A$664,"&lt;="&amp;$C10)</f>
        <v/>
      </c>
      <c r="AX10" s="17">
        <f>SUMIFS('Daily Model'!$AV$4:$AV$664,'Daily Model'!$A$4:$A$664,"&gt;="&amp;$B10,'Daily Model'!$A$4:$A$664,"&lt;="&amp;$C10)</f>
        <v/>
      </c>
      <c r="AY10" s="17">
        <f>SUMIFS('Daily Model'!$AW$4:$AW$664,'Daily Model'!$A$4:$A$664,"&gt;="&amp;$B10,'Daily Model'!$A$4:$A$664,"&lt;="&amp;$C10)</f>
        <v/>
      </c>
      <c r="AZ10" s="20" t="n">
        <v>438.1081</v>
      </c>
      <c r="BA10" s="13" t="n">
        <v>0.0223</v>
      </c>
      <c r="BB10" s="17" t="n">
        <v>413625348.4082</v>
      </c>
      <c r="BC10" s="17" t="n">
        <v>60487233</v>
      </c>
      <c r="BD10" s="17" t="n">
        <v>45564841.7947</v>
      </c>
      <c r="BE10" s="17" t="n">
        <v>2971663</v>
      </c>
      <c r="BF10" s="17" t="n">
        <v>1131534.2385</v>
      </c>
      <c r="BG10" s="19" t="n">
        <v>476219379.5586</v>
      </c>
      <c r="BH10" s="20" t="n">
        <v>233.5293</v>
      </c>
      <c r="BI10" s="20" t="n">
        <v>242.6901</v>
      </c>
      <c r="BJ10" s="21" t="n">
        <v>31454290019.843</v>
      </c>
    </row>
    <row r="11">
      <c r="A11" s="32" t="inlineStr">
        <is>
          <t>Q3 2026 (to 09-21)</t>
        </is>
      </c>
      <c r="B11" s="33" t="n">
        <v>46204</v>
      </c>
      <c r="C11" s="33" t="n">
        <v>46286</v>
      </c>
      <c r="D11" s="21">
        <f>SUMIFS('Daily Model'!$B$4:$B$664,'Daily Model'!$A$4:$A$664,"&gt;="&amp;$B11,'Daily Model'!$A$4:$A$664,"&lt;="&amp;$C11)</f>
        <v/>
      </c>
      <c r="E11" s="21">
        <f>SUMIFS('Daily Model'!$C$4:$C$664,'Daily Model'!$A$4:$A$664,"&gt;="&amp;$B11,'Daily Model'!$A$4:$A$664,"&lt;="&amp;$C11)</f>
        <v/>
      </c>
      <c r="F11" s="21">
        <f>SUMIFS('Daily Model'!$D$4:$D$664,'Daily Model'!$A$4:$A$664,"&gt;="&amp;$B11,'Daily Model'!$A$4:$A$664,"&lt;="&amp;$C11)</f>
        <v/>
      </c>
      <c r="G11" s="21">
        <f>SUMIFS('Daily Model'!$E$4:$E$664,'Daily Model'!$A$4:$A$664,"&gt;="&amp;$B11,'Daily Model'!$A$4:$A$664,"&lt;="&amp;$C11)</f>
        <v/>
      </c>
      <c r="H11" s="21">
        <f>SUMIFS('Daily Model'!$F$4:$F$664,'Daily Model'!$A$4:$A$664,"&gt;="&amp;$B11,'Daily Model'!$A$4:$A$664,"&lt;="&amp;$C11)</f>
        <v/>
      </c>
      <c r="I11" s="21">
        <f>SUMIFS('Daily Model'!$G$4:$G$664,'Daily Model'!$A$4:$A$664,"&gt;="&amp;$B11,'Daily Model'!$A$4:$A$664,"&lt;="&amp;$C11)</f>
        <v/>
      </c>
      <c r="J11" s="21">
        <f>SUMIFS('Daily Model'!$H$4:$H$664,'Daily Model'!$A$4:$A$664,"&gt;="&amp;$B11,'Daily Model'!$A$4:$A$664,"&lt;="&amp;$C11)</f>
        <v/>
      </c>
      <c r="K11" s="21">
        <f>SUMIFS('Daily Model'!$I$4:$I$664,'Daily Model'!$A$4:$A$664,"&gt;="&amp;$B11,'Daily Model'!$A$4:$A$664,"&lt;="&amp;$C11)</f>
        <v/>
      </c>
      <c r="L11" s="21">
        <f>SUMIFS('Daily Model'!$J$4:$J$664,'Daily Model'!$A$4:$A$664,"&gt;="&amp;$B11,'Daily Model'!$A$4:$A$664,"&lt;="&amp;$C11)</f>
        <v/>
      </c>
      <c r="M11" s="21">
        <f>SUMIFS('Daily Model'!$K$4:$K$664,'Daily Model'!$A$4:$A$664,"&gt;="&amp;$B11,'Daily Model'!$A$4:$A$664,"&lt;="&amp;$C11)</f>
        <v/>
      </c>
      <c r="N11" s="21">
        <f>SUMIFS('Daily Model'!$L$4:$L$664,'Daily Model'!$A$4:$A$664,"&gt;="&amp;$B11,'Daily Model'!$A$4:$A$664,"&lt;="&amp;$C11)</f>
        <v/>
      </c>
      <c r="O11" s="28">
        <f>IF(E11=0,"",N11/E11)</f>
        <v/>
      </c>
      <c r="P11" s="21">
        <f>SUMIFS('Daily Model'!$N$4:$N$664,'Daily Model'!$A$4:$A$664,"&gt;="&amp;$B11,'Daily Model'!$A$4:$A$664,"&lt;="&amp;$C11)</f>
        <v/>
      </c>
      <c r="Q11" s="21">
        <f>SUMIFS('Daily Model'!$O$4:$O$664,'Daily Model'!$A$4:$A$664,"&gt;="&amp;$B11,'Daily Model'!$A$4:$A$664,"&lt;="&amp;$C11)</f>
        <v/>
      </c>
      <c r="R11" s="21">
        <f>SUMIFS('Daily Model'!$P$4:$P$664,'Daily Model'!$A$4:$A$664,"&gt;="&amp;$B11,'Daily Model'!$A$4:$A$664,"&lt;="&amp;$C11)</f>
        <v/>
      </c>
      <c r="S11" s="21">
        <f>SUMIFS('Daily Model'!$Q$4:$Q$664,'Daily Model'!$A$4:$A$664,"&gt;="&amp;$B11,'Daily Model'!$A$4:$A$664,"&lt;="&amp;$C11)</f>
        <v/>
      </c>
      <c r="T11" s="21">
        <f>SUMIFS('Daily Model'!$R$4:$R$664,'Daily Model'!$A$4:$A$664,"&gt;="&amp;$B11,'Daily Model'!$A$4:$A$664,"&lt;="&amp;$C11)</f>
        <v/>
      </c>
      <c r="U11" s="13" t="n"/>
      <c r="V11" s="21">
        <f>SUMIFS('Daily Model'!$T$4:$T$664,'Daily Model'!$A$4:$A$664,"&gt;="&amp;$B11,'Daily Model'!$A$4:$A$664,"&lt;="&amp;$C11)</f>
        <v/>
      </c>
      <c r="W11" s="21">
        <f>SUMIFS('Daily Model'!$U$4:$U$664,'Daily Model'!$A$4:$A$664,"&gt;="&amp;$B11,'Daily Model'!$A$4:$A$664,"&lt;="&amp;$C11)</f>
        <v/>
      </c>
      <c r="X11" s="21">
        <f>SUMIFS('Daily Model'!$V$4:$V$664,'Daily Model'!$A$4:$A$664,"&gt;="&amp;$B11,'Daily Model'!$A$4:$A$664,"&lt;="&amp;$C11)</f>
        <v/>
      </c>
      <c r="Y11" s="21">
        <f>SUMIFS('Daily Model'!$W$4:$W$664,'Daily Model'!$A$4:$A$664,"&gt;="&amp;$B11,'Daily Model'!$A$4:$A$664,"&lt;="&amp;$C11)</f>
        <v/>
      </c>
      <c r="Z11" s="21">
        <f>SUMIFS('Daily Model'!$X$4:$X$664,'Daily Model'!$A$4:$A$664,"&gt;="&amp;$B11,'Daily Model'!$A$4:$A$664,"&lt;="&amp;$C11)</f>
        <v/>
      </c>
      <c r="AA11" s="21">
        <f>SUMIFS('Daily Model'!$Y$4:$Y$664,'Daily Model'!$A$4:$A$664,"&gt;="&amp;$B11,'Daily Model'!$A$4:$A$664,"&lt;="&amp;$C11)</f>
        <v/>
      </c>
      <c r="AB11" s="21">
        <f>SUMIFS('Daily Model'!$Z$4:$Z$664,'Daily Model'!$A$4:$A$664,"&gt;="&amp;$B11,'Daily Model'!$A$4:$A$664,"&lt;="&amp;$C11)</f>
        <v/>
      </c>
      <c r="AC11" s="21">
        <f>SUMIFS('Daily Model'!$AA$4:$AA$664,'Daily Model'!$A$4:$A$664,"&gt;="&amp;$B11,'Daily Model'!$A$4:$A$664,"&lt;="&amp;$C11)</f>
        <v/>
      </c>
      <c r="AD11" s="21">
        <f>SUMIFS('Daily Model'!$AB$4:$AB$664,'Daily Model'!$A$4:$A$664,"&gt;="&amp;$B11,'Daily Model'!$A$4:$A$664,"&lt;="&amp;$C11)</f>
        <v/>
      </c>
      <c r="AE11" s="21">
        <f>SUMIFS('Daily Model'!$AC$4:$AC$664,'Daily Model'!$A$4:$A$664,"&gt;="&amp;$B11,'Daily Model'!$A$4:$A$664,"&lt;="&amp;$C11)</f>
        <v/>
      </c>
      <c r="AF11" s="21">
        <f>SUMIFS('Daily Model'!$AD$4:$AD$664,'Daily Model'!$A$4:$A$664,"&gt;="&amp;$B11,'Daily Model'!$A$4:$A$664,"&lt;="&amp;$C11)</f>
        <v/>
      </c>
      <c r="AG11" s="21">
        <f>SUMIFS('Daily Model'!$AE$4:$AE$664,'Daily Model'!$A$4:$A$664,"&gt;="&amp;$B11,'Daily Model'!$A$4:$A$664,"&lt;="&amp;$C11)</f>
        <v/>
      </c>
      <c r="AH11" s="21">
        <f>SUMIFS('Daily Model'!$AF$4:$AF$664,'Daily Model'!$A$4:$A$664,"&gt;="&amp;$B11,'Daily Model'!$A$4:$A$664,"&lt;="&amp;$C11)</f>
        <v/>
      </c>
      <c r="AI11" s="21">
        <f>SUMIFS('Daily Model'!$AG$4:$AG$664,'Daily Model'!$A$4:$A$664,"&gt;="&amp;$B11,'Daily Model'!$A$4:$A$664,"&lt;="&amp;$C11)</f>
        <v/>
      </c>
      <c r="AJ11" s="21">
        <f>SUMIFS('Daily Model'!$AH$4:$AH$664,'Daily Model'!$A$4:$A$664,"&gt;="&amp;$B11,'Daily Model'!$A$4:$A$664,"&lt;="&amp;$C11)</f>
        <v/>
      </c>
      <c r="AK11" s="24">
        <f>AI11-AJ11</f>
        <v/>
      </c>
      <c r="AL11" s="14">
        <f>IF(D11=0,"",P11/D11*10000)</f>
        <v/>
      </c>
      <c r="AM11" s="14">
        <f>IF(E11=0,"",Q11/E11*10000)</f>
        <v/>
      </c>
      <c r="AN11" s="14">
        <f>IF(F11=0,"",R11/F11*10000)</f>
        <v/>
      </c>
      <c r="AO11" s="14">
        <f>IF(G11=0,"",S11/G11*10000)</f>
        <v/>
      </c>
      <c r="AP11" s="21">
        <f>SUMIFS('Daily Model'!$AN$4:$AN$664,'Daily Model'!$A$4:$A$664,"&gt;="&amp;$B11,'Daily Model'!$A$4:$A$664,"&lt;="&amp;$C11)</f>
        <v/>
      </c>
      <c r="AQ11" s="21">
        <f>SUMIFS('Daily Model'!$AO$4:$AO$664,'Daily Model'!$A$4:$A$664,"&gt;="&amp;$B11,'Daily Model'!$A$4:$A$664,"&lt;="&amp;$C11)</f>
        <v/>
      </c>
      <c r="AR11" s="21">
        <f>SUMIFS('Daily Model'!$AP$4:$AP$664,'Daily Model'!$A$4:$A$664,"&gt;="&amp;$B11,'Daily Model'!$A$4:$A$664,"&lt;="&amp;$C11)</f>
        <v/>
      </c>
      <c r="AS11" s="21">
        <f>SUMIFS('Daily Model'!$AQ$4:$AQ$664,'Daily Model'!$A$4:$A$664,"&gt;="&amp;$B11,'Daily Model'!$A$4:$A$664,"&lt;="&amp;$C11)</f>
        <v/>
      </c>
      <c r="AT11" s="17">
        <f>SUMIFS('Daily Model'!$AR$4:$AR$664,'Daily Model'!$A$4:$A$664,"&gt;="&amp;$B11,'Daily Model'!$A$4:$A$664,"&lt;="&amp;$C11)</f>
        <v/>
      </c>
      <c r="AU11" s="34">
        <f>IF(AT11=0,"",AS11/AT11)</f>
        <v/>
      </c>
      <c r="AV11" s="17" t="n">
        <v>47393278.8747</v>
      </c>
      <c r="AW11" s="17">
        <f>SUMIFS('Daily Model'!$AU$4:$AU$664,'Daily Model'!$A$4:$A$664,"&gt;="&amp;$B11,'Daily Model'!$A$4:$A$664,"&lt;="&amp;$C11)</f>
        <v/>
      </c>
      <c r="AX11" s="17">
        <f>SUMIFS('Daily Model'!$AV$4:$AV$664,'Daily Model'!$A$4:$A$664,"&gt;="&amp;$B11,'Daily Model'!$A$4:$A$664,"&lt;="&amp;$C11)</f>
        <v/>
      </c>
      <c r="AY11" s="17">
        <f>SUMIFS('Daily Model'!$AW$4:$AW$664,'Daily Model'!$A$4:$A$664,"&gt;="&amp;$B11,'Daily Model'!$A$4:$A$664,"&lt;="&amp;$C11)</f>
        <v/>
      </c>
      <c r="AZ11" s="20" t="n">
        <v>441.9145</v>
      </c>
      <c r="BA11" s="13" t="n">
        <v>0.0224</v>
      </c>
      <c r="BB11" s="17" t="n">
        <v>411398472.5926</v>
      </c>
      <c r="BC11" s="17" t="n">
        <v>60487233</v>
      </c>
      <c r="BD11" s="17" t="n">
        <v>47393278.8747</v>
      </c>
      <c r="BE11" s="17" t="n">
        <v>2971663</v>
      </c>
      <c r="BF11" s="17" t="n">
        <v>1382097.3625</v>
      </c>
      <c r="BG11" s="19" t="n">
        <v>476367255.1702</v>
      </c>
      <c r="BH11" s="30" t="n">
        <v>232.2109</v>
      </c>
      <c r="BI11" s="30" t="n">
        <v>244.1564</v>
      </c>
      <c r="BJ11" s="21" t="n">
        <v>44802340348.7581</v>
      </c>
    </row>
  </sheetData>
  <mergeCells count="10">
    <mergeCell ref="AL2:AO2"/>
    <mergeCell ref="AS2:BA2"/>
    <mergeCell ref="H2:O2"/>
    <mergeCell ref="AP2:AR2"/>
    <mergeCell ref="BB2:BJ2"/>
    <mergeCell ref="P2:T2"/>
    <mergeCell ref="AE2:AK2"/>
    <mergeCell ref="D2:G2"/>
    <mergeCell ref="U2:AD2"/>
    <mergeCell ref="A1:BJ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65"/>
  <sheetViews>
    <sheetView showGridLines="0" workbookViewId="0">
      <pane xSplit="1" ySplit="14" topLeftCell="B15"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6" customWidth="1" min="3" max="3"/>
    <col width="16" customWidth="1" min="4" max="4"/>
    <col width="14" customWidth="1" min="5" max="5"/>
    <col width="17" customWidth="1" min="6" max="6"/>
    <col width="13" customWidth="1" min="7" max="7"/>
    <col width="13" customWidth="1" min="8" max="8"/>
    <col width="14" customWidth="1" min="9" max="9"/>
    <col width="17" customWidth="1" min="10" max="10"/>
    <col width="16" customWidth="1" min="11" max="11"/>
  </cols>
  <sheetData>
    <row r="1" ht="20" customHeight="1">
      <c r="A1" s="35" t="inlineStr">
        <is>
          <t>HIP-4 — OUTCOME / PREDICTION MARKETS.  Volume by deployer venue: Hyperliquid-canonical vs third-party.  Daily 2026-05-02 → 2026-09-21</t>
        </is>
      </c>
    </row>
    <row r="2" ht="28" customHeight="1">
      <c r="A2" s="36" t="inlineStr">
        <is>
          <t>Source: Loris (api.loris.tools/hip4-analytics/dashboard?range=all, plus &amp;venue=out|skew|txyz for the split). Deployer addresses from Hyperliquid POST /info type=outcomeMeta. Volume is TRADING volume on the same basis as the Daily Model; settlement is shown separately and is NOT in the daily bridge.</t>
        </is>
      </c>
    </row>
    <row r="4">
      <c r="A4" s="37" t="inlineStr">
        <is>
          <t>SUMMARY</t>
        </is>
      </c>
      <c r="B4" s="38" t="n"/>
      <c r="C4" s="38" t="n"/>
    </row>
    <row r="5">
      <c r="A5" s="39" t="inlineStr">
        <is>
          <t>Cumulative HIP-4 trading volume</t>
        </is>
      </c>
      <c r="B5" s="40" t="inlineStr">
        <is>
          <t>$344,834,404</t>
        </is>
      </c>
    </row>
    <row r="6">
      <c r="A6" s="39" t="inlineStr">
        <is>
          <t xml:space="preserve">  of which in-house (Hyperliquid-canonical)</t>
        </is>
      </c>
      <c r="B6" s="41" t="inlineStr">
        <is>
          <t>$305,323,436  (88.5%)</t>
        </is>
      </c>
    </row>
    <row r="7">
      <c r="A7" s="39" t="inlineStr">
        <is>
          <t xml:space="preserve">  of which third-party deployers</t>
        </is>
      </c>
      <c r="B7" s="41" t="inlineStr">
        <is>
          <t>$39,510,968  (11.5%)</t>
        </is>
      </c>
    </row>
    <row r="8">
      <c r="A8" s="39" t="inlineStr">
        <is>
          <t>First day with third-party volume</t>
        </is>
      </c>
      <c r="B8" s="40" t="inlineStr">
        <is>
          <t>2026-08-29   — permissionless deployment went live on mainnet 2026-08-29</t>
        </is>
      </c>
    </row>
    <row r="9">
      <c r="A9" s="39" t="inlineStr">
        <is>
          <t>Third-party share, last 7 days (2026-09-15..2026-09-21)</t>
        </is>
      </c>
      <c r="B9" s="40" t="inlineStr">
        <is>
          <t>90.4%</t>
        </is>
      </c>
    </row>
    <row r="10">
      <c r="A10" s="39" t="inlineStr">
        <is>
          <t>Cumulative HIP-4 fees (trading, in the daily bridge)</t>
        </is>
      </c>
      <c r="B10" s="40" t="inlineStr">
        <is>
          <t>$35,005</t>
        </is>
      </c>
    </row>
    <row r="11">
      <c r="A11" s="39" t="inlineStr">
        <is>
          <t>Cumulative settlement volume (NOT in the daily bridge)</t>
        </is>
      </c>
      <c r="B11" s="40" t="inlineStr">
        <is>
          <t>$102,002,333</t>
        </is>
      </c>
    </row>
    <row r="12">
      <c r="A12" s="39" t="inlineStr">
        <is>
          <t>Cumulative settlement fees (NOT in the daily bridge)</t>
        </is>
      </c>
      <c r="B12" s="40" t="inlineStr">
        <is>
          <t>$12,521</t>
        </is>
      </c>
    </row>
    <row r="14" ht="30" customHeight="1">
      <c r="A14" s="9" t="inlineStr">
        <is>
          <t>Date</t>
        </is>
      </c>
      <c r="B14" s="9" t="inlineStr">
        <is>
          <t>HIP-4 Vol ($)</t>
        </is>
      </c>
      <c r="C14" s="9" t="inlineStr">
        <is>
          <t>In-House Vol ($)</t>
        </is>
      </c>
      <c r="D14" s="9" t="inlineStr">
        <is>
          <t>3rd-Party Vol ($)</t>
        </is>
      </c>
      <c r="E14" s="9" t="inlineStr">
        <is>
          <t>3rd-Party Share</t>
        </is>
      </c>
      <c r="F14" s="9" t="inlineStr">
        <is>
          <t>Outcome.xyz (out) ($)</t>
        </is>
      </c>
      <c r="G14" s="9" t="inlineStr">
        <is>
          <t>skew ($)</t>
        </is>
      </c>
      <c r="H14" s="9" t="inlineStr">
        <is>
          <t>txyz ($)</t>
        </is>
      </c>
      <c r="I14" s="9" t="inlineStr">
        <is>
          <t>HIP-4 Fees ($)</t>
        </is>
      </c>
      <c r="J14" s="9" t="inlineStr">
        <is>
          <t>Settlement Vol ($)</t>
        </is>
      </c>
      <c r="K14" s="9" t="inlineStr">
        <is>
          <t>Settlement Fees ($)</t>
        </is>
      </c>
    </row>
    <row r="15">
      <c r="A15" s="10" t="n">
        <v>46144</v>
      </c>
      <c r="B15" s="11" t="n">
        <v>2351355.36393</v>
      </c>
      <c r="C15" s="24" t="n">
        <v>2351355.36393</v>
      </c>
      <c r="D15" s="24" t="n">
        <v>0</v>
      </c>
      <c r="E15" s="13">
        <f>IF(B15=0,"",D15/B15)</f>
        <v/>
      </c>
      <c r="F15" s="11" t="n">
        <v>0</v>
      </c>
      <c r="G15" s="11" t="n">
        <v>0</v>
      </c>
      <c r="H15" s="11" t="n">
        <v>0</v>
      </c>
      <c r="I15" s="27" t="n">
        <v>9.240005999999999</v>
      </c>
      <c r="J15" s="23" t="n">
        <v>0</v>
      </c>
      <c r="K15" s="42" t="n">
        <v>0</v>
      </c>
    </row>
    <row r="16">
      <c r="A16" s="10" t="n">
        <v>46145</v>
      </c>
      <c r="B16" s="11" t="n">
        <v>2722692.43091</v>
      </c>
      <c r="C16" s="24" t="n">
        <v>2722692.43091</v>
      </c>
      <c r="D16" s="24" t="n">
        <v>0</v>
      </c>
      <c r="E16" s="13">
        <f>IF(B16=0,"",D16/B16)</f>
        <v/>
      </c>
      <c r="F16" s="11" t="n">
        <v>0</v>
      </c>
      <c r="G16" s="11" t="n">
        <v>0</v>
      </c>
      <c r="H16" s="11" t="n">
        <v>0</v>
      </c>
      <c r="I16" s="27" t="n">
        <v>9.647230599999999</v>
      </c>
      <c r="J16" s="23" t="n">
        <v>873624</v>
      </c>
      <c r="K16" s="42" t="n">
        <v>0</v>
      </c>
    </row>
    <row r="17">
      <c r="A17" s="10" t="n">
        <v>46146</v>
      </c>
      <c r="B17" s="11" t="n">
        <v>2879142.180410001</v>
      </c>
      <c r="C17" s="24" t="n">
        <v>2879142.180410001</v>
      </c>
      <c r="D17" s="24" t="n">
        <v>0</v>
      </c>
      <c r="E17" s="13">
        <f>IF(B17=0,"",D17/B17)</f>
        <v/>
      </c>
      <c r="F17" s="11" t="n">
        <v>0</v>
      </c>
      <c r="G17" s="11" t="n">
        <v>0</v>
      </c>
      <c r="H17" s="11" t="n">
        <v>0</v>
      </c>
      <c r="I17" s="27" t="n">
        <v>23.49036486</v>
      </c>
      <c r="J17" s="23" t="n">
        <v>1031587</v>
      </c>
      <c r="K17" s="42" t="n">
        <v>0</v>
      </c>
    </row>
    <row r="18">
      <c r="A18" s="10" t="n">
        <v>46147</v>
      </c>
      <c r="B18" s="11" t="n">
        <v>2867489.700180002</v>
      </c>
      <c r="C18" s="24" t="n">
        <v>2867489.700180002</v>
      </c>
      <c r="D18" s="24" t="n">
        <v>0</v>
      </c>
      <c r="E18" s="13">
        <f>IF(B18=0,"",D18/B18)</f>
        <v/>
      </c>
      <c r="F18" s="11" t="n">
        <v>0</v>
      </c>
      <c r="G18" s="11" t="n">
        <v>0</v>
      </c>
      <c r="H18" s="11" t="n">
        <v>0</v>
      </c>
      <c r="I18" s="27" t="n">
        <v>16.28162269</v>
      </c>
      <c r="J18" s="23" t="n">
        <v>941630</v>
      </c>
      <c r="K18" s="42" t="n">
        <v>0</v>
      </c>
    </row>
    <row r="19">
      <c r="A19" s="10" t="n">
        <v>46148</v>
      </c>
      <c r="B19" s="11" t="n">
        <v>2094825.84727</v>
      </c>
      <c r="C19" s="24" t="n">
        <v>2094825.84727</v>
      </c>
      <c r="D19" s="24" t="n">
        <v>0</v>
      </c>
      <c r="E19" s="13">
        <f>IF(B19=0,"",D19/B19)</f>
        <v/>
      </c>
      <c r="F19" s="11" t="n">
        <v>0</v>
      </c>
      <c r="G19" s="11" t="n">
        <v>0</v>
      </c>
      <c r="H19" s="11" t="n">
        <v>0</v>
      </c>
      <c r="I19" s="27" t="n">
        <v>10.13371965</v>
      </c>
      <c r="J19" s="23" t="n">
        <v>750149</v>
      </c>
      <c r="K19" s="42" t="n">
        <v>0</v>
      </c>
    </row>
    <row r="20">
      <c r="A20" s="10" t="n">
        <v>46149</v>
      </c>
      <c r="B20" s="11" t="n">
        <v>2513035.421139998</v>
      </c>
      <c r="C20" s="24" t="n">
        <v>2513035.421139998</v>
      </c>
      <c r="D20" s="24" t="n">
        <v>0</v>
      </c>
      <c r="E20" s="13">
        <f>IF(B20=0,"",D20/B20)</f>
        <v/>
      </c>
      <c r="F20" s="11" t="n">
        <v>0</v>
      </c>
      <c r="G20" s="11" t="n">
        <v>0</v>
      </c>
      <c r="H20" s="11" t="n">
        <v>0</v>
      </c>
      <c r="I20" s="27" t="n">
        <v>11.28294348</v>
      </c>
      <c r="J20" s="23" t="n">
        <v>673066</v>
      </c>
      <c r="K20" s="42" t="n">
        <v>0</v>
      </c>
    </row>
    <row r="21">
      <c r="A21" s="10" t="n">
        <v>46150</v>
      </c>
      <c r="B21" s="11" t="n">
        <v>2324793.9363</v>
      </c>
      <c r="C21" s="24" t="n">
        <v>2324793.9363</v>
      </c>
      <c r="D21" s="24" t="n">
        <v>0</v>
      </c>
      <c r="E21" s="13">
        <f>IF(B21=0,"",D21/B21)</f>
        <v/>
      </c>
      <c r="F21" s="11" t="n">
        <v>0</v>
      </c>
      <c r="G21" s="11" t="n">
        <v>0</v>
      </c>
      <c r="H21" s="11" t="n">
        <v>0</v>
      </c>
      <c r="I21" s="27" t="n">
        <v>27.70824236</v>
      </c>
      <c r="J21" s="23" t="n">
        <v>741321</v>
      </c>
      <c r="K21" s="42" t="n">
        <v>0</v>
      </c>
    </row>
    <row r="22">
      <c r="A22" s="10" t="n">
        <v>46151</v>
      </c>
      <c r="B22" s="11" t="n">
        <v>1434595.927660002</v>
      </c>
      <c r="C22" s="24" t="n">
        <v>1434595.927660002</v>
      </c>
      <c r="D22" s="24" t="n">
        <v>0</v>
      </c>
      <c r="E22" s="13">
        <f>IF(B22=0,"",D22/B22)</f>
        <v/>
      </c>
      <c r="F22" s="11" t="n">
        <v>0</v>
      </c>
      <c r="G22" s="11" t="n">
        <v>0</v>
      </c>
      <c r="H22" s="11" t="n">
        <v>0</v>
      </c>
      <c r="I22" s="27" t="n">
        <v>20.77888159</v>
      </c>
      <c r="J22" s="23" t="n">
        <v>477646</v>
      </c>
      <c r="K22" s="42" t="n">
        <v>0</v>
      </c>
    </row>
    <row r="23">
      <c r="A23" s="10" t="n">
        <v>46152</v>
      </c>
      <c r="B23" s="11" t="n">
        <v>4011109.21543</v>
      </c>
      <c r="C23" s="24" t="n">
        <v>4011109.21543</v>
      </c>
      <c r="D23" s="24" t="n">
        <v>0</v>
      </c>
      <c r="E23" s="13">
        <f>IF(B23=0,"",D23/B23)</f>
        <v/>
      </c>
      <c r="F23" s="11" t="n">
        <v>0</v>
      </c>
      <c r="G23" s="11" t="n">
        <v>0</v>
      </c>
      <c r="H23" s="11" t="n">
        <v>0</v>
      </c>
      <c r="I23" s="27" t="n">
        <v>28.42847522</v>
      </c>
      <c r="J23" s="23" t="n">
        <v>511978</v>
      </c>
      <c r="K23" s="42" t="n">
        <v>0</v>
      </c>
    </row>
    <row r="24">
      <c r="A24" s="10" t="n">
        <v>46153</v>
      </c>
      <c r="B24" s="11" t="n">
        <v>3473040.395369999</v>
      </c>
      <c r="C24" s="24" t="n">
        <v>3473040.395369999</v>
      </c>
      <c r="D24" s="24" t="n">
        <v>0</v>
      </c>
      <c r="E24" s="13">
        <f>IF(B24=0,"",D24/B24)</f>
        <v/>
      </c>
      <c r="F24" s="11" t="n">
        <v>0</v>
      </c>
      <c r="G24" s="11" t="n">
        <v>0</v>
      </c>
      <c r="H24" s="11" t="n">
        <v>0</v>
      </c>
      <c r="I24" s="27" t="n">
        <v>22.83927699</v>
      </c>
      <c r="J24" s="23" t="n">
        <v>634930</v>
      </c>
      <c r="K24" s="42" t="n">
        <v>0</v>
      </c>
    </row>
    <row r="25">
      <c r="A25" s="10" t="n">
        <v>46154</v>
      </c>
      <c r="B25" s="11" t="n">
        <v>2855753.953089998</v>
      </c>
      <c r="C25" s="24" t="n">
        <v>2855753.953089998</v>
      </c>
      <c r="D25" s="24" t="n">
        <v>0</v>
      </c>
      <c r="E25" s="13">
        <f>IF(B25=0,"",D25/B25)</f>
        <v/>
      </c>
      <c r="F25" s="11" t="n">
        <v>0</v>
      </c>
      <c r="G25" s="11" t="n">
        <v>0</v>
      </c>
      <c r="H25" s="11" t="n">
        <v>0</v>
      </c>
      <c r="I25" s="27" t="n">
        <v>21.42972158</v>
      </c>
      <c r="J25" s="23" t="n">
        <v>542305</v>
      </c>
      <c r="K25" s="42" t="n">
        <v>0</v>
      </c>
    </row>
    <row r="26">
      <c r="A26" s="10" t="n">
        <v>46155</v>
      </c>
      <c r="B26" s="11" t="n">
        <v>2724369.2976</v>
      </c>
      <c r="C26" s="24" t="n">
        <v>2724369.2976</v>
      </c>
      <c r="D26" s="24" t="n">
        <v>0</v>
      </c>
      <c r="E26" s="13">
        <f>IF(B26=0,"",D26/B26)</f>
        <v/>
      </c>
      <c r="F26" s="11" t="n">
        <v>0</v>
      </c>
      <c r="G26" s="11" t="n">
        <v>0</v>
      </c>
      <c r="H26" s="11" t="n">
        <v>0</v>
      </c>
      <c r="I26" s="27" t="n">
        <v>29.16883978</v>
      </c>
      <c r="J26" s="23" t="n">
        <v>522032</v>
      </c>
      <c r="K26" s="42" t="n">
        <v>0</v>
      </c>
    </row>
    <row r="27">
      <c r="A27" s="10" t="n">
        <v>46156</v>
      </c>
      <c r="B27" s="11" t="n">
        <v>2556799.825190002</v>
      </c>
      <c r="C27" s="24" t="n">
        <v>2556799.825190002</v>
      </c>
      <c r="D27" s="24" t="n">
        <v>0</v>
      </c>
      <c r="E27" s="13">
        <f>IF(B27=0,"",D27/B27)</f>
        <v/>
      </c>
      <c r="F27" s="11" t="n">
        <v>0</v>
      </c>
      <c r="G27" s="11" t="n">
        <v>0</v>
      </c>
      <c r="H27" s="11" t="n">
        <v>0</v>
      </c>
      <c r="I27" s="27" t="n">
        <v>11.98388172</v>
      </c>
      <c r="J27" s="23" t="n">
        <v>669700</v>
      </c>
      <c r="K27" s="42" t="n">
        <v>0</v>
      </c>
    </row>
    <row r="28">
      <c r="A28" s="10" t="n">
        <v>46157</v>
      </c>
      <c r="B28" s="11" t="n">
        <v>3039920.069619999</v>
      </c>
      <c r="C28" s="24" t="n">
        <v>3039920.069619999</v>
      </c>
      <c r="D28" s="24" t="n">
        <v>0</v>
      </c>
      <c r="E28" s="13">
        <f>IF(B28=0,"",D28/B28)</f>
        <v/>
      </c>
      <c r="F28" s="11" t="n">
        <v>0</v>
      </c>
      <c r="G28" s="11" t="n">
        <v>0</v>
      </c>
      <c r="H28" s="11" t="n">
        <v>0</v>
      </c>
      <c r="I28" s="27" t="n">
        <v>5.623592450000001</v>
      </c>
      <c r="J28" s="23" t="n">
        <v>700006</v>
      </c>
      <c r="K28" s="42" t="n">
        <v>0</v>
      </c>
    </row>
    <row r="29">
      <c r="A29" s="10" t="n">
        <v>46158</v>
      </c>
      <c r="B29" s="11" t="n">
        <v>1484161.52405</v>
      </c>
      <c r="C29" s="24" t="n">
        <v>1484161.52405</v>
      </c>
      <c r="D29" s="24" t="n">
        <v>0</v>
      </c>
      <c r="E29" s="13">
        <f>IF(B29=0,"",D29/B29)</f>
        <v/>
      </c>
      <c r="F29" s="11" t="n">
        <v>0</v>
      </c>
      <c r="G29" s="11" t="n">
        <v>0</v>
      </c>
      <c r="H29" s="11" t="n">
        <v>0</v>
      </c>
      <c r="I29" s="27" t="n">
        <v>4.1237509</v>
      </c>
      <c r="J29" s="23" t="n">
        <v>535890</v>
      </c>
      <c r="K29" s="42" t="n">
        <v>0</v>
      </c>
    </row>
    <row r="30">
      <c r="A30" s="10" t="n">
        <v>46159</v>
      </c>
      <c r="B30" s="11" t="n">
        <v>2211344.163840002</v>
      </c>
      <c r="C30" s="24" t="n">
        <v>2211344.163840002</v>
      </c>
      <c r="D30" s="24" t="n">
        <v>0</v>
      </c>
      <c r="E30" s="13">
        <f>IF(B30=0,"",D30/B30)</f>
        <v/>
      </c>
      <c r="F30" s="11" t="n">
        <v>0</v>
      </c>
      <c r="G30" s="11" t="n">
        <v>0</v>
      </c>
      <c r="H30" s="11" t="n">
        <v>0</v>
      </c>
      <c r="I30" s="27" t="n">
        <v>4.909906639999999</v>
      </c>
      <c r="J30" s="23" t="n">
        <v>416940</v>
      </c>
      <c r="K30" s="42" t="n">
        <v>0</v>
      </c>
    </row>
    <row r="31">
      <c r="A31" s="10" t="n">
        <v>46160</v>
      </c>
      <c r="B31" s="11" t="n">
        <v>3417629.954160002</v>
      </c>
      <c r="C31" s="24" t="n">
        <v>3417629.954160002</v>
      </c>
      <c r="D31" s="24" t="n">
        <v>0</v>
      </c>
      <c r="E31" s="13">
        <f>IF(B31=0,"",D31/B31)</f>
        <v/>
      </c>
      <c r="F31" s="11" t="n">
        <v>0</v>
      </c>
      <c r="G31" s="11" t="n">
        <v>0</v>
      </c>
      <c r="H31" s="11" t="n">
        <v>0</v>
      </c>
      <c r="I31" s="27" t="n">
        <v>4.5470898</v>
      </c>
      <c r="J31" s="23" t="n">
        <v>362808</v>
      </c>
      <c r="K31" s="42" t="n">
        <v>0</v>
      </c>
    </row>
    <row r="32">
      <c r="A32" s="10" t="n">
        <v>46161</v>
      </c>
      <c r="B32" s="11" t="n">
        <v>2774221.788260001</v>
      </c>
      <c r="C32" s="24" t="n">
        <v>2774221.788260001</v>
      </c>
      <c r="D32" s="24" t="n">
        <v>0</v>
      </c>
      <c r="E32" s="13">
        <f>IF(B32=0,"",D32/B32)</f>
        <v/>
      </c>
      <c r="F32" s="11" t="n">
        <v>0</v>
      </c>
      <c r="G32" s="11" t="n">
        <v>0</v>
      </c>
      <c r="H32" s="11" t="n">
        <v>0</v>
      </c>
      <c r="I32" s="27" t="n">
        <v>6.242737259999998</v>
      </c>
      <c r="J32" s="23" t="n">
        <v>441182</v>
      </c>
      <c r="K32" s="42" t="n">
        <v>0</v>
      </c>
    </row>
    <row r="33">
      <c r="A33" s="10" t="n">
        <v>46162</v>
      </c>
      <c r="B33" s="11" t="n">
        <v>2928731.73941</v>
      </c>
      <c r="C33" s="24" t="n">
        <v>2928731.73941</v>
      </c>
      <c r="D33" s="24" t="n">
        <v>0</v>
      </c>
      <c r="E33" s="13">
        <f>IF(B33=0,"",D33/B33)</f>
        <v/>
      </c>
      <c r="F33" s="11" t="n">
        <v>0</v>
      </c>
      <c r="G33" s="11" t="n">
        <v>0</v>
      </c>
      <c r="H33" s="11" t="n">
        <v>0</v>
      </c>
      <c r="I33" s="27" t="n">
        <v>8.68949158</v>
      </c>
      <c r="J33" s="23" t="n">
        <v>315799</v>
      </c>
      <c r="K33" s="42" t="n">
        <v>0</v>
      </c>
    </row>
    <row r="34">
      <c r="A34" s="10" t="n">
        <v>46163</v>
      </c>
      <c r="B34" s="11" t="n">
        <v>2047956.356610001</v>
      </c>
      <c r="C34" s="24" t="n">
        <v>2047956.356610001</v>
      </c>
      <c r="D34" s="24" t="n">
        <v>0</v>
      </c>
      <c r="E34" s="13">
        <f>IF(B34=0,"",D34/B34)</f>
        <v/>
      </c>
      <c r="F34" s="11" t="n">
        <v>0</v>
      </c>
      <c r="G34" s="11" t="n">
        <v>0</v>
      </c>
      <c r="H34" s="11" t="n">
        <v>0</v>
      </c>
      <c r="I34" s="27" t="n">
        <v>7.878136799999998</v>
      </c>
      <c r="J34" s="23" t="n">
        <v>343807</v>
      </c>
      <c r="K34" s="42" t="n">
        <v>0</v>
      </c>
    </row>
    <row r="35">
      <c r="A35" s="10" t="n">
        <v>46164</v>
      </c>
      <c r="B35" s="11" t="n">
        <v>2496535.810899999</v>
      </c>
      <c r="C35" s="24" t="n">
        <v>2496535.810899999</v>
      </c>
      <c r="D35" s="24" t="n">
        <v>0</v>
      </c>
      <c r="E35" s="13">
        <f>IF(B35=0,"",D35/B35)</f>
        <v/>
      </c>
      <c r="F35" s="11" t="n">
        <v>0</v>
      </c>
      <c r="G35" s="11" t="n">
        <v>0</v>
      </c>
      <c r="H35" s="11" t="n">
        <v>0</v>
      </c>
      <c r="I35" s="27" t="n">
        <v>12.31818688</v>
      </c>
      <c r="J35" s="23" t="n">
        <v>501192</v>
      </c>
      <c r="K35" s="42" t="n">
        <v>0</v>
      </c>
    </row>
    <row r="36">
      <c r="A36" s="10" t="n">
        <v>46165</v>
      </c>
      <c r="B36" s="11" t="n">
        <v>1045150.46758</v>
      </c>
      <c r="C36" s="24" t="n">
        <v>1045150.46758</v>
      </c>
      <c r="D36" s="24" t="n">
        <v>0</v>
      </c>
      <c r="E36" s="13">
        <f>IF(B36=0,"",D36/B36)</f>
        <v/>
      </c>
      <c r="F36" s="11" t="n">
        <v>0</v>
      </c>
      <c r="G36" s="11" t="n">
        <v>0</v>
      </c>
      <c r="H36" s="11" t="n">
        <v>0</v>
      </c>
      <c r="I36" s="27" t="n">
        <v>13.98696093</v>
      </c>
      <c r="J36" s="23" t="n">
        <v>536265</v>
      </c>
      <c r="K36" s="42" t="n">
        <v>0</v>
      </c>
    </row>
    <row r="37">
      <c r="A37" s="10" t="n">
        <v>46166</v>
      </c>
      <c r="B37" s="11" t="n">
        <v>1791898.767470001</v>
      </c>
      <c r="C37" s="24" t="n">
        <v>1791898.767470001</v>
      </c>
      <c r="D37" s="24" t="n">
        <v>0</v>
      </c>
      <c r="E37" s="13">
        <f>IF(B37=0,"",D37/B37)</f>
        <v/>
      </c>
      <c r="F37" s="11" t="n">
        <v>0</v>
      </c>
      <c r="G37" s="11" t="n">
        <v>0</v>
      </c>
      <c r="H37" s="11" t="n">
        <v>0</v>
      </c>
      <c r="I37" s="27" t="n">
        <v>11.67359062</v>
      </c>
      <c r="J37" s="23" t="n">
        <v>246714</v>
      </c>
      <c r="K37" s="42" t="n">
        <v>0</v>
      </c>
    </row>
    <row r="38">
      <c r="A38" s="10" t="n">
        <v>46167</v>
      </c>
      <c r="B38" s="11" t="n">
        <v>2176688.1951</v>
      </c>
      <c r="C38" s="24" t="n">
        <v>2176688.1951</v>
      </c>
      <c r="D38" s="24" t="n">
        <v>0</v>
      </c>
      <c r="E38" s="13">
        <f>IF(B38=0,"",D38/B38)</f>
        <v/>
      </c>
      <c r="F38" s="11" t="n">
        <v>0</v>
      </c>
      <c r="G38" s="11" t="n">
        <v>0</v>
      </c>
      <c r="H38" s="11" t="n">
        <v>0</v>
      </c>
      <c r="I38" s="27" t="n">
        <v>59.45284002000001</v>
      </c>
      <c r="J38" s="23" t="n">
        <v>399595</v>
      </c>
      <c r="K38" s="42" t="n">
        <v>0</v>
      </c>
    </row>
    <row r="39">
      <c r="A39" s="10" t="n">
        <v>46168</v>
      </c>
      <c r="B39" s="11" t="n">
        <v>2291049.129739999</v>
      </c>
      <c r="C39" s="24" t="n">
        <v>2291049.129739999</v>
      </c>
      <c r="D39" s="24" t="n">
        <v>0</v>
      </c>
      <c r="E39" s="13">
        <f>IF(B39=0,"",D39/B39)</f>
        <v/>
      </c>
      <c r="F39" s="11" t="n">
        <v>0</v>
      </c>
      <c r="G39" s="11" t="n">
        <v>0</v>
      </c>
      <c r="H39" s="11" t="n">
        <v>0</v>
      </c>
      <c r="I39" s="27" t="n">
        <v>23.12162845</v>
      </c>
      <c r="J39" s="23" t="n">
        <v>367211</v>
      </c>
      <c r="K39" s="42" t="n">
        <v>0</v>
      </c>
    </row>
    <row r="40">
      <c r="A40" s="10" t="n">
        <v>46169</v>
      </c>
      <c r="B40" s="11" t="n">
        <v>2248032.66424</v>
      </c>
      <c r="C40" s="24" t="n">
        <v>2248032.66424</v>
      </c>
      <c r="D40" s="24" t="n">
        <v>0</v>
      </c>
      <c r="E40" s="13">
        <f>IF(B40=0,"",D40/B40)</f>
        <v/>
      </c>
      <c r="F40" s="11" t="n">
        <v>0</v>
      </c>
      <c r="G40" s="11" t="n">
        <v>0</v>
      </c>
      <c r="H40" s="11" t="n">
        <v>0</v>
      </c>
      <c r="I40" s="27" t="n">
        <v>28.29474758</v>
      </c>
      <c r="J40" s="23" t="n">
        <v>266426</v>
      </c>
      <c r="K40" s="42" t="n">
        <v>0</v>
      </c>
    </row>
    <row r="41">
      <c r="A41" s="10" t="n">
        <v>46170</v>
      </c>
      <c r="B41" s="11" t="n">
        <v>2164806.46544</v>
      </c>
      <c r="C41" s="24" t="n">
        <v>2164806.46544</v>
      </c>
      <c r="D41" s="24" t="n">
        <v>0</v>
      </c>
      <c r="E41" s="13">
        <f>IF(B41=0,"",D41/B41)</f>
        <v/>
      </c>
      <c r="F41" s="11" t="n">
        <v>0</v>
      </c>
      <c r="G41" s="11" t="n">
        <v>0</v>
      </c>
      <c r="H41" s="11" t="n">
        <v>0</v>
      </c>
      <c r="I41" s="27" t="n">
        <v>5.546524580000002</v>
      </c>
      <c r="J41" s="23" t="n">
        <v>325087</v>
      </c>
      <c r="K41" s="42" t="n">
        <v>0</v>
      </c>
    </row>
    <row r="42">
      <c r="A42" s="10" t="n">
        <v>46171</v>
      </c>
      <c r="B42" s="11" t="n">
        <v>2701955.085279999</v>
      </c>
      <c r="C42" s="24" t="n">
        <v>2701955.085279999</v>
      </c>
      <c r="D42" s="24" t="n">
        <v>0</v>
      </c>
      <c r="E42" s="13">
        <f>IF(B42=0,"",D42/B42)</f>
        <v/>
      </c>
      <c r="F42" s="11" t="n">
        <v>0</v>
      </c>
      <c r="G42" s="11" t="n">
        <v>0</v>
      </c>
      <c r="H42" s="11" t="n">
        <v>0</v>
      </c>
      <c r="I42" s="27" t="n">
        <v>12.28058268</v>
      </c>
      <c r="J42" s="23" t="n">
        <v>489440</v>
      </c>
      <c r="K42" s="42" t="n">
        <v>0</v>
      </c>
    </row>
    <row r="43">
      <c r="A43" s="10" t="n">
        <v>46172</v>
      </c>
      <c r="B43" s="11" t="n">
        <v>3157976.03036</v>
      </c>
      <c r="C43" s="24" t="n">
        <v>3157976.03036</v>
      </c>
      <c r="D43" s="24" t="n">
        <v>0</v>
      </c>
      <c r="E43" s="13">
        <f>IF(B43=0,"",D43/B43)</f>
        <v/>
      </c>
      <c r="F43" s="11" t="n">
        <v>0</v>
      </c>
      <c r="G43" s="11" t="n">
        <v>0</v>
      </c>
      <c r="H43" s="11" t="n">
        <v>0</v>
      </c>
      <c r="I43" s="27" t="n">
        <v>24.64728677</v>
      </c>
      <c r="J43" s="23" t="n">
        <v>642951</v>
      </c>
      <c r="K43" s="42" t="n">
        <v>0</v>
      </c>
    </row>
    <row r="44">
      <c r="A44" s="10" t="n">
        <v>46173</v>
      </c>
      <c r="B44" s="11" t="n">
        <v>1183013.789010001</v>
      </c>
      <c r="C44" s="24" t="n">
        <v>1183013.789010001</v>
      </c>
      <c r="D44" s="24" t="n">
        <v>0</v>
      </c>
      <c r="E44" s="13">
        <f>IF(B44=0,"",D44/B44)</f>
        <v/>
      </c>
      <c r="F44" s="11" t="n">
        <v>0</v>
      </c>
      <c r="G44" s="11" t="n">
        <v>0</v>
      </c>
      <c r="H44" s="11" t="n">
        <v>0</v>
      </c>
      <c r="I44" s="27" t="n">
        <v>4.34156772</v>
      </c>
      <c r="J44" s="23" t="n">
        <v>1602173</v>
      </c>
      <c r="K44" s="42" t="n">
        <v>0</v>
      </c>
    </row>
    <row r="45">
      <c r="A45" s="10" t="n">
        <v>46174</v>
      </c>
      <c r="B45" s="11" t="n">
        <v>1977865.60771</v>
      </c>
      <c r="C45" s="24" t="n">
        <v>1977865.60771</v>
      </c>
      <c r="D45" s="24" t="n">
        <v>0</v>
      </c>
      <c r="E45" s="13">
        <f>IF(B45=0,"",D45/B45)</f>
        <v/>
      </c>
      <c r="F45" s="11" t="n">
        <v>0</v>
      </c>
      <c r="G45" s="11" t="n">
        <v>0</v>
      </c>
      <c r="H45" s="11" t="n">
        <v>0</v>
      </c>
      <c r="I45" s="27" t="n">
        <v>11.01245204</v>
      </c>
      <c r="J45" s="23" t="n">
        <v>539375</v>
      </c>
      <c r="K45" s="42" t="n">
        <v>0</v>
      </c>
    </row>
    <row r="46">
      <c r="A46" s="10" t="n">
        <v>46175</v>
      </c>
      <c r="B46" s="11" t="n">
        <v>1846010.81632</v>
      </c>
      <c r="C46" s="24" t="n">
        <v>1846010.81632</v>
      </c>
      <c r="D46" s="24" t="n">
        <v>0</v>
      </c>
      <c r="E46" s="13">
        <f>IF(B46=0,"",D46/B46)</f>
        <v/>
      </c>
      <c r="F46" s="11" t="n">
        <v>0</v>
      </c>
      <c r="G46" s="11" t="n">
        <v>0</v>
      </c>
      <c r="H46" s="11" t="n">
        <v>0</v>
      </c>
      <c r="I46" s="27" t="n">
        <v>23.80561372</v>
      </c>
      <c r="J46" s="23" t="n">
        <v>463342</v>
      </c>
      <c r="K46" s="42" t="n">
        <v>0</v>
      </c>
    </row>
    <row r="47">
      <c r="A47" s="10" t="n">
        <v>46176</v>
      </c>
      <c r="B47" s="11" t="n">
        <v>2153819.299199998</v>
      </c>
      <c r="C47" s="24" t="n">
        <v>2153819.299199998</v>
      </c>
      <c r="D47" s="24" t="n">
        <v>0</v>
      </c>
      <c r="E47" s="13">
        <f>IF(B47=0,"",D47/B47)</f>
        <v/>
      </c>
      <c r="F47" s="11" t="n">
        <v>0</v>
      </c>
      <c r="G47" s="11" t="n">
        <v>0</v>
      </c>
      <c r="H47" s="11" t="n">
        <v>0</v>
      </c>
      <c r="I47" s="27" t="n">
        <v>51.43126424999999</v>
      </c>
      <c r="J47" s="23" t="n">
        <v>611024</v>
      </c>
      <c r="K47" s="42" t="n">
        <v>0</v>
      </c>
    </row>
    <row r="48">
      <c r="A48" s="10" t="n">
        <v>46177</v>
      </c>
      <c r="B48" s="11" t="n">
        <v>3199160.523150001</v>
      </c>
      <c r="C48" s="24" t="n">
        <v>3199160.523150001</v>
      </c>
      <c r="D48" s="24" t="n">
        <v>0</v>
      </c>
      <c r="E48" s="13">
        <f>IF(B48=0,"",D48/B48)</f>
        <v/>
      </c>
      <c r="F48" s="11" t="n">
        <v>0</v>
      </c>
      <c r="G48" s="11" t="n">
        <v>0</v>
      </c>
      <c r="H48" s="11" t="n">
        <v>0</v>
      </c>
      <c r="I48" s="27" t="n">
        <v>69.90881172000002</v>
      </c>
      <c r="J48" s="23" t="n">
        <v>679929</v>
      </c>
      <c r="K48" s="42" t="n">
        <v>0</v>
      </c>
    </row>
    <row r="49">
      <c r="A49" s="10" t="n">
        <v>46178</v>
      </c>
      <c r="B49" s="11" t="n">
        <v>3703083.41515</v>
      </c>
      <c r="C49" s="24" t="n">
        <v>3703083.41515</v>
      </c>
      <c r="D49" s="24" t="n">
        <v>0</v>
      </c>
      <c r="E49" s="13">
        <f>IF(B49=0,"",D49/B49)</f>
        <v/>
      </c>
      <c r="F49" s="11" t="n">
        <v>0</v>
      </c>
      <c r="G49" s="11" t="n">
        <v>0</v>
      </c>
      <c r="H49" s="11" t="n">
        <v>0</v>
      </c>
      <c r="I49" s="27" t="n">
        <v>32.42920731</v>
      </c>
      <c r="J49" s="23" t="n">
        <v>1044933</v>
      </c>
      <c r="K49" s="42" t="n">
        <v>0</v>
      </c>
    </row>
    <row r="50">
      <c r="A50" s="10" t="n">
        <v>46179</v>
      </c>
      <c r="B50" s="11" t="n">
        <v>3175869.45595</v>
      </c>
      <c r="C50" s="24" t="n">
        <v>3175869.45595</v>
      </c>
      <c r="D50" s="24" t="n">
        <v>0</v>
      </c>
      <c r="E50" s="13">
        <f>IF(B50=0,"",D50/B50)</f>
        <v/>
      </c>
      <c r="F50" s="11" t="n">
        <v>0</v>
      </c>
      <c r="G50" s="11" t="n">
        <v>0</v>
      </c>
      <c r="H50" s="11" t="n">
        <v>0</v>
      </c>
      <c r="I50" s="27" t="n">
        <v>8.49082434</v>
      </c>
      <c r="J50" s="23" t="n">
        <v>683313</v>
      </c>
      <c r="K50" s="42" t="n">
        <v>0</v>
      </c>
    </row>
    <row r="51">
      <c r="A51" s="10" t="n">
        <v>46180</v>
      </c>
      <c r="B51" s="11" t="n">
        <v>2307920.741439995</v>
      </c>
      <c r="C51" s="24" t="n">
        <v>2307920.741439995</v>
      </c>
      <c r="D51" s="24" t="n">
        <v>0</v>
      </c>
      <c r="E51" s="13">
        <f>IF(B51=0,"",D51/B51)</f>
        <v/>
      </c>
      <c r="F51" s="11" t="n">
        <v>0</v>
      </c>
      <c r="G51" s="11" t="n">
        <v>0</v>
      </c>
      <c r="H51" s="11" t="n">
        <v>0</v>
      </c>
      <c r="I51" s="27" t="n">
        <v>16.35658479</v>
      </c>
      <c r="J51" s="23" t="n">
        <v>612296</v>
      </c>
      <c r="K51" s="42" t="n">
        <v>0</v>
      </c>
    </row>
    <row r="52">
      <c r="A52" s="10" t="n">
        <v>46181</v>
      </c>
      <c r="B52" s="11" t="n">
        <v>1644757.720480001</v>
      </c>
      <c r="C52" s="24" t="n">
        <v>1644757.720480001</v>
      </c>
      <c r="D52" s="24" t="n">
        <v>0</v>
      </c>
      <c r="E52" s="13">
        <f>IF(B52=0,"",D52/B52)</f>
        <v/>
      </c>
      <c r="F52" s="11" t="n">
        <v>0</v>
      </c>
      <c r="G52" s="11" t="n">
        <v>0</v>
      </c>
      <c r="H52" s="11" t="n">
        <v>0</v>
      </c>
      <c r="I52" s="27" t="n">
        <v>8.19342473</v>
      </c>
      <c r="J52" s="23" t="n">
        <v>443689</v>
      </c>
      <c r="K52" s="42" t="n">
        <v>0</v>
      </c>
    </row>
    <row r="53">
      <c r="A53" s="10" t="n">
        <v>46182</v>
      </c>
      <c r="B53" s="11" t="n">
        <v>2958253.778669999</v>
      </c>
      <c r="C53" s="24" t="n">
        <v>2958253.778669999</v>
      </c>
      <c r="D53" s="24" t="n">
        <v>0</v>
      </c>
      <c r="E53" s="13">
        <f>IF(B53=0,"",D53/B53)</f>
        <v/>
      </c>
      <c r="F53" s="11" t="n">
        <v>0</v>
      </c>
      <c r="G53" s="11" t="n">
        <v>0</v>
      </c>
      <c r="H53" s="11" t="n">
        <v>0</v>
      </c>
      <c r="I53" s="27" t="n">
        <v>17.72466713</v>
      </c>
      <c r="J53" s="23" t="n">
        <v>839257</v>
      </c>
      <c r="K53" s="42" t="n">
        <v>0</v>
      </c>
    </row>
    <row r="54">
      <c r="A54" s="10" t="n">
        <v>46183</v>
      </c>
      <c r="B54" s="11" t="n">
        <v>1992600.27362</v>
      </c>
      <c r="C54" s="24" t="n">
        <v>1992600.27362</v>
      </c>
      <c r="D54" s="24" t="n">
        <v>0</v>
      </c>
      <c r="E54" s="13">
        <f>IF(B54=0,"",D54/B54)</f>
        <v/>
      </c>
      <c r="F54" s="11" t="n">
        <v>0</v>
      </c>
      <c r="G54" s="11" t="n">
        <v>0</v>
      </c>
      <c r="H54" s="11" t="n">
        <v>0</v>
      </c>
      <c r="I54" s="27" t="n">
        <v>6.01528693</v>
      </c>
      <c r="J54" s="23" t="n">
        <v>326899</v>
      </c>
      <c r="K54" s="42" t="n">
        <v>0</v>
      </c>
    </row>
    <row r="55">
      <c r="A55" s="10" t="n">
        <v>46184</v>
      </c>
      <c r="B55" s="11" t="n">
        <v>3210873.24101</v>
      </c>
      <c r="C55" s="24" t="n">
        <v>3210873.24101</v>
      </c>
      <c r="D55" s="24" t="n">
        <v>0</v>
      </c>
      <c r="E55" s="13">
        <f>IF(B55=0,"",D55/B55)</f>
        <v/>
      </c>
      <c r="F55" s="11" t="n">
        <v>0</v>
      </c>
      <c r="G55" s="11" t="n">
        <v>0</v>
      </c>
      <c r="H55" s="11" t="n">
        <v>0</v>
      </c>
      <c r="I55" s="27" t="n">
        <v>7.811282250000001</v>
      </c>
      <c r="J55" s="23" t="n">
        <v>761587</v>
      </c>
      <c r="K55" s="42" t="n">
        <v>0</v>
      </c>
    </row>
    <row r="56">
      <c r="A56" s="10" t="n">
        <v>46185</v>
      </c>
      <c r="B56" s="11" t="n">
        <v>2238408.756200001</v>
      </c>
      <c r="C56" s="24" t="n">
        <v>2238408.756200001</v>
      </c>
      <c r="D56" s="24" t="n">
        <v>0</v>
      </c>
      <c r="E56" s="13">
        <f>IF(B56=0,"",D56/B56)</f>
        <v/>
      </c>
      <c r="F56" s="11" t="n">
        <v>0</v>
      </c>
      <c r="G56" s="11" t="n">
        <v>0</v>
      </c>
      <c r="H56" s="11" t="n">
        <v>0</v>
      </c>
      <c r="I56" s="27" t="n">
        <v>4.881551890000001</v>
      </c>
      <c r="J56" s="23" t="n">
        <v>627690</v>
      </c>
      <c r="K56" s="42" t="n">
        <v>0</v>
      </c>
    </row>
    <row r="57">
      <c r="A57" s="10" t="n">
        <v>46186</v>
      </c>
      <c r="B57" s="11" t="n">
        <v>2303517.406390001</v>
      </c>
      <c r="C57" s="24" t="n">
        <v>2303517.406390001</v>
      </c>
      <c r="D57" s="24" t="n">
        <v>0</v>
      </c>
      <c r="E57" s="13">
        <f>IF(B57=0,"",D57/B57)</f>
        <v/>
      </c>
      <c r="F57" s="11" t="n">
        <v>0</v>
      </c>
      <c r="G57" s="11" t="n">
        <v>0</v>
      </c>
      <c r="H57" s="11" t="n">
        <v>0</v>
      </c>
      <c r="I57" s="27" t="n">
        <v>1.20822766</v>
      </c>
      <c r="J57" s="23" t="n">
        <v>809144</v>
      </c>
      <c r="K57" s="42" t="n">
        <v>0</v>
      </c>
    </row>
    <row r="58">
      <c r="A58" s="10" t="n">
        <v>46187</v>
      </c>
      <c r="B58" s="11" t="n">
        <v>4526124.29048</v>
      </c>
      <c r="C58" s="24" t="n">
        <v>4526124.29048</v>
      </c>
      <c r="D58" s="24" t="n">
        <v>0</v>
      </c>
      <c r="E58" s="13">
        <f>IF(B58=0,"",D58/B58)</f>
        <v/>
      </c>
      <c r="F58" s="11" t="n">
        <v>0</v>
      </c>
      <c r="G58" s="11" t="n">
        <v>0</v>
      </c>
      <c r="H58" s="11" t="n">
        <v>0</v>
      </c>
      <c r="I58" s="27" t="n">
        <v>5.28797715</v>
      </c>
      <c r="J58" s="23" t="n">
        <v>4007479</v>
      </c>
      <c r="K58" s="42" t="n">
        <v>0</v>
      </c>
    </row>
    <row r="59">
      <c r="A59" s="10" t="n">
        <v>46188</v>
      </c>
      <c r="B59" s="11" t="n">
        <v>2273932.153089999</v>
      </c>
      <c r="C59" s="24" t="n">
        <v>2273932.153089999</v>
      </c>
      <c r="D59" s="24" t="n">
        <v>0</v>
      </c>
      <c r="E59" s="13">
        <f>IF(B59=0,"",D59/B59)</f>
        <v/>
      </c>
      <c r="F59" s="11" t="n">
        <v>0</v>
      </c>
      <c r="G59" s="11" t="n">
        <v>0</v>
      </c>
      <c r="H59" s="11" t="n">
        <v>0</v>
      </c>
      <c r="I59" s="27" t="n">
        <v>4.893538469999999</v>
      </c>
      <c r="J59" s="23" t="n">
        <v>1198333</v>
      </c>
      <c r="K59" s="42" t="n">
        <v>0</v>
      </c>
    </row>
    <row r="60">
      <c r="A60" s="10" t="n">
        <v>46189</v>
      </c>
      <c r="B60" s="11" t="n">
        <v>3510896.723280001</v>
      </c>
      <c r="C60" s="24" t="n">
        <v>3510896.723280001</v>
      </c>
      <c r="D60" s="24" t="n">
        <v>0</v>
      </c>
      <c r="E60" s="13">
        <f>IF(B60=0,"",D60/B60)</f>
        <v/>
      </c>
      <c r="F60" s="11" t="n">
        <v>0</v>
      </c>
      <c r="G60" s="11" t="n">
        <v>0</v>
      </c>
      <c r="H60" s="11" t="n">
        <v>0</v>
      </c>
      <c r="I60" s="27" t="n">
        <v>8.534488419999999</v>
      </c>
      <c r="J60" s="23" t="n">
        <v>808945</v>
      </c>
      <c r="K60" s="42" t="n">
        <v>0</v>
      </c>
    </row>
    <row r="61">
      <c r="A61" s="10" t="n">
        <v>46190</v>
      </c>
      <c r="B61" s="11" t="n">
        <v>3927455.68507</v>
      </c>
      <c r="C61" s="24" t="n">
        <v>3927455.68507</v>
      </c>
      <c r="D61" s="24" t="n">
        <v>0</v>
      </c>
      <c r="E61" s="13">
        <f>IF(B61=0,"",D61/B61)</f>
        <v/>
      </c>
      <c r="F61" s="11" t="n">
        <v>0</v>
      </c>
      <c r="G61" s="11" t="n">
        <v>0</v>
      </c>
      <c r="H61" s="11" t="n">
        <v>0</v>
      </c>
      <c r="I61" s="27" t="n">
        <v>36.81218671</v>
      </c>
      <c r="J61" s="23" t="n">
        <v>1516469</v>
      </c>
      <c r="K61" s="42" t="n">
        <v>0</v>
      </c>
    </row>
    <row r="62">
      <c r="A62" s="10" t="n">
        <v>46191</v>
      </c>
      <c r="B62" s="11" t="n">
        <v>3337660.115089998</v>
      </c>
      <c r="C62" s="24" t="n">
        <v>3337660.115089998</v>
      </c>
      <c r="D62" s="24" t="n">
        <v>0</v>
      </c>
      <c r="E62" s="13">
        <f>IF(B62=0,"",D62/B62)</f>
        <v/>
      </c>
      <c r="F62" s="11" t="n">
        <v>0</v>
      </c>
      <c r="G62" s="11" t="n">
        <v>0</v>
      </c>
      <c r="H62" s="11" t="n">
        <v>0</v>
      </c>
      <c r="I62" s="27" t="n">
        <v>15.97003377</v>
      </c>
      <c r="J62" s="23" t="n">
        <v>1692987</v>
      </c>
      <c r="K62" s="42" t="n">
        <v>0</v>
      </c>
    </row>
    <row r="63">
      <c r="A63" s="10" t="n">
        <v>46192</v>
      </c>
      <c r="B63" s="11" t="n">
        <v>2764811.708060002</v>
      </c>
      <c r="C63" s="24" t="n">
        <v>2764811.708060002</v>
      </c>
      <c r="D63" s="24" t="n">
        <v>0</v>
      </c>
      <c r="E63" s="13">
        <f>IF(B63=0,"",D63/B63)</f>
        <v/>
      </c>
      <c r="F63" s="11" t="n">
        <v>0</v>
      </c>
      <c r="G63" s="11" t="n">
        <v>0</v>
      </c>
      <c r="H63" s="11" t="n">
        <v>0</v>
      </c>
      <c r="I63" s="27" t="n">
        <v>6.806466240000001</v>
      </c>
      <c r="J63" s="23" t="n">
        <v>905295</v>
      </c>
      <c r="K63" s="42" t="n">
        <v>0</v>
      </c>
    </row>
    <row r="64">
      <c r="A64" s="10" t="n">
        <v>46193</v>
      </c>
      <c r="B64" s="11" t="n">
        <v>4529448.436159997</v>
      </c>
      <c r="C64" s="24" t="n">
        <v>4529448.436159997</v>
      </c>
      <c r="D64" s="24" t="n">
        <v>0</v>
      </c>
      <c r="E64" s="13">
        <f>IF(B64=0,"",D64/B64)</f>
        <v/>
      </c>
      <c r="F64" s="11" t="n">
        <v>0</v>
      </c>
      <c r="G64" s="11" t="n">
        <v>0</v>
      </c>
      <c r="H64" s="11" t="n">
        <v>0</v>
      </c>
      <c r="I64" s="27" t="n">
        <v>7.03950349</v>
      </c>
      <c r="J64" s="23" t="n">
        <v>945325</v>
      </c>
      <c r="K64" s="42" t="n">
        <v>0</v>
      </c>
    </row>
    <row r="65">
      <c r="A65" s="10" t="n">
        <v>46194</v>
      </c>
      <c r="B65" s="11" t="n">
        <v>4701216.851689997</v>
      </c>
      <c r="C65" s="24" t="n">
        <v>4701216.851689997</v>
      </c>
      <c r="D65" s="24" t="n">
        <v>0</v>
      </c>
      <c r="E65" s="13">
        <f>IF(B65=0,"",D65/B65)</f>
        <v/>
      </c>
      <c r="F65" s="11" t="n">
        <v>0</v>
      </c>
      <c r="G65" s="11" t="n">
        <v>0</v>
      </c>
      <c r="H65" s="11" t="n">
        <v>0</v>
      </c>
      <c r="I65" s="27" t="n">
        <v>70.60184874999999</v>
      </c>
      <c r="J65" s="23" t="n">
        <v>1646332</v>
      </c>
      <c r="K65" s="42" t="n">
        <v>0</v>
      </c>
    </row>
    <row r="66">
      <c r="A66" s="10" t="n">
        <v>46195</v>
      </c>
      <c r="B66" s="11" t="n">
        <v>4402204.279669996</v>
      </c>
      <c r="C66" s="24" t="n">
        <v>4402204.279669996</v>
      </c>
      <c r="D66" s="24" t="n">
        <v>0</v>
      </c>
      <c r="E66" s="13">
        <f>IF(B66=0,"",D66/B66)</f>
        <v/>
      </c>
      <c r="F66" s="11" t="n">
        <v>0</v>
      </c>
      <c r="G66" s="11" t="n">
        <v>0</v>
      </c>
      <c r="H66" s="11" t="n">
        <v>0</v>
      </c>
      <c r="I66" s="27" t="n">
        <v>6.19476257</v>
      </c>
      <c r="J66" s="23" t="n">
        <v>1388120</v>
      </c>
      <c r="K66" s="42" t="n">
        <v>0</v>
      </c>
    </row>
    <row r="67">
      <c r="A67" s="10" t="n">
        <v>46196</v>
      </c>
      <c r="B67" s="11" t="n">
        <v>4148965.5828</v>
      </c>
      <c r="C67" s="24" t="n">
        <v>4148965.5828</v>
      </c>
      <c r="D67" s="24" t="n">
        <v>0</v>
      </c>
      <c r="E67" s="13">
        <f>IF(B67=0,"",D67/B67)</f>
        <v/>
      </c>
      <c r="F67" s="11" t="n">
        <v>0</v>
      </c>
      <c r="G67" s="11" t="n">
        <v>0</v>
      </c>
      <c r="H67" s="11" t="n">
        <v>0</v>
      </c>
      <c r="I67" s="27" t="n">
        <v>9.994603939999999</v>
      </c>
      <c r="J67" s="23" t="n">
        <v>1883710</v>
      </c>
      <c r="K67" s="42" t="n">
        <v>0</v>
      </c>
    </row>
    <row r="68">
      <c r="A68" s="10" t="n">
        <v>46197</v>
      </c>
      <c r="B68" s="11" t="n">
        <v>4485157.37438</v>
      </c>
      <c r="C68" s="24" t="n">
        <v>4485157.37438</v>
      </c>
      <c r="D68" s="24" t="n">
        <v>0</v>
      </c>
      <c r="E68" s="13">
        <f>IF(B68=0,"",D68/B68)</f>
        <v/>
      </c>
      <c r="F68" s="11" t="n">
        <v>0</v>
      </c>
      <c r="G68" s="11" t="n">
        <v>0</v>
      </c>
      <c r="H68" s="11" t="n">
        <v>0</v>
      </c>
      <c r="I68" s="27" t="n">
        <v>10.8718458</v>
      </c>
      <c r="J68" s="23" t="n">
        <v>895128</v>
      </c>
      <c r="K68" s="42" t="n">
        <v>0</v>
      </c>
    </row>
    <row r="69">
      <c r="A69" s="10" t="n">
        <v>46198</v>
      </c>
      <c r="B69" s="11" t="n">
        <v>5941377.108710008</v>
      </c>
      <c r="C69" s="24" t="n">
        <v>5941377.108710008</v>
      </c>
      <c r="D69" s="24" t="n">
        <v>0</v>
      </c>
      <c r="E69" s="13">
        <f>IF(B69=0,"",D69/B69)</f>
        <v/>
      </c>
      <c r="F69" s="11" t="n">
        <v>0</v>
      </c>
      <c r="G69" s="11" t="n">
        <v>0</v>
      </c>
      <c r="H69" s="11" t="n">
        <v>0</v>
      </c>
      <c r="I69" s="27" t="n">
        <v>75.67997428999999</v>
      </c>
      <c r="J69" s="23" t="n">
        <v>1060001</v>
      </c>
      <c r="K69" s="42" t="n">
        <v>0</v>
      </c>
    </row>
    <row r="70">
      <c r="A70" s="10" t="n">
        <v>46199</v>
      </c>
      <c r="B70" s="11" t="n">
        <v>6246317.923990004</v>
      </c>
      <c r="C70" s="24" t="n">
        <v>6246317.923990004</v>
      </c>
      <c r="D70" s="24" t="n">
        <v>0</v>
      </c>
      <c r="E70" s="13">
        <f>IF(B70=0,"",D70/B70)</f>
        <v/>
      </c>
      <c r="F70" s="11" t="n">
        <v>0</v>
      </c>
      <c r="G70" s="11" t="n">
        <v>0</v>
      </c>
      <c r="H70" s="11" t="n">
        <v>0</v>
      </c>
      <c r="I70" s="27" t="n">
        <v>299.0765023000001</v>
      </c>
      <c r="J70" s="23" t="n">
        <v>2253427</v>
      </c>
      <c r="K70" s="42" t="n">
        <v>0</v>
      </c>
    </row>
    <row r="71">
      <c r="A71" s="10" t="n">
        <v>46200</v>
      </c>
      <c r="B71" s="11" t="n">
        <v>12449448.09180999</v>
      </c>
      <c r="C71" s="24" t="n">
        <v>12449448.09180999</v>
      </c>
      <c r="D71" s="24" t="n">
        <v>0</v>
      </c>
      <c r="E71" s="13">
        <f>IF(B71=0,"",D71/B71)</f>
        <v/>
      </c>
      <c r="F71" s="11" t="n">
        <v>0</v>
      </c>
      <c r="G71" s="11" t="n">
        <v>0</v>
      </c>
      <c r="H71" s="11" t="n">
        <v>0</v>
      </c>
      <c r="I71" s="27" t="n">
        <v>465.4652356600002</v>
      </c>
      <c r="J71" s="23" t="n">
        <v>758784</v>
      </c>
      <c r="K71" s="42" t="n">
        <v>0</v>
      </c>
    </row>
    <row r="72">
      <c r="A72" s="10" t="n">
        <v>46201</v>
      </c>
      <c r="B72" s="11" t="n">
        <v>4937856.040020003</v>
      </c>
      <c r="C72" s="24" t="n">
        <v>4937856.040020003</v>
      </c>
      <c r="D72" s="24" t="n">
        <v>0</v>
      </c>
      <c r="E72" s="13">
        <f>IF(B72=0,"",D72/B72)</f>
        <v/>
      </c>
      <c r="F72" s="11" t="n">
        <v>0</v>
      </c>
      <c r="G72" s="11" t="n">
        <v>0</v>
      </c>
      <c r="H72" s="11" t="n">
        <v>0</v>
      </c>
      <c r="I72" s="27" t="n">
        <v>504.4918633800001</v>
      </c>
      <c r="J72" s="23" t="n">
        <v>1219721</v>
      </c>
      <c r="K72" s="42" t="n">
        <v>0</v>
      </c>
    </row>
    <row r="73">
      <c r="A73" s="10" t="n">
        <v>46202</v>
      </c>
      <c r="B73" s="11" t="n">
        <v>5143186.165389988</v>
      </c>
      <c r="C73" s="24" t="n">
        <v>5143186.165389988</v>
      </c>
      <c r="D73" s="24" t="n">
        <v>0</v>
      </c>
      <c r="E73" s="13">
        <f>IF(B73=0,"",D73/B73)</f>
        <v/>
      </c>
      <c r="F73" s="11" t="n">
        <v>0</v>
      </c>
      <c r="G73" s="11" t="n">
        <v>0</v>
      </c>
      <c r="H73" s="11" t="n">
        <v>0</v>
      </c>
      <c r="I73" s="27" t="n">
        <v>256.38756133</v>
      </c>
      <c r="J73" s="23" t="n">
        <v>1159936</v>
      </c>
      <c r="K73" s="42" t="n">
        <v>0</v>
      </c>
    </row>
    <row r="74">
      <c r="A74" s="10" t="n">
        <v>46203</v>
      </c>
      <c r="B74" s="11" t="n">
        <v>5452152.553870003</v>
      </c>
      <c r="C74" s="24" t="n">
        <v>5452152.553870003</v>
      </c>
      <c r="D74" s="24" t="n">
        <v>0</v>
      </c>
      <c r="E74" s="13">
        <f>IF(B74=0,"",D74/B74)</f>
        <v/>
      </c>
      <c r="F74" s="11" t="n">
        <v>0</v>
      </c>
      <c r="G74" s="11" t="n">
        <v>0</v>
      </c>
      <c r="H74" s="11" t="n">
        <v>0</v>
      </c>
      <c r="I74" s="27" t="n">
        <v>680.5884351399998</v>
      </c>
      <c r="J74" s="23" t="n">
        <v>1151068</v>
      </c>
      <c r="K74" s="42" t="n">
        <v>0</v>
      </c>
    </row>
    <row r="75">
      <c r="A75" s="10" t="n">
        <v>46204</v>
      </c>
      <c r="B75" s="11" t="n">
        <v>4678191.963279996</v>
      </c>
      <c r="C75" s="24" t="n">
        <v>4678191.963279996</v>
      </c>
      <c r="D75" s="24" t="n">
        <v>0</v>
      </c>
      <c r="E75" s="13">
        <f>IF(B75=0,"",D75/B75)</f>
        <v/>
      </c>
      <c r="F75" s="11" t="n">
        <v>0</v>
      </c>
      <c r="G75" s="11" t="n">
        <v>0</v>
      </c>
      <c r="H75" s="11" t="n">
        <v>0</v>
      </c>
      <c r="I75" s="27" t="n">
        <v>395.9982626899996</v>
      </c>
      <c r="J75" s="23" t="n">
        <v>1468890</v>
      </c>
      <c r="K75" s="42" t="n">
        <v>0</v>
      </c>
    </row>
    <row r="76">
      <c r="A76" s="10" t="n">
        <v>46205</v>
      </c>
      <c r="B76" s="11" t="n">
        <v>4590933.698210002</v>
      </c>
      <c r="C76" s="24" t="n">
        <v>4590933.698210002</v>
      </c>
      <c r="D76" s="24" t="n">
        <v>0</v>
      </c>
      <c r="E76" s="13">
        <f>IF(B76=0,"",D76/B76)</f>
        <v/>
      </c>
      <c r="F76" s="11" t="n">
        <v>0</v>
      </c>
      <c r="G76" s="11" t="n">
        <v>0</v>
      </c>
      <c r="H76" s="11" t="n">
        <v>0</v>
      </c>
      <c r="I76" s="27" t="n">
        <v>603.1970371400001</v>
      </c>
      <c r="J76" s="23" t="n">
        <v>832692</v>
      </c>
      <c r="K76" s="42" t="n">
        <v>0</v>
      </c>
    </row>
    <row r="77">
      <c r="A77" s="10" t="n">
        <v>46206</v>
      </c>
      <c r="B77" s="11" t="n">
        <v>4860878.591959996</v>
      </c>
      <c r="C77" s="24" t="n">
        <v>4860878.591959996</v>
      </c>
      <c r="D77" s="24" t="n">
        <v>0</v>
      </c>
      <c r="E77" s="13">
        <f>IF(B77=0,"",D77/B77)</f>
        <v/>
      </c>
      <c r="F77" s="11" t="n">
        <v>0</v>
      </c>
      <c r="G77" s="11" t="n">
        <v>0</v>
      </c>
      <c r="H77" s="11" t="n">
        <v>0</v>
      </c>
      <c r="I77" s="27" t="n">
        <v>586.7711706699999</v>
      </c>
      <c r="J77" s="23" t="n">
        <v>1074295</v>
      </c>
      <c r="K77" s="42" t="n">
        <v>0</v>
      </c>
    </row>
    <row r="78">
      <c r="A78" s="10" t="n">
        <v>46207</v>
      </c>
      <c r="B78" s="11" t="n">
        <v>5188915.518409997</v>
      </c>
      <c r="C78" s="24" t="n">
        <v>5188915.518409997</v>
      </c>
      <c r="D78" s="24" t="n">
        <v>0</v>
      </c>
      <c r="E78" s="13">
        <f>IF(B78=0,"",D78/B78)</f>
        <v/>
      </c>
      <c r="F78" s="11" t="n">
        <v>0</v>
      </c>
      <c r="G78" s="11" t="n">
        <v>0</v>
      </c>
      <c r="H78" s="11" t="n">
        <v>0</v>
      </c>
      <c r="I78" s="27" t="n">
        <v>483.0935439</v>
      </c>
      <c r="J78" s="23" t="n">
        <v>995412</v>
      </c>
      <c r="K78" s="42" t="n">
        <v>0</v>
      </c>
    </row>
    <row r="79">
      <c r="A79" s="10" t="n">
        <v>46208</v>
      </c>
      <c r="B79" s="11" t="n">
        <v>3597246.963150001</v>
      </c>
      <c r="C79" s="24" t="n">
        <v>3597246.963150001</v>
      </c>
      <c r="D79" s="24" t="n">
        <v>0</v>
      </c>
      <c r="E79" s="13">
        <f>IF(B79=0,"",D79/B79)</f>
        <v/>
      </c>
      <c r="F79" s="11" t="n">
        <v>0</v>
      </c>
      <c r="G79" s="11" t="n">
        <v>0</v>
      </c>
      <c r="H79" s="11" t="n">
        <v>0</v>
      </c>
      <c r="I79" s="27" t="n">
        <v>214.9984099</v>
      </c>
      <c r="J79" s="23" t="n">
        <v>1629059</v>
      </c>
      <c r="K79" s="42" t="n">
        <v>0</v>
      </c>
    </row>
    <row r="80">
      <c r="A80" s="10" t="n">
        <v>46209</v>
      </c>
      <c r="B80" s="11" t="n">
        <v>4534297.56219</v>
      </c>
      <c r="C80" s="24" t="n">
        <v>4534297.56219</v>
      </c>
      <c r="D80" s="24" t="n">
        <v>0</v>
      </c>
      <c r="E80" s="13">
        <f>IF(B80=0,"",D80/B80)</f>
        <v/>
      </c>
      <c r="F80" s="11" t="n">
        <v>0</v>
      </c>
      <c r="G80" s="11" t="n">
        <v>0</v>
      </c>
      <c r="H80" s="11" t="n">
        <v>0</v>
      </c>
      <c r="I80" s="27" t="n">
        <v>338.0311838900001</v>
      </c>
      <c r="J80" s="23" t="n">
        <v>1804405</v>
      </c>
      <c r="K80" s="42" t="n">
        <v>0</v>
      </c>
    </row>
    <row r="81">
      <c r="A81" s="10" t="n">
        <v>46210</v>
      </c>
      <c r="B81" s="11" t="n">
        <v>6653676.952489998</v>
      </c>
      <c r="C81" s="24" t="n">
        <v>6653676.952489998</v>
      </c>
      <c r="D81" s="24" t="n">
        <v>0</v>
      </c>
      <c r="E81" s="13">
        <f>IF(B81=0,"",D81/B81)</f>
        <v/>
      </c>
      <c r="F81" s="11" t="n">
        <v>0</v>
      </c>
      <c r="G81" s="11" t="n">
        <v>0</v>
      </c>
      <c r="H81" s="11" t="n">
        <v>0</v>
      </c>
      <c r="I81" s="27" t="n">
        <v>377.0716807700001</v>
      </c>
      <c r="J81" s="23" t="n">
        <v>3390104</v>
      </c>
      <c r="K81" s="42" t="n">
        <v>0</v>
      </c>
    </row>
    <row r="82">
      <c r="A82" s="10" t="n">
        <v>46211</v>
      </c>
      <c r="B82" s="11" t="n">
        <v>2088686.990640001</v>
      </c>
      <c r="C82" s="24" t="n">
        <v>2088686.990640001</v>
      </c>
      <c r="D82" s="24" t="n">
        <v>0</v>
      </c>
      <c r="E82" s="13">
        <f>IF(B82=0,"",D82/B82)</f>
        <v/>
      </c>
      <c r="F82" s="11" t="n">
        <v>0</v>
      </c>
      <c r="G82" s="11" t="n">
        <v>0</v>
      </c>
      <c r="H82" s="11" t="n">
        <v>0</v>
      </c>
      <c r="I82" s="27" t="n">
        <v>268.3205042799999</v>
      </c>
      <c r="J82" s="23" t="n">
        <v>854571</v>
      </c>
      <c r="K82" s="42" t="n">
        <v>0</v>
      </c>
    </row>
    <row r="83">
      <c r="A83" s="10" t="n">
        <v>46212</v>
      </c>
      <c r="B83" s="11" t="n">
        <v>5202696.891809998</v>
      </c>
      <c r="C83" s="24" t="n">
        <v>5202696.891809998</v>
      </c>
      <c r="D83" s="24" t="n">
        <v>0</v>
      </c>
      <c r="E83" s="13">
        <f>IF(B83=0,"",D83/B83)</f>
        <v/>
      </c>
      <c r="F83" s="11" t="n">
        <v>0</v>
      </c>
      <c r="G83" s="11" t="n">
        <v>0</v>
      </c>
      <c r="H83" s="11" t="n">
        <v>0</v>
      </c>
      <c r="I83" s="27" t="n">
        <v>640.9157148799986</v>
      </c>
      <c r="J83" s="23" t="n">
        <v>192296</v>
      </c>
      <c r="K83" s="42" t="n">
        <v>0</v>
      </c>
    </row>
    <row r="84">
      <c r="A84" s="10" t="n">
        <v>46213</v>
      </c>
      <c r="B84" s="11" t="n">
        <v>3858193.43029</v>
      </c>
      <c r="C84" s="24" t="n">
        <v>3858193.43029</v>
      </c>
      <c r="D84" s="24" t="n">
        <v>0</v>
      </c>
      <c r="E84" s="13">
        <f>IF(B84=0,"",D84/B84)</f>
        <v/>
      </c>
      <c r="F84" s="11" t="n">
        <v>0</v>
      </c>
      <c r="G84" s="11" t="n">
        <v>0</v>
      </c>
      <c r="H84" s="11" t="n">
        <v>0</v>
      </c>
      <c r="I84" s="27" t="n">
        <v>317.48179339</v>
      </c>
      <c r="J84" s="23" t="n">
        <v>998494</v>
      </c>
      <c r="K84" s="42" t="n">
        <v>0</v>
      </c>
    </row>
    <row r="85">
      <c r="A85" s="10" t="n">
        <v>46214</v>
      </c>
      <c r="B85" s="11" t="n">
        <v>4475860.097009998</v>
      </c>
      <c r="C85" s="24" t="n">
        <v>4475860.097009998</v>
      </c>
      <c r="D85" s="24" t="n">
        <v>0</v>
      </c>
      <c r="E85" s="13">
        <f>IF(B85=0,"",D85/B85)</f>
        <v/>
      </c>
      <c r="F85" s="11" t="n">
        <v>0</v>
      </c>
      <c r="G85" s="11" t="n">
        <v>0</v>
      </c>
      <c r="H85" s="11" t="n">
        <v>0</v>
      </c>
      <c r="I85" s="27" t="n">
        <v>222.76719281</v>
      </c>
      <c r="J85" s="23" t="n">
        <v>1515345</v>
      </c>
      <c r="K85" s="42" t="n">
        <v>0</v>
      </c>
    </row>
    <row r="86">
      <c r="A86" s="10" t="n">
        <v>46215</v>
      </c>
      <c r="B86" s="11" t="n">
        <v>4384327.752660003</v>
      </c>
      <c r="C86" s="24" t="n">
        <v>4384327.752660003</v>
      </c>
      <c r="D86" s="24" t="n">
        <v>0</v>
      </c>
      <c r="E86" s="13">
        <f>IF(B86=0,"",D86/B86)</f>
        <v/>
      </c>
      <c r="F86" s="11" t="n">
        <v>0</v>
      </c>
      <c r="G86" s="11" t="n">
        <v>0</v>
      </c>
      <c r="H86" s="11" t="n">
        <v>0</v>
      </c>
      <c r="I86" s="27" t="n">
        <v>328.51938842</v>
      </c>
      <c r="J86" s="23" t="n">
        <v>2285767</v>
      </c>
      <c r="K86" s="42" t="n">
        <v>0</v>
      </c>
    </row>
    <row r="87">
      <c r="A87" s="10" t="n">
        <v>46216</v>
      </c>
      <c r="B87" s="11" t="n">
        <v>1928658.112489999</v>
      </c>
      <c r="C87" s="24" t="n">
        <v>1928658.112489999</v>
      </c>
      <c r="D87" s="24" t="n">
        <v>0</v>
      </c>
      <c r="E87" s="13">
        <f>IF(B87=0,"",D87/B87)</f>
        <v/>
      </c>
      <c r="F87" s="11" t="n">
        <v>0</v>
      </c>
      <c r="G87" s="11" t="n">
        <v>0</v>
      </c>
      <c r="H87" s="11" t="n">
        <v>0</v>
      </c>
      <c r="I87" s="27" t="n">
        <v>126.82390787</v>
      </c>
      <c r="J87" s="23" t="n">
        <v>226702</v>
      </c>
      <c r="K87" s="42" t="n">
        <v>0</v>
      </c>
    </row>
    <row r="88">
      <c r="A88" s="10" t="n">
        <v>46217</v>
      </c>
      <c r="B88" s="11" t="n">
        <v>6559194.85138</v>
      </c>
      <c r="C88" s="24" t="n">
        <v>6559194.85138</v>
      </c>
      <c r="D88" s="24" t="n">
        <v>0</v>
      </c>
      <c r="E88" s="13">
        <f>IF(B88=0,"",D88/B88)</f>
        <v/>
      </c>
      <c r="F88" s="11" t="n">
        <v>0</v>
      </c>
      <c r="G88" s="11" t="n">
        <v>0</v>
      </c>
      <c r="H88" s="11" t="n">
        <v>0</v>
      </c>
      <c r="I88" s="27" t="n">
        <v>206.9275183300001</v>
      </c>
      <c r="J88" s="23" t="n">
        <v>3738035</v>
      </c>
      <c r="K88" s="42" t="n">
        <v>0</v>
      </c>
    </row>
    <row r="89">
      <c r="A89" s="10" t="n">
        <v>46218</v>
      </c>
      <c r="B89" s="11" t="n">
        <v>5949782.56568</v>
      </c>
      <c r="C89" s="24" t="n">
        <v>5949782.56568</v>
      </c>
      <c r="D89" s="24" t="n">
        <v>0</v>
      </c>
      <c r="E89" s="13">
        <f>IF(B89=0,"",D89/B89)</f>
        <v/>
      </c>
      <c r="F89" s="11" t="n">
        <v>0</v>
      </c>
      <c r="G89" s="11" t="n">
        <v>0</v>
      </c>
      <c r="H89" s="11" t="n">
        <v>0</v>
      </c>
      <c r="I89" s="27" t="n">
        <v>143.7779946700001</v>
      </c>
      <c r="J89" s="23" t="n">
        <v>563301</v>
      </c>
      <c r="K89" s="42" t="n">
        <v>0</v>
      </c>
    </row>
    <row r="90">
      <c r="A90" s="10" t="n">
        <v>46219</v>
      </c>
      <c r="B90" s="11" t="n">
        <v>2159535.637409999</v>
      </c>
      <c r="C90" s="24" t="n">
        <v>2159535.637409999</v>
      </c>
      <c r="D90" s="24" t="n">
        <v>0</v>
      </c>
      <c r="E90" s="13">
        <f>IF(B90=0,"",D90/B90)</f>
        <v/>
      </c>
      <c r="F90" s="11" t="n">
        <v>0</v>
      </c>
      <c r="G90" s="11" t="n">
        <v>0</v>
      </c>
      <c r="H90" s="11" t="n">
        <v>0</v>
      </c>
      <c r="I90" s="27" t="n">
        <v>49.90369553</v>
      </c>
      <c r="J90" s="23" t="n">
        <v>1804329</v>
      </c>
      <c r="K90" s="42" t="n">
        <v>0</v>
      </c>
    </row>
    <row r="91">
      <c r="A91" s="10" t="n">
        <v>46220</v>
      </c>
      <c r="B91" s="11" t="n">
        <v>2159036.194600001</v>
      </c>
      <c r="C91" s="24" t="n">
        <v>2159036.194600001</v>
      </c>
      <c r="D91" s="24" t="n">
        <v>0</v>
      </c>
      <c r="E91" s="13">
        <f>IF(B91=0,"",D91/B91)</f>
        <v/>
      </c>
      <c r="F91" s="11" t="n">
        <v>0</v>
      </c>
      <c r="G91" s="11" t="n">
        <v>0</v>
      </c>
      <c r="H91" s="11" t="n">
        <v>0</v>
      </c>
      <c r="I91" s="27" t="n">
        <v>49.75526545</v>
      </c>
      <c r="J91" s="23" t="n">
        <v>263655</v>
      </c>
      <c r="K91" s="42" t="n">
        <v>0</v>
      </c>
    </row>
    <row r="92">
      <c r="A92" s="10" t="n">
        <v>46221</v>
      </c>
      <c r="B92" s="11" t="n">
        <v>3968423.954740001</v>
      </c>
      <c r="C92" s="24" t="n">
        <v>3968423.954740001</v>
      </c>
      <c r="D92" s="24" t="n">
        <v>0</v>
      </c>
      <c r="E92" s="13">
        <f>IF(B92=0,"",D92/B92)</f>
        <v/>
      </c>
      <c r="F92" s="11" t="n">
        <v>0</v>
      </c>
      <c r="G92" s="11" t="n">
        <v>0</v>
      </c>
      <c r="H92" s="11" t="n">
        <v>0</v>
      </c>
      <c r="I92" s="27" t="n">
        <v>111.14393214</v>
      </c>
      <c r="J92" s="23" t="n">
        <v>159451</v>
      </c>
      <c r="K92" s="42" t="n">
        <v>0</v>
      </c>
    </row>
    <row r="93">
      <c r="A93" s="10" t="n">
        <v>46222</v>
      </c>
      <c r="B93" s="11" t="n">
        <v>5641595.039800003</v>
      </c>
      <c r="C93" s="24" t="n">
        <v>5641595.039800003</v>
      </c>
      <c r="D93" s="24" t="n">
        <v>0</v>
      </c>
      <c r="E93" s="13">
        <f>IF(B93=0,"",D93/B93)</f>
        <v/>
      </c>
      <c r="F93" s="11" t="n">
        <v>0</v>
      </c>
      <c r="G93" s="11" t="n">
        <v>0</v>
      </c>
      <c r="H93" s="11" t="n">
        <v>0</v>
      </c>
      <c r="I93" s="27" t="n">
        <v>260.4393932900001</v>
      </c>
      <c r="J93" s="23" t="n">
        <v>2200290</v>
      </c>
      <c r="K93" s="42" t="n">
        <v>0</v>
      </c>
    </row>
    <row r="94">
      <c r="A94" s="10" t="n">
        <v>46223</v>
      </c>
      <c r="B94" s="11" t="n">
        <v>1303997.82225</v>
      </c>
      <c r="C94" s="24" t="n">
        <v>1303997.82225</v>
      </c>
      <c r="D94" s="24" t="n">
        <v>0</v>
      </c>
      <c r="E94" s="13">
        <f>IF(B94=0,"",D94/B94)</f>
        <v/>
      </c>
      <c r="F94" s="11" t="n">
        <v>0</v>
      </c>
      <c r="G94" s="11" t="n">
        <v>0</v>
      </c>
      <c r="H94" s="11" t="n">
        <v>0</v>
      </c>
      <c r="I94" s="27" t="n">
        <v>20.69410032</v>
      </c>
      <c r="J94" s="23" t="n">
        <v>4402024</v>
      </c>
      <c r="K94" s="42" t="n">
        <v>0</v>
      </c>
    </row>
    <row r="95">
      <c r="A95" s="10" t="n">
        <v>46224</v>
      </c>
      <c r="B95" s="11" t="n">
        <v>573677.8418699999</v>
      </c>
      <c r="C95" s="24" t="n">
        <v>573677.8418699999</v>
      </c>
      <c r="D95" s="24" t="n">
        <v>0</v>
      </c>
      <c r="E95" s="13">
        <f>IF(B95=0,"",D95/B95)</f>
        <v/>
      </c>
      <c r="F95" s="11" t="n">
        <v>0</v>
      </c>
      <c r="G95" s="11" t="n">
        <v>0</v>
      </c>
      <c r="H95" s="11" t="n">
        <v>0</v>
      </c>
      <c r="I95" s="27" t="n">
        <v>7.636263410000001</v>
      </c>
      <c r="J95" s="23" t="n">
        <v>218819</v>
      </c>
      <c r="K95" s="42" t="n">
        <v>0</v>
      </c>
    </row>
    <row r="96">
      <c r="A96" s="10" t="n">
        <v>46225</v>
      </c>
      <c r="B96" s="11" t="n">
        <v>1071094.54951</v>
      </c>
      <c r="C96" s="24" t="n">
        <v>1071094.54951</v>
      </c>
      <c r="D96" s="24" t="n">
        <v>0</v>
      </c>
      <c r="E96" s="13">
        <f>IF(B96=0,"",D96/B96)</f>
        <v/>
      </c>
      <c r="F96" s="11" t="n">
        <v>0</v>
      </c>
      <c r="G96" s="11" t="n">
        <v>0</v>
      </c>
      <c r="H96" s="11" t="n">
        <v>0</v>
      </c>
      <c r="I96" s="27" t="n">
        <v>39.96877206999999</v>
      </c>
      <c r="J96" s="23" t="n">
        <v>225171</v>
      </c>
      <c r="K96" s="42" t="n">
        <v>0</v>
      </c>
    </row>
    <row r="97">
      <c r="A97" s="10" t="n">
        <v>46226</v>
      </c>
      <c r="B97" s="11" t="n">
        <v>821489.5735699999</v>
      </c>
      <c r="C97" s="24" t="n">
        <v>821489.5735699999</v>
      </c>
      <c r="D97" s="24" t="n">
        <v>0</v>
      </c>
      <c r="E97" s="13">
        <f>IF(B97=0,"",D97/B97)</f>
        <v/>
      </c>
      <c r="F97" s="11" t="n">
        <v>0</v>
      </c>
      <c r="G97" s="11" t="n">
        <v>0</v>
      </c>
      <c r="H97" s="11" t="n">
        <v>0</v>
      </c>
      <c r="I97" s="27" t="n">
        <v>19.31165958</v>
      </c>
      <c r="J97" s="23" t="n">
        <v>210504</v>
      </c>
      <c r="K97" s="42" t="n">
        <v>0</v>
      </c>
    </row>
    <row r="98">
      <c r="A98" s="10" t="n">
        <v>46227</v>
      </c>
      <c r="B98" s="11" t="n">
        <v>828670.1956799998</v>
      </c>
      <c r="C98" s="24" t="n">
        <v>828670.1956799998</v>
      </c>
      <c r="D98" s="24" t="n">
        <v>0</v>
      </c>
      <c r="E98" s="13">
        <f>IF(B98=0,"",D98/B98)</f>
        <v/>
      </c>
      <c r="F98" s="11" t="n">
        <v>0</v>
      </c>
      <c r="G98" s="11" t="n">
        <v>0</v>
      </c>
      <c r="H98" s="11" t="n">
        <v>0</v>
      </c>
      <c r="I98" s="27" t="n">
        <v>25.08815951</v>
      </c>
      <c r="J98" s="23" t="n">
        <v>270386</v>
      </c>
      <c r="K98" s="42" t="n">
        <v>0</v>
      </c>
    </row>
    <row r="99">
      <c r="A99" s="10" t="n">
        <v>46228</v>
      </c>
      <c r="B99" s="11" t="n">
        <v>440373.8508399999</v>
      </c>
      <c r="C99" s="24" t="n">
        <v>440373.8508399999</v>
      </c>
      <c r="D99" s="24" t="n">
        <v>0</v>
      </c>
      <c r="E99" s="13">
        <f>IF(B99=0,"",D99/B99)</f>
        <v/>
      </c>
      <c r="F99" s="11" t="n">
        <v>0</v>
      </c>
      <c r="G99" s="11" t="n">
        <v>0</v>
      </c>
      <c r="H99" s="11" t="n">
        <v>0</v>
      </c>
      <c r="I99" s="27" t="n">
        <v>19.71240509</v>
      </c>
      <c r="J99" s="23" t="n">
        <v>140360</v>
      </c>
      <c r="K99" s="42" t="n">
        <v>0</v>
      </c>
    </row>
    <row r="100">
      <c r="A100" s="10" t="n">
        <v>46229</v>
      </c>
      <c r="B100" s="11" t="n">
        <v>607407.4399200001</v>
      </c>
      <c r="C100" s="24" t="n">
        <v>607407.4399200001</v>
      </c>
      <c r="D100" s="24" t="n">
        <v>0</v>
      </c>
      <c r="E100" s="13">
        <f>IF(B100=0,"",D100/B100)</f>
        <v/>
      </c>
      <c r="F100" s="11" t="n">
        <v>0</v>
      </c>
      <c r="G100" s="11" t="n">
        <v>0</v>
      </c>
      <c r="H100" s="11" t="n">
        <v>0</v>
      </c>
      <c r="I100" s="27" t="n">
        <v>42.68234620000001</v>
      </c>
      <c r="J100" s="23" t="n">
        <v>124497</v>
      </c>
      <c r="K100" s="42" t="n">
        <v>0</v>
      </c>
    </row>
    <row r="101">
      <c r="A101" s="10" t="n">
        <v>46230</v>
      </c>
      <c r="B101" s="11" t="n">
        <v>872380.1930599998</v>
      </c>
      <c r="C101" s="24" t="n">
        <v>872380.1930599998</v>
      </c>
      <c r="D101" s="24" t="n">
        <v>0</v>
      </c>
      <c r="E101" s="13">
        <f>IF(B101=0,"",D101/B101)</f>
        <v/>
      </c>
      <c r="F101" s="11" t="n">
        <v>0</v>
      </c>
      <c r="G101" s="11" t="n">
        <v>0</v>
      </c>
      <c r="H101" s="11" t="n">
        <v>0</v>
      </c>
      <c r="I101" s="27" t="n">
        <v>70.11622899000001</v>
      </c>
      <c r="J101" s="23" t="n">
        <v>195484</v>
      </c>
      <c r="K101" s="42" t="n">
        <v>0</v>
      </c>
    </row>
    <row r="102">
      <c r="A102" s="10" t="n">
        <v>46231</v>
      </c>
      <c r="B102" s="11" t="n">
        <v>994164.8989400003</v>
      </c>
      <c r="C102" s="24" t="n">
        <v>994164.8989400003</v>
      </c>
      <c r="D102" s="24" t="n">
        <v>0</v>
      </c>
      <c r="E102" s="13">
        <f>IF(B102=0,"",D102/B102)</f>
        <v/>
      </c>
      <c r="F102" s="11" t="n">
        <v>0</v>
      </c>
      <c r="G102" s="11" t="n">
        <v>0</v>
      </c>
      <c r="H102" s="11" t="n">
        <v>0</v>
      </c>
      <c r="I102" s="27" t="n">
        <v>60.69619684999999</v>
      </c>
      <c r="J102" s="23" t="n">
        <v>125289</v>
      </c>
      <c r="K102" s="42" t="n">
        <v>0</v>
      </c>
    </row>
    <row r="103">
      <c r="A103" s="10" t="n">
        <v>46232</v>
      </c>
      <c r="B103" s="11" t="n">
        <v>2252827.80706</v>
      </c>
      <c r="C103" s="24" t="n">
        <v>2252827.80706</v>
      </c>
      <c r="D103" s="24" t="n">
        <v>0</v>
      </c>
      <c r="E103" s="13">
        <f>IF(B103=0,"",D103/B103)</f>
        <v/>
      </c>
      <c r="F103" s="11" t="n">
        <v>0</v>
      </c>
      <c r="G103" s="11" t="n">
        <v>0</v>
      </c>
      <c r="H103" s="11" t="n">
        <v>0</v>
      </c>
      <c r="I103" s="27" t="n">
        <v>61.66531546000002</v>
      </c>
      <c r="J103" s="23" t="n">
        <v>213695</v>
      </c>
      <c r="K103" s="42" t="n">
        <v>0</v>
      </c>
    </row>
    <row r="104">
      <c r="A104" s="10" t="n">
        <v>46233</v>
      </c>
      <c r="B104" s="11" t="n">
        <v>1465460.043059998</v>
      </c>
      <c r="C104" s="24" t="n">
        <v>1465460.043059998</v>
      </c>
      <c r="D104" s="24" t="n">
        <v>0</v>
      </c>
      <c r="E104" s="13">
        <f>IF(B104=0,"",D104/B104)</f>
        <v/>
      </c>
      <c r="F104" s="11" t="n">
        <v>0</v>
      </c>
      <c r="G104" s="11" t="n">
        <v>0</v>
      </c>
      <c r="H104" s="11" t="n">
        <v>0</v>
      </c>
      <c r="I104" s="27" t="n">
        <v>32.05296928</v>
      </c>
      <c r="J104" s="23" t="n">
        <v>1837569</v>
      </c>
      <c r="K104" s="42" t="n">
        <v>0</v>
      </c>
    </row>
    <row r="105">
      <c r="A105" s="10" t="n">
        <v>46234</v>
      </c>
      <c r="B105" s="11" t="n">
        <v>577695.2446200001</v>
      </c>
      <c r="C105" s="24" t="n">
        <v>577695.2446200001</v>
      </c>
      <c r="D105" s="24" t="n">
        <v>0</v>
      </c>
      <c r="E105" s="13">
        <f>IF(B105=0,"",D105/B105)</f>
        <v/>
      </c>
      <c r="F105" s="11" t="n">
        <v>0</v>
      </c>
      <c r="G105" s="11" t="n">
        <v>0</v>
      </c>
      <c r="H105" s="11" t="n">
        <v>0</v>
      </c>
      <c r="I105" s="27" t="n">
        <v>8.293615520000001</v>
      </c>
      <c r="J105" s="23" t="n">
        <v>282171</v>
      </c>
      <c r="K105" s="42" t="n">
        <v>0</v>
      </c>
    </row>
    <row r="106">
      <c r="A106" s="10" t="n">
        <v>46235</v>
      </c>
      <c r="B106" s="11" t="n">
        <v>657589.1216200001</v>
      </c>
      <c r="C106" s="24" t="n">
        <v>657589.1216200001</v>
      </c>
      <c r="D106" s="24" t="n">
        <v>0</v>
      </c>
      <c r="E106" s="13">
        <f>IF(B106=0,"",D106/B106)</f>
        <v/>
      </c>
      <c r="F106" s="11" t="n">
        <v>0</v>
      </c>
      <c r="G106" s="11" t="n">
        <v>0</v>
      </c>
      <c r="H106" s="11" t="n">
        <v>0</v>
      </c>
      <c r="I106" s="27" t="n">
        <v>5.649443550000002</v>
      </c>
      <c r="J106" s="23" t="n">
        <v>258031</v>
      </c>
      <c r="K106" s="42" t="n">
        <v>0</v>
      </c>
    </row>
    <row r="107">
      <c r="A107" s="10" t="n">
        <v>46236</v>
      </c>
      <c r="B107" s="11" t="n">
        <v>701923.55767</v>
      </c>
      <c r="C107" s="24" t="n">
        <v>701923.55767</v>
      </c>
      <c r="D107" s="24" t="n">
        <v>0</v>
      </c>
      <c r="E107" s="13">
        <f>IF(B107=0,"",D107/B107)</f>
        <v/>
      </c>
      <c r="F107" s="11" t="n">
        <v>0</v>
      </c>
      <c r="G107" s="11" t="n">
        <v>0</v>
      </c>
      <c r="H107" s="11" t="n">
        <v>0</v>
      </c>
      <c r="I107" s="27" t="n">
        <v>4.64388942</v>
      </c>
      <c r="J107" s="23" t="n">
        <v>259451</v>
      </c>
      <c r="K107" s="42" t="n">
        <v>0</v>
      </c>
    </row>
    <row r="108">
      <c r="A108" s="10" t="n">
        <v>46237</v>
      </c>
      <c r="B108" s="11" t="n">
        <v>609748.6804000002</v>
      </c>
      <c r="C108" s="24" t="n">
        <v>609748.6804000002</v>
      </c>
      <c r="D108" s="24" t="n">
        <v>0</v>
      </c>
      <c r="E108" s="13">
        <f>IF(B108=0,"",D108/B108)</f>
        <v/>
      </c>
      <c r="F108" s="11" t="n">
        <v>0</v>
      </c>
      <c r="G108" s="11" t="n">
        <v>0</v>
      </c>
      <c r="H108" s="11" t="n">
        <v>0</v>
      </c>
      <c r="I108" s="27" t="n">
        <v>2.18479554</v>
      </c>
      <c r="J108" s="23" t="n">
        <v>218194</v>
      </c>
      <c r="K108" s="42" t="n">
        <v>0</v>
      </c>
    </row>
    <row r="109">
      <c r="A109" s="10" t="n">
        <v>46238</v>
      </c>
      <c r="B109" s="11" t="n">
        <v>632427.04801</v>
      </c>
      <c r="C109" s="24" t="n">
        <v>632427.04801</v>
      </c>
      <c r="D109" s="24" t="n">
        <v>0</v>
      </c>
      <c r="E109" s="13">
        <f>IF(B109=0,"",D109/B109)</f>
        <v/>
      </c>
      <c r="F109" s="11" t="n">
        <v>0</v>
      </c>
      <c r="G109" s="11" t="n">
        <v>0</v>
      </c>
      <c r="H109" s="11" t="n">
        <v>0</v>
      </c>
      <c r="I109" s="27" t="n">
        <v>9.191494930000001</v>
      </c>
      <c r="J109" s="23" t="n">
        <v>224590</v>
      </c>
      <c r="K109" s="42" t="n">
        <v>0</v>
      </c>
    </row>
    <row r="110">
      <c r="A110" s="10" t="n">
        <v>46239</v>
      </c>
      <c r="B110" s="11" t="n">
        <v>769301.5262399998</v>
      </c>
      <c r="C110" s="24" t="n">
        <v>769301.5262399998</v>
      </c>
      <c r="D110" s="24" t="n">
        <v>0</v>
      </c>
      <c r="E110" s="13">
        <f>IF(B110=0,"",D110/B110)</f>
        <v/>
      </c>
      <c r="F110" s="11" t="n">
        <v>0</v>
      </c>
      <c r="G110" s="11" t="n">
        <v>0</v>
      </c>
      <c r="H110" s="11" t="n">
        <v>0</v>
      </c>
      <c r="I110" s="27" t="n">
        <v>33.24164434</v>
      </c>
      <c r="J110" s="23" t="n">
        <v>161320</v>
      </c>
      <c r="K110" s="42" t="n">
        <v>0</v>
      </c>
    </row>
    <row r="111">
      <c r="A111" s="10" t="n">
        <v>46240</v>
      </c>
      <c r="B111" s="11" t="n">
        <v>705073.9993</v>
      </c>
      <c r="C111" s="24" t="n">
        <v>705073.9993</v>
      </c>
      <c r="D111" s="24" t="n">
        <v>0</v>
      </c>
      <c r="E111" s="13">
        <f>IF(B111=0,"",D111/B111)</f>
        <v/>
      </c>
      <c r="F111" s="11" t="n">
        <v>0</v>
      </c>
      <c r="G111" s="11" t="n">
        <v>0</v>
      </c>
      <c r="H111" s="11" t="n">
        <v>0</v>
      </c>
      <c r="I111" s="27" t="n">
        <v>22.3691091</v>
      </c>
      <c r="J111" s="23" t="n">
        <v>172123</v>
      </c>
      <c r="K111" s="42" t="n">
        <v>0</v>
      </c>
    </row>
    <row r="112">
      <c r="A112" s="10" t="n">
        <v>46241</v>
      </c>
      <c r="B112" s="11" t="n">
        <v>427668.29075</v>
      </c>
      <c r="C112" s="24" t="n">
        <v>427668.29075</v>
      </c>
      <c r="D112" s="24" t="n">
        <v>0</v>
      </c>
      <c r="E112" s="13">
        <f>IF(B112=0,"",D112/B112)</f>
        <v/>
      </c>
      <c r="F112" s="11" t="n">
        <v>0</v>
      </c>
      <c r="G112" s="11" t="n">
        <v>0</v>
      </c>
      <c r="H112" s="11" t="n">
        <v>0</v>
      </c>
      <c r="I112" s="27" t="n">
        <v>9.21373393</v>
      </c>
      <c r="J112" s="23" t="n">
        <v>247865</v>
      </c>
      <c r="K112" s="42" t="n">
        <v>0</v>
      </c>
    </row>
    <row r="113">
      <c r="A113" s="10" t="n">
        <v>46242</v>
      </c>
      <c r="B113" s="11" t="n">
        <v>399274.47697</v>
      </c>
      <c r="C113" s="24" t="n">
        <v>399274.47697</v>
      </c>
      <c r="D113" s="24" t="n">
        <v>0</v>
      </c>
      <c r="E113" s="13">
        <f>IF(B113=0,"",D113/B113)</f>
        <v/>
      </c>
      <c r="F113" s="11" t="n">
        <v>0</v>
      </c>
      <c r="G113" s="11" t="n">
        <v>0</v>
      </c>
      <c r="H113" s="11" t="n">
        <v>0</v>
      </c>
      <c r="I113" s="27" t="n">
        <v>2.974113159999999</v>
      </c>
      <c r="J113" s="23" t="n">
        <v>163431</v>
      </c>
      <c r="K113" s="42" t="n">
        <v>0</v>
      </c>
    </row>
    <row r="114">
      <c r="A114" s="10" t="n">
        <v>46243</v>
      </c>
      <c r="B114" s="11" t="n">
        <v>429053.7479599998</v>
      </c>
      <c r="C114" s="24" t="n">
        <v>429053.7479599998</v>
      </c>
      <c r="D114" s="24" t="n">
        <v>0</v>
      </c>
      <c r="E114" s="13">
        <f>IF(B114=0,"",D114/B114)</f>
        <v/>
      </c>
      <c r="F114" s="11" t="n">
        <v>0</v>
      </c>
      <c r="G114" s="11" t="n">
        <v>0</v>
      </c>
      <c r="H114" s="11" t="n">
        <v>0</v>
      </c>
      <c r="I114" s="27" t="n">
        <v>6.31232158</v>
      </c>
      <c r="J114" s="23" t="n">
        <v>217260</v>
      </c>
      <c r="K114" s="42" t="n">
        <v>0</v>
      </c>
    </row>
    <row r="115">
      <c r="A115" s="10" t="n">
        <v>46244</v>
      </c>
      <c r="B115" s="11" t="n">
        <v>599414.99622</v>
      </c>
      <c r="C115" s="24" t="n">
        <v>599414.99622</v>
      </c>
      <c r="D115" s="24" t="n">
        <v>0</v>
      </c>
      <c r="E115" s="13">
        <f>IF(B115=0,"",D115/B115)</f>
        <v/>
      </c>
      <c r="F115" s="11" t="n">
        <v>0</v>
      </c>
      <c r="G115" s="11" t="n">
        <v>0</v>
      </c>
      <c r="H115" s="11" t="n">
        <v>0</v>
      </c>
      <c r="I115" s="27" t="n">
        <v>11.28228775</v>
      </c>
      <c r="J115" s="23" t="n">
        <v>304245</v>
      </c>
      <c r="K115" s="42" t="n">
        <v>0</v>
      </c>
    </row>
    <row r="116">
      <c r="A116" s="10" t="n">
        <v>46245</v>
      </c>
      <c r="B116" s="11" t="n">
        <v>438511.4493399999</v>
      </c>
      <c r="C116" s="24" t="n">
        <v>438511.4493399999</v>
      </c>
      <c r="D116" s="24" t="n">
        <v>0</v>
      </c>
      <c r="E116" s="13">
        <f>IF(B116=0,"",D116/B116)</f>
        <v/>
      </c>
      <c r="F116" s="11" t="n">
        <v>0</v>
      </c>
      <c r="G116" s="11" t="n">
        <v>0</v>
      </c>
      <c r="H116" s="11" t="n">
        <v>0</v>
      </c>
      <c r="I116" s="27" t="n">
        <v>2.87733619</v>
      </c>
      <c r="J116" s="23" t="n">
        <v>192817</v>
      </c>
      <c r="K116" s="42" t="n">
        <v>0</v>
      </c>
    </row>
    <row r="117">
      <c r="A117" s="10" t="n">
        <v>46246</v>
      </c>
      <c r="B117" s="11" t="n">
        <v>405927.09394</v>
      </c>
      <c r="C117" s="24" t="n">
        <v>405927.09394</v>
      </c>
      <c r="D117" s="24" t="n">
        <v>0</v>
      </c>
      <c r="E117" s="13">
        <f>IF(B117=0,"",D117/B117)</f>
        <v/>
      </c>
      <c r="F117" s="11" t="n">
        <v>0</v>
      </c>
      <c r="G117" s="11" t="n">
        <v>0</v>
      </c>
      <c r="H117" s="11" t="n">
        <v>0</v>
      </c>
      <c r="I117" s="27" t="n">
        <v>10.1096706</v>
      </c>
      <c r="J117" s="23" t="n">
        <v>187463</v>
      </c>
      <c r="K117" s="42" t="n">
        <v>0</v>
      </c>
    </row>
    <row r="118">
      <c r="A118" s="10" t="n">
        <v>46247</v>
      </c>
      <c r="B118" s="11" t="n">
        <v>492422.00388</v>
      </c>
      <c r="C118" s="24" t="n">
        <v>492422.00388</v>
      </c>
      <c r="D118" s="24" t="n">
        <v>0</v>
      </c>
      <c r="E118" s="13">
        <f>IF(B118=0,"",D118/B118)</f>
        <v/>
      </c>
      <c r="F118" s="11" t="n">
        <v>0</v>
      </c>
      <c r="G118" s="11" t="n">
        <v>0</v>
      </c>
      <c r="H118" s="11" t="n">
        <v>0</v>
      </c>
      <c r="I118" s="27" t="n">
        <v>13.11918721</v>
      </c>
      <c r="J118" s="23" t="n">
        <v>184306</v>
      </c>
      <c r="K118" s="42" t="n">
        <v>0</v>
      </c>
    </row>
    <row r="119">
      <c r="A119" s="10" t="n">
        <v>46248</v>
      </c>
      <c r="B119" s="11" t="n">
        <v>383126.06803</v>
      </c>
      <c r="C119" s="24" t="n">
        <v>383126.06803</v>
      </c>
      <c r="D119" s="24" t="n">
        <v>0</v>
      </c>
      <c r="E119" s="13">
        <f>IF(B119=0,"",D119/B119)</f>
        <v/>
      </c>
      <c r="F119" s="11" t="n">
        <v>0</v>
      </c>
      <c r="G119" s="11" t="n">
        <v>0</v>
      </c>
      <c r="H119" s="11" t="n">
        <v>0</v>
      </c>
      <c r="I119" s="27" t="n">
        <v>0.40077846</v>
      </c>
      <c r="J119" s="23" t="n">
        <v>178642</v>
      </c>
      <c r="K119" s="42" t="n">
        <v>0</v>
      </c>
    </row>
    <row r="120">
      <c r="A120" s="10" t="n">
        <v>46249</v>
      </c>
      <c r="B120" s="11" t="n">
        <v>331672.77827</v>
      </c>
      <c r="C120" s="24" t="n">
        <v>331672.77827</v>
      </c>
      <c r="D120" s="24" t="n">
        <v>0</v>
      </c>
      <c r="E120" s="13">
        <f>IF(B120=0,"",D120/B120)</f>
        <v/>
      </c>
      <c r="F120" s="11" t="n">
        <v>0</v>
      </c>
      <c r="G120" s="11" t="n">
        <v>0</v>
      </c>
      <c r="H120" s="11" t="n">
        <v>0</v>
      </c>
      <c r="I120" s="27" t="n">
        <v>26.69983437</v>
      </c>
      <c r="J120" s="23" t="n">
        <v>199806</v>
      </c>
      <c r="K120" s="42" t="n">
        <v>0</v>
      </c>
    </row>
    <row r="121">
      <c r="A121" s="10" t="n">
        <v>46250</v>
      </c>
      <c r="B121" s="11" t="n">
        <v>407471.9373299999</v>
      </c>
      <c r="C121" s="24" t="n">
        <v>407471.9373299999</v>
      </c>
      <c r="D121" s="24" t="n">
        <v>0</v>
      </c>
      <c r="E121" s="13">
        <f>IF(B121=0,"",D121/B121)</f>
        <v/>
      </c>
      <c r="F121" s="11" t="n">
        <v>0</v>
      </c>
      <c r="G121" s="11" t="n">
        <v>0</v>
      </c>
      <c r="H121" s="11" t="n">
        <v>0</v>
      </c>
      <c r="I121" s="27" t="n">
        <v>60.45918623</v>
      </c>
      <c r="J121" s="23" t="n">
        <v>164984</v>
      </c>
      <c r="K121" s="42" t="n">
        <v>109.85840435</v>
      </c>
    </row>
    <row r="122">
      <c r="A122" s="10" t="n">
        <v>46251</v>
      </c>
      <c r="B122" s="11" t="n">
        <v>495394.18567</v>
      </c>
      <c r="C122" s="24" t="n">
        <v>495394.18567</v>
      </c>
      <c r="D122" s="24" t="n">
        <v>0</v>
      </c>
      <c r="E122" s="13">
        <f>IF(B122=0,"",D122/B122)</f>
        <v/>
      </c>
      <c r="F122" s="11" t="n">
        <v>0</v>
      </c>
      <c r="G122" s="11" t="n">
        <v>0</v>
      </c>
      <c r="H122" s="11" t="n">
        <v>0</v>
      </c>
      <c r="I122" s="27" t="n">
        <v>72.43696301</v>
      </c>
      <c r="J122" s="23" t="n">
        <v>175387</v>
      </c>
      <c r="K122" s="42" t="n">
        <v>117.3630075</v>
      </c>
    </row>
    <row r="123">
      <c r="A123" s="10" t="n">
        <v>46252</v>
      </c>
      <c r="B123" s="11" t="n">
        <v>331776.45077</v>
      </c>
      <c r="C123" s="24" t="n">
        <v>331776.45077</v>
      </c>
      <c r="D123" s="24" t="n">
        <v>0</v>
      </c>
      <c r="E123" s="13">
        <f>IF(B123=0,"",D123/B123)</f>
        <v/>
      </c>
      <c r="F123" s="11" t="n">
        <v>0</v>
      </c>
      <c r="G123" s="11" t="n">
        <v>0</v>
      </c>
      <c r="H123" s="11" t="n">
        <v>0</v>
      </c>
      <c r="I123" s="27" t="n">
        <v>51.40345592</v>
      </c>
      <c r="J123" s="23" t="n">
        <v>174815</v>
      </c>
      <c r="K123" s="42" t="n">
        <v>113.5649264</v>
      </c>
    </row>
    <row r="124">
      <c r="A124" s="10" t="n">
        <v>46253</v>
      </c>
      <c r="B124" s="11" t="n">
        <v>539045.4516900001</v>
      </c>
      <c r="C124" s="24" t="n">
        <v>539045.4516900001</v>
      </c>
      <c r="D124" s="24" t="n">
        <v>0</v>
      </c>
      <c r="E124" s="13">
        <f>IF(B124=0,"",D124/B124)</f>
        <v/>
      </c>
      <c r="F124" s="11" t="n">
        <v>0</v>
      </c>
      <c r="G124" s="11" t="n">
        <v>0</v>
      </c>
      <c r="H124" s="11" t="n">
        <v>0</v>
      </c>
      <c r="I124" s="27" t="n">
        <v>65.34133034999999</v>
      </c>
      <c r="J124" s="23" t="n">
        <v>214084</v>
      </c>
      <c r="K124" s="42" t="n">
        <v>143.31323552</v>
      </c>
    </row>
    <row r="125">
      <c r="A125" s="10" t="n">
        <v>46254</v>
      </c>
      <c r="B125" s="11" t="n">
        <v>323949.66512</v>
      </c>
      <c r="C125" s="24" t="n">
        <v>323949.66512</v>
      </c>
      <c r="D125" s="24" t="n">
        <v>0</v>
      </c>
      <c r="E125" s="13">
        <f>IF(B125=0,"",D125/B125)</f>
        <v/>
      </c>
      <c r="F125" s="11" t="n">
        <v>0</v>
      </c>
      <c r="G125" s="11" t="n">
        <v>0</v>
      </c>
      <c r="H125" s="11" t="n">
        <v>0</v>
      </c>
      <c r="I125" s="27" t="n">
        <v>48.74434176</v>
      </c>
      <c r="J125" s="23" t="n">
        <v>285071</v>
      </c>
      <c r="K125" s="42" t="n">
        <v>144.12798287</v>
      </c>
    </row>
    <row r="126">
      <c r="A126" s="10" t="n">
        <v>46255</v>
      </c>
      <c r="B126" s="11" t="n">
        <v>698749.9185</v>
      </c>
      <c r="C126" s="24" t="n">
        <v>698749.9185</v>
      </c>
      <c r="D126" s="24" t="n">
        <v>0</v>
      </c>
      <c r="E126" s="13">
        <f>IF(B126=0,"",D126/B126)</f>
        <v/>
      </c>
      <c r="F126" s="11" t="n">
        <v>0</v>
      </c>
      <c r="G126" s="11" t="n">
        <v>0</v>
      </c>
      <c r="H126" s="11" t="n">
        <v>0</v>
      </c>
      <c r="I126" s="27" t="n">
        <v>136.49826133</v>
      </c>
      <c r="J126" s="23" t="n">
        <v>265016</v>
      </c>
      <c r="K126" s="42" t="n">
        <v>170.27251449</v>
      </c>
    </row>
    <row r="127">
      <c r="A127" s="10" t="n">
        <v>46256</v>
      </c>
      <c r="B127" s="11" t="n">
        <v>537778.4203</v>
      </c>
      <c r="C127" s="24" t="n">
        <v>537778.4203</v>
      </c>
      <c r="D127" s="24" t="n">
        <v>0</v>
      </c>
      <c r="E127" s="13">
        <f>IF(B127=0,"",D127/B127)</f>
        <v/>
      </c>
      <c r="F127" s="11" t="n">
        <v>0</v>
      </c>
      <c r="G127" s="11" t="n">
        <v>0</v>
      </c>
      <c r="H127" s="11" t="n">
        <v>0</v>
      </c>
      <c r="I127" s="27" t="n">
        <v>98.29577589000003</v>
      </c>
      <c r="J127" s="23" t="n">
        <v>232244</v>
      </c>
      <c r="K127" s="42" t="n">
        <v>145.87459498</v>
      </c>
    </row>
    <row r="128">
      <c r="A128" s="10" t="n">
        <v>46257</v>
      </c>
      <c r="B128" s="11" t="n">
        <v>581363.46665</v>
      </c>
      <c r="C128" s="24" t="n">
        <v>581363.46665</v>
      </c>
      <c r="D128" s="24" t="n">
        <v>0</v>
      </c>
      <c r="E128" s="13">
        <f>IF(B128=0,"",D128/B128)</f>
        <v/>
      </c>
      <c r="F128" s="11" t="n">
        <v>0</v>
      </c>
      <c r="G128" s="11" t="n">
        <v>0</v>
      </c>
      <c r="H128" s="11" t="n">
        <v>0</v>
      </c>
      <c r="I128" s="27" t="n">
        <v>161.22163338</v>
      </c>
      <c r="J128" s="23" t="n">
        <v>251874</v>
      </c>
      <c r="K128" s="42" t="n">
        <v>158.24633082</v>
      </c>
    </row>
    <row r="129">
      <c r="A129" s="10" t="n">
        <v>46258</v>
      </c>
      <c r="B129" s="11" t="n">
        <v>700612.9272800001</v>
      </c>
      <c r="C129" s="24" t="n">
        <v>700612.9272800001</v>
      </c>
      <c r="D129" s="24" t="n">
        <v>0</v>
      </c>
      <c r="E129" s="13">
        <f>IF(B129=0,"",D129/B129)</f>
        <v/>
      </c>
      <c r="F129" s="11" t="n">
        <v>0</v>
      </c>
      <c r="G129" s="11" t="n">
        <v>0</v>
      </c>
      <c r="H129" s="11" t="n">
        <v>0</v>
      </c>
      <c r="I129" s="27" t="n">
        <v>113.42396011</v>
      </c>
      <c r="J129" s="23" t="n">
        <v>257349</v>
      </c>
      <c r="K129" s="42" t="n">
        <v>160.276814</v>
      </c>
    </row>
    <row r="130">
      <c r="A130" s="10" t="n">
        <v>46259</v>
      </c>
      <c r="B130" s="11" t="n">
        <v>438590.4299699999</v>
      </c>
      <c r="C130" s="24" t="n">
        <v>438590.4299699999</v>
      </c>
      <c r="D130" s="24" t="n">
        <v>0</v>
      </c>
      <c r="E130" s="13">
        <f>IF(B130=0,"",D130/B130)</f>
        <v/>
      </c>
      <c r="F130" s="11" t="n">
        <v>0</v>
      </c>
      <c r="G130" s="11" t="n">
        <v>0</v>
      </c>
      <c r="H130" s="11" t="n">
        <v>0</v>
      </c>
      <c r="I130" s="27" t="n">
        <v>72.85430572000001</v>
      </c>
      <c r="J130" s="23" t="n">
        <v>284441</v>
      </c>
      <c r="K130" s="42" t="n">
        <v>180.35566245</v>
      </c>
    </row>
    <row r="131">
      <c r="A131" s="10" t="n">
        <v>46260</v>
      </c>
      <c r="B131" s="11" t="n">
        <v>389083.1158999999</v>
      </c>
      <c r="C131" s="24" t="n">
        <v>389083.1158999999</v>
      </c>
      <c r="D131" s="24" t="n">
        <v>0</v>
      </c>
      <c r="E131" s="13">
        <f>IF(B131=0,"",D131/B131)</f>
        <v/>
      </c>
      <c r="F131" s="11" t="n">
        <v>0</v>
      </c>
      <c r="G131" s="11" t="n">
        <v>0</v>
      </c>
      <c r="H131" s="11" t="n">
        <v>0</v>
      </c>
      <c r="I131" s="27" t="n">
        <v>57.974147</v>
      </c>
      <c r="J131" s="23" t="n">
        <v>224605</v>
      </c>
      <c r="K131" s="42" t="n">
        <v>141.80666562</v>
      </c>
    </row>
    <row r="132">
      <c r="A132" s="10" t="n">
        <v>46261</v>
      </c>
      <c r="B132" s="11" t="n">
        <v>509993.50234</v>
      </c>
      <c r="C132" s="24" t="n">
        <v>509993.50234</v>
      </c>
      <c r="D132" s="24" t="n">
        <v>0</v>
      </c>
      <c r="E132" s="13">
        <f>IF(B132=0,"",D132/B132)</f>
        <v/>
      </c>
      <c r="F132" s="11" t="n">
        <v>0</v>
      </c>
      <c r="G132" s="11" t="n">
        <v>0</v>
      </c>
      <c r="H132" s="11" t="n">
        <v>0</v>
      </c>
      <c r="I132" s="27" t="n">
        <v>90.05590422</v>
      </c>
      <c r="J132" s="23" t="n">
        <v>251720</v>
      </c>
      <c r="K132" s="42" t="n">
        <v>163.3409862999999</v>
      </c>
    </row>
    <row r="133">
      <c r="A133" s="10" t="n">
        <v>46262</v>
      </c>
      <c r="B133" s="11" t="n">
        <v>594239.5936800002</v>
      </c>
      <c r="C133" s="24" t="n">
        <v>594239.5936800002</v>
      </c>
      <c r="D133" s="24" t="n">
        <v>0</v>
      </c>
      <c r="E133" s="13">
        <f>IF(B133=0,"",D133/B133)</f>
        <v/>
      </c>
      <c r="F133" s="11" t="n">
        <v>0</v>
      </c>
      <c r="G133" s="11" t="n">
        <v>0</v>
      </c>
      <c r="H133" s="11" t="n">
        <v>0</v>
      </c>
      <c r="I133" s="27" t="n">
        <v>120.01068</v>
      </c>
      <c r="J133" s="23" t="n">
        <v>220010</v>
      </c>
      <c r="K133" s="42" t="n">
        <v>135.65670322</v>
      </c>
    </row>
    <row r="134">
      <c r="A134" s="10" t="n">
        <v>46263</v>
      </c>
      <c r="B134" s="11" t="n">
        <v>564174.1457100001</v>
      </c>
      <c r="C134" s="24" t="n">
        <v>356660.1440900001</v>
      </c>
      <c r="D134" s="24" t="n">
        <v>207514.00162</v>
      </c>
      <c r="E134" s="13">
        <f>IF(B134=0,"",D134/B134)</f>
        <v/>
      </c>
      <c r="F134" s="11" t="n">
        <v>207514.00162</v>
      </c>
      <c r="G134" s="11" t="n">
        <v>0</v>
      </c>
      <c r="H134" s="11" t="n">
        <v>0</v>
      </c>
      <c r="I134" s="27" t="n">
        <v>178.70902204</v>
      </c>
      <c r="J134" s="23" t="n">
        <v>241009</v>
      </c>
      <c r="K134" s="42" t="n">
        <v>165.11237297</v>
      </c>
    </row>
    <row r="135">
      <c r="A135" s="10" t="n">
        <v>46264</v>
      </c>
      <c r="B135" s="11" t="n">
        <v>1541457.93436</v>
      </c>
      <c r="C135" s="24" t="n">
        <v>579702.7520999997</v>
      </c>
      <c r="D135" s="24" t="n">
        <v>961755.1822600004</v>
      </c>
      <c r="E135" s="13">
        <f>IF(B135=0,"",D135/B135)</f>
        <v/>
      </c>
      <c r="F135" s="11" t="n">
        <v>958997.4493600004</v>
      </c>
      <c r="G135" s="11" t="n">
        <v>2757.7329</v>
      </c>
      <c r="H135" s="11" t="n">
        <v>0</v>
      </c>
      <c r="I135" s="27" t="n">
        <v>764.8329730499999</v>
      </c>
      <c r="J135" s="23" t="n">
        <v>242121</v>
      </c>
      <c r="K135" s="42" t="n">
        <v>160.1753096600001</v>
      </c>
    </row>
    <row r="136">
      <c r="A136" s="10" t="n">
        <v>46265</v>
      </c>
      <c r="B136" s="11" t="n">
        <v>1909851.38654</v>
      </c>
      <c r="C136" s="24" t="n">
        <v>532280.0600199995</v>
      </c>
      <c r="D136" s="24" t="n">
        <v>1377571.326520001</v>
      </c>
      <c r="E136" s="13">
        <f>IF(B136=0,"",D136/B136)</f>
        <v/>
      </c>
      <c r="F136" s="11" t="n">
        <v>1352260.656300001</v>
      </c>
      <c r="G136" s="11" t="n">
        <v>25310.67022000001</v>
      </c>
      <c r="H136" s="11" t="n">
        <v>0</v>
      </c>
      <c r="I136" s="27" t="n">
        <v>758.12135733</v>
      </c>
      <c r="J136" s="23" t="n">
        <v>597627</v>
      </c>
      <c r="K136" s="42" t="n">
        <v>619.6609878000002</v>
      </c>
    </row>
    <row r="137">
      <c r="A137" s="10" t="n">
        <v>46266</v>
      </c>
      <c r="B137" s="11" t="n">
        <v>3258364.571620005</v>
      </c>
      <c r="C137" s="24" t="n">
        <v>549650.8300500046</v>
      </c>
      <c r="D137" s="24" t="n">
        <v>2708713.74157</v>
      </c>
      <c r="E137" s="13">
        <f>IF(B137=0,"",D137/B137)</f>
        <v/>
      </c>
      <c r="F137" s="11" t="n">
        <v>2687565.43729</v>
      </c>
      <c r="G137" s="11" t="n">
        <v>21148.30428</v>
      </c>
      <c r="H137" s="11" t="n">
        <v>0</v>
      </c>
      <c r="I137" s="27" t="n">
        <v>2367.199298080002</v>
      </c>
      <c r="J137" s="23" t="n">
        <v>428406</v>
      </c>
      <c r="K137" s="42" t="n">
        <v>367.8501285200001</v>
      </c>
    </row>
    <row r="138">
      <c r="A138" s="10" t="n">
        <v>46267</v>
      </c>
      <c r="B138" s="11" t="n">
        <v>3626046.55188</v>
      </c>
      <c r="C138" s="24" t="n">
        <v>362216.5594000011</v>
      </c>
      <c r="D138" s="24" t="n">
        <v>3263829.992479999</v>
      </c>
      <c r="E138" s="13">
        <f>IF(B138=0,"",D138/B138)</f>
        <v/>
      </c>
      <c r="F138" s="11" t="n">
        <v>3219080.979769999</v>
      </c>
      <c r="G138" s="11" t="n">
        <v>44749.01270999999</v>
      </c>
      <c r="H138" s="11" t="n">
        <v>0</v>
      </c>
      <c r="I138" s="27" t="n">
        <v>2295.876773800002</v>
      </c>
      <c r="J138" s="23" t="n">
        <v>507918</v>
      </c>
      <c r="K138" s="42" t="n">
        <v>459.74072586</v>
      </c>
    </row>
    <row r="139">
      <c r="A139" s="10" t="n">
        <v>46268</v>
      </c>
      <c r="B139" s="11" t="n">
        <v>2907843.50717</v>
      </c>
      <c r="C139" s="24" t="n">
        <v>509130.5661699995</v>
      </c>
      <c r="D139" s="24" t="n">
        <v>2398712.941</v>
      </c>
      <c r="E139" s="13">
        <f>IF(B139=0,"",D139/B139)</f>
        <v/>
      </c>
      <c r="F139" s="11" t="n">
        <v>2349319.46449</v>
      </c>
      <c r="G139" s="11" t="n">
        <v>49393.47651000001</v>
      </c>
      <c r="H139" s="11" t="n">
        <v>0</v>
      </c>
      <c r="I139" s="27" t="n">
        <v>1363.27436954</v>
      </c>
      <c r="J139" s="23" t="n">
        <v>549817</v>
      </c>
      <c r="K139" s="42" t="n">
        <v>514.59969202</v>
      </c>
    </row>
    <row r="140">
      <c r="A140" s="10" t="n">
        <v>46269</v>
      </c>
      <c r="B140" s="11" t="n">
        <v>2166389.450370001</v>
      </c>
      <c r="C140" s="24" t="n">
        <v>223456.5492500016</v>
      </c>
      <c r="D140" s="24" t="n">
        <v>1942932.901119999</v>
      </c>
      <c r="E140" s="13">
        <f>IF(B140=0,"",D140/B140)</f>
        <v/>
      </c>
      <c r="F140" s="11" t="n">
        <v>1815395.460499999</v>
      </c>
      <c r="G140" s="11" t="n">
        <v>127537.44062</v>
      </c>
      <c r="H140" s="11" t="n">
        <v>0</v>
      </c>
      <c r="I140" s="27" t="n">
        <v>1034.232967059999</v>
      </c>
      <c r="J140" s="23" t="n">
        <v>583046</v>
      </c>
      <c r="K140" s="42" t="n">
        <v>582.7809912600001</v>
      </c>
    </row>
    <row r="141">
      <c r="A141" s="10" t="n">
        <v>46270</v>
      </c>
      <c r="B141" s="11" t="n">
        <v>1280655.08487</v>
      </c>
      <c r="C141" s="24" t="n">
        <v>224723.0772000002</v>
      </c>
      <c r="D141" s="24" t="n">
        <v>1055932.00767</v>
      </c>
      <c r="E141" s="13">
        <f>IF(B141=0,"",D141/B141)</f>
        <v/>
      </c>
      <c r="F141" s="11" t="n">
        <v>1000774.55154</v>
      </c>
      <c r="G141" s="11" t="n">
        <v>45493.40568</v>
      </c>
      <c r="H141" s="11" t="n">
        <v>9664.050450000002</v>
      </c>
      <c r="I141" s="27" t="n">
        <v>642.0449818899998</v>
      </c>
      <c r="J141" s="23" t="n">
        <v>347188</v>
      </c>
      <c r="K141" s="42" t="n">
        <v>270.56231694</v>
      </c>
    </row>
    <row r="142">
      <c r="A142" s="10" t="n">
        <v>46271</v>
      </c>
      <c r="B142" s="11" t="n">
        <v>1142321.459650001</v>
      </c>
      <c r="C142" s="24" t="n">
        <v>346401.5781100008</v>
      </c>
      <c r="D142" s="24" t="n">
        <v>795919.8815399997</v>
      </c>
      <c r="E142" s="13">
        <f>IF(B142=0,"",D142/B142)</f>
        <v/>
      </c>
      <c r="F142" s="11" t="n">
        <v>763319.8651399997</v>
      </c>
      <c r="G142" s="11" t="n">
        <v>1135.299999999999</v>
      </c>
      <c r="H142" s="11" t="n">
        <v>31464.7164</v>
      </c>
      <c r="I142" s="27" t="n">
        <v>652.6733639299998</v>
      </c>
      <c r="J142" s="23" t="n">
        <v>293519</v>
      </c>
      <c r="K142" s="42" t="n">
        <v>264.5116754800001</v>
      </c>
    </row>
    <row r="143">
      <c r="A143" s="10" t="n">
        <v>46272</v>
      </c>
      <c r="B143" s="11" t="n">
        <v>1005415.60907</v>
      </c>
      <c r="C143" s="24" t="n">
        <v>320809.25821</v>
      </c>
      <c r="D143" s="24" t="n">
        <v>684606.3508600002</v>
      </c>
      <c r="E143" s="13">
        <f>IF(B143=0,"",D143/B143)</f>
        <v/>
      </c>
      <c r="F143" s="11" t="n">
        <v>669111.8155300003</v>
      </c>
      <c r="G143" s="11" t="n">
        <v>8996.3325</v>
      </c>
      <c r="H143" s="11" t="n">
        <v>6498.20283</v>
      </c>
      <c r="I143" s="27" t="n">
        <v>528.5977794000001</v>
      </c>
      <c r="J143" s="23" t="n">
        <v>355607</v>
      </c>
      <c r="K143" s="42" t="n">
        <v>289.53968783</v>
      </c>
    </row>
    <row r="144">
      <c r="A144" s="10" t="n">
        <v>46273</v>
      </c>
      <c r="B144" s="11" t="n">
        <v>1631268.63361</v>
      </c>
      <c r="C144" s="24" t="n">
        <v>224991.5866899998</v>
      </c>
      <c r="D144" s="24" t="n">
        <v>1406277.046920001</v>
      </c>
      <c r="E144" s="13">
        <f>IF(B144=0,"",D144/B144)</f>
        <v/>
      </c>
      <c r="F144" s="11" t="n">
        <v>1344291.244670001</v>
      </c>
      <c r="G144" s="11" t="n">
        <v>18863.34061</v>
      </c>
      <c r="H144" s="11" t="n">
        <v>43122.46163999999</v>
      </c>
      <c r="I144" s="27" t="n">
        <v>856.0260484400007</v>
      </c>
      <c r="J144" s="23" t="n">
        <v>339245</v>
      </c>
      <c r="K144" s="42" t="n">
        <v>295.50574764</v>
      </c>
    </row>
    <row r="145">
      <c r="A145" s="10" t="n">
        <v>46274</v>
      </c>
      <c r="B145" s="11" t="n">
        <v>1730758.434689999</v>
      </c>
      <c r="C145" s="24" t="n">
        <v>373249.2574099989</v>
      </c>
      <c r="D145" s="24" t="n">
        <v>1357509.17728</v>
      </c>
      <c r="E145" s="13">
        <f>IF(B145=0,"",D145/B145)</f>
        <v/>
      </c>
      <c r="F145" s="11" t="n">
        <v>1301260.43</v>
      </c>
      <c r="G145" s="11" t="n">
        <v>15725.13166</v>
      </c>
      <c r="H145" s="11" t="n">
        <v>40523.61562</v>
      </c>
      <c r="I145" s="27" t="n">
        <v>951.2050424500007</v>
      </c>
      <c r="J145" s="23" t="n">
        <v>430577</v>
      </c>
      <c r="K145" s="42" t="n">
        <v>389.86712657</v>
      </c>
    </row>
    <row r="146">
      <c r="A146" s="10" t="n">
        <v>46275</v>
      </c>
      <c r="B146" s="11" t="n">
        <v>2070322.91768</v>
      </c>
      <c r="C146" s="24" t="n">
        <v>210059.8786499996</v>
      </c>
      <c r="D146" s="24" t="n">
        <v>1860263.03903</v>
      </c>
      <c r="E146" s="13">
        <f>IF(B146=0,"",D146/B146)</f>
        <v/>
      </c>
      <c r="F146" s="11" t="n">
        <v>1815740.1628</v>
      </c>
      <c r="G146" s="11" t="n">
        <v>9519.6297</v>
      </c>
      <c r="H146" s="11" t="n">
        <v>35003.24653</v>
      </c>
      <c r="I146" s="27" t="n">
        <v>1049.38869502</v>
      </c>
      <c r="J146" s="23" t="n">
        <v>588952</v>
      </c>
      <c r="K146" s="42" t="n">
        <v>478.9404117699999</v>
      </c>
    </row>
    <row r="147">
      <c r="A147" s="10" t="n">
        <v>46276</v>
      </c>
      <c r="B147" s="11" t="n">
        <v>2031581.28907</v>
      </c>
      <c r="C147" s="24" t="n">
        <v>349000.4573999993</v>
      </c>
      <c r="D147" s="24" t="n">
        <v>1682580.831670001</v>
      </c>
      <c r="E147" s="13">
        <f>IF(B147=0,"",D147/B147)</f>
        <v/>
      </c>
      <c r="F147" s="11" t="n">
        <v>1549480.665810001</v>
      </c>
      <c r="G147" s="11" t="n">
        <v>17213.6435</v>
      </c>
      <c r="H147" s="11" t="n">
        <v>115886.52236</v>
      </c>
      <c r="I147" s="27" t="n">
        <v>991.0599523600004</v>
      </c>
      <c r="J147" s="23" t="n">
        <v>303269</v>
      </c>
      <c r="K147" s="42" t="n">
        <v>225.64835184</v>
      </c>
    </row>
    <row r="148">
      <c r="A148" s="10" t="n">
        <v>46277</v>
      </c>
      <c r="B148" s="11" t="n">
        <v>1730893.45183</v>
      </c>
      <c r="C148" s="24" t="n">
        <v>132032.9677999993</v>
      </c>
      <c r="D148" s="24" t="n">
        <v>1598860.48403</v>
      </c>
      <c r="E148" s="13">
        <f>IF(B148=0,"",D148/B148)</f>
        <v/>
      </c>
      <c r="F148" s="11" t="n">
        <v>1506927.13874</v>
      </c>
      <c r="G148" s="11" t="n">
        <v>6647.640699999999</v>
      </c>
      <c r="H148" s="11" t="n">
        <v>85285.70458999999</v>
      </c>
      <c r="I148" s="27" t="n">
        <v>994.2284894399997</v>
      </c>
      <c r="J148" s="23" t="n">
        <v>458433</v>
      </c>
      <c r="K148" s="42" t="n">
        <v>388.92067424</v>
      </c>
    </row>
    <row r="149">
      <c r="A149" s="10" t="n">
        <v>46278</v>
      </c>
      <c r="B149" s="11" t="n">
        <v>1335417.59403</v>
      </c>
      <c r="C149" s="24" t="n">
        <v>150431.03929</v>
      </c>
      <c r="D149" s="24" t="n">
        <v>1184986.55474</v>
      </c>
      <c r="E149" s="13">
        <f>IF(B149=0,"",D149/B149)</f>
        <v/>
      </c>
      <c r="F149" s="11" t="n">
        <v>1135293.38667</v>
      </c>
      <c r="G149" s="11" t="n">
        <v>4212.117509999999</v>
      </c>
      <c r="H149" s="11" t="n">
        <v>45481.05056000001</v>
      </c>
      <c r="I149" s="27" t="n">
        <v>811.02577954</v>
      </c>
      <c r="J149" s="23" t="n">
        <v>342180</v>
      </c>
      <c r="K149" s="42" t="n">
        <v>267.54340819</v>
      </c>
    </row>
    <row r="150">
      <c r="A150" s="10" t="n">
        <v>46279</v>
      </c>
      <c r="B150" s="11" t="n">
        <v>1510093.74002</v>
      </c>
      <c r="C150" s="24" t="n">
        <v>142163.94557</v>
      </c>
      <c r="D150" s="24" t="n">
        <v>1367929.79445</v>
      </c>
      <c r="E150" s="13">
        <f>IF(B150=0,"",D150/B150)</f>
        <v/>
      </c>
      <c r="F150" s="11" t="n">
        <v>1279376.00115</v>
      </c>
      <c r="G150" s="11" t="n">
        <v>9115.737159999999</v>
      </c>
      <c r="H150" s="11" t="n">
        <v>79438.05614000002</v>
      </c>
      <c r="I150" s="27" t="n">
        <v>921.2146483900003</v>
      </c>
      <c r="J150" s="23" t="n">
        <v>454837</v>
      </c>
      <c r="K150" s="42" t="n">
        <v>379.44974253</v>
      </c>
    </row>
    <row r="151">
      <c r="A151" s="10" t="n">
        <v>46280</v>
      </c>
      <c r="B151" s="11" t="n">
        <v>3074499.231260003</v>
      </c>
      <c r="C151" s="24" t="n">
        <v>326134.7083400027</v>
      </c>
      <c r="D151" s="24" t="n">
        <v>2748364.52292</v>
      </c>
      <c r="E151" s="13">
        <f>IF(B151=0,"",D151/B151)</f>
        <v/>
      </c>
      <c r="F151" s="11" t="n">
        <v>2663239.65726</v>
      </c>
      <c r="G151" s="11" t="n">
        <v>4857.43</v>
      </c>
      <c r="H151" s="11" t="n">
        <v>80267.43566</v>
      </c>
      <c r="I151" s="27" t="n">
        <v>1449.58990164</v>
      </c>
      <c r="J151" s="23" t="n">
        <v>430375</v>
      </c>
      <c r="K151" s="42" t="n">
        <v>384.67161784</v>
      </c>
    </row>
    <row r="152">
      <c r="A152" s="10" t="n">
        <v>46281</v>
      </c>
      <c r="B152" s="11" t="n">
        <v>2634720.161189998</v>
      </c>
      <c r="C152" s="24" t="n">
        <v>223296.9380799984</v>
      </c>
      <c r="D152" s="24" t="n">
        <v>2411423.223109999</v>
      </c>
      <c r="E152" s="13">
        <f>IF(B152=0,"",D152/B152)</f>
        <v/>
      </c>
      <c r="F152" s="11" t="n">
        <v>2299559.25025</v>
      </c>
      <c r="G152" s="11" t="n">
        <v>12532.28991</v>
      </c>
      <c r="H152" s="11" t="n">
        <v>99331.68295</v>
      </c>
      <c r="I152" s="27" t="n">
        <v>1297.84985877</v>
      </c>
      <c r="J152" s="23" t="n">
        <v>1526629</v>
      </c>
      <c r="K152" s="42" t="n">
        <v>1822.44231873</v>
      </c>
    </row>
    <row r="153">
      <c r="A153" s="10" t="n">
        <v>46282</v>
      </c>
      <c r="B153" s="11" t="n">
        <v>1559320.40254</v>
      </c>
      <c r="C153" s="24" t="n">
        <v>210446.1603700002</v>
      </c>
      <c r="D153" s="24" t="n">
        <v>1348874.24217</v>
      </c>
      <c r="E153" s="13">
        <f>IF(B153=0,"",D153/B153)</f>
        <v/>
      </c>
      <c r="F153" s="11" t="n">
        <v>1275973.62265</v>
      </c>
      <c r="G153" s="11" t="n">
        <v>18830.51198</v>
      </c>
      <c r="H153" s="11" t="n">
        <v>54070.10754</v>
      </c>
      <c r="I153" s="27" t="n">
        <v>720.9590939399997</v>
      </c>
      <c r="J153" s="23" t="n">
        <v>462086</v>
      </c>
      <c r="K153" s="42" t="n">
        <v>447.7449276700001</v>
      </c>
    </row>
    <row r="154">
      <c r="A154" s="10" t="n">
        <v>46283</v>
      </c>
      <c r="B154" s="11" t="n">
        <v>2018166.82221</v>
      </c>
      <c r="C154" s="24" t="n">
        <v>206925.5755000007</v>
      </c>
      <c r="D154" s="24" t="n">
        <v>1811241.24671</v>
      </c>
      <c r="E154" s="13">
        <f>IF(B154=0,"",D154/B154)</f>
        <v/>
      </c>
      <c r="F154" s="11" t="n">
        <v>1398116.5756</v>
      </c>
      <c r="G154" s="11" t="n">
        <v>23242.97584</v>
      </c>
      <c r="H154" s="11" t="n">
        <v>389881.69527</v>
      </c>
      <c r="I154" s="27" t="n">
        <v>807.8031519399997</v>
      </c>
      <c r="J154" s="23" t="n">
        <v>504259</v>
      </c>
      <c r="K154" s="42" t="n">
        <v>422.8524004300001</v>
      </c>
    </row>
    <row r="155">
      <c r="A155" s="10" t="n">
        <v>46284</v>
      </c>
      <c r="B155" s="11" t="n">
        <v>1455311.183</v>
      </c>
      <c r="C155" s="24" t="n">
        <v>136322.0299699996</v>
      </c>
      <c r="D155" s="24" t="n">
        <v>1318989.153030001</v>
      </c>
      <c r="E155" s="13">
        <f>IF(B155=0,"",D155/B155)</f>
        <v/>
      </c>
      <c r="F155" s="11" t="n">
        <v>1280327.57562</v>
      </c>
      <c r="G155" s="11" t="n">
        <v>13752.644</v>
      </c>
      <c r="H155" s="11" t="n">
        <v>24908.93341</v>
      </c>
      <c r="I155" s="27" t="n">
        <v>838.1132570300003</v>
      </c>
      <c r="J155" s="23" t="n">
        <v>361207</v>
      </c>
      <c r="K155" s="42" t="n">
        <v>303.2472960699999</v>
      </c>
    </row>
    <row r="156">
      <c r="A156" s="10" t="n">
        <v>46285</v>
      </c>
      <c r="B156" s="11" t="n">
        <v>2166221.331290001</v>
      </c>
      <c r="C156" s="24" t="n">
        <v>211180.1356400016</v>
      </c>
      <c r="D156" s="24" t="n">
        <v>1955041.195649999</v>
      </c>
      <c r="E156" s="13">
        <f>IF(B156=0,"",D156/B156)</f>
        <v/>
      </c>
      <c r="F156" s="11" t="n">
        <v>1823347.674269999</v>
      </c>
      <c r="G156" s="11" t="n">
        <v>11632.32571</v>
      </c>
      <c r="H156" s="11" t="n">
        <v>120061.19567</v>
      </c>
      <c r="I156" s="27" t="n">
        <v>1061.56899787</v>
      </c>
      <c r="J156" s="23" t="n">
        <v>622725</v>
      </c>
      <c r="K156" s="42" t="n">
        <v>553.4684173199998</v>
      </c>
    </row>
    <row r="157">
      <c r="A157" s="10" t="n">
        <v>46286</v>
      </c>
      <c r="B157" s="11" t="n">
        <v>2202325.687329999</v>
      </c>
      <c r="C157" s="24" t="n">
        <v>141186.5990399988</v>
      </c>
      <c r="D157" s="24" t="n">
        <v>2061139.08829</v>
      </c>
      <c r="E157" s="13">
        <f>IF(B157=0,"",D157/B157)</f>
        <v/>
      </c>
      <c r="F157" s="11" t="n">
        <v>1948162.97585</v>
      </c>
      <c r="G157" s="11" t="n">
        <v>23097.15878</v>
      </c>
      <c r="H157" s="11" t="n">
        <v>89878.95366000001</v>
      </c>
      <c r="I157" s="27" t="n">
        <v>1022.24188539</v>
      </c>
      <c r="J157" s="23" t="n">
        <v>820103</v>
      </c>
      <c r="K157" s="42" t="n">
        <v>582.3379404700001</v>
      </c>
    </row>
    <row r="159">
      <c r="A159" s="37" t="inlineStr">
        <is>
          <t>NOTES</t>
        </is>
      </c>
    </row>
    <row r="160" ht="46" customHeight="1">
      <c r="A160" s="43" t="inlineStr">
        <is>
          <t>IN-HOUSE vs THIRD-PARTY. Loris serves its HIP-4 dashboard per deployer venue, so the split is SOURCED, not inferred: third-party = venue out + venue skew + venue txyz, in-house = total minus those three. Deployer addresses, from Hyperliquid POST api.hyperliquid.xyz/info type=outcomeMeta -&gt; deployers: out = 0x0c46eb73fae2816f219fcf11f50d6d3c59b5819e (Outcome.xyz, the first permissionless HIP-4 builder and much the largest), skew = 0x08e9c89f46dccee91bdb85c6532eb93a4c335efe, txyz = 0x7aca09667816a4817b8bc697fb239ad42ff9f553.</t>
        </is>
      </c>
    </row>
    <row r="161" ht="46" customHeight="1">
      <c r="A161" s="43" t="inlineStr">
        <is>
          <t>THE SPLIT DATES THE LAUNCH BY ITSELF. Third-party volume is EXACTLY ZERO on every day before 2026-08-29 and non-zero from that day on, which confirms the mainnet permissionless-deployment date without relying on any announcement. A deployer must stake 500,000 HYPE for at least six months and call activateOutcomeDeployer.</t>
        </is>
      </c>
    </row>
    <row r="162" ht="46" customHeight="1">
      <c r="A162" s="43" t="inlineStr">
        <is>
          <t>WHY LORIS AND NOT ASXN. ASXN publishes an HIP-4 daily series (outcome-coins/analytics/daily) that runs about 2.2x higher. Tested against Hyperliquid's own outcome-coin candles - outcome coins ARE retrievable as #&lt;outcomeId&gt;&lt;side&gt;, e.g. #12090 - using trade-count as the coverage control, ASXN's total_volume_usdc lands at ~1.0x contract COUNT and ~2.0x USDC notional, i.e. it appears to count contracts at $1 rather than at traded price. Outcome tokens average about $0.50 because a binary pair's two legs sum to $1, which is exactly the observed gap. NOT AIRTIGHT: settled outcome coins are purged from the HL API, so the May-Aug window cannot be rebuilt from primary data and the coverage control is approximate.</t>
        </is>
      </c>
    </row>
    <row r="163" ht="46" customHeight="1">
      <c r="A163" s="43" t="inlineStr">
        <is>
          <t>SETTLEMENT IS SHOWN BUT EXCLUDED FROM THE DAILY BRIDGE (amber). Loris reports settlement separately from trading. The Daily Model uses trading volume and trading fees only, which is the same basis v6-v8 used; settlement is surfaced here so the omission is visible rather than silent. Adding it would raise cumulative HIP-4 fees by roughly a third.</t>
        </is>
      </c>
    </row>
    <row r="164" ht="46" customHeight="1">
      <c r="A164" s="43" t="inlineStr">
        <is>
          <t>TRADING VOLUME INCLUDES PRIMARY MINT/REDEEM. Of $343.1M of Loris trading volume to 2026-09-21, only $90.6M is standard secondary trading - $203.2M is split (minting a Yes+No pair from $1) and $49.3M is merge. Read the volume as gross market activity, not as secondary turnover.</t>
        </is>
      </c>
    </row>
    <row r="165" ht="46" customHeight="1">
      <c r="A165" s="43" t="inlineStr">
        <is>
          <t>DEPLOYER REVENUE SHARE IS MODELLED AT $0 IN THE DAILY SHEET, AS AN ASSUMPTION. Hyperliquid's fee docs grant an explicit up-to-50% deployer share to SPOT and HIP-3 PERP deployers and do not extend that sentence to outcome markets, and neither Loris nor ASXN publishes an HIP-4 deployer fee line. outcomeMeta does carry deployerFeeScale 1.0 on 151 of 201 live outcomes. With third-party venues now around 90% of volume, this is the assumption most likely to need revisiting.</t>
        </is>
      </c>
    </row>
  </sheetData>
  <autoFilter ref="A14:K157"/>
  <mergeCells count="16">
    <mergeCell ref="B10:D10"/>
    <mergeCell ref="B11:D11"/>
    <mergeCell ref="B5:D5"/>
    <mergeCell ref="A163:K163"/>
    <mergeCell ref="A162:K162"/>
    <mergeCell ref="A165:K165"/>
    <mergeCell ref="B8:D8"/>
    <mergeCell ref="A2:K2"/>
    <mergeCell ref="A1:K1"/>
    <mergeCell ref="B9:D9"/>
    <mergeCell ref="A160:K160"/>
    <mergeCell ref="A161:K161"/>
    <mergeCell ref="B12:D12"/>
    <mergeCell ref="B7:D7"/>
    <mergeCell ref="B6:D6"/>
    <mergeCell ref="A164:K16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4"/>
  <sheetViews>
    <sheetView showGridLines="0" workbookViewId="0">
      <selection activeCell="A1" sqref="A1"/>
    </sheetView>
  </sheetViews>
  <sheetFormatPr baseColWidth="8" defaultRowHeight="15"/>
  <cols>
    <col width="32" customWidth="1" min="1" max="1"/>
    <col width="22" customWidth="1" min="2" max="2"/>
    <col width="58" customWidth="1" min="3" max="3"/>
    <col width="44" customWidth="1" min="4" max="4"/>
  </cols>
  <sheetData>
    <row r="1" ht="20" customHeight="1">
      <c r="A1" s="35" t="inlineStr">
        <is>
          <t>SOURCES &amp; METHODOLOGY  —  refreshed 2026-09-23, data through 2026-09-21</t>
        </is>
      </c>
    </row>
    <row r="2" ht="168" customHeight="1">
      <c r="A2" s="44" t="inlineStr">
        <is>
          <t>•  CORE CRYPTO PERP IS A SOURCED COLUMN, NOT A PLUG, AND ITS EARLY HISTORY IS A DEFILLAMA FILL. Revenue and Fees both take ASXN income-statement fees_perp (ASXN publishes a single protocol-bound perp fee line, so the two columns carry the same value - that is ASXN's structure, not a copy error). ASXN's reconstruction begins 2025-08-17, which left 2024-11-30..2025-08-16 BLANK in v6-v8. Those days now come from DefiLlama hyperliquid-perps (dailyRevenue -&gt; Revenue, dailyFees -&gt; Fees), shaded AMBER with green text. The join is clean in kind: HIP-3 did not launch until 2025-10-13, so DefiLlama's hyperliquid-perps IS core crypto perps across the entire filled window, and on the 400-day overlap DL dailyRevenue runs at a median 0.952x of ASXN fees_perp - close, but a visible level difference at the seam, not scaled or smoothed. 27 DAYS REMAIN BLANK AND ARE NOT FABRICATED: 2024-11-30..2024-12-22 predate DefiLlama's own series start of 2024-12-23, and DefiLlama skips 2025-01-12, 2025-01-13, 2025-06-08 and 2025-06-09. Note buyback revenue does not exist before 2025-03-20 either, so the whole pre-March-2025 stretch is thin by nature.</t>
        </is>
      </c>
    </row>
    <row r="3" ht="336" customHeight="1">
      <c r="A3" s="44" t="inlineStr">
        <is>
          <t>•  WHAT CHANGED IN THIS REFRESH (pulled 2026-09-23, data through 2026-09-21), vs the v8 workbook. (1) 29 NEW ROWS, 2026-08-24..2026-09-21. The cut-off is 09-21 because ASXN's fee pipeline had only a partial 09-22 at pull time ($116,444 of perp fees, 0.17bps against a 3.52-3.83bps norm). (2) v8's OWN LAST ROW WAS PARTIAL for the same reason and is corrected: 2026-08-23 core perp fees/revenue move from $107,203 to $2,643,931, HIP-3 gross fees from $2,386 to $91,542. (3) SPOT VOLUME DATE FIX: ASXN's spot feed is dated one day late and is shifted back one day, which moves 344 historical cells - re-verified on this pull (corr 0.962 shifted vs 0.251 unshifted against DefiLlama over the last 31 days). (4) CORE PERP GAP CLOSED: ASXN fees_perp only starts 2025-08-17, so 2024-12-23..2025-08-16 is now filled from DefiLlama (amber); 233 previously-BLANK cells are now populated and 27 days remain blank because neither source covers them. (5) NEW HIP-4 SHEET with the deployer split (in-house vs third-party out/skew/txyz) plus settlement volume and fees. HIP-4 in the Daily Model stays on LORIS and its history is unchanged from v8 - ASXN's series was trialled and rejected as ~2.2x too high (it counts contracts, not USDC notional). (6) HIP-4 permissionless third-party deployment went live on mainnet 2026-08-29; third-party venues are now the large majority of HIP-4 volume. (7) Team unlocks extended on-chain through the 2026-09-06 claim of 433,419 HYPE (no October claim yet). (8) Hyper Foundation and Community Grants re-read from hypestrat - they drift every refresh, and since v8 have moved +57,693 and +5,101 HYPE, lowering OTS by 62,794 on every row. (9) AF gap-fill: ASXN's assistance-fund feed has a single hole at 2026-08-24 which blanked the whole supply block that day; it is reconstructed from the balance identity and shaded amber. (10) HIP-4 DEPLOYER FEE SHARE IS NO LONGER ZERO: it was hardcoded 0 through v10 and is now 50% of fees on the venues whose deployerFeeScale is 1.0 (out, skew), which cuts cumulative HIP-4 revenue by about $12.5K. See the HIP-4 deployer note. (11) ASXN restates some of its own recent history between pulls - spot fees, Unit fees, builder fees (a 90-day rolling window) and auction burn all move slightly, none by more than 0.3%.</t>
        </is>
      </c>
    </row>
    <row r="4" ht="350" customHeight="1">
      <c r="A4" s="44" t="inlineStr">
        <is>
          <t>•  SPOT VOLUME: ASXN'S FEED IS DATED ONE DAY LATE AND IS SHIFTED BACK ONE DAY IN v9. The value ASXN labels 2026-09-19 is really 2026-09-18's. Proven three ways: (1) PRIMARY - Hyperliquid's own spot candles (candleSnapshot, coin @107 HYPE/USDC, explicit UTC-midnight timestamps) correlate 0.905 on a -1 shift vs 0.565 unshifted over 2026-08-21..09-21, and HL's peak day 2026-08-21 shows up in ASXN as 2026-08-22; (2) INDEPENDENT - vs DefiLlama the -1 shift wins in EVERY month from 2025-12 to 2026-09 (0.945-0.993 shifted vs 0.199-0.850 unshifted), while DefiLlama itself sits at lag 0 against the HL candles; (3) ASXN-INTERNAL - ASXN's own income-statement fees_spot lines up with DefiLlama at lag 0 but with this volume feed only on a -1 shift, so ASXN's two pipelines disagree and the fee one is correctly dated. Left unfixed (the v6-v8 behaviour) Spot Vol sat one day away from Spot Fees, so every daily spot take-rate was computed across two different days. Same class of defect as the HIP-3 volume offset fixed in v8, opposite direction. CONSEQUENCE: spot volume now differs from the ASXN dashboard by one day everywhere. AND, SEPARATELY, THE FORMATTING TELLS YOU THE SOURCE. Primary source is ASXN spot-ecosystem/hl-spot-ecosystem, summed across ALL listed tokens each day (307 listings = the 8 named coins PLUS the Others bucket) - this reproduces ASXN's own Spot Volume chart exactly, month by month and token by token. But that feed only begins 2025-07-16 and skips days inside its own range, so every remaining day is filled from DefiLlama /summary/dexs/hyperliquid-spot-orderbook dailyVolume to leave NO holes in the series. HOW TO READ IT: plain BLUE text = ASXN; AMBER-shaded cell with GREEN text = DefiLlama fill. 291 of 632 days are DefiLlama - all of 2024-11-30..2025-07-15 (pre-ASXN) plus ASXN's internal gaps, the worst being Oct-2025 (ASXN had 1 day of 31) and Nov-2025 (8 of 30). TRADE-OFF, DELIBERATE: because those months are now complete rather than partial, they NO LONGER match the ASXN dashboard - Oct-2025 and Nov-2025 move the most. Months where ASXN is day-complete (Dec-2025 onward) still tie to the chart exactly. NOTE the two providers also differ in level on days where both exist, so the join is not seamless; no scaling or smoothing has been applied to hide that.</t>
        </is>
      </c>
    </row>
    <row r="5" ht="98" customHeight="1">
      <c r="A5" s="44" t="inlineStr">
        <is>
          <t>•  SPOT FEES ARE ASXN-PRIMARY, DEFILLAMA ONLY AS GAP-FILL. The ASXN income statement gives fees_spot (protocol-bound spot revenue, net) and fees_spot_unit (the Hyperunit deployer cut). It publishes no gross spot-fee line, so gross is derived as fees_spot/(1-HLP) + fees_spot_unit, the one form that makes the bridge (gross - Unit - HLP) reproduce ASXN's own fees_spot exactly. ASXN's fee reconstruction starts 2025-08-17; everything before that is DefiLlama hyperliquid-spot-orderbook dailyFees and is shaded amber. (This supersedes the v6/v7 note that said spot fees were DefiLlama throughout - they have not been since v8.)</t>
        </is>
      </c>
    </row>
    <row r="6" ht="140" customHeight="1">
      <c r="A6" s="44" t="inlineStr">
        <is>
          <t>•  ASXN CHART DATES ARE SHIFTED ONE DAY FORWARD vs its API. Every monthly bar on the hyperscreener dashboard buckets from the 2nd of the month to the 1st of the next - its 'July' bar is 2 Jul to 1 Aug, not 1-31 Jul. Proven on HIP-3: the API gives $114.79B for calendar July while the chart tooltip reads $111.75B, and the shifted window reproduces the tooltip on all five deployer DEXs to the cent (xyz $111.49B, mkts $167.39M, hyna $60.38M, para $30.17M, cash $778.35K). The same offset applies to the category chart ($108.22B calendar vs $105.19B displayed). This workbook uses the API's raw date strings, i.e. TRUE CALENDAR MONTHS, so any month cross-checked against an ASXN chart will differ by one boundary day at each end. Their income-statement TABLE uses calendar months and does tie directly. Separately, ASXN charts also let the user toggle deployer DEXs on and off, so a chart total may exclude DEXs this workbook includes.</t>
        </is>
      </c>
    </row>
    <row r="7" ht="56" customHeight="1">
      <c r="A7" s="44" t="inlineStr">
        <is>
          <t>•  BRIDGE (per segment): Gross Fees − HLP − (Unit on spot) − (deployer on HIP-3 / HIP-4) = Revenue to HyperCore. Builder code fees are ON-TOP (paid by users to front-ends) and are NOT deducted. Sum of segment revenues = HyperCore Revenue = hyperscreener "HyperCore Buybacks" (north star). + HyperEVM + Auction burn = Total Revenue.</t>
        </is>
      </c>
    </row>
    <row r="8" ht="56" customHeight="1">
      <c r="A8" s="44" t="inlineStr">
        <is>
          <t>•  Core crypto perp is the residual segment: Core Revenue = HyperCore − Spot − HIP-3 − HIP-4; Core Fees = Core Revenue / (1 − HLP). This makes the bridge tie exactly to the north star (Check column ≈ 0).</t>
        </is>
      </c>
    </row>
    <row r="9" ht="56" customHeight="1">
      <c r="A9" s="44" t="inlineStr">
        <is>
          <t>•  HLP share: 1% of perp+spot fees from 2025-08-30 (3% before); on spot it applies to (fees − Unit). ASSUMPTION: HIP-4 is modelled on the same HLP share — Hyperliquid has not published an HIP-4-specific HLP split. The amounts are immaterial (&lt;$100 cumulative), and any accrual-vs-buyback timing difference is absorbed by the core-perp residual.</t>
        </is>
      </c>
    </row>
    <row r="10" ht="196" customHeight="1">
      <c r="A10" s="44" t="inlineStr">
        <is>
          <t>•  HIP-4 IS MONETISED AND THIRD-PARTY DEPLOYMENT IS NOW LIVE - AND IT NOW DOMINATES. Launch 2026-05-02 was effectively zero-fee. Fees are 7bps taker / 4bps maker charged ONLY on CLOSE / SETTLE, so the realised take-rate sits far below the nominal schedule. PERMISSIONLESS THIRD-PARTY DEPLOYMENT SHIPPED TO MAINNET ON 2026-08-29 (network upgrade ~08:39 UTC); a deployer stakes 500,000 HYPE for six months and calls activateOutcomeDeployer. SEE THE DEDICATED HIP-4 SHEET for the deployer split (it is deliberately NOT on the Daily Model, which carries only the four HIP-4 lines that feed the bridge: volume, fees, HLP and deployer share). Third-party volume is EXACTLY ZERO on every day before 2026-08-29 and non-zero from that day on - an independent confirmation of the date that does not rely on any announcement. In-house (Hyperliquid-canonical) was 100% of HIP-4 through 2026-08-28; over 2026-09-13..09-19 third-party venues were 89.7% of volume. Cumulative to 2026-09-19: $340.5M total, $305.0M in-house (89.6%), $35.5M third-party (10.4%) - the cumulative still looks in-house-heavy only because third-party is three weeks old. Market types also broadened from BTC price buckets alone to football (UEFA, La Liga), company-IPO and policy-rate templates.</t>
        </is>
      </c>
    </row>
    <row r="11" ht="280" customHeight="1">
      <c r="A11" s="44" t="inlineStr">
        <is>
          <t>•  HIP-4 DEPLOYER FEE SHARE IS NOW DEDUCTED (it was hardcoded ZERO through v10, which the on-chain data contradicts). WHICH VENUES: deployerFeeScale in Hyperliquid's outcomeMeta tracks venue exactly - out 1.0 (97 outcomes), skew 1.0 (52), txyz unset (69), canonical unset (8) - so the deduction hits out and skew only and is zero before 2026-08-29. WHERE THE 50% COMES FROM - the deployer addresses' own USDC balances, not a read-across from HIP-3. Deployer fees credit the balance with no transfer event (as HIP-3 feeRecipient accrual does), so the balance IS the accrued share. Against Loris's per-venue fees (trading + settlement): out $17,090.87 on $31,238.19 = 54.7%; skew $409.60 on $773.56 = 52.9%; txyz, flag unset, $0.00 on $883.85 = 0.0%. Two venues with the flag land independently either side of 50% and the control is exactly zero. They read slightly above 50% because balances are point-in-time and include accrual after the Loris snapshot, and skew carries a small pre-HIP-4 residue; out's ledger predates HIP-4 entirely so out is the clean read. CORRECTION TO AN EARLIER DRAFT: this does NOT rest on HIP-3 reusing deployerFeeScale - perpDexs exposes no such field, only a setDeployerFees permission, so HIP-3 cannot calibrate it. BASE: applied to TRADING fees only, matching the HIP-4 Fees column. Deployers also take a share of SETTLEMENT fees, but settlement is not in this model's fee base at all, so deducting it would subtract revenue never credited - which is why the modelled deduction (~$11.4K) is deliberately smaller than the deployers' true take (~$17.5K). STILL AN ESTIMATE, hence amber: no provider publishes an HIP-4 deployer fee line and the docs still name only spot and HIP-3 perp deployers. Cumulative effect about -$11.4K of HIP-4 revenue - a third of that line, 0.001% of total protocol revenue.</t>
        </is>
      </c>
    </row>
    <row r="12" ht="56" customHeight="1">
      <c r="A12" s="44" t="inlineStr">
        <is>
          <t>•  HIP-3 VOLUME AND FEES NOW BOTH COME FROM ASXN . Volume: /api/meta/hip3/daily-volume-chart. Fees: /api/income-statement fees_hip3 (protocol) + fees_hip3_deployer (deployer), which ASXN reconstructs from HL node_fills (S3) using each dex's per-day deployerShare. VOLUME BARELY MOVED (+0.12% cumulative vs Loris over the 310-day overlap) - the swap is about the FEES.</t>
        </is>
      </c>
    </row>
    <row r="13" ht="98" customHeight="1">
      <c r="A13" s="44" t="inlineStr">
        <is>
          <t>•  HIP-3 FEES ARE SPLIT AT SOURCE. ASXN gives fees_hip3 (protocol / Assistance-Fund-bound) and fees_hip3_deployer (the third-party DEX deployer cut) as separate fields, derived per-day from each dex's deployerShare (deployerFeeScale). Gross is reconstructed as fees_hip3 x (1+HLP Rate) + deployer, the one form that makes the bridge land back on ASXN's own fees_hip3 exactly ($0.00 over 315 days). Note Loris's timeseries.total_fees is NOT gross - it tracks the protocol portion (median daily ratio 0.982 against ASXN fees_hip3, 0.496 against ASXN gross), which is why this model does not use it.</t>
        </is>
      </c>
    </row>
    <row r="14" ht="56" customHeight="1">
      <c r="A14" s="44" t="inlineStr">
        <is>
          <t>•  HIP-3 DEPLOYER SHARE IS ~50%, VISIBLE IN THE DATA. On ASXN's split the deployer take is exactly 50.0% of gross for 2025-10..2025-12 and 47.5-49.9% since, consistent with HIP-3's published 50% cap with some DEXs electing a lower share. Deployer fees never reach the Assistance Fund, so they can never fund a buyback and are excluded from revenue throughout.</t>
        </is>
      </c>
    </row>
    <row r="15" ht="98" customHeight="1">
      <c r="A15" s="44" t="inlineStr">
        <is>
          <t>•  HIP-3 CATEGORY SPLIT: EXACT per-symbol HIP-3 volume (HL perpDexs candles, 262 listings across 10 deployer DEXs), each symbol mapped to an asset category and then pro-rated by (ASXN HIP-3 volume total / sum of categories) so the 7 categories sum exactly to HIP-3 volume on every day. The mapping uses ASXN's OWN published per-symbol category map first, with a local map for the 67 listings ASXN has not yet categorised; zero symbols are unmapped. Validated against ASXN's category feed over the 266-day overlap: every category within ~1.2pp of ASXN's mix (indices −1.2pp, commodities +0.5pp, stocks +0.5pp, the rest &lt;0.1pp).</t>
        </is>
      </c>
    </row>
    <row r="16" ht="56" customHeight="1">
      <c r="A16" s="44" t="inlineStr">
        <is>
          <t>•  CXMT (ChangXin Memory) and UNITREE (Unitree Robotics) are classified as STOCKS, not pre-IPO. Both are absent from ASXN's per-symbol map so the call was made empirically: as pre-IPO they push the pre-IPO share +0.21pp above ASXN's own feed, as stocks pre-IPO lands at −0.02pp. Flagged because it is a judgement call on ~$1.2B of volume.</t>
        </is>
      </c>
    </row>
    <row r="17" ht="56" customHeight="1">
      <c r="A17" s="44" t="inlineStr">
        <is>
          <t>•  BONDS: US Treasury bond perps — km:USBOND (from 2026-01-21) and para:10Y (from 2026-08-12, priced as the 10-year yield ~4.7). Together ~0.01% of HIP-3 volume. Shown as their own column and excluded from the 6-category ASXN comparison above (hyperscreener does not surface a bonds category).</t>
        </is>
      </c>
    </row>
    <row r="18" ht="98" customHeight="1">
      <c r="A18" s="44" t="inlineStr">
        <is>
          <t>•  PRE-2025-03-20 REVENUE: hyperscreener's HyperCore buyback/revenue feed only begins 2025-03-20. Before that, the AMBER-shaded HyperCore Revenue (and the segment bridge it drives) is built from DefiLlama perp+spot holders-revenue, available from 2024-12-23. Cumulative pre-program revenue ($131.7M) reconciles to the AF's actual on-chain HYPE accumulation ($133.5M / 6.31M HYPE) within 1.3%. Pre-program Buyback HYPE = daily AF-balance increase; price = HYPE market price. HyperEVM/Auction burn set to 0 pre-program (HyperEVM mainnet 2025-02-18; immaterial). All values from 2025-03-20 onward are unchanged hyperscreener data.</t>
        </is>
      </c>
    </row>
    <row r="19" ht="154" customHeight="1">
      <c r="A19" s="44" t="inlineStr">
        <is>
          <t>•  TEAM UNLOCKS — GAP NOW CLOSED THROUGH 2026-09-06. "Team Tokens Unlocked" is read straight off-chain from the core-contributor address 0x43e9abea1910387c4292bca4b94de81462f8a251 (POST api.hyperliquid.xyz/info, type=userNonFundingLedgerUpdates, summing outgoing HYPE spotTransfers) for every claim from 2026-05-06 onward, refreshed 2026-09-21 and now including the 2026-09-06 claim of 433,419 HYPE. Claims from 2025-11-06 to 2026-04-06 still come from the public trackers (insights.unlocks.app / tokenomist) and are NOT re-sourced; on the overlap the chain disagrees with them in two places (2026-03-06 vs an on-chain 2026-03-07, and 330,000 vs an on-chain 333,335 on 2026-04-06, +3,335 HYPE). Those tracker values are left as-is pending instruction. After the last sourced claim "Core Contributors Locked" is HELD FLAT and "Circulating Token Supply" inherits that - both amber from 2026-09-07 onward. OTS is unaffected (team vesting moves tokens Core-&gt;Circulating without changing OTS).</t>
        </is>
      </c>
    </row>
    <row r="20" ht="56" customHeight="1">
      <c r="A20" s="44" t="inlineStr">
        <is>
          <t>•  IMPLIED STAKING YIELD is computed from this sheet's own columns: Staking Emissions x 365 / (HYPE Staked x 1e6). It is the naive annualized network yield, NOT ASXN's published APR (which is a smoothed, reward-curve figure on a different stake basis). Quarterly value = average of the daily values in the quarter.</t>
        </is>
      </c>
    </row>
    <row r="21" ht="56" customHeight="1">
      <c r="A21" s="44" t="inlineStr">
        <is>
          <t>•  OTS (Hyperliquid Strategies basis) = 1,000M − Future Emissions&amp;CR − Hyper Foundation − Assistance Fund − Community Grants − HyperCore&amp;HyperEVM fee burns. Validated to HL Strategies 29-Apr-2026 (477.0M vs 476.7M). Split into Core Contributors (locked) + Circulating.</t>
        </is>
      </c>
    </row>
    <row r="22" ht="56" customHeight="1">
      <c r="A22" s="44" t="inlineStr">
        <is>
          <t>•  BUILDER CODE FEES are informational only (on-top, never deducted in the bridge). ASXN revises this series: the 2026-05-21..06-04 window came back 10-25% LOWER on the 2026-08-19 pull than on the 2026-06-04 pull. The newer values are used for the overlap; pre-2026-05-21 days are carried from the earlier pull because the endpoint only serves a trailing ~90-day window.</t>
        </is>
      </c>
    </row>
    <row r="25" ht="18" customHeight="1">
      <c r="A25" s="45" t="inlineStr">
        <is>
          <t>FIELD MAP — what each model line reads, and exactly where it comes from</t>
        </is>
      </c>
    </row>
    <row r="26">
      <c r="A26" s="46" t="inlineStr">
        <is>
          <t>Model line</t>
        </is>
      </c>
      <c r="B26" s="46" t="inlineStr">
        <is>
          <t>Endpoint</t>
        </is>
      </c>
      <c r="C26" s="46" t="inlineStr">
        <is>
          <t>Field</t>
        </is>
      </c>
      <c r="D26" s="46" t="inlineStr">
        <is>
          <t>Basis / note</t>
        </is>
      </c>
    </row>
    <row r="27" ht="34" customHeight="1">
      <c r="A27" s="47" t="inlineStr">
        <is>
          <t>HyperCore Revenue</t>
        </is>
      </c>
      <c r="B27" s="47" t="inlineStr">
        <is>
          <t>api/buyback/revenues</t>
        </is>
      </c>
      <c r="C27" s="47" t="inlineStr">
        <is>
          <t>data[].'HyperCore Buybacks'</t>
        </is>
      </c>
      <c r="D27" s="47" t="inlineStr">
        <is>
          <t>Source value, taken as given. The north star. 522 days from 2025-03-20.</t>
        </is>
      </c>
    </row>
    <row r="28" ht="34" customHeight="1">
      <c r="A28" s="47" t="inlineStr">
        <is>
          <t>HyperEVM Burn</t>
        </is>
      </c>
      <c r="B28" s="47" t="inlineStr">
        <is>
          <t>api/buyback/revenues</t>
        </is>
      </c>
      <c r="C28" s="47" t="inlineStr">
        <is>
          <t>data[].'HyperEVM Burn'</t>
        </is>
      </c>
      <c r="D28" s="47" t="inlineStr">
        <is>
          <t>Source value.</t>
        </is>
      </c>
    </row>
    <row r="29" ht="34" customHeight="1">
      <c r="A29" s="47" t="inlineStr">
        <is>
          <t>Auction Burn</t>
        </is>
      </c>
      <c r="B29" s="47" t="inlineStr">
        <is>
          <t>api/buyback/revenues</t>
        </is>
      </c>
      <c r="C29" s="47" t="inlineStr">
        <is>
          <t>data[].'Auction Burn'</t>
        </is>
      </c>
      <c r="D29" s="47" t="inlineStr">
        <is>
          <t>Source value.</t>
        </is>
      </c>
    </row>
    <row r="30" ht="34" customHeight="1">
      <c r="A30" s="47" t="inlineStr">
        <is>
          <t>Core Crypto Perp Revenue</t>
        </is>
      </c>
      <c r="B30" s="47" t="inlineStr">
        <is>
          <t>ASXN income-statement</t>
        </is>
      </c>
      <c r="C30" s="47" t="inlineStr">
        <is>
          <t>fees_perp</t>
        </is>
      </c>
      <c r="D30" s="47" t="inlineStr">
        <is>
          <t>SOURCE from 2025-08-17; DefiLlama hyperliquid-perps fill before that (amber); 27 days blank, covered by neither.</t>
        </is>
      </c>
    </row>
    <row r="31" ht="34" customHeight="1">
      <c r="A31" s="47" t="inlineStr">
        <is>
          <t>Spot Revenue</t>
        </is>
      </c>
      <c r="B31" s="47" t="inlineStr">
        <is>
          <t>api/income-statement</t>
        </is>
      </c>
      <c r="C31" s="47" t="inlineStr">
        <is>
          <t>fees_spot</t>
        </is>
      </c>
      <c r="D31" s="47" t="inlineStr">
        <is>
          <t>ASXN labels it "Spot Markets". Already net of Unit and HLP. Bridge reproduces it to $0.00 over 372 days.</t>
        </is>
      </c>
    </row>
    <row r="32" ht="34" customHeight="1">
      <c r="A32" s="47" t="inlineStr">
        <is>
          <t>HIP-3 Revenue</t>
        </is>
      </c>
      <c r="B32" s="47" t="inlineStr">
        <is>
          <t>api/income-statement</t>
        </is>
      </c>
      <c r="C32" s="47" t="inlineStr">
        <is>
          <t>fees_hip3</t>
        </is>
      </c>
      <c r="D32" s="47" t="inlineStr">
        <is>
          <t>ASXN labels it "HIP-3" under Perp Revenue. Already net of deployer and HLP. Bridge reproduces it to $0.00 over 315 days.</t>
        </is>
      </c>
    </row>
    <row r="33" ht="34" customHeight="1">
      <c r="A33" s="47" t="inlineStr">
        <is>
          <t>(-) Unit Protocol Fees</t>
        </is>
      </c>
      <c r="B33" s="47" t="inlineStr">
        <is>
          <t>api/income-statement</t>
        </is>
      </c>
      <c r="C33" s="47" t="inlineStr">
        <is>
          <t>fees_spot_unit</t>
        </is>
      </c>
      <c r="D33" s="47" t="inlineStr">
        <is>
          <t>Hyperunit deployer cut. DefiLlama /summary/fees/unit before 2025-08-17 (amber).</t>
        </is>
      </c>
    </row>
    <row r="34" ht="34" customHeight="1">
      <c r="A34" s="47" t="inlineStr">
        <is>
          <t>(-) HIP-3 Deployer Fees</t>
        </is>
      </c>
      <c r="B34" s="47" t="inlineStr">
        <is>
          <t>api/income-statement</t>
        </is>
      </c>
      <c r="C34" s="47" t="inlineStr">
        <is>
          <t>fees_hip3_deployer</t>
        </is>
      </c>
      <c r="D34" s="47" t="inlineStr">
        <is>
          <t>Third-party DEX operator cut; never reaches the AF. JSON only - not shown in ASXN UI.</t>
        </is>
      </c>
    </row>
    <row r="35" ht="34" customHeight="1">
      <c r="A35" s="47" t="inlineStr">
        <is>
          <t>(-) HLP (all segments)</t>
        </is>
      </c>
      <c r="B35" s="47" t="inlineStr">
        <is>
          <t>ASXN UI only — NOT in the JSON</t>
        </is>
      </c>
      <c r="C35" s="47" t="inlineStr">
        <is>
          <t>Revenue tab &gt; Costs &gt; HLP</t>
        </is>
      </c>
      <c r="D35" s="47" t="inlineStr">
        <is>
          <t>COMPUTED CLIENT-SIDE by ASXN as exactly 1% of NET revenue. Model uses rate/(1+rate) on the grossed-up base and matches their row to the cent across 9 months.</t>
        </is>
      </c>
    </row>
    <row r="36" ht="34" customHeight="1">
      <c r="A36" s="47" t="inlineStr">
        <is>
          <t>Spot Fees incl Unit</t>
        </is>
      </c>
      <c r="B36" s="47" t="inlineStr">
        <is>
          <t>DERIVED</t>
        </is>
      </c>
      <c r="C36" s="47">
        <f> Spot Revenue x (1+HLP) + Unit</f>
        <v/>
      </c>
      <c r="D36" s="47" t="inlineStr">
        <is>
          <t>ASXN publishes no gross spot-fee line. DefiLlama dailyFees before 2025-08-17 (amber).</t>
        </is>
      </c>
    </row>
    <row r="37" ht="34" customHeight="1">
      <c r="A37" s="47" t="inlineStr">
        <is>
          <t>HIP-3 Gross Fees</t>
        </is>
      </c>
      <c r="B37" s="47" t="inlineStr">
        <is>
          <t>DERIVED</t>
        </is>
      </c>
      <c r="C37" s="47">
        <f> HIP-3 Revenue x (1+HLP) + Deployer</f>
        <v/>
      </c>
      <c r="D37" s="47" t="inlineStr">
        <is>
          <t>ASXN publishes no gross HIP-3 fee line.</t>
        </is>
      </c>
    </row>
    <row r="38" ht="34" customHeight="1">
      <c r="A38" s="47" t="inlineStr">
        <is>
          <t>Core Crypto Perp Vol</t>
        </is>
      </c>
      <c r="B38" s="47" t="inlineStr">
        <is>
          <t>api/cloudfront/total_volume</t>
        </is>
      </c>
      <c r="C38" s="47" t="inlineStr">
        <is>
          <t>sum of all coins less dex: coins</t>
        </is>
      </c>
      <c r="D38" s="47" t="inlineStr">
        <is>
          <t>Single-sided notional. Ties to api/cloudfront/hip3_percentage total at ratio 1.0000.</t>
        </is>
      </c>
    </row>
    <row r="39" ht="34" customHeight="1">
      <c r="A39" s="47" t="inlineStr">
        <is>
          <t>HIP-3 Perp Vol</t>
        </is>
      </c>
      <c r="B39" s="47" t="inlineStr">
        <is>
          <t>api/meta/hip3/daily-volume-chart</t>
        </is>
      </c>
      <c r="C39" s="47" t="inlineStr">
        <is>
          <t>total_volume</t>
        </is>
      </c>
      <c r="D39" s="47" t="inlineStr">
        <is>
          <t>Date-realigned +1 day through 2025-11-26; see the column comment.</t>
        </is>
      </c>
    </row>
    <row r="40" ht="34" customHeight="1">
      <c r="A40" s="47" t="inlineStr">
        <is>
          <t>Spot Vol</t>
        </is>
      </c>
      <c r="B40" s="47" t="inlineStr">
        <is>
          <t>api/spot-ecosystem/hl-spot-ecosystem</t>
        </is>
      </c>
      <c r="C40" s="47" t="inlineStr">
        <is>
          <t>marketData[date][].'Daily Volume'</t>
        </is>
      </c>
      <c r="D40" s="47" t="inlineStr">
        <is>
          <t>Summed across all 307 listings. DefiLlama fill on 293 of 632 days (amber).</t>
        </is>
      </c>
    </row>
    <row r="41" ht="34" customHeight="1">
      <c r="A41" s="47" t="inlineStr">
        <is>
          <t>HIP-4 Vol / Fees</t>
        </is>
      </c>
      <c r="B41" s="47" t="inlineStr">
        <is>
          <t>Loris</t>
        </is>
      </c>
      <c r="C41" s="47" t="inlineStr">
        <is>
          <t>api.loris.tools/hip4-analytics/dashboard?range=all -&gt; timeseries.volume, timeseries.total_fees</t>
        </is>
      </c>
      <c r="D41" s="47" t="inlineStr">
        <is>
          <t>Loris, not ASXN - ASXN runs ~2.2x high (counts contracts, not USDC notional). Needs a logged-in loris.tools session.</t>
        </is>
      </c>
    </row>
    <row r="42" ht="34" customHeight="1">
      <c r="A42" s="47" t="inlineStr">
        <is>
          <t>HIP-3 categories</t>
        </is>
      </c>
      <c r="B42" s="47" t="inlineStr">
        <is>
          <t>api/categories/hip3-categories/historical</t>
        </is>
      </c>
      <c r="C42" s="47" t="inlineStr">
        <is>
          <t>commodities, crypto, fx, indices, preipo, stocks</t>
        </is>
      </c>
      <c r="D42" s="47" t="inlineStr">
        <is>
          <t>Pre-2025-11-27 backfilled from ASXN per-symbol map (amber).</t>
        </is>
      </c>
    </row>
    <row r="43" ht="34" customHeight="1">
      <c r="A43" s="47" t="inlineStr">
        <is>
          <t>Buyback HYPE / price</t>
        </is>
      </c>
      <c r="B43" s="47" t="inlineStr">
        <is>
          <t>api/buyback/hl-buybacks</t>
        </is>
      </c>
      <c r="C43" s="47" t="inlineStr">
        <is>
          <t>sz, average_price</t>
        </is>
      </c>
      <c r="D43" s="47" t="inlineStr">
        <is>
          <t>Source values.</t>
        </is>
      </c>
    </row>
    <row r="44" ht="34" customHeight="1">
      <c r="A44" s="47" t="inlineStr">
        <is>
          <t>AF HYPE Balance</t>
        </is>
      </c>
      <c r="B44" s="47" t="inlineStr">
        <is>
          <t>api/buyback/assistance-fund-holdings</t>
        </is>
      </c>
      <c r="C44" s="47" t="inlineStr">
        <is>
          <t>balance</t>
        </is>
      </c>
      <c r="D44" s="47" t="inlineStr">
        <is>
          <t>Month/period-end.</t>
        </is>
      </c>
    </row>
    <row r="45" ht="34" customHeight="1">
      <c r="A45" s="47" t="inlineStr">
        <is>
          <t>Supply &amp; fee burns</t>
        </is>
      </c>
      <c r="B45" s="47" t="inlineStr">
        <is>
          <t>api/buyback/daily-burn</t>
        </is>
      </c>
      <c r="C45" s="47" t="inlineStr">
        <is>
          <t>dailyBurn, currentDaySupply</t>
        </is>
      </c>
      <c r="D45" s="47" t="inlineStr">
        <is>
          <t>HyperCore burns only; HyperEVM leg added separately.</t>
        </is>
      </c>
    </row>
    <row r="46" ht="34" customHeight="1">
      <c r="A46" s="47" t="inlineStr">
        <is>
          <t>Emissions / circulating</t>
        </is>
      </c>
      <c r="B46" s="47" t="inlineStr">
        <is>
          <t>api/validators/daily-emissions</t>
        </is>
      </c>
      <c r="C46" s="47" t="inlineStr">
        <is>
          <t>dailyEmission, currentDayFutureEmission, currentDaySupply</t>
        </is>
      </c>
      <c r="D46" s="47" t="inlineStr">
        <is>
          <t>Source values.</t>
        </is>
      </c>
    </row>
    <row r="47" ht="34" customHeight="1">
      <c r="A47" s="47" t="inlineStr">
        <is>
          <t>HYPE Staked</t>
        </is>
      </c>
      <c r="B47" s="47" t="inlineStr">
        <is>
          <t>api/validators/hype-staking/metrics</t>
        </is>
      </c>
      <c r="C47" s="47" t="inlineStr">
        <is>
          <t>stakeSupplyTimeseries[].totalStake</t>
        </is>
      </c>
      <c r="D47" s="47" t="inlineStr">
        <is>
          <t>Period-end.</t>
        </is>
      </c>
    </row>
    <row r="48" ht="34" customHeight="1">
      <c r="A48" s="47" t="inlineStr">
        <is>
          <t>HYPE Price</t>
        </is>
      </c>
      <c r="B48" s="47" t="inlineStr">
        <is>
          <t>api/buyback/hype-price</t>
        </is>
      </c>
      <c r="C48" s="47" t="inlineStr">
        <is>
          <t>close</t>
        </is>
      </c>
      <c r="D48" s="47" t="inlineStr">
        <is>
          <t>Daily OHLCV.</t>
        </is>
      </c>
    </row>
    <row r="49" ht="34" customHeight="1">
      <c r="A49" s="47" t="inlineStr">
        <is>
          <t>Hyper Foundation / Community Grants</t>
        </is>
      </c>
      <c r="B49" s="47" t="inlineStr">
        <is>
          <t>hypestrat.xyz/hype-tokenomics</t>
        </is>
      </c>
      <c r="C49" s="47" t="inlineStr">
        <is>
          <t>60,429,540 / 2,966,562</t>
        </is>
      </c>
      <c r="D49" s="47" t="inlineStr">
        <is>
          <t>Fixed constants, NOT ASXN.</t>
        </is>
      </c>
    </row>
    <row r="51">
      <c r="A51" s="46" t="inlineStr">
        <is>
          <t>Data</t>
        </is>
      </c>
      <c r="B51" s="46" t="inlineStr">
        <is>
          <t>Source</t>
        </is>
      </c>
      <c r="C51" s="46" t="inlineStr">
        <is>
          <t>Endpoint / URL</t>
        </is>
      </c>
      <c r="D51" s="46" t="inlineStr">
        <is>
          <t>Notes</t>
        </is>
      </c>
    </row>
    <row r="54">
      <c r="A54" s="45" t="inlineStr">
        <is>
          <t>FIELD MAP — every model line traced to its exact endpoint and field</t>
        </is>
      </c>
    </row>
    <row r="55">
      <c r="A55" s="46" t="inlineStr">
        <is>
          <t>Model line</t>
        </is>
      </c>
      <c r="B55" s="46" t="inlineStr">
        <is>
          <t>Endpoint</t>
        </is>
      </c>
      <c r="C55" s="46" t="inlineStr">
        <is>
          <t>Field / formula</t>
        </is>
      </c>
      <c r="D55" s="46" t="inlineStr">
        <is>
          <t>Type</t>
        </is>
      </c>
    </row>
    <row r="56" ht="26" customHeight="1">
      <c r="A56" s="47" t="inlineStr">
        <is>
          <t>HyperCore Revenue ($)</t>
        </is>
      </c>
      <c r="B56" s="47" t="inlineStr">
        <is>
          <t>/api/buyback/revenues</t>
        </is>
      </c>
      <c r="C56" s="47" t="inlineStr">
        <is>
          <t>data[].'HyperCore Buybacks'</t>
        </is>
      </c>
      <c r="D56" s="47" t="inlineStr">
        <is>
          <t>SOURCE (north star)</t>
        </is>
      </c>
    </row>
    <row r="57" ht="26" customHeight="1">
      <c r="A57" s="47" t="inlineStr">
        <is>
          <t>HyperEVM Burn ($)</t>
        </is>
      </c>
      <c r="B57" s="47" t="inlineStr">
        <is>
          <t>/api/buyback/revenues</t>
        </is>
      </c>
      <c r="C57" s="47" t="inlineStr">
        <is>
          <t>data[].'HyperEVM Burn'</t>
        </is>
      </c>
      <c r="D57" s="47" t="inlineStr">
        <is>
          <t>SOURCE</t>
        </is>
      </c>
    </row>
    <row r="58" ht="26" customHeight="1">
      <c r="A58" s="47" t="inlineStr">
        <is>
          <t>Auction Burn ($)</t>
        </is>
      </c>
      <c r="B58" s="47" t="inlineStr">
        <is>
          <t>/api/buyback/revenues</t>
        </is>
      </c>
      <c r="C58" s="47" t="inlineStr">
        <is>
          <t>data[].'Auction Burn'</t>
        </is>
      </c>
      <c r="D58" s="47" t="inlineStr">
        <is>
          <t>SOURCE</t>
        </is>
      </c>
    </row>
    <row r="59" ht="26" customHeight="1">
      <c r="A59" s="47" t="inlineStr">
        <is>
          <t>Total Revenue ($)</t>
        </is>
      </c>
      <c r="B59" s="47" t="inlineStr">
        <is>
          <t>—</t>
        </is>
      </c>
      <c r="C59" s="47">
        <f> HyperCore Revenue + HyperEVM Burn + Auction Burn</f>
        <v/>
      </c>
      <c r="D59" s="47" t="inlineStr">
        <is>
          <t>FORMULA (cash basis)</t>
        </is>
      </c>
    </row>
    <row r="60" ht="26" customHeight="1">
      <c r="A60" s="47" t="inlineStr">
        <is>
          <t>Core Crypto Perp Revenue ($)</t>
        </is>
      </c>
      <c r="B60" s="47" t="inlineStr">
        <is>
          <t>/api/income-statement?time_range=all&amp;granularity=daily</t>
        </is>
      </c>
      <c r="C60" s="47" t="inlineStr">
        <is>
          <t>fees_perp</t>
        </is>
      </c>
      <c r="D60" s="47" t="inlineStr">
        <is>
          <t>SOURCE</t>
        </is>
      </c>
    </row>
    <row r="61" ht="26" customHeight="1">
      <c r="A61" s="47" t="inlineStr">
        <is>
          <t>HIP-3 Revenue ($)</t>
        </is>
      </c>
      <c r="B61" s="47" t="inlineStr">
        <is>
          <t>/api/income-statement</t>
        </is>
      </c>
      <c r="C61" s="47">
        <f> HIP-3 Gross - Deployer  (= fees_hip3)</f>
        <v/>
      </c>
      <c r="D61" s="47" t="inlineStr">
        <is>
          <t>FORMULA -&gt; ties to ASXN</t>
        </is>
      </c>
    </row>
    <row r="62" ht="26" customHeight="1">
      <c r="A62" s="47" t="inlineStr">
        <is>
          <t>Spot Revenue ($)</t>
        </is>
      </c>
      <c r="B62" s="47" t="inlineStr">
        <is>
          <t>/api/income-statement</t>
        </is>
      </c>
      <c r="C62" s="47">
        <f> Spot Fees - Unit  (= fees_spot)</f>
        <v/>
      </c>
      <c r="D62" s="47" t="inlineStr">
        <is>
          <t>FORMULA -&gt; ties to ASXN</t>
        </is>
      </c>
    </row>
    <row r="63" ht="26" customHeight="1">
      <c r="A63" s="47" t="inlineStr">
        <is>
          <t>HIP-4 Revenue ($)</t>
        </is>
      </c>
      <c r="B63" s="47" t="inlineStr">
        <is>
          <t>Loris /hip4</t>
        </is>
      </c>
      <c r="C63" s="47">
        <f> HIP-4 Fees - HIP-4 Deployer</f>
        <v/>
      </c>
      <c r="D63" s="47" t="inlineStr">
        <is>
          <t>FORMULA</t>
        </is>
      </c>
    </row>
    <row r="64" ht="26" customHeight="1">
      <c r="A64" s="47">
        <f> HyperCore Revenue (model)</f>
        <v/>
      </c>
      <c r="B64" s="47" t="inlineStr">
        <is>
          <t>—</t>
        </is>
      </c>
      <c r="C64" s="47">
        <f> Core + HIP-3 + Spot + HIP-4</f>
        <v/>
      </c>
      <c r="D64" s="47" t="inlineStr">
        <is>
          <t>FORMULA (accrual basis)</t>
        </is>
      </c>
    </row>
    <row r="65" ht="26" customHeight="1">
      <c r="A65" s="47" t="inlineStr">
        <is>
          <t>Check: model - hyperscreener</t>
        </is>
      </c>
      <c r="B65" s="47" t="inlineStr">
        <is>
          <t>—</t>
        </is>
      </c>
      <c r="C65" s="47">
        <f> accrual - cash. NOT zero: real accrual-vs-buyback gap</f>
        <v/>
      </c>
      <c r="D65" s="47" t="inlineStr">
        <is>
          <t>FORMULA (diagnostic)</t>
        </is>
      </c>
    </row>
    <row r="66" ht="26" customHeight="1">
      <c r="A66" s="47" t="inlineStr">
        <is>
          <t>HIP-3 Gross Fees ($)</t>
        </is>
      </c>
      <c r="B66" s="47" t="inlineStr">
        <is>
          <t>/api/income-statement</t>
        </is>
      </c>
      <c r="C66" s="47">
        <f> fees_hip3 + fees_hip3_deployer</f>
        <v/>
      </c>
      <c r="D66" s="47" t="inlineStr">
        <is>
          <t>DERIVED</t>
        </is>
      </c>
    </row>
    <row r="67" ht="26" customHeight="1">
      <c r="A67" s="47" t="inlineStr">
        <is>
          <t>(-) HIP-3 Deployer Fees ($)</t>
        </is>
      </c>
      <c r="B67" s="47" t="inlineStr">
        <is>
          <t>/api/income-statement</t>
        </is>
      </c>
      <c r="C67" s="47" t="inlineStr">
        <is>
          <t>fees_hip3_deployer</t>
        </is>
      </c>
      <c r="D67" s="47" t="inlineStr">
        <is>
          <t>SOURCE</t>
        </is>
      </c>
    </row>
    <row r="68" ht="26" customHeight="1">
      <c r="A68" s="47" t="inlineStr">
        <is>
          <t>Spot Fees incl Unit ($)</t>
        </is>
      </c>
      <c r="B68" s="47" t="inlineStr">
        <is>
          <t>/api/income-statement</t>
        </is>
      </c>
      <c r="C68" s="47">
        <f> fees_spot + fees_spot_unit</f>
        <v/>
      </c>
      <c r="D68" s="47" t="inlineStr">
        <is>
          <t>DERIVED</t>
        </is>
      </c>
    </row>
    <row r="69" ht="26" customHeight="1">
      <c r="A69" s="47" t="inlineStr">
        <is>
          <t>(-) Unit Protocol Fees ($)</t>
        </is>
      </c>
      <c r="B69" s="47" t="inlineStr">
        <is>
          <t>/api/income-statement</t>
        </is>
      </c>
      <c r="C69" s="47" t="inlineStr">
        <is>
          <t>fees_spot_unit</t>
        </is>
      </c>
      <c r="D69" s="47" t="inlineStr">
        <is>
          <t>SOURCE</t>
        </is>
      </c>
    </row>
    <row r="70" ht="26" customHeight="1">
      <c r="A70" s="47" t="inlineStr">
        <is>
          <t>(-) HLP on each segment</t>
        </is>
      </c>
      <c r="B70" s="47" t="inlineStr">
        <is>
          <t>UI-only (Revenue tab &gt; Costs &gt; HLP)</t>
        </is>
      </c>
      <c r="C70" s="47">
        <f> segment revenue x HLP Rate</f>
        <v/>
      </c>
      <c r="D70" s="47" t="inlineStr">
        <is>
          <t>DERIVED, validated vs UI</t>
        </is>
      </c>
    </row>
    <row r="71" ht="26" customHeight="1">
      <c r="A71" s="47" t="inlineStr">
        <is>
          <t>HLP Rate</t>
        </is>
      </c>
      <c r="B71" s="47" t="inlineStr">
        <is>
          <t>DefiLlama methodology</t>
        </is>
      </c>
      <c r="C71" s="47" t="inlineStr">
        <is>
          <t>1% from 2025-08-30, 3% before</t>
        </is>
      </c>
      <c r="D71" s="47" t="inlineStr">
        <is>
          <t>ASSUMPTION</t>
        </is>
      </c>
    </row>
    <row r="72" ht="26" customHeight="1">
      <c r="A72" s="47" t="inlineStr">
        <is>
          <t>Core Crypto Perp Vol ($)</t>
        </is>
      </c>
      <c r="B72" s="47" t="inlineStr">
        <is>
          <t>/api/cloudfront/total_volume</t>
        </is>
      </c>
      <c r="C72" s="47" t="inlineStr">
        <is>
          <t>sum(all coins) - sum(dex: coins)</t>
        </is>
      </c>
      <c r="D72" s="47" t="inlineStr">
        <is>
          <t>DERIVED</t>
        </is>
      </c>
    </row>
    <row r="73" ht="26" customHeight="1">
      <c r="A73" s="47" t="inlineStr">
        <is>
          <t>HIP-3 Perp Vol ($)</t>
        </is>
      </c>
      <c r="B73" s="47" t="inlineStr">
        <is>
          <t>/api/meta/hip3/daily-volume-chart?timeframe=all</t>
        </is>
      </c>
      <c r="C73" s="47" t="inlineStr">
        <is>
          <t>total_volume (date-realigned pre-2025-11-27)</t>
        </is>
      </c>
      <c r="D73" s="47" t="inlineStr">
        <is>
          <t>SOURCE</t>
        </is>
      </c>
    </row>
    <row r="74" ht="26" customHeight="1">
      <c r="A74" s="47" t="inlineStr">
        <is>
          <t>Spot Vol ($)</t>
        </is>
      </c>
      <c r="B74" s="47" t="inlineStr">
        <is>
          <t>/api/spot-ecosystem/hl-spot-ecosystem</t>
        </is>
      </c>
      <c r="C74" s="47" t="inlineStr">
        <is>
          <t>sum of all tokens' 'Daily Volume'</t>
        </is>
      </c>
      <c r="D74" s="47" t="inlineStr">
        <is>
          <t>SOURCE (DefiLlama fills gaps)</t>
        </is>
      </c>
    </row>
    <row r="75" ht="26" customHeight="1">
      <c r="A75" s="47" t="inlineStr">
        <is>
          <t>HIP-4 Vol / Fees ($)</t>
        </is>
      </c>
      <c r="B75" s="47" t="inlineStr">
        <is>
          <t>Loris /hip4 timeseries</t>
        </is>
      </c>
      <c r="C75" s="47" t="inlineStr">
        <is>
          <t>volume, total_fees (trading only)</t>
        </is>
      </c>
      <c r="D75" s="47" t="inlineStr">
        <is>
          <t>SOURCE (not ASXN)</t>
        </is>
      </c>
    </row>
    <row r="76" ht="26" customHeight="1">
      <c r="A76" s="47" t="inlineStr">
        <is>
          <t>(-) HIP-4 Deployer Fees ($)</t>
        </is>
      </c>
      <c r="B76" s="47" t="inlineStr">
        <is>
          <t>Loris per-venue fees x 50%</t>
        </is>
      </c>
      <c r="C76" s="47" t="inlineStr">
        <is>
          <t>fees_out + fees_skew, the venues with deployerFeeScale=1.0</t>
        </is>
      </c>
      <c r="D76" s="47" t="inlineStr">
        <is>
          <t>DERIVED (amber)</t>
        </is>
      </c>
    </row>
    <row r="77" ht="26" customHeight="1">
      <c r="A77" s="47" t="inlineStr">
        <is>
          <t>HIP-3 categories</t>
        </is>
      </c>
      <c r="B77" s="47" t="inlineStr">
        <is>
          <t>/api/categories/hip3-categories/historical</t>
        </is>
      </c>
      <c r="C77" s="47" t="inlineStr">
        <is>
          <t>6 categories, pro-rated to HIP-3 volume</t>
        </is>
      </c>
      <c r="D77" s="47" t="inlineStr">
        <is>
          <t>SOURCE + pro-rate</t>
        </is>
      </c>
    </row>
    <row r="78" ht="26" customHeight="1">
      <c r="A78" s="47" t="inlineStr">
        <is>
          <t>Buyback HYPE / Price</t>
        </is>
      </c>
      <c r="B78" s="47" t="inlineStr">
        <is>
          <t>/api/buyback/hl-buybacks</t>
        </is>
      </c>
      <c r="C78" s="47" t="inlineStr">
        <is>
          <t>sz, average_price</t>
        </is>
      </c>
      <c r="D78" s="47" t="inlineStr">
        <is>
          <t>SOURCE</t>
        </is>
      </c>
    </row>
    <row r="79" ht="26" customHeight="1">
      <c r="A79" s="47" t="inlineStr">
        <is>
          <t>AF HYPE Balance</t>
        </is>
      </c>
      <c r="B79" s="47" t="inlineStr">
        <is>
          <t>/api/buyback/assistance-fund-holdings</t>
        </is>
      </c>
      <c r="C79" s="47" t="inlineStr">
        <is>
          <t>balance</t>
        </is>
      </c>
      <c r="D79" s="47" t="inlineStr">
        <is>
          <t>SOURCE</t>
        </is>
      </c>
    </row>
    <row r="80" ht="26" customHeight="1">
      <c r="A80" s="47" t="inlineStr">
        <is>
          <t>Staking Emissions / Supply</t>
        </is>
      </c>
      <c r="B80" s="47" t="inlineStr">
        <is>
          <t>/api/validators/daily-emissions</t>
        </is>
      </c>
      <c r="C80" s="47" t="inlineStr">
        <is>
          <t>dailyEmission, currentDayFutureEmission</t>
        </is>
      </c>
      <c r="D80" s="47" t="inlineStr">
        <is>
          <t>SOURCE</t>
        </is>
      </c>
    </row>
    <row r="81" ht="26" customHeight="1">
      <c r="A81" s="47" t="inlineStr">
        <is>
          <t>Fee Burn / Total Supply</t>
        </is>
      </c>
      <c r="B81" s="47" t="inlineStr">
        <is>
          <t>/api/buyback/daily-burn</t>
        </is>
      </c>
      <c r="C81" s="47" t="inlineStr">
        <is>
          <t>dailyBurn, currentDaySupply</t>
        </is>
      </c>
      <c r="D81" s="47" t="inlineStr">
        <is>
          <t>SOURCE</t>
        </is>
      </c>
    </row>
    <row r="82" ht="26" customHeight="1">
      <c r="A82" s="47" t="inlineStr">
        <is>
          <t>HYPE Staked</t>
        </is>
      </c>
      <c r="B82" s="47" t="inlineStr">
        <is>
          <t>/api/validators/hype-staking/metrics</t>
        </is>
      </c>
      <c r="C82" s="47" t="inlineStr">
        <is>
          <t>stakeSupplyTimeseries[].totalStake</t>
        </is>
      </c>
      <c r="D82" s="47" t="inlineStr">
        <is>
          <t>SOURCE</t>
        </is>
      </c>
    </row>
    <row r="83" ht="26" customHeight="1">
      <c r="A83" s="47" t="inlineStr">
        <is>
          <t>HYPE Price</t>
        </is>
      </c>
      <c r="B83" s="47" t="inlineStr">
        <is>
          <t>/api/buyback/hype-price</t>
        </is>
      </c>
      <c r="C83" s="47" t="inlineStr">
        <is>
          <t>close</t>
        </is>
      </c>
      <c r="D83" s="47" t="inlineStr">
        <is>
          <t>SOURCE</t>
        </is>
      </c>
    </row>
    <row r="84" ht="26" customHeight="1">
      <c r="A84" s="47" t="inlineStr">
        <is>
          <t>Builder Code Fees ($)</t>
        </is>
      </c>
      <c r="B84" s="47" t="inlineStr">
        <is>
          <t>/api/node/builders/stacked-fees-chart?days=90</t>
        </is>
      </c>
      <c r="C84" s="47" t="inlineStr">
        <is>
          <t>sum of builders[].fees</t>
        </is>
      </c>
      <c r="D84" s="47" t="inlineStr">
        <is>
          <t>SOURCE</t>
        </is>
      </c>
    </row>
    <row r="85" ht="26" customHeight="1">
      <c r="A85" s="47" t="inlineStr">
        <is>
          <t>Hyper Foundation / Grants</t>
        </is>
      </c>
      <c r="B85" s="47" t="inlineStr">
        <is>
          <t>hypestrat.xyz/hype-tokenomics</t>
        </is>
      </c>
      <c r="C85" s="47" t="inlineStr">
        <is>
          <t>60,429,540 / 2,966,562</t>
        </is>
      </c>
      <c r="D85" s="47" t="inlineStr">
        <is>
          <t>EXTERNAL CONSTANT</t>
        </is>
      </c>
    </row>
    <row r="86" ht="26" customHeight="1">
      <c r="A86" s="47" t="inlineStr">
        <is>
          <t>Team Tokens Unlocked</t>
        </is>
      </c>
      <c r="B86" s="47" t="inlineStr">
        <is>
          <t>HL L1 API (on-chain) from May-2026; trackers before</t>
        </is>
      </c>
      <c r="C86" s="47" t="inlineStr">
        <is>
          <t>complete through 2026-09-06; held flat after</t>
        </is>
      </c>
      <c r="D86" s="47" t="inlineStr">
        <is>
          <t>SOURCE</t>
        </is>
      </c>
    </row>
    <row r="87" ht="34" customHeight="1">
      <c r="A87" s="47" t="inlineStr">
        <is>
          <t>Core / total perp volume</t>
        </is>
      </c>
      <c r="B87" s="47" t="inlineStr">
        <is>
          <t>hyperscreener (ASXN)</t>
        </is>
      </c>
      <c r="C87" s="47" t="inlineStr">
        <is>
          <t>https://api-hyperliquid.asxn.xyz/api/cloudfront/total_volume</t>
        </is>
      </c>
      <c r="D87" s="47" t="inlineStr">
        <is>
          <t>Daily $ by coin, summed. Core = total − HIP-3.</t>
        </is>
      </c>
    </row>
    <row r="88" ht="34" customHeight="1">
      <c r="A88" s="47" t="inlineStr">
        <is>
          <t>HIP-3 volume</t>
        </is>
      </c>
      <c r="B88" s="47" t="inlineStr">
        <is>
          <t>ASXN hyperscreener</t>
        </is>
      </c>
      <c r="C88" s="47" t="inlineStr">
        <is>
          <t>https://api-hyperliquid.asxn.xyz/api/meta/hip3/daily-volume-chart?timeframe=all</t>
        </is>
      </c>
      <c r="D88" s="47" t="inlineStr">
        <is>
          <t>total_volume across all 10 deployer DEXs, from 2025-10-12. Date-realigned +1 day through 2025-11-26 (see the column comment).</t>
        </is>
      </c>
    </row>
    <row r="89" ht="34" customHeight="1">
      <c r="A89" s="47" t="inlineStr">
        <is>
          <t>HIP-3 gross &amp; deployer fees</t>
        </is>
      </c>
      <c r="B89" s="47" t="inlineStr">
        <is>
          <t>ASXN hyperscreener</t>
        </is>
      </c>
      <c r="C89" s="47" t="inlineStr">
        <is>
          <t>https://api-hyperliquid.asxn.xyz/api/income-statement?time_range=all&amp;granularity=daily</t>
        </is>
      </c>
      <c r="D89" s="47" t="inlineStr">
        <is>
          <t>fees_hip3 (protocol/AF-bound) + fees_hip3_deployer (deployer cut). Gross = the two summed. Reconstructed by ASXN from HL node_fills (S3) using each dex's per-day deployerShare. Note Loris total_fees is the PROTOCOL portion, not gross, which is why it is not used here.</t>
        </is>
      </c>
    </row>
    <row r="90" ht="34" customHeight="1">
      <c r="A90" s="47" t="inlineStr">
        <is>
          <t>HIP-4 volume &amp; fees</t>
        </is>
      </c>
      <c r="B90" s="47" t="inlineStr">
        <is>
          <t>Loris</t>
        </is>
      </c>
      <c r="C90" s="47" t="inlineStr">
        <is>
          <t>https://api.loris.tools/hip4-analytics/dashboard?range=all (add &amp;venue=out|skew|txyz for the deployer split)</t>
        </is>
      </c>
      <c r="D90" s="47" t="inlineStr">
        <is>
          <t>timeseries.volume / timeseries.total_fees, 2026-05-02..2026-09-19. The API refuses unauthenticated calls, so it is read from a logged-in loris.tools browser session. Per-venue calls give the in-house vs third-party split. ASXN was trialled in an interim build and reverted: its outcome-coins/analytics/daily runs ~2.2x higher because total_volume_usdc behaves like contract count rather than USDC notional.</t>
        </is>
      </c>
    </row>
    <row r="91" ht="34" customHeight="1">
      <c r="A91" s="47" t="inlineStr">
        <is>
          <t>HIP-3 per-symbol volume (category split)</t>
        </is>
      </c>
      <c r="B91" s="47" t="inlineStr">
        <is>
          <t>Hyperliquid L1 API</t>
        </is>
      </c>
      <c r="C91" s="47" t="inlineStr">
        <is>
          <t>https://api.hyperliquid.xyz/info  type=perpDexs / meta / candleSnapshot</t>
        </is>
      </c>
      <c r="D91" s="47" t="inlineStr">
        <is>
          <t>262 listings x daily 1d candles, vol_usd = base volume x close. 23,388 rows.</t>
        </is>
      </c>
    </row>
    <row r="92" ht="34" customHeight="1">
      <c r="A92" s="47" t="inlineStr">
        <is>
          <t>HIP-3 per-symbol category map</t>
        </is>
      </c>
      <c r="B92" s="47" t="inlineStr">
        <is>
          <t>hyperscreener (ASXN)</t>
        </is>
      </c>
      <c r="C92" s="47" t="inlineStr">
        <is>
          <t>https://api-hyperliquid.asxn.xyz/api/categories/hip3-categories</t>
        </is>
      </c>
      <c r="D92" s="47" t="inlineStr">
        <is>
          <t>209 dex-qualified symbol→category records (ASXN's own mapping). Primary source for the split.</t>
        </is>
      </c>
    </row>
    <row r="93" ht="34" customHeight="1">
      <c r="A93" s="47" t="inlineStr">
        <is>
          <t>HIP-3 category cross-check</t>
        </is>
      </c>
      <c r="B93" s="47" t="inlineStr">
        <is>
          <t>hyperscreener (ASXN)</t>
        </is>
      </c>
      <c r="C93" s="47" t="inlineStr">
        <is>
          <t>https://api-hyperliquid.asxn.xyz/api/categories/hip3-categories/historical</t>
        </is>
      </c>
      <c r="D93" s="47" t="inlineStr">
        <is>
          <t>Daily category totals; used ONLY to validate the per-symbol mapping, not as an input.</t>
        </is>
      </c>
    </row>
    <row r="94" ht="34" customHeight="1">
      <c r="A94" s="47" t="inlineStr">
        <is>
          <t>Spot volume / fees / revenue</t>
        </is>
      </c>
      <c r="B94" s="47" t="inlineStr">
        <is>
          <t>DefiLlama</t>
        </is>
      </c>
      <c r="C94" s="47" t="inlineStr">
        <is>
          <t>https://api.llama.fi/summary/fees/hyperliquid-spot-orderbook · /dexs/hyperliquid-spot-orderbook</t>
        </is>
      </c>
      <c r="D94" s="47" t="inlineStr">
        <is>
          <t>dailyVolume, dailyFees (incl Unit), dailyHoldersRevenue.</t>
        </is>
      </c>
    </row>
    <row r="95" ht="34" customHeight="1">
      <c r="A95" s="47" t="inlineStr">
        <is>
          <t>Unit protocol fees</t>
        </is>
      </c>
      <c r="B95" s="47" t="inlineStr">
        <is>
          <t>DefiLlama</t>
        </is>
      </c>
      <c r="C95" s="47" t="inlineStr">
        <is>
          <t>https://api.llama.fi/summary/fees/unit</t>
        </is>
      </c>
      <c r="D95" s="47" t="inlineStr">
        <is>
          <t>Hyperunit deployer cut on spot tokens it deploys.</t>
        </is>
      </c>
    </row>
    <row r="96" ht="34" customHeight="1">
      <c r="A96" s="47" t="inlineStr">
        <is>
          <t>HyperCore revenue / buyback / AF</t>
        </is>
      </c>
      <c r="B96" s="47" t="inlineStr">
        <is>
          <t>hyperscreener (ASXN)</t>
        </is>
      </c>
      <c r="C96" s="47" t="inlineStr">
        <is>
          <t>https://api-hyperliquid.asxn.xyz/api/buyback/revenues · /hl-buybacks · /assistance-fund-holdings</t>
        </is>
      </c>
      <c r="D96" s="47" t="inlineStr">
        <is>
          <t>HyperCore Buybacks (north star), HyperEVM &amp; auction burn, buyback HYPE/price, AF balance. 517 days from 2025-03-20.</t>
        </is>
      </c>
    </row>
    <row r="97" ht="34" customHeight="1">
      <c r="A97" s="47" t="inlineStr">
        <is>
          <t>Emissions / supply / fee burns</t>
        </is>
      </c>
      <c r="B97" s="47" t="inlineStr">
        <is>
          <t>hyperscreener (ASXN)</t>
        </is>
      </c>
      <c r="C97" s="47" t="inlineStr">
        <is>
          <t>https://api-hyperliquid.asxn.xyz/api/validators/daily-emissions · buyback/daily-burn</t>
        </is>
      </c>
      <c r="D97" s="47" t="inlineStr">
        <is>
          <t>dailyEmission, future-emission, total supply, dailyBurn.</t>
        </is>
      </c>
    </row>
    <row r="98" ht="34" customHeight="1">
      <c r="A98" s="47" t="inlineStr">
        <is>
          <t>HYPE staked + implied yield</t>
        </is>
      </c>
      <c r="B98" s="47" t="inlineStr">
        <is>
          <t>hyperscreener (ASXN)</t>
        </is>
      </c>
      <c r="C98" s="47" t="inlineStr">
        <is>
          <t>https://api-hyperliquid.asxn.xyz/api/validators/hype-staking/metrics</t>
        </is>
      </c>
      <c r="D98" s="47" t="inlineStr">
        <is>
          <t>totalStake is source. Implied yield is COMPUTED = Emissions x 365 / (Staked x 1e6), not ASXN's reported APR.</t>
        </is>
      </c>
    </row>
    <row r="99" ht="34" customHeight="1">
      <c r="A99" s="47" t="inlineStr">
        <is>
          <t>Builder code fees (on-top)</t>
        </is>
      </c>
      <c r="B99" s="47" t="inlineStr">
        <is>
          <t>hyperscreener (ASXN)</t>
        </is>
      </c>
      <c r="C99" s="47" t="inlineStr">
        <is>
          <t>https://api-hyperliquid.asxn.xyz/api/node/builders/stacked-fees-chart?days=90</t>
        </is>
      </c>
      <c r="D99" s="47" t="inlineStr">
        <is>
          <t>Pass-through to front-ends; not in the bridge. Trailing ~90-day window only — older days carried from the 2026-06-04 pull.</t>
        </is>
      </c>
    </row>
    <row r="100" ht="34" customHeight="1">
      <c r="A100" s="47" t="inlineStr">
        <is>
          <t>HLP share (1%/3%)</t>
        </is>
      </c>
      <c r="B100" s="47" t="inlineStr">
        <is>
          <t>DefiLlama methodology</t>
        </is>
      </c>
      <c r="C100" s="47" t="inlineStr">
        <is>
          <t>hyperliquid-perps &amp; -spot-orderbook breakdownMethodology</t>
        </is>
      </c>
      <c r="D100" s="47" t="inlineStr">
        <is>
          <t>1% from 2025-08-30, 3% before.</t>
        </is>
      </c>
    </row>
    <row r="101" ht="34" customHeight="1">
      <c r="A101" s="47" t="inlineStr">
        <is>
          <t>HIP-4 fee schedule &amp; deployer terms</t>
        </is>
      </c>
      <c r="B101" s="47" t="inlineStr">
        <is>
          <t>Hyperliquid docs + press</t>
        </is>
      </c>
      <c r="C101" s="47" t="inlineStr">
        <is>
          <t>hyperliquid.gitbook.io HIP-4 · The Block 2026-07-20 · OAK Research</t>
        </is>
      </c>
      <c r="D101" s="47" t="inlineStr">
        <is>
          <t>Spot schedule 7bps taker / 4bps maker, charged on close/settle only. Deployers: 500k HYPE stake (6mo, slashable), up to 50% fee share. Permissionless = testnet 2026-08-01, not yet mainnet.</t>
        </is>
      </c>
    </row>
    <row r="102" ht="34" customHeight="1">
      <c r="A102" s="47" t="inlineStr">
        <is>
          <t>OTS definition + 29-Apr-2026 anchor</t>
        </is>
      </c>
      <c r="B102" s="47" t="inlineStr">
        <is>
          <t>Hyperliquid Strategies</t>
        </is>
      </c>
      <c r="C102" s="47" t="inlineStr">
        <is>
          <t>Summary of Token Supply statement</t>
        </is>
      </c>
      <c r="D102" s="47" t="inlineStr">
        <is>
          <t>OTS buckets; Core Contributors / Circulating split.</t>
        </is>
      </c>
    </row>
    <row r="103" ht="34" customHeight="1">
      <c r="A103" s="47" t="inlineStr">
        <is>
          <t>Team / core-contributor unlocks</t>
        </is>
      </c>
      <c r="B103" s="47" t="inlineStr">
        <is>
          <t>Hyperliquid L1 API (on-chain) · trackers for pre-May-2026</t>
        </is>
      </c>
      <c r="C103" s="47" t="inlineStr">
        <is>
          <t>POST api.hyperliquid.xyz/info type=userNonFundingLedgerUpdates, user 0x43e9abea1910387c4292bca4b94de81462f8a251</t>
        </is>
      </c>
      <c r="D103" s="47" t="inlineStr">
        <is>
          <t>May-2026 onward read straight off-chain (outgoing HYPE spotTransfers from the core-contributor address), refreshed 2026-09-21 and now complete through the 2026-09-06 claim of 433,419 HYPE. Nov-2025..Apr-2026 still come from the public trackers and are NOT re-sourced - see the Team Unlocks note above.</t>
        </is>
      </c>
    </row>
    <row r="104" ht="34" customHeight="1">
      <c r="A104" s="47" t="inlineStr">
        <is>
          <t>Perp revenue (cross-check only)</t>
        </is>
      </c>
      <c r="B104" s="47" t="inlineStr">
        <is>
          <t>DefiLlama</t>
        </is>
      </c>
      <c r="C104" s="47" t="inlineStr">
        <is>
          <t>https://api.llama.fi/summary/fees/hyperliquid-perps</t>
        </is>
      </c>
      <c r="D104" s="47" t="inlineStr">
        <is>
          <t>Accrual basis; runs above the hyperscreener buyback cumulatively (timing).</t>
        </is>
      </c>
    </row>
  </sheetData>
  <mergeCells count="24">
    <mergeCell ref="A5:D5"/>
    <mergeCell ref="A17:D17"/>
    <mergeCell ref="A8:D8"/>
    <mergeCell ref="A22:D22"/>
    <mergeCell ref="A4:D4"/>
    <mergeCell ref="A20:D20"/>
    <mergeCell ref="A19:D19"/>
    <mergeCell ref="A10:D10"/>
    <mergeCell ref="A13:D13"/>
    <mergeCell ref="A9:D9"/>
    <mergeCell ref="A15:D15"/>
    <mergeCell ref="A11:D11"/>
    <mergeCell ref="A1:D1"/>
    <mergeCell ref="A6:D6"/>
    <mergeCell ref="A54:D54"/>
    <mergeCell ref="A7:D7"/>
    <mergeCell ref="A25:D25"/>
    <mergeCell ref="A16:D16"/>
    <mergeCell ref="A18:D18"/>
    <mergeCell ref="A12:D12"/>
    <mergeCell ref="A3:D3"/>
    <mergeCell ref="A21:D21"/>
    <mergeCell ref="A2:D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2026-09-24T03:08:27Z</dcterms:created>
  <dcterms:modified xsi:type="dcterms:W3CDTF">2026-09-24T03:08:27Z</dcterms:modified>
</cp:coreProperties>
</file>