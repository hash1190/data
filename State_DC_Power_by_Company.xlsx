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EE321AD2F62ACA02F84631C71D277B9273F0F57C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MH_Reconciliation" sheetId="2" r:id="rId2"/>
    <sheet name="Audit_Log" sheetId="3" r:id="rId3"/>
    <sheet name="Maharashtra" sheetId="4" r:id="rId4"/>
    <sheet name="Andhra Pradesh" sheetId="5" r:id="rId5"/>
    <sheet name="Telangana" sheetId="6" r:id="rId6"/>
    <sheet name="Tamil Nadu" sheetId="7" r:id="rId7"/>
    <sheet name="Uttar Pradesh" sheetId="8" r:id="rId8"/>
    <sheet name="Odisha" sheetId="9" r:id="rId9"/>
    <sheet name="Karnataka" sheetId="10" r:id="rId10"/>
    <sheet name="Gujarat" sheetId="11" r:id="rId11"/>
    <sheet name="Haryana" sheetId="12" r:id="rId12"/>
    <sheet name="West Bengal" sheetId="13" r:id="rId13"/>
    <sheet name="Backup_All_States" sheetId="14" r:id="rId14"/>
  </sheets>
  <definedNames>
    <definedName name="_xlnm._FilterDatabase" localSheetId="2" hidden="1">Audit_Log!$A$4:$I$73</definedName>
    <definedName name="_xlnm._FilterDatabase" localSheetId="13" hidden="1">Backup_All_States!$A$1:$O$70</definedName>
  </definedNames>
  <calcPr calcId="191029"/>
</workbook>
</file>

<file path=xl/calcChain.xml><?xml version="1.0" encoding="utf-8"?>
<calcChain xmlns="http://schemas.openxmlformats.org/spreadsheetml/2006/main">
  <c r="C14" i="13" l="1"/>
  <c r="B14" i="13"/>
  <c r="D14" i="13" s="1"/>
  <c r="C13" i="13"/>
  <c r="C15" i="13" s="1"/>
  <c r="B13" i="13"/>
  <c r="C7" i="13"/>
  <c r="B7" i="13"/>
  <c r="C6" i="13"/>
  <c r="C8" i="13" s="1"/>
  <c r="C14" i="1" s="1"/>
  <c r="B6" i="13"/>
  <c r="C12" i="12"/>
  <c r="C13" i="12" s="1"/>
  <c r="B12" i="12"/>
  <c r="B13" i="12" s="1"/>
  <c r="C6" i="12"/>
  <c r="C7" i="12" s="1"/>
  <c r="C13" i="1" s="1"/>
  <c r="B6" i="12"/>
  <c r="B7" i="12" s="1"/>
  <c r="B13" i="1" s="1"/>
  <c r="B13" i="11"/>
  <c r="C12" i="11"/>
  <c r="B12" i="11"/>
  <c r="C6" i="11"/>
  <c r="C7" i="11" s="1"/>
  <c r="C12" i="1" s="1"/>
  <c r="B6" i="11"/>
  <c r="B7" i="11" s="1"/>
  <c r="B12" i="1" s="1"/>
  <c r="D12" i="1" s="1"/>
  <c r="F12" i="1" s="1"/>
  <c r="C12" i="10"/>
  <c r="C13" i="10" s="1"/>
  <c r="B12" i="10"/>
  <c r="B13" i="10" s="1"/>
  <c r="B7" i="10"/>
  <c r="C6" i="10"/>
  <c r="C7" i="10" s="1"/>
  <c r="C11" i="1" s="1"/>
  <c r="B6" i="10"/>
  <c r="C14" i="9"/>
  <c r="B14" i="9"/>
  <c r="C13" i="9"/>
  <c r="C15" i="9" s="1"/>
  <c r="B13" i="9"/>
  <c r="B15" i="9" s="1"/>
  <c r="C7" i="9"/>
  <c r="B7" i="9"/>
  <c r="D7" i="9" s="1"/>
  <c r="C6" i="9"/>
  <c r="C8" i="9" s="1"/>
  <c r="C10" i="1" s="1"/>
  <c r="B6" i="9"/>
  <c r="C22" i="8"/>
  <c r="B22" i="8"/>
  <c r="C21" i="8"/>
  <c r="B21" i="8"/>
  <c r="C20" i="8"/>
  <c r="B20" i="8"/>
  <c r="C19" i="8"/>
  <c r="B19" i="8"/>
  <c r="C18" i="8"/>
  <c r="B18" i="8"/>
  <c r="D18" i="8" s="1"/>
  <c r="C17" i="8"/>
  <c r="C23" i="8" s="1"/>
  <c r="B17" i="8"/>
  <c r="B23" i="8" s="1"/>
  <c r="C11" i="8"/>
  <c r="B11" i="8"/>
  <c r="C10" i="8"/>
  <c r="B10" i="8"/>
  <c r="D10" i="8" s="1"/>
  <c r="C9" i="8"/>
  <c r="B9" i="8"/>
  <c r="D9" i="8" s="1"/>
  <c r="C8" i="8"/>
  <c r="B8" i="8"/>
  <c r="C7" i="8"/>
  <c r="B7" i="8"/>
  <c r="C6" i="8"/>
  <c r="B6" i="8"/>
  <c r="C22" i="7"/>
  <c r="B22" i="7"/>
  <c r="D22" i="7" s="1"/>
  <c r="C21" i="7"/>
  <c r="B21" i="7"/>
  <c r="C20" i="7"/>
  <c r="B20" i="7"/>
  <c r="D20" i="7" s="1"/>
  <c r="C19" i="7"/>
  <c r="D19" i="7" s="1"/>
  <c r="B19" i="7"/>
  <c r="C18" i="7"/>
  <c r="B18" i="7"/>
  <c r="C17" i="7"/>
  <c r="B17" i="7"/>
  <c r="C11" i="7"/>
  <c r="B11" i="7"/>
  <c r="D11" i="7" s="1"/>
  <c r="C10" i="7"/>
  <c r="B10" i="7"/>
  <c r="D10" i="7" s="1"/>
  <c r="C9" i="7"/>
  <c r="B9" i="7"/>
  <c r="C8" i="7"/>
  <c r="B8" i="7"/>
  <c r="D8" i="7" s="1"/>
  <c r="C7" i="7"/>
  <c r="B7" i="7"/>
  <c r="D7" i="7" s="1"/>
  <c r="C6" i="7"/>
  <c r="C12" i="7" s="1"/>
  <c r="C8" i="1" s="1"/>
  <c r="B6" i="7"/>
  <c r="C26" i="6"/>
  <c r="B26" i="6"/>
  <c r="D26" i="6" s="1"/>
  <c r="C25" i="6"/>
  <c r="B25" i="6"/>
  <c r="D25" i="6" s="1"/>
  <c r="C24" i="6"/>
  <c r="D24" i="6" s="1"/>
  <c r="B24" i="6"/>
  <c r="C23" i="6"/>
  <c r="B23" i="6"/>
  <c r="D23" i="6" s="1"/>
  <c r="C22" i="6"/>
  <c r="B22" i="6"/>
  <c r="D22" i="6" s="1"/>
  <c r="C21" i="6"/>
  <c r="D21" i="6" s="1"/>
  <c r="B21" i="6"/>
  <c r="C20" i="6"/>
  <c r="B20" i="6"/>
  <c r="C19" i="6"/>
  <c r="B19" i="6"/>
  <c r="D19" i="6" s="1"/>
  <c r="C13" i="6"/>
  <c r="B13" i="6"/>
  <c r="D13" i="6" s="1"/>
  <c r="C12" i="6"/>
  <c r="D12" i="6" s="1"/>
  <c r="B12" i="6"/>
  <c r="C11" i="6"/>
  <c r="B11" i="6"/>
  <c r="D11" i="6" s="1"/>
  <c r="C10" i="6"/>
  <c r="B10" i="6"/>
  <c r="D10" i="6" s="1"/>
  <c r="C9" i="6"/>
  <c r="D9" i="6" s="1"/>
  <c r="B9" i="6"/>
  <c r="C8" i="6"/>
  <c r="B8" i="6"/>
  <c r="C7" i="6"/>
  <c r="B7" i="6"/>
  <c r="D7" i="6" s="1"/>
  <c r="C6" i="6"/>
  <c r="B6" i="6"/>
  <c r="B14" i="6" s="1"/>
  <c r="B7" i="1" s="1"/>
  <c r="C24" i="5"/>
  <c r="D24" i="5" s="1"/>
  <c r="B24" i="5"/>
  <c r="C23" i="5"/>
  <c r="B23" i="5"/>
  <c r="D23" i="5" s="1"/>
  <c r="C22" i="5"/>
  <c r="B22" i="5"/>
  <c r="D22" i="5" s="1"/>
  <c r="C21" i="5"/>
  <c r="D21" i="5" s="1"/>
  <c r="B21" i="5"/>
  <c r="C20" i="5"/>
  <c r="B20" i="5"/>
  <c r="C19" i="5"/>
  <c r="B19" i="5"/>
  <c r="D19" i="5" s="1"/>
  <c r="C18" i="5"/>
  <c r="B18" i="5"/>
  <c r="B25" i="5" s="1"/>
  <c r="C12" i="5"/>
  <c r="D12" i="5" s="1"/>
  <c r="B12" i="5"/>
  <c r="C11" i="5"/>
  <c r="B11" i="5"/>
  <c r="D11" i="5" s="1"/>
  <c r="C10" i="5"/>
  <c r="B10" i="5"/>
  <c r="D10" i="5" s="1"/>
  <c r="C9" i="5"/>
  <c r="D9" i="5" s="1"/>
  <c r="B9" i="5"/>
  <c r="C8" i="5"/>
  <c r="D8" i="5" s="1"/>
  <c r="B8" i="5"/>
  <c r="C7" i="5"/>
  <c r="B7" i="5"/>
  <c r="D7" i="5" s="1"/>
  <c r="C6" i="5"/>
  <c r="B6" i="5"/>
  <c r="B13" i="5" s="1"/>
  <c r="B6" i="1" s="1"/>
  <c r="C58" i="4"/>
  <c r="D58" i="4" s="1"/>
  <c r="B58" i="4"/>
  <c r="C57" i="4"/>
  <c r="B57" i="4"/>
  <c r="D57" i="4" s="1"/>
  <c r="C56" i="4"/>
  <c r="B56" i="4"/>
  <c r="D56" i="4" s="1"/>
  <c r="C55" i="4"/>
  <c r="D55" i="4" s="1"/>
  <c r="B55" i="4"/>
  <c r="C54" i="4"/>
  <c r="D54" i="4" s="1"/>
  <c r="B54" i="4"/>
  <c r="C53" i="4"/>
  <c r="B53" i="4"/>
  <c r="D53" i="4" s="1"/>
  <c r="C52" i="4"/>
  <c r="B52" i="4"/>
  <c r="D52" i="4" s="1"/>
  <c r="C51" i="4"/>
  <c r="D51" i="4" s="1"/>
  <c r="B51" i="4"/>
  <c r="C50" i="4"/>
  <c r="D50" i="4" s="1"/>
  <c r="B50" i="4"/>
  <c r="C49" i="4"/>
  <c r="B49" i="4"/>
  <c r="D49" i="4" s="1"/>
  <c r="C48" i="4"/>
  <c r="B48" i="4"/>
  <c r="D48" i="4" s="1"/>
  <c r="C47" i="4"/>
  <c r="D47" i="4" s="1"/>
  <c r="B47" i="4"/>
  <c r="C46" i="4"/>
  <c r="D46" i="4" s="1"/>
  <c r="B46" i="4"/>
  <c r="C45" i="4"/>
  <c r="B45" i="4"/>
  <c r="D45" i="4" s="1"/>
  <c r="C44" i="4"/>
  <c r="D44" i="4" s="1"/>
  <c r="B44" i="4"/>
  <c r="C43" i="4"/>
  <c r="D43" i="4" s="1"/>
  <c r="B43" i="4"/>
  <c r="C42" i="4"/>
  <c r="B42" i="4"/>
  <c r="D42" i="4" s="1"/>
  <c r="C41" i="4"/>
  <c r="B41" i="4"/>
  <c r="D41" i="4" s="1"/>
  <c r="C40" i="4"/>
  <c r="B40" i="4"/>
  <c r="C39" i="4"/>
  <c r="D39" i="4" s="1"/>
  <c r="B39" i="4"/>
  <c r="C38" i="4"/>
  <c r="B38" i="4"/>
  <c r="C37" i="4"/>
  <c r="B37" i="4"/>
  <c r="D37" i="4" s="1"/>
  <c r="C36" i="4"/>
  <c r="B36" i="4"/>
  <c r="D36" i="4" s="1"/>
  <c r="C35" i="4"/>
  <c r="B35" i="4"/>
  <c r="B59" i="4" s="1"/>
  <c r="C29" i="4"/>
  <c r="B29" i="4"/>
  <c r="D29" i="4" s="1"/>
  <c r="C28" i="4"/>
  <c r="B28" i="4"/>
  <c r="C27" i="4"/>
  <c r="D27" i="4" s="1"/>
  <c r="B27" i="4"/>
  <c r="C26" i="4"/>
  <c r="B26" i="4"/>
  <c r="C25" i="4"/>
  <c r="B25" i="4"/>
  <c r="D25" i="4" s="1"/>
  <c r="C24" i="4"/>
  <c r="B24" i="4"/>
  <c r="D24" i="4" s="1"/>
  <c r="C23" i="4"/>
  <c r="B23" i="4"/>
  <c r="D23" i="4" s="1"/>
  <c r="C22" i="4"/>
  <c r="D22" i="4" s="1"/>
  <c r="B22" i="4"/>
  <c r="C21" i="4"/>
  <c r="B21" i="4"/>
  <c r="D21" i="4" s="1"/>
  <c r="C20" i="4"/>
  <c r="B20" i="4"/>
  <c r="D20" i="4" s="1"/>
  <c r="C19" i="4"/>
  <c r="D19" i="4" s="1"/>
  <c r="B19" i="4"/>
  <c r="C18" i="4"/>
  <c r="D18" i="4" s="1"/>
  <c r="B18" i="4"/>
  <c r="C17" i="4"/>
  <c r="B17" i="4"/>
  <c r="D17" i="4" s="1"/>
  <c r="C16" i="4"/>
  <c r="B16" i="4"/>
  <c r="D16" i="4" s="1"/>
  <c r="C15" i="4"/>
  <c r="D15" i="4" s="1"/>
  <c r="B15" i="4"/>
  <c r="C14" i="4"/>
  <c r="D14" i="4" s="1"/>
  <c r="B14" i="4"/>
  <c r="C13" i="4"/>
  <c r="B13" i="4"/>
  <c r="D13" i="4" s="1"/>
  <c r="C12" i="4"/>
  <c r="B12" i="4"/>
  <c r="D12" i="4" s="1"/>
  <c r="C11" i="4"/>
  <c r="D11" i="4" s="1"/>
  <c r="B11" i="4"/>
  <c r="C10" i="4"/>
  <c r="D10" i="4" s="1"/>
  <c r="B10" i="4"/>
  <c r="C9" i="4"/>
  <c r="B9" i="4"/>
  <c r="D9" i="4" s="1"/>
  <c r="C8" i="4"/>
  <c r="D8" i="4" s="1"/>
  <c r="B8" i="4"/>
  <c r="C7" i="4"/>
  <c r="D7" i="4" s="1"/>
  <c r="B7" i="4"/>
  <c r="C6" i="4"/>
  <c r="B6" i="4"/>
  <c r="C83" i="3"/>
  <c r="C82" i="3"/>
  <c r="C81" i="3"/>
  <c r="C80" i="3"/>
  <c r="C79" i="3"/>
  <c r="C78" i="3"/>
  <c r="C77" i="3"/>
  <c r="C76" i="3"/>
  <c r="C16" i="2"/>
  <c r="D16" i="2" s="1"/>
  <c r="E16" i="2" s="1"/>
  <c r="C15" i="2"/>
  <c r="D15" i="2" s="1"/>
  <c r="E15" i="2" s="1"/>
  <c r="C14" i="2"/>
  <c r="D14" i="2" s="1"/>
  <c r="E14" i="2" s="1"/>
  <c r="C9" i="2"/>
  <c r="B9" i="2"/>
  <c r="C8" i="2"/>
  <c r="B8" i="2"/>
  <c r="D8" i="2" s="1"/>
  <c r="C7" i="2"/>
  <c r="B7" i="2"/>
  <c r="D7" i="2" s="1"/>
  <c r="C6" i="2"/>
  <c r="B6" i="2"/>
  <c r="C5" i="2"/>
  <c r="C10" i="2" s="1"/>
  <c r="B5" i="2"/>
  <c r="E14" i="1"/>
  <c r="E13" i="1"/>
  <c r="E12" i="1"/>
  <c r="E11" i="1"/>
  <c r="B11" i="1"/>
  <c r="E10" i="1"/>
  <c r="E9" i="1"/>
  <c r="E8" i="1"/>
  <c r="E7" i="1"/>
  <c r="E6" i="1"/>
  <c r="E5" i="1"/>
  <c r="E15" i="1" s="1"/>
  <c r="B12" i="7" l="1"/>
  <c r="B8" i="1" s="1"/>
  <c r="D8" i="1" s="1"/>
  <c r="F8" i="1" s="1"/>
  <c r="C23" i="7"/>
  <c r="D8" i="8"/>
  <c r="B8" i="9"/>
  <c r="B10" i="1" s="1"/>
  <c r="D10" i="1" s="1"/>
  <c r="F10" i="1" s="1"/>
  <c r="D14" i="9"/>
  <c r="B8" i="13"/>
  <c r="B14" i="1" s="1"/>
  <c r="D14" i="1" s="1"/>
  <c r="F14" i="1" s="1"/>
  <c r="B30" i="4"/>
  <c r="B5" i="1" s="1"/>
  <c r="B15" i="1" s="1"/>
  <c r="D18" i="7"/>
  <c r="D20" i="8"/>
  <c r="D6" i="10"/>
  <c r="D7" i="10" s="1"/>
  <c r="C30" i="4"/>
  <c r="C5" i="1" s="1"/>
  <c r="D11" i="1"/>
  <c r="F11" i="1" s="1"/>
  <c r="D12" i="11"/>
  <c r="D13" i="11" s="1"/>
  <c r="D6" i="4"/>
  <c r="D26" i="4"/>
  <c r="C59" i="4"/>
  <c r="D38" i="4"/>
  <c r="C13" i="5"/>
  <c r="C6" i="1" s="1"/>
  <c r="D6" i="1" s="1"/>
  <c r="F6" i="1" s="1"/>
  <c r="C25" i="5"/>
  <c r="C14" i="6"/>
  <c r="C7" i="1" s="1"/>
  <c r="D7" i="1" s="1"/>
  <c r="F7" i="1" s="1"/>
  <c r="D17" i="8"/>
  <c r="D23" i="8" s="1"/>
  <c r="D7" i="13"/>
  <c r="B10" i="2"/>
  <c r="D9" i="2"/>
  <c r="D35" i="4"/>
  <c r="D6" i="5"/>
  <c r="D18" i="5"/>
  <c r="D6" i="6"/>
  <c r="B12" i="8"/>
  <c r="B9" i="1" s="1"/>
  <c r="D9" i="1" s="1"/>
  <c r="F9" i="1" s="1"/>
  <c r="D21" i="8"/>
  <c r="B15" i="13"/>
  <c r="C12" i="8"/>
  <c r="C9" i="1" s="1"/>
  <c r="D22" i="8"/>
  <c r="D6" i="2"/>
  <c r="D28" i="4"/>
  <c r="D40" i="4"/>
  <c r="C27" i="6"/>
  <c r="D7" i="8"/>
  <c r="D20" i="5"/>
  <c r="D8" i="6"/>
  <c r="D20" i="6"/>
  <c r="D27" i="6" s="1"/>
  <c r="D9" i="7"/>
  <c r="B23" i="7"/>
  <c r="D21" i="7"/>
  <c r="D11" i="8"/>
  <c r="D19" i="8"/>
  <c r="D59" i="4"/>
  <c r="D14" i="6"/>
  <c r="D13" i="1"/>
  <c r="F13" i="1" s="1"/>
  <c r="C15" i="1"/>
  <c r="D30" i="4"/>
  <c r="D13" i="5"/>
  <c r="D25" i="5"/>
  <c r="D6" i="8"/>
  <c r="D6" i="11"/>
  <c r="D7" i="11" s="1"/>
  <c r="C13" i="11"/>
  <c r="D6" i="13"/>
  <c r="D8" i="13" s="1"/>
  <c r="D5" i="2"/>
  <c r="D10" i="2" s="1"/>
  <c r="B27" i="6"/>
  <c r="D13" i="13"/>
  <c r="D15" i="13" s="1"/>
  <c r="D6" i="9"/>
  <c r="D8" i="9" s="1"/>
  <c r="D12" i="10"/>
  <c r="D13" i="10" s="1"/>
  <c r="D12" i="12"/>
  <c r="D13" i="12" s="1"/>
  <c r="D17" i="7"/>
  <c r="D23" i="7" s="1"/>
  <c r="D13" i="9"/>
  <c r="D15" i="9" s="1"/>
  <c r="D6" i="12"/>
  <c r="D7" i="12" s="1"/>
  <c r="D6" i="7"/>
  <c r="D12" i="7" s="1"/>
  <c r="D12" i="8" l="1"/>
  <c r="D5" i="1"/>
  <c r="D15" i="1"/>
  <c r="F5" i="1"/>
  <c r="F15" i="1" s="1"/>
  <c r="E9" i="2"/>
  <c r="E7" i="2"/>
  <c r="E5" i="2"/>
  <c r="E8" i="2"/>
  <c r="E6" i="2"/>
  <c r="E10" i="2" l="1"/>
</calcChain>
</file>

<file path=xl/sharedStrings.xml><?xml version="1.0" encoding="utf-8"?>
<sst xmlns="http://schemas.openxmlformats.org/spreadsheetml/2006/main" count="1577" uniqueCount="521">
  <si>
    <t>State-level DC power evidence (non-CTUIL) - summary (MW)</t>
  </si>
  <si>
    <t>Block B on each state sheet excludes projects already in the CTUIL register, so it can be added to the CTUIL numbers without double counting.</t>
  </si>
  <si>
    <t>State</t>
  </si>
  <si>
    <t>Under process</t>
  </si>
  <si>
    <t>Approved</t>
  </si>
  <si>
    <t>Total</t>
  </si>
  <si>
    <t>Of which overlaps CTUIL (Yes/Possible)</t>
  </si>
  <si>
    <t>Total excl. CTUIL overlap</t>
  </si>
  <si>
    <t>Maharashtra</t>
  </si>
  <si>
    <t>Andhra Pradesh</t>
  </si>
  <si>
    <t>Telangana</t>
  </si>
  <si>
    <t>Tamil Nadu</t>
  </si>
  <si>
    <t>Uttar Pradesh</t>
  </si>
  <si>
    <t>Odisha</t>
  </si>
  <si>
    <t>Karnataka</t>
  </si>
  <si>
    <t>Gujarat</t>
  </si>
  <si>
    <t>Haryana</t>
  </si>
  <si>
    <t>West Bengal</t>
  </si>
  <si>
    <t>Why Maharashtra state-level data is ~5x the CTUIL data-centre filings</t>
  </si>
  <si>
    <t>Blue numbers are inputs from the CTUIL workbook (CTUIL_Bulk_Applications_by_State.xlsx, DC groups per your mapping: Adani, TCS, SITAC). All other numbers are formulas on Backup_All_States.</t>
  </si>
  <si>
    <t>Bridge item (Maharashtra)</t>
  </si>
  <si>
    <t>Approved (MW)</t>
  </si>
  <si>
    <t>Under process (MW)</t>
  </si>
  <si>
    <t>Total (MW)</t>
  </si>
  <si>
    <t>Share of state total</t>
  </si>
  <si>
    <t>Comparable to a CTUIL GNA filing?</t>
  </si>
  <si>
    <t>Lodha/Ambernath via state STU (MERC 88/2026)</t>
  </si>
  <si>
    <t>Yes in kind - but via STATE grid, so never in CTUIL</t>
  </si>
  <si>
    <t>Campus permits - mostly existing TTC-belt campuses on MSETCL/MSEDCL 220 kV</t>
  </si>
  <si>
    <t>No - permits, often IT MW, state-grid connected</t>
  </si>
  <si>
    <t>Government approvals (GO / land)</t>
  </si>
  <si>
    <t>No</t>
  </si>
  <si>
    <t>MoUs / LoIs / announcements (AirTrunk Raigad 3 GW, ReNew, Trentar, MAHAPREIT...)</t>
  </si>
  <si>
    <t>No - intent only, no grid application yet</t>
  </si>
  <si>
    <t>Operating / company filings</t>
  </si>
  <si>
    <t>Maharashtra state-level total</t>
  </si>
  <si>
    <t>Like-for-like: grid-connection evidence only (MW)</t>
  </si>
  <si>
    <t>CTUIL DC filings (ISTS)</t>
  </si>
  <si>
    <t>State-grid connection / sanction</t>
  </si>
  <si>
    <t>Total grid evidence</t>
  </si>
  <si>
    <t>State-grid share</t>
  </si>
  <si>
    <t>Main state-grid item</t>
  </si>
  <si>
    <t>Lodha/Ambernath 1,450 granted + 1,500 under consideration (STU)</t>
  </si>
  <si>
    <t>None found - Vizag DCs filed directly with CTUIL</t>
  </si>
  <si>
    <t>Fortune 2,000 MVA (TGTRANSCO, per developer)</t>
  </si>
  <si>
    <t>1. Different instruments: ~44% of the Maharashtra state number is MoU/LoI/announced capacity (AirTrunk's 3 GW Raigad LoI alone is 26%). These have no grid application yet - they cannot appear in CTUIL.</t>
  </si>
  <si>
    <t>2. Different grid: Maharashtra DCs connect through the STATE network (MSETCL 220/400 kV; MSEDCL, Tata Power, AEML distribution). MERC Case 88/2026 records STU - not CTU - connectivity for AWS and STT at Ambernath; MSETCL's STU plan builds a 765/400/220 kV Mahape node 'for Datacenter Consumers' (6,000 + 2,000 MVA).</t>
  </si>
  <si>
    <t>3. ISTS access is physically constrained in Navi Mumbai: CTUIL's 26th WR consultation meeting (28-02-2024) recorded 'No margins for drawal of power exist at existing 400/220kV Navi Mumbai S/s'. Only Support Properties (1,468 MW, approved) and Adani Infra (500 MW, pending) have direct ISTS filings.</t>
  </si>
  <si>
    <t>4. Different units: most permit rows are IT MW or design capacity of existing campuses (Sify 377, Digital Edge 400, NTT 530), not grid MW.</t>
  </si>
  <si>
    <t>5. By contrast, AP and Telangana mega-campuses are greenfield, far from strong state networks, and filed directly with CTUIL (Vizag SPVs at Gajuwaka/Pendurthi; Telangana SPVs at Maheshwaram/Doma) - so CTUIL captures a larger share there.</t>
  </si>
  <si>
    <t>Conclusion: the 5x is mainly a measurement artefact (instrument + grid route), not double counting. For a like-for-like national chart, use grid-connection evidence only (table above) or CTUIL + state-grid connectivity; show MoU/LoI separately as 'pipeline intent'.</t>
  </si>
  <si>
    <t>Residual risk: AWS Thane (Balkum, 272 MW IT) and STT's Navi Mumbai rows could partly draw on the Ambernath STU connectivity - not confirmed; kept separate.</t>
  </si>
  <si>
    <t>Row-by-row audit of every MW figure (21-Oct-2026)</t>
  </si>
  <si>
    <t>Method: each row's linked source was re-fetched (or the local copy / OCR of the scanned minutes used) and the MW figure, company and site searched in it; every match was then read in context.</t>
  </si>
  <si>
    <t>Backup row</t>
  </si>
  <si>
    <t>Group</t>
  </si>
  <si>
    <t>Project / site</t>
  </si>
  <si>
    <t>Approved MW (now)</t>
  </si>
  <si>
    <t>Under process MW (now)</t>
  </si>
  <si>
    <t>Tier (now)</t>
  </si>
  <si>
    <t>Verdict</t>
  </si>
  <si>
    <t>What was checked / changed</t>
  </si>
  <si>
    <t>Lodha Group (park; tenants AWS, STT)</t>
  </si>
  <si>
    <t>Palava-Ambernath Green DC Park</t>
  </si>
  <si>
    <t>A1</t>
  </si>
  <si>
    <t>Verified - primary doc</t>
  </si>
  <si>
    <t>1,450 + 1,500 MW quoted in MERC order para 7.15</t>
  </si>
  <si>
    <t>AirTrunk (Blackstone)</t>
  </si>
  <si>
    <t>Raigad-Pen Growth Centre</t>
  </si>
  <si>
    <t>A2</t>
  </si>
  <si>
    <t>Verified - press / reported govt action</t>
  </si>
  <si>
    <t>3 GW quoted (CM statement via ANI)</t>
  </si>
  <si>
    <t>BOM1, Plot 7 &amp; 7A TTC Airoli</t>
  </si>
  <si>
    <t>D</t>
  </si>
  <si>
    <t>Downgraded</t>
  </si>
  <si>
    <t>Was 182 MW combined with BOM2; consent verified, 62 MW only from a directory listing</t>
  </si>
  <si>
    <t>BOM2, Mahape (5.4 ha)</t>
  </si>
  <si>
    <t>C</t>
  </si>
  <si>
    <t>Corrected</t>
  </si>
  <si>
    <t>Split out; 120+ MW company figure; moved to under process (no BOM2 permit found)</t>
  </si>
  <si>
    <t>Adani Group</t>
  </si>
  <si>
    <t>Taloja campus</t>
  </si>
  <si>
    <t>Verified - company / rating / exchange</t>
  </si>
  <si>
    <t>240 MW in CoreWeave release</t>
  </si>
  <si>
    <t>A-GEN-4 TTC Rabale/Ghansoli</t>
  </si>
  <si>
    <t>No MW (reference only)</t>
  </si>
  <si>
    <t>Power captured in CTUIL (Support Properties)</t>
  </si>
  <si>
    <t>ACXPNQ26 / PNQ04, Bhosari, Pune (Microsoft site)</t>
  </si>
  <si>
    <t>75.4 MW connected load in 319th SEIAA minutes (OCR)</t>
  </si>
  <si>
    <t>AWS (Amazon)</t>
  </si>
  <si>
    <t>Balkum-Majiwada, Thane</t>
  </si>
  <si>
    <t>CTE + Rs 7,203 cr verified; 272 MW only in a social-media summary of the EC filing</t>
  </si>
  <si>
    <t>Powai</t>
  </si>
  <si>
    <t>77,000 kW connected / 75,000 kW demand in 301st SEIAA minutes (OCR)</t>
  </si>
  <si>
    <t>Google</t>
  </si>
  <si>
    <t>D-31/32 TTC Turbhe</t>
  </si>
  <si>
    <t>1,03,367 kW connected load in Form-1A</t>
  </si>
  <si>
    <t>GEN-2/1/A/1 TTC Turbhe</t>
  </si>
  <si>
    <t>CTE verified; no MW disclosed</t>
  </si>
  <si>
    <t>CapitaLand</t>
  </si>
  <si>
    <t>Digha (DC Navi Mumbai 1)</t>
  </si>
  <si>
    <t>135 MW connected / 120 MVA in 301st SEIAA minutes (OCR)</t>
  </si>
  <si>
    <t>Iron Mountain</t>
  </si>
  <si>
    <t>MUM-3, R-50 to R-54 TTC Rabale</t>
  </si>
  <si>
    <t>140 MW connected / 131 MW demand in 301st SEIAA minutes (OCR)</t>
  </si>
  <si>
    <t>Unidentified (Chandivali)</t>
  </si>
  <si>
    <t>Saki Vihar-Chandivali, Mumbai</t>
  </si>
  <si>
    <t>113,855 kW connected in 292nd/296th SEIAA minutes (OCR)</t>
  </si>
  <si>
    <t>Digital Edge</t>
  </si>
  <si>
    <t>BOM campus, Kalwa/Dighe (47 acres)</t>
  </si>
  <si>
    <t>400 -&gt; 350 MW (company page: 350MW on 47 acres)</t>
  </si>
  <si>
    <t>Sify</t>
  </si>
  <si>
    <t>Rabale campus</t>
  </si>
  <si>
    <t>377+ MW in Sify Integrated Report 2024-25 (link updated in v3 dataset; company page)</t>
  </si>
  <si>
    <t>Yotta (Hiranandani)</t>
  </si>
  <si>
    <t>NM1 Panvel</t>
  </si>
  <si>
    <t>250 -&gt; 52 MW (Yotta page); 250 was aggregator-only</t>
  </si>
  <si>
    <t>CtrlS</t>
  </si>
  <si>
    <t>Mahape DC1-DC7</t>
  </si>
  <si>
    <t>DC1&amp;2 40, DC3 10, DC4 36.8, DC5 32 + DC6&amp;7 95 MW on CtrlS homepage</t>
  </si>
  <si>
    <t>STT GDC</t>
  </si>
  <si>
    <t>TTC Khairane/Mahape</t>
  </si>
  <si>
    <t>133MW on STT Mumbai page</t>
  </si>
  <si>
    <t>NTT</t>
  </si>
  <si>
    <t>NAV1A + NAV2, Airoli/Mahape</t>
  </si>
  <si>
    <t>530 -&gt; 366 MW IT (was mixing 500 MW facility power with IT)</t>
  </si>
  <si>
    <t>Princeton Digital Group</t>
  </si>
  <si>
    <t>MU1 Airoli (50 live + 100 expansion) + MU2 (120)</t>
  </si>
  <si>
    <t>220 approved -&gt; 150 approved + 120 under process (DCD)</t>
  </si>
  <si>
    <t>Colt DCS - RMZ</t>
  </si>
  <si>
    <t>Kalwa plots 5 &amp; 5A, Airoli</t>
  </si>
  <si>
    <t>Link fixed: 148 MW is in Oct-2026 article; ICRA says 142 MW</t>
  </si>
  <si>
    <t>L&amp;T</t>
  </si>
  <si>
    <t>Vyoma EL-200 Mahape</t>
  </si>
  <si>
    <t>40 MW of 100 MW campus in L&amp;T release</t>
  </si>
  <si>
    <t>ReNew</t>
  </si>
  <si>
    <t>MMR green DC park (Panvel/Taloja/Khalapur)</t>
  </si>
  <si>
    <t>750 MW in Business Standard</t>
  </si>
  <si>
    <t>Trentar (Dorf Ketal)</t>
  </si>
  <si>
    <t>Location not disclosed</t>
  </si>
  <si>
    <t>500 MW in Trentar release</t>
  </si>
  <si>
    <t>Zerra</t>
  </si>
  <si>
    <t>Navi Mumbai 29 acres</t>
  </si>
  <si>
    <t>240MW on Zerra page</t>
  </si>
  <si>
    <t>MAHAPREIT (state)</t>
  </si>
  <si>
    <t>State DC project</t>
  </si>
  <si>
    <t>200 MW in MAHAPREIT EOI</t>
  </si>
  <si>
    <t>ESR</t>
  </si>
  <si>
    <t>Rabale</t>
  </si>
  <si>
    <t>60 MW in CRN Asia</t>
  </si>
  <si>
    <t>TCC Concept / NES Data</t>
  </si>
  <si>
    <t>Hinjewadi, Pune</t>
  </si>
  <si>
    <t>Derived from verified figures</t>
  </si>
  <si>
    <t>4 MW op + (60 - 4) under process</t>
  </si>
  <si>
    <t>Avisirah</t>
  </si>
  <si>
    <t>Navi Mumbai</t>
  </si>
  <si>
    <t>5.5 MW in PropNewsTime</t>
  </si>
  <si>
    <t>Tarluvada (for Google)</t>
  </si>
  <si>
    <t>929 MW grid demand quoted from EC (HRF); matches CTUIL 929 MW</t>
  </si>
  <si>
    <t>Rambilli (for Google)</t>
  </si>
  <si>
    <t>697 MW quoted from EC (HRF); matches CTUIL 697 MW</t>
  </si>
  <si>
    <t>Adavivaram-Mudasarlova (for Google)</t>
  </si>
  <si>
    <t>512 MW in SEIAA affidavit (ThePrint)</t>
  </si>
  <si>
    <t>Makavaripalem, Anakapalli</t>
  </si>
  <si>
    <t>1,000 MW quoting GO (MediaNama)</t>
  </si>
  <si>
    <t>Reliance</t>
  </si>
  <si>
    <t>Bhogapuram / Vizianagaram (854.97 acres)</t>
  </si>
  <si>
    <t>Approval verified; 1.5 GW only from registry / derived total</t>
  </si>
  <si>
    <t>Paradesipalem (53.6 + 25 acres)</t>
  </si>
  <si>
    <t>600 -&gt; 550 MW (GO); dropped 50 MW registry-only site</t>
  </si>
  <si>
    <t>AM Intelligence Labs</t>
  </si>
  <si>
    <t>Amanam, Bheemunipatnam</t>
  </si>
  <si>
    <t>512 MW quoting GO (PTI)</t>
  </si>
  <si>
    <t>Jagnadhapuram, Anandapuram</t>
  </si>
  <si>
    <t>486 MW quoting GO (MediaNama)</t>
  </si>
  <si>
    <t>TCS</t>
  </si>
  <si>
    <t>Rambilli (~200 acres)</t>
  </si>
  <si>
    <t>Excluded</t>
  </si>
  <si>
    <t>1 GW in linked article refers to Google, not TCS</t>
  </si>
  <si>
    <t>Rambilli (49.93 acres)</t>
  </si>
  <si>
    <t>100 MW quoting GO (Deccan Chronicle)</t>
  </si>
  <si>
    <t>Madhurawada (130 acres)</t>
  </si>
  <si>
    <t>200 MW from civil-society registry only (tier D)</t>
  </si>
  <si>
    <t>Fortune</t>
  </si>
  <si>
    <t>Kandukur mandal (170 acres)</t>
  </si>
  <si>
    <t>2,000 MVA sanction quoted (developer)</t>
  </si>
  <si>
    <t>Bharat Future City (264 acres)</t>
  </si>
  <si>
    <t>1 GW in ANI (MoU)</t>
  </si>
  <si>
    <t>AWS / CtrlS (unattributed)</t>
  </si>
  <si>
    <t>Peddavedu</t>
  </si>
  <si>
    <t>278 MW quoted from EC documents (Counterview)</t>
  </si>
  <si>
    <t>Hyderabad</t>
  </si>
  <si>
    <t>B</t>
  </si>
  <si>
    <t>19.2 op + (406 - 19.2) planned, AEL deck</t>
  </si>
  <si>
    <t>Hyderabad AI cluster</t>
  </si>
  <si>
    <t>400 MW in state / press releases</t>
  </si>
  <si>
    <t>NTT Data - Neysa</t>
  </si>
  <si>
    <t>Meerkhanpet</t>
  </si>
  <si>
    <t>100 MW in Tribune (CMO)</t>
  </si>
  <si>
    <t>UPC-Volt</t>
  </si>
  <si>
    <t>Bharat Future City</t>
  </si>
  <si>
    <t>100 MW in w.media</t>
  </si>
  <si>
    <t>Ambattur (Chennai 01)</t>
  </si>
  <si>
    <t>53 MW gross in CapitaLand release</t>
  </si>
  <si>
    <t>Siruseri (Chennai 02)</t>
  </si>
  <si>
    <t>Link fixed to Sify IR (130+ MW); 25.92 MW built verified</t>
  </si>
  <si>
    <t>Digital Connexion (Reliance-Brookfield-DLR)</t>
  </si>
  <si>
    <t>Ambattur</t>
  </si>
  <si>
    <t>100 MW in ThePrint photo caption</t>
  </si>
  <si>
    <t>Siruseri (Chennai 7)</t>
  </si>
  <si>
    <t>Link fixed (old link was a Sify tracker page)</t>
  </si>
  <si>
    <t>Techno Digital</t>
  </si>
  <si>
    <t>Siruseri TD-1</t>
  </si>
  <si>
    <t>36MW in DCD</t>
  </si>
  <si>
    <t>Chennai</t>
  </si>
  <si>
    <t>17 op of 33 MW, AEL deck</t>
  </si>
  <si>
    <t>Multiple (TANTRANSCO Ambattur requests)</t>
  </si>
  <si>
    <t>Ambattur Industrial Estate</t>
  </si>
  <si>
    <t>1,036 + 344 MVA quoted (excluded from charts - aggregate)</t>
  </si>
  <si>
    <t>Hiranandani (Yotta)</t>
  </si>
  <si>
    <t>Greater Noida</t>
  </si>
  <si>
    <t>28 commercialised of 250 MW, UPLC dashboard</t>
  </si>
  <si>
    <t>Noida</t>
  </si>
  <si>
    <t>UPLC dashboard commercialised / proposed MW</t>
  </si>
  <si>
    <t>SKVR</t>
  </si>
  <si>
    <t>UP</t>
  </si>
  <si>
    <t>16 commercialised of 120 MW, UPLC dashboard</t>
  </si>
  <si>
    <t>Naraj (~250 acres)</t>
  </si>
  <si>
    <t>1 GW in BW Businessworld (HLCA)</t>
  </si>
  <si>
    <t>Sentraforge AI</t>
  </si>
  <si>
    <t>Puri</t>
  </si>
  <si>
    <t>Link fixed to Business Today (old link was an HCLTech article)</t>
  </si>
  <si>
    <t>Govt of Karnataka (park)</t>
  </si>
  <si>
    <t>Hoskote</t>
  </si>
  <si>
    <t>500 MW in w.media</t>
  </si>
  <si>
    <t>Jamnagar AI DC</t>
  </si>
  <si>
    <t>168 MW in RIL release (pv-magazine link)</t>
  </si>
  <si>
    <t>Anant Raj</t>
  </si>
  <si>
    <t>Manesar, Panchkula, Rai</t>
  </si>
  <si>
    <t>28 MW platform / 307 MW target in Value Research; note only 8 MW handed over</t>
  </si>
  <si>
    <t>Uttarpara, Kolkata</t>
  </si>
  <si>
    <t>250MW in DCD (2021 - status uncertain)</t>
  </si>
  <si>
    <t>New Town, Kolkata</t>
  </si>
  <si>
    <t>40 -&gt; 25 MW (NTT page)</t>
  </si>
  <si>
    <t>Summary</t>
  </si>
  <si>
    <t>Maharashtra - data-centre power by company group (MW), state-level sources</t>
  </si>
  <si>
    <t>Approved = government permission granted or operating; Under process = application / MoU / LoI / announced. MW basis varies by row - see Backup_All_States column G.</t>
  </si>
  <si>
    <t>A. All state-level data</t>
  </si>
  <si>
    <t>Company / group</t>
  </si>
  <si>
    <t>B. Excluding rows that overlap CTUIL (use this to ADD to the CTUIL chart)</t>
  </si>
  <si>
    <t>Andhra Pradesh - data-centre power by company group (MW), state-level sources</t>
  </si>
  <si>
    <t>Telangana - data-centre power by company group (MW), state-level sources</t>
  </si>
  <si>
    <t>Tamil Nadu - data-centre power by company group (MW), state-level sources</t>
  </si>
  <si>
    <t>Uttar Pradesh - data-centre power by company group (MW), state-level sources</t>
  </si>
  <si>
    <t>Odisha - data-centre power by company group (MW), state-level sources</t>
  </si>
  <si>
    <t>Karnataka - data-centre power by company group (MW), state-level sources</t>
  </si>
  <si>
    <t>Gujarat - data-centre power by company group (MW), state-level sources</t>
  </si>
  <si>
    <t>Haryana - data-centre power by company group (MW), state-level sources</t>
  </si>
  <si>
    <t>West Bengal - data-centre power by company group (MW), state-level sources</t>
  </si>
  <si>
    <t>Group / ecosystem</t>
  </si>
  <si>
    <t>Company / SPV (as filed)</t>
  </si>
  <si>
    <t>MW basis</t>
  </si>
  <si>
    <t>Status basis (why approved / under process)</t>
  </si>
  <si>
    <t>Evidence tier</t>
  </si>
  <si>
    <t>Overlap with CTUIL</t>
  </si>
  <si>
    <t>CTUIL reference</t>
  </si>
  <si>
    <t>Include in state charts (Y/N)</t>
  </si>
  <si>
    <t>Source link</t>
  </si>
  <si>
    <t>Notes</t>
  </si>
  <si>
    <t>Evidence type</t>
  </si>
  <si>
    <t>Lodha Developers / Maharashtra STU</t>
  </si>
  <si>
    <t>Grid (STU connectivity)</t>
  </si>
  <si>
    <t>STU connectivity granted for ~1,450 MW (AWS, STT); ~1,500 MW under consideration - MERC Case 88/2026</t>
  </si>
  <si>
    <t>State grid (MSETCL), not ISTS</t>
  </si>
  <si>
    <t>Y</t>
  </si>
  <si>
    <t>https://merc.gov.in/wp-content/uploads/2026/06/Order-88-of-2026.pdf</t>
  </si>
  <si>
    <t>AWS Taloja/Asode 473 MW EC filing sits inside this park - not added separately</t>
  </si>
  <si>
    <t>1 Grid connection granted / sanctioned</t>
  </si>
  <si>
    <t>AirTrunk</t>
  </si>
  <si>
    <t>IT MW</t>
  </si>
  <si>
    <t>State Letter of Intent for land (Jun-2026)</t>
  </si>
  <si>
    <t>https://www.aninews.in/news/business/maharashtra-issues-letter-of-intent-to-airtrunk-for-rs-2-lakh-crore-data-centre-project-in-raigad20260601123602/</t>
  </si>
  <si>
    <t>4 MoU / LoI / announced</t>
  </si>
  <si>
    <t>Gramercy Techpark Pvt Ltd (ex-Lumina)</t>
  </si>
  <si>
    <t>MPCB CTE (CI Rs 1,495 cr) + CTO (part) May-2025 for Gramercy Techpark</t>
  </si>
  <si>
    <t>https://mpcb.gov.in/sites/default/files/inline-files/Minutes%20of%2015th%20CAC%20Establish%20Booklet%20no%2065.pdf</t>
  </si>
  <si>
    <t>AUDIT: consent verified in MPCB link; 62 MW is from a data-centre directory listing (not company/official) - tier D</t>
  </si>
  <si>
    <t>2 Permit (EC / pollution consent)</t>
  </si>
  <si>
    <t>Company page lists 120+ MW; no permit found for BOM2</t>
  </si>
  <si>
    <t>https://airtrunk.com/location/bom2-mumbai/</t>
  </si>
  <si>
    <t>AUDIT: split from BOM1; previously counted as approved - no BOM2 permit found, so moved to under process</t>
  </si>
  <si>
    <t>5 Operating / company filing</t>
  </si>
  <si>
    <t>AdaniConneX (CoreWeave tenant)</t>
  </si>
  <si>
    <t>Contracted; no permit found yet</t>
  </si>
  <si>
    <t>Possible</t>
  </si>
  <si>
    <t>Adani Infra 10 x 50 MW at LILO of 400 kV Padghe-Kharghar (under process)</t>
  </si>
  <si>
    <t>https://investors.coreweave.com/news/news-details/2026/CoreWeave-Enters-India-Expanding-AI-Cloud-Platform-With-AdaniConneX/default.aspx</t>
  </si>
  <si>
    <t>Could be the same load as Adani Infra's CTUIL filing</t>
  </si>
  <si>
    <t>Support Properties Pvt Ltd ('ACXNMI-01')</t>
  </si>
  <si>
    <t>n/a</t>
  </si>
  <si>
    <t>MPCB CTE Feb-2024; SEIAA EC expansion on agenda</t>
  </si>
  <si>
    <t>Yes</t>
  </si>
  <si>
    <t>Support Properties 1,468 MW APPROVED at 400 kV Navi Mumbai (GIS)</t>
  </si>
  <si>
    <t>N</t>
  </si>
  <si>
    <t>https://www.ecmpcb.in/login/download_ec_document/MjMyMTI2NEMzMjYzNDM5M0IxRTJDRDY5MENBNDZFODcucGRm</t>
  </si>
  <si>
    <t>Power is captured in CTUIL data - no MW in state data</t>
  </si>
  <si>
    <t>Pune Data Center Ltd (Adani SPV; ex-Microsoft)</t>
  </si>
  <si>
    <t>Connected MW</t>
  </si>
  <si>
    <t>EC granted 22-07-2025 (517762/2025); expansion referred back Feb-2026</t>
  </si>
  <si>
    <t>https://environmentclearance.nic.in/writereaddata/FormB/agenda/2302202697285484%28921161%29MINUTESOF319DAY-5PART-B.pdf</t>
  </si>
  <si>
    <t>Pimpri PNQ06/ACXPNQ27&amp;29 (CI Rs 5,228 cr) has no MW disclosed - not counted</t>
  </si>
  <si>
    <t>Amazon Data Services India</t>
  </si>
  <si>
    <t>MPCB CTE granted 14-12-2023 (CI Rs 7,203 cr) - verified; EC applications 415824/2023 &amp; 477127/2024</t>
  </si>
  <si>
    <t>https://x.com/cbdhage/status/1762797367529480646</t>
  </si>
  <si>
    <t>MW NOT VERIFIED in a primary document: 272 MW IT is from a social-media summary of the EC filing (link). CTE and CI verified in MPCB 16th CAC 2023-24 ATR: https://mpcb.gov.in/sites/default/files/inline-files/Action_taken_Report_of_16th_CAC_Booklet_no_16.pdf</t>
  </si>
  <si>
    <t>MPCB CTE granted 11-02-2025 (CI Rs 2,627 cr)</t>
  </si>
  <si>
    <t>https://environmentclearance.nic.in/writereaddata/FormB/agenda/1509202585756580%28740114%29MINUTESOF301DAY-4TABLEITEM-Copy.pdf</t>
  </si>
  <si>
    <t>Amanthin Info Parks (EverYondr) - Raiden lease</t>
  </si>
  <si>
    <t>EC Form-1A filed; status of EC not found</t>
  </si>
  <si>
    <t>https://environmentclearance.nic.in/DownloadPfdFile.aspx?FileName=Kwy+a1Xl%2FGHp2kMbJYBd8GPrFSz%2FNzzr1mrm87hA6RfsBvasy5U%2FhwjR4PRxBwwupD8Lw8MExL5FqtSFZLEOTQ%3D%3D&amp;FilePath=93ZZBm8LWEXfg+HAlQix2fE2t8z%2FpgnoBhDlYdZCxzXTbTpOQqzWjBW0IF63rxBVcDlG0LKdfbGNs0Ou%2FTEvAA%3D%3D</t>
  </si>
  <si>
    <t>Raiden Infotech India</t>
  </si>
  <si>
    <t>MPCB CTE 26-08-2025; EC application</t>
  </si>
  <si>
    <t>https://mpcb.gov.in/sites/default/files/inline-files/Action_Taken_report_of_5th_CAC_Booklet_no_5_0.pdf</t>
  </si>
  <si>
    <t>MW not disclosed</t>
  </si>
  <si>
    <t>Datascape Realty Pvt Ltd</t>
  </si>
  <si>
    <t>MPCB CTE (CI Rs 3,212 cr) + CTO (part) Feb-2025</t>
  </si>
  <si>
    <t>120 MVA max demand; 65 x 2,500 kVA DG</t>
  </si>
  <si>
    <t>Web Werks India</t>
  </si>
  <si>
    <t>MPCB CTE granted 28-09-2024; EC discussed Aug-2025</t>
  </si>
  <si>
    <t>131 MW demand; 103 x 2,250 kVA DG</t>
  </si>
  <si>
    <t>Tusshar Infra Developers &amp; Pantheon Buildcon</t>
  </si>
  <si>
    <t>EC (expansion) under appraisal 2025</t>
  </si>
  <si>
    <t>https://environmentclearance.nic.in/writereaddata/FormB/agenda/2107202594781152MINUTESOF296DAY-3PART-B.pdf</t>
  </si>
  <si>
    <t>Digital Edge DC (India)</t>
  </si>
  <si>
    <t>SEIAA EC 08-02-2024; MPCB CTE BOM2&amp;3 (CI Rs 3,000 cr) and CTO</t>
  </si>
  <si>
    <t>https://www.digitaledgedc.com/products-services/data-centers/india/</t>
  </si>
  <si>
    <t>AUDIT: corrected 400 -&gt; 350 MW (company page: 350MW on 47 acres; older page says 300MW). EC letter: https://www.digitaledgedc.com/wp-content/uploads/2025/07/EC-Letter-Data-Center.pdf</t>
  </si>
  <si>
    <t>Sify Infinit Spaces</t>
  </si>
  <si>
    <t>MPCB CTE (expansion) 26-05-2025; SEIAA EC expansion on agenda</t>
  </si>
  <si>
    <t>https://www.sifytechnologies.com/data-center/rabale-data-center/</t>
  </si>
  <si>
    <t>Campus design capacity</t>
  </si>
  <si>
    <t>NMDC Data Centre Pvt Ltd</t>
  </si>
  <si>
    <t>Operating; MPCB consent renewal May-2025</t>
  </si>
  <si>
    <t>https://colocation.yotta.com/data-center/nm1-datacenter-mumbai-region-maharashtra/</t>
  </si>
  <si>
    <t>AUDIT: corrected 250 -&gt; 52 MW (Yotta page: NM1 52MW IT). 250 MW park figure was aggregator-only; NM2 (52-65 MW) not confirmed by Yotta. CRISIL: ~13 MW colocation running</t>
  </si>
  <si>
    <t>CtrlS India</t>
  </si>
  <si>
    <t>Operating + MPCB CTE for expansion</t>
  </si>
  <si>
    <t>https://www.ctrls.com/</t>
  </si>
  <si>
    <t>Excludes the '700 MW' marketing claim</t>
  </si>
  <si>
    <t>STT Global Data Centres India</t>
  </si>
  <si>
    <t>MPCB CTE Dec-2023 + CTO (part)</t>
  </si>
  <si>
    <t>https://www.sttelemediagdc.com/in-en/locations/mumbai</t>
  </si>
  <si>
    <t>STT also has Ambernath connectivity (inside Lodha row)</t>
  </si>
  <si>
    <t>NTT Global Data Centers NAV2</t>
  </si>
  <si>
    <t>MPCB CTO Jan-2025, renewal Jul-2025</t>
  </si>
  <si>
    <t>https://www.datacenterdynamics.com/en/news/ntt-announces-500mw-nav2-data-center-in-navi-mumbai-india/</t>
  </si>
  <si>
    <t>AUDIT: corrected 530 -&gt; 366 MW IT (NAV2 336 MW IT + NAV1A 30 MW IT); 530 had mixed NAV2 facility power (500) with IT</t>
  </si>
  <si>
    <t>PDG (India) Management</t>
  </si>
  <si>
    <t>MU1: MPCB CTO May-2025; MU2: construction started Apr-2026, no permit found</t>
  </si>
  <si>
    <t>https://www.datacenterdynamics.com/en/news/pdg-breaks-ground-on-latest-mumbai-data-center/</t>
  </si>
  <si>
    <t>AUDIT: corrected 220 approved -&gt; 150 approved + 120 under process (DCD: MU1 50MW live + 100MW expansion; MU2 120MW)</t>
  </si>
  <si>
    <t>Data Center Holdings India LLP</t>
  </si>
  <si>
    <t>MPCB CTO renewal Apr-2025; ICRA-rated</t>
  </si>
  <si>
    <t>https://indianinfrastructure.com/2026/10/16/colt-dcs-and-rmz-begin-construction-of-third-data-centre-in-mumbai/</t>
  </si>
  <si>
    <t>AUDIT: link corrected - 148 MW potential is in this Oct-2026 article; ICRA rationale (Mar-2026) says 142 MW: https://www.icra.in/Rating/ShowRationalReportFilePdf/141442</t>
  </si>
  <si>
    <t>Larsen &amp; Toubro</t>
  </si>
  <si>
    <t>SEIAA EC application (Oct-2025)</t>
  </si>
  <si>
    <t>https://www.larsentoubro.com/pressreleases/2026/2026-01-21-larsen-toubro-vyoma-breaks-ground-on-40-mw-green-ai-ready-data-centre-in-navi-mumbai</t>
  </si>
  <si>
    <t>ReNew Wind Energy</t>
  </si>
  <si>
    <t>State MoU Oct-2026</t>
  </si>
  <si>
    <t>https://www.business-standard.com/industry/news/renew-signs-mou-with-maharashtra-for-70-000-crore-green-data-centre-park-126100801226_1.html</t>
  </si>
  <si>
    <t>Trentar Pvt Ltd</t>
  </si>
  <si>
    <t>State LoI + MoU Oct-2026</t>
  </si>
  <si>
    <t>https://www.prnewswire.com/in/news-releases/trentar-signs-30-000-crore-3-3-bn-mou-with-maharashtra-for-500-mw-green-integrated-data-center-park-302899623.html</t>
  </si>
  <si>
    <t>Zerra (AGPDC)</t>
  </si>
  <si>
    <t>Company claims consents; no government record found</t>
  </si>
  <si>
    <t>https://zerradc.com/projects/navi-mumbai/</t>
  </si>
  <si>
    <t>MAHAPREIT</t>
  </si>
  <si>
    <t>Total load MW</t>
  </si>
  <si>
    <t>EOI stage</t>
  </si>
  <si>
    <t>https://mahapreit.in/assets/uploads/tender-ext-65-1786725791.pdf</t>
  </si>
  <si>
    <t>Facility MW</t>
  </si>
  <si>
    <t>Announced</t>
  </si>
  <si>
    <t>https://www.crnasia.com/india/news/2026/esr-enters-india-data-centre-market-with-60-mw-facility-in-mumbai</t>
  </si>
  <si>
    <t>TCC Concept</t>
  </si>
  <si>
    <t>4 MW operating; land MoU for 60 MW</t>
  </si>
  <si>
    <t>https://www.constructionworld.in/policy-updates-and-economic-news/tcc-concept-plans-60-mw-data-centre-campus-in-pune/95832</t>
  </si>
  <si>
    <t>Avisirah Technologies</t>
  </si>
  <si>
    <t>Financed</t>
  </si>
  <si>
    <t>https://propnewstime.com/latestnewsstories/MzY3MDg=/avisirah-raises-inr-75-crore-for-navi-mumbai-data-centre</t>
  </si>
  <si>
    <t>Vizag Mega Data Center Park Ltd</t>
  </si>
  <si>
    <t>Grid MW</t>
  </si>
  <si>
    <t>SEIAA EC granted 18-04-2026</t>
  </si>
  <si>
    <t>CTUIL 929 MW (11 apps, under process)</t>
  </si>
  <si>
    <t>https://countercurrents.org/2026/04/hrf-flags-template-based-clearances-for-massive-andhra-data-centres-seeks-suspension-and-fresh-review/</t>
  </si>
  <si>
    <t>Same project as CTUIL filing</t>
  </si>
  <si>
    <t>Vizag Rambilli Data Center Park Ltd</t>
  </si>
  <si>
    <t>CTUIL 697 MW (8 apps, under process)</t>
  </si>
  <si>
    <t>Vizag Hyperscale Data Center Park Ltd</t>
  </si>
  <si>
    <t>SEIAA EC Jun-2026 + APPCB CTE 14-07-2026</t>
  </si>
  <si>
    <t>https://theprint.in/judiciary/google-adani-vizag-data-centre-got-green-nod-on-built-up-area-not-ops-andhra-govt-affidavit-explains/3025598/</t>
  </si>
  <si>
    <t>State affidavit: 512 MW; CTUIL filing larger (697 MW)</t>
  </si>
  <si>
    <t>Renew AP Green Data Center Pvt Ltd</t>
  </si>
  <si>
    <t>G.O.Ms.No.55 (2026) land + incentives</t>
  </si>
  <si>
    <t>https://www.medianama.com/2026/08/223-andhra-pradesh-ai-data-centres/</t>
  </si>
  <si>
    <t>3 Govt approval (GO / land)</t>
  </si>
  <si>
    <t>Reliance Industries</t>
  </si>
  <si>
    <t>G.O.Ms.No.30 &amp; 52 land allotment; SIPB clearance (Rs 1,08,010 cr)</t>
  </si>
  <si>
    <t>https://stopdirtydatacenters.org/</t>
  </si>
  <si>
    <t>AUDIT: MW not in any official/company source - 1.5 GW from civil-society registry (also implied by MediaNama 3,498 MW total). Approval verified via press: https://www.deccanherald.com/india/andhra-pradesh/andhra-sipb-clears-rils-rs-108010-crore-vizag-data-centre-proposal-3993372</t>
  </si>
  <si>
    <t>G.O.Ms.No.29 (2025) &amp; 37 (2026) land + incentives</t>
  </si>
  <si>
    <t>https://w.media/andhra-pradesh-allocates-extra-25-acres-for-sifys-500-mw-dc/</t>
  </si>
  <si>
    <t>AUDIT: corrected 600 -&gt; 550 (GO text: 550 MW in phases; this article says 500 MW). Dropped 50 MW Madhurawada site (registry-only)</t>
  </si>
  <si>
    <t>AM AI Factory (Vizag) Pvt Ltd</t>
  </si>
  <si>
    <t>SIPB 12-08-2026 + G.O.Ms.No.59</t>
  </si>
  <si>
    <t>https://theprint.in/india/andhra-approves-green-ai-data-centre-in-visakhapatnam-with-investment-of-over-rs-30000-cr/3022441/</t>
  </si>
  <si>
    <t>Data Centre Holdings India LLP</t>
  </si>
  <si>
    <t>G.O.Ms.No.56 (21-08-2026)</t>
  </si>
  <si>
    <t>TCS (HyperVault)</t>
  </si>
  <si>
    <t>Land allotted (reported); TCS has not confirmed use or MW</t>
  </si>
  <si>
    <t>CTUIL HyperVault filings are in Telangana, not AP</t>
  </si>
  <si>
    <t>https://analyticsindiamag.com/ai-news/tcs-acquires-land-in-vizag-pune-for-openai-data-centres</t>
  </si>
  <si>
    <t>AUDIT: EXCLUDED - the linked article's 1 GW refers to Google's campus; 1 GW for TCS appears only in a civil-society registry</t>
  </si>
  <si>
    <t>CtrlS Datacenters</t>
  </si>
  <si>
    <t>G.O.Ms.No.33 (2026) land + incentives</t>
  </si>
  <si>
    <t>https://www.deccanchronicle.com/southern-states/andhra-pradesh/ap-approves-sifys-rs-15266-crore-data-centre-expansion-clears-3-other-tech-projects-1967167</t>
  </si>
  <si>
    <t>Adani Enterprises / AdaniConneX</t>
  </si>
  <si>
    <t>Land allotted (2021 GOs, per registry)</t>
  </si>
  <si>
    <t>Kapuluppada 100 MW site cancelled - excluded</t>
  </si>
  <si>
    <t>Fortune Hospitality &amp; Infra / Sudeeksha Estates</t>
  </si>
  <si>
    <t>Grid MVA</t>
  </si>
  <si>
    <t>2,000 MVA sanctioned by TGTRANSCO (per developer)</t>
  </si>
  <si>
    <t>No Fortune/Sudeeksha CTUIL filing found</t>
  </si>
  <si>
    <t>https://www.convergence-now.com/artificial-intelligence/telanganas-ai-data-centre-race-gets-bigger-with-%E2%82%B91-3-lakh-crore-project/</t>
  </si>
  <si>
    <t>IT load 1,200-1,600 MW</t>
  </si>
  <si>
    <t>HyperVault (TCS)</t>
  </si>
  <si>
    <t>State MoU Sep-2026</t>
  </si>
  <si>
    <t>CTUIL HyperVault 1,550 MW at Maheshwaram (under process)</t>
  </si>
  <si>
    <t>https://www.aninews.in/news/national/general-news/tcs-hypervault-signs-mou-with-telangana-for-rs-70000-crore-ai-data-centre-project20260905171224/</t>
  </si>
  <si>
    <t>Amazon Data Services or CtrlS</t>
  </si>
  <si>
    <t>Power MW</t>
  </si>
  <si>
    <t>SEIAA Telangana EC (challenged May-2026)</t>
  </si>
  <si>
    <t>https://www.counterview.net/2026/05/scientists-flag-serious-omissions-in.html</t>
  </si>
  <si>
    <t>AWS: Rs 60,000 cr, 300 acres (Future City + Chandanvelly) - no MW disclosed</t>
  </si>
  <si>
    <t>AdaniConneX</t>
  </si>
  <si>
    <t>19.2 MW operating; 406 MW planned (AEL Q1 FY27 deck)</t>
  </si>
  <si>
    <t>Adani-mapped SPVs at Maheshwaram/Doma (2.4 GW, under process)</t>
  </si>
  <si>
    <t>https://www.adanienterprises.com/-/media/Project/Enterprises/Investors/Investor-Downloads/Results-Presentations/AEL_Investor_Presentation.pdf</t>
  </si>
  <si>
    <t>State MoU Jan-2025</t>
  </si>
  <si>
    <t>CtrlS 50 MW CTUIL application CLOSED</t>
  </si>
  <si>
    <t>https://www.telangana.gov.in/news/news-and-press-releases/2025/01/the-telangana-govt-signs-an-mou-with-ctrls-datacenters/</t>
  </si>
  <si>
    <t>NTT Data / Neysa Networks</t>
  </si>
  <si>
    <t>State MoU Apr-2025</t>
  </si>
  <si>
    <t>https://w.media/ntt-data-neysa-networks-and-telangana-govt-sign-mou-with-to-build-ai-dc-cluster-worth-rs-10500-crores/</t>
  </si>
  <si>
    <t>STT GDC India</t>
  </si>
  <si>
    <t>State MoU Jan-2026</t>
  </si>
  <si>
    <t>https://www.tribuneindia.com/news/world/telangana-govt-signs-rs-3500-crore-mou-with-st-telemedia-for-ai-ready-data-centre-in-hyderabad/</t>
  </si>
  <si>
    <t>https://w.media/telangana-reveals-plans-to-build-a-1500-acre-data-center-city/</t>
  </si>
  <si>
    <t>CapitaLand India Trust</t>
  </si>
  <si>
    <t>Facility MW (gross)</t>
  </si>
  <si>
    <t>Under construction with dedicated 110 kV S/S; unveiled by CM Oct-2026</t>
  </si>
  <si>
    <t>https://www.capitaland.com/content/dam/capitaland-newsroom/International/2026/october/cli-affirms-long-term-commitment-to-tamil-nadu/CapitaLand%20Investment%20reaffirms%20long-term%20commitment%20to%20Tamil%20Nadu%20with%20unveiling%20of%20new%20Chennai%20data%20centre.pdf</t>
  </si>
  <si>
    <t>34 MW IT</t>
  </si>
  <si>
    <t>25.92 MW built; 130+ MW full build</t>
  </si>
  <si>
    <t>https://sifyinfinitspaces.com/wp-content/uploads/2025/07/Sify-Infinit-Spaces-IR-2025.pdf</t>
  </si>
  <si>
    <t>AUDIT: link corrected - 130+ MW is in Sify Integrated Report 2024-25 (another page of the same report says 40+ MW - conflicting); 25.92 MW built per Sify Chennai 02 page</t>
  </si>
  <si>
    <t>Digital Connexion</t>
  </si>
  <si>
    <t>Operating / expanding</t>
  </si>
  <si>
    <t>https://theprint.in/ground-reports/inside-chennais-data-centres-fortresses-of-the-ai-era/2856488/</t>
  </si>
  <si>
    <t>7.2 MW live Feb-2026; 45 MW campus</t>
  </si>
  <si>
    <t>https://w.media/stt-gdc-india-launches-fourth-dc-in-chennai/</t>
  </si>
  <si>
    <t>AUDIT: link corrected (previous link was a tracker page for a Sify site)</t>
  </si>
  <si>
    <t>Operating</t>
  </si>
  <si>
    <t>https://www.datacenterdynamics.com/en/news/indias-techno-digital-opens-36mw-data-center/</t>
  </si>
  <si>
    <t>17 MW operating; 33 MW total (AEL deck)</t>
  </si>
  <si>
    <t>CtrlS, STT, NTT, CapitaLand area</t>
  </si>
  <si>
    <t>DC supply requests: 1,036 MVA @230 kV + 344 MVA @110 kV (justify new 400 kV S/S)</t>
  </si>
  <si>
    <t>https://www.dtnext.in/news/chennai/powerplay-tn-plans-substation-in-ambattur-to-back-data-centres-850341</t>
  </si>
  <si>
    <t>Aggregate of many companies; overlaps rows above - excluded from charts</t>
  </si>
  <si>
    <t>NIDP Developers</t>
  </si>
  <si>
    <t>Dashboard: 28 MW commercialised of 250 MW</t>
  </si>
  <si>
    <t>https://uplc.up.gov.in/en/page/uttar-pradesh-data-center-policy</t>
  </si>
  <si>
    <t>Adani Enterprises (Projects 1 &amp; 2)</t>
  </si>
  <si>
    <t>Dashboard: 35 MW commercialised of 100 MW</t>
  </si>
  <si>
    <t>AdaniConneX Noida 50 MW (AEL) is part of this</t>
  </si>
  <si>
    <t>SKVR Software Solutions</t>
  </si>
  <si>
    <t>Dashboard: 16 MW commercialised of 120 MW</t>
  </si>
  <si>
    <t>Dashboard: 40 MW commercialised</t>
  </si>
  <si>
    <t>STT 7 MW GNA-RE (drawee, not bulk)</t>
  </si>
  <si>
    <t>NTT Global Data Centres</t>
  </si>
  <si>
    <t>Dashboard: 9 MW commercialised; Noida 2 = 52.8 MW at full build</t>
  </si>
  <si>
    <t>Dashboard: 5 MW commercialised</t>
  </si>
  <si>
    <t>High Density Data Centre Ltd</t>
  </si>
  <si>
    <t>HLCA approval (CM-chaired)</t>
  </si>
  <si>
    <t>No Adani bulk filing in Odisha on CTUIL</t>
  </si>
  <si>
    <t>https://www.businessworld.in/article/adani-arm-gets-odisha-nod-for-rs-1-04-lakh-cr-data-centre-park-625673</t>
  </si>
  <si>
    <t>Odisha HLCA approval (46th meeting, Sep-2026)</t>
  </si>
  <si>
    <t>https://www.businesstoday.in/india/story/odisha-clears-sentraforge-ais-massive-rs22634-crore-sovereign-compute-project-558006-2026-09-26</t>
  </si>
  <si>
    <t>AUDIT: link corrected (previous link was an HCLTech article). 120 MW is company-stated</t>
  </si>
  <si>
    <t>State DC park</t>
  </si>
  <si>
    <t>State decision May-2026 (planned park)</t>
  </si>
  <si>
    <t>https://w.media/karnataka-plans-three-sustainable-data-center-parks-with-combined-capacity-of-1-gw/</t>
  </si>
  <si>
    <t>Only company-level Karnataka data are CTUIL (SITAC)</t>
  </si>
  <si>
    <t>Reliance Industries (Meta tenant)</t>
  </si>
  <si>
    <t>Announced Jun-2026</t>
  </si>
  <si>
    <t>Reliance 14.65 GW CTUIL filings at Jamnagar (purpose not stated)</t>
  </si>
  <si>
    <t>https://www.pv-magazine-india.com/2026/06/10/reliance-meta-to-develop-168-mw-ai-data-centre-powered-by-renewable-energy-in-jamnagar/</t>
  </si>
  <si>
    <t>28 MW platform built (only 8 MW colocation handed over by Q2 FY26); 307 MW target by FY32</t>
  </si>
  <si>
    <t>https://www.valueresearchonline.com/stories/228694/anant-raj-data-centre-execution-delay-investment-risk/</t>
  </si>
  <si>
    <t>Yotta / Hiranandani</t>
  </si>
  <si>
    <t>2021 MoU; status uncertain</t>
  </si>
  <si>
    <t>https://www.datacenterdynamics.com/en/news/hiranandani-group-build-six-hyperscale-data-centers-bengal/</t>
  </si>
  <si>
    <t>NTT Global Data Centers</t>
  </si>
  <si>
    <t>Phase 1 (6.4 MW) planned; 25 MW full build</t>
  </si>
  <si>
    <t>https://services.global.ntt/en-us/services-and-products/global-data-centers/global-locations/india/kolkata-1-data-center</t>
  </si>
  <si>
    <t>AUDIT: corrected 40 -&gt; 25 MW (NTT page: over 25MW critical IT at full build)</t>
  </si>
  <si>
    <t>Definitions - Approved: a government permission granted (land GO / SIPB / HLCA approval, environmental clearance, pollution-board consent, grid connectivity or power sanction) or capacity already operating. Under process: application, MoU, LoI or announcement only.</t>
  </si>
  <si>
    <t>MW basis differs by row (IT MW vs connected / grid MW vs MVA) - see column G. Connected/grid MW is comparable to CTUIL GNA quantum; IT MW is roughly 1.3-1.6x smaller than facility power.</t>
  </si>
  <si>
    <t>Overlap with CTUIL - Yes: same project appears in the CTUIL GNA register. Possible: same sponsor files with CTUIL in that state and it may be the same load. No: no matching CTUIL bulk-consumer filing found (most DCs connect via the state grid).</t>
  </si>
  <si>
    <t>Grey rows are kept for reference but excluded from the state charts (no MW, or an aggregate that double counts other rows). CTUIL-only applicants (e.g. SITAC Group, Qubitiq, Giridhari) are NOT repeated here - they live in the CTUIL workbook.</t>
  </si>
  <si>
    <t>Sources: the India_DC_Power_Dataset_v3 workbook (Projects, MH_Permits, States_Evidence sheets). This sheet is the reference; state sheets are formulas on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</si>
</sst>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i/>
      <sz val="9"/>
      <name val="Arial"/>
    </font>
    <font>
      <b/>
      <sz val="13"/>
      <name val="Arial"/>
    </font>
    <font>
      <b/>
      <sz val="9"/>
      <name val="Arial"/>
    </font>
    <font>
      <sz val="9"/>
      <color rgb="FF0000FF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0" fontId="6" fillId="0" borderId="0" xfId="0" applyFont="1"/>
    <xf numFmtId="164" fontId="6" fillId="0" borderId="1" xfId="0" applyNumberFormat="1" applyFont="1" applyBorder="1"/>
    <xf numFmtId="164" fontId="0" fillId="0" borderId="1" xfId="0" applyNumberFormat="1" applyBorder="1"/>
    <xf numFmtId="9" fontId="0" fillId="0" borderId="1" xfId="0" applyNumberFormat="1" applyBorder="1"/>
    <xf numFmtId="0" fontId="6" fillId="0" borderId="1" xfId="0" applyFont="1" applyBorder="1"/>
    <xf numFmtId="9" fontId="6" fillId="0" borderId="1" xfId="0" applyNumberFormat="1" applyFont="1" applyBorder="1"/>
    <xf numFmtId="0" fontId="0" fillId="0" borderId="1" xfId="0" applyBorder="1"/>
    <xf numFmtId="164" fontId="7" fillId="0" borderId="1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8" fillId="0" borderId="0" xfId="0" applyFont="1"/>
    <xf numFmtId="0" fontId="2" fillId="8" borderId="0" xfId="0" applyFont="1" applyFill="1"/>
    <xf numFmtId="0" fontId="2" fillId="0" borderId="0" xfId="0" applyFont="1"/>
    <xf numFmtId="0" fontId="2" fillId="7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4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Maharashtra: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Maharashtra!$B$5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Maharashtra!$A$6:$A$29</c:f>
              <c:strCache>
                <c:ptCount val="24"/>
                <c:pt idx="0">
                  <c:v>AirTrunk (Blackstone)</c:v>
                </c:pt>
                <c:pt idx="1">
                  <c:v>Lodha Group (park; tenants AWS, STT)</c:v>
                </c:pt>
                <c:pt idx="2">
                  <c:v>ReNew</c:v>
                </c:pt>
                <c:pt idx="3">
                  <c:v>Trentar (Dorf Ketal)</c:v>
                </c:pt>
                <c:pt idx="4">
                  <c:v>Sify</c:v>
                </c:pt>
                <c:pt idx="5">
                  <c:v>NTT</c:v>
                </c:pt>
                <c:pt idx="6">
                  <c:v>Digital Edge</c:v>
                </c:pt>
                <c:pt idx="7">
                  <c:v>AWS (Amazon)</c:v>
                </c:pt>
                <c:pt idx="8">
                  <c:v>Adani Group</c:v>
                </c:pt>
                <c:pt idx="9">
                  <c:v>Princeton Digital Group</c:v>
                </c:pt>
                <c:pt idx="10">
                  <c:v>Zerra</c:v>
                </c:pt>
                <c:pt idx="11">
                  <c:v>CtrlS</c:v>
                </c:pt>
                <c:pt idx="12">
                  <c:v>MAHAPREIT (state)</c:v>
                </c:pt>
                <c:pt idx="13">
                  <c:v>Colt DCS - RMZ</c:v>
                </c:pt>
                <c:pt idx="14">
                  <c:v>Iron Mountain</c:v>
                </c:pt>
                <c:pt idx="15">
                  <c:v>CapitaLand</c:v>
                </c:pt>
                <c:pt idx="16">
                  <c:v>STT GDC</c:v>
                </c:pt>
                <c:pt idx="17">
                  <c:v>Unidentified (Chandivali)</c:v>
                </c:pt>
                <c:pt idx="18">
                  <c:v>Google</c:v>
                </c:pt>
                <c:pt idx="19">
                  <c:v>L&amp;T</c:v>
                </c:pt>
                <c:pt idx="20">
                  <c:v>ESR</c:v>
                </c:pt>
                <c:pt idx="21">
                  <c:v>TCC Concept / NES Data</c:v>
                </c:pt>
                <c:pt idx="22">
                  <c:v>Yotta (Hiranandani)</c:v>
                </c:pt>
                <c:pt idx="23">
                  <c:v>Avisirah</c:v>
                </c:pt>
              </c:strCache>
            </c:strRef>
          </c:cat>
          <c:val>
            <c:numRef>
              <c:f>Maharashtra!$B$6:$B$29</c:f>
              <c:numCache>
                <c:formatCode>#,##0;\-#,##0;"-"</c:formatCode>
                <c:ptCount val="24"/>
                <c:pt idx="0">
                  <c:v>3120</c:v>
                </c:pt>
                <c:pt idx="1">
                  <c:v>1500</c:v>
                </c:pt>
                <c:pt idx="2">
                  <c:v>750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240</c:v>
                </c:pt>
                <c:pt idx="9">
                  <c:v>120</c:v>
                </c:pt>
                <c:pt idx="10">
                  <c:v>240</c:v>
                </c:pt>
                <c:pt idx="11">
                  <c:v>0</c:v>
                </c:pt>
                <c:pt idx="12">
                  <c:v>200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113.9</c:v>
                </c:pt>
                <c:pt idx="18">
                  <c:v>103.4</c:v>
                </c:pt>
                <c:pt idx="19">
                  <c:v>100</c:v>
                </c:pt>
                <c:pt idx="20">
                  <c:v>60</c:v>
                </c:pt>
                <c:pt idx="21">
                  <c:v>56</c:v>
                </c:pt>
                <c:pt idx="22">
                  <c:v>0</c:v>
                </c:pt>
                <c:pt idx="23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9-4A92-82DE-EEF02B6A4590}"/>
            </c:ext>
          </c:extLst>
        </c:ser>
        <c:ser>
          <c:idx val="1"/>
          <c:order val="1"/>
          <c:tx>
            <c:strRef>
              <c:f>Maharashtra!$C$5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Maharashtra!$A$6:$A$29</c:f>
              <c:strCache>
                <c:ptCount val="24"/>
                <c:pt idx="0">
                  <c:v>AirTrunk (Blackstone)</c:v>
                </c:pt>
                <c:pt idx="1">
                  <c:v>Lodha Group (park; tenants AWS, STT)</c:v>
                </c:pt>
                <c:pt idx="2">
                  <c:v>ReNew</c:v>
                </c:pt>
                <c:pt idx="3">
                  <c:v>Trentar (Dorf Ketal)</c:v>
                </c:pt>
                <c:pt idx="4">
                  <c:v>Sify</c:v>
                </c:pt>
                <c:pt idx="5">
                  <c:v>NTT</c:v>
                </c:pt>
                <c:pt idx="6">
                  <c:v>Digital Edge</c:v>
                </c:pt>
                <c:pt idx="7">
                  <c:v>AWS (Amazon)</c:v>
                </c:pt>
                <c:pt idx="8">
                  <c:v>Adani Group</c:v>
                </c:pt>
                <c:pt idx="9">
                  <c:v>Princeton Digital Group</c:v>
                </c:pt>
                <c:pt idx="10">
                  <c:v>Zerra</c:v>
                </c:pt>
                <c:pt idx="11">
                  <c:v>CtrlS</c:v>
                </c:pt>
                <c:pt idx="12">
                  <c:v>MAHAPREIT (state)</c:v>
                </c:pt>
                <c:pt idx="13">
                  <c:v>Colt DCS - RMZ</c:v>
                </c:pt>
                <c:pt idx="14">
                  <c:v>Iron Mountain</c:v>
                </c:pt>
                <c:pt idx="15">
                  <c:v>CapitaLand</c:v>
                </c:pt>
                <c:pt idx="16">
                  <c:v>STT GDC</c:v>
                </c:pt>
                <c:pt idx="17">
                  <c:v>Unidentified (Chandivali)</c:v>
                </c:pt>
                <c:pt idx="18">
                  <c:v>Google</c:v>
                </c:pt>
                <c:pt idx="19">
                  <c:v>L&amp;T</c:v>
                </c:pt>
                <c:pt idx="20">
                  <c:v>ESR</c:v>
                </c:pt>
                <c:pt idx="21">
                  <c:v>TCC Concept / NES Data</c:v>
                </c:pt>
                <c:pt idx="22">
                  <c:v>Yotta (Hiranandani)</c:v>
                </c:pt>
                <c:pt idx="23">
                  <c:v>Avisirah</c:v>
                </c:pt>
              </c:strCache>
            </c:strRef>
          </c:cat>
          <c:val>
            <c:numRef>
              <c:f>Maharashtra!$C$6:$C$29</c:f>
              <c:numCache>
                <c:formatCode>#,##0;\-#,##0;"-"</c:formatCode>
                <c:ptCount val="24"/>
                <c:pt idx="0">
                  <c:v>62</c:v>
                </c:pt>
                <c:pt idx="1">
                  <c:v>1450</c:v>
                </c:pt>
                <c:pt idx="2">
                  <c:v>0</c:v>
                </c:pt>
                <c:pt idx="3">
                  <c:v>0</c:v>
                </c:pt>
                <c:pt idx="4">
                  <c:v>377</c:v>
                </c:pt>
                <c:pt idx="5">
                  <c:v>366</c:v>
                </c:pt>
                <c:pt idx="6">
                  <c:v>350</c:v>
                </c:pt>
                <c:pt idx="7">
                  <c:v>349</c:v>
                </c:pt>
                <c:pt idx="8">
                  <c:v>75.400000000000006</c:v>
                </c:pt>
                <c:pt idx="9">
                  <c:v>150</c:v>
                </c:pt>
                <c:pt idx="10">
                  <c:v>0</c:v>
                </c:pt>
                <c:pt idx="11">
                  <c:v>214</c:v>
                </c:pt>
                <c:pt idx="12">
                  <c:v>0</c:v>
                </c:pt>
                <c:pt idx="13">
                  <c:v>148</c:v>
                </c:pt>
                <c:pt idx="14">
                  <c:v>140</c:v>
                </c:pt>
                <c:pt idx="15">
                  <c:v>135</c:v>
                </c:pt>
                <c:pt idx="16">
                  <c:v>133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52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9-4A92-82DE-EEF02B6A4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Andhra Pradesh: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'Andhra Pradesh'!$B$5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'Andhra Pradesh'!$A$6:$A$12</c:f>
              <c:strCache>
                <c:ptCount val="7"/>
                <c:pt idx="0">
                  <c:v>Adani Group</c:v>
                </c:pt>
                <c:pt idx="1">
                  <c:v>Reliance</c:v>
                </c:pt>
                <c:pt idx="2">
                  <c:v>ReNew</c:v>
                </c:pt>
                <c:pt idx="3">
                  <c:v>Sify</c:v>
                </c:pt>
                <c:pt idx="4">
                  <c:v>AM Intelligence Labs</c:v>
                </c:pt>
                <c:pt idx="5">
                  <c:v>Colt DCS - RMZ</c:v>
                </c:pt>
                <c:pt idx="6">
                  <c:v>CtrlS</c:v>
                </c:pt>
              </c:strCache>
            </c:strRef>
          </c:cat>
          <c:val>
            <c:numRef>
              <c:f>'Andhra Pradesh'!$B$6:$B$12</c:f>
              <c:numCache>
                <c:formatCode>#,##0;\-#,##0;"-"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D-4D17-BAEA-353C96699163}"/>
            </c:ext>
          </c:extLst>
        </c:ser>
        <c:ser>
          <c:idx val="1"/>
          <c:order val="1"/>
          <c:tx>
            <c:strRef>
              <c:f>'Andhra Pradesh'!$C$5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'Andhra Pradesh'!$A$6:$A$12</c:f>
              <c:strCache>
                <c:ptCount val="7"/>
                <c:pt idx="0">
                  <c:v>Adani Group</c:v>
                </c:pt>
                <c:pt idx="1">
                  <c:v>Reliance</c:v>
                </c:pt>
                <c:pt idx="2">
                  <c:v>ReNew</c:v>
                </c:pt>
                <c:pt idx="3">
                  <c:v>Sify</c:v>
                </c:pt>
                <c:pt idx="4">
                  <c:v>AM Intelligence Labs</c:v>
                </c:pt>
                <c:pt idx="5">
                  <c:v>Colt DCS - RMZ</c:v>
                </c:pt>
                <c:pt idx="6">
                  <c:v>CtrlS</c:v>
                </c:pt>
              </c:strCache>
            </c:strRef>
          </c:cat>
          <c:val>
            <c:numRef>
              <c:f>'Andhra Pradesh'!$C$6:$C$12</c:f>
              <c:numCache>
                <c:formatCode>#,##0;\-#,##0;"-"</c:formatCode>
                <c:ptCount val="7"/>
                <c:pt idx="0">
                  <c:v>2338</c:v>
                </c:pt>
                <c:pt idx="1">
                  <c:v>1500</c:v>
                </c:pt>
                <c:pt idx="2">
                  <c:v>1000</c:v>
                </c:pt>
                <c:pt idx="3">
                  <c:v>550</c:v>
                </c:pt>
                <c:pt idx="4">
                  <c:v>512</c:v>
                </c:pt>
                <c:pt idx="5">
                  <c:v>486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D-4D17-BAEA-353C96699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Telangana: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Telangana!$B$5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Telangana!$A$6:$A$13</c:f>
              <c:strCache>
                <c:ptCount val="8"/>
                <c:pt idx="0">
                  <c:v>Fortune</c:v>
                </c:pt>
                <c:pt idx="1">
                  <c:v>TCS</c:v>
                </c:pt>
                <c:pt idx="2">
                  <c:v>Adani Group</c:v>
                </c:pt>
                <c:pt idx="3">
                  <c:v>CtrlS</c:v>
                </c:pt>
                <c:pt idx="4">
                  <c:v>NTT Data - Neysa</c:v>
                </c:pt>
                <c:pt idx="5">
                  <c:v>AWS / CtrlS (unattributed)</c:v>
                </c:pt>
                <c:pt idx="6">
                  <c:v>STT GDC</c:v>
                </c:pt>
                <c:pt idx="7">
                  <c:v>UPC-Volt</c:v>
                </c:pt>
              </c:strCache>
            </c:strRef>
          </c:cat>
          <c:val>
            <c:numRef>
              <c:f>Telangana!$B$6:$B$13</c:f>
              <c:numCache>
                <c:formatCode>#,##0;\-#,##0;"-"</c:formatCode>
                <c:ptCount val="8"/>
                <c:pt idx="0">
                  <c:v>0</c:v>
                </c:pt>
                <c:pt idx="1">
                  <c:v>1000</c:v>
                </c:pt>
                <c:pt idx="2">
                  <c:v>386.8</c:v>
                </c:pt>
                <c:pt idx="3">
                  <c:v>400</c:v>
                </c:pt>
                <c:pt idx="4">
                  <c:v>400</c:v>
                </c:pt>
                <c:pt idx="5">
                  <c:v>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2-4A5E-840D-7E9830993E43}"/>
            </c:ext>
          </c:extLst>
        </c:ser>
        <c:ser>
          <c:idx val="1"/>
          <c:order val="1"/>
          <c:tx>
            <c:strRef>
              <c:f>Telangana!$C$5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Telangana!$A$6:$A$13</c:f>
              <c:strCache>
                <c:ptCount val="8"/>
                <c:pt idx="0">
                  <c:v>Fortune</c:v>
                </c:pt>
                <c:pt idx="1">
                  <c:v>TCS</c:v>
                </c:pt>
                <c:pt idx="2">
                  <c:v>Adani Group</c:v>
                </c:pt>
                <c:pt idx="3">
                  <c:v>CtrlS</c:v>
                </c:pt>
                <c:pt idx="4">
                  <c:v>NTT Data - Neysa</c:v>
                </c:pt>
                <c:pt idx="5">
                  <c:v>AWS / CtrlS (unattributed)</c:v>
                </c:pt>
                <c:pt idx="6">
                  <c:v>STT GDC</c:v>
                </c:pt>
                <c:pt idx="7">
                  <c:v>UPC-Volt</c:v>
                </c:pt>
              </c:strCache>
            </c:strRef>
          </c:cat>
          <c:val>
            <c:numRef>
              <c:f>Telangana!$C$6:$C$13</c:f>
              <c:numCache>
                <c:formatCode>#,##0;\-#,##0;"-"</c:formatCode>
                <c:ptCount val="8"/>
                <c:pt idx="0">
                  <c:v>2000</c:v>
                </c:pt>
                <c:pt idx="1">
                  <c:v>0</c:v>
                </c:pt>
                <c:pt idx="2">
                  <c:v>19.2</c:v>
                </c:pt>
                <c:pt idx="3">
                  <c:v>0</c:v>
                </c:pt>
                <c:pt idx="4">
                  <c:v>0</c:v>
                </c:pt>
                <c:pt idx="5">
                  <c:v>278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2-4A5E-840D-7E983099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Tamil Nadu: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'Tamil Nadu'!$B$5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'Tamil Nadu'!$A$6:$A$11</c:f>
              <c:strCache>
                <c:ptCount val="6"/>
                <c:pt idx="0">
                  <c:v>Sify</c:v>
                </c:pt>
                <c:pt idx="1">
                  <c:v>Digital Connexion (Reliance-Brookfield-DLR)</c:v>
                </c:pt>
                <c:pt idx="2">
                  <c:v>CapitaLand</c:v>
                </c:pt>
                <c:pt idx="3">
                  <c:v>STT GDC</c:v>
                </c:pt>
                <c:pt idx="4">
                  <c:v>Techno Digital</c:v>
                </c:pt>
                <c:pt idx="5">
                  <c:v>Adani Group</c:v>
                </c:pt>
              </c:strCache>
            </c:strRef>
          </c:cat>
          <c:val>
            <c:numRef>
              <c:f>'Tamil Nadu'!$B$6:$B$11</c:f>
              <c:numCache>
                <c:formatCode>#,##0;\-#,##0;"-"</c:formatCode>
                <c:ptCount val="6"/>
                <c:pt idx="0">
                  <c:v>104.1</c:v>
                </c:pt>
                <c:pt idx="1">
                  <c:v>0</c:v>
                </c:pt>
                <c:pt idx="2">
                  <c:v>0</c:v>
                </c:pt>
                <c:pt idx="3">
                  <c:v>37.799999999999997</c:v>
                </c:pt>
                <c:pt idx="4">
                  <c:v>0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0-424E-B307-6B76E23EA4A4}"/>
            </c:ext>
          </c:extLst>
        </c:ser>
        <c:ser>
          <c:idx val="1"/>
          <c:order val="1"/>
          <c:tx>
            <c:strRef>
              <c:f>'Tamil Nadu'!$C$5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'Tamil Nadu'!$A$6:$A$11</c:f>
              <c:strCache>
                <c:ptCount val="6"/>
                <c:pt idx="0">
                  <c:v>Sify</c:v>
                </c:pt>
                <c:pt idx="1">
                  <c:v>Digital Connexion (Reliance-Brookfield-DLR)</c:v>
                </c:pt>
                <c:pt idx="2">
                  <c:v>CapitaLand</c:v>
                </c:pt>
                <c:pt idx="3">
                  <c:v>STT GDC</c:v>
                </c:pt>
                <c:pt idx="4">
                  <c:v>Techno Digital</c:v>
                </c:pt>
                <c:pt idx="5">
                  <c:v>Adani Group</c:v>
                </c:pt>
              </c:strCache>
            </c:strRef>
          </c:cat>
          <c:val>
            <c:numRef>
              <c:f>'Tamil Nadu'!$C$6:$C$11</c:f>
              <c:numCache>
                <c:formatCode>#,##0;\-#,##0;"-"</c:formatCode>
                <c:ptCount val="6"/>
                <c:pt idx="0">
                  <c:v>25.9</c:v>
                </c:pt>
                <c:pt idx="1">
                  <c:v>100</c:v>
                </c:pt>
                <c:pt idx="2">
                  <c:v>53</c:v>
                </c:pt>
                <c:pt idx="3">
                  <c:v>7.2</c:v>
                </c:pt>
                <c:pt idx="4">
                  <c:v>36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0-424E-B307-6B76E23EA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Uttar Pradesh: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'Uttar Pradesh'!$B$5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'Uttar Pradesh'!$A$6:$A$11</c:f>
              <c:strCache>
                <c:ptCount val="6"/>
                <c:pt idx="0">
                  <c:v>Hiranandani (Yotta)</c:v>
                </c:pt>
                <c:pt idx="1">
                  <c:v>SKVR</c:v>
                </c:pt>
                <c:pt idx="2">
                  <c:v>Adani Group</c:v>
                </c:pt>
                <c:pt idx="3">
                  <c:v>NTT</c:v>
                </c:pt>
                <c:pt idx="4">
                  <c:v>STT GDC</c:v>
                </c:pt>
                <c:pt idx="5">
                  <c:v>Iron Mountain</c:v>
                </c:pt>
              </c:strCache>
            </c:strRef>
          </c:cat>
          <c:val>
            <c:numRef>
              <c:f>'Uttar Pradesh'!$B$6:$B$11</c:f>
              <c:numCache>
                <c:formatCode>#,##0;\-#,##0;"-"</c:formatCode>
                <c:ptCount val="6"/>
                <c:pt idx="0">
                  <c:v>222</c:v>
                </c:pt>
                <c:pt idx="1">
                  <c:v>104</c:v>
                </c:pt>
                <c:pt idx="2">
                  <c:v>65</c:v>
                </c:pt>
                <c:pt idx="3">
                  <c:v>43.8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4-49D7-BF4D-AF581C602CDB}"/>
            </c:ext>
          </c:extLst>
        </c:ser>
        <c:ser>
          <c:idx val="1"/>
          <c:order val="1"/>
          <c:tx>
            <c:strRef>
              <c:f>'Uttar Pradesh'!$C$5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'Uttar Pradesh'!$A$6:$A$11</c:f>
              <c:strCache>
                <c:ptCount val="6"/>
                <c:pt idx="0">
                  <c:v>Hiranandani (Yotta)</c:v>
                </c:pt>
                <c:pt idx="1">
                  <c:v>SKVR</c:v>
                </c:pt>
                <c:pt idx="2">
                  <c:v>Adani Group</c:v>
                </c:pt>
                <c:pt idx="3">
                  <c:v>NTT</c:v>
                </c:pt>
                <c:pt idx="4">
                  <c:v>STT GDC</c:v>
                </c:pt>
                <c:pt idx="5">
                  <c:v>Iron Mountain</c:v>
                </c:pt>
              </c:strCache>
            </c:strRef>
          </c:cat>
          <c:val>
            <c:numRef>
              <c:f>'Uttar Pradesh'!$C$6:$C$11</c:f>
              <c:numCache>
                <c:formatCode>#,##0;\-#,##0;"-"</c:formatCode>
                <c:ptCount val="6"/>
                <c:pt idx="0">
                  <c:v>28</c:v>
                </c:pt>
                <c:pt idx="1">
                  <c:v>16</c:v>
                </c:pt>
                <c:pt idx="2">
                  <c:v>35</c:v>
                </c:pt>
                <c:pt idx="3">
                  <c:v>9</c:v>
                </c:pt>
                <c:pt idx="4">
                  <c:v>40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4-49D7-BF4D-AF581C602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Odisha: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Odisha!$B$5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Odisha!$A$6:$A$7</c:f>
              <c:strCache>
                <c:ptCount val="2"/>
                <c:pt idx="0">
                  <c:v>Adani Group</c:v>
                </c:pt>
                <c:pt idx="1">
                  <c:v>Sentraforge AI</c:v>
                </c:pt>
              </c:strCache>
            </c:strRef>
          </c:cat>
          <c:val>
            <c:numRef>
              <c:f>Odisha!$B$6:$B$7</c:f>
              <c:numCache>
                <c:formatCode>#,##0;\-#,##0;"-"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0-4C27-BBBE-30D98A25044C}"/>
            </c:ext>
          </c:extLst>
        </c:ser>
        <c:ser>
          <c:idx val="1"/>
          <c:order val="1"/>
          <c:tx>
            <c:strRef>
              <c:f>Odisha!$C$5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Odisha!$A$6:$A$7</c:f>
              <c:strCache>
                <c:ptCount val="2"/>
                <c:pt idx="0">
                  <c:v>Adani Group</c:v>
                </c:pt>
                <c:pt idx="1">
                  <c:v>Sentraforge AI</c:v>
                </c:pt>
              </c:strCache>
            </c:strRef>
          </c:cat>
          <c:val>
            <c:numRef>
              <c:f>Odisha!$C$6:$C$7</c:f>
              <c:numCache>
                <c:formatCode>#,##0;\-#,##0;"-"</c:formatCode>
                <c:ptCount val="2"/>
                <c:pt idx="0">
                  <c:v>1000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0-4C27-BBBE-30D98A250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Karnataka: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Karnataka!$B$5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Karnataka!$A$6</c:f>
              <c:strCache>
                <c:ptCount val="1"/>
                <c:pt idx="0">
                  <c:v>Govt of Karnataka (park)</c:v>
                </c:pt>
              </c:strCache>
            </c:strRef>
          </c:cat>
          <c:val>
            <c:numRef>
              <c:f>Karnataka!$B$6</c:f>
              <c:numCache>
                <c:formatCode>#,##0;\-#,##0;"-"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1-4ED3-8D07-13C6770EB80D}"/>
            </c:ext>
          </c:extLst>
        </c:ser>
        <c:ser>
          <c:idx val="1"/>
          <c:order val="1"/>
          <c:tx>
            <c:strRef>
              <c:f>Karnataka!$C$5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Karnataka!$A$6</c:f>
              <c:strCache>
                <c:ptCount val="1"/>
                <c:pt idx="0">
                  <c:v>Govt of Karnataka (park)</c:v>
                </c:pt>
              </c:strCache>
            </c:strRef>
          </c:cat>
          <c:val>
            <c:numRef>
              <c:f>Karnataka!$C$6</c:f>
              <c:numCache>
                <c:formatCode>#,##0;\-#,##0;"-"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1-4ED3-8D07-13C6770E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Gujarat: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Gujarat!$B$5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Gujarat!$A$6</c:f>
              <c:strCache>
                <c:ptCount val="1"/>
                <c:pt idx="0">
                  <c:v>Reliance</c:v>
                </c:pt>
              </c:strCache>
            </c:strRef>
          </c:cat>
          <c:val>
            <c:numRef>
              <c:f>Gujarat!$B$6</c:f>
              <c:numCache>
                <c:formatCode>#,##0;\-#,##0;"-"</c:formatCode>
                <c:ptCount val="1"/>
                <c:pt idx="0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A24-84B1-AC77691F6ABD}"/>
            </c:ext>
          </c:extLst>
        </c:ser>
        <c:ser>
          <c:idx val="1"/>
          <c:order val="1"/>
          <c:tx>
            <c:strRef>
              <c:f>Gujarat!$C$5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Gujarat!$A$6</c:f>
              <c:strCache>
                <c:ptCount val="1"/>
                <c:pt idx="0">
                  <c:v>Reliance</c:v>
                </c:pt>
              </c:strCache>
            </c:strRef>
          </c:cat>
          <c:val>
            <c:numRef>
              <c:f>Gujarat!$C$6</c:f>
              <c:numCache>
                <c:formatCode>#,##0;\-#,##0;"-"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3-4A24-84B1-AC77691F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Haryana: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Haryana!$B$5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Haryana!$A$6</c:f>
              <c:strCache>
                <c:ptCount val="1"/>
                <c:pt idx="0">
                  <c:v>Anant Raj</c:v>
                </c:pt>
              </c:strCache>
            </c:strRef>
          </c:cat>
          <c:val>
            <c:numRef>
              <c:f>Haryana!$B$6</c:f>
              <c:numCache>
                <c:formatCode>#,##0;\-#,##0;"-"</c:formatCode>
                <c:ptCount val="1"/>
                <c:pt idx="0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3-4CB9-9FBA-C4FB6DECDC43}"/>
            </c:ext>
          </c:extLst>
        </c:ser>
        <c:ser>
          <c:idx val="1"/>
          <c:order val="1"/>
          <c:tx>
            <c:strRef>
              <c:f>Haryana!$C$5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Haryana!$A$6</c:f>
              <c:strCache>
                <c:ptCount val="1"/>
                <c:pt idx="0">
                  <c:v>Anant Raj</c:v>
                </c:pt>
              </c:strCache>
            </c:strRef>
          </c:cat>
          <c:val>
            <c:numRef>
              <c:f>Haryana!$C$6</c:f>
              <c:numCache>
                <c:formatCode>#,##0;\-#,##0;"-"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3-4CB9-9FBA-C4FB6DECD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West Bengal: DC power by company (MW)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'West Bengal'!$B$5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'West Bengal'!$A$6:$A$7</c:f>
              <c:strCache>
                <c:ptCount val="2"/>
                <c:pt idx="0">
                  <c:v>Hiranandani (Yotta)</c:v>
                </c:pt>
                <c:pt idx="1">
                  <c:v>NTT</c:v>
                </c:pt>
              </c:strCache>
            </c:strRef>
          </c:cat>
          <c:val>
            <c:numRef>
              <c:f>'West Bengal'!$B$6:$B$7</c:f>
              <c:numCache>
                <c:formatCode>#,##0;\-#,##0;"-"</c:formatCode>
                <c:ptCount val="2"/>
                <c:pt idx="0">
                  <c:v>250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4E3D-891E-56A57C857183}"/>
            </c:ext>
          </c:extLst>
        </c:ser>
        <c:ser>
          <c:idx val="1"/>
          <c:order val="1"/>
          <c:tx>
            <c:strRef>
              <c:f>'West Bengal'!$C$5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'West Bengal'!$A$6:$A$7</c:f>
              <c:strCache>
                <c:ptCount val="2"/>
                <c:pt idx="0">
                  <c:v>Hiranandani (Yotta)</c:v>
                </c:pt>
                <c:pt idx="1">
                  <c:v>NTT</c:v>
                </c:pt>
              </c:strCache>
            </c:strRef>
          </c:cat>
          <c:val>
            <c:numRef>
              <c:f>'West Bengal'!$C$6:$C$7</c:f>
              <c:numCache>
                <c:formatCode>#,##0;\-#,##0;"-"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0-4E3D-891E-56A57C857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zerradc.com/projects/navi-mumbai/" TargetMode="External"/><Relationship Id="rId21" Type="http://schemas.openxmlformats.org/officeDocument/2006/relationships/hyperlink" Target="https://www.datacenterdynamics.com/en/news/pdg-breaks-ground-on-latest-mumbai-data-center/" TargetMode="External"/><Relationship Id="rId42" Type="http://schemas.openxmlformats.org/officeDocument/2006/relationships/hyperlink" Target="https://www.convergence-now.com/artificial-intelligence/telanganas-ai-data-centre-race-gets-bigger-with-%E2%82%B91-3-lakh-crore-project/" TargetMode="External"/><Relationship Id="rId47" Type="http://schemas.openxmlformats.org/officeDocument/2006/relationships/hyperlink" Target="https://w.media/ntt-data-neysa-networks-and-telangana-govt-sign-mou-with-to-build-ai-dc-cluster-worth-rs-10500-crores/" TargetMode="External"/><Relationship Id="rId63" Type="http://schemas.openxmlformats.org/officeDocument/2006/relationships/hyperlink" Target="https://www.businessworld.in/article/adani-arm-gets-odisha-nod-for-rs-1-04-lakh-cr-data-centre-park-625673" TargetMode="External"/><Relationship Id="rId68" Type="http://schemas.openxmlformats.org/officeDocument/2006/relationships/hyperlink" Target="https://www.datacenterdynamics.com/en/news/hiranandani-group-build-six-hyperscale-data-centers-bengal/" TargetMode="External"/><Relationship Id="rId7" Type="http://schemas.openxmlformats.org/officeDocument/2006/relationships/hyperlink" Target="https://environmentclearance.nic.in/writereaddata/FormB/agenda/2302202697285484%28921161%29MINUTESOF319DAY-5PART-B.pdf" TargetMode="External"/><Relationship Id="rId2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16" Type="http://schemas.openxmlformats.org/officeDocument/2006/relationships/hyperlink" Target="https://www.sifytechnologies.com/data-center/rabale-data-center/" TargetMode="External"/><Relationship Id="rId29" Type="http://schemas.openxmlformats.org/officeDocument/2006/relationships/hyperlink" Target="https://www.constructionworld.in/policy-updates-and-economic-news/tcc-concept-plans-60-mw-data-centre-campus-in-pune/95832" TargetMode="External"/><Relationship Id="rId11" Type="http://schemas.openxmlformats.org/officeDocument/2006/relationships/hyperlink" Target="https://mpcb.gov.in/sites/default/files/inline-files/Action_Taken_report_of_5th_CAC_Booklet_no_5_0.pdf" TargetMode="External"/><Relationship Id="rId24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32" Type="http://schemas.openxmlformats.org/officeDocument/2006/relationships/hyperlink" Target="https://countercurrents.org/2026/04/hrf-flags-template-based-clearances-for-massive-andhra-data-centres-seeks-suspension-and-fresh-review/" TargetMode="External"/><Relationship Id="rId37" Type="http://schemas.openxmlformats.org/officeDocument/2006/relationships/hyperlink" Target="https://theprint.in/india/andhra-approves-green-ai-data-centre-in-visakhapatnam-with-investment-of-over-rs-30000-cr/3022441/" TargetMode="External"/><Relationship Id="rId40" Type="http://schemas.openxmlformats.org/officeDocument/2006/relationships/hyperlink" Target="https://www.deccanchronicle.com/southern-states/andhra-pradesh/ap-approves-sifys-rs-15266-crore-data-centre-expansion-clears-3-other-tech-projects-1967167" TargetMode="External"/><Relationship Id="rId45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53" Type="http://schemas.openxmlformats.org/officeDocument/2006/relationships/hyperlink" Target="https://w.media/stt-gdc-india-launches-fourth-dc-in-chennai/" TargetMode="External"/><Relationship Id="rId58" Type="http://schemas.openxmlformats.org/officeDocument/2006/relationships/hyperlink" Target="https://uplc.up.gov.in/en/page/uttar-pradesh-data-center-policy" TargetMode="External"/><Relationship Id="rId66" Type="http://schemas.openxmlformats.org/officeDocument/2006/relationships/hyperlink" Target="https://www.pv-magazine-india.com/2026/06/10/reliance-meta-to-develop-168-mw-ai-data-centre-powered-by-renewable-energy-in-jamnagar/" TargetMode="External"/><Relationship Id="rId5" Type="http://schemas.openxmlformats.org/officeDocument/2006/relationships/hyperlink" Target="https://investors.coreweave.com/news/news-details/2026/CoreWeave-Enters-India-Expanding-AI-Cloud-Platform-With-AdaniConneX/default.aspx" TargetMode="External"/><Relationship Id="rId61" Type="http://schemas.openxmlformats.org/officeDocument/2006/relationships/hyperlink" Target="https://uplc.up.gov.in/en/page/uttar-pradesh-data-center-policy" TargetMode="External"/><Relationship Id="rId19" Type="http://schemas.openxmlformats.org/officeDocument/2006/relationships/hyperlink" Target="https://www.sttelemediagdc.com/in-en/locations/mumbai" TargetMode="External"/><Relationship Id="rId14" Type="http://schemas.openxmlformats.org/officeDocument/2006/relationships/hyperlink" Target="https://environmentclearance.nic.in/writereaddata/FormB/agenda/2107202594781152MINUTESOF296DAY-3PART-B.pdf" TargetMode="External"/><Relationship Id="rId22" Type="http://schemas.openxmlformats.org/officeDocument/2006/relationships/hyperlink" Target="https://indianinfrastructure.com/2026/10/16/colt-dcs-and-rmz-begin-construction-of-third-data-centre-in-mumbai/" TargetMode="External"/><Relationship Id="rId27" Type="http://schemas.openxmlformats.org/officeDocument/2006/relationships/hyperlink" Target="https://mahapreit.in/assets/uploads/tender-ext-65-1786725791.pdf" TargetMode="External"/><Relationship Id="rId30" Type="http://schemas.openxmlformats.org/officeDocument/2006/relationships/hyperlink" Target="https://propnewstime.com/latestnewsstories/MzY3MDg=/avisirah-raises-inr-75-crore-for-navi-mumbai-data-centre" TargetMode="External"/><Relationship Id="rId35" Type="http://schemas.openxmlformats.org/officeDocument/2006/relationships/hyperlink" Target="https://stopdirtydatacenters.org/" TargetMode="External"/><Relationship Id="rId43" Type="http://schemas.openxmlformats.org/officeDocument/2006/relationships/hyperlink" Target="https://www.aninews.in/news/national/general-news/tcs-hypervault-signs-mou-with-telangana-for-rs-70000-crore-ai-data-centre-project20260905171224/" TargetMode="External"/><Relationship Id="rId48" Type="http://schemas.openxmlformats.org/officeDocument/2006/relationships/hyperlink" Target="https://www.tribuneindia.com/news/world/telangana-govt-signs-rs-3500-crore-mou-with-st-telemedia-for-ai-ready-data-centre-in-hyderabad/" TargetMode="External"/><Relationship Id="rId56" Type="http://schemas.openxmlformats.org/officeDocument/2006/relationships/hyperlink" Target="https://www.dtnext.in/news/chennai/powerplay-tn-plans-substation-in-ambattur-to-back-data-centres-850341" TargetMode="External"/><Relationship Id="rId64" Type="http://schemas.openxmlformats.org/officeDocument/2006/relationships/hyperlink" Target="https://www.businesstoday.in/india/story/odisha-clears-sentraforge-ais-massive-rs22634-crore-sovereign-compute-project-558006-2026-09-26" TargetMode="External"/><Relationship Id="rId69" Type="http://schemas.openxmlformats.org/officeDocument/2006/relationships/hyperlink" Target="https://services.global.ntt/en-us/services-and-products/global-data-centers/global-locations/india/kolkata-1-data-center" TargetMode="External"/><Relationship Id="rId8" Type="http://schemas.openxmlformats.org/officeDocument/2006/relationships/hyperlink" Target="https://x.com/cbdhage/status/1762797367529480646" TargetMode="External"/><Relationship Id="rId51" Type="http://schemas.openxmlformats.org/officeDocument/2006/relationships/hyperlink" Target="https://sifyinfinitspaces.com/wp-content/uploads/2025/07/Sify-Infinit-Spaces-IR-2025.pdf" TargetMode="External"/><Relationship Id="rId3" Type="http://schemas.openxmlformats.org/officeDocument/2006/relationships/hyperlink" Target="https://mpcb.gov.in/sites/default/files/inline-files/Minutes%20of%2015th%20CAC%20Establish%20Booklet%20no%2065.pdf" TargetMode="External"/><Relationship Id="rId12" Type="http://schemas.openxmlformats.org/officeDocument/2006/relationships/hyperlink" Target="https://environmentclearance.nic.in/writereaddata/FormB/agenda/1509202585756580%28740114%29MINUTESOF301DAY-4TABLEITEM-Copy.pdf" TargetMode="External"/><Relationship Id="rId17" Type="http://schemas.openxmlformats.org/officeDocument/2006/relationships/hyperlink" Target="https://colocation.yotta.com/data-center/nm1-datacenter-mumbai-region-maharashtra/" TargetMode="External"/><Relationship Id="rId25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33" Type="http://schemas.openxmlformats.org/officeDocument/2006/relationships/hyperlink" Target="https://theprint.in/judiciary/google-adani-vizag-data-centre-got-green-nod-on-built-up-area-not-ops-andhra-govt-affidavit-explains/3025598/" TargetMode="External"/><Relationship Id="rId38" Type="http://schemas.openxmlformats.org/officeDocument/2006/relationships/hyperlink" Target="https://www.medianama.com/2026/08/223-andhra-pradesh-ai-data-centres/" TargetMode="External"/><Relationship Id="rId46" Type="http://schemas.openxmlformats.org/officeDocument/2006/relationships/hyperlink" Target="https://www.telangana.gov.in/news/news-and-press-releases/2025/01/the-telangana-govt-signs-an-mou-with-ctrls-datacenters/" TargetMode="External"/><Relationship Id="rId59" Type="http://schemas.openxmlformats.org/officeDocument/2006/relationships/hyperlink" Target="https://uplc.up.gov.in/en/page/uttar-pradesh-data-center-policy" TargetMode="External"/><Relationship Id="rId67" Type="http://schemas.openxmlformats.org/officeDocument/2006/relationships/hyperlink" Target="https://www.valueresearchonline.com/stories/228694/anant-raj-data-centre-execution-delay-investment-risk/" TargetMode="External"/><Relationship Id="rId20" Type="http://schemas.openxmlformats.org/officeDocument/2006/relationships/hyperlink" Target="https://www.datacenterdynamics.com/en/news/ntt-announces-500mw-nav2-data-center-in-navi-mumbai-india/" TargetMode="External"/><Relationship Id="rId41" Type="http://schemas.openxmlformats.org/officeDocument/2006/relationships/hyperlink" Target="https://stopdirtydatacenters.org/" TargetMode="External"/><Relationship Id="rId54" Type="http://schemas.openxmlformats.org/officeDocument/2006/relationships/hyperlink" Target="https://www.datacenterdynamics.com/en/news/indias-techno-digital-opens-36mw-data-center/" TargetMode="External"/><Relationship Id="rId62" Type="http://schemas.openxmlformats.org/officeDocument/2006/relationships/hyperlink" Target="https://uplc.up.gov.in/en/page/uttar-pradesh-data-center-policy" TargetMode="External"/><Relationship Id="rId1" Type="http://schemas.openxmlformats.org/officeDocument/2006/relationships/hyperlink" Target="https://merc.gov.in/wp-content/uploads/2026/06/Order-88-of-2026.pdf" TargetMode="External"/><Relationship Id="rId6" Type="http://schemas.openxmlformats.org/officeDocument/2006/relationships/hyperlink" Target="https://www.ecmpcb.in/login/download_ec_document/MjMyMTI2NEMzMjYzNDM5M0IxRTJDRDY5MENBNDZFODcucGRm" TargetMode="External"/><Relationship Id="rId15" Type="http://schemas.openxmlformats.org/officeDocument/2006/relationships/hyperlink" Target="https://www.digitaledgedc.com/products-services/data-centers/india/" TargetMode="External"/><Relationship Id="rId23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28" Type="http://schemas.openxmlformats.org/officeDocument/2006/relationships/hyperlink" Target="https://www.crnasia.com/india/news/2026/esr-enters-india-data-centre-market-with-60-mw-facility-in-mumbai" TargetMode="External"/><Relationship Id="rId36" Type="http://schemas.openxmlformats.org/officeDocument/2006/relationships/hyperlink" Target="https://w.media/andhra-pradesh-allocates-extra-25-acres-for-sifys-500-mw-dc/" TargetMode="External"/><Relationship Id="rId49" Type="http://schemas.openxmlformats.org/officeDocument/2006/relationships/hyperlink" Target="https://w.media/telangana-reveals-plans-to-build-a-1500-acre-data-center-city/" TargetMode="External"/><Relationship Id="rId57" Type="http://schemas.openxmlformats.org/officeDocument/2006/relationships/hyperlink" Target="https://uplc.up.gov.in/en/page/uttar-pradesh-data-center-policy" TargetMode="External"/><Relationship Id="rId10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31" Type="http://schemas.openxmlformats.org/officeDocument/2006/relationships/hyperlink" Target="https://countercurrents.org/2026/04/hrf-flags-template-based-clearances-for-massive-andhra-data-centres-seeks-suspension-and-fresh-review/" TargetMode="External"/><Relationship Id="rId44" Type="http://schemas.openxmlformats.org/officeDocument/2006/relationships/hyperlink" Target="https://www.counterview.net/2026/05/scientists-flag-serious-omissions-in.html" TargetMode="External"/><Relationship Id="rId52" Type="http://schemas.openxmlformats.org/officeDocument/2006/relationships/hyperlink" Target="https://theprint.in/ground-reports/inside-chennais-data-centres-fortresses-of-the-ai-era/2856488/" TargetMode="External"/><Relationship Id="rId60" Type="http://schemas.openxmlformats.org/officeDocument/2006/relationships/hyperlink" Target="https://uplc.up.gov.in/en/page/uttar-pradesh-data-center-policy" TargetMode="External"/><Relationship Id="rId65" Type="http://schemas.openxmlformats.org/officeDocument/2006/relationships/hyperlink" Target="https://w.media/karnataka-plans-three-sustainable-data-center-parks-with-combined-capacity-of-1-gw/" TargetMode="External"/><Relationship Id="rId4" Type="http://schemas.openxmlformats.org/officeDocument/2006/relationships/hyperlink" Target="https://airtrunk.com/location/bom2-mumbai/" TargetMode="External"/><Relationship Id="rId9" Type="http://schemas.openxmlformats.org/officeDocument/2006/relationships/hyperlink" Target="https://environmentclearance.nic.in/writereaddata/FormB/agenda/1509202585756580%28740114%29MINUTESOF301DAY-4TABLEITEM-Copy.pdf" TargetMode="External"/><Relationship Id="rId13" Type="http://schemas.openxmlformats.org/officeDocument/2006/relationships/hyperlink" Target="https://environmentclearance.nic.in/writereaddata/FormB/agenda/1509202585756580%28740114%29MINUTESOF301DAY-4TABLEITEM-Copy.pdf" TargetMode="External"/><Relationship Id="rId18" Type="http://schemas.openxmlformats.org/officeDocument/2006/relationships/hyperlink" Target="https://www.ctrls.com/" TargetMode="External"/><Relationship Id="rId39" Type="http://schemas.openxmlformats.org/officeDocument/2006/relationships/hyperlink" Target="https://analyticsindiamag.com/ai-news/tcs-acquires-land-in-vizag-pune-for-openai-data-centres" TargetMode="External"/><Relationship Id="rId34" Type="http://schemas.openxmlformats.org/officeDocument/2006/relationships/hyperlink" Target="https://www.medianama.com/2026/08/223-andhra-pradesh-ai-data-centres/" TargetMode="External"/><Relationship Id="rId50" Type="http://schemas.openxmlformats.org/officeDocument/2006/relationships/hyperlink" Target="https://www.capitaland.com/content/dam/capitaland-newsroom/International/2026/october/cli-affirms-long-term-commitment-to-tamil-nadu/CapitaLand%20Investment%20reaffirms%20long-term%20commitment%20to%20Tamil%20Nadu%20with%20unveiling%20of%20new%20Chennai%20data%20centre.pdf" TargetMode="External"/><Relationship Id="rId55" Type="http://schemas.openxmlformats.org/officeDocument/2006/relationships/hyperlink" Target="https://www.adanienterprises.com/-/media/Project/Enterprises/Investors/Investor-Downloads/Results-Presentations/AEL_Investor_Present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5" x14ac:dyDescent="0.25"/>
  <cols>
    <col min="1" max="1" width="18" customWidth="1"/>
    <col min="2" max="4" width="13" customWidth="1"/>
    <col min="5" max="5" width="18" customWidth="1"/>
    <col min="6" max="6" width="16" customWidth="1"/>
  </cols>
  <sheetData>
    <row r="1" spans="1:6" ht="16.5" x14ac:dyDescent="0.25">
      <c r="A1" s="1" t="s">
        <v>0</v>
      </c>
    </row>
    <row r="2" spans="1:6" x14ac:dyDescent="0.25">
      <c r="A2" s="2" t="s">
        <v>1</v>
      </c>
    </row>
    <row r="4" spans="1:6" ht="39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>
        <f>Maharashtra!B30</f>
        <v>7108.7999999999993</v>
      </c>
      <c r="C5" s="5">
        <f>Maharashtra!C30</f>
        <v>4005.4</v>
      </c>
      <c r="D5" s="5">
        <f t="shared" ref="D5:D14" si="0">B5+C5</f>
        <v>11114.199999999999</v>
      </c>
      <c r="E5" s="5">
        <f>SUMIFS(Backup_All_States!$E$2:$E$70,Backup_All_States!$A$2:$A$70,$A5,Backup_All_States!$L$2:$L$70,"Y",Backup_All_States!$J$2:$J$70,"&lt;&gt;No")+SUMIFS(Backup_All_States!$F$2:$F$70,Backup_All_States!$A$2:$A$70,$A5,Backup_All_States!$L$2:$L$70,"Y",Backup_All_States!$J$2:$J$70,"&lt;&gt;No")</f>
        <v>240</v>
      </c>
      <c r="F5" s="5">
        <f t="shared" ref="F5:F14" si="1">D5-E5</f>
        <v>10874.199999999999</v>
      </c>
    </row>
    <row r="6" spans="1:6" x14ac:dyDescent="0.25">
      <c r="A6" s="4" t="s">
        <v>9</v>
      </c>
      <c r="B6" s="5">
        <f>'Andhra Pradesh'!B13</f>
        <v>0</v>
      </c>
      <c r="C6" s="5">
        <f>'Andhra Pradesh'!C13</f>
        <v>6486</v>
      </c>
      <c r="D6" s="5">
        <f t="shared" si="0"/>
        <v>6486</v>
      </c>
      <c r="E6" s="5">
        <f>SUMIFS(Backup_All_States!$E$2:$E$70,Backup_All_States!$A$2:$A$70,$A6,Backup_All_States!$L$2:$L$70,"Y",Backup_All_States!$J$2:$J$70,"&lt;&gt;No")+SUMIFS(Backup_All_States!$F$2:$F$70,Backup_All_States!$A$2:$A$70,$A6,Backup_All_States!$L$2:$L$70,"Y",Backup_All_States!$J$2:$J$70,"&lt;&gt;No")</f>
        <v>2138</v>
      </c>
      <c r="F6" s="5">
        <f t="shared" si="1"/>
        <v>4348</v>
      </c>
    </row>
    <row r="7" spans="1:6" x14ac:dyDescent="0.25">
      <c r="A7" s="4" t="s">
        <v>10</v>
      </c>
      <c r="B7" s="5">
        <f>Telangana!B14</f>
        <v>2386.8000000000002</v>
      </c>
      <c r="C7" s="5">
        <f>Telangana!C14</f>
        <v>2297.1999999999998</v>
      </c>
      <c r="D7" s="5">
        <f t="shared" si="0"/>
        <v>4684</v>
      </c>
      <c r="E7" s="5">
        <f>SUMIFS(Backup_All_States!$E$2:$E$70,Backup_All_States!$A$2:$A$70,$A7,Backup_All_States!$L$2:$L$70,"Y",Backup_All_States!$J$2:$J$70,"&lt;&gt;No")+SUMIFS(Backup_All_States!$F$2:$F$70,Backup_All_States!$A$2:$A$70,$A7,Backup_All_States!$L$2:$L$70,"Y",Backup_All_States!$J$2:$J$70,"&lt;&gt;No")</f>
        <v>1406</v>
      </c>
      <c r="F7" s="5">
        <f t="shared" si="1"/>
        <v>3278</v>
      </c>
    </row>
    <row r="8" spans="1:6" x14ac:dyDescent="0.25">
      <c r="A8" s="4" t="s">
        <v>11</v>
      </c>
      <c r="B8" s="5">
        <f>'Tamil Nadu'!B12</f>
        <v>157.89999999999998</v>
      </c>
      <c r="C8" s="5">
        <f>'Tamil Nadu'!C12</f>
        <v>239.1</v>
      </c>
      <c r="D8" s="5">
        <f t="shared" si="0"/>
        <v>397</v>
      </c>
      <c r="E8" s="5">
        <f>SUMIFS(Backup_All_States!$E$2:$E$70,Backup_All_States!$A$2:$A$70,$A8,Backup_All_States!$L$2:$L$70,"Y",Backup_All_States!$J$2:$J$70,"&lt;&gt;No")+SUMIFS(Backup_All_States!$F$2:$F$70,Backup_All_States!$A$2:$A$70,$A8,Backup_All_States!$L$2:$L$70,"Y",Backup_All_States!$J$2:$J$70,"&lt;&gt;No")</f>
        <v>0</v>
      </c>
      <c r="F8" s="5">
        <f t="shared" si="1"/>
        <v>397</v>
      </c>
    </row>
    <row r="9" spans="1:6" x14ac:dyDescent="0.25">
      <c r="A9" s="4" t="s">
        <v>12</v>
      </c>
      <c r="B9" s="5">
        <f>'Uttar Pradesh'!B12</f>
        <v>434.8</v>
      </c>
      <c r="C9" s="5">
        <f>'Uttar Pradesh'!C12</f>
        <v>133</v>
      </c>
      <c r="D9" s="5">
        <f t="shared" si="0"/>
        <v>567.79999999999995</v>
      </c>
      <c r="E9" s="5">
        <f>SUMIFS(Backup_All_States!$E$2:$E$70,Backup_All_States!$A$2:$A$70,$A9,Backup_All_States!$L$2:$L$70,"Y",Backup_All_States!$J$2:$J$70,"&lt;&gt;No")+SUMIFS(Backup_All_States!$F$2:$F$70,Backup_All_States!$A$2:$A$70,$A9,Backup_All_States!$L$2:$L$70,"Y",Backup_All_States!$J$2:$J$70,"&lt;&gt;No")</f>
        <v>0</v>
      </c>
      <c r="F9" s="5">
        <f t="shared" si="1"/>
        <v>567.79999999999995</v>
      </c>
    </row>
    <row r="10" spans="1:6" x14ac:dyDescent="0.25">
      <c r="A10" s="4" t="s">
        <v>13</v>
      </c>
      <c r="B10" s="5">
        <f>Odisha!B8</f>
        <v>0</v>
      </c>
      <c r="C10" s="5">
        <f>Odisha!C8</f>
        <v>1120</v>
      </c>
      <c r="D10" s="5">
        <f t="shared" si="0"/>
        <v>1120</v>
      </c>
      <c r="E10" s="5">
        <f>SUMIFS(Backup_All_States!$E$2:$E$70,Backup_All_States!$A$2:$A$70,$A10,Backup_All_States!$L$2:$L$70,"Y",Backup_All_States!$J$2:$J$70,"&lt;&gt;No")+SUMIFS(Backup_All_States!$F$2:$F$70,Backup_All_States!$A$2:$A$70,$A10,Backup_All_States!$L$2:$L$70,"Y",Backup_All_States!$J$2:$J$70,"&lt;&gt;No")</f>
        <v>0</v>
      </c>
      <c r="F10" s="5">
        <f t="shared" si="1"/>
        <v>1120</v>
      </c>
    </row>
    <row r="11" spans="1:6" x14ac:dyDescent="0.25">
      <c r="A11" s="4" t="s">
        <v>14</v>
      </c>
      <c r="B11" s="5">
        <f>Karnataka!B7</f>
        <v>500</v>
      </c>
      <c r="C11" s="5">
        <f>Karnataka!C7</f>
        <v>0</v>
      </c>
      <c r="D11" s="5">
        <f t="shared" si="0"/>
        <v>500</v>
      </c>
      <c r="E11" s="5">
        <f>SUMIFS(Backup_All_States!$E$2:$E$70,Backup_All_States!$A$2:$A$70,$A11,Backup_All_States!$L$2:$L$70,"Y",Backup_All_States!$J$2:$J$70,"&lt;&gt;No")+SUMIFS(Backup_All_States!$F$2:$F$70,Backup_All_States!$A$2:$A$70,$A11,Backup_All_States!$L$2:$L$70,"Y",Backup_All_States!$J$2:$J$70,"&lt;&gt;No")</f>
        <v>0</v>
      </c>
      <c r="F11" s="5">
        <f t="shared" si="1"/>
        <v>500</v>
      </c>
    </row>
    <row r="12" spans="1:6" x14ac:dyDescent="0.25">
      <c r="A12" s="4" t="s">
        <v>15</v>
      </c>
      <c r="B12" s="5">
        <f>Gujarat!B7</f>
        <v>168</v>
      </c>
      <c r="C12" s="5">
        <f>Gujarat!C7</f>
        <v>0</v>
      </c>
      <c r="D12" s="5">
        <f t="shared" si="0"/>
        <v>168</v>
      </c>
      <c r="E12" s="5">
        <f>SUMIFS(Backup_All_States!$E$2:$E$70,Backup_All_States!$A$2:$A$70,$A12,Backup_All_States!$L$2:$L$70,"Y",Backup_All_States!$J$2:$J$70,"&lt;&gt;No")+SUMIFS(Backup_All_States!$F$2:$F$70,Backup_All_States!$A$2:$A$70,$A12,Backup_All_States!$L$2:$L$70,"Y",Backup_All_States!$J$2:$J$70,"&lt;&gt;No")</f>
        <v>168</v>
      </c>
      <c r="F12" s="5">
        <f t="shared" si="1"/>
        <v>0</v>
      </c>
    </row>
    <row r="13" spans="1:6" x14ac:dyDescent="0.25">
      <c r="A13" s="4" t="s">
        <v>16</v>
      </c>
      <c r="B13" s="5">
        <f>Haryana!B7</f>
        <v>279</v>
      </c>
      <c r="C13" s="5">
        <f>Haryana!C7</f>
        <v>28</v>
      </c>
      <c r="D13" s="5">
        <f t="shared" si="0"/>
        <v>307</v>
      </c>
      <c r="E13" s="5">
        <f>SUMIFS(Backup_All_States!$E$2:$E$70,Backup_All_States!$A$2:$A$70,$A13,Backup_All_States!$L$2:$L$70,"Y",Backup_All_States!$J$2:$J$70,"&lt;&gt;No")+SUMIFS(Backup_All_States!$F$2:$F$70,Backup_All_States!$A$2:$A$70,$A13,Backup_All_States!$L$2:$L$70,"Y",Backup_All_States!$J$2:$J$70,"&lt;&gt;No")</f>
        <v>0</v>
      </c>
      <c r="F13" s="5">
        <f t="shared" si="1"/>
        <v>307</v>
      </c>
    </row>
    <row r="14" spans="1:6" x14ac:dyDescent="0.25">
      <c r="A14" s="4" t="s">
        <v>17</v>
      </c>
      <c r="B14" s="5">
        <f>'West Bengal'!B8</f>
        <v>275</v>
      </c>
      <c r="C14" s="5">
        <f>'West Bengal'!C8</f>
        <v>0</v>
      </c>
      <c r="D14" s="5">
        <f t="shared" si="0"/>
        <v>275</v>
      </c>
      <c r="E14" s="5">
        <f>SUMIFS(Backup_All_States!$E$2:$E$70,Backup_All_States!$A$2:$A$70,$A14,Backup_All_States!$L$2:$L$70,"Y",Backup_All_States!$J$2:$J$70,"&lt;&gt;No")+SUMIFS(Backup_All_States!$F$2:$F$70,Backup_All_States!$A$2:$A$70,$A14,Backup_All_States!$L$2:$L$70,"Y",Backup_All_States!$J$2:$J$70,"&lt;&gt;No")</f>
        <v>0</v>
      </c>
      <c r="F14" s="5">
        <f t="shared" si="1"/>
        <v>275</v>
      </c>
    </row>
    <row r="15" spans="1:6" x14ac:dyDescent="0.25">
      <c r="A15" s="6" t="s">
        <v>5</v>
      </c>
      <c r="B15" s="7">
        <f>SUM(B5:B14)</f>
        <v>11310.299999999997</v>
      </c>
      <c r="C15" s="7">
        <f>SUM(C5:C14)</f>
        <v>14308.699999999999</v>
      </c>
      <c r="D15" s="7">
        <f>SUM(D5:D14)</f>
        <v>25618.999999999996</v>
      </c>
      <c r="E15" s="7">
        <f>SUM(E5:E14)</f>
        <v>3952</v>
      </c>
      <c r="F15" s="7">
        <f>SUM(F5:F14)</f>
        <v>21666.999999999996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5" x14ac:dyDescent="0.25"/>
  <cols>
    <col min="1" max="1" width="58" customWidth="1"/>
    <col min="2" max="4" width="13" customWidth="1"/>
    <col min="5" max="5" width="12" customWidth="1"/>
    <col min="6" max="6" width="30" customWidth="1"/>
  </cols>
  <sheetData>
    <row r="1" spans="1:6" ht="16.5" x14ac:dyDescent="0.25">
      <c r="A1" s="1" t="s">
        <v>18</v>
      </c>
    </row>
    <row r="2" spans="1:6" x14ac:dyDescent="0.25">
      <c r="A2" s="2" t="s">
        <v>19</v>
      </c>
    </row>
    <row r="4" spans="1:6" ht="32.1" customHeight="1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spans="1:6" x14ac:dyDescent="0.25">
      <c r="A5" s="4" t="s">
        <v>26</v>
      </c>
      <c r="B5" s="8">
        <f>SUMIFS(Backup_All_States!$E$2:$E$70,Backup_All_States!$A$2:$A$70,"Maharashtra",Backup_All_States!$O$2:$O$70,"1 Grid connection granted / sanctioned",Backup_All_States!$L$2:$L$70,"Y")</f>
        <v>1450</v>
      </c>
      <c r="C5" s="8">
        <f>SUMIFS(Backup_All_States!$F$2:$F$70,Backup_All_States!$A$2:$A$70,"Maharashtra",Backup_All_States!$O$2:$O$70,"1 Grid connection granted / sanctioned",Backup_All_States!$L$2:$L$70,"Y")</f>
        <v>1500</v>
      </c>
      <c r="D5" s="8">
        <f>B5+C5</f>
        <v>2950</v>
      </c>
      <c r="E5" s="9">
        <f>IF($D$10=0,0,D5/$D$10)</f>
        <v>0.26542621151319934</v>
      </c>
      <c r="F5" s="4" t="s">
        <v>27</v>
      </c>
    </row>
    <row r="6" spans="1:6" x14ac:dyDescent="0.25">
      <c r="A6" s="4" t="s">
        <v>28</v>
      </c>
      <c r="B6" s="8">
        <f>SUMIFS(Backup_All_States!$E$2:$E$70,Backup_All_States!$A$2:$A$70,"Maharashtra",Backup_All_States!$O$2:$O$70,"2 Permit (EC / pollution consent)",Backup_All_States!$L$2:$L$70,"Y")</f>
        <v>2551.4</v>
      </c>
      <c r="C6" s="8">
        <f>SUMIFS(Backup_All_States!$F$2:$F$70,Backup_All_States!$A$2:$A$70,"Maharashtra",Backup_All_States!$O$2:$O$70,"2 Permit (EC / pollution consent)",Backup_All_States!$L$2:$L$70,"Y")</f>
        <v>437.3</v>
      </c>
      <c r="D6" s="8">
        <f>B6+C6</f>
        <v>2988.7000000000003</v>
      </c>
      <c r="E6" s="9">
        <f>IF($D$10=0,0,D6/$D$10)</f>
        <v>0.26890824350830472</v>
      </c>
      <c r="F6" s="4" t="s">
        <v>29</v>
      </c>
    </row>
    <row r="7" spans="1:6" x14ac:dyDescent="0.25">
      <c r="A7" s="4" t="s">
        <v>30</v>
      </c>
      <c r="B7" s="8">
        <f>SUMIFS(Backup_All_States!$E$2:$E$70,Backup_All_States!$A$2:$A$70,"Maharashtra",Backup_All_States!$O$2:$O$70,"3 Govt approval (GO / land)",Backup_All_States!$L$2:$L$70,"Y")</f>
        <v>0</v>
      </c>
      <c r="C7" s="8">
        <f>SUMIFS(Backup_All_States!$F$2:$F$70,Backup_All_States!$A$2:$A$70,"Maharashtra",Backup_All_States!$O$2:$O$70,"3 Govt approval (GO / land)",Backup_All_States!$L$2:$L$70,"Y")</f>
        <v>0</v>
      </c>
      <c r="D7" s="8">
        <f>B7+C7</f>
        <v>0</v>
      </c>
      <c r="E7" s="9">
        <f>IF($D$10=0,0,D7/$D$10)</f>
        <v>0</v>
      </c>
      <c r="F7" s="4" t="s">
        <v>31</v>
      </c>
    </row>
    <row r="8" spans="1:6" x14ac:dyDescent="0.25">
      <c r="A8" s="4" t="s">
        <v>32</v>
      </c>
      <c r="B8" s="8">
        <f>SUMIFS(Backup_All_States!$E$2:$E$70,Backup_All_States!$A$2:$A$70,"Maharashtra",Backup_All_States!$O$2:$O$70,"4 MoU / LoI / announced",Backup_All_States!$L$2:$L$70,"Y")</f>
        <v>4</v>
      </c>
      <c r="C8" s="8">
        <f>SUMIFS(Backup_All_States!$F$2:$F$70,Backup_All_States!$A$2:$A$70,"Maharashtra",Backup_All_States!$O$2:$O$70,"4 MoU / LoI / announced",Backup_All_States!$L$2:$L$70,"Y")</f>
        <v>5051.5</v>
      </c>
      <c r="D8" s="8">
        <f>B8+C8</f>
        <v>5055.5</v>
      </c>
      <c r="E8" s="9">
        <f>IF($D$10=0,0,D8/$D$10)</f>
        <v>0.45486854654406073</v>
      </c>
      <c r="F8" s="4" t="s">
        <v>33</v>
      </c>
    </row>
    <row r="9" spans="1:6" x14ac:dyDescent="0.25">
      <c r="A9" s="4" t="s">
        <v>34</v>
      </c>
      <c r="B9" s="8">
        <f>SUMIFS(Backup_All_States!$E$2:$E$70,Backup_All_States!$A$2:$A$70,"Maharashtra",Backup_All_States!$O$2:$O$70,"5 Operating / company filing",Backup_All_States!$L$2:$L$70,"Y")</f>
        <v>0</v>
      </c>
      <c r="C9" s="8">
        <f>SUMIFS(Backup_All_States!$F$2:$F$70,Backup_All_States!$A$2:$A$70,"Maharashtra",Backup_All_States!$O$2:$O$70,"5 Operating / company filing",Backup_All_States!$L$2:$L$70,"Y")</f>
        <v>120</v>
      </c>
      <c r="D9" s="8">
        <f>B9+C9</f>
        <v>120</v>
      </c>
      <c r="E9" s="9">
        <f>IF($D$10=0,0,D9/$D$10)</f>
        <v>1.0796998434435226E-2</v>
      </c>
      <c r="F9" s="4" t="s">
        <v>31</v>
      </c>
    </row>
    <row r="10" spans="1:6" x14ac:dyDescent="0.25">
      <c r="A10" s="10" t="s">
        <v>35</v>
      </c>
      <c r="B10" s="7">
        <f>SUM(B5:B9)</f>
        <v>4005.4</v>
      </c>
      <c r="C10" s="7">
        <f>SUM(C5:C9)</f>
        <v>7108.8</v>
      </c>
      <c r="D10" s="7">
        <f>SUM(D5:D9)</f>
        <v>11114.2</v>
      </c>
      <c r="E10" s="11">
        <f>SUM(E5:E9)</f>
        <v>1</v>
      </c>
      <c r="F10" s="12"/>
    </row>
    <row r="12" spans="1:6" x14ac:dyDescent="0.25">
      <c r="A12" s="6" t="s">
        <v>36</v>
      </c>
    </row>
    <row r="13" spans="1:6" ht="39" x14ac:dyDescent="0.25">
      <c r="A13" s="3" t="s">
        <v>2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 x14ac:dyDescent="0.25">
      <c r="A14" s="4" t="s">
        <v>8</v>
      </c>
      <c r="B14" s="13">
        <v>2068</v>
      </c>
      <c r="C14" s="8">
        <f>SUMIFS(Backup_All_States!$E$2:$E$70,Backup_All_States!$A$2:$A$70,$A14,Backup_All_States!$O$2:$O$70,"1 Grid*",Backup_All_States!$L$2:$L$70,"Y")+SUMIFS(Backup_All_States!$F$2:$F$70,Backup_All_States!$A$2:$A$70,$A14,Backup_All_States!$O$2:$O$70,"1 Grid*",Backup_All_States!$L$2:$L$70,"Y")</f>
        <v>2950</v>
      </c>
      <c r="D14" s="8">
        <f>B14+C14</f>
        <v>5018</v>
      </c>
      <c r="E14" s="9">
        <f>IF(D14=0,0,C14/D14)</f>
        <v>0.58788361897170183</v>
      </c>
      <c r="F14" s="4" t="s">
        <v>42</v>
      </c>
    </row>
    <row r="15" spans="1:6" x14ac:dyDescent="0.25">
      <c r="A15" s="4" t="s">
        <v>9</v>
      </c>
      <c r="B15" s="13">
        <v>2573</v>
      </c>
      <c r="C15" s="8">
        <f>SUMIFS(Backup_All_States!$E$2:$E$70,Backup_All_States!$A$2:$A$70,$A15,Backup_All_States!$O$2:$O$70,"1 Grid*",Backup_All_States!$L$2:$L$70,"Y")+SUMIFS(Backup_All_States!$F$2:$F$70,Backup_All_States!$A$2:$A$70,$A15,Backup_All_States!$O$2:$O$70,"1 Grid*",Backup_All_States!$L$2:$L$70,"Y")</f>
        <v>0</v>
      </c>
      <c r="D15" s="8">
        <f>B15+C15</f>
        <v>2573</v>
      </c>
      <c r="E15" s="9">
        <f>IF(D15=0,0,C15/D15)</f>
        <v>0</v>
      </c>
      <c r="F15" s="4" t="s">
        <v>43</v>
      </c>
    </row>
    <row r="16" spans="1:6" x14ac:dyDescent="0.25">
      <c r="A16" s="4" t="s">
        <v>10</v>
      </c>
      <c r="B16" s="13">
        <v>4102</v>
      </c>
      <c r="C16" s="8">
        <f>SUMIFS(Backup_All_States!$E$2:$E$70,Backup_All_States!$A$2:$A$70,$A16,Backup_All_States!$O$2:$O$70,"1 Grid*",Backup_All_States!$L$2:$L$70,"Y")+SUMIFS(Backup_All_States!$F$2:$F$70,Backup_All_States!$A$2:$A$70,$A16,Backup_All_States!$O$2:$O$70,"1 Grid*",Backup_All_States!$L$2:$L$70,"Y")</f>
        <v>2000</v>
      </c>
      <c r="D16" s="8">
        <f>B16+C16</f>
        <v>6102</v>
      </c>
      <c r="E16" s="9">
        <f>IF(D16=0,0,C16/D16)</f>
        <v>0.32776138970829238</v>
      </c>
      <c r="F16" s="4" t="s">
        <v>44</v>
      </c>
    </row>
    <row r="18" spans="1:6" ht="38.1" customHeight="1" x14ac:dyDescent="0.25">
      <c r="A18" s="36" t="s">
        <v>45</v>
      </c>
      <c r="B18" s="37"/>
      <c r="C18" s="37"/>
      <c r="D18" s="37"/>
      <c r="E18" s="37"/>
      <c r="F18" s="37"/>
    </row>
    <row r="19" spans="1:6" ht="38.1" customHeight="1" x14ac:dyDescent="0.25">
      <c r="A19" s="36" t="s">
        <v>46</v>
      </c>
      <c r="B19" s="37"/>
      <c r="C19" s="37"/>
      <c r="D19" s="37"/>
      <c r="E19" s="37"/>
      <c r="F19" s="37"/>
    </row>
    <row r="20" spans="1:6" ht="38.1" customHeight="1" x14ac:dyDescent="0.25">
      <c r="A20" s="36" t="s">
        <v>47</v>
      </c>
      <c r="B20" s="37"/>
      <c r="C20" s="37"/>
      <c r="D20" s="37"/>
      <c r="E20" s="37"/>
      <c r="F20" s="37"/>
    </row>
    <row r="21" spans="1:6" ht="38.1" customHeight="1" x14ac:dyDescent="0.25">
      <c r="A21" s="36" t="s">
        <v>48</v>
      </c>
      <c r="B21" s="37"/>
      <c r="C21" s="37"/>
      <c r="D21" s="37"/>
      <c r="E21" s="37"/>
      <c r="F21" s="37"/>
    </row>
    <row r="22" spans="1:6" ht="38.1" customHeight="1" x14ac:dyDescent="0.25">
      <c r="A22" s="36" t="s">
        <v>49</v>
      </c>
      <c r="B22" s="37"/>
      <c r="C22" s="37"/>
      <c r="D22" s="37"/>
      <c r="E22" s="37"/>
      <c r="F22" s="37"/>
    </row>
    <row r="23" spans="1:6" ht="38.1" customHeight="1" x14ac:dyDescent="0.25">
      <c r="A23" s="38" t="s">
        <v>50</v>
      </c>
      <c r="B23" s="37"/>
      <c r="C23" s="37"/>
      <c r="D23" s="37"/>
      <c r="E23" s="37"/>
      <c r="F23" s="37"/>
    </row>
    <row r="24" spans="1:6" ht="38.1" customHeight="1" x14ac:dyDescent="0.25">
      <c r="A24" s="36" t="s">
        <v>51</v>
      </c>
      <c r="B24" s="37"/>
      <c r="C24" s="37"/>
      <c r="D24" s="37"/>
      <c r="E24" s="37"/>
      <c r="F24" s="37"/>
    </row>
  </sheetData>
  <mergeCells count="7">
    <mergeCell ref="A24:F24"/>
    <mergeCell ref="A19:F19"/>
    <mergeCell ref="A23:F23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24" customWidth="1"/>
    <col min="4" max="4" width="34" customWidth="1"/>
    <col min="5" max="6" width="11" customWidth="1"/>
    <col min="7" max="7" width="7" customWidth="1"/>
    <col min="8" max="8" width="26" customWidth="1"/>
    <col min="9" max="9" width="70" customWidth="1"/>
  </cols>
  <sheetData>
    <row r="1" spans="1:9" ht="16.5" x14ac:dyDescent="0.25">
      <c r="A1" s="1" t="s">
        <v>52</v>
      </c>
    </row>
    <row r="2" spans="1:9" x14ac:dyDescent="0.25">
      <c r="A2" s="2" t="s">
        <v>53</v>
      </c>
    </row>
    <row r="4" spans="1:9" ht="39" x14ac:dyDescent="0.25">
      <c r="A4" s="3" t="s">
        <v>54</v>
      </c>
      <c r="B4" s="3" t="s">
        <v>2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</row>
    <row r="5" spans="1:9" ht="24" x14ac:dyDescent="0.25">
      <c r="A5" s="16">
        <v>2</v>
      </c>
      <c r="B5" s="16" t="s">
        <v>8</v>
      </c>
      <c r="C5" s="16" t="s">
        <v>62</v>
      </c>
      <c r="D5" s="16" t="s">
        <v>63</v>
      </c>
      <c r="E5" s="16">
        <v>1450</v>
      </c>
      <c r="F5" s="16">
        <v>1500</v>
      </c>
      <c r="G5" s="16" t="s">
        <v>64</v>
      </c>
      <c r="H5" s="23" t="s">
        <v>65</v>
      </c>
      <c r="I5" s="16" t="s">
        <v>66</v>
      </c>
    </row>
    <row r="6" spans="1:9" ht="24" x14ac:dyDescent="0.25">
      <c r="A6" s="16">
        <v>3</v>
      </c>
      <c r="B6" s="16" t="s">
        <v>8</v>
      </c>
      <c r="C6" s="16" t="s">
        <v>67</v>
      </c>
      <c r="D6" s="16" t="s">
        <v>68</v>
      </c>
      <c r="E6" s="16"/>
      <c r="F6" s="16">
        <v>3000</v>
      </c>
      <c r="G6" s="16" t="s">
        <v>69</v>
      </c>
      <c r="H6" s="24" t="s">
        <v>70</v>
      </c>
      <c r="I6" s="16" t="s">
        <v>71</v>
      </c>
    </row>
    <row r="7" spans="1:9" ht="24" x14ac:dyDescent="0.25">
      <c r="A7" s="16">
        <v>4</v>
      </c>
      <c r="B7" s="16" t="s">
        <v>8</v>
      </c>
      <c r="C7" s="16" t="s">
        <v>67</v>
      </c>
      <c r="D7" s="16" t="s">
        <v>72</v>
      </c>
      <c r="E7" s="16">
        <v>62</v>
      </c>
      <c r="F7" s="16"/>
      <c r="G7" s="16" t="s">
        <v>73</v>
      </c>
      <c r="H7" s="25" t="s">
        <v>74</v>
      </c>
      <c r="I7" s="16" t="s">
        <v>75</v>
      </c>
    </row>
    <row r="8" spans="1:9" x14ac:dyDescent="0.25">
      <c r="A8" s="16">
        <v>5</v>
      </c>
      <c r="B8" s="16" t="s">
        <v>8</v>
      </c>
      <c r="C8" s="16" t="s">
        <v>67</v>
      </c>
      <c r="D8" s="16" t="s">
        <v>76</v>
      </c>
      <c r="E8" s="16"/>
      <c r="F8" s="16">
        <v>120</v>
      </c>
      <c r="G8" s="16" t="s">
        <v>77</v>
      </c>
      <c r="H8" s="26" t="s">
        <v>78</v>
      </c>
      <c r="I8" s="16" t="s">
        <v>79</v>
      </c>
    </row>
    <row r="9" spans="1:9" ht="24" x14ac:dyDescent="0.25">
      <c r="A9" s="16">
        <v>6</v>
      </c>
      <c r="B9" s="16" t="s">
        <v>8</v>
      </c>
      <c r="C9" s="16" t="s">
        <v>80</v>
      </c>
      <c r="D9" s="16" t="s">
        <v>81</v>
      </c>
      <c r="E9" s="16"/>
      <c r="F9" s="16">
        <v>240</v>
      </c>
      <c r="G9" s="16" t="s">
        <v>77</v>
      </c>
      <c r="H9" s="23" t="s">
        <v>82</v>
      </c>
      <c r="I9" s="16" t="s">
        <v>83</v>
      </c>
    </row>
    <row r="10" spans="1:9" x14ac:dyDescent="0.25">
      <c r="A10" s="16">
        <v>7</v>
      </c>
      <c r="B10" s="16" t="s">
        <v>8</v>
      </c>
      <c r="C10" s="16" t="s">
        <v>80</v>
      </c>
      <c r="D10" s="16" t="s">
        <v>84</v>
      </c>
      <c r="E10" s="16"/>
      <c r="F10" s="16"/>
      <c r="G10" s="16" t="s">
        <v>64</v>
      </c>
      <c r="H10" s="20" t="s">
        <v>85</v>
      </c>
      <c r="I10" s="16" t="s">
        <v>86</v>
      </c>
    </row>
    <row r="11" spans="1:9" ht="24" x14ac:dyDescent="0.25">
      <c r="A11" s="16">
        <v>8</v>
      </c>
      <c r="B11" s="16" t="s">
        <v>8</v>
      </c>
      <c r="C11" s="16" t="s">
        <v>80</v>
      </c>
      <c r="D11" s="16" t="s">
        <v>87</v>
      </c>
      <c r="E11" s="16">
        <v>75.400000000000006</v>
      </c>
      <c r="F11" s="16"/>
      <c r="G11" s="16" t="s">
        <v>64</v>
      </c>
      <c r="H11" s="23" t="s">
        <v>65</v>
      </c>
      <c r="I11" s="16" t="s">
        <v>88</v>
      </c>
    </row>
    <row r="12" spans="1:9" x14ac:dyDescent="0.25">
      <c r="A12" s="16">
        <v>9</v>
      </c>
      <c r="B12" s="16" t="s">
        <v>8</v>
      </c>
      <c r="C12" s="16" t="s">
        <v>89</v>
      </c>
      <c r="D12" s="16" t="s">
        <v>90</v>
      </c>
      <c r="E12" s="16">
        <v>272</v>
      </c>
      <c r="F12" s="16"/>
      <c r="G12" s="16" t="s">
        <v>73</v>
      </c>
      <c r="H12" s="25" t="s">
        <v>74</v>
      </c>
      <c r="I12" s="16" t="s">
        <v>91</v>
      </c>
    </row>
    <row r="13" spans="1:9" x14ac:dyDescent="0.25">
      <c r="A13" s="16">
        <v>10</v>
      </c>
      <c r="B13" s="16" t="s">
        <v>8</v>
      </c>
      <c r="C13" s="16" t="s">
        <v>89</v>
      </c>
      <c r="D13" s="16" t="s">
        <v>92</v>
      </c>
      <c r="E13" s="16">
        <v>77</v>
      </c>
      <c r="F13" s="16"/>
      <c r="G13" s="16" t="s">
        <v>64</v>
      </c>
      <c r="H13" s="23" t="s">
        <v>65</v>
      </c>
      <c r="I13" s="16" t="s">
        <v>93</v>
      </c>
    </row>
    <row r="14" spans="1:9" x14ac:dyDescent="0.25">
      <c r="A14" s="16">
        <v>11</v>
      </c>
      <c r="B14" s="16" t="s">
        <v>8</v>
      </c>
      <c r="C14" s="16" t="s">
        <v>94</v>
      </c>
      <c r="D14" s="16" t="s">
        <v>95</v>
      </c>
      <c r="E14" s="16"/>
      <c r="F14" s="16">
        <v>103.4</v>
      </c>
      <c r="G14" s="16" t="s">
        <v>64</v>
      </c>
      <c r="H14" s="23" t="s">
        <v>65</v>
      </c>
      <c r="I14" s="16" t="s">
        <v>96</v>
      </c>
    </row>
    <row r="15" spans="1:9" x14ac:dyDescent="0.25">
      <c r="A15" s="16">
        <v>12</v>
      </c>
      <c r="B15" s="16" t="s">
        <v>8</v>
      </c>
      <c r="C15" s="16" t="s">
        <v>94</v>
      </c>
      <c r="D15" s="16" t="s">
        <v>97</v>
      </c>
      <c r="E15" s="16"/>
      <c r="F15" s="16"/>
      <c r="G15" s="16" t="s">
        <v>64</v>
      </c>
      <c r="H15" s="20" t="s">
        <v>85</v>
      </c>
      <c r="I15" s="16" t="s">
        <v>98</v>
      </c>
    </row>
    <row r="16" spans="1:9" x14ac:dyDescent="0.25">
      <c r="A16" s="16">
        <v>13</v>
      </c>
      <c r="B16" s="16" t="s">
        <v>8</v>
      </c>
      <c r="C16" s="16" t="s">
        <v>99</v>
      </c>
      <c r="D16" s="16" t="s">
        <v>100</v>
      </c>
      <c r="E16" s="16">
        <v>135</v>
      </c>
      <c r="F16" s="16"/>
      <c r="G16" s="16" t="s">
        <v>64</v>
      </c>
      <c r="H16" s="23" t="s">
        <v>65</v>
      </c>
      <c r="I16" s="16" t="s">
        <v>101</v>
      </c>
    </row>
    <row r="17" spans="1:9" x14ac:dyDescent="0.25">
      <c r="A17" s="16">
        <v>14</v>
      </c>
      <c r="B17" s="16" t="s">
        <v>8</v>
      </c>
      <c r="C17" s="16" t="s">
        <v>102</v>
      </c>
      <c r="D17" s="16" t="s">
        <v>103</v>
      </c>
      <c r="E17" s="16">
        <v>140</v>
      </c>
      <c r="F17" s="16"/>
      <c r="G17" s="16" t="s">
        <v>64</v>
      </c>
      <c r="H17" s="23" t="s">
        <v>65</v>
      </c>
      <c r="I17" s="16" t="s">
        <v>104</v>
      </c>
    </row>
    <row r="18" spans="1:9" x14ac:dyDescent="0.25">
      <c r="A18" s="16">
        <v>15</v>
      </c>
      <c r="B18" s="16" t="s">
        <v>8</v>
      </c>
      <c r="C18" s="16" t="s">
        <v>105</v>
      </c>
      <c r="D18" s="16" t="s">
        <v>106</v>
      </c>
      <c r="E18" s="16"/>
      <c r="F18" s="16">
        <v>113.9</v>
      </c>
      <c r="G18" s="16" t="s">
        <v>64</v>
      </c>
      <c r="H18" s="23" t="s">
        <v>65</v>
      </c>
      <c r="I18" s="16" t="s">
        <v>107</v>
      </c>
    </row>
    <row r="19" spans="1:9" x14ac:dyDescent="0.25">
      <c r="A19" s="16">
        <v>16</v>
      </c>
      <c r="B19" s="16" t="s">
        <v>8</v>
      </c>
      <c r="C19" s="16" t="s">
        <v>108</v>
      </c>
      <c r="D19" s="16" t="s">
        <v>109</v>
      </c>
      <c r="E19" s="16">
        <v>350</v>
      </c>
      <c r="F19" s="16"/>
      <c r="G19" s="16" t="s">
        <v>77</v>
      </c>
      <c r="H19" s="26" t="s">
        <v>78</v>
      </c>
      <c r="I19" s="16" t="s">
        <v>110</v>
      </c>
    </row>
    <row r="20" spans="1:9" ht="24" x14ac:dyDescent="0.25">
      <c r="A20" s="16">
        <v>17</v>
      </c>
      <c r="B20" s="16" t="s">
        <v>8</v>
      </c>
      <c r="C20" s="16" t="s">
        <v>111</v>
      </c>
      <c r="D20" s="16" t="s">
        <v>112</v>
      </c>
      <c r="E20" s="16">
        <v>377</v>
      </c>
      <c r="F20" s="16"/>
      <c r="G20" s="16" t="s">
        <v>64</v>
      </c>
      <c r="H20" s="23" t="s">
        <v>82</v>
      </c>
      <c r="I20" s="16" t="s">
        <v>113</v>
      </c>
    </row>
    <row r="21" spans="1:9" x14ac:dyDescent="0.25">
      <c r="A21" s="16">
        <v>18</v>
      </c>
      <c r="B21" s="16" t="s">
        <v>8</v>
      </c>
      <c r="C21" s="16" t="s">
        <v>114</v>
      </c>
      <c r="D21" s="16" t="s">
        <v>115</v>
      </c>
      <c r="E21" s="16">
        <v>52</v>
      </c>
      <c r="F21" s="16"/>
      <c r="G21" s="16" t="s">
        <v>77</v>
      </c>
      <c r="H21" s="26" t="s">
        <v>78</v>
      </c>
      <c r="I21" s="16" t="s">
        <v>116</v>
      </c>
    </row>
    <row r="22" spans="1:9" ht="24" x14ac:dyDescent="0.25">
      <c r="A22" s="16">
        <v>19</v>
      </c>
      <c r="B22" s="16" t="s">
        <v>8</v>
      </c>
      <c r="C22" s="16" t="s">
        <v>117</v>
      </c>
      <c r="D22" s="16" t="s">
        <v>118</v>
      </c>
      <c r="E22" s="16">
        <v>214</v>
      </c>
      <c r="F22" s="16"/>
      <c r="G22" s="16" t="s">
        <v>64</v>
      </c>
      <c r="H22" s="23" t="s">
        <v>82</v>
      </c>
      <c r="I22" s="16" t="s">
        <v>119</v>
      </c>
    </row>
    <row r="23" spans="1:9" ht="24" x14ac:dyDescent="0.25">
      <c r="A23" s="16">
        <v>20</v>
      </c>
      <c r="B23" s="16" t="s">
        <v>8</v>
      </c>
      <c r="C23" s="16" t="s">
        <v>120</v>
      </c>
      <c r="D23" s="16" t="s">
        <v>121</v>
      </c>
      <c r="E23" s="16">
        <v>133</v>
      </c>
      <c r="F23" s="16"/>
      <c r="G23" s="16" t="s">
        <v>64</v>
      </c>
      <c r="H23" s="23" t="s">
        <v>82</v>
      </c>
      <c r="I23" s="16" t="s">
        <v>122</v>
      </c>
    </row>
    <row r="24" spans="1:9" x14ac:dyDescent="0.25">
      <c r="A24" s="16">
        <v>21</v>
      </c>
      <c r="B24" s="16" t="s">
        <v>8</v>
      </c>
      <c r="C24" s="16" t="s">
        <v>123</v>
      </c>
      <c r="D24" s="16" t="s">
        <v>124</v>
      </c>
      <c r="E24" s="16">
        <v>366</v>
      </c>
      <c r="F24" s="16"/>
      <c r="G24" s="16" t="s">
        <v>77</v>
      </c>
      <c r="H24" s="26" t="s">
        <v>78</v>
      </c>
      <c r="I24" s="16" t="s">
        <v>125</v>
      </c>
    </row>
    <row r="25" spans="1:9" ht="24" x14ac:dyDescent="0.25">
      <c r="A25" s="16">
        <v>22</v>
      </c>
      <c r="B25" s="16" t="s">
        <v>8</v>
      </c>
      <c r="C25" s="16" t="s">
        <v>126</v>
      </c>
      <c r="D25" s="16" t="s">
        <v>127</v>
      </c>
      <c r="E25" s="16">
        <v>150</v>
      </c>
      <c r="F25" s="16">
        <v>120</v>
      </c>
      <c r="G25" s="16" t="s">
        <v>77</v>
      </c>
      <c r="H25" s="26" t="s">
        <v>78</v>
      </c>
      <c r="I25" s="16" t="s">
        <v>128</v>
      </c>
    </row>
    <row r="26" spans="1:9" x14ac:dyDescent="0.25">
      <c r="A26" s="16">
        <v>23</v>
      </c>
      <c r="B26" s="16" t="s">
        <v>8</v>
      </c>
      <c r="C26" s="16" t="s">
        <v>129</v>
      </c>
      <c r="D26" s="16" t="s">
        <v>130</v>
      </c>
      <c r="E26" s="16">
        <v>148</v>
      </c>
      <c r="F26" s="16"/>
      <c r="G26" s="16" t="s">
        <v>77</v>
      </c>
      <c r="H26" s="26" t="s">
        <v>78</v>
      </c>
      <c r="I26" s="16" t="s">
        <v>131</v>
      </c>
    </row>
    <row r="27" spans="1:9" ht="24" x14ac:dyDescent="0.25">
      <c r="A27" s="16">
        <v>24</v>
      </c>
      <c r="B27" s="16" t="s">
        <v>8</v>
      </c>
      <c r="C27" s="16" t="s">
        <v>132</v>
      </c>
      <c r="D27" s="16" t="s">
        <v>133</v>
      </c>
      <c r="E27" s="16"/>
      <c r="F27" s="16">
        <v>100</v>
      </c>
      <c r="G27" s="16" t="s">
        <v>64</v>
      </c>
      <c r="H27" s="23" t="s">
        <v>82</v>
      </c>
      <c r="I27" s="16" t="s">
        <v>134</v>
      </c>
    </row>
    <row r="28" spans="1:9" ht="24" x14ac:dyDescent="0.25">
      <c r="A28" s="16">
        <v>25</v>
      </c>
      <c r="B28" s="16" t="s">
        <v>8</v>
      </c>
      <c r="C28" s="16" t="s">
        <v>135</v>
      </c>
      <c r="D28" s="16" t="s">
        <v>136</v>
      </c>
      <c r="E28" s="16"/>
      <c r="F28" s="16">
        <v>750</v>
      </c>
      <c r="G28" s="16" t="s">
        <v>69</v>
      </c>
      <c r="H28" s="24" t="s">
        <v>70</v>
      </c>
      <c r="I28" s="16" t="s">
        <v>137</v>
      </c>
    </row>
    <row r="29" spans="1:9" ht="24" x14ac:dyDescent="0.25">
      <c r="A29" s="16">
        <v>26</v>
      </c>
      <c r="B29" s="16" t="s">
        <v>8</v>
      </c>
      <c r="C29" s="16" t="s">
        <v>138</v>
      </c>
      <c r="D29" s="16" t="s">
        <v>139</v>
      </c>
      <c r="E29" s="16"/>
      <c r="F29" s="16">
        <v>500</v>
      </c>
      <c r="G29" s="16" t="s">
        <v>69</v>
      </c>
      <c r="H29" s="23" t="s">
        <v>82</v>
      </c>
      <c r="I29" s="16" t="s">
        <v>140</v>
      </c>
    </row>
    <row r="30" spans="1:9" ht="24" x14ac:dyDescent="0.25">
      <c r="A30" s="16">
        <v>27</v>
      </c>
      <c r="B30" s="16" t="s">
        <v>8</v>
      </c>
      <c r="C30" s="16" t="s">
        <v>141</v>
      </c>
      <c r="D30" s="16" t="s">
        <v>142</v>
      </c>
      <c r="E30" s="16"/>
      <c r="F30" s="16">
        <v>240</v>
      </c>
      <c r="G30" s="16" t="s">
        <v>77</v>
      </c>
      <c r="H30" s="23" t="s">
        <v>82</v>
      </c>
      <c r="I30" s="16" t="s">
        <v>143</v>
      </c>
    </row>
    <row r="31" spans="1:9" x14ac:dyDescent="0.25">
      <c r="A31" s="16">
        <v>28</v>
      </c>
      <c r="B31" s="16" t="s">
        <v>8</v>
      </c>
      <c r="C31" s="16" t="s">
        <v>144</v>
      </c>
      <c r="D31" s="16" t="s">
        <v>145</v>
      </c>
      <c r="E31" s="16"/>
      <c r="F31" s="16">
        <v>200</v>
      </c>
      <c r="G31" s="16" t="s">
        <v>64</v>
      </c>
      <c r="H31" s="23" t="s">
        <v>65</v>
      </c>
      <c r="I31" s="16" t="s">
        <v>146</v>
      </c>
    </row>
    <row r="32" spans="1:9" ht="24" x14ac:dyDescent="0.25">
      <c r="A32" s="16">
        <v>29</v>
      </c>
      <c r="B32" s="16" t="s">
        <v>8</v>
      </c>
      <c r="C32" s="16" t="s">
        <v>147</v>
      </c>
      <c r="D32" s="16" t="s">
        <v>148</v>
      </c>
      <c r="E32" s="16"/>
      <c r="F32" s="16">
        <v>60</v>
      </c>
      <c r="G32" s="16" t="s">
        <v>73</v>
      </c>
      <c r="H32" s="24" t="s">
        <v>70</v>
      </c>
      <c r="I32" s="16" t="s">
        <v>149</v>
      </c>
    </row>
    <row r="33" spans="1:9" x14ac:dyDescent="0.25">
      <c r="A33" s="16">
        <v>30</v>
      </c>
      <c r="B33" s="16" t="s">
        <v>8</v>
      </c>
      <c r="C33" s="16" t="s">
        <v>150</v>
      </c>
      <c r="D33" s="16" t="s">
        <v>151</v>
      </c>
      <c r="E33" s="16">
        <v>4</v>
      </c>
      <c r="F33" s="16">
        <v>56</v>
      </c>
      <c r="G33" s="16" t="s">
        <v>77</v>
      </c>
      <c r="H33" s="27" t="s">
        <v>152</v>
      </c>
      <c r="I33" s="16" t="s">
        <v>153</v>
      </c>
    </row>
    <row r="34" spans="1:9" ht="24" x14ac:dyDescent="0.25">
      <c r="A34" s="16">
        <v>31</v>
      </c>
      <c r="B34" s="16" t="s">
        <v>8</v>
      </c>
      <c r="C34" s="16" t="s">
        <v>154</v>
      </c>
      <c r="D34" s="16" t="s">
        <v>155</v>
      </c>
      <c r="E34" s="16"/>
      <c r="F34" s="16">
        <v>5.5</v>
      </c>
      <c r="G34" s="16" t="s">
        <v>73</v>
      </c>
      <c r="H34" s="24" t="s">
        <v>70</v>
      </c>
      <c r="I34" s="16" t="s">
        <v>156</v>
      </c>
    </row>
    <row r="35" spans="1:9" ht="24" x14ac:dyDescent="0.25">
      <c r="A35" s="16">
        <v>32</v>
      </c>
      <c r="B35" s="16" t="s">
        <v>9</v>
      </c>
      <c r="C35" s="16" t="s">
        <v>80</v>
      </c>
      <c r="D35" s="16" t="s">
        <v>157</v>
      </c>
      <c r="E35" s="16">
        <v>929</v>
      </c>
      <c r="F35" s="16"/>
      <c r="G35" s="16" t="s">
        <v>69</v>
      </c>
      <c r="H35" s="24" t="s">
        <v>70</v>
      </c>
      <c r="I35" s="16" t="s">
        <v>158</v>
      </c>
    </row>
    <row r="36" spans="1:9" ht="24" x14ac:dyDescent="0.25">
      <c r="A36" s="16">
        <v>33</v>
      </c>
      <c r="B36" s="16" t="s">
        <v>9</v>
      </c>
      <c r="C36" s="16" t="s">
        <v>80</v>
      </c>
      <c r="D36" s="16" t="s">
        <v>159</v>
      </c>
      <c r="E36" s="16">
        <v>697</v>
      </c>
      <c r="F36" s="16"/>
      <c r="G36" s="16" t="s">
        <v>69</v>
      </c>
      <c r="H36" s="24" t="s">
        <v>70</v>
      </c>
      <c r="I36" s="16" t="s">
        <v>160</v>
      </c>
    </row>
    <row r="37" spans="1:9" ht="24" x14ac:dyDescent="0.25">
      <c r="A37" s="16">
        <v>34</v>
      </c>
      <c r="B37" s="16" t="s">
        <v>9</v>
      </c>
      <c r="C37" s="16" t="s">
        <v>80</v>
      </c>
      <c r="D37" s="16" t="s">
        <v>161</v>
      </c>
      <c r="E37" s="16">
        <v>512</v>
      </c>
      <c r="F37" s="16"/>
      <c r="G37" s="16" t="s">
        <v>69</v>
      </c>
      <c r="H37" s="24" t="s">
        <v>70</v>
      </c>
      <c r="I37" s="16" t="s">
        <v>162</v>
      </c>
    </row>
    <row r="38" spans="1:9" ht="24" x14ac:dyDescent="0.25">
      <c r="A38" s="16">
        <v>35</v>
      </c>
      <c r="B38" s="16" t="s">
        <v>9</v>
      </c>
      <c r="C38" s="16" t="s">
        <v>135</v>
      </c>
      <c r="D38" s="16" t="s">
        <v>163</v>
      </c>
      <c r="E38" s="16">
        <v>1000</v>
      </c>
      <c r="F38" s="16"/>
      <c r="G38" s="16" t="s">
        <v>69</v>
      </c>
      <c r="H38" s="24" t="s">
        <v>70</v>
      </c>
      <c r="I38" s="16" t="s">
        <v>164</v>
      </c>
    </row>
    <row r="39" spans="1:9" ht="24" x14ac:dyDescent="0.25">
      <c r="A39" s="16">
        <v>36</v>
      </c>
      <c r="B39" s="16" t="s">
        <v>9</v>
      </c>
      <c r="C39" s="16" t="s">
        <v>165</v>
      </c>
      <c r="D39" s="16" t="s">
        <v>166</v>
      </c>
      <c r="E39" s="16">
        <v>1500</v>
      </c>
      <c r="F39" s="16"/>
      <c r="G39" s="16" t="s">
        <v>73</v>
      </c>
      <c r="H39" s="25" t="s">
        <v>74</v>
      </c>
      <c r="I39" s="16" t="s">
        <v>167</v>
      </c>
    </row>
    <row r="40" spans="1:9" x14ac:dyDescent="0.25">
      <c r="A40" s="16">
        <v>37</v>
      </c>
      <c r="B40" s="16" t="s">
        <v>9</v>
      </c>
      <c r="C40" s="16" t="s">
        <v>111</v>
      </c>
      <c r="D40" s="16" t="s">
        <v>168</v>
      </c>
      <c r="E40" s="16">
        <v>550</v>
      </c>
      <c r="F40" s="16"/>
      <c r="G40" s="16" t="s">
        <v>69</v>
      </c>
      <c r="H40" s="26" t="s">
        <v>78</v>
      </c>
      <c r="I40" s="16" t="s">
        <v>169</v>
      </c>
    </row>
    <row r="41" spans="1:9" ht="24" x14ac:dyDescent="0.25">
      <c r="A41" s="16">
        <v>38</v>
      </c>
      <c r="B41" s="16" t="s">
        <v>9</v>
      </c>
      <c r="C41" s="16" t="s">
        <v>170</v>
      </c>
      <c r="D41" s="16" t="s">
        <v>171</v>
      </c>
      <c r="E41" s="16">
        <v>512</v>
      </c>
      <c r="F41" s="16"/>
      <c r="G41" s="16" t="s">
        <v>69</v>
      </c>
      <c r="H41" s="24" t="s">
        <v>70</v>
      </c>
      <c r="I41" s="16" t="s">
        <v>172</v>
      </c>
    </row>
    <row r="42" spans="1:9" ht="24" x14ac:dyDescent="0.25">
      <c r="A42" s="16">
        <v>39</v>
      </c>
      <c r="B42" s="16" t="s">
        <v>9</v>
      </c>
      <c r="C42" s="16" t="s">
        <v>129</v>
      </c>
      <c r="D42" s="16" t="s">
        <v>173</v>
      </c>
      <c r="E42" s="16">
        <v>486</v>
      </c>
      <c r="F42" s="16"/>
      <c r="G42" s="16" t="s">
        <v>69</v>
      </c>
      <c r="H42" s="24" t="s">
        <v>70</v>
      </c>
      <c r="I42" s="16" t="s">
        <v>174</v>
      </c>
    </row>
    <row r="43" spans="1:9" x14ac:dyDescent="0.25">
      <c r="A43" s="16">
        <v>40</v>
      </c>
      <c r="B43" s="16" t="s">
        <v>9</v>
      </c>
      <c r="C43" s="16" t="s">
        <v>175</v>
      </c>
      <c r="D43" s="16" t="s">
        <v>176</v>
      </c>
      <c r="E43" s="16"/>
      <c r="F43" s="16">
        <v>1000</v>
      </c>
      <c r="G43" s="16" t="s">
        <v>73</v>
      </c>
      <c r="H43" s="26" t="s">
        <v>177</v>
      </c>
      <c r="I43" s="16" t="s">
        <v>178</v>
      </c>
    </row>
    <row r="44" spans="1:9" ht="24" x14ac:dyDescent="0.25">
      <c r="A44" s="16">
        <v>41</v>
      </c>
      <c r="B44" s="16" t="s">
        <v>9</v>
      </c>
      <c r="C44" s="16" t="s">
        <v>117</v>
      </c>
      <c r="D44" s="16" t="s">
        <v>179</v>
      </c>
      <c r="E44" s="16">
        <v>100</v>
      </c>
      <c r="F44" s="16"/>
      <c r="G44" s="16" t="s">
        <v>69</v>
      </c>
      <c r="H44" s="24" t="s">
        <v>70</v>
      </c>
      <c r="I44" s="16" t="s">
        <v>180</v>
      </c>
    </row>
    <row r="45" spans="1:9" x14ac:dyDescent="0.25">
      <c r="A45" s="16">
        <v>42</v>
      </c>
      <c r="B45" s="16" t="s">
        <v>9</v>
      </c>
      <c r="C45" s="16" t="s">
        <v>80</v>
      </c>
      <c r="D45" s="16" t="s">
        <v>181</v>
      </c>
      <c r="E45" s="16">
        <v>200</v>
      </c>
      <c r="F45" s="16"/>
      <c r="G45" s="16" t="s">
        <v>73</v>
      </c>
      <c r="H45" s="25" t="s">
        <v>74</v>
      </c>
      <c r="I45" s="16" t="s">
        <v>182</v>
      </c>
    </row>
    <row r="46" spans="1:9" ht="24" x14ac:dyDescent="0.25">
      <c r="A46" s="16">
        <v>43</v>
      </c>
      <c r="B46" s="16" t="s">
        <v>10</v>
      </c>
      <c r="C46" s="16" t="s">
        <v>183</v>
      </c>
      <c r="D46" s="16" t="s">
        <v>184</v>
      </c>
      <c r="E46" s="16">
        <v>2000</v>
      </c>
      <c r="F46" s="16"/>
      <c r="G46" s="16" t="s">
        <v>77</v>
      </c>
      <c r="H46" s="24" t="s">
        <v>70</v>
      </c>
      <c r="I46" s="16" t="s">
        <v>185</v>
      </c>
    </row>
    <row r="47" spans="1:9" ht="24" x14ac:dyDescent="0.25">
      <c r="A47" s="16">
        <v>44</v>
      </c>
      <c r="B47" s="16" t="s">
        <v>10</v>
      </c>
      <c r="C47" s="16" t="s">
        <v>175</v>
      </c>
      <c r="D47" s="16" t="s">
        <v>186</v>
      </c>
      <c r="E47" s="16"/>
      <c r="F47" s="16">
        <v>1000</v>
      </c>
      <c r="G47" s="16" t="s">
        <v>69</v>
      </c>
      <c r="H47" s="24" t="s">
        <v>70</v>
      </c>
      <c r="I47" s="16" t="s">
        <v>187</v>
      </c>
    </row>
    <row r="48" spans="1:9" ht="24" x14ac:dyDescent="0.25">
      <c r="A48" s="16">
        <v>45</v>
      </c>
      <c r="B48" s="16" t="s">
        <v>10</v>
      </c>
      <c r="C48" s="16" t="s">
        <v>188</v>
      </c>
      <c r="D48" s="16" t="s">
        <v>189</v>
      </c>
      <c r="E48" s="16">
        <v>278</v>
      </c>
      <c r="F48" s="16"/>
      <c r="G48" s="16" t="s">
        <v>69</v>
      </c>
      <c r="H48" s="24" t="s">
        <v>70</v>
      </c>
      <c r="I48" s="16" t="s">
        <v>190</v>
      </c>
    </row>
    <row r="49" spans="1:9" x14ac:dyDescent="0.25">
      <c r="A49" s="16">
        <v>46</v>
      </c>
      <c r="B49" s="16" t="s">
        <v>10</v>
      </c>
      <c r="C49" s="16" t="s">
        <v>80</v>
      </c>
      <c r="D49" s="16" t="s">
        <v>191</v>
      </c>
      <c r="E49" s="16">
        <v>19.2</v>
      </c>
      <c r="F49" s="16">
        <v>386.8</v>
      </c>
      <c r="G49" s="16" t="s">
        <v>192</v>
      </c>
      <c r="H49" s="27" t="s">
        <v>152</v>
      </c>
      <c r="I49" s="16" t="s">
        <v>193</v>
      </c>
    </row>
    <row r="50" spans="1:9" ht="24" x14ac:dyDescent="0.25">
      <c r="A50" s="16">
        <v>47</v>
      </c>
      <c r="B50" s="16" t="s">
        <v>10</v>
      </c>
      <c r="C50" s="16" t="s">
        <v>117</v>
      </c>
      <c r="D50" s="16" t="s">
        <v>194</v>
      </c>
      <c r="E50" s="16"/>
      <c r="F50" s="16">
        <v>400</v>
      </c>
      <c r="G50" s="16" t="s">
        <v>69</v>
      </c>
      <c r="H50" s="24" t="s">
        <v>70</v>
      </c>
      <c r="I50" s="16" t="s">
        <v>195</v>
      </c>
    </row>
    <row r="51" spans="1:9" ht="24" x14ac:dyDescent="0.25">
      <c r="A51" s="16">
        <v>48</v>
      </c>
      <c r="B51" s="16" t="s">
        <v>10</v>
      </c>
      <c r="C51" s="16" t="s">
        <v>196</v>
      </c>
      <c r="D51" s="16" t="s">
        <v>194</v>
      </c>
      <c r="E51" s="16"/>
      <c r="F51" s="16">
        <v>400</v>
      </c>
      <c r="G51" s="16" t="s">
        <v>69</v>
      </c>
      <c r="H51" s="24" t="s">
        <v>70</v>
      </c>
      <c r="I51" s="16" t="s">
        <v>195</v>
      </c>
    </row>
    <row r="52" spans="1:9" ht="24" x14ac:dyDescent="0.25">
      <c r="A52" s="16">
        <v>49</v>
      </c>
      <c r="B52" s="16" t="s">
        <v>10</v>
      </c>
      <c r="C52" s="16" t="s">
        <v>120</v>
      </c>
      <c r="D52" s="16" t="s">
        <v>197</v>
      </c>
      <c r="E52" s="16"/>
      <c r="F52" s="16">
        <v>100</v>
      </c>
      <c r="G52" s="16" t="s">
        <v>69</v>
      </c>
      <c r="H52" s="24" t="s">
        <v>70</v>
      </c>
      <c r="I52" s="16" t="s">
        <v>198</v>
      </c>
    </row>
    <row r="53" spans="1:9" ht="24" x14ac:dyDescent="0.25">
      <c r="A53" s="16">
        <v>50</v>
      </c>
      <c r="B53" s="16" t="s">
        <v>10</v>
      </c>
      <c r="C53" s="16" t="s">
        <v>199</v>
      </c>
      <c r="D53" s="16" t="s">
        <v>200</v>
      </c>
      <c r="E53" s="16"/>
      <c r="F53" s="16">
        <v>100</v>
      </c>
      <c r="G53" s="16" t="s">
        <v>69</v>
      </c>
      <c r="H53" s="24" t="s">
        <v>70</v>
      </c>
      <c r="I53" s="16" t="s">
        <v>201</v>
      </c>
    </row>
    <row r="54" spans="1:9" ht="24" x14ac:dyDescent="0.25">
      <c r="A54" s="16">
        <v>51</v>
      </c>
      <c r="B54" s="16" t="s">
        <v>11</v>
      </c>
      <c r="C54" s="16" t="s">
        <v>99</v>
      </c>
      <c r="D54" s="16" t="s">
        <v>202</v>
      </c>
      <c r="E54" s="16">
        <v>53</v>
      </c>
      <c r="F54" s="16"/>
      <c r="G54" s="16" t="s">
        <v>77</v>
      </c>
      <c r="H54" s="23" t="s">
        <v>82</v>
      </c>
      <c r="I54" s="16" t="s">
        <v>203</v>
      </c>
    </row>
    <row r="55" spans="1:9" x14ac:dyDescent="0.25">
      <c r="A55" s="16">
        <v>52</v>
      </c>
      <c r="B55" s="16" t="s">
        <v>11</v>
      </c>
      <c r="C55" s="16" t="s">
        <v>111</v>
      </c>
      <c r="D55" s="16" t="s">
        <v>204</v>
      </c>
      <c r="E55" s="16">
        <v>25.9</v>
      </c>
      <c r="F55" s="16">
        <v>104.1</v>
      </c>
      <c r="G55" s="16" t="s">
        <v>192</v>
      </c>
      <c r="H55" s="26" t="s">
        <v>78</v>
      </c>
      <c r="I55" s="16" t="s">
        <v>205</v>
      </c>
    </row>
    <row r="56" spans="1:9" ht="24" x14ac:dyDescent="0.25">
      <c r="A56" s="16">
        <v>53</v>
      </c>
      <c r="B56" s="16" t="s">
        <v>11</v>
      </c>
      <c r="C56" s="16" t="s">
        <v>206</v>
      </c>
      <c r="D56" s="16" t="s">
        <v>207</v>
      </c>
      <c r="E56" s="16">
        <v>100</v>
      </c>
      <c r="F56" s="16"/>
      <c r="G56" s="16" t="s">
        <v>73</v>
      </c>
      <c r="H56" s="24" t="s">
        <v>70</v>
      </c>
      <c r="I56" s="16" t="s">
        <v>208</v>
      </c>
    </row>
    <row r="57" spans="1:9" x14ac:dyDescent="0.25">
      <c r="A57" s="16">
        <v>54</v>
      </c>
      <c r="B57" s="16" t="s">
        <v>11</v>
      </c>
      <c r="C57" s="16" t="s">
        <v>120</v>
      </c>
      <c r="D57" s="16" t="s">
        <v>209</v>
      </c>
      <c r="E57" s="16">
        <v>7.2</v>
      </c>
      <c r="F57" s="16">
        <v>37.799999999999997</v>
      </c>
      <c r="G57" s="16" t="s">
        <v>77</v>
      </c>
      <c r="H57" s="26" t="s">
        <v>78</v>
      </c>
      <c r="I57" s="16" t="s">
        <v>210</v>
      </c>
    </row>
    <row r="58" spans="1:9" ht="24" x14ac:dyDescent="0.25">
      <c r="A58" s="16">
        <v>55</v>
      </c>
      <c r="B58" s="16" t="s">
        <v>11</v>
      </c>
      <c r="C58" s="16" t="s">
        <v>211</v>
      </c>
      <c r="D58" s="16" t="s">
        <v>212</v>
      </c>
      <c r="E58" s="16">
        <v>36</v>
      </c>
      <c r="F58" s="16"/>
      <c r="G58" s="16" t="s">
        <v>77</v>
      </c>
      <c r="H58" s="24" t="s">
        <v>70</v>
      </c>
      <c r="I58" s="16" t="s">
        <v>213</v>
      </c>
    </row>
    <row r="59" spans="1:9" x14ac:dyDescent="0.25">
      <c r="A59" s="16">
        <v>56</v>
      </c>
      <c r="B59" s="16" t="s">
        <v>11</v>
      </c>
      <c r="C59" s="16" t="s">
        <v>80</v>
      </c>
      <c r="D59" s="16" t="s">
        <v>214</v>
      </c>
      <c r="E59" s="16">
        <v>17</v>
      </c>
      <c r="F59" s="16">
        <v>16</v>
      </c>
      <c r="G59" s="16" t="s">
        <v>192</v>
      </c>
      <c r="H59" s="27" t="s">
        <v>152</v>
      </c>
      <c r="I59" s="16" t="s">
        <v>215</v>
      </c>
    </row>
    <row r="60" spans="1:9" ht="24" x14ac:dyDescent="0.25">
      <c r="A60" s="16">
        <v>57</v>
      </c>
      <c r="B60" s="16" t="s">
        <v>11</v>
      </c>
      <c r="C60" s="16" t="s">
        <v>216</v>
      </c>
      <c r="D60" s="16" t="s">
        <v>217</v>
      </c>
      <c r="E60" s="16"/>
      <c r="F60" s="16">
        <v>1380</v>
      </c>
      <c r="G60" s="16" t="s">
        <v>69</v>
      </c>
      <c r="H60" s="24" t="s">
        <v>70</v>
      </c>
      <c r="I60" s="16" t="s">
        <v>218</v>
      </c>
    </row>
    <row r="61" spans="1:9" x14ac:dyDescent="0.25">
      <c r="A61" s="16">
        <v>58</v>
      </c>
      <c r="B61" s="16" t="s">
        <v>12</v>
      </c>
      <c r="C61" s="16" t="s">
        <v>219</v>
      </c>
      <c r="D61" s="16" t="s">
        <v>220</v>
      </c>
      <c r="E61" s="16">
        <v>28</v>
      </c>
      <c r="F61" s="16">
        <v>222</v>
      </c>
      <c r="G61" s="16" t="s">
        <v>64</v>
      </c>
      <c r="H61" s="27" t="s">
        <v>152</v>
      </c>
      <c r="I61" s="16" t="s">
        <v>221</v>
      </c>
    </row>
    <row r="62" spans="1:9" x14ac:dyDescent="0.25">
      <c r="A62" s="16">
        <v>59</v>
      </c>
      <c r="B62" s="16" t="s">
        <v>12</v>
      </c>
      <c r="C62" s="16" t="s">
        <v>80</v>
      </c>
      <c r="D62" s="16" t="s">
        <v>222</v>
      </c>
      <c r="E62" s="16">
        <v>35</v>
      </c>
      <c r="F62" s="16">
        <v>65</v>
      </c>
      <c r="G62" s="16" t="s">
        <v>64</v>
      </c>
      <c r="H62" s="27" t="s">
        <v>152</v>
      </c>
      <c r="I62" s="16" t="s">
        <v>223</v>
      </c>
    </row>
    <row r="63" spans="1:9" x14ac:dyDescent="0.25">
      <c r="A63" s="16">
        <v>60</v>
      </c>
      <c r="B63" s="16" t="s">
        <v>12</v>
      </c>
      <c r="C63" s="16" t="s">
        <v>224</v>
      </c>
      <c r="D63" s="16" t="s">
        <v>225</v>
      </c>
      <c r="E63" s="16">
        <v>16</v>
      </c>
      <c r="F63" s="16">
        <v>104</v>
      </c>
      <c r="G63" s="16" t="s">
        <v>64</v>
      </c>
      <c r="H63" s="27" t="s">
        <v>152</v>
      </c>
      <c r="I63" s="16" t="s">
        <v>226</v>
      </c>
    </row>
    <row r="64" spans="1:9" x14ac:dyDescent="0.25">
      <c r="A64" s="16">
        <v>61</v>
      </c>
      <c r="B64" s="16" t="s">
        <v>12</v>
      </c>
      <c r="C64" s="16" t="s">
        <v>120</v>
      </c>
      <c r="D64" s="16" t="s">
        <v>222</v>
      </c>
      <c r="E64" s="16">
        <v>40</v>
      </c>
      <c r="F64" s="16"/>
      <c r="G64" s="16" t="s">
        <v>64</v>
      </c>
      <c r="H64" s="27" t="s">
        <v>152</v>
      </c>
      <c r="I64" s="16" t="s">
        <v>223</v>
      </c>
    </row>
    <row r="65" spans="1:9" x14ac:dyDescent="0.25">
      <c r="A65" s="16">
        <v>62</v>
      </c>
      <c r="B65" s="16" t="s">
        <v>12</v>
      </c>
      <c r="C65" s="16" t="s">
        <v>123</v>
      </c>
      <c r="D65" s="16" t="s">
        <v>222</v>
      </c>
      <c r="E65" s="16">
        <v>9</v>
      </c>
      <c r="F65" s="16">
        <v>43.8</v>
      </c>
      <c r="G65" s="16" t="s">
        <v>64</v>
      </c>
      <c r="H65" s="27" t="s">
        <v>152</v>
      </c>
      <c r="I65" s="16" t="s">
        <v>223</v>
      </c>
    </row>
    <row r="66" spans="1:9" x14ac:dyDescent="0.25">
      <c r="A66" s="16">
        <v>63</v>
      </c>
      <c r="B66" s="16" t="s">
        <v>12</v>
      </c>
      <c r="C66" s="16" t="s">
        <v>102</v>
      </c>
      <c r="D66" s="16" t="s">
        <v>222</v>
      </c>
      <c r="E66" s="16">
        <v>5</v>
      </c>
      <c r="F66" s="16"/>
      <c r="G66" s="16" t="s">
        <v>64</v>
      </c>
      <c r="H66" s="27" t="s">
        <v>152</v>
      </c>
      <c r="I66" s="16" t="s">
        <v>223</v>
      </c>
    </row>
    <row r="67" spans="1:9" ht="24" x14ac:dyDescent="0.25">
      <c r="A67" s="16">
        <v>64</v>
      </c>
      <c r="B67" s="16" t="s">
        <v>13</v>
      </c>
      <c r="C67" s="16" t="s">
        <v>80</v>
      </c>
      <c r="D67" s="16" t="s">
        <v>227</v>
      </c>
      <c r="E67" s="16">
        <v>1000</v>
      </c>
      <c r="F67" s="16"/>
      <c r="G67" s="16" t="s">
        <v>69</v>
      </c>
      <c r="H67" s="24" t="s">
        <v>70</v>
      </c>
      <c r="I67" s="16" t="s">
        <v>228</v>
      </c>
    </row>
    <row r="68" spans="1:9" x14ac:dyDescent="0.25">
      <c r="A68" s="16">
        <v>65</v>
      </c>
      <c r="B68" s="16" t="s">
        <v>13</v>
      </c>
      <c r="C68" s="16" t="s">
        <v>229</v>
      </c>
      <c r="D68" s="16" t="s">
        <v>230</v>
      </c>
      <c r="E68" s="16">
        <v>120</v>
      </c>
      <c r="F68" s="16"/>
      <c r="G68" s="16" t="s">
        <v>69</v>
      </c>
      <c r="H68" s="26" t="s">
        <v>78</v>
      </c>
      <c r="I68" s="16" t="s">
        <v>231</v>
      </c>
    </row>
    <row r="69" spans="1:9" ht="24" x14ac:dyDescent="0.25">
      <c r="A69" s="16">
        <v>66</v>
      </c>
      <c r="B69" s="16" t="s">
        <v>14</v>
      </c>
      <c r="C69" s="16" t="s">
        <v>232</v>
      </c>
      <c r="D69" s="16" t="s">
        <v>233</v>
      </c>
      <c r="E69" s="16"/>
      <c r="F69" s="16">
        <v>500</v>
      </c>
      <c r="G69" s="16" t="s">
        <v>69</v>
      </c>
      <c r="H69" s="24" t="s">
        <v>70</v>
      </c>
      <c r="I69" s="16" t="s">
        <v>234</v>
      </c>
    </row>
    <row r="70" spans="1:9" ht="24" x14ac:dyDescent="0.25">
      <c r="A70" s="16">
        <v>67</v>
      </c>
      <c r="B70" s="16" t="s">
        <v>15</v>
      </c>
      <c r="C70" s="16" t="s">
        <v>165</v>
      </c>
      <c r="D70" s="16" t="s">
        <v>235</v>
      </c>
      <c r="E70" s="16"/>
      <c r="F70" s="16">
        <v>168</v>
      </c>
      <c r="G70" s="16" t="s">
        <v>77</v>
      </c>
      <c r="H70" s="23" t="s">
        <v>82</v>
      </c>
      <c r="I70" s="16" t="s">
        <v>236</v>
      </c>
    </row>
    <row r="71" spans="1:9" ht="24" x14ac:dyDescent="0.25">
      <c r="A71" s="16">
        <v>68</v>
      </c>
      <c r="B71" s="16" t="s">
        <v>16</v>
      </c>
      <c r="C71" s="16" t="s">
        <v>237</v>
      </c>
      <c r="D71" s="16" t="s">
        <v>238</v>
      </c>
      <c r="E71" s="16">
        <v>28</v>
      </c>
      <c r="F71" s="16">
        <v>279</v>
      </c>
      <c r="G71" s="16" t="s">
        <v>192</v>
      </c>
      <c r="H71" s="24" t="s">
        <v>70</v>
      </c>
      <c r="I71" s="16" t="s">
        <v>239</v>
      </c>
    </row>
    <row r="72" spans="1:9" ht="24" x14ac:dyDescent="0.25">
      <c r="A72" s="16">
        <v>69</v>
      </c>
      <c r="B72" s="16" t="s">
        <v>17</v>
      </c>
      <c r="C72" s="16" t="s">
        <v>219</v>
      </c>
      <c r="D72" s="16" t="s">
        <v>240</v>
      </c>
      <c r="E72" s="16"/>
      <c r="F72" s="16">
        <v>250</v>
      </c>
      <c r="G72" s="16" t="s">
        <v>73</v>
      </c>
      <c r="H72" s="24" t="s">
        <v>70</v>
      </c>
      <c r="I72" s="16" t="s">
        <v>241</v>
      </c>
    </row>
    <row r="73" spans="1:9" x14ac:dyDescent="0.25">
      <c r="A73" s="16">
        <v>70</v>
      </c>
      <c r="B73" s="16" t="s">
        <v>17</v>
      </c>
      <c r="C73" s="16" t="s">
        <v>123</v>
      </c>
      <c r="D73" s="16" t="s">
        <v>242</v>
      </c>
      <c r="E73" s="16"/>
      <c r="F73" s="16">
        <v>25</v>
      </c>
      <c r="G73" s="16" t="s">
        <v>77</v>
      </c>
      <c r="H73" s="26" t="s">
        <v>78</v>
      </c>
      <c r="I73" s="16" t="s">
        <v>243</v>
      </c>
    </row>
    <row r="75" spans="1:9" x14ac:dyDescent="0.25">
      <c r="A75" s="28" t="s">
        <v>244</v>
      </c>
    </row>
    <row r="76" spans="1:9" x14ac:dyDescent="0.25">
      <c r="B76" s="29" t="s">
        <v>78</v>
      </c>
      <c r="C76" s="30">
        <f t="shared" ref="C76:C83" si="0">COUNTIF($H$5:$H$73,B76)</f>
        <v>11</v>
      </c>
    </row>
    <row r="77" spans="1:9" x14ac:dyDescent="0.25">
      <c r="B77" s="29" t="s">
        <v>177</v>
      </c>
      <c r="C77" s="30">
        <f t="shared" si="0"/>
        <v>1</v>
      </c>
    </row>
    <row r="78" spans="1:9" x14ac:dyDescent="0.25">
      <c r="B78" s="31" t="s">
        <v>74</v>
      </c>
      <c r="C78" s="30">
        <f t="shared" si="0"/>
        <v>4</v>
      </c>
    </row>
    <row r="79" spans="1:9" x14ac:dyDescent="0.25">
      <c r="B79" s="32" t="s">
        <v>65</v>
      </c>
      <c r="C79" s="30">
        <f t="shared" si="0"/>
        <v>8</v>
      </c>
    </row>
    <row r="80" spans="1:9" x14ac:dyDescent="0.25">
      <c r="B80" s="32" t="s">
        <v>82</v>
      </c>
      <c r="C80" s="30">
        <f t="shared" si="0"/>
        <v>9</v>
      </c>
    </row>
    <row r="81" spans="2:3" x14ac:dyDescent="0.25">
      <c r="B81" s="33" t="s">
        <v>70</v>
      </c>
      <c r="C81" s="30">
        <f t="shared" si="0"/>
        <v>25</v>
      </c>
    </row>
    <row r="82" spans="2:3" x14ac:dyDescent="0.25">
      <c r="B82" s="34" t="s">
        <v>152</v>
      </c>
      <c r="C82" s="30">
        <f t="shared" si="0"/>
        <v>9</v>
      </c>
    </row>
    <row r="83" spans="2:3" x14ac:dyDescent="0.25">
      <c r="B83" s="35" t="s">
        <v>85</v>
      </c>
      <c r="C83" s="30">
        <f t="shared" si="0"/>
        <v>2</v>
      </c>
    </row>
  </sheetData>
  <autoFilter ref="A4:I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245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67</v>
      </c>
      <c r="B6" s="5">
        <f>SUMIFS(Backup_All_States!$F$2:$F$70,Backup_All_States!$A$2:$A$70,"Maharashtra",Backup_All_States!$B$2:$B$70,$A6,Backup_All_States!$L$2:$L$70,"Y")</f>
        <v>3120</v>
      </c>
      <c r="C6" s="5">
        <f>SUMIFS(Backup_All_States!$E$2:$E$70,Backup_All_States!$A$2:$A$70,"Maharashtra",Backup_All_States!$B$2:$B$70,$A6,Backup_All_States!$L$2:$L$70,"Y")</f>
        <v>62</v>
      </c>
      <c r="D6" s="5">
        <f t="shared" ref="D6:D29" si="0">B6+C6</f>
        <v>3182</v>
      </c>
    </row>
    <row r="7" spans="1:4" x14ac:dyDescent="0.25">
      <c r="A7" s="4" t="s">
        <v>62</v>
      </c>
      <c r="B7" s="5">
        <f>SUMIFS(Backup_All_States!$F$2:$F$70,Backup_All_States!$A$2:$A$70,"Maharashtra",Backup_All_States!$B$2:$B$70,$A7,Backup_All_States!$L$2:$L$70,"Y")</f>
        <v>1500</v>
      </c>
      <c r="C7" s="5">
        <f>SUMIFS(Backup_All_States!$E$2:$E$70,Backup_All_States!$A$2:$A$70,"Maharashtra",Backup_All_States!$B$2:$B$70,$A7,Backup_All_States!$L$2:$L$70,"Y")</f>
        <v>1450</v>
      </c>
      <c r="D7" s="5">
        <f t="shared" si="0"/>
        <v>2950</v>
      </c>
    </row>
    <row r="8" spans="1:4" x14ac:dyDescent="0.25">
      <c r="A8" s="4" t="s">
        <v>135</v>
      </c>
      <c r="B8" s="5">
        <f>SUMIFS(Backup_All_States!$F$2:$F$70,Backup_All_States!$A$2:$A$70,"Maharashtra",Backup_All_States!$B$2:$B$70,$A8,Backup_All_States!$L$2:$L$70,"Y")</f>
        <v>750</v>
      </c>
      <c r="C8" s="5">
        <f>SUMIFS(Backup_All_States!$E$2:$E$70,Backup_All_States!$A$2:$A$70,"Maharashtra",Backup_All_States!$B$2:$B$70,$A8,Backup_All_States!$L$2:$L$70,"Y")</f>
        <v>0</v>
      </c>
      <c r="D8" s="5">
        <f t="shared" si="0"/>
        <v>750</v>
      </c>
    </row>
    <row r="9" spans="1:4" x14ac:dyDescent="0.25">
      <c r="A9" s="4" t="s">
        <v>138</v>
      </c>
      <c r="B9" s="5">
        <f>SUMIFS(Backup_All_States!$F$2:$F$70,Backup_All_States!$A$2:$A$70,"Maharashtra",Backup_All_States!$B$2:$B$70,$A9,Backup_All_States!$L$2:$L$70,"Y")</f>
        <v>500</v>
      </c>
      <c r="C9" s="5">
        <f>SUMIFS(Backup_All_States!$E$2:$E$70,Backup_All_States!$A$2:$A$70,"Maharashtra",Backup_All_States!$B$2:$B$70,$A9,Backup_All_States!$L$2:$L$70,"Y")</f>
        <v>0</v>
      </c>
      <c r="D9" s="5">
        <f t="shared" si="0"/>
        <v>500</v>
      </c>
    </row>
    <row r="10" spans="1:4" x14ac:dyDescent="0.25">
      <c r="A10" s="4" t="s">
        <v>111</v>
      </c>
      <c r="B10" s="5">
        <f>SUMIFS(Backup_All_States!$F$2:$F$70,Backup_All_States!$A$2:$A$70,"Maharashtra",Backup_All_States!$B$2:$B$70,$A10,Backup_All_States!$L$2:$L$70,"Y")</f>
        <v>0</v>
      </c>
      <c r="C10" s="5">
        <f>SUMIFS(Backup_All_States!$E$2:$E$70,Backup_All_States!$A$2:$A$70,"Maharashtra",Backup_All_States!$B$2:$B$70,$A10,Backup_All_States!$L$2:$L$70,"Y")</f>
        <v>377</v>
      </c>
      <c r="D10" s="5">
        <f t="shared" si="0"/>
        <v>377</v>
      </c>
    </row>
    <row r="11" spans="1:4" x14ac:dyDescent="0.25">
      <c r="A11" s="4" t="s">
        <v>123</v>
      </c>
      <c r="B11" s="5">
        <f>SUMIFS(Backup_All_States!$F$2:$F$70,Backup_All_States!$A$2:$A$70,"Maharashtra",Backup_All_States!$B$2:$B$70,$A11,Backup_All_States!$L$2:$L$70,"Y")</f>
        <v>0</v>
      </c>
      <c r="C11" s="5">
        <f>SUMIFS(Backup_All_States!$E$2:$E$70,Backup_All_States!$A$2:$A$70,"Maharashtra",Backup_All_States!$B$2:$B$70,$A11,Backup_All_States!$L$2:$L$70,"Y")</f>
        <v>366</v>
      </c>
      <c r="D11" s="5">
        <f t="shared" si="0"/>
        <v>366</v>
      </c>
    </row>
    <row r="12" spans="1:4" x14ac:dyDescent="0.25">
      <c r="A12" s="4" t="s">
        <v>108</v>
      </c>
      <c r="B12" s="5">
        <f>SUMIFS(Backup_All_States!$F$2:$F$70,Backup_All_States!$A$2:$A$70,"Maharashtra",Backup_All_States!$B$2:$B$70,$A12,Backup_All_States!$L$2:$L$70,"Y")</f>
        <v>0</v>
      </c>
      <c r="C12" s="5">
        <f>SUMIFS(Backup_All_States!$E$2:$E$70,Backup_All_States!$A$2:$A$70,"Maharashtra",Backup_All_States!$B$2:$B$70,$A12,Backup_All_States!$L$2:$L$70,"Y")</f>
        <v>350</v>
      </c>
      <c r="D12" s="5">
        <f t="shared" si="0"/>
        <v>350</v>
      </c>
    </row>
    <row r="13" spans="1:4" x14ac:dyDescent="0.25">
      <c r="A13" s="4" t="s">
        <v>89</v>
      </c>
      <c r="B13" s="5">
        <f>SUMIFS(Backup_All_States!$F$2:$F$70,Backup_All_States!$A$2:$A$70,"Maharashtra",Backup_All_States!$B$2:$B$70,$A13,Backup_All_States!$L$2:$L$70,"Y")</f>
        <v>0</v>
      </c>
      <c r="C13" s="5">
        <f>SUMIFS(Backup_All_States!$E$2:$E$70,Backup_All_States!$A$2:$A$70,"Maharashtra",Backup_All_States!$B$2:$B$70,$A13,Backup_All_States!$L$2:$L$70,"Y")</f>
        <v>349</v>
      </c>
      <c r="D13" s="5">
        <f t="shared" si="0"/>
        <v>349</v>
      </c>
    </row>
    <row r="14" spans="1:4" x14ac:dyDescent="0.25">
      <c r="A14" s="4" t="s">
        <v>80</v>
      </c>
      <c r="B14" s="5">
        <f>SUMIFS(Backup_All_States!$F$2:$F$70,Backup_All_States!$A$2:$A$70,"Maharashtra",Backup_All_States!$B$2:$B$70,$A14,Backup_All_States!$L$2:$L$70,"Y")</f>
        <v>240</v>
      </c>
      <c r="C14" s="5">
        <f>SUMIFS(Backup_All_States!$E$2:$E$70,Backup_All_States!$A$2:$A$70,"Maharashtra",Backup_All_States!$B$2:$B$70,$A14,Backup_All_States!$L$2:$L$70,"Y")</f>
        <v>75.400000000000006</v>
      </c>
      <c r="D14" s="5">
        <f t="shared" si="0"/>
        <v>315.39999999999998</v>
      </c>
    </row>
    <row r="15" spans="1:4" x14ac:dyDescent="0.25">
      <c r="A15" s="4" t="s">
        <v>126</v>
      </c>
      <c r="B15" s="5">
        <f>SUMIFS(Backup_All_States!$F$2:$F$70,Backup_All_States!$A$2:$A$70,"Maharashtra",Backup_All_States!$B$2:$B$70,$A15,Backup_All_States!$L$2:$L$70,"Y")</f>
        <v>120</v>
      </c>
      <c r="C15" s="5">
        <f>SUMIFS(Backup_All_States!$E$2:$E$70,Backup_All_States!$A$2:$A$70,"Maharashtra",Backup_All_States!$B$2:$B$70,$A15,Backup_All_States!$L$2:$L$70,"Y")</f>
        <v>150</v>
      </c>
      <c r="D15" s="5">
        <f t="shared" si="0"/>
        <v>270</v>
      </c>
    </row>
    <row r="16" spans="1:4" x14ac:dyDescent="0.25">
      <c r="A16" s="4" t="s">
        <v>141</v>
      </c>
      <c r="B16" s="5">
        <f>SUMIFS(Backup_All_States!$F$2:$F$70,Backup_All_States!$A$2:$A$70,"Maharashtra",Backup_All_States!$B$2:$B$70,$A16,Backup_All_States!$L$2:$L$70,"Y")</f>
        <v>240</v>
      </c>
      <c r="C16" s="5">
        <f>SUMIFS(Backup_All_States!$E$2:$E$70,Backup_All_States!$A$2:$A$70,"Maharashtra",Backup_All_States!$B$2:$B$70,$A16,Backup_All_States!$L$2:$L$70,"Y")</f>
        <v>0</v>
      </c>
      <c r="D16" s="5">
        <f t="shared" si="0"/>
        <v>240</v>
      </c>
    </row>
    <row r="17" spans="1:4" x14ac:dyDescent="0.25">
      <c r="A17" s="4" t="s">
        <v>117</v>
      </c>
      <c r="B17" s="5">
        <f>SUMIFS(Backup_All_States!$F$2:$F$70,Backup_All_States!$A$2:$A$70,"Maharashtra",Backup_All_States!$B$2:$B$70,$A17,Backup_All_States!$L$2:$L$70,"Y")</f>
        <v>0</v>
      </c>
      <c r="C17" s="5">
        <f>SUMIFS(Backup_All_States!$E$2:$E$70,Backup_All_States!$A$2:$A$70,"Maharashtra",Backup_All_States!$B$2:$B$70,$A17,Backup_All_States!$L$2:$L$70,"Y")</f>
        <v>214</v>
      </c>
      <c r="D17" s="5">
        <f t="shared" si="0"/>
        <v>214</v>
      </c>
    </row>
    <row r="18" spans="1:4" x14ac:dyDescent="0.25">
      <c r="A18" s="4" t="s">
        <v>144</v>
      </c>
      <c r="B18" s="5">
        <f>SUMIFS(Backup_All_States!$F$2:$F$70,Backup_All_States!$A$2:$A$70,"Maharashtra",Backup_All_States!$B$2:$B$70,$A18,Backup_All_States!$L$2:$L$70,"Y")</f>
        <v>200</v>
      </c>
      <c r="C18" s="5">
        <f>SUMIFS(Backup_All_States!$E$2:$E$70,Backup_All_States!$A$2:$A$70,"Maharashtra",Backup_All_States!$B$2:$B$70,$A18,Backup_All_States!$L$2:$L$70,"Y")</f>
        <v>0</v>
      </c>
      <c r="D18" s="5">
        <f t="shared" si="0"/>
        <v>200</v>
      </c>
    </row>
    <row r="19" spans="1:4" x14ac:dyDescent="0.25">
      <c r="A19" s="4" t="s">
        <v>129</v>
      </c>
      <c r="B19" s="5">
        <f>SUMIFS(Backup_All_States!$F$2:$F$70,Backup_All_States!$A$2:$A$70,"Maharashtra",Backup_All_States!$B$2:$B$70,$A19,Backup_All_States!$L$2:$L$70,"Y")</f>
        <v>0</v>
      </c>
      <c r="C19" s="5">
        <f>SUMIFS(Backup_All_States!$E$2:$E$70,Backup_All_States!$A$2:$A$70,"Maharashtra",Backup_All_States!$B$2:$B$70,$A19,Backup_All_States!$L$2:$L$70,"Y")</f>
        <v>148</v>
      </c>
      <c r="D19" s="5">
        <f t="shared" si="0"/>
        <v>148</v>
      </c>
    </row>
    <row r="20" spans="1:4" x14ac:dyDescent="0.25">
      <c r="A20" s="4" t="s">
        <v>102</v>
      </c>
      <c r="B20" s="5">
        <f>SUMIFS(Backup_All_States!$F$2:$F$70,Backup_All_States!$A$2:$A$70,"Maharashtra",Backup_All_States!$B$2:$B$70,$A20,Backup_All_States!$L$2:$L$70,"Y")</f>
        <v>0</v>
      </c>
      <c r="C20" s="5">
        <f>SUMIFS(Backup_All_States!$E$2:$E$70,Backup_All_States!$A$2:$A$70,"Maharashtra",Backup_All_States!$B$2:$B$70,$A20,Backup_All_States!$L$2:$L$70,"Y")</f>
        <v>140</v>
      </c>
      <c r="D20" s="5">
        <f t="shared" si="0"/>
        <v>140</v>
      </c>
    </row>
    <row r="21" spans="1:4" x14ac:dyDescent="0.25">
      <c r="A21" s="4" t="s">
        <v>99</v>
      </c>
      <c r="B21" s="5">
        <f>SUMIFS(Backup_All_States!$F$2:$F$70,Backup_All_States!$A$2:$A$70,"Maharashtra",Backup_All_States!$B$2:$B$70,$A21,Backup_All_States!$L$2:$L$70,"Y")</f>
        <v>0</v>
      </c>
      <c r="C21" s="5">
        <f>SUMIFS(Backup_All_States!$E$2:$E$70,Backup_All_States!$A$2:$A$70,"Maharashtra",Backup_All_States!$B$2:$B$70,$A21,Backup_All_States!$L$2:$L$70,"Y")</f>
        <v>135</v>
      </c>
      <c r="D21" s="5">
        <f t="shared" si="0"/>
        <v>135</v>
      </c>
    </row>
    <row r="22" spans="1:4" x14ac:dyDescent="0.25">
      <c r="A22" s="4" t="s">
        <v>120</v>
      </c>
      <c r="B22" s="5">
        <f>SUMIFS(Backup_All_States!$F$2:$F$70,Backup_All_States!$A$2:$A$70,"Maharashtra",Backup_All_States!$B$2:$B$70,$A22,Backup_All_States!$L$2:$L$70,"Y")</f>
        <v>0</v>
      </c>
      <c r="C22" s="5">
        <f>SUMIFS(Backup_All_States!$E$2:$E$70,Backup_All_States!$A$2:$A$70,"Maharashtra",Backup_All_States!$B$2:$B$70,$A22,Backup_All_States!$L$2:$L$70,"Y")</f>
        <v>133</v>
      </c>
      <c r="D22" s="5">
        <f t="shared" si="0"/>
        <v>133</v>
      </c>
    </row>
    <row r="23" spans="1:4" x14ac:dyDescent="0.25">
      <c r="A23" s="4" t="s">
        <v>105</v>
      </c>
      <c r="B23" s="5">
        <f>SUMIFS(Backup_All_States!$F$2:$F$70,Backup_All_States!$A$2:$A$70,"Maharashtra",Backup_All_States!$B$2:$B$70,$A23,Backup_All_States!$L$2:$L$70,"Y")</f>
        <v>113.9</v>
      </c>
      <c r="C23" s="5">
        <f>SUMIFS(Backup_All_States!$E$2:$E$70,Backup_All_States!$A$2:$A$70,"Maharashtra",Backup_All_States!$B$2:$B$70,$A23,Backup_All_States!$L$2:$L$70,"Y")</f>
        <v>0</v>
      </c>
      <c r="D23" s="5">
        <f t="shared" si="0"/>
        <v>113.9</v>
      </c>
    </row>
    <row r="24" spans="1:4" x14ac:dyDescent="0.25">
      <c r="A24" s="4" t="s">
        <v>94</v>
      </c>
      <c r="B24" s="5">
        <f>SUMIFS(Backup_All_States!$F$2:$F$70,Backup_All_States!$A$2:$A$70,"Maharashtra",Backup_All_States!$B$2:$B$70,$A24,Backup_All_States!$L$2:$L$70,"Y")</f>
        <v>103.4</v>
      </c>
      <c r="C24" s="5">
        <f>SUMIFS(Backup_All_States!$E$2:$E$70,Backup_All_States!$A$2:$A$70,"Maharashtra",Backup_All_States!$B$2:$B$70,$A24,Backup_All_States!$L$2:$L$70,"Y")</f>
        <v>0</v>
      </c>
      <c r="D24" s="5">
        <f t="shared" si="0"/>
        <v>103.4</v>
      </c>
    </row>
    <row r="25" spans="1:4" x14ac:dyDescent="0.25">
      <c r="A25" s="4" t="s">
        <v>132</v>
      </c>
      <c r="B25" s="5">
        <f>SUMIFS(Backup_All_States!$F$2:$F$70,Backup_All_States!$A$2:$A$70,"Maharashtra",Backup_All_States!$B$2:$B$70,$A25,Backup_All_States!$L$2:$L$70,"Y")</f>
        <v>100</v>
      </c>
      <c r="C25" s="5">
        <f>SUMIFS(Backup_All_States!$E$2:$E$70,Backup_All_States!$A$2:$A$70,"Maharashtra",Backup_All_States!$B$2:$B$70,$A25,Backup_All_States!$L$2:$L$70,"Y")</f>
        <v>0</v>
      </c>
      <c r="D25" s="5">
        <f t="shared" si="0"/>
        <v>100</v>
      </c>
    </row>
    <row r="26" spans="1:4" x14ac:dyDescent="0.25">
      <c r="A26" s="4" t="s">
        <v>147</v>
      </c>
      <c r="B26" s="5">
        <f>SUMIFS(Backup_All_States!$F$2:$F$70,Backup_All_States!$A$2:$A$70,"Maharashtra",Backup_All_States!$B$2:$B$70,$A26,Backup_All_States!$L$2:$L$70,"Y")</f>
        <v>60</v>
      </c>
      <c r="C26" s="5">
        <f>SUMIFS(Backup_All_States!$E$2:$E$70,Backup_All_States!$A$2:$A$70,"Maharashtra",Backup_All_States!$B$2:$B$70,$A26,Backup_All_States!$L$2:$L$70,"Y")</f>
        <v>0</v>
      </c>
      <c r="D26" s="5">
        <f t="shared" si="0"/>
        <v>60</v>
      </c>
    </row>
    <row r="27" spans="1:4" x14ac:dyDescent="0.25">
      <c r="A27" s="4" t="s">
        <v>150</v>
      </c>
      <c r="B27" s="5">
        <f>SUMIFS(Backup_All_States!$F$2:$F$70,Backup_All_States!$A$2:$A$70,"Maharashtra",Backup_All_States!$B$2:$B$70,$A27,Backup_All_States!$L$2:$L$70,"Y")</f>
        <v>56</v>
      </c>
      <c r="C27" s="5">
        <f>SUMIFS(Backup_All_States!$E$2:$E$70,Backup_All_States!$A$2:$A$70,"Maharashtra",Backup_All_States!$B$2:$B$70,$A27,Backup_All_States!$L$2:$L$70,"Y")</f>
        <v>4</v>
      </c>
      <c r="D27" s="5">
        <f t="shared" si="0"/>
        <v>60</v>
      </c>
    </row>
    <row r="28" spans="1:4" x14ac:dyDescent="0.25">
      <c r="A28" s="4" t="s">
        <v>114</v>
      </c>
      <c r="B28" s="5">
        <f>SUMIFS(Backup_All_States!$F$2:$F$70,Backup_All_States!$A$2:$A$70,"Maharashtra",Backup_All_States!$B$2:$B$70,$A28,Backup_All_States!$L$2:$L$70,"Y")</f>
        <v>0</v>
      </c>
      <c r="C28" s="5">
        <f>SUMIFS(Backup_All_States!$E$2:$E$70,Backup_All_States!$A$2:$A$70,"Maharashtra",Backup_All_States!$B$2:$B$70,$A28,Backup_All_States!$L$2:$L$70,"Y")</f>
        <v>52</v>
      </c>
      <c r="D28" s="5">
        <f t="shared" si="0"/>
        <v>52</v>
      </c>
    </row>
    <row r="29" spans="1:4" x14ac:dyDescent="0.25">
      <c r="A29" s="4" t="s">
        <v>154</v>
      </c>
      <c r="B29" s="5">
        <f>SUMIFS(Backup_All_States!$F$2:$F$70,Backup_All_States!$A$2:$A$70,"Maharashtra",Backup_All_States!$B$2:$B$70,$A29,Backup_All_States!$L$2:$L$70,"Y")</f>
        <v>5.5</v>
      </c>
      <c r="C29" s="5">
        <f>SUMIFS(Backup_All_States!$E$2:$E$70,Backup_All_States!$A$2:$A$70,"Maharashtra",Backup_All_States!$B$2:$B$70,$A29,Backup_All_States!$L$2:$L$70,"Y")</f>
        <v>0</v>
      </c>
      <c r="D29" s="5">
        <f t="shared" si="0"/>
        <v>5.5</v>
      </c>
    </row>
    <row r="30" spans="1:4" x14ac:dyDescent="0.25">
      <c r="A30" s="6" t="s">
        <v>5</v>
      </c>
      <c r="B30" s="7">
        <f>SUM(B6:B29)</f>
        <v>7108.7999999999993</v>
      </c>
      <c r="C30" s="7">
        <f>SUM(C6:C29)</f>
        <v>4005.4</v>
      </c>
      <c r="D30" s="7">
        <f>SUM(D6:D29)</f>
        <v>11114.199999999999</v>
      </c>
    </row>
    <row r="33" spans="1:4" x14ac:dyDescent="0.25">
      <c r="A33" s="6" t="s">
        <v>249</v>
      </c>
    </row>
    <row r="34" spans="1:4" x14ac:dyDescent="0.25">
      <c r="A34" s="14" t="s">
        <v>248</v>
      </c>
      <c r="B34" s="14" t="s">
        <v>3</v>
      </c>
      <c r="C34" s="14" t="s">
        <v>4</v>
      </c>
      <c r="D34" s="14" t="s">
        <v>5</v>
      </c>
    </row>
    <row r="35" spans="1:4" x14ac:dyDescent="0.25">
      <c r="A35" s="4" t="s">
        <v>67</v>
      </c>
      <c r="B35" s="5">
        <f>SUMIFS(Backup_All_States!$F$2:$F$70,Backup_All_States!$A$2:$A$70,"Maharashtra",Backup_All_States!$B$2:$B$70,$A35,Backup_All_States!$L$2:$L$70,"Y",Backup_All_States!$J$2:$J$70,"No")</f>
        <v>3120</v>
      </c>
      <c r="C35" s="5">
        <f>SUMIFS(Backup_All_States!$E$2:$E$70,Backup_All_States!$A$2:$A$70,"Maharashtra",Backup_All_States!$B$2:$B$70,$A35,Backup_All_States!$L$2:$L$70,"Y",Backup_All_States!$J$2:$J$70,"No")</f>
        <v>62</v>
      </c>
      <c r="D35" s="5">
        <f t="shared" ref="D35:D58" si="1">B35+C35</f>
        <v>3182</v>
      </c>
    </row>
    <row r="36" spans="1:4" x14ac:dyDescent="0.25">
      <c r="A36" s="4" t="s">
        <v>62</v>
      </c>
      <c r="B36" s="5">
        <f>SUMIFS(Backup_All_States!$F$2:$F$70,Backup_All_States!$A$2:$A$70,"Maharashtra",Backup_All_States!$B$2:$B$70,$A36,Backup_All_States!$L$2:$L$70,"Y",Backup_All_States!$J$2:$J$70,"No")</f>
        <v>1500</v>
      </c>
      <c r="C36" s="5">
        <f>SUMIFS(Backup_All_States!$E$2:$E$70,Backup_All_States!$A$2:$A$70,"Maharashtra",Backup_All_States!$B$2:$B$70,$A36,Backup_All_States!$L$2:$L$70,"Y",Backup_All_States!$J$2:$J$70,"No")</f>
        <v>1450</v>
      </c>
      <c r="D36" s="5">
        <f t="shared" si="1"/>
        <v>2950</v>
      </c>
    </row>
    <row r="37" spans="1:4" x14ac:dyDescent="0.25">
      <c r="A37" s="4" t="s">
        <v>135</v>
      </c>
      <c r="B37" s="5">
        <f>SUMIFS(Backup_All_States!$F$2:$F$70,Backup_All_States!$A$2:$A$70,"Maharashtra",Backup_All_States!$B$2:$B$70,$A37,Backup_All_States!$L$2:$L$70,"Y",Backup_All_States!$J$2:$J$70,"No")</f>
        <v>750</v>
      </c>
      <c r="C37" s="5">
        <f>SUMIFS(Backup_All_States!$E$2:$E$70,Backup_All_States!$A$2:$A$70,"Maharashtra",Backup_All_States!$B$2:$B$70,$A37,Backup_All_States!$L$2:$L$70,"Y",Backup_All_States!$J$2:$J$70,"No")</f>
        <v>0</v>
      </c>
      <c r="D37" s="5">
        <f t="shared" si="1"/>
        <v>750</v>
      </c>
    </row>
    <row r="38" spans="1:4" x14ac:dyDescent="0.25">
      <c r="A38" s="4" t="s">
        <v>138</v>
      </c>
      <c r="B38" s="5">
        <f>SUMIFS(Backup_All_States!$F$2:$F$70,Backup_All_States!$A$2:$A$70,"Maharashtra",Backup_All_States!$B$2:$B$70,$A38,Backup_All_States!$L$2:$L$70,"Y",Backup_All_States!$J$2:$J$70,"No")</f>
        <v>500</v>
      </c>
      <c r="C38" s="5">
        <f>SUMIFS(Backup_All_States!$E$2:$E$70,Backup_All_States!$A$2:$A$70,"Maharashtra",Backup_All_States!$B$2:$B$70,$A38,Backup_All_States!$L$2:$L$70,"Y",Backup_All_States!$J$2:$J$70,"No")</f>
        <v>0</v>
      </c>
      <c r="D38" s="5">
        <f t="shared" si="1"/>
        <v>500</v>
      </c>
    </row>
    <row r="39" spans="1:4" x14ac:dyDescent="0.25">
      <c r="A39" s="4" t="s">
        <v>111</v>
      </c>
      <c r="B39" s="5">
        <f>SUMIFS(Backup_All_States!$F$2:$F$70,Backup_All_States!$A$2:$A$70,"Maharashtra",Backup_All_States!$B$2:$B$70,$A39,Backup_All_States!$L$2:$L$70,"Y",Backup_All_States!$J$2:$J$70,"No")</f>
        <v>0</v>
      </c>
      <c r="C39" s="5">
        <f>SUMIFS(Backup_All_States!$E$2:$E$70,Backup_All_States!$A$2:$A$70,"Maharashtra",Backup_All_States!$B$2:$B$70,$A39,Backup_All_States!$L$2:$L$70,"Y",Backup_All_States!$J$2:$J$70,"No")</f>
        <v>377</v>
      </c>
      <c r="D39" s="5">
        <f t="shared" si="1"/>
        <v>377</v>
      </c>
    </row>
    <row r="40" spans="1:4" x14ac:dyDescent="0.25">
      <c r="A40" s="4" t="s">
        <v>123</v>
      </c>
      <c r="B40" s="5">
        <f>SUMIFS(Backup_All_States!$F$2:$F$70,Backup_All_States!$A$2:$A$70,"Maharashtra",Backup_All_States!$B$2:$B$70,$A40,Backup_All_States!$L$2:$L$70,"Y",Backup_All_States!$J$2:$J$70,"No")</f>
        <v>0</v>
      </c>
      <c r="C40" s="5">
        <f>SUMIFS(Backup_All_States!$E$2:$E$70,Backup_All_States!$A$2:$A$70,"Maharashtra",Backup_All_States!$B$2:$B$70,$A40,Backup_All_States!$L$2:$L$70,"Y",Backup_All_States!$J$2:$J$70,"No")</f>
        <v>366</v>
      </c>
      <c r="D40" s="5">
        <f t="shared" si="1"/>
        <v>366</v>
      </c>
    </row>
    <row r="41" spans="1:4" x14ac:dyDescent="0.25">
      <c r="A41" s="4" t="s">
        <v>108</v>
      </c>
      <c r="B41" s="5">
        <f>SUMIFS(Backup_All_States!$F$2:$F$70,Backup_All_States!$A$2:$A$70,"Maharashtra",Backup_All_States!$B$2:$B$70,$A41,Backup_All_States!$L$2:$L$70,"Y",Backup_All_States!$J$2:$J$70,"No")</f>
        <v>0</v>
      </c>
      <c r="C41" s="5">
        <f>SUMIFS(Backup_All_States!$E$2:$E$70,Backup_All_States!$A$2:$A$70,"Maharashtra",Backup_All_States!$B$2:$B$70,$A41,Backup_All_States!$L$2:$L$70,"Y",Backup_All_States!$J$2:$J$70,"No")</f>
        <v>350</v>
      </c>
      <c r="D41" s="5">
        <f t="shared" si="1"/>
        <v>350</v>
      </c>
    </row>
    <row r="42" spans="1:4" x14ac:dyDescent="0.25">
      <c r="A42" s="4" t="s">
        <v>89</v>
      </c>
      <c r="B42" s="5">
        <f>SUMIFS(Backup_All_States!$F$2:$F$70,Backup_All_States!$A$2:$A$70,"Maharashtra",Backup_All_States!$B$2:$B$70,$A42,Backup_All_States!$L$2:$L$70,"Y",Backup_All_States!$J$2:$J$70,"No")</f>
        <v>0</v>
      </c>
      <c r="C42" s="5">
        <f>SUMIFS(Backup_All_States!$E$2:$E$70,Backup_All_States!$A$2:$A$70,"Maharashtra",Backup_All_States!$B$2:$B$70,$A42,Backup_All_States!$L$2:$L$70,"Y",Backup_All_States!$J$2:$J$70,"No")</f>
        <v>349</v>
      </c>
      <c r="D42" s="5">
        <f t="shared" si="1"/>
        <v>349</v>
      </c>
    </row>
    <row r="43" spans="1:4" x14ac:dyDescent="0.25">
      <c r="A43" s="4" t="s">
        <v>80</v>
      </c>
      <c r="B43" s="5">
        <f>SUMIFS(Backup_All_States!$F$2:$F$70,Backup_All_States!$A$2:$A$70,"Maharashtra",Backup_All_States!$B$2:$B$70,$A43,Backup_All_States!$L$2:$L$70,"Y",Backup_All_States!$J$2:$J$70,"No")</f>
        <v>0</v>
      </c>
      <c r="C43" s="5">
        <f>SUMIFS(Backup_All_States!$E$2:$E$70,Backup_All_States!$A$2:$A$70,"Maharashtra",Backup_All_States!$B$2:$B$70,$A43,Backup_All_States!$L$2:$L$70,"Y",Backup_All_States!$J$2:$J$70,"No")</f>
        <v>75.400000000000006</v>
      </c>
      <c r="D43" s="5">
        <f t="shared" si="1"/>
        <v>75.400000000000006</v>
      </c>
    </row>
    <row r="44" spans="1:4" x14ac:dyDescent="0.25">
      <c r="A44" s="4" t="s">
        <v>126</v>
      </c>
      <c r="B44" s="5">
        <f>SUMIFS(Backup_All_States!$F$2:$F$70,Backup_All_States!$A$2:$A$70,"Maharashtra",Backup_All_States!$B$2:$B$70,$A44,Backup_All_States!$L$2:$L$70,"Y",Backup_All_States!$J$2:$J$70,"No")</f>
        <v>120</v>
      </c>
      <c r="C44" s="5">
        <f>SUMIFS(Backup_All_States!$E$2:$E$70,Backup_All_States!$A$2:$A$70,"Maharashtra",Backup_All_States!$B$2:$B$70,$A44,Backup_All_States!$L$2:$L$70,"Y",Backup_All_States!$J$2:$J$70,"No")</f>
        <v>150</v>
      </c>
      <c r="D44" s="5">
        <f t="shared" si="1"/>
        <v>270</v>
      </c>
    </row>
    <row r="45" spans="1:4" x14ac:dyDescent="0.25">
      <c r="A45" s="4" t="s">
        <v>141</v>
      </c>
      <c r="B45" s="5">
        <f>SUMIFS(Backup_All_States!$F$2:$F$70,Backup_All_States!$A$2:$A$70,"Maharashtra",Backup_All_States!$B$2:$B$70,$A45,Backup_All_States!$L$2:$L$70,"Y",Backup_All_States!$J$2:$J$70,"No")</f>
        <v>240</v>
      </c>
      <c r="C45" s="5">
        <f>SUMIFS(Backup_All_States!$E$2:$E$70,Backup_All_States!$A$2:$A$70,"Maharashtra",Backup_All_States!$B$2:$B$70,$A45,Backup_All_States!$L$2:$L$70,"Y",Backup_All_States!$J$2:$J$70,"No")</f>
        <v>0</v>
      </c>
      <c r="D45" s="5">
        <f t="shared" si="1"/>
        <v>240</v>
      </c>
    </row>
    <row r="46" spans="1:4" x14ac:dyDescent="0.25">
      <c r="A46" s="4" t="s">
        <v>117</v>
      </c>
      <c r="B46" s="5">
        <f>SUMIFS(Backup_All_States!$F$2:$F$70,Backup_All_States!$A$2:$A$70,"Maharashtra",Backup_All_States!$B$2:$B$70,$A46,Backup_All_States!$L$2:$L$70,"Y",Backup_All_States!$J$2:$J$70,"No")</f>
        <v>0</v>
      </c>
      <c r="C46" s="5">
        <f>SUMIFS(Backup_All_States!$E$2:$E$70,Backup_All_States!$A$2:$A$70,"Maharashtra",Backup_All_States!$B$2:$B$70,$A46,Backup_All_States!$L$2:$L$70,"Y",Backup_All_States!$J$2:$J$70,"No")</f>
        <v>214</v>
      </c>
      <c r="D46" s="5">
        <f t="shared" si="1"/>
        <v>214</v>
      </c>
    </row>
    <row r="47" spans="1:4" x14ac:dyDescent="0.25">
      <c r="A47" s="4" t="s">
        <v>144</v>
      </c>
      <c r="B47" s="5">
        <f>SUMIFS(Backup_All_States!$F$2:$F$70,Backup_All_States!$A$2:$A$70,"Maharashtra",Backup_All_States!$B$2:$B$70,$A47,Backup_All_States!$L$2:$L$70,"Y",Backup_All_States!$J$2:$J$70,"No")</f>
        <v>200</v>
      </c>
      <c r="C47" s="5">
        <f>SUMIFS(Backup_All_States!$E$2:$E$70,Backup_All_States!$A$2:$A$70,"Maharashtra",Backup_All_States!$B$2:$B$70,$A47,Backup_All_States!$L$2:$L$70,"Y",Backup_All_States!$J$2:$J$70,"No")</f>
        <v>0</v>
      </c>
      <c r="D47" s="5">
        <f t="shared" si="1"/>
        <v>200</v>
      </c>
    </row>
    <row r="48" spans="1:4" x14ac:dyDescent="0.25">
      <c r="A48" s="4" t="s">
        <v>129</v>
      </c>
      <c r="B48" s="5">
        <f>SUMIFS(Backup_All_States!$F$2:$F$70,Backup_All_States!$A$2:$A$70,"Maharashtra",Backup_All_States!$B$2:$B$70,$A48,Backup_All_States!$L$2:$L$70,"Y",Backup_All_States!$J$2:$J$70,"No")</f>
        <v>0</v>
      </c>
      <c r="C48" s="5">
        <f>SUMIFS(Backup_All_States!$E$2:$E$70,Backup_All_States!$A$2:$A$70,"Maharashtra",Backup_All_States!$B$2:$B$70,$A48,Backup_All_States!$L$2:$L$70,"Y",Backup_All_States!$J$2:$J$70,"No")</f>
        <v>148</v>
      </c>
      <c r="D48" s="5">
        <f t="shared" si="1"/>
        <v>148</v>
      </c>
    </row>
    <row r="49" spans="1:4" x14ac:dyDescent="0.25">
      <c r="A49" s="4" t="s">
        <v>102</v>
      </c>
      <c r="B49" s="5">
        <f>SUMIFS(Backup_All_States!$F$2:$F$70,Backup_All_States!$A$2:$A$70,"Maharashtra",Backup_All_States!$B$2:$B$70,$A49,Backup_All_States!$L$2:$L$70,"Y",Backup_All_States!$J$2:$J$70,"No")</f>
        <v>0</v>
      </c>
      <c r="C49" s="5">
        <f>SUMIFS(Backup_All_States!$E$2:$E$70,Backup_All_States!$A$2:$A$70,"Maharashtra",Backup_All_States!$B$2:$B$70,$A49,Backup_All_States!$L$2:$L$70,"Y",Backup_All_States!$J$2:$J$70,"No")</f>
        <v>140</v>
      </c>
      <c r="D49" s="5">
        <f t="shared" si="1"/>
        <v>140</v>
      </c>
    </row>
    <row r="50" spans="1:4" x14ac:dyDescent="0.25">
      <c r="A50" s="4" t="s">
        <v>99</v>
      </c>
      <c r="B50" s="5">
        <f>SUMIFS(Backup_All_States!$F$2:$F$70,Backup_All_States!$A$2:$A$70,"Maharashtra",Backup_All_States!$B$2:$B$70,$A50,Backup_All_States!$L$2:$L$70,"Y",Backup_All_States!$J$2:$J$70,"No")</f>
        <v>0</v>
      </c>
      <c r="C50" s="5">
        <f>SUMIFS(Backup_All_States!$E$2:$E$70,Backup_All_States!$A$2:$A$70,"Maharashtra",Backup_All_States!$B$2:$B$70,$A50,Backup_All_States!$L$2:$L$70,"Y",Backup_All_States!$J$2:$J$70,"No")</f>
        <v>135</v>
      </c>
      <c r="D50" s="5">
        <f t="shared" si="1"/>
        <v>135</v>
      </c>
    </row>
    <row r="51" spans="1:4" x14ac:dyDescent="0.25">
      <c r="A51" s="4" t="s">
        <v>120</v>
      </c>
      <c r="B51" s="5">
        <f>SUMIFS(Backup_All_States!$F$2:$F$70,Backup_All_States!$A$2:$A$70,"Maharashtra",Backup_All_States!$B$2:$B$70,$A51,Backup_All_States!$L$2:$L$70,"Y",Backup_All_States!$J$2:$J$70,"No")</f>
        <v>0</v>
      </c>
      <c r="C51" s="5">
        <f>SUMIFS(Backup_All_States!$E$2:$E$70,Backup_All_States!$A$2:$A$70,"Maharashtra",Backup_All_States!$B$2:$B$70,$A51,Backup_All_States!$L$2:$L$70,"Y",Backup_All_States!$J$2:$J$70,"No")</f>
        <v>133</v>
      </c>
      <c r="D51" s="5">
        <f t="shared" si="1"/>
        <v>133</v>
      </c>
    </row>
    <row r="52" spans="1:4" x14ac:dyDescent="0.25">
      <c r="A52" s="4" t="s">
        <v>105</v>
      </c>
      <c r="B52" s="5">
        <f>SUMIFS(Backup_All_States!$F$2:$F$70,Backup_All_States!$A$2:$A$70,"Maharashtra",Backup_All_States!$B$2:$B$70,$A52,Backup_All_States!$L$2:$L$70,"Y",Backup_All_States!$J$2:$J$70,"No")</f>
        <v>113.9</v>
      </c>
      <c r="C52" s="5">
        <f>SUMIFS(Backup_All_States!$E$2:$E$70,Backup_All_States!$A$2:$A$70,"Maharashtra",Backup_All_States!$B$2:$B$70,$A52,Backup_All_States!$L$2:$L$70,"Y",Backup_All_States!$J$2:$J$70,"No")</f>
        <v>0</v>
      </c>
      <c r="D52" s="5">
        <f t="shared" si="1"/>
        <v>113.9</v>
      </c>
    </row>
    <row r="53" spans="1:4" x14ac:dyDescent="0.25">
      <c r="A53" s="4" t="s">
        <v>94</v>
      </c>
      <c r="B53" s="5">
        <f>SUMIFS(Backup_All_States!$F$2:$F$70,Backup_All_States!$A$2:$A$70,"Maharashtra",Backup_All_States!$B$2:$B$70,$A53,Backup_All_States!$L$2:$L$70,"Y",Backup_All_States!$J$2:$J$70,"No")</f>
        <v>103.4</v>
      </c>
      <c r="C53" s="5">
        <f>SUMIFS(Backup_All_States!$E$2:$E$70,Backup_All_States!$A$2:$A$70,"Maharashtra",Backup_All_States!$B$2:$B$70,$A53,Backup_All_States!$L$2:$L$70,"Y",Backup_All_States!$J$2:$J$70,"No")</f>
        <v>0</v>
      </c>
      <c r="D53" s="5">
        <f t="shared" si="1"/>
        <v>103.4</v>
      </c>
    </row>
    <row r="54" spans="1:4" x14ac:dyDescent="0.25">
      <c r="A54" s="4" t="s">
        <v>132</v>
      </c>
      <c r="B54" s="5">
        <f>SUMIFS(Backup_All_States!$F$2:$F$70,Backup_All_States!$A$2:$A$70,"Maharashtra",Backup_All_States!$B$2:$B$70,$A54,Backup_All_States!$L$2:$L$70,"Y",Backup_All_States!$J$2:$J$70,"No")</f>
        <v>100</v>
      </c>
      <c r="C54" s="5">
        <f>SUMIFS(Backup_All_States!$E$2:$E$70,Backup_All_States!$A$2:$A$70,"Maharashtra",Backup_All_States!$B$2:$B$70,$A54,Backup_All_States!$L$2:$L$70,"Y",Backup_All_States!$J$2:$J$70,"No")</f>
        <v>0</v>
      </c>
      <c r="D54" s="5">
        <f t="shared" si="1"/>
        <v>100</v>
      </c>
    </row>
    <row r="55" spans="1:4" x14ac:dyDescent="0.25">
      <c r="A55" s="4" t="s">
        <v>147</v>
      </c>
      <c r="B55" s="5">
        <f>SUMIFS(Backup_All_States!$F$2:$F$70,Backup_All_States!$A$2:$A$70,"Maharashtra",Backup_All_States!$B$2:$B$70,$A55,Backup_All_States!$L$2:$L$70,"Y",Backup_All_States!$J$2:$J$70,"No")</f>
        <v>60</v>
      </c>
      <c r="C55" s="5">
        <f>SUMIFS(Backup_All_States!$E$2:$E$70,Backup_All_States!$A$2:$A$70,"Maharashtra",Backup_All_States!$B$2:$B$70,$A55,Backup_All_States!$L$2:$L$70,"Y",Backup_All_States!$J$2:$J$70,"No")</f>
        <v>0</v>
      </c>
      <c r="D55" s="5">
        <f t="shared" si="1"/>
        <v>60</v>
      </c>
    </row>
    <row r="56" spans="1:4" x14ac:dyDescent="0.25">
      <c r="A56" s="4" t="s">
        <v>150</v>
      </c>
      <c r="B56" s="5">
        <f>SUMIFS(Backup_All_States!$F$2:$F$70,Backup_All_States!$A$2:$A$70,"Maharashtra",Backup_All_States!$B$2:$B$70,$A56,Backup_All_States!$L$2:$L$70,"Y",Backup_All_States!$J$2:$J$70,"No")</f>
        <v>56</v>
      </c>
      <c r="C56" s="5">
        <f>SUMIFS(Backup_All_States!$E$2:$E$70,Backup_All_States!$A$2:$A$70,"Maharashtra",Backup_All_States!$B$2:$B$70,$A56,Backup_All_States!$L$2:$L$70,"Y",Backup_All_States!$J$2:$J$70,"No")</f>
        <v>4</v>
      </c>
      <c r="D56" s="5">
        <f t="shared" si="1"/>
        <v>60</v>
      </c>
    </row>
    <row r="57" spans="1:4" x14ac:dyDescent="0.25">
      <c r="A57" s="4" t="s">
        <v>114</v>
      </c>
      <c r="B57" s="5">
        <f>SUMIFS(Backup_All_States!$F$2:$F$70,Backup_All_States!$A$2:$A$70,"Maharashtra",Backup_All_States!$B$2:$B$70,$A57,Backup_All_States!$L$2:$L$70,"Y",Backup_All_States!$J$2:$J$70,"No")</f>
        <v>0</v>
      </c>
      <c r="C57" s="5">
        <f>SUMIFS(Backup_All_States!$E$2:$E$70,Backup_All_States!$A$2:$A$70,"Maharashtra",Backup_All_States!$B$2:$B$70,$A57,Backup_All_States!$L$2:$L$70,"Y",Backup_All_States!$J$2:$J$70,"No")</f>
        <v>52</v>
      </c>
      <c r="D57" s="5">
        <f t="shared" si="1"/>
        <v>52</v>
      </c>
    </row>
    <row r="58" spans="1:4" x14ac:dyDescent="0.25">
      <c r="A58" s="4" t="s">
        <v>154</v>
      </c>
      <c r="B58" s="5">
        <f>SUMIFS(Backup_All_States!$F$2:$F$70,Backup_All_States!$A$2:$A$70,"Maharashtra",Backup_All_States!$B$2:$B$70,$A58,Backup_All_States!$L$2:$L$70,"Y",Backup_All_States!$J$2:$J$70,"No")</f>
        <v>5.5</v>
      </c>
      <c r="C58" s="5">
        <f>SUMIFS(Backup_All_States!$E$2:$E$70,Backup_All_States!$A$2:$A$70,"Maharashtra",Backup_All_States!$B$2:$B$70,$A58,Backup_All_States!$L$2:$L$70,"Y",Backup_All_States!$J$2:$J$70,"No")</f>
        <v>0</v>
      </c>
      <c r="D58" s="5">
        <f t="shared" si="1"/>
        <v>5.5</v>
      </c>
    </row>
    <row r="59" spans="1:4" x14ac:dyDescent="0.25">
      <c r="A59" s="6" t="s">
        <v>5</v>
      </c>
      <c r="B59" s="7">
        <f>SUM(B35:B58)</f>
        <v>6868.7999999999993</v>
      </c>
      <c r="C59" s="7">
        <f>SUM(C35:C58)</f>
        <v>4005.4</v>
      </c>
      <c r="D59" s="7">
        <f>SUM(D35:D58)</f>
        <v>10874.199999999999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250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80</v>
      </c>
      <c r="B6" s="5">
        <f>SUMIFS(Backup_All_States!$F$2:$F$70,Backup_All_States!$A$2:$A$70,"Andhra Pradesh",Backup_All_States!$B$2:$B$70,$A6,Backup_All_States!$L$2:$L$70,"Y")</f>
        <v>0</v>
      </c>
      <c r="C6" s="5">
        <f>SUMIFS(Backup_All_States!$E$2:$E$70,Backup_All_States!$A$2:$A$70,"Andhra Pradesh",Backup_All_States!$B$2:$B$70,$A6,Backup_All_States!$L$2:$L$70,"Y")</f>
        <v>2338</v>
      </c>
      <c r="D6" s="5">
        <f t="shared" ref="D6:D12" si="0">B6+C6</f>
        <v>2338</v>
      </c>
    </row>
    <row r="7" spans="1:4" x14ac:dyDescent="0.25">
      <c r="A7" s="4" t="s">
        <v>165</v>
      </c>
      <c r="B7" s="5">
        <f>SUMIFS(Backup_All_States!$F$2:$F$70,Backup_All_States!$A$2:$A$70,"Andhra Pradesh",Backup_All_States!$B$2:$B$70,$A7,Backup_All_States!$L$2:$L$70,"Y")</f>
        <v>0</v>
      </c>
      <c r="C7" s="5">
        <f>SUMIFS(Backup_All_States!$E$2:$E$70,Backup_All_States!$A$2:$A$70,"Andhra Pradesh",Backup_All_States!$B$2:$B$70,$A7,Backup_All_States!$L$2:$L$70,"Y")</f>
        <v>1500</v>
      </c>
      <c r="D7" s="5">
        <f t="shared" si="0"/>
        <v>1500</v>
      </c>
    </row>
    <row r="8" spans="1:4" x14ac:dyDescent="0.25">
      <c r="A8" s="4" t="s">
        <v>135</v>
      </c>
      <c r="B8" s="5">
        <f>SUMIFS(Backup_All_States!$F$2:$F$70,Backup_All_States!$A$2:$A$70,"Andhra Pradesh",Backup_All_States!$B$2:$B$70,$A8,Backup_All_States!$L$2:$L$70,"Y")</f>
        <v>0</v>
      </c>
      <c r="C8" s="5">
        <f>SUMIFS(Backup_All_States!$E$2:$E$70,Backup_All_States!$A$2:$A$70,"Andhra Pradesh",Backup_All_States!$B$2:$B$70,$A8,Backup_All_States!$L$2:$L$70,"Y")</f>
        <v>1000</v>
      </c>
      <c r="D8" s="5">
        <f t="shared" si="0"/>
        <v>1000</v>
      </c>
    </row>
    <row r="9" spans="1:4" x14ac:dyDescent="0.25">
      <c r="A9" s="4" t="s">
        <v>111</v>
      </c>
      <c r="B9" s="5">
        <f>SUMIFS(Backup_All_States!$F$2:$F$70,Backup_All_States!$A$2:$A$70,"Andhra Pradesh",Backup_All_States!$B$2:$B$70,$A9,Backup_All_States!$L$2:$L$70,"Y")</f>
        <v>0</v>
      </c>
      <c r="C9" s="5">
        <f>SUMIFS(Backup_All_States!$E$2:$E$70,Backup_All_States!$A$2:$A$70,"Andhra Pradesh",Backup_All_States!$B$2:$B$70,$A9,Backup_All_States!$L$2:$L$70,"Y")</f>
        <v>550</v>
      </c>
      <c r="D9" s="5">
        <f t="shared" si="0"/>
        <v>550</v>
      </c>
    </row>
    <row r="10" spans="1:4" x14ac:dyDescent="0.25">
      <c r="A10" s="4" t="s">
        <v>170</v>
      </c>
      <c r="B10" s="5">
        <f>SUMIFS(Backup_All_States!$F$2:$F$70,Backup_All_States!$A$2:$A$70,"Andhra Pradesh",Backup_All_States!$B$2:$B$70,$A10,Backup_All_States!$L$2:$L$70,"Y")</f>
        <v>0</v>
      </c>
      <c r="C10" s="5">
        <f>SUMIFS(Backup_All_States!$E$2:$E$70,Backup_All_States!$A$2:$A$70,"Andhra Pradesh",Backup_All_States!$B$2:$B$70,$A10,Backup_All_States!$L$2:$L$70,"Y")</f>
        <v>512</v>
      </c>
      <c r="D10" s="5">
        <f t="shared" si="0"/>
        <v>512</v>
      </c>
    </row>
    <row r="11" spans="1:4" x14ac:dyDescent="0.25">
      <c r="A11" s="4" t="s">
        <v>129</v>
      </c>
      <c r="B11" s="5">
        <f>SUMIFS(Backup_All_States!$F$2:$F$70,Backup_All_States!$A$2:$A$70,"Andhra Pradesh",Backup_All_States!$B$2:$B$70,$A11,Backup_All_States!$L$2:$L$70,"Y")</f>
        <v>0</v>
      </c>
      <c r="C11" s="5">
        <f>SUMIFS(Backup_All_States!$E$2:$E$70,Backup_All_States!$A$2:$A$70,"Andhra Pradesh",Backup_All_States!$B$2:$B$70,$A11,Backup_All_States!$L$2:$L$70,"Y")</f>
        <v>486</v>
      </c>
      <c r="D11" s="5">
        <f t="shared" si="0"/>
        <v>486</v>
      </c>
    </row>
    <row r="12" spans="1:4" x14ac:dyDescent="0.25">
      <c r="A12" s="4" t="s">
        <v>117</v>
      </c>
      <c r="B12" s="5">
        <f>SUMIFS(Backup_All_States!$F$2:$F$70,Backup_All_States!$A$2:$A$70,"Andhra Pradesh",Backup_All_States!$B$2:$B$70,$A12,Backup_All_States!$L$2:$L$70,"Y")</f>
        <v>0</v>
      </c>
      <c r="C12" s="5">
        <f>SUMIFS(Backup_All_States!$E$2:$E$70,Backup_All_States!$A$2:$A$70,"Andhra Pradesh",Backup_All_States!$B$2:$B$70,$A12,Backup_All_States!$L$2:$L$70,"Y")</f>
        <v>100</v>
      </c>
      <c r="D12" s="5">
        <f t="shared" si="0"/>
        <v>100</v>
      </c>
    </row>
    <row r="13" spans="1:4" x14ac:dyDescent="0.25">
      <c r="A13" s="6" t="s">
        <v>5</v>
      </c>
      <c r="B13" s="7">
        <f>SUM(B6:B12)</f>
        <v>0</v>
      </c>
      <c r="C13" s="7">
        <f>SUM(C6:C12)</f>
        <v>6486</v>
      </c>
      <c r="D13" s="7">
        <f>SUM(D6:D12)</f>
        <v>6486</v>
      </c>
    </row>
    <row r="16" spans="1:4" x14ac:dyDescent="0.25">
      <c r="A16" s="6" t="s">
        <v>249</v>
      </c>
    </row>
    <row r="17" spans="1:4" x14ac:dyDescent="0.25">
      <c r="A17" s="14" t="s">
        <v>248</v>
      </c>
      <c r="B17" s="14" t="s">
        <v>3</v>
      </c>
      <c r="C17" s="14" t="s">
        <v>4</v>
      </c>
      <c r="D17" s="14" t="s">
        <v>5</v>
      </c>
    </row>
    <row r="18" spans="1:4" x14ac:dyDescent="0.25">
      <c r="A18" s="4" t="s">
        <v>80</v>
      </c>
      <c r="B18" s="5">
        <f>SUMIFS(Backup_All_States!$F$2:$F$70,Backup_All_States!$A$2:$A$70,"Andhra Pradesh",Backup_All_States!$B$2:$B$70,$A18,Backup_All_States!$L$2:$L$70,"Y",Backup_All_States!$J$2:$J$70,"No")</f>
        <v>0</v>
      </c>
      <c r="C18" s="5">
        <f>SUMIFS(Backup_All_States!$E$2:$E$70,Backup_All_States!$A$2:$A$70,"Andhra Pradesh",Backup_All_States!$B$2:$B$70,$A18,Backup_All_States!$L$2:$L$70,"Y",Backup_All_States!$J$2:$J$70,"No")</f>
        <v>200</v>
      </c>
      <c r="D18" s="5">
        <f t="shared" ref="D18:D24" si="1">B18+C18</f>
        <v>200</v>
      </c>
    </row>
    <row r="19" spans="1:4" x14ac:dyDescent="0.25">
      <c r="A19" s="4" t="s">
        <v>165</v>
      </c>
      <c r="B19" s="5">
        <f>SUMIFS(Backup_All_States!$F$2:$F$70,Backup_All_States!$A$2:$A$70,"Andhra Pradesh",Backup_All_States!$B$2:$B$70,$A19,Backup_All_States!$L$2:$L$70,"Y",Backup_All_States!$J$2:$J$70,"No")</f>
        <v>0</v>
      </c>
      <c r="C19" s="5">
        <f>SUMIFS(Backup_All_States!$E$2:$E$70,Backup_All_States!$A$2:$A$70,"Andhra Pradesh",Backup_All_States!$B$2:$B$70,$A19,Backup_All_States!$L$2:$L$70,"Y",Backup_All_States!$J$2:$J$70,"No")</f>
        <v>1500</v>
      </c>
      <c r="D19" s="5">
        <f t="shared" si="1"/>
        <v>1500</v>
      </c>
    </row>
    <row r="20" spans="1:4" x14ac:dyDescent="0.25">
      <c r="A20" s="4" t="s">
        <v>135</v>
      </c>
      <c r="B20" s="5">
        <f>SUMIFS(Backup_All_States!$F$2:$F$70,Backup_All_States!$A$2:$A$70,"Andhra Pradesh",Backup_All_States!$B$2:$B$70,$A20,Backup_All_States!$L$2:$L$70,"Y",Backup_All_States!$J$2:$J$70,"No")</f>
        <v>0</v>
      </c>
      <c r="C20" s="5">
        <f>SUMIFS(Backup_All_States!$E$2:$E$70,Backup_All_States!$A$2:$A$70,"Andhra Pradesh",Backup_All_States!$B$2:$B$70,$A20,Backup_All_States!$L$2:$L$70,"Y",Backup_All_States!$J$2:$J$70,"No")</f>
        <v>1000</v>
      </c>
      <c r="D20" s="5">
        <f t="shared" si="1"/>
        <v>1000</v>
      </c>
    </row>
    <row r="21" spans="1:4" x14ac:dyDescent="0.25">
      <c r="A21" s="4" t="s">
        <v>111</v>
      </c>
      <c r="B21" s="5">
        <f>SUMIFS(Backup_All_States!$F$2:$F$70,Backup_All_States!$A$2:$A$70,"Andhra Pradesh",Backup_All_States!$B$2:$B$70,$A21,Backup_All_States!$L$2:$L$70,"Y",Backup_All_States!$J$2:$J$70,"No")</f>
        <v>0</v>
      </c>
      <c r="C21" s="5">
        <f>SUMIFS(Backup_All_States!$E$2:$E$70,Backup_All_States!$A$2:$A$70,"Andhra Pradesh",Backup_All_States!$B$2:$B$70,$A21,Backup_All_States!$L$2:$L$70,"Y",Backup_All_States!$J$2:$J$70,"No")</f>
        <v>550</v>
      </c>
      <c r="D21" s="5">
        <f t="shared" si="1"/>
        <v>550</v>
      </c>
    </row>
    <row r="22" spans="1:4" x14ac:dyDescent="0.25">
      <c r="A22" s="4" t="s">
        <v>170</v>
      </c>
      <c r="B22" s="5">
        <f>SUMIFS(Backup_All_States!$F$2:$F$70,Backup_All_States!$A$2:$A$70,"Andhra Pradesh",Backup_All_States!$B$2:$B$70,$A22,Backup_All_States!$L$2:$L$70,"Y",Backup_All_States!$J$2:$J$70,"No")</f>
        <v>0</v>
      </c>
      <c r="C22" s="5">
        <f>SUMIFS(Backup_All_States!$E$2:$E$70,Backup_All_States!$A$2:$A$70,"Andhra Pradesh",Backup_All_States!$B$2:$B$70,$A22,Backup_All_States!$L$2:$L$70,"Y",Backup_All_States!$J$2:$J$70,"No")</f>
        <v>512</v>
      </c>
      <c r="D22" s="5">
        <f t="shared" si="1"/>
        <v>512</v>
      </c>
    </row>
    <row r="23" spans="1:4" x14ac:dyDescent="0.25">
      <c r="A23" s="4" t="s">
        <v>129</v>
      </c>
      <c r="B23" s="5">
        <f>SUMIFS(Backup_All_States!$F$2:$F$70,Backup_All_States!$A$2:$A$70,"Andhra Pradesh",Backup_All_States!$B$2:$B$70,$A23,Backup_All_States!$L$2:$L$70,"Y",Backup_All_States!$J$2:$J$70,"No")</f>
        <v>0</v>
      </c>
      <c r="C23" s="5">
        <f>SUMIFS(Backup_All_States!$E$2:$E$70,Backup_All_States!$A$2:$A$70,"Andhra Pradesh",Backup_All_States!$B$2:$B$70,$A23,Backup_All_States!$L$2:$L$70,"Y",Backup_All_States!$J$2:$J$70,"No")</f>
        <v>486</v>
      </c>
      <c r="D23" s="5">
        <f t="shared" si="1"/>
        <v>486</v>
      </c>
    </row>
    <row r="24" spans="1:4" x14ac:dyDescent="0.25">
      <c r="A24" s="4" t="s">
        <v>117</v>
      </c>
      <c r="B24" s="5">
        <f>SUMIFS(Backup_All_States!$F$2:$F$70,Backup_All_States!$A$2:$A$70,"Andhra Pradesh",Backup_All_States!$B$2:$B$70,$A24,Backup_All_States!$L$2:$L$70,"Y",Backup_All_States!$J$2:$J$70,"No")</f>
        <v>0</v>
      </c>
      <c r="C24" s="5">
        <f>SUMIFS(Backup_All_States!$E$2:$E$70,Backup_All_States!$A$2:$A$70,"Andhra Pradesh",Backup_All_States!$B$2:$B$70,$A24,Backup_All_States!$L$2:$L$70,"Y",Backup_All_States!$J$2:$J$70,"No")</f>
        <v>100</v>
      </c>
      <c r="D24" s="5">
        <f t="shared" si="1"/>
        <v>100</v>
      </c>
    </row>
    <row r="25" spans="1:4" x14ac:dyDescent="0.25">
      <c r="A25" s="6" t="s">
        <v>5</v>
      </c>
      <c r="B25" s="7">
        <f>SUM(B18:B24)</f>
        <v>0</v>
      </c>
      <c r="C25" s="7">
        <f>SUM(C18:C24)</f>
        <v>4348</v>
      </c>
      <c r="D25" s="7">
        <f>SUM(D18:D24)</f>
        <v>4348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251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183</v>
      </c>
      <c r="B6" s="5">
        <f>SUMIFS(Backup_All_States!$F$2:$F$70,Backup_All_States!$A$2:$A$70,"Telangana",Backup_All_States!$B$2:$B$70,$A6,Backup_All_States!$L$2:$L$70,"Y")</f>
        <v>0</v>
      </c>
      <c r="C6" s="5">
        <f>SUMIFS(Backup_All_States!$E$2:$E$70,Backup_All_States!$A$2:$A$70,"Telangana",Backup_All_States!$B$2:$B$70,$A6,Backup_All_States!$L$2:$L$70,"Y")</f>
        <v>2000</v>
      </c>
      <c r="D6" s="5">
        <f t="shared" ref="D6:D13" si="0">B6+C6</f>
        <v>2000</v>
      </c>
    </row>
    <row r="7" spans="1:4" x14ac:dyDescent="0.25">
      <c r="A7" s="4" t="s">
        <v>175</v>
      </c>
      <c r="B7" s="5">
        <f>SUMIFS(Backup_All_States!$F$2:$F$70,Backup_All_States!$A$2:$A$70,"Telangana",Backup_All_States!$B$2:$B$70,$A7,Backup_All_States!$L$2:$L$70,"Y")</f>
        <v>1000</v>
      </c>
      <c r="C7" s="5">
        <f>SUMIFS(Backup_All_States!$E$2:$E$70,Backup_All_States!$A$2:$A$70,"Telangana",Backup_All_States!$B$2:$B$70,$A7,Backup_All_States!$L$2:$L$70,"Y")</f>
        <v>0</v>
      </c>
      <c r="D7" s="5">
        <f t="shared" si="0"/>
        <v>1000</v>
      </c>
    </row>
    <row r="8" spans="1:4" x14ac:dyDescent="0.25">
      <c r="A8" s="4" t="s">
        <v>80</v>
      </c>
      <c r="B8" s="5">
        <f>SUMIFS(Backup_All_States!$F$2:$F$70,Backup_All_States!$A$2:$A$70,"Telangana",Backup_All_States!$B$2:$B$70,$A8,Backup_All_States!$L$2:$L$70,"Y")</f>
        <v>386.8</v>
      </c>
      <c r="C8" s="5">
        <f>SUMIFS(Backup_All_States!$E$2:$E$70,Backup_All_States!$A$2:$A$70,"Telangana",Backup_All_States!$B$2:$B$70,$A8,Backup_All_States!$L$2:$L$70,"Y")</f>
        <v>19.2</v>
      </c>
      <c r="D8" s="5">
        <f t="shared" si="0"/>
        <v>406</v>
      </c>
    </row>
    <row r="9" spans="1:4" x14ac:dyDescent="0.25">
      <c r="A9" s="4" t="s">
        <v>117</v>
      </c>
      <c r="B9" s="5">
        <f>SUMIFS(Backup_All_States!$F$2:$F$70,Backup_All_States!$A$2:$A$70,"Telangana",Backup_All_States!$B$2:$B$70,$A9,Backup_All_States!$L$2:$L$70,"Y")</f>
        <v>400</v>
      </c>
      <c r="C9" s="5">
        <f>SUMIFS(Backup_All_States!$E$2:$E$70,Backup_All_States!$A$2:$A$70,"Telangana",Backup_All_States!$B$2:$B$70,$A9,Backup_All_States!$L$2:$L$70,"Y")</f>
        <v>0</v>
      </c>
      <c r="D9" s="5">
        <f t="shared" si="0"/>
        <v>400</v>
      </c>
    </row>
    <row r="10" spans="1:4" x14ac:dyDescent="0.25">
      <c r="A10" s="4" t="s">
        <v>196</v>
      </c>
      <c r="B10" s="5">
        <f>SUMIFS(Backup_All_States!$F$2:$F$70,Backup_All_States!$A$2:$A$70,"Telangana",Backup_All_States!$B$2:$B$70,$A10,Backup_All_States!$L$2:$L$70,"Y")</f>
        <v>400</v>
      </c>
      <c r="C10" s="5">
        <f>SUMIFS(Backup_All_States!$E$2:$E$70,Backup_All_States!$A$2:$A$70,"Telangana",Backup_All_States!$B$2:$B$70,$A10,Backup_All_States!$L$2:$L$70,"Y")</f>
        <v>0</v>
      </c>
      <c r="D10" s="5">
        <f t="shared" si="0"/>
        <v>400</v>
      </c>
    </row>
    <row r="11" spans="1:4" x14ac:dyDescent="0.25">
      <c r="A11" s="4" t="s">
        <v>188</v>
      </c>
      <c r="B11" s="5">
        <f>SUMIFS(Backup_All_States!$F$2:$F$70,Backup_All_States!$A$2:$A$70,"Telangana",Backup_All_States!$B$2:$B$70,$A11,Backup_All_States!$L$2:$L$70,"Y")</f>
        <v>0</v>
      </c>
      <c r="C11" s="5">
        <f>SUMIFS(Backup_All_States!$E$2:$E$70,Backup_All_States!$A$2:$A$70,"Telangana",Backup_All_States!$B$2:$B$70,$A11,Backup_All_States!$L$2:$L$70,"Y")</f>
        <v>278</v>
      </c>
      <c r="D11" s="5">
        <f t="shared" si="0"/>
        <v>278</v>
      </c>
    </row>
    <row r="12" spans="1:4" x14ac:dyDescent="0.25">
      <c r="A12" s="4" t="s">
        <v>120</v>
      </c>
      <c r="B12" s="5">
        <f>SUMIFS(Backup_All_States!$F$2:$F$70,Backup_All_States!$A$2:$A$70,"Telangana",Backup_All_States!$B$2:$B$70,$A12,Backup_All_States!$L$2:$L$70,"Y")</f>
        <v>100</v>
      </c>
      <c r="C12" s="5">
        <f>SUMIFS(Backup_All_States!$E$2:$E$70,Backup_All_States!$A$2:$A$70,"Telangana",Backup_All_States!$B$2:$B$70,$A12,Backup_All_States!$L$2:$L$70,"Y")</f>
        <v>0</v>
      </c>
      <c r="D12" s="5">
        <f t="shared" si="0"/>
        <v>100</v>
      </c>
    </row>
    <row r="13" spans="1:4" x14ac:dyDescent="0.25">
      <c r="A13" s="4" t="s">
        <v>199</v>
      </c>
      <c r="B13" s="5">
        <f>SUMIFS(Backup_All_States!$F$2:$F$70,Backup_All_States!$A$2:$A$70,"Telangana",Backup_All_States!$B$2:$B$70,$A13,Backup_All_States!$L$2:$L$70,"Y")</f>
        <v>100</v>
      </c>
      <c r="C13" s="5">
        <f>SUMIFS(Backup_All_States!$E$2:$E$70,Backup_All_States!$A$2:$A$70,"Telangana",Backup_All_States!$B$2:$B$70,$A13,Backup_All_States!$L$2:$L$70,"Y")</f>
        <v>0</v>
      </c>
      <c r="D13" s="5">
        <f t="shared" si="0"/>
        <v>100</v>
      </c>
    </row>
    <row r="14" spans="1:4" x14ac:dyDescent="0.25">
      <c r="A14" s="6" t="s">
        <v>5</v>
      </c>
      <c r="B14" s="7">
        <f>SUM(B6:B13)</f>
        <v>2386.8000000000002</v>
      </c>
      <c r="C14" s="7">
        <f>SUM(C6:C13)</f>
        <v>2297.1999999999998</v>
      </c>
      <c r="D14" s="7">
        <f>SUM(D6:D13)</f>
        <v>4684</v>
      </c>
    </row>
    <row r="17" spans="1:4" x14ac:dyDescent="0.25">
      <c r="A17" s="6" t="s">
        <v>249</v>
      </c>
    </row>
    <row r="18" spans="1:4" x14ac:dyDescent="0.25">
      <c r="A18" s="14" t="s">
        <v>248</v>
      </c>
      <c r="B18" s="14" t="s">
        <v>3</v>
      </c>
      <c r="C18" s="14" t="s">
        <v>4</v>
      </c>
      <c r="D18" s="14" t="s">
        <v>5</v>
      </c>
    </row>
    <row r="19" spans="1:4" x14ac:dyDescent="0.25">
      <c r="A19" s="4" t="s">
        <v>183</v>
      </c>
      <c r="B19" s="5">
        <f>SUMIFS(Backup_All_States!$F$2:$F$70,Backup_All_States!$A$2:$A$70,"Telangana",Backup_All_States!$B$2:$B$70,$A19,Backup_All_States!$L$2:$L$70,"Y",Backup_All_States!$J$2:$J$70,"No")</f>
        <v>0</v>
      </c>
      <c r="C19" s="5">
        <f>SUMIFS(Backup_All_States!$E$2:$E$70,Backup_All_States!$A$2:$A$70,"Telangana",Backup_All_States!$B$2:$B$70,$A19,Backup_All_States!$L$2:$L$70,"Y",Backup_All_States!$J$2:$J$70,"No")</f>
        <v>2000</v>
      </c>
      <c r="D19" s="5">
        <f t="shared" ref="D19:D26" si="1">B19+C19</f>
        <v>2000</v>
      </c>
    </row>
    <row r="20" spans="1:4" x14ac:dyDescent="0.25">
      <c r="A20" s="4" t="s">
        <v>175</v>
      </c>
      <c r="B20" s="5">
        <f>SUMIFS(Backup_All_States!$F$2:$F$70,Backup_All_States!$A$2:$A$70,"Telangana",Backup_All_States!$B$2:$B$70,$A20,Backup_All_States!$L$2:$L$70,"Y",Backup_All_States!$J$2:$J$70,"No")</f>
        <v>0</v>
      </c>
      <c r="C20" s="5">
        <f>SUMIFS(Backup_All_States!$E$2:$E$70,Backup_All_States!$A$2:$A$70,"Telangana",Backup_All_States!$B$2:$B$70,$A20,Backup_All_States!$L$2:$L$70,"Y",Backup_All_States!$J$2:$J$70,"No")</f>
        <v>0</v>
      </c>
      <c r="D20" s="5">
        <f t="shared" si="1"/>
        <v>0</v>
      </c>
    </row>
    <row r="21" spans="1:4" x14ac:dyDescent="0.25">
      <c r="A21" s="4" t="s">
        <v>80</v>
      </c>
      <c r="B21" s="5">
        <f>SUMIFS(Backup_All_States!$F$2:$F$70,Backup_All_States!$A$2:$A$70,"Telangana",Backup_All_States!$B$2:$B$70,$A21,Backup_All_States!$L$2:$L$70,"Y",Backup_All_States!$J$2:$J$70,"No")</f>
        <v>0</v>
      </c>
      <c r="C21" s="5">
        <f>SUMIFS(Backup_All_States!$E$2:$E$70,Backup_All_States!$A$2:$A$70,"Telangana",Backup_All_States!$B$2:$B$70,$A21,Backup_All_States!$L$2:$L$70,"Y",Backup_All_States!$J$2:$J$70,"No")</f>
        <v>0</v>
      </c>
      <c r="D21" s="5">
        <f t="shared" si="1"/>
        <v>0</v>
      </c>
    </row>
    <row r="22" spans="1:4" x14ac:dyDescent="0.25">
      <c r="A22" s="4" t="s">
        <v>117</v>
      </c>
      <c r="B22" s="5">
        <f>SUMIFS(Backup_All_States!$F$2:$F$70,Backup_All_States!$A$2:$A$70,"Telangana",Backup_All_States!$B$2:$B$70,$A22,Backup_All_States!$L$2:$L$70,"Y",Backup_All_States!$J$2:$J$70,"No")</f>
        <v>400</v>
      </c>
      <c r="C22" s="5">
        <f>SUMIFS(Backup_All_States!$E$2:$E$70,Backup_All_States!$A$2:$A$70,"Telangana",Backup_All_States!$B$2:$B$70,$A22,Backup_All_States!$L$2:$L$70,"Y",Backup_All_States!$J$2:$J$70,"No")</f>
        <v>0</v>
      </c>
      <c r="D22" s="5">
        <f t="shared" si="1"/>
        <v>400</v>
      </c>
    </row>
    <row r="23" spans="1:4" x14ac:dyDescent="0.25">
      <c r="A23" s="4" t="s">
        <v>196</v>
      </c>
      <c r="B23" s="5">
        <f>SUMIFS(Backup_All_States!$F$2:$F$70,Backup_All_States!$A$2:$A$70,"Telangana",Backup_All_States!$B$2:$B$70,$A23,Backup_All_States!$L$2:$L$70,"Y",Backup_All_States!$J$2:$J$70,"No")</f>
        <v>400</v>
      </c>
      <c r="C23" s="5">
        <f>SUMIFS(Backup_All_States!$E$2:$E$70,Backup_All_States!$A$2:$A$70,"Telangana",Backup_All_States!$B$2:$B$70,$A23,Backup_All_States!$L$2:$L$70,"Y",Backup_All_States!$J$2:$J$70,"No")</f>
        <v>0</v>
      </c>
      <c r="D23" s="5">
        <f t="shared" si="1"/>
        <v>400</v>
      </c>
    </row>
    <row r="24" spans="1:4" x14ac:dyDescent="0.25">
      <c r="A24" s="4" t="s">
        <v>188</v>
      </c>
      <c r="B24" s="5">
        <f>SUMIFS(Backup_All_States!$F$2:$F$70,Backup_All_States!$A$2:$A$70,"Telangana",Backup_All_States!$B$2:$B$70,$A24,Backup_All_States!$L$2:$L$70,"Y",Backup_All_States!$J$2:$J$70,"No")</f>
        <v>0</v>
      </c>
      <c r="C24" s="5">
        <f>SUMIFS(Backup_All_States!$E$2:$E$70,Backup_All_States!$A$2:$A$70,"Telangana",Backup_All_States!$B$2:$B$70,$A24,Backup_All_States!$L$2:$L$70,"Y",Backup_All_States!$J$2:$J$70,"No")</f>
        <v>278</v>
      </c>
      <c r="D24" s="5">
        <f t="shared" si="1"/>
        <v>278</v>
      </c>
    </row>
    <row r="25" spans="1:4" x14ac:dyDescent="0.25">
      <c r="A25" s="4" t="s">
        <v>120</v>
      </c>
      <c r="B25" s="5">
        <f>SUMIFS(Backup_All_States!$F$2:$F$70,Backup_All_States!$A$2:$A$70,"Telangana",Backup_All_States!$B$2:$B$70,$A25,Backup_All_States!$L$2:$L$70,"Y",Backup_All_States!$J$2:$J$70,"No")</f>
        <v>100</v>
      </c>
      <c r="C25" s="5">
        <f>SUMIFS(Backup_All_States!$E$2:$E$70,Backup_All_States!$A$2:$A$70,"Telangana",Backup_All_States!$B$2:$B$70,$A25,Backup_All_States!$L$2:$L$70,"Y",Backup_All_States!$J$2:$J$70,"No")</f>
        <v>0</v>
      </c>
      <c r="D25" s="5">
        <f t="shared" si="1"/>
        <v>100</v>
      </c>
    </row>
    <row r="26" spans="1:4" x14ac:dyDescent="0.25">
      <c r="A26" s="4" t="s">
        <v>199</v>
      </c>
      <c r="B26" s="5">
        <f>SUMIFS(Backup_All_States!$F$2:$F$70,Backup_All_States!$A$2:$A$70,"Telangana",Backup_All_States!$B$2:$B$70,$A26,Backup_All_States!$L$2:$L$70,"Y",Backup_All_States!$J$2:$J$70,"No")</f>
        <v>100</v>
      </c>
      <c r="C26" s="5">
        <f>SUMIFS(Backup_All_States!$E$2:$E$70,Backup_All_States!$A$2:$A$70,"Telangana",Backup_All_States!$B$2:$B$70,$A26,Backup_All_States!$L$2:$L$70,"Y",Backup_All_States!$J$2:$J$70,"No")</f>
        <v>0</v>
      </c>
      <c r="D26" s="5">
        <f t="shared" si="1"/>
        <v>100</v>
      </c>
    </row>
    <row r="27" spans="1:4" x14ac:dyDescent="0.25">
      <c r="A27" s="6" t="s">
        <v>5</v>
      </c>
      <c r="B27" s="7">
        <f>SUM(B19:B26)</f>
        <v>1000</v>
      </c>
      <c r="C27" s="7">
        <f>SUM(C19:C26)</f>
        <v>2278</v>
      </c>
      <c r="D27" s="7">
        <f>SUM(D19:D26)</f>
        <v>3278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252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111</v>
      </c>
      <c r="B6" s="5">
        <f>SUMIFS(Backup_All_States!$F$2:$F$70,Backup_All_States!$A$2:$A$70,"Tamil Nadu",Backup_All_States!$B$2:$B$70,$A6,Backup_All_States!$L$2:$L$70,"Y")</f>
        <v>104.1</v>
      </c>
      <c r="C6" s="5">
        <f>SUMIFS(Backup_All_States!$E$2:$E$70,Backup_All_States!$A$2:$A$70,"Tamil Nadu",Backup_All_States!$B$2:$B$70,$A6,Backup_All_States!$L$2:$L$70,"Y")</f>
        <v>25.9</v>
      </c>
      <c r="D6" s="5">
        <f t="shared" ref="D6:D11" si="0">B6+C6</f>
        <v>130</v>
      </c>
    </row>
    <row r="7" spans="1:4" x14ac:dyDescent="0.25">
      <c r="A7" s="4" t="s">
        <v>206</v>
      </c>
      <c r="B7" s="5">
        <f>SUMIFS(Backup_All_States!$F$2:$F$70,Backup_All_States!$A$2:$A$70,"Tamil Nadu",Backup_All_States!$B$2:$B$70,$A7,Backup_All_States!$L$2:$L$70,"Y")</f>
        <v>0</v>
      </c>
      <c r="C7" s="5">
        <f>SUMIFS(Backup_All_States!$E$2:$E$70,Backup_All_States!$A$2:$A$70,"Tamil Nadu",Backup_All_States!$B$2:$B$70,$A7,Backup_All_States!$L$2:$L$70,"Y")</f>
        <v>100</v>
      </c>
      <c r="D7" s="5">
        <f t="shared" si="0"/>
        <v>100</v>
      </c>
    </row>
    <row r="8" spans="1:4" x14ac:dyDescent="0.25">
      <c r="A8" s="4" t="s">
        <v>99</v>
      </c>
      <c r="B8" s="5">
        <f>SUMIFS(Backup_All_States!$F$2:$F$70,Backup_All_States!$A$2:$A$70,"Tamil Nadu",Backup_All_States!$B$2:$B$70,$A8,Backup_All_States!$L$2:$L$70,"Y")</f>
        <v>0</v>
      </c>
      <c r="C8" s="5">
        <f>SUMIFS(Backup_All_States!$E$2:$E$70,Backup_All_States!$A$2:$A$70,"Tamil Nadu",Backup_All_States!$B$2:$B$70,$A8,Backup_All_States!$L$2:$L$70,"Y")</f>
        <v>53</v>
      </c>
      <c r="D8" s="5">
        <f t="shared" si="0"/>
        <v>53</v>
      </c>
    </row>
    <row r="9" spans="1:4" x14ac:dyDescent="0.25">
      <c r="A9" s="4" t="s">
        <v>120</v>
      </c>
      <c r="B9" s="5">
        <f>SUMIFS(Backup_All_States!$F$2:$F$70,Backup_All_States!$A$2:$A$70,"Tamil Nadu",Backup_All_States!$B$2:$B$70,$A9,Backup_All_States!$L$2:$L$70,"Y")</f>
        <v>37.799999999999997</v>
      </c>
      <c r="C9" s="5">
        <f>SUMIFS(Backup_All_States!$E$2:$E$70,Backup_All_States!$A$2:$A$70,"Tamil Nadu",Backup_All_States!$B$2:$B$70,$A9,Backup_All_States!$L$2:$L$70,"Y")</f>
        <v>7.2</v>
      </c>
      <c r="D9" s="5">
        <f t="shared" si="0"/>
        <v>45</v>
      </c>
    </row>
    <row r="10" spans="1:4" x14ac:dyDescent="0.25">
      <c r="A10" s="4" t="s">
        <v>211</v>
      </c>
      <c r="B10" s="5">
        <f>SUMIFS(Backup_All_States!$F$2:$F$70,Backup_All_States!$A$2:$A$70,"Tamil Nadu",Backup_All_States!$B$2:$B$70,$A10,Backup_All_States!$L$2:$L$70,"Y")</f>
        <v>0</v>
      </c>
      <c r="C10" s="5">
        <f>SUMIFS(Backup_All_States!$E$2:$E$70,Backup_All_States!$A$2:$A$70,"Tamil Nadu",Backup_All_States!$B$2:$B$70,$A10,Backup_All_States!$L$2:$L$70,"Y")</f>
        <v>36</v>
      </c>
      <c r="D10" s="5">
        <f t="shared" si="0"/>
        <v>36</v>
      </c>
    </row>
    <row r="11" spans="1:4" x14ac:dyDescent="0.25">
      <c r="A11" s="4" t="s">
        <v>80</v>
      </c>
      <c r="B11" s="5">
        <f>SUMIFS(Backup_All_States!$F$2:$F$70,Backup_All_States!$A$2:$A$70,"Tamil Nadu",Backup_All_States!$B$2:$B$70,$A11,Backup_All_States!$L$2:$L$70,"Y")</f>
        <v>16</v>
      </c>
      <c r="C11" s="5">
        <f>SUMIFS(Backup_All_States!$E$2:$E$70,Backup_All_States!$A$2:$A$70,"Tamil Nadu",Backup_All_States!$B$2:$B$70,$A11,Backup_All_States!$L$2:$L$70,"Y")</f>
        <v>17</v>
      </c>
      <c r="D11" s="5">
        <f t="shared" si="0"/>
        <v>33</v>
      </c>
    </row>
    <row r="12" spans="1:4" x14ac:dyDescent="0.25">
      <c r="A12" s="6" t="s">
        <v>5</v>
      </c>
      <c r="B12" s="7">
        <f>SUM(B6:B11)</f>
        <v>157.89999999999998</v>
      </c>
      <c r="C12" s="7">
        <f>SUM(C6:C11)</f>
        <v>239.1</v>
      </c>
      <c r="D12" s="7">
        <f>SUM(D6:D11)</f>
        <v>397</v>
      </c>
    </row>
    <row r="15" spans="1:4" x14ac:dyDescent="0.25">
      <c r="A15" s="6" t="s">
        <v>249</v>
      </c>
    </row>
    <row r="16" spans="1:4" x14ac:dyDescent="0.25">
      <c r="A16" s="14" t="s">
        <v>248</v>
      </c>
      <c r="B16" s="14" t="s">
        <v>3</v>
      </c>
      <c r="C16" s="14" t="s">
        <v>4</v>
      </c>
      <c r="D16" s="14" t="s">
        <v>5</v>
      </c>
    </row>
    <row r="17" spans="1:4" x14ac:dyDescent="0.25">
      <c r="A17" s="4" t="s">
        <v>111</v>
      </c>
      <c r="B17" s="5">
        <f>SUMIFS(Backup_All_States!$F$2:$F$70,Backup_All_States!$A$2:$A$70,"Tamil Nadu",Backup_All_States!$B$2:$B$70,$A17,Backup_All_States!$L$2:$L$70,"Y",Backup_All_States!$J$2:$J$70,"No")</f>
        <v>104.1</v>
      </c>
      <c r="C17" s="5">
        <f>SUMIFS(Backup_All_States!$E$2:$E$70,Backup_All_States!$A$2:$A$70,"Tamil Nadu",Backup_All_States!$B$2:$B$70,$A17,Backup_All_States!$L$2:$L$70,"Y",Backup_All_States!$J$2:$J$70,"No")</f>
        <v>25.9</v>
      </c>
      <c r="D17" s="5">
        <f t="shared" ref="D17:D22" si="1">B17+C17</f>
        <v>130</v>
      </c>
    </row>
    <row r="18" spans="1:4" x14ac:dyDescent="0.25">
      <c r="A18" s="4" t="s">
        <v>206</v>
      </c>
      <c r="B18" s="5">
        <f>SUMIFS(Backup_All_States!$F$2:$F$70,Backup_All_States!$A$2:$A$70,"Tamil Nadu",Backup_All_States!$B$2:$B$70,$A18,Backup_All_States!$L$2:$L$70,"Y",Backup_All_States!$J$2:$J$70,"No")</f>
        <v>0</v>
      </c>
      <c r="C18" s="5">
        <f>SUMIFS(Backup_All_States!$E$2:$E$70,Backup_All_States!$A$2:$A$70,"Tamil Nadu",Backup_All_States!$B$2:$B$70,$A18,Backup_All_States!$L$2:$L$70,"Y",Backup_All_States!$J$2:$J$70,"No")</f>
        <v>100</v>
      </c>
      <c r="D18" s="5">
        <f t="shared" si="1"/>
        <v>100</v>
      </c>
    </row>
    <row r="19" spans="1:4" x14ac:dyDescent="0.25">
      <c r="A19" s="4" t="s">
        <v>99</v>
      </c>
      <c r="B19" s="5">
        <f>SUMIFS(Backup_All_States!$F$2:$F$70,Backup_All_States!$A$2:$A$70,"Tamil Nadu",Backup_All_States!$B$2:$B$70,$A19,Backup_All_States!$L$2:$L$70,"Y",Backup_All_States!$J$2:$J$70,"No")</f>
        <v>0</v>
      </c>
      <c r="C19" s="5">
        <f>SUMIFS(Backup_All_States!$E$2:$E$70,Backup_All_States!$A$2:$A$70,"Tamil Nadu",Backup_All_States!$B$2:$B$70,$A19,Backup_All_States!$L$2:$L$70,"Y",Backup_All_States!$J$2:$J$70,"No")</f>
        <v>53</v>
      </c>
      <c r="D19" s="5">
        <f t="shared" si="1"/>
        <v>53</v>
      </c>
    </row>
    <row r="20" spans="1:4" x14ac:dyDescent="0.25">
      <c r="A20" s="4" t="s">
        <v>120</v>
      </c>
      <c r="B20" s="5">
        <f>SUMIFS(Backup_All_States!$F$2:$F$70,Backup_All_States!$A$2:$A$70,"Tamil Nadu",Backup_All_States!$B$2:$B$70,$A20,Backup_All_States!$L$2:$L$70,"Y",Backup_All_States!$J$2:$J$70,"No")</f>
        <v>37.799999999999997</v>
      </c>
      <c r="C20" s="5">
        <f>SUMIFS(Backup_All_States!$E$2:$E$70,Backup_All_States!$A$2:$A$70,"Tamil Nadu",Backup_All_States!$B$2:$B$70,$A20,Backup_All_States!$L$2:$L$70,"Y",Backup_All_States!$J$2:$J$70,"No")</f>
        <v>7.2</v>
      </c>
      <c r="D20" s="5">
        <f t="shared" si="1"/>
        <v>45</v>
      </c>
    </row>
    <row r="21" spans="1:4" x14ac:dyDescent="0.25">
      <c r="A21" s="4" t="s">
        <v>211</v>
      </c>
      <c r="B21" s="5">
        <f>SUMIFS(Backup_All_States!$F$2:$F$70,Backup_All_States!$A$2:$A$70,"Tamil Nadu",Backup_All_States!$B$2:$B$70,$A21,Backup_All_States!$L$2:$L$70,"Y",Backup_All_States!$J$2:$J$70,"No")</f>
        <v>0</v>
      </c>
      <c r="C21" s="5">
        <f>SUMIFS(Backup_All_States!$E$2:$E$70,Backup_All_States!$A$2:$A$70,"Tamil Nadu",Backup_All_States!$B$2:$B$70,$A21,Backup_All_States!$L$2:$L$70,"Y",Backup_All_States!$J$2:$J$70,"No")</f>
        <v>36</v>
      </c>
      <c r="D21" s="5">
        <f t="shared" si="1"/>
        <v>36</v>
      </c>
    </row>
    <row r="22" spans="1:4" x14ac:dyDescent="0.25">
      <c r="A22" s="4" t="s">
        <v>80</v>
      </c>
      <c r="B22" s="5">
        <f>SUMIFS(Backup_All_States!$F$2:$F$70,Backup_All_States!$A$2:$A$70,"Tamil Nadu",Backup_All_States!$B$2:$B$70,$A22,Backup_All_States!$L$2:$L$70,"Y",Backup_All_States!$J$2:$J$70,"No")</f>
        <v>16</v>
      </c>
      <c r="C22" s="5">
        <f>SUMIFS(Backup_All_States!$E$2:$E$70,Backup_All_States!$A$2:$A$70,"Tamil Nadu",Backup_All_States!$B$2:$B$70,$A22,Backup_All_States!$L$2:$L$70,"Y",Backup_All_States!$J$2:$J$70,"No")</f>
        <v>17</v>
      </c>
      <c r="D22" s="5">
        <f t="shared" si="1"/>
        <v>33</v>
      </c>
    </row>
    <row r="23" spans="1:4" x14ac:dyDescent="0.25">
      <c r="A23" s="6" t="s">
        <v>5</v>
      </c>
      <c r="B23" s="7">
        <f>SUM(B17:B22)</f>
        <v>157.89999999999998</v>
      </c>
      <c r="C23" s="7">
        <f>SUM(C17:C22)</f>
        <v>239.1</v>
      </c>
      <c r="D23" s="7">
        <f>SUM(D17:D22)</f>
        <v>397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253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219</v>
      </c>
      <c r="B6" s="5">
        <f>SUMIFS(Backup_All_States!$F$2:$F$70,Backup_All_States!$A$2:$A$70,"Uttar Pradesh",Backup_All_States!$B$2:$B$70,$A6,Backup_All_States!$L$2:$L$70,"Y")</f>
        <v>222</v>
      </c>
      <c r="C6" s="5">
        <f>SUMIFS(Backup_All_States!$E$2:$E$70,Backup_All_States!$A$2:$A$70,"Uttar Pradesh",Backup_All_States!$B$2:$B$70,$A6,Backup_All_States!$L$2:$L$70,"Y")</f>
        <v>28</v>
      </c>
      <c r="D6" s="5">
        <f t="shared" ref="D6:D11" si="0">B6+C6</f>
        <v>250</v>
      </c>
    </row>
    <row r="7" spans="1:4" x14ac:dyDescent="0.25">
      <c r="A7" s="4" t="s">
        <v>224</v>
      </c>
      <c r="B7" s="5">
        <f>SUMIFS(Backup_All_States!$F$2:$F$70,Backup_All_States!$A$2:$A$70,"Uttar Pradesh",Backup_All_States!$B$2:$B$70,$A7,Backup_All_States!$L$2:$L$70,"Y")</f>
        <v>104</v>
      </c>
      <c r="C7" s="5">
        <f>SUMIFS(Backup_All_States!$E$2:$E$70,Backup_All_States!$A$2:$A$70,"Uttar Pradesh",Backup_All_States!$B$2:$B$70,$A7,Backup_All_States!$L$2:$L$70,"Y")</f>
        <v>16</v>
      </c>
      <c r="D7" s="5">
        <f t="shared" si="0"/>
        <v>120</v>
      </c>
    </row>
    <row r="8" spans="1:4" x14ac:dyDescent="0.25">
      <c r="A8" s="4" t="s">
        <v>80</v>
      </c>
      <c r="B8" s="5">
        <f>SUMIFS(Backup_All_States!$F$2:$F$70,Backup_All_States!$A$2:$A$70,"Uttar Pradesh",Backup_All_States!$B$2:$B$70,$A8,Backup_All_States!$L$2:$L$70,"Y")</f>
        <v>65</v>
      </c>
      <c r="C8" s="5">
        <f>SUMIFS(Backup_All_States!$E$2:$E$70,Backup_All_States!$A$2:$A$70,"Uttar Pradesh",Backup_All_States!$B$2:$B$70,$A8,Backup_All_States!$L$2:$L$70,"Y")</f>
        <v>35</v>
      </c>
      <c r="D8" s="5">
        <f t="shared" si="0"/>
        <v>100</v>
      </c>
    </row>
    <row r="9" spans="1:4" x14ac:dyDescent="0.25">
      <c r="A9" s="4" t="s">
        <v>123</v>
      </c>
      <c r="B9" s="5">
        <f>SUMIFS(Backup_All_States!$F$2:$F$70,Backup_All_States!$A$2:$A$70,"Uttar Pradesh",Backup_All_States!$B$2:$B$70,$A9,Backup_All_States!$L$2:$L$70,"Y")</f>
        <v>43.8</v>
      </c>
      <c r="C9" s="5">
        <f>SUMIFS(Backup_All_States!$E$2:$E$70,Backup_All_States!$A$2:$A$70,"Uttar Pradesh",Backup_All_States!$B$2:$B$70,$A9,Backup_All_States!$L$2:$L$70,"Y")</f>
        <v>9</v>
      </c>
      <c r="D9" s="5">
        <f t="shared" si="0"/>
        <v>52.8</v>
      </c>
    </row>
    <row r="10" spans="1:4" x14ac:dyDescent="0.25">
      <c r="A10" s="4" t="s">
        <v>120</v>
      </c>
      <c r="B10" s="5">
        <f>SUMIFS(Backup_All_States!$F$2:$F$70,Backup_All_States!$A$2:$A$70,"Uttar Pradesh",Backup_All_States!$B$2:$B$70,$A10,Backup_All_States!$L$2:$L$70,"Y")</f>
        <v>0</v>
      </c>
      <c r="C10" s="5">
        <f>SUMIFS(Backup_All_States!$E$2:$E$70,Backup_All_States!$A$2:$A$70,"Uttar Pradesh",Backup_All_States!$B$2:$B$70,$A10,Backup_All_States!$L$2:$L$70,"Y")</f>
        <v>40</v>
      </c>
      <c r="D10" s="5">
        <f t="shared" si="0"/>
        <v>40</v>
      </c>
    </row>
    <row r="11" spans="1:4" x14ac:dyDescent="0.25">
      <c r="A11" s="4" t="s">
        <v>102</v>
      </c>
      <c r="B11" s="5">
        <f>SUMIFS(Backup_All_States!$F$2:$F$70,Backup_All_States!$A$2:$A$70,"Uttar Pradesh",Backup_All_States!$B$2:$B$70,$A11,Backup_All_States!$L$2:$L$70,"Y")</f>
        <v>0</v>
      </c>
      <c r="C11" s="5">
        <f>SUMIFS(Backup_All_States!$E$2:$E$70,Backup_All_States!$A$2:$A$70,"Uttar Pradesh",Backup_All_States!$B$2:$B$70,$A11,Backup_All_States!$L$2:$L$70,"Y")</f>
        <v>5</v>
      </c>
      <c r="D11" s="5">
        <f t="shared" si="0"/>
        <v>5</v>
      </c>
    </row>
    <row r="12" spans="1:4" x14ac:dyDescent="0.25">
      <c r="A12" s="6" t="s">
        <v>5</v>
      </c>
      <c r="B12" s="7">
        <f>SUM(B6:B11)</f>
        <v>434.8</v>
      </c>
      <c r="C12" s="7">
        <f>SUM(C6:C11)</f>
        <v>133</v>
      </c>
      <c r="D12" s="7">
        <f>SUM(D6:D11)</f>
        <v>567.79999999999995</v>
      </c>
    </row>
    <row r="15" spans="1:4" x14ac:dyDescent="0.25">
      <c r="A15" s="6" t="s">
        <v>249</v>
      </c>
    </row>
    <row r="16" spans="1:4" x14ac:dyDescent="0.25">
      <c r="A16" s="14" t="s">
        <v>248</v>
      </c>
      <c r="B16" s="14" t="s">
        <v>3</v>
      </c>
      <c r="C16" s="14" t="s">
        <v>4</v>
      </c>
      <c r="D16" s="14" t="s">
        <v>5</v>
      </c>
    </row>
    <row r="17" spans="1:4" x14ac:dyDescent="0.25">
      <c r="A17" s="4" t="s">
        <v>219</v>
      </c>
      <c r="B17" s="5">
        <f>SUMIFS(Backup_All_States!$F$2:$F$70,Backup_All_States!$A$2:$A$70,"Uttar Pradesh",Backup_All_States!$B$2:$B$70,$A17,Backup_All_States!$L$2:$L$70,"Y",Backup_All_States!$J$2:$J$70,"No")</f>
        <v>222</v>
      </c>
      <c r="C17" s="5">
        <f>SUMIFS(Backup_All_States!$E$2:$E$70,Backup_All_States!$A$2:$A$70,"Uttar Pradesh",Backup_All_States!$B$2:$B$70,$A17,Backup_All_States!$L$2:$L$70,"Y",Backup_All_States!$J$2:$J$70,"No")</f>
        <v>28</v>
      </c>
      <c r="D17" s="5">
        <f t="shared" ref="D17:D22" si="1">B17+C17</f>
        <v>250</v>
      </c>
    </row>
    <row r="18" spans="1:4" x14ac:dyDescent="0.25">
      <c r="A18" s="4" t="s">
        <v>224</v>
      </c>
      <c r="B18" s="5">
        <f>SUMIFS(Backup_All_States!$F$2:$F$70,Backup_All_States!$A$2:$A$70,"Uttar Pradesh",Backup_All_States!$B$2:$B$70,$A18,Backup_All_States!$L$2:$L$70,"Y",Backup_All_States!$J$2:$J$70,"No")</f>
        <v>104</v>
      </c>
      <c r="C18" s="5">
        <f>SUMIFS(Backup_All_States!$E$2:$E$70,Backup_All_States!$A$2:$A$70,"Uttar Pradesh",Backup_All_States!$B$2:$B$70,$A18,Backup_All_States!$L$2:$L$70,"Y",Backup_All_States!$J$2:$J$70,"No")</f>
        <v>16</v>
      </c>
      <c r="D18" s="5">
        <f t="shared" si="1"/>
        <v>120</v>
      </c>
    </row>
    <row r="19" spans="1:4" x14ac:dyDescent="0.25">
      <c r="A19" s="4" t="s">
        <v>80</v>
      </c>
      <c r="B19" s="5">
        <f>SUMIFS(Backup_All_States!$F$2:$F$70,Backup_All_States!$A$2:$A$70,"Uttar Pradesh",Backup_All_States!$B$2:$B$70,$A19,Backup_All_States!$L$2:$L$70,"Y",Backup_All_States!$J$2:$J$70,"No")</f>
        <v>65</v>
      </c>
      <c r="C19" s="5">
        <f>SUMIFS(Backup_All_States!$E$2:$E$70,Backup_All_States!$A$2:$A$70,"Uttar Pradesh",Backup_All_States!$B$2:$B$70,$A19,Backup_All_States!$L$2:$L$70,"Y",Backup_All_States!$J$2:$J$70,"No")</f>
        <v>35</v>
      </c>
      <c r="D19" s="5">
        <f t="shared" si="1"/>
        <v>100</v>
      </c>
    </row>
    <row r="20" spans="1:4" x14ac:dyDescent="0.25">
      <c r="A20" s="4" t="s">
        <v>123</v>
      </c>
      <c r="B20" s="5">
        <f>SUMIFS(Backup_All_States!$F$2:$F$70,Backup_All_States!$A$2:$A$70,"Uttar Pradesh",Backup_All_States!$B$2:$B$70,$A20,Backup_All_States!$L$2:$L$70,"Y",Backup_All_States!$J$2:$J$70,"No")</f>
        <v>43.8</v>
      </c>
      <c r="C20" s="5">
        <f>SUMIFS(Backup_All_States!$E$2:$E$70,Backup_All_States!$A$2:$A$70,"Uttar Pradesh",Backup_All_States!$B$2:$B$70,$A20,Backup_All_States!$L$2:$L$70,"Y",Backup_All_States!$J$2:$J$70,"No")</f>
        <v>9</v>
      </c>
      <c r="D20" s="5">
        <f t="shared" si="1"/>
        <v>52.8</v>
      </c>
    </row>
    <row r="21" spans="1:4" x14ac:dyDescent="0.25">
      <c r="A21" s="4" t="s">
        <v>120</v>
      </c>
      <c r="B21" s="5">
        <f>SUMIFS(Backup_All_States!$F$2:$F$70,Backup_All_States!$A$2:$A$70,"Uttar Pradesh",Backup_All_States!$B$2:$B$70,$A21,Backup_All_States!$L$2:$L$70,"Y",Backup_All_States!$J$2:$J$70,"No")</f>
        <v>0</v>
      </c>
      <c r="C21" s="5">
        <f>SUMIFS(Backup_All_States!$E$2:$E$70,Backup_All_States!$A$2:$A$70,"Uttar Pradesh",Backup_All_States!$B$2:$B$70,$A21,Backup_All_States!$L$2:$L$70,"Y",Backup_All_States!$J$2:$J$70,"No")</f>
        <v>40</v>
      </c>
      <c r="D21" s="5">
        <f t="shared" si="1"/>
        <v>40</v>
      </c>
    </row>
    <row r="22" spans="1:4" x14ac:dyDescent="0.25">
      <c r="A22" s="4" t="s">
        <v>102</v>
      </c>
      <c r="B22" s="5">
        <f>SUMIFS(Backup_All_States!$F$2:$F$70,Backup_All_States!$A$2:$A$70,"Uttar Pradesh",Backup_All_States!$B$2:$B$70,$A22,Backup_All_States!$L$2:$L$70,"Y",Backup_All_States!$J$2:$J$70,"No")</f>
        <v>0</v>
      </c>
      <c r="C22" s="5">
        <f>SUMIFS(Backup_All_States!$E$2:$E$70,Backup_All_States!$A$2:$A$70,"Uttar Pradesh",Backup_All_States!$B$2:$B$70,$A22,Backup_All_States!$L$2:$L$70,"Y",Backup_All_States!$J$2:$J$70,"No")</f>
        <v>5</v>
      </c>
      <c r="D22" s="5">
        <f t="shared" si="1"/>
        <v>5</v>
      </c>
    </row>
    <row r="23" spans="1:4" x14ac:dyDescent="0.25">
      <c r="A23" s="6" t="s">
        <v>5</v>
      </c>
      <c r="B23" s="7">
        <f>SUM(B17:B22)</f>
        <v>434.8</v>
      </c>
      <c r="C23" s="7">
        <f>SUM(C17:C22)</f>
        <v>133</v>
      </c>
      <c r="D23" s="7">
        <f>SUM(D17:D22)</f>
        <v>567.79999999999995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254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80</v>
      </c>
      <c r="B6" s="5">
        <f>SUMIFS(Backup_All_States!$F$2:$F$70,Backup_All_States!$A$2:$A$70,"Odisha",Backup_All_States!$B$2:$B$70,$A6,Backup_All_States!$L$2:$L$70,"Y")</f>
        <v>0</v>
      </c>
      <c r="C6" s="5">
        <f>SUMIFS(Backup_All_States!$E$2:$E$70,Backup_All_States!$A$2:$A$70,"Odisha",Backup_All_States!$B$2:$B$70,$A6,Backup_All_States!$L$2:$L$70,"Y")</f>
        <v>1000</v>
      </c>
      <c r="D6" s="5">
        <f>B6+C6</f>
        <v>1000</v>
      </c>
    </row>
    <row r="7" spans="1:4" x14ac:dyDescent="0.25">
      <c r="A7" s="4" t="s">
        <v>229</v>
      </c>
      <c r="B7" s="5">
        <f>SUMIFS(Backup_All_States!$F$2:$F$70,Backup_All_States!$A$2:$A$70,"Odisha",Backup_All_States!$B$2:$B$70,$A7,Backup_All_States!$L$2:$L$70,"Y")</f>
        <v>0</v>
      </c>
      <c r="C7" s="5">
        <f>SUMIFS(Backup_All_States!$E$2:$E$70,Backup_All_States!$A$2:$A$70,"Odisha",Backup_All_States!$B$2:$B$70,$A7,Backup_All_States!$L$2:$L$70,"Y")</f>
        <v>120</v>
      </c>
      <c r="D7" s="5">
        <f>B7+C7</f>
        <v>120</v>
      </c>
    </row>
    <row r="8" spans="1:4" x14ac:dyDescent="0.25">
      <c r="A8" s="6" t="s">
        <v>5</v>
      </c>
      <c r="B8" s="7">
        <f>SUM(B6:B7)</f>
        <v>0</v>
      </c>
      <c r="C8" s="7">
        <f>SUM(C6:C7)</f>
        <v>1120</v>
      </c>
      <c r="D8" s="7">
        <f>SUM(D6:D7)</f>
        <v>1120</v>
      </c>
    </row>
    <row r="11" spans="1:4" x14ac:dyDescent="0.25">
      <c r="A11" s="6" t="s">
        <v>249</v>
      </c>
    </row>
    <row r="12" spans="1:4" x14ac:dyDescent="0.25">
      <c r="A12" s="14" t="s">
        <v>248</v>
      </c>
      <c r="B12" s="14" t="s">
        <v>3</v>
      </c>
      <c r="C12" s="14" t="s">
        <v>4</v>
      </c>
      <c r="D12" s="14" t="s">
        <v>5</v>
      </c>
    </row>
    <row r="13" spans="1:4" x14ac:dyDescent="0.25">
      <c r="A13" s="4" t="s">
        <v>80</v>
      </c>
      <c r="B13" s="5">
        <f>SUMIFS(Backup_All_States!$F$2:$F$70,Backup_All_States!$A$2:$A$70,"Odisha",Backup_All_States!$B$2:$B$70,$A13,Backup_All_States!$L$2:$L$70,"Y",Backup_All_States!$J$2:$J$70,"No")</f>
        <v>0</v>
      </c>
      <c r="C13" s="5">
        <f>SUMIFS(Backup_All_States!$E$2:$E$70,Backup_All_States!$A$2:$A$70,"Odisha",Backup_All_States!$B$2:$B$70,$A13,Backup_All_States!$L$2:$L$70,"Y",Backup_All_States!$J$2:$J$70,"No")</f>
        <v>1000</v>
      </c>
      <c r="D13" s="5">
        <f>B13+C13</f>
        <v>1000</v>
      </c>
    </row>
    <row r="14" spans="1:4" x14ac:dyDescent="0.25">
      <c r="A14" s="4" t="s">
        <v>229</v>
      </c>
      <c r="B14" s="5">
        <f>SUMIFS(Backup_All_States!$F$2:$F$70,Backup_All_States!$A$2:$A$70,"Odisha",Backup_All_States!$B$2:$B$70,$A14,Backup_All_States!$L$2:$L$70,"Y",Backup_All_States!$J$2:$J$70,"No")</f>
        <v>0</v>
      </c>
      <c r="C14" s="5">
        <f>SUMIFS(Backup_All_States!$E$2:$E$70,Backup_All_States!$A$2:$A$70,"Odisha",Backup_All_States!$B$2:$B$70,$A14,Backup_All_States!$L$2:$L$70,"Y",Backup_All_States!$J$2:$J$70,"No")</f>
        <v>120</v>
      </c>
      <c r="D14" s="5">
        <f>B14+C14</f>
        <v>120</v>
      </c>
    </row>
    <row r="15" spans="1:4" x14ac:dyDescent="0.25">
      <c r="A15" s="6" t="s">
        <v>5</v>
      </c>
      <c r="B15" s="7">
        <f>SUM(B13:B14)</f>
        <v>0</v>
      </c>
      <c r="C15" s="7">
        <f>SUM(C13:C14)</f>
        <v>1120</v>
      </c>
      <c r="D15" s="7">
        <f>SUM(D13:D14)</f>
        <v>1120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255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232</v>
      </c>
      <c r="B6" s="5">
        <f>SUMIFS(Backup_All_States!$F$2:$F$70,Backup_All_States!$A$2:$A$70,"Karnataka",Backup_All_States!$B$2:$B$70,$A6,Backup_All_States!$L$2:$L$70,"Y")</f>
        <v>500</v>
      </c>
      <c r="C6" s="5">
        <f>SUMIFS(Backup_All_States!$E$2:$E$70,Backup_All_States!$A$2:$A$70,"Karnataka",Backup_All_States!$B$2:$B$70,$A6,Backup_All_States!$L$2:$L$70,"Y")</f>
        <v>0</v>
      </c>
      <c r="D6" s="5">
        <f>B6+C6</f>
        <v>500</v>
      </c>
    </row>
    <row r="7" spans="1:4" x14ac:dyDescent="0.25">
      <c r="A7" s="6" t="s">
        <v>5</v>
      </c>
      <c r="B7" s="7">
        <f>SUM(B6:B6)</f>
        <v>500</v>
      </c>
      <c r="C7" s="7">
        <f>SUM(C6:C6)</f>
        <v>0</v>
      </c>
      <c r="D7" s="7">
        <f>SUM(D6:D6)</f>
        <v>500</v>
      </c>
    </row>
    <row r="10" spans="1:4" x14ac:dyDescent="0.25">
      <c r="A10" s="6" t="s">
        <v>249</v>
      </c>
    </row>
    <row r="11" spans="1:4" x14ac:dyDescent="0.25">
      <c r="A11" s="14" t="s">
        <v>248</v>
      </c>
      <c r="B11" s="14" t="s">
        <v>3</v>
      </c>
      <c r="C11" s="14" t="s">
        <v>4</v>
      </c>
      <c r="D11" s="14" t="s">
        <v>5</v>
      </c>
    </row>
    <row r="12" spans="1:4" x14ac:dyDescent="0.25">
      <c r="A12" s="4" t="s">
        <v>232</v>
      </c>
      <c r="B12" s="5">
        <f>SUMIFS(Backup_All_States!$F$2:$F$70,Backup_All_States!$A$2:$A$70,"Karnataka",Backup_All_States!$B$2:$B$70,$A12,Backup_All_States!$L$2:$L$70,"Y",Backup_All_States!$J$2:$J$70,"No")</f>
        <v>500</v>
      </c>
      <c r="C12" s="5">
        <f>SUMIFS(Backup_All_States!$E$2:$E$70,Backup_All_States!$A$2:$A$70,"Karnataka",Backup_All_States!$B$2:$B$70,$A12,Backup_All_States!$L$2:$L$70,"Y",Backup_All_States!$J$2:$J$70,"No")</f>
        <v>0</v>
      </c>
      <c r="D12" s="5">
        <f>B12+C12</f>
        <v>500</v>
      </c>
    </row>
    <row r="13" spans="1:4" x14ac:dyDescent="0.25">
      <c r="A13" s="6" t="s">
        <v>5</v>
      </c>
      <c r="B13" s="7">
        <f>SUM(B12:B12)</f>
        <v>500</v>
      </c>
      <c r="C13" s="7">
        <f>SUM(C12:C12)</f>
        <v>0</v>
      </c>
      <c r="D13" s="7">
        <f>SUM(D12:D12)</f>
        <v>500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256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165</v>
      </c>
      <c r="B6" s="5">
        <f>SUMIFS(Backup_All_States!$F$2:$F$70,Backup_All_States!$A$2:$A$70,"Gujarat",Backup_All_States!$B$2:$B$70,$A6,Backup_All_States!$L$2:$L$70,"Y")</f>
        <v>168</v>
      </c>
      <c r="C6" s="5">
        <f>SUMIFS(Backup_All_States!$E$2:$E$70,Backup_All_States!$A$2:$A$70,"Gujarat",Backup_All_States!$B$2:$B$70,$A6,Backup_All_States!$L$2:$L$70,"Y")</f>
        <v>0</v>
      </c>
      <c r="D6" s="5">
        <f>B6+C6</f>
        <v>168</v>
      </c>
    </row>
    <row r="7" spans="1:4" x14ac:dyDescent="0.25">
      <c r="A7" s="6" t="s">
        <v>5</v>
      </c>
      <c r="B7" s="7">
        <f>SUM(B6:B6)</f>
        <v>168</v>
      </c>
      <c r="C7" s="7">
        <f>SUM(C6:C6)</f>
        <v>0</v>
      </c>
      <c r="D7" s="7">
        <f>SUM(D6:D6)</f>
        <v>168</v>
      </c>
    </row>
    <row r="10" spans="1:4" x14ac:dyDescent="0.25">
      <c r="A10" s="6" t="s">
        <v>249</v>
      </c>
    </row>
    <row r="11" spans="1:4" x14ac:dyDescent="0.25">
      <c r="A11" s="14" t="s">
        <v>248</v>
      </c>
      <c r="B11" s="14" t="s">
        <v>3</v>
      </c>
      <c r="C11" s="14" t="s">
        <v>4</v>
      </c>
      <c r="D11" s="14" t="s">
        <v>5</v>
      </c>
    </row>
    <row r="12" spans="1:4" x14ac:dyDescent="0.25">
      <c r="A12" s="4" t="s">
        <v>165</v>
      </c>
      <c r="B12" s="5">
        <f>SUMIFS(Backup_All_States!$F$2:$F$70,Backup_All_States!$A$2:$A$70,"Gujarat",Backup_All_States!$B$2:$B$70,$A12,Backup_All_States!$L$2:$L$70,"Y",Backup_All_States!$J$2:$J$70,"No")</f>
        <v>0</v>
      </c>
      <c r="C12" s="5">
        <f>SUMIFS(Backup_All_States!$E$2:$E$70,Backup_All_States!$A$2:$A$70,"Gujarat",Backup_All_States!$B$2:$B$70,$A12,Backup_All_States!$L$2:$L$70,"Y",Backup_All_States!$J$2:$J$70,"No")</f>
        <v>0</v>
      </c>
      <c r="D12" s="5">
        <f>B12+C12</f>
        <v>0</v>
      </c>
    </row>
    <row r="13" spans="1:4" x14ac:dyDescent="0.25">
      <c r="A13" s="6" t="s">
        <v>5</v>
      </c>
      <c r="B13" s="7">
        <f>SUM(B12:B12)</f>
        <v>0</v>
      </c>
      <c r="C13" s="7">
        <f>SUM(C12:C12)</f>
        <v>0</v>
      </c>
      <c r="D13" s="7">
        <f>SUM(D12:D12)</f>
        <v>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257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237</v>
      </c>
      <c r="B6" s="5">
        <f>SUMIFS(Backup_All_States!$F$2:$F$70,Backup_All_States!$A$2:$A$70,"Haryana",Backup_All_States!$B$2:$B$70,$A6,Backup_All_States!$L$2:$L$70,"Y")</f>
        <v>279</v>
      </c>
      <c r="C6" s="5">
        <f>SUMIFS(Backup_All_States!$E$2:$E$70,Backup_All_States!$A$2:$A$70,"Haryana",Backup_All_States!$B$2:$B$70,$A6,Backup_All_States!$L$2:$L$70,"Y")</f>
        <v>28</v>
      </c>
      <c r="D6" s="5">
        <f>B6+C6</f>
        <v>307</v>
      </c>
    </row>
    <row r="7" spans="1:4" x14ac:dyDescent="0.25">
      <c r="A7" s="6" t="s">
        <v>5</v>
      </c>
      <c r="B7" s="7">
        <f>SUM(B6:B6)</f>
        <v>279</v>
      </c>
      <c r="C7" s="7">
        <f>SUM(C6:C6)</f>
        <v>28</v>
      </c>
      <c r="D7" s="7">
        <f>SUM(D6:D6)</f>
        <v>307</v>
      </c>
    </row>
    <row r="10" spans="1:4" x14ac:dyDescent="0.25">
      <c r="A10" s="6" t="s">
        <v>249</v>
      </c>
    </row>
    <row r="11" spans="1:4" x14ac:dyDescent="0.25">
      <c r="A11" s="14" t="s">
        <v>248</v>
      </c>
      <c r="B11" s="14" t="s">
        <v>3</v>
      </c>
      <c r="C11" s="14" t="s">
        <v>4</v>
      </c>
      <c r="D11" s="14" t="s">
        <v>5</v>
      </c>
    </row>
    <row r="12" spans="1:4" x14ac:dyDescent="0.25">
      <c r="A12" s="4" t="s">
        <v>237</v>
      </c>
      <c r="B12" s="5">
        <f>SUMIFS(Backup_All_States!$F$2:$F$70,Backup_All_States!$A$2:$A$70,"Haryana",Backup_All_States!$B$2:$B$70,$A12,Backup_All_States!$L$2:$L$70,"Y",Backup_All_States!$J$2:$J$70,"No")</f>
        <v>279</v>
      </c>
      <c r="C12" s="5">
        <f>SUMIFS(Backup_All_States!$E$2:$E$70,Backup_All_States!$A$2:$A$70,"Haryana",Backup_All_States!$B$2:$B$70,$A12,Backup_All_States!$L$2:$L$70,"Y",Backup_All_States!$J$2:$J$70,"No")</f>
        <v>28</v>
      </c>
      <c r="D12" s="5">
        <f>B12+C12</f>
        <v>307</v>
      </c>
    </row>
    <row r="13" spans="1:4" x14ac:dyDescent="0.25">
      <c r="A13" s="6" t="s">
        <v>5</v>
      </c>
      <c r="B13" s="7">
        <f>SUM(B12:B12)</f>
        <v>279</v>
      </c>
      <c r="C13" s="7">
        <f>SUM(C12:C12)</f>
        <v>28</v>
      </c>
      <c r="D13" s="7">
        <f>SUM(D12:D12)</f>
        <v>307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/>
  </sheetViews>
  <sheetFormatPr defaultRowHeight="15" x14ac:dyDescent="0.25"/>
  <cols>
    <col min="1" max="1" width="40" customWidth="1"/>
    <col min="2" max="4" width="13" customWidth="1"/>
  </cols>
  <sheetData>
    <row r="1" spans="1:4" ht="16.5" x14ac:dyDescent="0.25">
      <c r="A1" s="1" t="s">
        <v>258</v>
      </c>
    </row>
    <row r="2" spans="1:4" x14ac:dyDescent="0.25">
      <c r="A2" s="2" t="s">
        <v>246</v>
      </c>
    </row>
    <row r="4" spans="1:4" x14ac:dyDescent="0.25">
      <c r="A4" s="6" t="s">
        <v>247</v>
      </c>
    </row>
    <row r="5" spans="1:4" x14ac:dyDescent="0.25">
      <c r="A5" s="14" t="s">
        <v>248</v>
      </c>
      <c r="B5" s="14" t="s">
        <v>3</v>
      </c>
      <c r="C5" s="14" t="s">
        <v>4</v>
      </c>
      <c r="D5" s="14" t="s">
        <v>5</v>
      </c>
    </row>
    <row r="6" spans="1:4" x14ac:dyDescent="0.25">
      <c r="A6" s="4" t="s">
        <v>219</v>
      </c>
      <c r="B6" s="5">
        <f>SUMIFS(Backup_All_States!$F$2:$F$70,Backup_All_States!$A$2:$A$70,"West Bengal",Backup_All_States!$B$2:$B$70,$A6,Backup_All_States!$L$2:$L$70,"Y")</f>
        <v>250</v>
      </c>
      <c r="C6" s="5">
        <f>SUMIFS(Backup_All_States!$E$2:$E$70,Backup_All_States!$A$2:$A$70,"West Bengal",Backup_All_States!$B$2:$B$70,$A6,Backup_All_States!$L$2:$L$70,"Y")</f>
        <v>0</v>
      </c>
      <c r="D6" s="5">
        <f>B6+C6</f>
        <v>250</v>
      </c>
    </row>
    <row r="7" spans="1:4" x14ac:dyDescent="0.25">
      <c r="A7" s="4" t="s">
        <v>123</v>
      </c>
      <c r="B7" s="5">
        <f>SUMIFS(Backup_All_States!$F$2:$F$70,Backup_All_States!$A$2:$A$70,"West Bengal",Backup_All_States!$B$2:$B$70,$A7,Backup_All_States!$L$2:$L$70,"Y")</f>
        <v>25</v>
      </c>
      <c r="C7" s="5">
        <f>SUMIFS(Backup_All_States!$E$2:$E$70,Backup_All_States!$A$2:$A$70,"West Bengal",Backup_All_States!$B$2:$B$70,$A7,Backup_All_States!$L$2:$L$70,"Y")</f>
        <v>0</v>
      </c>
      <c r="D7" s="5">
        <f>B7+C7</f>
        <v>25</v>
      </c>
    </row>
    <row r="8" spans="1:4" x14ac:dyDescent="0.25">
      <c r="A8" s="6" t="s">
        <v>5</v>
      </c>
      <c r="B8" s="7">
        <f>SUM(B6:B7)</f>
        <v>275</v>
      </c>
      <c r="C8" s="7">
        <f>SUM(C6:C7)</f>
        <v>0</v>
      </c>
      <c r="D8" s="7">
        <f>SUM(D6:D7)</f>
        <v>275</v>
      </c>
    </row>
    <row r="11" spans="1:4" x14ac:dyDescent="0.25">
      <c r="A11" s="6" t="s">
        <v>249</v>
      </c>
    </row>
    <row r="12" spans="1:4" x14ac:dyDescent="0.25">
      <c r="A12" s="14" t="s">
        <v>248</v>
      </c>
      <c r="B12" s="14" t="s">
        <v>3</v>
      </c>
      <c r="C12" s="14" t="s">
        <v>4</v>
      </c>
      <c r="D12" s="14" t="s">
        <v>5</v>
      </c>
    </row>
    <row r="13" spans="1:4" x14ac:dyDescent="0.25">
      <c r="A13" s="4" t="s">
        <v>219</v>
      </c>
      <c r="B13" s="5">
        <f>SUMIFS(Backup_All_States!$F$2:$F$70,Backup_All_States!$A$2:$A$70,"West Bengal",Backup_All_States!$B$2:$B$70,$A13,Backup_All_States!$L$2:$L$70,"Y",Backup_All_States!$J$2:$J$70,"No")</f>
        <v>250</v>
      </c>
      <c r="C13" s="5">
        <f>SUMIFS(Backup_All_States!$E$2:$E$70,Backup_All_States!$A$2:$A$70,"West Bengal",Backup_All_States!$B$2:$B$70,$A13,Backup_All_States!$L$2:$L$70,"Y",Backup_All_States!$J$2:$J$70,"No")</f>
        <v>0</v>
      </c>
      <c r="D13" s="5">
        <f>B13+C13</f>
        <v>250</v>
      </c>
    </row>
    <row r="14" spans="1:4" x14ac:dyDescent="0.25">
      <c r="A14" s="4" t="s">
        <v>123</v>
      </c>
      <c r="B14" s="5">
        <f>SUMIFS(Backup_All_States!$F$2:$F$70,Backup_All_States!$A$2:$A$70,"West Bengal",Backup_All_States!$B$2:$B$70,$A14,Backup_All_States!$L$2:$L$70,"Y",Backup_All_States!$J$2:$J$70,"No")</f>
        <v>25</v>
      </c>
      <c r="C14" s="5">
        <f>SUMIFS(Backup_All_States!$E$2:$E$70,Backup_All_States!$A$2:$A$70,"West Bengal",Backup_All_States!$B$2:$B$70,$A14,Backup_All_States!$L$2:$L$70,"Y",Backup_All_States!$J$2:$J$70,"No")</f>
        <v>0</v>
      </c>
      <c r="D14" s="5">
        <f>B14+C14</f>
        <v>25</v>
      </c>
    </row>
    <row r="15" spans="1:4" x14ac:dyDescent="0.25">
      <c r="A15" s="6" t="s">
        <v>5</v>
      </c>
      <c r="B15" s="7">
        <f>SUM(B13:B14)</f>
        <v>275</v>
      </c>
      <c r="C15" s="7">
        <f>SUM(C13:C14)</f>
        <v>0</v>
      </c>
      <c r="D15" s="7">
        <f>SUM(D13:D14)</f>
        <v>275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7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26" customWidth="1"/>
    <col min="3" max="3" width="32" customWidth="1"/>
    <col min="4" max="4" width="30" customWidth="1"/>
    <col min="5" max="6" width="10" customWidth="1"/>
    <col min="7" max="7" width="14" customWidth="1"/>
    <col min="8" max="8" width="44" customWidth="1"/>
    <col min="9" max="9" width="8" customWidth="1"/>
    <col min="10" max="10" width="10" customWidth="1"/>
    <col min="11" max="11" width="30" customWidth="1"/>
    <col min="12" max="12" width="9" customWidth="1"/>
    <col min="13" max="13" width="34" customWidth="1"/>
    <col min="14" max="14" width="36" customWidth="1"/>
    <col min="15" max="15" width="26" customWidth="1"/>
  </cols>
  <sheetData>
    <row r="1" spans="1:15" ht="39.950000000000003" customHeight="1" x14ac:dyDescent="0.25">
      <c r="A1" s="15" t="s">
        <v>2</v>
      </c>
      <c r="B1" s="15" t="s">
        <v>259</v>
      </c>
      <c r="C1" s="15" t="s">
        <v>260</v>
      </c>
      <c r="D1" s="15" t="s">
        <v>56</v>
      </c>
      <c r="E1" s="15" t="s">
        <v>21</v>
      </c>
      <c r="F1" s="15" t="s">
        <v>22</v>
      </c>
      <c r="G1" s="15" t="s">
        <v>261</v>
      </c>
      <c r="H1" s="15" t="s">
        <v>262</v>
      </c>
      <c r="I1" s="15" t="s">
        <v>263</v>
      </c>
      <c r="J1" s="15" t="s">
        <v>264</v>
      </c>
      <c r="K1" s="15" t="s">
        <v>265</v>
      </c>
      <c r="L1" s="15" t="s">
        <v>266</v>
      </c>
      <c r="M1" s="15" t="s">
        <v>267</v>
      </c>
      <c r="N1" s="15" t="s">
        <v>268</v>
      </c>
      <c r="O1" s="15" t="s">
        <v>269</v>
      </c>
    </row>
    <row r="2" spans="1:15" ht="36" x14ac:dyDescent="0.25">
      <c r="A2" s="16" t="s">
        <v>8</v>
      </c>
      <c r="B2" s="16" t="s">
        <v>62</v>
      </c>
      <c r="C2" s="16" t="s">
        <v>270</v>
      </c>
      <c r="D2" s="16" t="s">
        <v>63</v>
      </c>
      <c r="E2" s="17">
        <v>1450</v>
      </c>
      <c r="F2" s="17">
        <v>1500</v>
      </c>
      <c r="G2" s="16" t="s">
        <v>271</v>
      </c>
      <c r="H2" s="16" t="s">
        <v>272</v>
      </c>
      <c r="I2" s="16" t="s">
        <v>64</v>
      </c>
      <c r="J2" s="16" t="s">
        <v>31</v>
      </c>
      <c r="K2" s="16" t="s">
        <v>273</v>
      </c>
      <c r="L2" s="16" t="s">
        <v>274</v>
      </c>
      <c r="M2" s="18" t="s">
        <v>275</v>
      </c>
      <c r="N2" s="16" t="s">
        <v>276</v>
      </c>
      <c r="O2" s="4" t="s">
        <v>277</v>
      </c>
    </row>
    <row r="3" spans="1:15" ht="48" x14ac:dyDescent="0.25">
      <c r="A3" s="16" t="s">
        <v>8</v>
      </c>
      <c r="B3" s="16" t="s">
        <v>67</v>
      </c>
      <c r="C3" s="16" t="s">
        <v>278</v>
      </c>
      <c r="D3" s="16" t="s">
        <v>68</v>
      </c>
      <c r="E3" s="17"/>
      <c r="F3" s="17">
        <v>3000</v>
      </c>
      <c r="G3" s="16" t="s">
        <v>279</v>
      </c>
      <c r="H3" s="16" t="s">
        <v>280</v>
      </c>
      <c r="I3" s="16" t="s">
        <v>69</v>
      </c>
      <c r="J3" s="16" t="s">
        <v>31</v>
      </c>
      <c r="K3" s="16"/>
      <c r="L3" s="16" t="s">
        <v>274</v>
      </c>
      <c r="M3" s="18" t="s">
        <v>281</v>
      </c>
      <c r="N3" s="16"/>
      <c r="O3" s="4" t="s">
        <v>282</v>
      </c>
    </row>
    <row r="4" spans="1:15" ht="48" x14ac:dyDescent="0.25">
      <c r="A4" s="16" t="s">
        <v>8</v>
      </c>
      <c r="B4" s="16" t="s">
        <v>67</v>
      </c>
      <c r="C4" s="16" t="s">
        <v>283</v>
      </c>
      <c r="D4" s="16" t="s">
        <v>72</v>
      </c>
      <c r="E4" s="17">
        <v>62</v>
      </c>
      <c r="F4" s="17"/>
      <c r="G4" s="16" t="s">
        <v>279</v>
      </c>
      <c r="H4" s="16" t="s">
        <v>284</v>
      </c>
      <c r="I4" s="16" t="s">
        <v>73</v>
      </c>
      <c r="J4" s="16" t="s">
        <v>31</v>
      </c>
      <c r="K4" s="16"/>
      <c r="L4" s="16" t="s">
        <v>274</v>
      </c>
      <c r="M4" s="18" t="s">
        <v>285</v>
      </c>
      <c r="N4" s="16" t="s">
        <v>286</v>
      </c>
      <c r="O4" s="4" t="s">
        <v>287</v>
      </c>
    </row>
    <row r="5" spans="1:15" ht="36" x14ac:dyDescent="0.25">
      <c r="A5" s="16" t="s">
        <v>8</v>
      </c>
      <c r="B5" s="16" t="s">
        <v>67</v>
      </c>
      <c r="C5" s="16" t="s">
        <v>278</v>
      </c>
      <c r="D5" s="16" t="s">
        <v>76</v>
      </c>
      <c r="E5" s="17"/>
      <c r="F5" s="17">
        <v>120</v>
      </c>
      <c r="G5" s="16" t="s">
        <v>279</v>
      </c>
      <c r="H5" s="16" t="s">
        <v>288</v>
      </c>
      <c r="I5" s="16" t="s">
        <v>77</v>
      </c>
      <c r="J5" s="16" t="s">
        <v>31</v>
      </c>
      <c r="K5" s="16"/>
      <c r="L5" s="16" t="s">
        <v>274</v>
      </c>
      <c r="M5" s="18" t="s">
        <v>289</v>
      </c>
      <c r="N5" s="16" t="s">
        <v>290</v>
      </c>
      <c r="O5" s="4" t="s">
        <v>291</v>
      </c>
    </row>
    <row r="6" spans="1:15" ht="48" x14ac:dyDescent="0.25">
      <c r="A6" s="16" t="s">
        <v>8</v>
      </c>
      <c r="B6" s="16" t="s">
        <v>80</v>
      </c>
      <c r="C6" s="16" t="s">
        <v>292</v>
      </c>
      <c r="D6" s="16" t="s">
        <v>81</v>
      </c>
      <c r="E6" s="17"/>
      <c r="F6" s="17">
        <v>240</v>
      </c>
      <c r="G6" s="16" t="s">
        <v>279</v>
      </c>
      <c r="H6" s="16" t="s">
        <v>293</v>
      </c>
      <c r="I6" s="16" t="s">
        <v>77</v>
      </c>
      <c r="J6" s="19" t="s">
        <v>294</v>
      </c>
      <c r="K6" s="19" t="s">
        <v>295</v>
      </c>
      <c r="L6" s="16" t="s">
        <v>274</v>
      </c>
      <c r="M6" s="18" t="s">
        <v>296</v>
      </c>
      <c r="N6" s="16" t="s">
        <v>297</v>
      </c>
      <c r="O6" s="4" t="s">
        <v>282</v>
      </c>
    </row>
    <row r="7" spans="1:15" ht="36" x14ac:dyDescent="0.25">
      <c r="A7" s="20" t="s">
        <v>8</v>
      </c>
      <c r="B7" s="20" t="s">
        <v>80</v>
      </c>
      <c r="C7" s="20" t="s">
        <v>298</v>
      </c>
      <c r="D7" s="20" t="s">
        <v>84</v>
      </c>
      <c r="E7" s="21"/>
      <c r="F7" s="21"/>
      <c r="G7" s="20" t="s">
        <v>299</v>
      </c>
      <c r="H7" s="20" t="s">
        <v>300</v>
      </c>
      <c r="I7" s="20" t="s">
        <v>64</v>
      </c>
      <c r="J7" s="20" t="s">
        <v>301</v>
      </c>
      <c r="K7" s="20" t="s">
        <v>302</v>
      </c>
      <c r="L7" s="20" t="s">
        <v>303</v>
      </c>
      <c r="M7" s="22" t="s">
        <v>304</v>
      </c>
      <c r="N7" s="20" t="s">
        <v>305</v>
      </c>
      <c r="O7" s="4" t="s">
        <v>287</v>
      </c>
    </row>
    <row r="8" spans="1:15" ht="48" x14ac:dyDescent="0.25">
      <c r="A8" s="16" t="s">
        <v>8</v>
      </c>
      <c r="B8" s="16" t="s">
        <v>80</v>
      </c>
      <c r="C8" s="16" t="s">
        <v>306</v>
      </c>
      <c r="D8" s="16" t="s">
        <v>87</v>
      </c>
      <c r="E8" s="17">
        <v>75.400000000000006</v>
      </c>
      <c r="F8" s="17"/>
      <c r="G8" s="16" t="s">
        <v>307</v>
      </c>
      <c r="H8" s="16" t="s">
        <v>308</v>
      </c>
      <c r="I8" s="16" t="s">
        <v>64</v>
      </c>
      <c r="J8" s="16" t="s">
        <v>31</v>
      </c>
      <c r="K8" s="16"/>
      <c r="L8" s="16" t="s">
        <v>274</v>
      </c>
      <c r="M8" s="18" t="s">
        <v>309</v>
      </c>
      <c r="N8" s="16" t="s">
        <v>310</v>
      </c>
      <c r="O8" s="4" t="s">
        <v>287</v>
      </c>
    </row>
    <row r="9" spans="1:15" ht="84" x14ac:dyDescent="0.25">
      <c r="A9" s="16" t="s">
        <v>8</v>
      </c>
      <c r="B9" s="16" t="s">
        <v>89</v>
      </c>
      <c r="C9" s="16" t="s">
        <v>311</v>
      </c>
      <c r="D9" s="16" t="s">
        <v>90</v>
      </c>
      <c r="E9" s="17">
        <v>272</v>
      </c>
      <c r="F9" s="17"/>
      <c r="G9" s="16" t="s">
        <v>279</v>
      </c>
      <c r="H9" s="16" t="s">
        <v>312</v>
      </c>
      <c r="I9" s="16" t="s">
        <v>73</v>
      </c>
      <c r="J9" s="16" t="s">
        <v>31</v>
      </c>
      <c r="K9" s="16"/>
      <c r="L9" s="16" t="s">
        <v>274</v>
      </c>
      <c r="M9" s="18" t="s">
        <v>313</v>
      </c>
      <c r="N9" s="16" t="s">
        <v>314</v>
      </c>
      <c r="O9" s="4" t="s">
        <v>287</v>
      </c>
    </row>
    <row r="10" spans="1:15" ht="48" x14ac:dyDescent="0.25">
      <c r="A10" s="16" t="s">
        <v>8</v>
      </c>
      <c r="B10" s="16" t="s">
        <v>89</v>
      </c>
      <c r="C10" s="16" t="s">
        <v>311</v>
      </c>
      <c r="D10" s="16" t="s">
        <v>92</v>
      </c>
      <c r="E10" s="17">
        <v>77</v>
      </c>
      <c r="F10" s="17"/>
      <c r="G10" s="16" t="s">
        <v>307</v>
      </c>
      <c r="H10" s="16" t="s">
        <v>315</v>
      </c>
      <c r="I10" s="16" t="s">
        <v>64</v>
      </c>
      <c r="J10" s="16" t="s">
        <v>31</v>
      </c>
      <c r="K10" s="16"/>
      <c r="L10" s="16" t="s">
        <v>274</v>
      </c>
      <c r="M10" s="18" t="s">
        <v>316</v>
      </c>
      <c r="N10" s="16"/>
      <c r="O10" s="4" t="s">
        <v>287</v>
      </c>
    </row>
    <row r="11" spans="1:15" ht="108" x14ac:dyDescent="0.25">
      <c r="A11" s="16" t="s">
        <v>8</v>
      </c>
      <c r="B11" s="16" t="s">
        <v>94</v>
      </c>
      <c r="C11" s="16" t="s">
        <v>317</v>
      </c>
      <c r="D11" s="16" t="s">
        <v>95</v>
      </c>
      <c r="E11" s="17"/>
      <c r="F11" s="17">
        <v>103.4</v>
      </c>
      <c r="G11" s="16" t="s">
        <v>307</v>
      </c>
      <c r="H11" s="16" t="s">
        <v>318</v>
      </c>
      <c r="I11" s="16" t="s">
        <v>64</v>
      </c>
      <c r="J11" s="16" t="s">
        <v>31</v>
      </c>
      <c r="K11" s="16"/>
      <c r="L11" s="16" t="s">
        <v>274</v>
      </c>
      <c r="M11" s="18" t="s">
        <v>319</v>
      </c>
      <c r="N11" s="16"/>
      <c r="O11" s="4" t="s">
        <v>287</v>
      </c>
    </row>
    <row r="12" spans="1:15" ht="48" x14ac:dyDescent="0.25">
      <c r="A12" s="20" t="s">
        <v>8</v>
      </c>
      <c r="B12" s="20" t="s">
        <v>94</v>
      </c>
      <c r="C12" s="20" t="s">
        <v>320</v>
      </c>
      <c r="D12" s="20" t="s">
        <v>97</v>
      </c>
      <c r="E12" s="21"/>
      <c r="F12" s="21"/>
      <c r="G12" s="20" t="s">
        <v>299</v>
      </c>
      <c r="H12" s="20" t="s">
        <v>321</v>
      </c>
      <c r="I12" s="20" t="s">
        <v>64</v>
      </c>
      <c r="J12" s="20" t="s">
        <v>31</v>
      </c>
      <c r="K12" s="20"/>
      <c r="L12" s="20" t="s">
        <v>303</v>
      </c>
      <c r="M12" s="22" t="s">
        <v>322</v>
      </c>
      <c r="N12" s="20" t="s">
        <v>323</v>
      </c>
      <c r="O12" s="4" t="s">
        <v>287</v>
      </c>
    </row>
    <row r="13" spans="1:15" ht="48" x14ac:dyDescent="0.25">
      <c r="A13" s="16" t="s">
        <v>8</v>
      </c>
      <c r="B13" s="16" t="s">
        <v>99</v>
      </c>
      <c r="C13" s="16" t="s">
        <v>324</v>
      </c>
      <c r="D13" s="16" t="s">
        <v>100</v>
      </c>
      <c r="E13" s="17">
        <v>135</v>
      </c>
      <c r="F13" s="17"/>
      <c r="G13" s="16" t="s">
        <v>307</v>
      </c>
      <c r="H13" s="16" t="s">
        <v>325</v>
      </c>
      <c r="I13" s="16" t="s">
        <v>64</v>
      </c>
      <c r="J13" s="16" t="s">
        <v>31</v>
      </c>
      <c r="K13" s="16"/>
      <c r="L13" s="16" t="s">
        <v>274</v>
      </c>
      <c r="M13" s="18" t="s">
        <v>316</v>
      </c>
      <c r="N13" s="16" t="s">
        <v>326</v>
      </c>
      <c r="O13" s="4" t="s">
        <v>287</v>
      </c>
    </row>
    <row r="14" spans="1:15" ht="48" x14ac:dyDescent="0.25">
      <c r="A14" s="16" t="s">
        <v>8</v>
      </c>
      <c r="B14" s="16" t="s">
        <v>102</v>
      </c>
      <c r="C14" s="16" t="s">
        <v>327</v>
      </c>
      <c r="D14" s="16" t="s">
        <v>103</v>
      </c>
      <c r="E14" s="17">
        <v>140</v>
      </c>
      <c r="F14" s="17"/>
      <c r="G14" s="16" t="s">
        <v>307</v>
      </c>
      <c r="H14" s="16" t="s">
        <v>328</v>
      </c>
      <c r="I14" s="16" t="s">
        <v>64</v>
      </c>
      <c r="J14" s="16" t="s">
        <v>31</v>
      </c>
      <c r="K14" s="16"/>
      <c r="L14" s="16" t="s">
        <v>274</v>
      </c>
      <c r="M14" s="18" t="s">
        <v>316</v>
      </c>
      <c r="N14" s="16" t="s">
        <v>329</v>
      </c>
      <c r="O14" s="4" t="s">
        <v>287</v>
      </c>
    </row>
    <row r="15" spans="1:15" ht="36" x14ac:dyDescent="0.25">
      <c r="A15" s="16" t="s">
        <v>8</v>
      </c>
      <c r="B15" s="16" t="s">
        <v>105</v>
      </c>
      <c r="C15" s="16" t="s">
        <v>330</v>
      </c>
      <c r="D15" s="16" t="s">
        <v>106</v>
      </c>
      <c r="E15" s="17"/>
      <c r="F15" s="17">
        <v>113.9</v>
      </c>
      <c r="G15" s="16" t="s">
        <v>307</v>
      </c>
      <c r="H15" s="16" t="s">
        <v>331</v>
      </c>
      <c r="I15" s="16" t="s">
        <v>64</v>
      </c>
      <c r="J15" s="16" t="s">
        <v>31</v>
      </c>
      <c r="K15" s="16"/>
      <c r="L15" s="16" t="s">
        <v>274</v>
      </c>
      <c r="M15" s="18" t="s">
        <v>332</v>
      </c>
      <c r="N15" s="16"/>
      <c r="O15" s="4" t="s">
        <v>287</v>
      </c>
    </row>
    <row r="16" spans="1:15" ht="72" x14ac:dyDescent="0.25">
      <c r="A16" s="16" t="s">
        <v>8</v>
      </c>
      <c r="B16" s="16" t="s">
        <v>108</v>
      </c>
      <c r="C16" s="16" t="s">
        <v>333</v>
      </c>
      <c r="D16" s="16" t="s">
        <v>109</v>
      </c>
      <c r="E16" s="17">
        <v>350</v>
      </c>
      <c r="F16" s="17"/>
      <c r="G16" s="16" t="s">
        <v>279</v>
      </c>
      <c r="H16" s="16" t="s">
        <v>334</v>
      </c>
      <c r="I16" s="16" t="s">
        <v>77</v>
      </c>
      <c r="J16" s="16" t="s">
        <v>31</v>
      </c>
      <c r="K16" s="16"/>
      <c r="L16" s="16" t="s">
        <v>274</v>
      </c>
      <c r="M16" s="18" t="s">
        <v>335</v>
      </c>
      <c r="N16" s="16" t="s">
        <v>336</v>
      </c>
      <c r="O16" s="4" t="s">
        <v>287</v>
      </c>
    </row>
    <row r="17" spans="1:15" ht="24" x14ac:dyDescent="0.25">
      <c r="A17" s="16" t="s">
        <v>8</v>
      </c>
      <c r="B17" s="16" t="s">
        <v>111</v>
      </c>
      <c r="C17" s="16" t="s">
        <v>337</v>
      </c>
      <c r="D17" s="16" t="s">
        <v>112</v>
      </c>
      <c r="E17" s="17">
        <v>377</v>
      </c>
      <c r="F17" s="17"/>
      <c r="G17" s="16" t="s">
        <v>279</v>
      </c>
      <c r="H17" s="16" t="s">
        <v>338</v>
      </c>
      <c r="I17" s="16" t="s">
        <v>64</v>
      </c>
      <c r="J17" s="16" t="s">
        <v>31</v>
      </c>
      <c r="K17" s="16"/>
      <c r="L17" s="16" t="s">
        <v>274</v>
      </c>
      <c r="M17" s="18" t="s">
        <v>339</v>
      </c>
      <c r="N17" s="16" t="s">
        <v>340</v>
      </c>
      <c r="O17" s="4" t="s">
        <v>287</v>
      </c>
    </row>
    <row r="18" spans="1:15" ht="60" x14ac:dyDescent="0.25">
      <c r="A18" s="16" t="s">
        <v>8</v>
      </c>
      <c r="B18" s="16" t="s">
        <v>114</v>
      </c>
      <c r="C18" s="16" t="s">
        <v>341</v>
      </c>
      <c r="D18" s="16" t="s">
        <v>115</v>
      </c>
      <c r="E18" s="17">
        <v>52</v>
      </c>
      <c r="F18" s="17"/>
      <c r="G18" s="16" t="s">
        <v>279</v>
      </c>
      <c r="H18" s="16" t="s">
        <v>342</v>
      </c>
      <c r="I18" s="16" t="s">
        <v>77</v>
      </c>
      <c r="J18" s="16" t="s">
        <v>31</v>
      </c>
      <c r="K18" s="16"/>
      <c r="L18" s="16" t="s">
        <v>274</v>
      </c>
      <c r="M18" s="18" t="s">
        <v>343</v>
      </c>
      <c r="N18" s="16" t="s">
        <v>344</v>
      </c>
      <c r="O18" s="4" t="s">
        <v>287</v>
      </c>
    </row>
    <row r="19" spans="1:15" x14ac:dyDescent="0.25">
      <c r="A19" s="16" t="s">
        <v>8</v>
      </c>
      <c r="B19" s="16" t="s">
        <v>117</v>
      </c>
      <c r="C19" s="16" t="s">
        <v>345</v>
      </c>
      <c r="D19" s="16" t="s">
        <v>118</v>
      </c>
      <c r="E19" s="17">
        <v>214</v>
      </c>
      <c r="F19" s="17"/>
      <c r="G19" s="16" t="s">
        <v>279</v>
      </c>
      <c r="H19" s="16" t="s">
        <v>346</v>
      </c>
      <c r="I19" s="16" t="s">
        <v>64</v>
      </c>
      <c r="J19" s="16" t="s">
        <v>31</v>
      </c>
      <c r="K19" s="16"/>
      <c r="L19" s="16" t="s">
        <v>274</v>
      </c>
      <c r="M19" s="18" t="s">
        <v>347</v>
      </c>
      <c r="N19" s="16" t="s">
        <v>348</v>
      </c>
      <c r="O19" s="4" t="s">
        <v>287</v>
      </c>
    </row>
    <row r="20" spans="1:15" ht="24" x14ac:dyDescent="0.25">
      <c r="A20" s="16" t="s">
        <v>8</v>
      </c>
      <c r="B20" s="16" t="s">
        <v>120</v>
      </c>
      <c r="C20" s="16" t="s">
        <v>349</v>
      </c>
      <c r="D20" s="16" t="s">
        <v>121</v>
      </c>
      <c r="E20" s="17">
        <v>133</v>
      </c>
      <c r="F20" s="17"/>
      <c r="G20" s="16" t="s">
        <v>279</v>
      </c>
      <c r="H20" s="16" t="s">
        <v>350</v>
      </c>
      <c r="I20" s="16" t="s">
        <v>64</v>
      </c>
      <c r="J20" s="16" t="s">
        <v>31</v>
      </c>
      <c r="K20" s="16"/>
      <c r="L20" s="16" t="s">
        <v>274</v>
      </c>
      <c r="M20" s="18" t="s">
        <v>351</v>
      </c>
      <c r="N20" s="16" t="s">
        <v>352</v>
      </c>
      <c r="O20" s="4" t="s">
        <v>287</v>
      </c>
    </row>
    <row r="21" spans="1:15" ht="36" x14ac:dyDescent="0.25">
      <c r="A21" s="16" t="s">
        <v>8</v>
      </c>
      <c r="B21" s="16" t="s">
        <v>123</v>
      </c>
      <c r="C21" s="16" t="s">
        <v>353</v>
      </c>
      <c r="D21" s="16" t="s">
        <v>124</v>
      </c>
      <c r="E21" s="17">
        <v>366</v>
      </c>
      <c r="F21" s="17"/>
      <c r="G21" s="16" t="s">
        <v>279</v>
      </c>
      <c r="H21" s="16" t="s">
        <v>354</v>
      </c>
      <c r="I21" s="16" t="s">
        <v>77</v>
      </c>
      <c r="J21" s="16" t="s">
        <v>31</v>
      </c>
      <c r="K21" s="16"/>
      <c r="L21" s="16" t="s">
        <v>274</v>
      </c>
      <c r="M21" s="18" t="s">
        <v>355</v>
      </c>
      <c r="N21" s="16" t="s">
        <v>356</v>
      </c>
      <c r="O21" s="4" t="s">
        <v>287</v>
      </c>
    </row>
    <row r="22" spans="1:15" ht="48" x14ac:dyDescent="0.25">
      <c r="A22" s="16" t="s">
        <v>8</v>
      </c>
      <c r="B22" s="16" t="s">
        <v>126</v>
      </c>
      <c r="C22" s="16" t="s">
        <v>357</v>
      </c>
      <c r="D22" s="16" t="s">
        <v>127</v>
      </c>
      <c r="E22" s="17">
        <v>150</v>
      </c>
      <c r="F22" s="17">
        <v>120</v>
      </c>
      <c r="G22" s="16" t="s">
        <v>279</v>
      </c>
      <c r="H22" s="16" t="s">
        <v>358</v>
      </c>
      <c r="I22" s="16" t="s">
        <v>77</v>
      </c>
      <c r="J22" s="16" t="s">
        <v>31</v>
      </c>
      <c r="K22" s="16"/>
      <c r="L22" s="16" t="s">
        <v>274</v>
      </c>
      <c r="M22" s="18" t="s">
        <v>359</v>
      </c>
      <c r="N22" s="16" t="s">
        <v>360</v>
      </c>
      <c r="O22" s="4" t="s">
        <v>287</v>
      </c>
    </row>
    <row r="23" spans="1:15" ht="60" x14ac:dyDescent="0.25">
      <c r="A23" s="16" t="s">
        <v>8</v>
      </c>
      <c r="B23" s="16" t="s">
        <v>129</v>
      </c>
      <c r="C23" s="16" t="s">
        <v>361</v>
      </c>
      <c r="D23" s="16" t="s">
        <v>130</v>
      </c>
      <c r="E23" s="17">
        <v>148</v>
      </c>
      <c r="F23" s="17"/>
      <c r="G23" s="16" t="s">
        <v>279</v>
      </c>
      <c r="H23" s="16" t="s">
        <v>362</v>
      </c>
      <c r="I23" s="16" t="s">
        <v>77</v>
      </c>
      <c r="J23" s="16" t="s">
        <v>31</v>
      </c>
      <c r="K23" s="16"/>
      <c r="L23" s="16" t="s">
        <v>274</v>
      </c>
      <c r="M23" s="18" t="s">
        <v>363</v>
      </c>
      <c r="N23" s="16" t="s">
        <v>364</v>
      </c>
      <c r="O23" s="4" t="s">
        <v>287</v>
      </c>
    </row>
    <row r="24" spans="1:15" ht="48" x14ac:dyDescent="0.25">
      <c r="A24" s="16" t="s">
        <v>8</v>
      </c>
      <c r="B24" s="16" t="s">
        <v>132</v>
      </c>
      <c r="C24" s="16" t="s">
        <v>365</v>
      </c>
      <c r="D24" s="16" t="s">
        <v>133</v>
      </c>
      <c r="E24" s="17"/>
      <c r="F24" s="17">
        <v>100</v>
      </c>
      <c r="G24" s="16" t="s">
        <v>279</v>
      </c>
      <c r="H24" s="16" t="s">
        <v>366</v>
      </c>
      <c r="I24" s="16" t="s">
        <v>64</v>
      </c>
      <c r="J24" s="16" t="s">
        <v>31</v>
      </c>
      <c r="K24" s="16"/>
      <c r="L24" s="16" t="s">
        <v>274</v>
      </c>
      <c r="M24" s="18" t="s">
        <v>367</v>
      </c>
      <c r="N24" s="16"/>
      <c r="O24" s="4" t="s">
        <v>287</v>
      </c>
    </row>
    <row r="25" spans="1:15" ht="60" x14ac:dyDescent="0.25">
      <c r="A25" s="16" t="s">
        <v>8</v>
      </c>
      <c r="B25" s="16" t="s">
        <v>135</v>
      </c>
      <c r="C25" s="16" t="s">
        <v>368</v>
      </c>
      <c r="D25" s="16" t="s">
        <v>136</v>
      </c>
      <c r="E25" s="17"/>
      <c r="F25" s="17">
        <v>750</v>
      </c>
      <c r="G25" s="16" t="s">
        <v>279</v>
      </c>
      <c r="H25" s="16" t="s">
        <v>369</v>
      </c>
      <c r="I25" s="16" t="s">
        <v>69</v>
      </c>
      <c r="J25" s="16" t="s">
        <v>31</v>
      </c>
      <c r="K25" s="16"/>
      <c r="L25" s="16" t="s">
        <v>274</v>
      </c>
      <c r="M25" s="18" t="s">
        <v>370</v>
      </c>
      <c r="N25" s="16"/>
      <c r="O25" s="4" t="s">
        <v>282</v>
      </c>
    </row>
    <row r="26" spans="1:15" ht="60" x14ac:dyDescent="0.25">
      <c r="A26" s="16" t="s">
        <v>8</v>
      </c>
      <c r="B26" s="16" t="s">
        <v>138</v>
      </c>
      <c r="C26" s="16" t="s">
        <v>371</v>
      </c>
      <c r="D26" s="16" t="s">
        <v>139</v>
      </c>
      <c r="E26" s="17"/>
      <c r="F26" s="17">
        <v>500</v>
      </c>
      <c r="G26" s="16" t="s">
        <v>279</v>
      </c>
      <c r="H26" s="16" t="s">
        <v>372</v>
      </c>
      <c r="I26" s="16" t="s">
        <v>69</v>
      </c>
      <c r="J26" s="16" t="s">
        <v>31</v>
      </c>
      <c r="K26" s="16"/>
      <c r="L26" s="16" t="s">
        <v>274</v>
      </c>
      <c r="M26" s="18" t="s">
        <v>373</v>
      </c>
      <c r="N26" s="16"/>
      <c r="O26" s="4" t="s">
        <v>282</v>
      </c>
    </row>
    <row r="27" spans="1:15" ht="24" x14ac:dyDescent="0.25">
      <c r="A27" s="16" t="s">
        <v>8</v>
      </c>
      <c r="B27" s="16" t="s">
        <v>141</v>
      </c>
      <c r="C27" s="16" t="s">
        <v>374</v>
      </c>
      <c r="D27" s="16" t="s">
        <v>142</v>
      </c>
      <c r="E27" s="17"/>
      <c r="F27" s="17">
        <v>240</v>
      </c>
      <c r="G27" s="16" t="s">
        <v>279</v>
      </c>
      <c r="H27" s="16" t="s">
        <v>375</v>
      </c>
      <c r="I27" s="16" t="s">
        <v>77</v>
      </c>
      <c r="J27" s="16" t="s">
        <v>31</v>
      </c>
      <c r="K27" s="16"/>
      <c r="L27" s="16" t="s">
        <v>274</v>
      </c>
      <c r="M27" s="18" t="s">
        <v>376</v>
      </c>
      <c r="N27" s="16"/>
      <c r="O27" s="4" t="s">
        <v>282</v>
      </c>
    </row>
    <row r="28" spans="1:15" ht="24" x14ac:dyDescent="0.25">
      <c r="A28" s="16" t="s">
        <v>8</v>
      </c>
      <c r="B28" s="16" t="s">
        <v>144</v>
      </c>
      <c r="C28" s="16" t="s">
        <v>377</v>
      </c>
      <c r="D28" s="16" t="s">
        <v>145</v>
      </c>
      <c r="E28" s="17"/>
      <c r="F28" s="17">
        <v>200</v>
      </c>
      <c r="G28" s="16" t="s">
        <v>378</v>
      </c>
      <c r="H28" s="16" t="s">
        <v>379</v>
      </c>
      <c r="I28" s="16" t="s">
        <v>64</v>
      </c>
      <c r="J28" s="16" t="s">
        <v>31</v>
      </c>
      <c r="K28" s="16"/>
      <c r="L28" s="16" t="s">
        <v>274</v>
      </c>
      <c r="M28" s="18" t="s">
        <v>380</v>
      </c>
      <c r="N28" s="16"/>
      <c r="O28" s="4" t="s">
        <v>282</v>
      </c>
    </row>
    <row r="29" spans="1:15" ht="36" x14ac:dyDescent="0.25">
      <c r="A29" s="16" t="s">
        <v>8</v>
      </c>
      <c r="B29" s="16" t="s">
        <v>147</v>
      </c>
      <c r="C29" s="16" t="s">
        <v>147</v>
      </c>
      <c r="D29" s="16" t="s">
        <v>148</v>
      </c>
      <c r="E29" s="17"/>
      <c r="F29" s="17">
        <v>60</v>
      </c>
      <c r="G29" s="16" t="s">
        <v>381</v>
      </c>
      <c r="H29" s="16" t="s">
        <v>382</v>
      </c>
      <c r="I29" s="16" t="s">
        <v>73</v>
      </c>
      <c r="J29" s="16" t="s">
        <v>31</v>
      </c>
      <c r="K29" s="16"/>
      <c r="L29" s="16" t="s">
        <v>274</v>
      </c>
      <c r="M29" s="18" t="s">
        <v>383</v>
      </c>
      <c r="N29" s="16"/>
      <c r="O29" s="4" t="s">
        <v>282</v>
      </c>
    </row>
    <row r="30" spans="1:15" ht="48" x14ac:dyDescent="0.25">
      <c r="A30" s="16" t="s">
        <v>8</v>
      </c>
      <c r="B30" s="16" t="s">
        <v>150</v>
      </c>
      <c r="C30" s="16" t="s">
        <v>384</v>
      </c>
      <c r="D30" s="16" t="s">
        <v>151</v>
      </c>
      <c r="E30" s="17">
        <v>4</v>
      </c>
      <c r="F30" s="17">
        <v>56</v>
      </c>
      <c r="G30" s="16" t="s">
        <v>279</v>
      </c>
      <c r="H30" s="16" t="s">
        <v>385</v>
      </c>
      <c r="I30" s="16" t="s">
        <v>77</v>
      </c>
      <c r="J30" s="16" t="s">
        <v>31</v>
      </c>
      <c r="K30" s="16"/>
      <c r="L30" s="16" t="s">
        <v>274</v>
      </c>
      <c r="M30" s="18" t="s">
        <v>386</v>
      </c>
      <c r="N30" s="16"/>
      <c r="O30" s="4" t="s">
        <v>282</v>
      </c>
    </row>
    <row r="31" spans="1:15" ht="36" x14ac:dyDescent="0.25">
      <c r="A31" s="16" t="s">
        <v>8</v>
      </c>
      <c r="B31" s="16" t="s">
        <v>154</v>
      </c>
      <c r="C31" s="16" t="s">
        <v>387</v>
      </c>
      <c r="D31" s="16" t="s">
        <v>155</v>
      </c>
      <c r="E31" s="17"/>
      <c r="F31" s="17">
        <v>5.5</v>
      </c>
      <c r="G31" s="16" t="s">
        <v>279</v>
      </c>
      <c r="H31" s="16" t="s">
        <v>388</v>
      </c>
      <c r="I31" s="16" t="s">
        <v>73</v>
      </c>
      <c r="J31" s="16" t="s">
        <v>31</v>
      </c>
      <c r="K31" s="16"/>
      <c r="L31" s="16" t="s">
        <v>274</v>
      </c>
      <c r="M31" s="18" t="s">
        <v>389</v>
      </c>
      <c r="N31" s="16"/>
      <c r="O31" s="4" t="s">
        <v>282</v>
      </c>
    </row>
    <row r="32" spans="1:15" ht="48" x14ac:dyDescent="0.25">
      <c r="A32" s="16" t="s">
        <v>9</v>
      </c>
      <c r="B32" s="16" t="s">
        <v>80</v>
      </c>
      <c r="C32" s="16" t="s">
        <v>390</v>
      </c>
      <c r="D32" s="16" t="s">
        <v>157</v>
      </c>
      <c r="E32" s="17">
        <v>929</v>
      </c>
      <c r="F32" s="17"/>
      <c r="G32" s="16" t="s">
        <v>391</v>
      </c>
      <c r="H32" s="16" t="s">
        <v>392</v>
      </c>
      <c r="I32" s="16" t="s">
        <v>69</v>
      </c>
      <c r="J32" s="19" t="s">
        <v>301</v>
      </c>
      <c r="K32" s="19" t="s">
        <v>393</v>
      </c>
      <c r="L32" s="16" t="s">
        <v>274</v>
      </c>
      <c r="M32" s="18" t="s">
        <v>394</v>
      </c>
      <c r="N32" s="16" t="s">
        <v>395</v>
      </c>
      <c r="O32" s="4" t="s">
        <v>287</v>
      </c>
    </row>
    <row r="33" spans="1:15" ht="48" x14ac:dyDescent="0.25">
      <c r="A33" s="16" t="s">
        <v>9</v>
      </c>
      <c r="B33" s="16" t="s">
        <v>80</v>
      </c>
      <c r="C33" s="16" t="s">
        <v>396</v>
      </c>
      <c r="D33" s="16" t="s">
        <v>159</v>
      </c>
      <c r="E33" s="17">
        <v>697</v>
      </c>
      <c r="F33" s="17"/>
      <c r="G33" s="16" t="s">
        <v>391</v>
      </c>
      <c r="H33" s="16" t="s">
        <v>392</v>
      </c>
      <c r="I33" s="16" t="s">
        <v>69</v>
      </c>
      <c r="J33" s="19" t="s">
        <v>301</v>
      </c>
      <c r="K33" s="19" t="s">
        <v>397</v>
      </c>
      <c r="L33" s="16" t="s">
        <v>274</v>
      </c>
      <c r="M33" s="18" t="s">
        <v>394</v>
      </c>
      <c r="N33" s="16" t="s">
        <v>395</v>
      </c>
      <c r="O33" s="4" t="s">
        <v>287</v>
      </c>
    </row>
    <row r="34" spans="1:15" ht="48" x14ac:dyDescent="0.25">
      <c r="A34" s="16" t="s">
        <v>9</v>
      </c>
      <c r="B34" s="16" t="s">
        <v>80</v>
      </c>
      <c r="C34" s="16" t="s">
        <v>398</v>
      </c>
      <c r="D34" s="16" t="s">
        <v>161</v>
      </c>
      <c r="E34" s="17">
        <v>512</v>
      </c>
      <c r="F34" s="17"/>
      <c r="G34" s="16" t="s">
        <v>391</v>
      </c>
      <c r="H34" s="16" t="s">
        <v>399</v>
      </c>
      <c r="I34" s="16" t="s">
        <v>69</v>
      </c>
      <c r="J34" s="19" t="s">
        <v>301</v>
      </c>
      <c r="K34" s="19" t="s">
        <v>397</v>
      </c>
      <c r="L34" s="16" t="s">
        <v>274</v>
      </c>
      <c r="M34" s="18" t="s">
        <v>400</v>
      </c>
      <c r="N34" s="16" t="s">
        <v>401</v>
      </c>
      <c r="O34" s="4" t="s">
        <v>287</v>
      </c>
    </row>
    <row r="35" spans="1:15" ht="24" x14ac:dyDescent="0.25">
      <c r="A35" s="16" t="s">
        <v>9</v>
      </c>
      <c r="B35" s="16" t="s">
        <v>135</v>
      </c>
      <c r="C35" s="16" t="s">
        <v>402</v>
      </c>
      <c r="D35" s="16" t="s">
        <v>163</v>
      </c>
      <c r="E35" s="17">
        <v>1000</v>
      </c>
      <c r="F35" s="17"/>
      <c r="G35" s="16" t="s">
        <v>279</v>
      </c>
      <c r="H35" s="16" t="s">
        <v>403</v>
      </c>
      <c r="I35" s="16" t="s">
        <v>69</v>
      </c>
      <c r="J35" s="16" t="s">
        <v>31</v>
      </c>
      <c r="K35" s="16"/>
      <c r="L35" s="16" t="s">
        <v>274</v>
      </c>
      <c r="M35" s="18" t="s">
        <v>404</v>
      </c>
      <c r="N35" s="16"/>
      <c r="O35" s="4" t="s">
        <v>405</v>
      </c>
    </row>
    <row r="36" spans="1:15" ht="96" x14ac:dyDescent="0.25">
      <c r="A36" s="16" t="s">
        <v>9</v>
      </c>
      <c r="B36" s="16" t="s">
        <v>165</v>
      </c>
      <c r="C36" s="16" t="s">
        <v>406</v>
      </c>
      <c r="D36" s="16" t="s">
        <v>166</v>
      </c>
      <c r="E36" s="17">
        <v>1500</v>
      </c>
      <c r="F36" s="17"/>
      <c r="G36" s="16" t="s">
        <v>279</v>
      </c>
      <c r="H36" s="16" t="s">
        <v>407</v>
      </c>
      <c r="I36" s="16" t="s">
        <v>73</v>
      </c>
      <c r="J36" s="16" t="s">
        <v>31</v>
      </c>
      <c r="K36" s="16"/>
      <c r="L36" s="16" t="s">
        <v>274</v>
      </c>
      <c r="M36" s="18" t="s">
        <v>408</v>
      </c>
      <c r="N36" s="16" t="s">
        <v>409</v>
      </c>
      <c r="O36" s="4" t="s">
        <v>287</v>
      </c>
    </row>
    <row r="37" spans="1:15" ht="48" x14ac:dyDescent="0.25">
      <c r="A37" s="16" t="s">
        <v>9</v>
      </c>
      <c r="B37" s="16" t="s">
        <v>111</v>
      </c>
      <c r="C37" s="16" t="s">
        <v>337</v>
      </c>
      <c r="D37" s="16" t="s">
        <v>168</v>
      </c>
      <c r="E37" s="17">
        <v>550</v>
      </c>
      <c r="F37" s="17"/>
      <c r="G37" s="16" t="s">
        <v>279</v>
      </c>
      <c r="H37" s="16" t="s">
        <v>410</v>
      </c>
      <c r="I37" s="16" t="s">
        <v>69</v>
      </c>
      <c r="J37" s="16" t="s">
        <v>31</v>
      </c>
      <c r="K37" s="16"/>
      <c r="L37" s="16" t="s">
        <v>274</v>
      </c>
      <c r="M37" s="18" t="s">
        <v>411</v>
      </c>
      <c r="N37" s="16" t="s">
        <v>412</v>
      </c>
      <c r="O37" s="4" t="s">
        <v>405</v>
      </c>
    </row>
    <row r="38" spans="1:15" ht="48" x14ac:dyDescent="0.25">
      <c r="A38" s="16" t="s">
        <v>9</v>
      </c>
      <c r="B38" s="16" t="s">
        <v>170</v>
      </c>
      <c r="C38" s="16" t="s">
        <v>413</v>
      </c>
      <c r="D38" s="16" t="s">
        <v>171</v>
      </c>
      <c r="E38" s="17">
        <v>512</v>
      </c>
      <c r="F38" s="17"/>
      <c r="G38" s="16" t="s">
        <v>279</v>
      </c>
      <c r="H38" s="16" t="s">
        <v>414</v>
      </c>
      <c r="I38" s="16" t="s">
        <v>69</v>
      </c>
      <c r="J38" s="16" t="s">
        <v>31</v>
      </c>
      <c r="K38" s="16"/>
      <c r="L38" s="16" t="s">
        <v>274</v>
      </c>
      <c r="M38" s="18" t="s">
        <v>415</v>
      </c>
      <c r="N38" s="16"/>
      <c r="O38" s="4" t="s">
        <v>405</v>
      </c>
    </row>
    <row r="39" spans="1:15" ht="24" x14ac:dyDescent="0.25">
      <c r="A39" s="16" t="s">
        <v>9</v>
      </c>
      <c r="B39" s="16" t="s">
        <v>129</v>
      </c>
      <c r="C39" s="16" t="s">
        <v>416</v>
      </c>
      <c r="D39" s="16" t="s">
        <v>173</v>
      </c>
      <c r="E39" s="17">
        <v>486</v>
      </c>
      <c r="F39" s="17"/>
      <c r="G39" s="16" t="s">
        <v>279</v>
      </c>
      <c r="H39" s="16" t="s">
        <v>417</v>
      </c>
      <c r="I39" s="16" t="s">
        <v>69</v>
      </c>
      <c r="J39" s="16" t="s">
        <v>31</v>
      </c>
      <c r="K39" s="16"/>
      <c r="L39" s="16" t="s">
        <v>274</v>
      </c>
      <c r="M39" s="18" t="s">
        <v>404</v>
      </c>
      <c r="N39" s="16"/>
      <c r="O39" s="4" t="s">
        <v>405</v>
      </c>
    </row>
    <row r="40" spans="1:15" ht="36" x14ac:dyDescent="0.25">
      <c r="A40" s="20" t="s">
        <v>9</v>
      </c>
      <c r="B40" s="20" t="s">
        <v>175</v>
      </c>
      <c r="C40" s="20" t="s">
        <v>418</v>
      </c>
      <c r="D40" s="20" t="s">
        <v>176</v>
      </c>
      <c r="E40" s="21"/>
      <c r="F40" s="21">
        <v>1000</v>
      </c>
      <c r="G40" s="20" t="s">
        <v>279</v>
      </c>
      <c r="H40" s="20" t="s">
        <v>419</v>
      </c>
      <c r="I40" s="20" t="s">
        <v>73</v>
      </c>
      <c r="J40" s="20" t="s">
        <v>31</v>
      </c>
      <c r="K40" s="20" t="s">
        <v>420</v>
      </c>
      <c r="L40" s="20" t="s">
        <v>303</v>
      </c>
      <c r="M40" s="22" t="s">
        <v>421</v>
      </c>
      <c r="N40" s="20" t="s">
        <v>422</v>
      </c>
      <c r="O40" s="4" t="s">
        <v>405</v>
      </c>
    </row>
    <row r="41" spans="1:15" ht="60" x14ac:dyDescent="0.25">
      <c r="A41" s="16" t="s">
        <v>9</v>
      </c>
      <c r="B41" s="16" t="s">
        <v>117</v>
      </c>
      <c r="C41" s="16" t="s">
        <v>423</v>
      </c>
      <c r="D41" s="16" t="s">
        <v>179</v>
      </c>
      <c r="E41" s="17">
        <v>100</v>
      </c>
      <c r="F41" s="17"/>
      <c r="G41" s="16" t="s">
        <v>279</v>
      </c>
      <c r="H41" s="16" t="s">
        <v>424</v>
      </c>
      <c r="I41" s="16" t="s">
        <v>69</v>
      </c>
      <c r="J41" s="16" t="s">
        <v>31</v>
      </c>
      <c r="K41" s="16"/>
      <c r="L41" s="16" t="s">
        <v>274</v>
      </c>
      <c r="M41" s="18" t="s">
        <v>425</v>
      </c>
      <c r="N41" s="16"/>
      <c r="O41" s="4" t="s">
        <v>405</v>
      </c>
    </row>
    <row r="42" spans="1:15" ht="24" x14ac:dyDescent="0.25">
      <c r="A42" s="16" t="s">
        <v>9</v>
      </c>
      <c r="B42" s="16" t="s">
        <v>80</v>
      </c>
      <c r="C42" s="16" t="s">
        <v>426</v>
      </c>
      <c r="D42" s="16" t="s">
        <v>181</v>
      </c>
      <c r="E42" s="17">
        <v>200</v>
      </c>
      <c r="F42" s="17"/>
      <c r="G42" s="16" t="s">
        <v>279</v>
      </c>
      <c r="H42" s="16" t="s">
        <v>427</v>
      </c>
      <c r="I42" s="16" t="s">
        <v>73</v>
      </c>
      <c r="J42" s="16" t="s">
        <v>31</v>
      </c>
      <c r="K42" s="16"/>
      <c r="L42" s="16" t="s">
        <v>274</v>
      </c>
      <c r="M42" s="18" t="s">
        <v>408</v>
      </c>
      <c r="N42" s="16" t="s">
        <v>428</v>
      </c>
      <c r="O42" s="4" t="s">
        <v>405</v>
      </c>
    </row>
    <row r="43" spans="1:15" ht="60" x14ac:dyDescent="0.25">
      <c r="A43" s="16" t="s">
        <v>10</v>
      </c>
      <c r="B43" s="16" t="s">
        <v>183</v>
      </c>
      <c r="C43" s="16" t="s">
        <v>429</v>
      </c>
      <c r="D43" s="16" t="s">
        <v>184</v>
      </c>
      <c r="E43" s="17">
        <v>2000</v>
      </c>
      <c r="F43" s="17"/>
      <c r="G43" s="16" t="s">
        <v>430</v>
      </c>
      <c r="H43" s="16" t="s">
        <v>431</v>
      </c>
      <c r="I43" s="16" t="s">
        <v>77</v>
      </c>
      <c r="J43" s="16" t="s">
        <v>31</v>
      </c>
      <c r="K43" s="16" t="s">
        <v>432</v>
      </c>
      <c r="L43" s="16" t="s">
        <v>274</v>
      </c>
      <c r="M43" s="18" t="s">
        <v>433</v>
      </c>
      <c r="N43" s="16" t="s">
        <v>434</v>
      </c>
      <c r="O43" s="4" t="s">
        <v>277</v>
      </c>
    </row>
    <row r="44" spans="1:15" ht="48" x14ac:dyDescent="0.25">
      <c r="A44" s="16" t="s">
        <v>10</v>
      </c>
      <c r="B44" s="16" t="s">
        <v>175</v>
      </c>
      <c r="C44" s="16" t="s">
        <v>435</v>
      </c>
      <c r="D44" s="16" t="s">
        <v>186</v>
      </c>
      <c r="E44" s="17"/>
      <c r="F44" s="17">
        <v>1000</v>
      </c>
      <c r="G44" s="16" t="s">
        <v>279</v>
      </c>
      <c r="H44" s="16" t="s">
        <v>436</v>
      </c>
      <c r="I44" s="16" t="s">
        <v>69</v>
      </c>
      <c r="J44" s="19" t="s">
        <v>301</v>
      </c>
      <c r="K44" s="19" t="s">
        <v>437</v>
      </c>
      <c r="L44" s="16" t="s">
        <v>274</v>
      </c>
      <c r="M44" s="18" t="s">
        <v>438</v>
      </c>
      <c r="N44" s="16" t="s">
        <v>395</v>
      </c>
      <c r="O44" s="4" t="s">
        <v>282</v>
      </c>
    </row>
    <row r="45" spans="1:15" ht="24" x14ac:dyDescent="0.25">
      <c r="A45" s="16" t="s">
        <v>10</v>
      </c>
      <c r="B45" s="16" t="s">
        <v>188</v>
      </c>
      <c r="C45" s="16" t="s">
        <v>439</v>
      </c>
      <c r="D45" s="16" t="s">
        <v>189</v>
      </c>
      <c r="E45" s="17">
        <v>278</v>
      </c>
      <c r="F45" s="17"/>
      <c r="G45" s="16" t="s">
        <v>440</v>
      </c>
      <c r="H45" s="16" t="s">
        <v>441</v>
      </c>
      <c r="I45" s="16" t="s">
        <v>69</v>
      </c>
      <c r="J45" s="16" t="s">
        <v>31</v>
      </c>
      <c r="K45" s="16"/>
      <c r="L45" s="16" t="s">
        <v>274</v>
      </c>
      <c r="M45" s="18" t="s">
        <v>442</v>
      </c>
      <c r="N45" s="16" t="s">
        <v>443</v>
      </c>
      <c r="O45" s="4" t="s">
        <v>287</v>
      </c>
    </row>
    <row r="46" spans="1:15" ht="60" x14ac:dyDescent="0.25">
      <c r="A46" s="16" t="s">
        <v>10</v>
      </c>
      <c r="B46" s="16" t="s">
        <v>80</v>
      </c>
      <c r="C46" s="16" t="s">
        <v>444</v>
      </c>
      <c r="D46" s="16" t="s">
        <v>191</v>
      </c>
      <c r="E46" s="17">
        <v>19.2</v>
      </c>
      <c r="F46" s="17">
        <v>386.8</v>
      </c>
      <c r="G46" s="16" t="s">
        <v>279</v>
      </c>
      <c r="H46" s="16" t="s">
        <v>445</v>
      </c>
      <c r="I46" s="16" t="s">
        <v>192</v>
      </c>
      <c r="J46" s="19" t="s">
        <v>294</v>
      </c>
      <c r="K46" s="19" t="s">
        <v>446</v>
      </c>
      <c r="L46" s="16" t="s">
        <v>274</v>
      </c>
      <c r="M46" s="18" t="s">
        <v>447</v>
      </c>
      <c r="N46" s="16"/>
      <c r="O46" s="4" t="s">
        <v>291</v>
      </c>
    </row>
    <row r="47" spans="1:15" ht="48" x14ac:dyDescent="0.25">
      <c r="A47" s="16" t="s">
        <v>10</v>
      </c>
      <c r="B47" s="16" t="s">
        <v>117</v>
      </c>
      <c r="C47" s="16" t="s">
        <v>423</v>
      </c>
      <c r="D47" s="16" t="s">
        <v>194</v>
      </c>
      <c r="E47" s="17"/>
      <c r="F47" s="17">
        <v>400</v>
      </c>
      <c r="G47" s="16" t="s">
        <v>279</v>
      </c>
      <c r="H47" s="16" t="s">
        <v>448</v>
      </c>
      <c r="I47" s="16" t="s">
        <v>69</v>
      </c>
      <c r="J47" s="16" t="s">
        <v>31</v>
      </c>
      <c r="K47" s="16" t="s">
        <v>449</v>
      </c>
      <c r="L47" s="16" t="s">
        <v>274</v>
      </c>
      <c r="M47" s="18" t="s">
        <v>450</v>
      </c>
      <c r="N47" s="16"/>
      <c r="O47" s="4" t="s">
        <v>282</v>
      </c>
    </row>
    <row r="48" spans="1:15" ht="48" x14ac:dyDescent="0.25">
      <c r="A48" s="16" t="s">
        <v>10</v>
      </c>
      <c r="B48" s="16" t="s">
        <v>196</v>
      </c>
      <c r="C48" s="16" t="s">
        <v>451</v>
      </c>
      <c r="D48" s="16" t="s">
        <v>194</v>
      </c>
      <c r="E48" s="17"/>
      <c r="F48" s="17">
        <v>400</v>
      </c>
      <c r="G48" s="16" t="s">
        <v>279</v>
      </c>
      <c r="H48" s="16" t="s">
        <v>452</v>
      </c>
      <c r="I48" s="16" t="s">
        <v>69</v>
      </c>
      <c r="J48" s="16" t="s">
        <v>31</v>
      </c>
      <c r="K48" s="16"/>
      <c r="L48" s="16" t="s">
        <v>274</v>
      </c>
      <c r="M48" s="18" t="s">
        <v>453</v>
      </c>
      <c r="N48" s="16"/>
      <c r="O48" s="4" t="s">
        <v>282</v>
      </c>
    </row>
    <row r="49" spans="1:15" ht="48" x14ac:dyDescent="0.25">
      <c r="A49" s="16" t="s">
        <v>10</v>
      </c>
      <c r="B49" s="16" t="s">
        <v>120</v>
      </c>
      <c r="C49" s="16" t="s">
        <v>454</v>
      </c>
      <c r="D49" s="16" t="s">
        <v>197</v>
      </c>
      <c r="E49" s="17"/>
      <c r="F49" s="17">
        <v>100</v>
      </c>
      <c r="G49" s="16" t="s">
        <v>279</v>
      </c>
      <c r="H49" s="16" t="s">
        <v>455</v>
      </c>
      <c r="I49" s="16" t="s">
        <v>69</v>
      </c>
      <c r="J49" s="16" t="s">
        <v>31</v>
      </c>
      <c r="K49" s="16"/>
      <c r="L49" s="16" t="s">
        <v>274</v>
      </c>
      <c r="M49" s="18" t="s">
        <v>456</v>
      </c>
      <c r="N49" s="16"/>
      <c r="O49" s="4" t="s">
        <v>282</v>
      </c>
    </row>
    <row r="50" spans="1:15" ht="24" x14ac:dyDescent="0.25">
      <c r="A50" s="16" t="s">
        <v>10</v>
      </c>
      <c r="B50" s="16" t="s">
        <v>199</v>
      </c>
      <c r="C50" s="16" t="s">
        <v>199</v>
      </c>
      <c r="D50" s="16" t="s">
        <v>200</v>
      </c>
      <c r="E50" s="17"/>
      <c r="F50" s="17">
        <v>100</v>
      </c>
      <c r="G50" s="16" t="s">
        <v>279</v>
      </c>
      <c r="H50" s="16" t="s">
        <v>455</v>
      </c>
      <c r="I50" s="16" t="s">
        <v>69</v>
      </c>
      <c r="J50" s="16" t="s">
        <v>31</v>
      </c>
      <c r="K50" s="16"/>
      <c r="L50" s="16" t="s">
        <v>274</v>
      </c>
      <c r="M50" s="18" t="s">
        <v>457</v>
      </c>
      <c r="N50" s="16"/>
      <c r="O50" s="4" t="s">
        <v>282</v>
      </c>
    </row>
    <row r="51" spans="1:15" ht="108" x14ac:dyDescent="0.25">
      <c r="A51" s="16" t="s">
        <v>11</v>
      </c>
      <c r="B51" s="16" t="s">
        <v>99</v>
      </c>
      <c r="C51" s="16" t="s">
        <v>458</v>
      </c>
      <c r="D51" s="16" t="s">
        <v>202</v>
      </c>
      <c r="E51" s="17">
        <v>53</v>
      </c>
      <c r="F51" s="17"/>
      <c r="G51" s="16" t="s">
        <v>459</v>
      </c>
      <c r="H51" s="16" t="s">
        <v>460</v>
      </c>
      <c r="I51" s="16" t="s">
        <v>77</v>
      </c>
      <c r="J51" s="16" t="s">
        <v>31</v>
      </c>
      <c r="K51" s="16"/>
      <c r="L51" s="16" t="s">
        <v>274</v>
      </c>
      <c r="M51" s="18" t="s">
        <v>461</v>
      </c>
      <c r="N51" s="16" t="s">
        <v>462</v>
      </c>
      <c r="O51" s="4" t="s">
        <v>291</v>
      </c>
    </row>
    <row r="52" spans="1:15" ht="48" x14ac:dyDescent="0.25">
      <c r="A52" s="16" t="s">
        <v>11</v>
      </c>
      <c r="B52" s="16" t="s">
        <v>111</v>
      </c>
      <c r="C52" s="16" t="s">
        <v>337</v>
      </c>
      <c r="D52" s="16" t="s">
        <v>204</v>
      </c>
      <c r="E52" s="17">
        <v>25.9</v>
      </c>
      <c r="F52" s="17">
        <v>104.1</v>
      </c>
      <c r="G52" s="16" t="s">
        <v>279</v>
      </c>
      <c r="H52" s="16" t="s">
        <v>463</v>
      </c>
      <c r="I52" s="16" t="s">
        <v>192</v>
      </c>
      <c r="J52" s="16" t="s">
        <v>31</v>
      </c>
      <c r="K52" s="16"/>
      <c r="L52" s="16" t="s">
        <v>274</v>
      </c>
      <c r="M52" s="18" t="s">
        <v>464</v>
      </c>
      <c r="N52" s="16" t="s">
        <v>465</v>
      </c>
      <c r="O52" s="4" t="s">
        <v>291</v>
      </c>
    </row>
    <row r="53" spans="1:15" ht="36" x14ac:dyDescent="0.25">
      <c r="A53" s="16" t="s">
        <v>11</v>
      </c>
      <c r="B53" s="16" t="s">
        <v>206</v>
      </c>
      <c r="C53" s="16" t="s">
        <v>466</v>
      </c>
      <c r="D53" s="16" t="s">
        <v>207</v>
      </c>
      <c r="E53" s="17">
        <v>100</v>
      </c>
      <c r="F53" s="17"/>
      <c r="G53" s="16" t="s">
        <v>279</v>
      </c>
      <c r="H53" s="16" t="s">
        <v>467</v>
      </c>
      <c r="I53" s="16" t="s">
        <v>73</v>
      </c>
      <c r="J53" s="16" t="s">
        <v>31</v>
      </c>
      <c r="K53" s="16"/>
      <c r="L53" s="16" t="s">
        <v>274</v>
      </c>
      <c r="M53" s="18" t="s">
        <v>468</v>
      </c>
      <c r="N53" s="16"/>
      <c r="O53" s="4" t="s">
        <v>291</v>
      </c>
    </row>
    <row r="54" spans="1:15" ht="24" x14ac:dyDescent="0.25">
      <c r="A54" s="16" t="s">
        <v>11</v>
      </c>
      <c r="B54" s="16" t="s">
        <v>120</v>
      </c>
      <c r="C54" s="16" t="s">
        <v>454</v>
      </c>
      <c r="D54" s="16" t="s">
        <v>209</v>
      </c>
      <c r="E54" s="17">
        <v>7.2</v>
      </c>
      <c r="F54" s="17">
        <v>37.799999999999997</v>
      </c>
      <c r="G54" s="16" t="s">
        <v>279</v>
      </c>
      <c r="H54" s="16" t="s">
        <v>469</v>
      </c>
      <c r="I54" s="16" t="s">
        <v>77</v>
      </c>
      <c r="J54" s="16" t="s">
        <v>31</v>
      </c>
      <c r="K54" s="16"/>
      <c r="L54" s="16" t="s">
        <v>274</v>
      </c>
      <c r="M54" s="18" t="s">
        <v>470</v>
      </c>
      <c r="N54" s="16" t="s">
        <v>471</v>
      </c>
      <c r="O54" s="4" t="s">
        <v>291</v>
      </c>
    </row>
    <row r="55" spans="1:15" ht="36" x14ac:dyDescent="0.25">
      <c r="A55" s="16" t="s">
        <v>11</v>
      </c>
      <c r="B55" s="16" t="s">
        <v>211</v>
      </c>
      <c r="C55" s="16" t="s">
        <v>211</v>
      </c>
      <c r="D55" s="16" t="s">
        <v>212</v>
      </c>
      <c r="E55" s="17">
        <v>36</v>
      </c>
      <c r="F55" s="17"/>
      <c r="G55" s="16" t="s">
        <v>279</v>
      </c>
      <c r="H55" s="16" t="s">
        <v>472</v>
      </c>
      <c r="I55" s="16" t="s">
        <v>77</v>
      </c>
      <c r="J55" s="16" t="s">
        <v>31</v>
      </c>
      <c r="K55" s="16"/>
      <c r="L55" s="16" t="s">
        <v>274</v>
      </c>
      <c r="M55" s="18" t="s">
        <v>473</v>
      </c>
      <c r="N55" s="16"/>
      <c r="O55" s="4" t="s">
        <v>291</v>
      </c>
    </row>
    <row r="56" spans="1:15" ht="60" x14ac:dyDescent="0.25">
      <c r="A56" s="16" t="s">
        <v>11</v>
      </c>
      <c r="B56" s="16" t="s">
        <v>80</v>
      </c>
      <c r="C56" s="16" t="s">
        <v>444</v>
      </c>
      <c r="D56" s="16" t="s">
        <v>214</v>
      </c>
      <c r="E56" s="17">
        <v>17</v>
      </c>
      <c r="F56" s="17">
        <v>16</v>
      </c>
      <c r="G56" s="16" t="s">
        <v>279</v>
      </c>
      <c r="H56" s="16" t="s">
        <v>474</v>
      </c>
      <c r="I56" s="16" t="s">
        <v>192</v>
      </c>
      <c r="J56" s="16" t="s">
        <v>31</v>
      </c>
      <c r="K56" s="16"/>
      <c r="L56" s="16" t="s">
        <v>274</v>
      </c>
      <c r="M56" s="18" t="s">
        <v>447</v>
      </c>
      <c r="N56" s="16"/>
      <c r="O56" s="4" t="s">
        <v>291</v>
      </c>
    </row>
    <row r="57" spans="1:15" ht="36" x14ac:dyDescent="0.25">
      <c r="A57" s="20" t="s">
        <v>11</v>
      </c>
      <c r="B57" s="20" t="s">
        <v>216</v>
      </c>
      <c r="C57" s="20" t="s">
        <v>475</v>
      </c>
      <c r="D57" s="20" t="s">
        <v>217</v>
      </c>
      <c r="E57" s="21"/>
      <c r="F57" s="21">
        <v>1380</v>
      </c>
      <c r="G57" s="20" t="s">
        <v>430</v>
      </c>
      <c r="H57" s="20" t="s">
        <v>476</v>
      </c>
      <c r="I57" s="20" t="s">
        <v>69</v>
      </c>
      <c r="J57" s="20" t="s">
        <v>31</v>
      </c>
      <c r="K57" s="20"/>
      <c r="L57" s="20" t="s">
        <v>303</v>
      </c>
      <c r="M57" s="22" t="s">
        <v>477</v>
      </c>
      <c r="N57" s="20" t="s">
        <v>478</v>
      </c>
      <c r="O57" s="4" t="s">
        <v>291</v>
      </c>
    </row>
    <row r="58" spans="1:15" ht="24" x14ac:dyDescent="0.25">
      <c r="A58" s="16" t="s">
        <v>12</v>
      </c>
      <c r="B58" s="16" t="s">
        <v>219</v>
      </c>
      <c r="C58" s="16" t="s">
        <v>479</v>
      </c>
      <c r="D58" s="16" t="s">
        <v>220</v>
      </c>
      <c r="E58" s="17">
        <v>28</v>
      </c>
      <c r="F58" s="17">
        <v>222</v>
      </c>
      <c r="G58" s="16" t="s">
        <v>378</v>
      </c>
      <c r="H58" s="16" t="s">
        <v>480</v>
      </c>
      <c r="I58" s="16" t="s">
        <v>64</v>
      </c>
      <c r="J58" s="16" t="s">
        <v>31</v>
      </c>
      <c r="K58" s="16"/>
      <c r="L58" s="16" t="s">
        <v>274</v>
      </c>
      <c r="M58" s="18" t="s">
        <v>481</v>
      </c>
      <c r="N58" s="16"/>
      <c r="O58" s="4" t="s">
        <v>291</v>
      </c>
    </row>
    <row r="59" spans="1:15" ht="24" x14ac:dyDescent="0.25">
      <c r="A59" s="16" t="s">
        <v>12</v>
      </c>
      <c r="B59" s="16" t="s">
        <v>80</v>
      </c>
      <c r="C59" s="16" t="s">
        <v>482</v>
      </c>
      <c r="D59" s="16" t="s">
        <v>222</v>
      </c>
      <c r="E59" s="17">
        <v>35</v>
      </c>
      <c r="F59" s="17">
        <v>65</v>
      </c>
      <c r="G59" s="16" t="s">
        <v>378</v>
      </c>
      <c r="H59" s="16" t="s">
        <v>483</v>
      </c>
      <c r="I59" s="16" t="s">
        <v>64</v>
      </c>
      <c r="J59" s="16" t="s">
        <v>31</v>
      </c>
      <c r="K59" s="16"/>
      <c r="L59" s="16" t="s">
        <v>274</v>
      </c>
      <c r="M59" s="18" t="s">
        <v>481</v>
      </c>
      <c r="N59" s="16" t="s">
        <v>484</v>
      </c>
      <c r="O59" s="4" t="s">
        <v>291</v>
      </c>
    </row>
    <row r="60" spans="1:15" ht="24" x14ac:dyDescent="0.25">
      <c r="A60" s="16" t="s">
        <v>12</v>
      </c>
      <c r="B60" s="16" t="s">
        <v>224</v>
      </c>
      <c r="C60" s="16" t="s">
        <v>485</v>
      </c>
      <c r="D60" s="16" t="s">
        <v>225</v>
      </c>
      <c r="E60" s="17">
        <v>16</v>
      </c>
      <c r="F60" s="17">
        <v>104</v>
      </c>
      <c r="G60" s="16" t="s">
        <v>378</v>
      </c>
      <c r="H60" s="16" t="s">
        <v>486</v>
      </c>
      <c r="I60" s="16" t="s">
        <v>64</v>
      </c>
      <c r="J60" s="16" t="s">
        <v>31</v>
      </c>
      <c r="K60" s="16"/>
      <c r="L60" s="16" t="s">
        <v>274</v>
      </c>
      <c r="M60" s="18" t="s">
        <v>481</v>
      </c>
      <c r="N60" s="16"/>
      <c r="O60" s="4" t="s">
        <v>291</v>
      </c>
    </row>
    <row r="61" spans="1:15" ht="24" x14ac:dyDescent="0.25">
      <c r="A61" s="16" t="s">
        <v>12</v>
      </c>
      <c r="B61" s="16" t="s">
        <v>120</v>
      </c>
      <c r="C61" s="16" t="s">
        <v>454</v>
      </c>
      <c r="D61" s="16" t="s">
        <v>222</v>
      </c>
      <c r="E61" s="17">
        <v>40</v>
      </c>
      <c r="F61" s="17"/>
      <c r="G61" s="16" t="s">
        <v>378</v>
      </c>
      <c r="H61" s="16" t="s">
        <v>487</v>
      </c>
      <c r="I61" s="16" t="s">
        <v>64</v>
      </c>
      <c r="J61" s="16" t="s">
        <v>31</v>
      </c>
      <c r="K61" s="16" t="s">
        <v>488</v>
      </c>
      <c r="L61" s="16" t="s">
        <v>274</v>
      </c>
      <c r="M61" s="18" t="s">
        <v>481</v>
      </c>
      <c r="N61" s="16"/>
      <c r="O61" s="4" t="s">
        <v>291</v>
      </c>
    </row>
    <row r="62" spans="1:15" ht="24" x14ac:dyDescent="0.25">
      <c r="A62" s="16" t="s">
        <v>12</v>
      </c>
      <c r="B62" s="16" t="s">
        <v>123</v>
      </c>
      <c r="C62" s="16" t="s">
        <v>489</v>
      </c>
      <c r="D62" s="16" t="s">
        <v>222</v>
      </c>
      <c r="E62" s="17">
        <v>9</v>
      </c>
      <c r="F62" s="17">
        <v>43.8</v>
      </c>
      <c r="G62" s="16" t="s">
        <v>378</v>
      </c>
      <c r="H62" s="16" t="s">
        <v>490</v>
      </c>
      <c r="I62" s="16" t="s">
        <v>64</v>
      </c>
      <c r="J62" s="16" t="s">
        <v>31</v>
      </c>
      <c r="K62" s="16"/>
      <c r="L62" s="16" t="s">
        <v>274</v>
      </c>
      <c r="M62" s="18" t="s">
        <v>481</v>
      </c>
      <c r="N62" s="16"/>
      <c r="O62" s="4" t="s">
        <v>291</v>
      </c>
    </row>
    <row r="63" spans="1:15" ht="24" x14ac:dyDescent="0.25">
      <c r="A63" s="16" t="s">
        <v>12</v>
      </c>
      <c r="B63" s="16" t="s">
        <v>102</v>
      </c>
      <c r="C63" s="16" t="s">
        <v>327</v>
      </c>
      <c r="D63" s="16" t="s">
        <v>222</v>
      </c>
      <c r="E63" s="17">
        <v>5</v>
      </c>
      <c r="F63" s="17"/>
      <c r="G63" s="16" t="s">
        <v>378</v>
      </c>
      <c r="H63" s="16" t="s">
        <v>491</v>
      </c>
      <c r="I63" s="16" t="s">
        <v>64</v>
      </c>
      <c r="J63" s="16" t="s">
        <v>31</v>
      </c>
      <c r="K63" s="16"/>
      <c r="L63" s="16" t="s">
        <v>274</v>
      </c>
      <c r="M63" s="18" t="s">
        <v>481</v>
      </c>
      <c r="N63" s="16"/>
      <c r="O63" s="4" t="s">
        <v>291</v>
      </c>
    </row>
    <row r="64" spans="1:15" ht="36" x14ac:dyDescent="0.25">
      <c r="A64" s="16" t="s">
        <v>13</v>
      </c>
      <c r="B64" s="16" t="s">
        <v>80</v>
      </c>
      <c r="C64" s="16" t="s">
        <v>492</v>
      </c>
      <c r="D64" s="16" t="s">
        <v>227</v>
      </c>
      <c r="E64" s="17">
        <v>1000</v>
      </c>
      <c r="F64" s="17"/>
      <c r="G64" s="16" t="s">
        <v>279</v>
      </c>
      <c r="H64" s="16" t="s">
        <v>493</v>
      </c>
      <c r="I64" s="16" t="s">
        <v>69</v>
      </c>
      <c r="J64" s="16" t="s">
        <v>31</v>
      </c>
      <c r="K64" s="16" t="s">
        <v>494</v>
      </c>
      <c r="L64" s="16" t="s">
        <v>274</v>
      </c>
      <c r="M64" s="18" t="s">
        <v>495</v>
      </c>
      <c r="N64" s="16"/>
      <c r="O64" s="4" t="s">
        <v>405</v>
      </c>
    </row>
    <row r="65" spans="1:15" ht="48" x14ac:dyDescent="0.25">
      <c r="A65" s="16" t="s">
        <v>13</v>
      </c>
      <c r="B65" s="16" t="s">
        <v>229</v>
      </c>
      <c r="C65" s="16" t="s">
        <v>229</v>
      </c>
      <c r="D65" s="16" t="s">
        <v>230</v>
      </c>
      <c r="E65" s="17">
        <v>120</v>
      </c>
      <c r="F65" s="17"/>
      <c r="G65" s="16" t="s">
        <v>279</v>
      </c>
      <c r="H65" s="16" t="s">
        <v>496</v>
      </c>
      <c r="I65" s="16" t="s">
        <v>69</v>
      </c>
      <c r="J65" s="16" t="s">
        <v>31</v>
      </c>
      <c r="K65" s="16"/>
      <c r="L65" s="16" t="s">
        <v>274</v>
      </c>
      <c r="M65" s="18" t="s">
        <v>497</v>
      </c>
      <c r="N65" s="16" t="s">
        <v>498</v>
      </c>
      <c r="O65" s="4" t="s">
        <v>405</v>
      </c>
    </row>
    <row r="66" spans="1:15" ht="36" x14ac:dyDescent="0.25">
      <c r="A66" s="16" t="s">
        <v>14</v>
      </c>
      <c r="B66" s="16" t="s">
        <v>232</v>
      </c>
      <c r="C66" s="16" t="s">
        <v>499</v>
      </c>
      <c r="D66" s="16" t="s">
        <v>233</v>
      </c>
      <c r="E66" s="17"/>
      <c r="F66" s="17">
        <v>500</v>
      </c>
      <c r="G66" s="16" t="s">
        <v>279</v>
      </c>
      <c r="H66" s="16" t="s">
        <v>500</v>
      </c>
      <c r="I66" s="16" t="s">
        <v>69</v>
      </c>
      <c r="J66" s="16" t="s">
        <v>31</v>
      </c>
      <c r="K66" s="16"/>
      <c r="L66" s="16" t="s">
        <v>274</v>
      </c>
      <c r="M66" s="18" t="s">
        <v>501</v>
      </c>
      <c r="N66" s="16" t="s">
        <v>502</v>
      </c>
      <c r="O66" s="4" t="s">
        <v>405</v>
      </c>
    </row>
    <row r="67" spans="1:15" ht="48" x14ac:dyDescent="0.25">
      <c r="A67" s="16" t="s">
        <v>15</v>
      </c>
      <c r="B67" s="16" t="s">
        <v>165</v>
      </c>
      <c r="C67" s="16" t="s">
        <v>503</v>
      </c>
      <c r="D67" s="16" t="s">
        <v>235</v>
      </c>
      <c r="E67" s="17"/>
      <c r="F67" s="17">
        <v>168</v>
      </c>
      <c r="G67" s="16" t="s">
        <v>279</v>
      </c>
      <c r="H67" s="16" t="s">
        <v>504</v>
      </c>
      <c r="I67" s="16" t="s">
        <v>77</v>
      </c>
      <c r="J67" s="19" t="s">
        <v>294</v>
      </c>
      <c r="K67" s="19" t="s">
        <v>505</v>
      </c>
      <c r="L67" s="16" t="s">
        <v>274</v>
      </c>
      <c r="M67" s="18" t="s">
        <v>506</v>
      </c>
      <c r="N67" s="16"/>
      <c r="O67" s="4" t="s">
        <v>282</v>
      </c>
    </row>
    <row r="68" spans="1:15" ht="36" x14ac:dyDescent="0.25">
      <c r="A68" s="16" t="s">
        <v>16</v>
      </c>
      <c r="B68" s="16" t="s">
        <v>237</v>
      </c>
      <c r="C68" s="16" t="s">
        <v>237</v>
      </c>
      <c r="D68" s="16" t="s">
        <v>238</v>
      </c>
      <c r="E68" s="17">
        <v>28</v>
      </c>
      <c r="F68" s="17">
        <v>279</v>
      </c>
      <c r="G68" s="16" t="s">
        <v>279</v>
      </c>
      <c r="H68" s="16" t="s">
        <v>507</v>
      </c>
      <c r="I68" s="16" t="s">
        <v>192</v>
      </c>
      <c r="J68" s="16" t="s">
        <v>31</v>
      </c>
      <c r="K68" s="16"/>
      <c r="L68" s="16" t="s">
        <v>274</v>
      </c>
      <c r="M68" s="18" t="s">
        <v>508</v>
      </c>
      <c r="N68" s="16"/>
      <c r="O68" s="4" t="s">
        <v>291</v>
      </c>
    </row>
    <row r="69" spans="1:15" ht="36" x14ac:dyDescent="0.25">
      <c r="A69" s="16" t="s">
        <v>17</v>
      </c>
      <c r="B69" s="16" t="s">
        <v>219</v>
      </c>
      <c r="C69" s="16" t="s">
        <v>509</v>
      </c>
      <c r="D69" s="16" t="s">
        <v>240</v>
      </c>
      <c r="E69" s="17"/>
      <c r="F69" s="17">
        <v>250</v>
      </c>
      <c r="G69" s="16" t="s">
        <v>279</v>
      </c>
      <c r="H69" s="16" t="s">
        <v>510</v>
      </c>
      <c r="I69" s="16" t="s">
        <v>73</v>
      </c>
      <c r="J69" s="16" t="s">
        <v>31</v>
      </c>
      <c r="K69" s="16"/>
      <c r="L69" s="16" t="s">
        <v>274</v>
      </c>
      <c r="M69" s="18" t="s">
        <v>511</v>
      </c>
      <c r="N69" s="16"/>
      <c r="O69" s="4" t="s">
        <v>282</v>
      </c>
    </row>
    <row r="70" spans="1:15" ht="36" x14ac:dyDescent="0.25">
      <c r="A70" s="16" t="s">
        <v>17</v>
      </c>
      <c r="B70" s="16" t="s">
        <v>123</v>
      </c>
      <c r="C70" s="16" t="s">
        <v>512</v>
      </c>
      <c r="D70" s="16" t="s">
        <v>242</v>
      </c>
      <c r="E70" s="17"/>
      <c r="F70" s="17">
        <v>25</v>
      </c>
      <c r="G70" s="16" t="s">
        <v>279</v>
      </c>
      <c r="H70" s="16" t="s">
        <v>513</v>
      </c>
      <c r="I70" s="16" t="s">
        <v>77</v>
      </c>
      <c r="J70" s="16" t="s">
        <v>31</v>
      </c>
      <c r="K70" s="16"/>
      <c r="L70" s="16" t="s">
        <v>274</v>
      </c>
      <c r="M70" s="18" t="s">
        <v>514</v>
      </c>
      <c r="N70" s="16" t="s">
        <v>515</v>
      </c>
      <c r="O70" s="4" t="s">
        <v>291</v>
      </c>
    </row>
    <row r="72" spans="1:15" x14ac:dyDescent="0.25">
      <c r="A72" s="2" t="s">
        <v>516</v>
      </c>
    </row>
    <row r="73" spans="1:15" x14ac:dyDescent="0.25">
      <c r="A73" s="2" t="s">
        <v>517</v>
      </c>
    </row>
    <row r="74" spans="1:15" x14ac:dyDescent="0.25">
      <c r="A74" s="2" t="s">
        <v>518</v>
      </c>
    </row>
    <row r="75" spans="1:15" x14ac:dyDescent="0.25">
      <c r="A75" s="2" t="s">
        <v>519</v>
      </c>
    </row>
    <row r="76" spans="1:15" x14ac:dyDescent="0.25">
      <c r="A76" s="2" t="s">
        <v>520</v>
      </c>
    </row>
  </sheetData>
  <autoFilter ref="A1:O70" xr:uid="{00000000-0009-0000-0000-00000D000000}"/>
  <hyperlinks>
    <hyperlink ref="M2" r:id="rId1" xr:uid="{00000000-0004-0000-0D00-000000000000}"/>
    <hyperlink ref="M3" r:id="rId2" xr:uid="{00000000-0004-0000-0D00-000001000000}"/>
    <hyperlink ref="M4" r:id="rId3" xr:uid="{00000000-0004-0000-0D00-000002000000}"/>
    <hyperlink ref="M5" r:id="rId4" xr:uid="{00000000-0004-0000-0D00-000003000000}"/>
    <hyperlink ref="M6" r:id="rId5" xr:uid="{00000000-0004-0000-0D00-000004000000}"/>
    <hyperlink ref="M7" r:id="rId6" xr:uid="{00000000-0004-0000-0D00-000005000000}"/>
    <hyperlink ref="M8" r:id="rId7" xr:uid="{00000000-0004-0000-0D00-000006000000}"/>
    <hyperlink ref="M9" r:id="rId8" xr:uid="{00000000-0004-0000-0D00-000007000000}"/>
    <hyperlink ref="M10" r:id="rId9" xr:uid="{00000000-0004-0000-0D00-000008000000}"/>
    <hyperlink ref="M11" r:id="rId10" xr:uid="{00000000-0004-0000-0D00-000009000000}"/>
    <hyperlink ref="M12" r:id="rId11" xr:uid="{00000000-0004-0000-0D00-00000A000000}"/>
    <hyperlink ref="M13" r:id="rId12" xr:uid="{00000000-0004-0000-0D00-00000B000000}"/>
    <hyperlink ref="M14" r:id="rId13" xr:uid="{00000000-0004-0000-0D00-00000C000000}"/>
    <hyperlink ref="M15" r:id="rId14" xr:uid="{00000000-0004-0000-0D00-00000D000000}"/>
    <hyperlink ref="M16" r:id="rId15" xr:uid="{00000000-0004-0000-0D00-00000E000000}"/>
    <hyperlink ref="M17" r:id="rId16" xr:uid="{00000000-0004-0000-0D00-00000F000000}"/>
    <hyperlink ref="M18" r:id="rId17" xr:uid="{00000000-0004-0000-0D00-000010000000}"/>
    <hyperlink ref="M19" r:id="rId18" xr:uid="{00000000-0004-0000-0D00-000011000000}"/>
    <hyperlink ref="M20" r:id="rId19" xr:uid="{00000000-0004-0000-0D00-000012000000}"/>
    <hyperlink ref="M21" r:id="rId20" xr:uid="{00000000-0004-0000-0D00-000013000000}"/>
    <hyperlink ref="M22" r:id="rId21" xr:uid="{00000000-0004-0000-0D00-000014000000}"/>
    <hyperlink ref="M23" r:id="rId22" xr:uid="{00000000-0004-0000-0D00-000015000000}"/>
    <hyperlink ref="M24" r:id="rId23" xr:uid="{00000000-0004-0000-0D00-000016000000}"/>
    <hyperlink ref="M25" r:id="rId24" xr:uid="{00000000-0004-0000-0D00-000017000000}"/>
    <hyperlink ref="M26" r:id="rId25" xr:uid="{00000000-0004-0000-0D00-000018000000}"/>
    <hyperlink ref="M27" r:id="rId26" xr:uid="{00000000-0004-0000-0D00-000019000000}"/>
    <hyperlink ref="M28" r:id="rId27" xr:uid="{00000000-0004-0000-0D00-00001A000000}"/>
    <hyperlink ref="M29" r:id="rId28" xr:uid="{00000000-0004-0000-0D00-00001B000000}"/>
    <hyperlink ref="M30" r:id="rId29" xr:uid="{00000000-0004-0000-0D00-00001C000000}"/>
    <hyperlink ref="M31" r:id="rId30" xr:uid="{00000000-0004-0000-0D00-00001D000000}"/>
    <hyperlink ref="M32" r:id="rId31" xr:uid="{00000000-0004-0000-0D00-00001E000000}"/>
    <hyperlink ref="M33" r:id="rId32" xr:uid="{00000000-0004-0000-0D00-00001F000000}"/>
    <hyperlink ref="M34" r:id="rId33" xr:uid="{00000000-0004-0000-0D00-000020000000}"/>
    <hyperlink ref="M35" r:id="rId34" xr:uid="{00000000-0004-0000-0D00-000021000000}"/>
    <hyperlink ref="M36" r:id="rId35" xr:uid="{00000000-0004-0000-0D00-000022000000}"/>
    <hyperlink ref="M37" r:id="rId36" xr:uid="{00000000-0004-0000-0D00-000023000000}"/>
    <hyperlink ref="M38" r:id="rId37" xr:uid="{00000000-0004-0000-0D00-000024000000}"/>
    <hyperlink ref="M39" r:id="rId38" xr:uid="{00000000-0004-0000-0D00-000025000000}"/>
    <hyperlink ref="M40" r:id="rId39" xr:uid="{00000000-0004-0000-0D00-000026000000}"/>
    <hyperlink ref="M41" r:id="rId40" xr:uid="{00000000-0004-0000-0D00-000027000000}"/>
    <hyperlink ref="M42" r:id="rId41" xr:uid="{00000000-0004-0000-0D00-000028000000}"/>
    <hyperlink ref="M43" r:id="rId42" xr:uid="{00000000-0004-0000-0D00-000029000000}"/>
    <hyperlink ref="M44" r:id="rId43" xr:uid="{00000000-0004-0000-0D00-00002A000000}"/>
    <hyperlink ref="M45" r:id="rId44" xr:uid="{00000000-0004-0000-0D00-00002B000000}"/>
    <hyperlink ref="M46" r:id="rId45" xr:uid="{00000000-0004-0000-0D00-00002C000000}"/>
    <hyperlink ref="M47" r:id="rId46" xr:uid="{00000000-0004-0000-0D00-00002D000000}"/>
    <hyperlink ref="M48" r:id="rId47" xr:uid="{00000000-0004-0000-0D00-00002E000000}"/>
    <hyperlink ref="M49" r:id="rId48" xr:uid="{00000000-0004-0000-0D00-00002F000000}"/>
    <hyperlink ref="M50" r:id="rId49" xr:uid="{00000000-0004-0000-0D00-000030000000}"/>
    <hyperlink ref="M51" r:id="rId50" xr:uid="{00000000-0004-0000-0D00-000031000000}"/>
    <hyperlink ref="M52" r:id="rId51" xr:uid="{00000000-0004-0000-0D00-000032000000}"/>
    <hyperlink ref="M53" r:id="rId52" xr:uid="{00000000-0004-0000-0D00-000033000000}"/>
    <hyperlink ref="M54" r:id="rId53" xr:uid="{00000000-0004-0000-0D00-000034000000}"/>
    <hyperlink ref="M55" r:id="rId54" xr:uid="{00000000-0004-0000-0D00-000035000000}"/>
    <hyperlink ref="M56" r:id="rId55" xr:uid="{00000000-0004-0000-0D00-000036000000}"/>
    <hyperlink ref="M57" r:id="rId56" xr:uid="{00000000-0004-0000-0D00-000037000000}"/>
    <hyperlink ref="M58" r:id="rId57" xr:uid="{00000000-0004-0000-0D00-000038000000}"/>
    <hyperlink ref="M59" r:id="rId58" xr:uid="{00000000-0004-0000-0D00-000039000000}"/>
    <hyperlink ref="M60" r:id="rId59" xr:uid="{00000000-0004-0000-0D00-00003A000000}"/>
    <hyperlink ref="M61" r:id="rId60" xr:uid="{00000000-0004-0000-0D00-00003B000000}"/>
    <hyperlink ref="M62" r:id="rId61" xr:uid="{00000000-0004-0000-0D00-00003C000000}"/>
    <hyperlink ref="M63" r:id="rId62" xr:uid="{00000000-0004-0000-0D00-00003D000000}"/>
    <hyperlink ref="M64" r:id="rId63" xr:uid="{00000000-0004-0000-0D00-00003E000000}"/>
    <hyperlink ref="M65" r:id="rId64" xr:uid="{00000000-0004-0000-0D00-00003F000000}"/>
    <hyperlink ref="M66" r:id="rId65" xr:uid="{00000000-0004-0000-0D00-000040000000}"/>
    <hyperlink ref="M67" r:id="rId66" xr:uid="{00000000-0004-0000-0D00-000041000000}"/>
    <hyperlink ref="M68" r:id="rId67" xr:uid="{00000000-0004-0000-0D00-000042000000}"/>
    <hyperlink ref="M69" r:id="rId68" xr:uid="{00000000-0004-0000-0D00-000043000000}"/>
    <hyperlink ref="M70" r:id="rId69" xr:uid="{00000000-0004-0000-0D00-00004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MH_Reconciliation</vt:lpstr>
      <vt:lpstr>Audit_Log</vt:lpstr>
      <vt:lpstr>Maharashtra</vt:lpstr>
      <vt:lpstr>Andhra Pradesh</vt:lpstr>
      <vt:lpstr>Telangana</vt:lpstr>
      <vt:lpstr>Tamil Nadu</vt:lpstr>
      <vt:lpstr>Uttar Pradesh</vt:lpstr>
      <vt:lpstr>Odisha</vt:lpstr>
      <vt:lpstr>Karnataka</vt:lpstr>
      <vt:lpstr>Gujarat</vt:lpstr>
      <vt:lpstr>Haryana</vt:lpstr>
      <vt:lpstr>West Bengal</vt:lpstr>
      <vt:lpstr>Backup_All_States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2026-10-21T03:24:03Z</dcterms:created>
  <dcterms:modified xsi:type="dcterms:W3CDTF">2026-10-21T03:25:09Z</dcterms:modified>
</cp:coreProperties>
</file>